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sickcom-my.sharepoint.com/personal/benjamin_holdermann_sick_de/Documents/work/QuBA-libre-github/"/>
    </mc:Choice>
  </mc:AlternateContent>
  <xr:revisionPtr revIDLastSave="0" documentId="13_ncr:1_{407422AA-A8E4-4A17-843A-B248F565F984}" xr6:coauthVersionLast="47" xr6:coauthVersionMax="47" xr10:uidLastSave="{00000000-0000-0000-0000-000000000000}"/>
  <bookViews>
    <workbookView xWindow="-120" yWindow="-120" windowWidth="29040" windowHeight="15720" tabRatio="893" xr2:uid="{0601CAEA-1143-45AB-B5F7-5D12EF071BB5}"/>
  </bookViews>
  <sheets>
    <sheet name="License" sheetId="35" r:id="rId1"/>
    <sheet name="README" sheetId="28" r:id="rId2"/>
    <sheet name="Answering Guideline" sheetId="34" r:id="rId3"/>
    <sheet name="Version History" sheetId="31" r:id="rId4"/>
    <sheet name="Documentation" sheetId="16" r:id="rId5"/>
    <sheet name="Questionnaire" sheetId="3" r:id="rId6"/>
    <sheet name="DS Overview" sheetId="13" r:id="rId7"/>
    <sheet name="Risks" sheetId="12" r:id="rId8"/>
    <sheet name="Mitigation" sheetId="21" r:id="rId9"/>
    <sheet name="Risk Treatment" sheetId="17" r:id="rId10"/>
    <sheet name="Result" sheetId="22" r:id="rId11"/>
    <sheet name="Annex I 1.2 Report" sheetId="27" r:id="rId12"/>
    <sheet name="Tracing" sheetId="32" r:id="rId13"/>
    <sheet name="Tasks" sheetId="14" r:id="rId14"/>
    <sheet name="Quality Indicators" sheetId="24" r:id="rId15"/>
    <sheet name="JSON" sheetId="30" r:id="rId16"/>
    <sheet name="Definitions" sheetId="4" r:id="rId17"/>
    <sheet name="Questions" sheetId="29" r:id="rId18"/>
    <sheet name="Damage Scenarios" sheetId="25" r:id="rId19"/>
    <sheet name="Attack Steps" sheetId="9" r:id="rId20"/>
    <sheet name="Assumptions" sheetId="10" r:id="rId21"/>
    <sheet name="Countermeasures" sheetId="20" r:id="rId22"/>
    <sheet name="Helper" sheetId="19" state="hidden" r:id="rId23"/>
  </sheets>
  <definedNames>
    <definedName name="ApplyDamageMitigation">_xlfn.LAMBDA(_xlpm._in,_xlpm._damageMitigation,_xlpm._result, IF(_xlpm._in="",_xlpm._result,_xlfn.LET(_xlpm._id,LEFT(_xlpm._in,FIND(",",_xlpm._in)-1), _xlpm._gtPos,IFERROR(FIND(","&amp;_xlpm._id&amp;"&gt;",_xlpm._damageMitigation)+LEN(_xlpm._id&amp;"&gt;"),0), _xlpm._parsed,IF(IFERROR(FIND(","&amp;_xlpm._id&amp;",",_xlpm._damageMitigation)&gt;0,FALSE),"",IF(_xlpm._gtPos&gt;0,MID(_xlpm._damageMitigation,_xlpm._gtPos+1,FIND(",",_xlpm._damageMitigation,_xlpm._gtPos)-_xlpm._gtPos),_xlpm._id&amp;",")),  ApplyDamageMitigation(SUBSTITUTE(SUBSTITUTE(SUBSTITUTE("#"&amp;_xlpm._in,",",",#"),"#"&amp;_xlpm._id&amp;",",""),"#","")&amp;IF(_xlpm._gtPos&gt;0,IF(IFERROR(FIND(","&amp;_xlpm._parsed,","&amp;_xlpm._result)&gt;0,FALSE),"",_xlpm._parsed),""), _xlpm._damageMitigation, _xlpm._result&amp;IF(_xlpm._gtPos&gt;0,"",_xlpm._parsed)))))</definedName>
    <definedName name="CalculateMaxAndElements">_xlfn.LAMBDA(_xlpm._in,_xlpm._val,_xlpm._list,_xlpm._range, IF(_xlpm._in="",_xlpm._val&amp;":"&amp;_xlpm._list,_xlfn.LET( _xlpm._id,LEFT(_xlpm._in,FIND(",",_xlpm._in)-1), _xlpm._valueOfElement,VLOOKUP(_xlpm._id,_xlpm._range,COLUMNS(_xlpm._range),FALSE),  CalculateMaxAndElements(RemoveFirstElement(_xlpm._in), MAX(_xlpm._val,_xlpm._valueOfElement), IF(_xlpm._valueOfElement&lt;_xlpm._val,_xlpm._list,IF(_xlpm._valueOfElement=_xlpm._val,_xlpm._list&amp;_xlpm._id&amp;",",_xlpm._id&amp;",")), _xlpm._range))))</definedName>
    <definedName name="CalculateMaxAndElementsWithFallback">_xlfn.LAMBDA(_xlpm._in,_xlpm._val,_xlpm._list,_xlpm._range1,_xlpm._range2, IF(_xlpm._in="",_xlpm._val&amp;":"&amp;_xlpm._list,_xlfn.LET( _xlpm._id,LEFT(_xlpm._in,FIND(",",_xlpm._in)-1), _xlpm._valueOfElement,IFERROR(VLOOKUP(_xlpm._id,_xlpm._range1,COLUMNS(_xlpm._range1),FALSE),VLOOKUP(_xlpm._id,_xlpm._range2,COLUMNS(_xlpm._range2),FALSE)),  CalculateMaxAndElementsWithFallback(RemoveFirstElement(_xlpm._in), MAX(_xlpm._val,_xlpm._valueOfElement), IF(_xlpm._valueOfElement&lt;_xlpm._val,_xlpm._list,IF(_xlpm._valueOfElement=_xlpm._val,_xlpm._list&amp;_xlpm._id&amp;",",_xlpm._id&amp;",")), _xlpm._range1,_xlpm._range2))))</definedName>
    <definedName name="CalculateMaxFromList">_xlfn.LAMBDA(_xlpm._in,_xlpm._val,_xlpm._range, IF(_xlpm._in="",_xlpm._val,_xlfn.LET( _xlpm._id,LEFT(_xlpm._in,FIND(",",_xlpm._in)-1),  CalculateMaxFromList(RemoveFirstElement(_xlpm._in),MAX(_xlpm._val,VLOOKUP(_xlpm._id,_xlpm._range,COLUMNS(_xlpm._range),FALSE)),_xlpm._range))))</definedName>
    <definedName name="CheckActiveCountermeasureRecursively">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definedName>
    <definedName name="CheckRelevance">_xlfn.LAMBDA(_xlpm._in,_xlpm._searchIn, IF(_xlpm._in="",FALSE,_xlfn.LET( _xlpm._searchFor,LEFT(_xlpm._in,FIND(",",_xlpm._in)-1), _xlpm._isAndConnectedTerm,IFERROR(FIND("&amp;",_xlpm._searchFor)&gt;0,FALSE), _xlpm._found,IF(_xlpm._isAndConnectedTerm,CheckTerms(SUBSTITUTE(_xlpm._searchFor,"&amp;",",")&amp;",",_xlpm._searchIn),IFERROR(_xlfn.XMATCH("*"&amp;_xlpm._searchFor&amp;"*",_xlpm._searchIn,2)&gt;0,FALSE)),  IF(_xlpm._found,_xlpm._found,CheckRelevance(RemoveFirstElement(_xlpm._in),_xlpm._searchIn)))))</definedName>
    <definedName name="CheckTerms">_xlfn.LAMBDA(_xlpm._checkTerm,_xlpm._searchRange, IF(_xlpm._checkTerm="",TRUE,_xlfn.LET( _xlpm._firstElement,LEFT(_xlpm._checkTerm,FIND(",",_xlpm._checkTerm)-1), _xlpm._matchesAnswers,IFERROR(_xlfn.XMATCH("*"&amp;_xlpm._firstElement&amp;"*",_xlpm._searchRange,2)&gt;0,FALSE),  IF(_xlpm._matchesAnswers,CheckTerms(RemoveFirstElement(_xlpm._checkTerm),_xlpm._searchRange), FALSE))))</definedName>
    <definedName name="CreateConfirmedInlineMitigations">_xlfn.LAMBDA(_xlpm._inlineCandAString,_xlpm._confirmedCandAIDs,_xlpm._delimiterSearchString,_xlpm._delimiterResultString, IF(_xlpm._inlineCandAString="","",_xlfn.LET( _xlpm._delimiterPos,FIND(_xlpm._delimiterSearchString,_xlpm._inlineCandAString), _xlpm._inlineCorA,LEFT(_xlpm._inlineCandAString,_xlpm._delimiterPos-1), _xlpm._id,LEFT(_xlpm._inlineCorA,FIND(" ",_xlpm._inlineCorA)-1), _xlpm._remainingString,RIGHT(_xlpm._inlineCandAString,LEN(_xlpm._inlineCandAString)-_xlpm._delimiterPos),  IF(IFERROR(FIND(","&amp;_xlpm._id&amp;",",_xlpm._confirmedCandAIDs)&gt;0,FALSE),"{"&amp;_xlpm._inlineCorA&amp;"}"&amp;_xlpm._delimiterResultString,"")&amp; CreateConfirmedInlineMitigations(_xlpm._remainingString,_xlpm._confirmedCandAIDs,_xlpm._delimiterSearchString,_xlpm._delimiterResultString))))</definedName>
    <definedName name="CreateID">_xlfn.LAMBDA(_xlpm._header,_xlpm._test, _xlfn.LET( _xlpm._ownRow,ROW(), _xlpm._headerRow,ROW(_xlpm._header), IF(_xlpm._ownRow=_xlpm._headerRow+1,0,OFFSET(_xlpm._header,_xlpm._ownRow-_xlpm._headerRow-1,0))+ IF(_xlpm._test,1,0)))</definedName>
    <definedName name="CreateIndentedString">_xlfn.LAMBDA(_xlpm._in,_xlpm._lineWidth,_xlpm._indentation, REPT(" ",_xlpm._indentation)&amp;SUBSTITUTE(SplitLines(_xlpm._in,_xlpm._lineWidth-_xlpm._indentation,""),CHAR(10),CHAR(10)&amp;REPT(" ",_xlpm._indentation)))</definedName>
    <definedName name="CreateSearchString">_xlfn.LAMBDA(_xlpm._in,IF(_xlpm._in="","",","&amp;SUBSTITUTE(SUBSTITUTE(_xlpm._in,CHAR(10),"")," ","")&amp;IF(RIGHT(_xlpm._in,1)=",","",",")))</definedName>
    <definedName name="CreateTaskID">_xlfn.LAMBDA(_xlpm._ownHeader,_xlpm._ownColumn,_xlpm._searchFor,_xlpm._searchIn,  IF(ROW()=ROW(_xlpm._ownHeader)+1,0,INDEX(_xlpm._ownColumn,ROW()-1))+ IF(IFERROR(FIND(_xlpm._searchFor,_xlpm._searchIn)&gt;0,FALSE),1,0))</definedName>
    <definedName name="EscapeString">_xlfn.LAMBDA(_xlpm._string,SUBSTITUTE(_xlpm._string,CHAR(34),"'"))</definedName>
    <definedName name="FilterElementsFromList">_xlfn.LAMBDA(_xlpm._inputList,_xlpm._filterList,_xlpm._trueIfIntersectAndFalseIfSubtract,_xlpm._delimiter, IF(_xlpm._inputList="","",_xlfn.LET(_xlpm._id,LEFT(_xlpm._inputList,FIND(",",_xlpm._inputList)-1), IF(_xlpm._trueIfIntersectAndFalseIfSubtract, IF(IFERROR(FIND(","&amp;_xlpm._id&amp;",",","&amp;_xlpm._filterList)&gt;0,FALSE),_xlpm._id&amp;_xlpm._delimiter,""), IF(IFERROR(FIND(","&amp;_xlpm._id&amp;",",","&amp;_xlpm._filterList)&gt;0,FALSE),"",_xlpm._id&amp;_xlpm._delimiter))&amp; FilterElementsFromList(SUBSTITUTE(SUBSTITUTE(SUBSTITUTE("#"&amp;_xlpm._inputList,",",",#"),"#"&amp;_xlpm._id&amp;",",""),"#",""),_xlpm._filterList,_xlpm._trueIfIntersectAndFalseIfSubtract,_xlpm._delimiter))))</definedName>
    <definedName name="FilterListByCriterion">_xlfn.LAMBDA(_xlpm._list,_xlpm._criterion,_xlpm._mapFun,_xlpm._compareFunValThenCriterion,_xlpm._delimiter, IF(_xlpm._list="","",_xlfn.LET( _xlpm._id,LEFT(_xlpm._list,FIND(",",_xlpm._list)-1), _xlpm._restOfList,RemoveFirstElement(_xlpm._list),  IF(_xlpm._compareFunValThenCriterion(_xlpm._mapFun(_xlpm._id),_xlpm._criterion),_xlpm._id&amp;_xlpm._delimiter,"")&amp; IF(_xlpm._restOfList="","",FilterListByCriterion(_xlpm._restOfList,_xlpm._criterion,_xlpm._mapFun,_xlpm._compareFunValThenCriterion,_xlpm._delimiter)))))</definedName>
    <definedName name="FilterPreconditionCandidates">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definedName>
    <definedName name="GenerateAttackPaths">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definedName>
    <definedName name="GenerateRationale">_xlfn.LAMBDA(_xlpm._in, OFFSET(_xlpm._in,0,0)&amp;": "&amp;CHAR(10)&amp; OFFSET(_xlpm._in,0,1)&amp;": "&amp;CHAR(10)&amp; OFFSET(_xlpm._in,0,2)&amp;": "&amp;CHAR(10)&amp; OFFSET(_xlpm._in,0,3)&amp;": "&amp;CHAR(10)&amp; OFFSET(_xlpm._in,0,4)&amp;": ")</definedName>
    <definedName name="GetColumnLetter">_xlfn.LAMBDA(_xlpm._cell, _xlfn.LET( _xlpm._address,CELL("address",_xlpm._cell), _xlpm._start,FIND("$",_xlpm._address)+1, _xlpm._end,FIND("$",SUBSTITUTE(_xlpm._address,"$","#",1)),  MID(_xlpm._address,_xlpm._start,_xlpm._end-_xlpm._start)))</definedName>
    <definedName name="GetQualityIssues">_xlfn.LAMBDA(_xlpm._sheet,_xlpm._textColumn,_xlpm._idColumn,_xlpm._elementID,_xlpm._delimiter, _xlfn.LET(_xlpm._qualityIssue,IFERROR(INDEX(INDIRECT(_xlpm._sheet&amp;_xlpm._textColumn),MATCH(_xlpm._elementID,INDIRECT(_xlpm._sheet&amp;_xlpm._idColumn),0)),""),  IF(_xlpm._qualityIssue="","",_xlpm._qualityIssue&amp;_xlpm._delimiter&amp;GetQualityIssues(_xlpm._sheet,_xlpm._textColumn,_xlpm._idColumn,_xlpm._elementID+1,_xlpm._delimiter))))</definedName>
    <definedName name="GetRAPSum">_xlfn.LAMBDA(_xlpm._firstFactorHeader,_xlpm._numberOfFactors,_xlpm._listASorMitigation,_xlpm._asFullFactorRange,_xlpm._asStartFactorRange,_xlpm._cmFullFactorRange,_xlpm._cmStartFactorRange,_xlpm._aFullFactorRange,_xlpm._aStartRange, OperateOnRange(   _xlpm._firstFactorHeader,   TRUE,   _xlpm._numberOfFactors,   0,   _xlfn.LAMBDA(_xlpm._factorClass,_xlfn.LET(     _xlpm._maxForFactor,OperateOnList(       _xlpm._listASorMitigation,       _xlfn.LAMBDA(_xlpm._ASorMit,_xlfn.LET(         _xlpm._factorNum,COLUMN(_xlpm._factorClass)-COLUMN(_xlpm._firstFactorHeader),         _xlpm._factorName,IFERROR(VLOOKUP(_xlpm._ASorMit,_xlpm._asFullFactorRange,COLUMNS(_xlpm._asStartFactorRange)+_xlpm._factorNum,FALSE),           IFERROR(VLOOKUP(_xlpm._ASorMit,_xlpm._cmFullFactorRange,COLUMNS(_xlpm._cmStartFactorRange)+_xlpm._factorNum,FALSE),             VLOOKUP(_xlpm._ASorMit,_xlpm._aFullFactorRange,COLUMNS(_xlpm._aStartRange)+_xlpm._factorNum,FALSE))),         IF(_xlpm._factorName="",0,SimpleLookup(_xlpm._factorName,Definitions!$Z:$AA)))),       _xlfn.LAMBDA(_xlpm._x,_xlpm._y,MAX(_xlpm._x,_xlpm._y))),      _xlpm._maxForFactor)),   _xlfn.LAMBDA(_xlpm._x,_xlpm._y,_xlpm._x+_xlpm._y)))</definedName>
    <definedName name="GetReferenceText">_xlfn.LAMBDA(_xlpm._reference, _xlfn.LET( _xlpm._full,CELL("address",_xlpm._reference),"'"&amp;SUBSTITUTE(SUBSTITUTE(RIGHT(_xlpm._full,LEN(_xlpm._full)-FIND("]",_xlpm._full)),"'!","!"),"!","'!")))</definedName>
    <definedName name="GetSheetName">_xlfn.LAMBDA(_xlpm._shadowIDHeader, _xlfn.LET( _xlpm._sheetAddress,CELL("filename",_xlpm._shadowIDHeader),  RIGHT(_xlpm._sheetAddress,LEN(_xlpm._sheetAddress)-FIND("]",_xlpm._sheetAddress))))</definedName>
    <definedName name="GetTransformation">_xlfn.LAMBDA(_xlpm._in,_xlpm._range,_xlpm._columnName,_xlpm._delimiter,_xlpm._result, IF(_xlpm._in="",_xlpm._result,_xlfn.LET( _xlpm._id,LEFT(_xlpm._in,FIND(",",_xlpm._in)-1), _xlpm._gtPos,IFERROR(FIND("&gt;",_xlpm._id),0), _xlpm._isTransformation,_xlpm._gtPos&gt;0, _xlpm._replaceString,IF(_xlpm._isTransformation,"[#2]","[#1]"), _xlpm._dsOne,IF(_xlpm._isTransformation,LEFT(_xlpm._id,_xlpm._gtPos-1),_xlpm._id), _xlpm._dsTwo,IF(_xlpm._isTransformation,RIGHT(_xlpm._id,LEN(_xlpm._id)-_xlpm._gtPos),""),  GetTransformation( SUBSTITUTE(SUBSTITUTE(SUBSTITUTE("#"&amp;_xlpm._in,",",",#"),"#"&amp;_xlpm._id&amp;",",""),"#",""),_xlpm._range,_xlpm._columnName,_xlpm._delimiter,SUBSTITUTE(_xlpm._result,_xlpm._replaceString,      IFERROR(_xlpm._dsOne&amp;" "&amp;VLOOKUP(_xlpm._dsOne,_xlpm._range,_xlpm._columnName,FALSE),"ERROR: Unknown ID: "&amp;_xlpm._dsOne)&amp;      IF(_xlpm._isTransformation,CHAR(10)&amp;"-----&gt; "&amp;IFERROR(_xlpm._dsTwo&amp;" "&amp;VLOOKUP(_xlpm._dsTwo,_xlpm._range,_xlpm._columnName,FALSE),"ERROR: Unknown ID: "&amp;_xlpm._dsTwo),"")&amp;_xlpm._delimiter&amp;_xlpm._replaceString)))))</definedName>
    <definedName name="GetValues">_xlfn.LAMBDA(_xlpm._in,_xlpm._lookupRange,_xlpm._delimiter1,_xlpm._delimiter2,_xlpm._addID, IF(_xlpm._in="","",_xlfn.LET( _xlpm._id,LEFT(_xlpm._in,FIND(",",_xlpm._in)-1), _xlpm._value,IFERROR(IF(_xlpm._addID,_xlpm._id&amp;_xlpm._delimiter1,"")&amp;VLOOKUP(_xlpm._id,_xlpm._lookupRange,COLUMNS(_xlpm._lookupRange),FALSE),"ERROR: Unknown ID: "&amp;_xlpm._id),  IF(_xlpm._value="","",_xlpm._value&amp; _xlpm._delimiter2)&amp; GetValues(RemoveFirstElement(_xlpm._in),_xlpm._lookupRange,_xlpm._delimiter1,_xlpm._delimiter2,_xlpm._addID))))</definedName>
    <definedName name="GetValuesIgnoreErrors">_xlfn.LAMBDA(_xlpm._in,_xlpm._lookupRange,_xlpm._delimiter1,_xlpm._delimiter2,_xlpm._addID, IF(_xlpm._in="","",_xlfn.LET( _xlpm._id,LEFT(_xlpm._in,FIND(",",_xlpm._in)-1), _xlpm._value,IFERROR(IF(_xlpm._addID,_xlpm._id&amp;_xlpm._delimiter1,"")&amp;VLOOKUP(_xlpm._id,_xlpm._lookupRange,COLUMNS(_xlpm._lookupRange),FALSE),""),  IF(_xlpm._value="","",_xlpm._value&amp; _xlpm._delimiter2)&amp; GetValuesIgnoreErrors(RemoveFirstElement(_xlpm._in),_xlpm._lookupRange,_xlpm._delimiter1,_xlpm._delimiter2,_xlpm._addID))))</definedName>
    <definedName name="GetValuesWithFallback">_xlfn.LAMBDA(_xlpm._in,_xlpm._lookupRange1,_xlpm._lookupRange2,_xlpm._delimiter1,_xlpm._delimiter2,_xlpm._addID, IF(_xlpm._in="","",_xlfn.LET( _xlpm._id,LEFT(_xlpm._in,FIND(",",_xlpm._in)-1), _xlpm._value,IFERROR(IF(_xlpm._addID,_xlpm._id&amp;_xlpm._delimiter1,"")&amp;VLOOKUP(_xlpm._id,_xlpm._lookupRange1,COLUMNS(_xlpm._lookupRange1),FALSE),IFERROR(IF(_xlpm._addID,_xlpm._id&amp;_xlpm._delimiter1,"")&amp;VLOOKUP(_xlpm._id,_xlpm._lookupRange2,COLUMNS(_xlpm._lookupRange2),FALSE),"ERROR: Unknown ID: "&amp;_xlpm._id)),  IF(_xlpm._value="","",_xlpm._value&amp; _xlpm._delimiter2)&amp; GetValuesWithFallback(RemoveFirstElement(_xlpm._in),_xlpm._lookupRange1,_xlpm._lookupRange2,_xlpm._delimiter1,_xlpm._delimiter2,_xlpm._addID))))</definedName>
    <definedName name="InverseLookup">_xlfn.LAMBDA(_xlpm._ownID,_xlpm._searchHeader,_xlpm._resultHeader,_xlpm._offset,_xlpm._elementCount,_xlpm._delimiter, _xlfn.LET(_xlpm._match,IFERROR(_xlfn.XMATCH("*,"&amp;_xlpm._ownID&amp;",*",OFFSET(_xlpm._searchHeader,_xlpm._offset,0,_xlpm._elementCount,1),2),0), _xlpm._foreignID,IF(_xlpm._match=0,"",OFFSET(_xlpm._resultHeader,_xlpm._offset+_xlpm._match-1,0)),  IF(_xlpm._match=0,"",IF(_xlpm._foreignID="","",_xlpm._foreignID&amp;_xlpm._delimiter)&amp; InverseLookup(_xlpm._ownID,_xlpm._searchHeader,_xlpm._resultHeader,_xlpm._offset+_xlpm._match,_xlpm._elementCount,_xlpm._delimiter))))</definedName>
    <definedName name="InverseLookupList">_xlfn.LAMBDA(_xlpm._in,_xlpm._searchHeader,_xlpm._resultHeader,_xlpm._elementCount,_xlpm._delimiter, IF(_xlpm._in="","",_xlfn.LET( _xlpm._id,LEFT(_xlpm._in,FIND(",",_xlpm._in)-1),  InverseLookup(_xlpm._id,_xlpm._searchHeader,_xlpm._resultHeader,1,_xlpm._elementCount,_xlpm._delimiter)&amp; InverseLookupList(RemoveFirstElement(_xlpm._in),_xlpm._searchHeader,_xlpm._resultHeader,_xlpm._elementCount,_xlpm._delimiter))))</definedName>
    <definedName name="JSON_Questionnaire">JSON!$C$7</definedName>
    <definedName name="JSON_ResultSummary">JSON!$C$9</definedName>
    <definedName name="JSON_RiskTreatment">JSON!$C$8</definedName>
    <definedName name="JSONParseAttributes">_xlfn.LAMBDA(_xlpm._sheetName,_xlpm._headerRow,_xlpm._row,_xlpm._template,_xlpm._delimiter,_xlpm._columnList, IF(_xlpm._columnList="","",_xlfn.LET( _xlpm._columnLetter,LEFT(_xlpm._columnList,1), _xlpm._header,SUBSTITUTE(INDIRECT("'"&amp;_xlpm._sheetName&amp;"'!"&amp;_xlpm._columnLetter&amp;_xlpm._headerRow),CHAR(10)," "), _xlpm._value,EscapeString(SUBSTITUTE(INDIRECT("'"&amp;_xlpm._sheetName&amp;"'!"&amp;_xlpm._columnLetter&amp;_xlpm._row),CHAR(10)," ")),  SUBSTITUTE(SUBSTITUTE(_xlpm._template,"[#1]",_xlpm._header),"[#2]",_xlpm._value)&amp;_xlpm._delimiter&amp; JSONParseAttributes(_xlpm._sheetName,_xlpm._headerRow,_xlpm._row,_xlpm._template,_xlpm._delimiter,RIGHT(_xlpm._columnList,LEN(_xlpm._columnList)-1)))))</definedName>
    <definedName name="JSONParseSheet">_xlfn.LAMBDA(_xlpm._shadowID,_xlpm._sheetName,_xlpm._shadowIDHeader,_xlpm._elementTemplate,_xlpm._attributeTemplate,_xlpm._delimiter,_xlpm._columnList, _xlfn.LET( _xlpm._shadowIDColumnLetter,GetColumnLetter(_xlpm._shadowIDHeader), _xlpm._shadowIDColumn,"'"&amp;_xlpm._sheetName&amp;"'!"&amp;_xlpm._shadowIDColumnLetter&amp;":"&amp;_xlpm._shadowIDColumnLetter, _xlpm._row,IFERROR(MATCH(_xlpm._shadowID,INDIRECT(_xlpm._shadowIDColumn),0),0),  IF(_xlpm._row=0,"",_xlfn.LET( _xlpm._element,SUBSTITUTE(_xlpm._elementTemplate,"[#1]",RemoveDelimiter(JSONParseAttributes(_xlpm._sheetName,ROW(_xlpm._shadowIDHeader),_xlpm._row,_xlpm._attributeTemplate,_xlpm._delimiter,_xlpm._columnList),_xlpm._delimiter)),  _xlpm._element&amp; JSONParseSheet(_xlpm._shadowID+1,_xlpm._sheetName,_xlpm._shadowIDHeader,_xlpm._elementTemplate,_xlpm._attributeTemplate,_xlpm._delimiter,_xlpm._columnList)))))</definedName>
    <definedName name="JSONParseSheets">_xlfn.LAMBDA(_xlpm._sheetIndex,_xlpm._definitionsSheetNameHeader,_xlpm._definitionsColumnsHeader,_xlpm._definitionsShadowIDColumnHeader,_xlpm._definitionsShadowIDHeaderHeader,_xlpm._jsonTemplate,_xlpm._elementTemplate,_xlpm._attributeTemplate,_xlpm._delimiter, _xlfn.LET( _xlpm._sheetName,OFFSET(_xlpm._definitionsSheetNameHeader,_xlpm._sheetIndex,0), _xlpm._columnList,OFFSET(_xlpm._definitionsColumnsHeader,_xlpm._sheetIndex,0), _xlpm._shadowIDColumnLetter,OFFSET(_xlpm._definitionsShadowIDColumnHeader,_xlpm._sheetIndex,0), _xlpm._shadowIDHeaderRow,OFFSET(_xlpm._definitionsShadowIDHeaderHeader,_xlpm._sheetIndex,0), _xlpm._shadowIDHeader,INDIRECT("'"&amp;_xlpm._sheetName&amp;"'!$"&amp;_xlpm._shadowIDColumnLetter&amp;"$"&amp;_xlpm._shadowIDHeaderRow),  IF(_xlpm._sheetName="","", SUBSTITUTE(SUBSTITUTE(_xlpm._jsonTemplate, "[#1]",_xlpm._sheetName), "[#2]",JSONParseSheet(1,_xlpm._sheetName,_xlpm._shadowIDHeader,_xlpm._elementTemplate,_xlpm._attributeTemplate,_xlpm._delimiter,_xlpm._columnList)))))</definedName>
    <definedName name="LookupNames">_xlfn.LAMBDA(_xlpm._in,_xlpm._range,RemoveDelimiter(GetValues(SanitizeInput(_xlpm._in),_xlpm._range," ",","&amp;CHAR(10),TRUE),","&amp;CHAR(10)))</definedName>
    <definedName name="OperateOnList">_xlfn.LAMBDA(_xlpm._list,_xlpm._mapFun,_xlpm._operationFun, IF(_xlpm._list="","",_xlfn.LET( _xlpm._id,LEFT(_xlpm._list,FIND(",",_xlpm._list)-1), _xlpm._restOfList,RemoveFirstElement(_xlpm._list),  IF(_xlpm._restOfList="",_xlpm._mapFun(_xlpm._id),_xlpm._operationFun(_xlpm._mapFun(_xlpm._id),OperateOnList(_xlpm._restOfList,_xlpm._mapFun,_xlpm._operationFun))))))</definedName>
    <definedName name="OperateOnRange">_xlfn.LAMBDA(_xlpm._startCell,_xlpm._isHorizontalRange,_xlpm._sizeOfRange,_xlpm._offsetStartAtZero,_xlpm._mapFun,_xlpm._operationFun, _xlfn.LET( _xlpm._currentCell,OFFSET(_xlpm._startCell,IF(_xlpm._isHorizontalRange,0,_xlpm._offsetStartAtZero),IF(_xlpm._isHorizontalRange,_xlpm._offsetStartAtZero,0)), _xlpm._nextOffset,_xlpm._offsetStartAtZero+1,  _xlpm._operationFun(_xlpm._mapFun(_xlpm._currentCell), IF(_xlpm._nextOffset=_xlpm._sizeOfRange-1,_xlpm._mapFun(OFFSET(_xlpm._startCell,IF(_xlpm._isHorizontalRange,0,_xlpm._nextOffset),IF(_xlpm._isHorizontalRange,_xlpm._nextOffset,0))),OperateOnRange(_xlpm._startCell,_xlpm._isHorizontalRange,_xlpm._sizeOfRange,_xlpm._nextOffset,_xlpm._mapFun,_xlpm._operationFun)))))</definedName>
    <definedName name="ParseAllMitigationsFromComment">_xlfn.LAMBDA(_xlpm._ownID,_xlpm._idDelimiter,_xlpm._prefix,_xlpm._comment,_xlpm._syntaxStart,_xlpm._syntaxEnd,_xlpm._rapDelimiter,_xlpm._delimiter,_xlpm._instance, _xlfn.LET( _xlpm._numStarts,LEN(_xlpm._comment)-LEN(SUBSTITUTE(_xlpm._comment,_xlpm._syntaxStart,"")),  IFERROR(_xlpm._ownID&amp;_xlpm._idDelimiter&amp;_xlpm._prefix&amp;_xlpm._instance&amp;" "&amp;ParseElementsFromComment(_xlpm._comment,_xlpm._syntaxStart,_xlpm._syntaxEnd,_xlpm._rapDelimiter,_xlpm._instance)&amp;_xlpm._delimiter,"")&amp; IF(_xlpm._instance&gt;_xlpm._numStarts,"",ParseAllMitigationsFromComment(_xlpm._ownID,_xlpm._idDelimiter,_xlpm._prefix,_xlpm._comment,_xlpm._syntaxStart,_xlpm._syntaxEnd,_xlpm._rapDelimiter,_xlpm._delimiter,_xlpm._instance+1))))</definedName>
    <definedName name="ParseAttackPotentialFromComment">_xlfn.LAMBDA(_xlpm._comments,_xlpm._attackPotentialSyntaxStart,_xlpm._additionalElementEndSyntax,_xlpm._attackPontentialsRange,_xlpm._attackPotentialValue, _xlfn.LET( _xlpm._attackPotentialStart,IFERROR(FIND(_xlpm._attackPotentialSyntaxStart,_xlpm._comments),0), _xlpm._attackPotentialEnd,IF(_xlpm._attackPotentialStart=0,0,IFERROR(FIND(_xlpm._additionalElementEndSyntax,_xlpm._comments,_xlpm._attackPotentialStart),0)),  IF(OR(_xlpm._attackPotentialStart=0,_xlpm._attackPotentialEnd=0),_xlpm._attackPotentialValue,_xlfn.LET( _xlpm._startSyntaxLength,LEN(_xlpm._attackPotentialSyntaxStart), _xlpm._attackPotentialCandidate,TRIM(MID(_xlpm._comments,_xlpm._attackPotentialStart+_xlpm._startSyntaxLength,_xlpm._attackPotentialEnd-_xlpm._attackPotentialStart-_xlpm._startSyntaxLength)), _xlpm._candidateIndex,IFERROR(MATCH(_xlpm._attackPotentialCandidate,_xlpm._attackPontentialsRange,0),0),  ParseAttackPotentialFromComment(RIGHT(_xlpm._comments,LEN(_xlpm._comments)-_xlpm._attackPotentialStart-1),_xlpm._attackPotentialSyntaxStart,_xlpm._additionalElementEndSyntax,_xlpm._attackPontentialsRange,MAX(_xlpm._attackPotentialValue,_xlpm._candidateIndex))))))</definedName>
    <definedName name="ParseElementsFromComment">_xlfn.LAMBDA(_xlpm._in,_xlpm._syntaxStart,_xlpm._syntaxEnd,_xlpm._rapDelimiter,_xlpm._instanceNum, _xlfn.LET( _xlpm._keyWordLength,LEN(_xlpm._syntaxStart&amp;" "), _xlpm._searchFor,REPT(CHAR(1),_xlpm._keyWordLength), _xlpm._searchString,SUBSTITUTE(_xlpm._in,_xlpm._syntaxStart,_xlpm._searchFor,_xlpm._instanceNum), _xlpm._start,FIND(_xlpm._searchFor,_xlpm._searchString)+_xlpm._keyWordLength, _xlpm._end,FIND(_xlpm._syntaxEnd,_xlpm._in,_xlpm._start), _xlpm._fullString,MID(_xlpm._in,_xlpm._start,_xlpm._end-_xlpm._start), _xlpm._attackPotentialPos,IFERROR(FIND(_xlpm._rapDelimiter,_xlpm._fullString),0),  IF(_xlpm._attackPotentialPos=_xlpm._attackPotentialPos,_xlpm._fullString,LEFT(_xlpm._fullString,_xlpm._attackPotentialPos-1))))</definedName>
    <definedName name="ParseInlineMitigationString">_xlfn.LAMBDA(_xlpm._inlineMitigationString,_xlpm._delimiter, IF(_xlpm._inlineMitigationString="","", _xlfn.LET( _xlpm._id,LEFT(_xlpm._inlineMitigationString,FIND(" ",_xlpm._inlineMitigationString)-1), _xlpm._remainingString,RIGHT(_xlpm._inlineMitigationString,LEN(_xlpm._inlineMitigationString)-FIND(_xlpm._delimiter,_xlpm._inlineMitigationString)),  _xlpm._id&amp;","&amp; ParseInlineMitigationString(_xlpm._remainingString,_xlpm._delimiter))))</definedName>
    <definedName name="_xlnm.Print_Area" localSheetId="11">'Annex I 1.2 Report'!$A:$F</definedName>
    <definedName name="_xlnm.Print_Area" localSheetId="4">Documentation!$B:$G</definedName>
    <definedName name="_xlnm.Print_Area" localSheetId="8">Mitigation!$A:$O</definedName>
    <definedName name="_xlnm.Print_Area" localSheetId="5">Questionnaire!$B:$H</definedName>
    <definedName name="_xlnm.Print_Area" localSheetId="10">Result!$A:$K</definedName>
    <definedName name="_xlnm.Print_Area" localSheetId="9">'Risk Treatment'!$C:$T</definedName>
    <definedName name="PrintDate">_xlfn.LAMBDA(_xlpm._date,TEXT(DAY(_xlpm._date),"00")&amp;"."&amp;TEXT(MONTH(_xlpm._date),"00")&amp;"."&amp;TEXT(YEAR(_xlpm._date),"0000"))</definedName>
    <definedName name="RemoveDelimiter">_xlfn.LAMBDA(_xlpm._in,_xlpm._delimiter,IF(_xlpm._in="","",SUBSTITUTE(SUBSTITUTE(_xlpm._in&amp;CHAR(1),_xlpm._delimiter&amp;CHAR(1),""),CHAR(1),"")))</definedName>
    <definedName name="RemoveFirstElement">_xlfn.LAMBDA(_xlpm._in,IF(_xlpm._in="","",SUBSTITUTE(SUBSTITUTE(SUBSTITUTE("#"&amp;_xlpm._in,",",",#"),"#"&amp;LEFT(_xlpm._in,FIND(",",_xlpm._in)),""),"#","")))</definedName>
    <definedName name="SanitizeInput">_xlfn.LAMBDA(_xlpm._in,IF(_xlpm._in="","",SUBSTITUTE(SUBSTITUTE(_xlpm._in,CHAR(10),"")," ","")&amp;IF(RIGHT(_xlpm._in,1)=",","",",")))</definedName>
    <definedName name="ShowResultingOptions">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definedName>
    <definedName name="SimpleLookup">_xlfn.LAMBDA(_xlpm._id,_xlpm._range,VLOOKUP(_xlpm._id,_xlpm._range,COLUMNS(_xlpm._range),FALSE))</definedName>
    <definedName name="SimpleLookupWithErrorMessage">_xlfn.LAMBDA(_xlpm._searchFor,_xlpm._searchRange,IFERROR(VLOOKUP(_xlpm._searchFor,_xlpm._searchRange,COLUMNS(_xlpm._searchRange),FALSE),"ERROR: Unknown ID: "&amp;_xlpm._searchFor))</definedName>
    <definedName name="SortList">_xlfn.LAMBDA(_xlpm._in,_xlpm._shadowIDRange,_xlpm._elementCount,_xlpm._result,_xlpm._delimiter,_xlpm._ignoreErrors, IF(_xlpm._in="",SUBSTITUTE(_xlpm._result,"§",""), _xlfn.LET(_xlpm._id,LEFT(_xlpm._in,FIND(",",_xlpm._in)-1), _xlpm._bucketList,IF(_xlpm._result="",REPT("§",_xlpm._elementCount),_xlpm._result),  SortList(RemoveFirstElement(_xlpm._in),_xlpm._shadowIDRange,_xlpm._elementCount, IFERROR(SUBSTITUTE(_xlpm._bucketList,"§",_xlpm._id&amp;_xlpm._delimiter&amp;"§",VLOOKUP(_xlpm._id,_xlpm._shadowIDRange,COLUMNS(_xlpm._shadowIDRange),FALSE)),IF(_xlpm._ignoreErrors,_xlpm._bucketList,"Error: Unknown ID: "&amp;_xlpm._id)), _xlpm._delimiter,_xlpm._ignoreErrors))))</definedName>
    <definedName name="SplitLines">_xlfn.LAMBDA(_xlpm._in,_xlpm._lineWidth,_xlpm._currentLine, IF(_xlpm._in="",_xlpm._currentLine,_xlfn.LET( _xlpm._spcPos,FIND(" ",_xlpm._in&amp;" "), _xlpm._word,IFERROR(LEFT(_xlpm._in,_xlpm._spcPos),""), _xlpm._currentLength,LEN(_xlpm._currentLine), _xlpm._rest,IFERROR(RIGHT(_xlpm._in,LEN(_xlpm._in)-_xlpm._spcPos),""),  IF(_xlpm._currentLength+_xlpm._spcPos&lt;=_xlpm._lineWidth, SplitLines(_xlpm._rest,_xlpm._lineWidth,IF(_xlpm._currentLine="","",_xlpm._currentLine&amp;" ")&amp;_xlpm._word), LEFT(_xlpm._currentLine,_xlpm._currentLength-1)&amp;CHAR(10)&amp;SplitLines(_xlpm._rest,_xlpm._lineWidth,_xlpm._word)))))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4" i="3" l="1"/>
  <c r="AO5" i="3"/>
  <c r="AO6" i="3"/>
  <c r="AO7" i="3"/>
  <c r="AO8" i="3"/>
  <c r="AO9" i="3"/>
  <c r="AO10" i="3"/>
  <c r="AO11" i="3"/>
  <c r="AO12" i="3"/>
  <c r="AO13" i="3"/>
  <c r="AO14" i="3"/>
  <c r="AO15" i="3"/>
  <c r="AO16" i="3"/>
  <c r="AO17" i="3"/>
  <c r="AO18" i="3"/>
  <c r="AO19" i="3"/>
  <c r="AO20" i="3"/>
  <c r="AO21" i="3"/>
  <c r="AO22" i="3"/>
  <c r="AO23" i="3"/>
  <c r="AO24" i="3"/>
  <c r="AO25" i="3"/>
  <c r="AO26" i="3"/>
  <c r="AO27" i="3"/>
  <c r="AO28" i="3"/>
  <c r="AO29" i="3"/>
  <c r="AO30" i="3"/>
  <c r="AO31" i="3"/>
  <c r="AO32" i="3"/>
  <c r="AO33" i="3"/>
  <c r="AO34" i="3"/>
  <c r="AO35" i="3"/>
  <c r="AO36" i="3"/>
  <c r="AO37" i="3"/>
  <c r="AO38" i="3"/>
  <c r="AO39" i="3"/>
  <c r="AO40" i="3"/>
  <c r="AO41" i="3"/>
  <c r="AO42" i="3"/>
  <c r="AO43" i="3"/>
  <c r="AO44" i="3"/>
  <c r="AO45" i="3"/>
  <c r="AO46" i="3"/>
  <c r="AO47" i="3"/>
  <c r="AO48" i="3"/>
  <c r="AO49" i="3"/>
  <c r="AO50" i="3"/>
  <c r="AO51" i="3"/>
  <c r="AO52" i="3"/>
  <c r="AO53" i="3"/>
  <c r="AO54" i="3"/>
  <c r="AO55" i="3"/>
  <c r="AO56" i="3"/>
  <c r="AO57" i="3"/>
  <c r="AO58" i="3"/>
  <c r="AO59" i="3"/>
  <c r="AO60" i="3"/>
  <c r="AO61" i="3"/>
  <c r="AO62" i="3"/>
  <c r="AO63" i="3"/>
  <c r="AO64" i="3"/>
  <c r="AO65" i="3"/>
  <c r="AO66" i="3"/>
  <c r="AO67" i="3"/>
  <c r="AO68" i="3"/>
  <c r="AO69" i="3"/>
  <c r="AO70" i="3"/>
  <c r="AO71" i="3"/>
  <c r="AO72" i="3"/>
  <c r="AO73" i="3"/>
  <c r="AO74" i="3"/>
  <c r="AO75" i="3"/>
  <c r="AO76" i="3"/>
  <c r="AO77" i="3"/>
  <c r="AO78" i="3"/>
  <c r="AO79" i="3"/>
  <c r="AO80" i="3"/>
  <c r="AO81" i="3"/>
  <c r="AO82" i="3"/>
  <c r="AO83" i="3"/>
  <c r="AO84" i="3"/>
  <c r="AO85" i="3"/>
  <c r="AO86" i="3"/>
  <c r="AO87" i="3"/>
  <c r="AO88" i="3"/>
  <c r="AO89" i="3"/>
  <c r="AO90" i="3"/>
  <c r="AO91" i="3"/>
  <c r="AO92" i="3"/>
  <c r="AO93" i="3"/>
  <c r="AO94" i="3"/>
  <c r="AO95" i="3"/>
  <c r="AO96" i="3"/>
  <c r="AO97" i="3"/>
  <c r="AO98" i="3"/>
  <c r="AO99" i="3"/>
  <c r="AO100" i="3"/>
  <c r="AO101" i="3"/>
  <c r="AO102" i="3"/>
  <c r="AO103" i="3"/>
  <c r="AQ4" i="3" l="1" a="1"/>
  <c r="AQ4" i="3" s="1"/>
  <c r="AR4" i="3" s="1" a="1"/>
  <c r="AR4" i="3" s="1"/>
  <c r="AQ5" i="3" a="1"/>
  <c r="AQ5" i="3" s="1"/>
  <c r="AQ6" i="3" a="1"/>
  <c r="AQ6" i="3" s="1"/>
  <c r="AQ7" i="3" a="1"/>
  <c r="AQ7" i="3" s="1"/>
  <c r="AQ8" i="3" a="1"/>
  <c r="AQ8" i="3" s="1"/>
  <c r="AQ9" i="3" a="1"/>
  <c r="AQ9" i="3" s="1"/>
  <c r="AQ10" i="3" a="1"/>
  <c r="AQ10" i="3" s="1"/>
  <c r="AQ11" i="3" a="1"/>
  <c r="AQ11" i="3" s="1"/>
  <c r="AQ12" i="3" a="1"/>
  <c r="AQ12" i="3" s="1"/>
  <c r="AQ13" i="3" a="1"/>
  <c r="AQ13" i="3" s="1"/>
  <c r="AQ14" i="3" a="1"/>
  <c r="AQ14" i="3" s="1"/>
  <c r="AQ15" i="3" a="1"/>
  <c r="AQ15" i="3" s="1"/>
  <c r="AQ16" i="3" a="1"/>
  <c r="AQ16" i="3" s="1"/>
  <c r="AQ18" i="3" a="1"/>
  <c r="AQ18" i="3" s="1"/>
  <c r="AQ19" i="3" a="1"/>
  <c r="AQ19" i="3" s="1"/>
  <c r="AQ20" i="3" a="1"/>
  <c r="AQ20" i="3" s="1"/>
  <c r="AQ21" i="3" a="1"/>
  <c r="AQ21" i="3" s="1"/>
  <c r="AQ22" i="3" a="1"/>
  <c r="AQ22" i="3" s="1"/>
  <c r="AQ23" i="3" a="1"/>
  <c r="AQ23" i="3" s="1"/>
  <c r="AQ24" i="3" a="1"/>
  <c r="AQ24" i="3" s="1"/>
  <c r="AQ25" i="3" a="1"/>
  <c r="AQ25" i="3" s="1"/>
  <c r="AQ26" i="3" a="1"/>
  <c r="AQ26" i="3" s="1"/>
  <c r="AQ27" i="3" a="1"/>
  <c r="AQ27" i="3" s="1"/>
  <c r="AQ28" i="3" a="1"/>
  <c r="AQ28" i="3" s="1"/>
  <c r="AQ29" i="3" a="1"/>
  <c r="AQ29" i="3" s="1"/>
  <c r="AQ30" i="3" a="1"/>
  <c r="AQ30" i="3" s="1"/>
  <c r="AQ31" i="3" a="1"/>
  <c r="AQ31" i="3" s="1"/>
  <c r="AQ32" i="3" a="1"/>
  <c r="AQ32" i="3" s="1"/>
  <c r="AQ33" i="3" a="1"/>
  <c r="AQ33" i="3" s="1"/>
  <c r="AQ34" i="3" a="1"/>
  <c r="AQ34" i="3" s="1"/>
  <c r="AQ35" i="3" a="1"/>
  <c r="AQ35" i="3" s="1"/>
  <c r="AQ36" i="3" a="1"/>
  <c r="AQ36" i="3" s="1"/>
  <c r="AQ37" i="3" a="1"/>
  <c r="AQ37" i="3" s="1"/>
  <c r="AQ38" i="3" a="1"/>
  <c r="AQ38" i="3" s="1"/>
  <c r="AQ39" i="3" a="1"/>
  <c r="AQ39" i="3" s="1"/>
  <c r="AQ40" i="3" a="1"/>
  <c r="AQ40" i="3" s="1"/>
  <c r="AQ41" i="3" a="1"/>
  <c r="AQ41" i="3" s="1"/>
  <c r="AQ42" i="3" a="1"/>
  <c r="AQ42" i="3" s="1"/>
  <c r="AQ43" i="3" a="1"/>
  <c r="AQ43" i="3" s="1"/>
  <c r="AQ44" i="3" a="1"/>
  <c r="AQ44" i="3" s="1"/>
  <c r="AQ45" i="3" a="1"/>
  <c r="AQ45" i="3" s="1"/>
  <c r="AQ46" i="3" a="1"/>
  <c r="AQ46" i="3" s="1"/>
  <c r="AQ47" i="3" a="1"/>
  <c r="AQ47" i="3" s="1"/>
  <c r="AQ48" i="3" a="1"/>
  <c r="AQ48" i="3" s="1"/>
  <c r="AQ49" i="3" a="1"/>
  <c r="AQ49" i="3" s="1"/>
  <c r="AQ50" i="3" a="1"/>
  <c r="AQ50" i="3" s="1"/>
  <c r="AQ51" i="3" a="1"/>
  <c r="AQ51" i="3" s="1"/>
  <c r="AQ52" i="3" a="1"/>
  <c r="AQ52" i="3" s="1"/>
  <c r="AQ53" i="3" a="1"/>
  <c r="AQ53" i="3" s="1"/>
  <c r="AQ54" i="3" a="1"/>
  <c r="AQ54" i="3" s="1"/>
  <c r="AQ55" i="3" a="1"/>
  <c r="AQ55" i="3" s="1"/>
  <c r="AQ56" i="3" a="1"/>
  <c r="AQ56" i="3" s="1"/>
  <c r="AQ57" i="3" a="1"/>
  <c r="AQ57" i="3" s="1"/>
  <c r="AQ58" i="3" a="1"/>
  <c r="AQ58" i="3" s="1"/>
  <c r="AQ59" i="3" a="1"/>
  <c r="AQ59" i="3" s="1"/>
  <c r="AQ60" i="3" a="1"/>
  <c r="AQ60" i="3" s="1"/>
  <c r="AQ61" i="3" a="1"/>
  <c r="AQ61" i="3" s="1"/>
  <c r="AQ62" i="3" a="1"/>
  <c r="AQ62" i="3" s="1"/>
  <c r="AQ63" i="3" a="1"/>
  <c r="AQ63" i="3" s="1"/>
  <c r="AQ64" i="3" a="1"/>
  <c r="AQ64" i="3" s="1"/>
  <c r="AQ65" i="3" a="1"/>
  <c r="AQ65" i="3" s="1"/>
  <c r="AQ66" i="3" a="1"/>
  <c r="AQ66" i="3" s="1"/>
  <c r="AQ67" i="3" a="1"/>
  <c r="AQ67" i="3" s="1"/>
  <c r="AQ68" i="3" a="1"/>
  <c r="AQ68" i="3" s="1"/>
  <c r="AQ69" i="3" a="1"/>
  <c r="AQ69" i="3" s="1"/>
  <c r="AQ70" i="3" a="1"/>
  <c r="AQ70" i="3" s="1"/>
  <c r="AQ71" i="3" a="1"/>
  <c r="AQ71" i="3" s="1"/>
  <c r="AQ72" i="3" a="1"/>
  <c r="AQ72" i="3" s="1"/>
  <c r="AQ73" i="3" a="1"/>
  <c r="AQ73" i="3" s="1"/>
  <c r="AQ74" i="3" a="1"/>
  <c r="AQ74" i="3" s="1"/>
  <c r="AQ75" i="3" a="1"/>
  <c r="AQ75" i="3" s="1"/>
  <c r="AQ76" i="3" a="1"/>
  <c r="AQ76" i="3" s="1"/>
  <c r="AQ77" i="3" a="1"/>
  <c r="AQ77" i="3" s="1"/>
  <c r="AQ78" i="3" a="1"/>
  <c r="AQ78" i="3" s="1"/>
  <c r="AQ79" i="3" a="1"/>
  <c r="AQ79" i="3" s="1"/>
  <c r="AQ80" i="3" a="1"/>
  <c r="AQ80" i="3" s="1"/>
  <c r="AQ81" i="3" a="1"/>
  <c r="AQ81" i="3" s="1"/>
  <c r="AQ82" i="3" a="1"/>
  <c r="AQ82" i="3" s="1"/>
  <c r="AQ83" i="3" a="1"/>
  <c r="AQ83" i="3" s="1"/>
  <c r="AQ84" i="3" a="1"/>
  <c r="AQ84" i="3" s="1"/>
  <c r="AQ85" i="3" a="1"/>
  <c r="AQ85" i="3" s="1"/>
  <c r="AQ86" i="3" a="1"/>
  <c r="AQ86" i="3" s="1"/>
  <c r="AQ87" i="3" a="1"/>
  <c r="AQ87" i="3" s="1"/>
  <c r="AQ88" i="3" a="1"/>
  <c r="AQ88" i="3" s="1"/>
  <c r="AQ89" i="3" a="1"/>
  <c r="AQ89" i="3" s="1"/>
  <c r="AQ90" i="3" a="1"/>
  <c r="AQ90" i="3" s="1"/>
  <c r="AQ91" i="3" a="1"/>
  <c r="AQ91" i="3" s="1"/>
  <c r="AQ92" i="3" a="1"/>
  <c r="AQ92" i="3" s="1"/>
  <c r="AQ93" i="3" a="1"/>
  <c r="AQ93" i="3" s="1"/>
  <c r="AQ94" i="3" a="1"/>
  <c r="AQ94" i="3" s="1"/>
  <c r="AQ95" i="3" a="1"/>
  <c r="AQ95" i="3" s="1"/>
  <c r="AQ96" i="3" a="1"/>
  <c r="AQ96" i="3" s="1"/>
  <c r="AQ97" i="3" a="1"/>
  <c r="AQ97" i="3" s="1"/>
  <c r="AQ98" i="3" a="1"/>
  <c r="AQ98" i="3" s="1"/>
  <c r="AQ99" i="3" a="1"/>
  <c r="AQ99" i="3" s="1"/>
  <c r="AQ100" i="3" a="1"/>
  <c r="AQ100" i="3" s="1"/>
  <c r="AQ101" i="3" a="1"/>
  <c r="AQ101" i="3" s="1"/>
  <c r="AQ102" i="3" a="1"/>
  <c r="AQ102" i="3" s="1"/>
  <c r="AQ103" i="3" a="1"/>
  <c r="AQ103" i="3" s="1"/>
  <c r="E62" i="20" a="1"/>
  <c r="E62" i="20" s="1"/>
  <c r="E63" i="20" a="1"/>
  <c r="E63" i="20" s="1"/>
  <c r="E64" i="20" a="1"/>
  <c r="E64" i="20" s="1"/>
  <c r="E65" i="20" a="1"/>
  <c r="E65" i="20" s="1"/>
  <c r="E66" i="20" a="1"/>
  <c r="E66" i="20" s="1"/>
  <c r="K62" i="20" a="1"/>
  <c r="K62" i="20" s="1"/>
  <c r="K63" i="20" a="1"/>
  <c r="K63" i="20" s="1"/>
  <c r="K64" i="20" a="1"/>
  <c r="K64" i="20" s="1"/>
  <c r="K65" i="20" a="1"/>
  <c r="K65" i="20" s="1"/>
  <c r="K66" i="20" a="1"/>
  <c r="K66" i="20" s="1"/>
  <c r="Y62" i="20" a="1"/>
  <c r="Y62" i="20" s="1"/>
  <c r="Y63" i="20" a="1"/>
  <c r="Y63" i="20" s="1"/>
  <c r="Y64" i="20" a="1"/>
  <c r="Y64" i="20" s="1"/>
  <c r="Y65" i="20" a="1"/>
  <c r="Y65" i="20" s="1"/>
  <c r="Y66" i="20" a="1"/>
  <c r="Y66" i="20" s="1"/>
  <c r="AA62" i="20" a="1"/>
  <c r="AA62" i="20" s="1"/>
  <c r="AA63" i="20" a="1"/>
  <c r="AA63" i="20" s="1"/>
  <c r="AA64" i="20" a="1"/>
  <c r="AA64" i="20" s="1"/>
  <c r="AA65" i="20" a="1"/>
  <c r="AA65" i="20" s="1"/>
  <c r="AA66" i="20" a="1"/>
  <c r="AA66" i="20" s="1"/>
  <c r="AG62" i="20"/>
  <c r="AG63" i="20"/>
  <c r="AG64" i="20"/>
  <c r="AG65" i="20"/>
  <c r="AG66" i="20"/>
  <c r="AH62" i="20" a="1"/>
  <c r="AH62" i="20" s="1"/>
  <c r="AI62" i="20" s="1" a="1"/>
  <c r="AI62" i="20" s="1"/>
  <c r="AH63" i="20" a="1"/>
  <c r="AH63" i="20" s="1"/>
  <c r="AI63" i="20" s="1" a="1"/>
  <c r="AI63" i="20" s="1"/>
  <c r="AK63" i="20" s="1" a="1"/>
  <c r="AK63" i="20" s="1"/>
  <c r="AH64" i="20" a="1"/>
  <c r="AH64" i="20" s="1"/>
  <c r="AI64" i="20" s="1" a="1"/>
  <c r="AI64" i="20" s="1"/>
  <c r="AH65" i="20" a="1"/>
  <c r="AH65" i="20" s="1"/>
  <c r="AI65" i="20" s="1" a="1"/>
  <c r="AI65" i="20" s="1"/>
  <c r="AH66" i="20" a="1"/>
  <c r="AH66" i="20" s="1"/>
  <c r="AI66" i="20" s="1" a="1"/>
  <c r="AI66" i="20" s="1"/>
  <c r="AN62" i="20"/>
  <c r="AN63" i="20"/>
  <c r="AN64" i="20"/>
  <c r="AN65" i="20"/>
  <c r="AN66" i="20"/>
  <c r="AO62" i="20" a="1"/>
  <c r="AO62" i="20" s="1"/>
  <c r="AO63" i="20" a="1"/>
  <c r="AO63" i="20" s="1"/>
  <c r="AO64" i="20" a="1"/>
  <c r="AO64" i="20" s="1"/>
  <c r="AO65" i="20" a="1"/>
  <c r="AO65" i="20" s="1"/>
  <c r="AO66" i="20" a="1"/>
  <c r="AO66" i="20" s="1"/>
  <c r="I20" i="24" a="1"/>
  <c r="J20" i="24" a="1"/>
  <c r="K20" i="24" a="1"/>
  <c r="AR5" i="3" l="1" a="1"/>
  <c r="AR5" i="3" s="1"/>
  <c r="AR6" i="3" s="1" a="1"/>
  <c r="AR6" i="3" s="1"/>
  <c r="AR7" i="3" s="1" a="1"/>
  <c r="AR7" i="3" s="1"/>
  <c r="AR8" i="3" s="1" a="1"/>
  <c r="AR8" i="3" s="1"/>
  <c r="AR9" i="3" s="1" a="1"/>
  <c r="AR9" i="3" s="1"/>
  <c r="AR10" i="3" s="1" a="1"/>
  <c r="AR10" i="3" s="1"/>
  <c r="AR11" i="3" s="1" a="1"/>
  <c r="AR11" i="3" s="1"/>
  <c r="AR12" i="3" s="1" a="1"/>
  <c r="AR12" i="3" s="1"/>
  <c r="AR13" i="3" s="1" a="1"/>
  <c r="AR13" i="3" s="1"/>
  <c r="AR14" i="3" s="1" a="1"/>
  <c r="AR14" i="3" s="1"/>
  <c r="AR15" i="3" s="1" a="1"/>
  <c r="AR15" i="3" s="1"/>
  <c r="AR16" i="3" s="1" a="1"/>
  <c r="AR16" i="3" s="1"/>
  <c r="J20" i="24"/>
  <c r="O20" i="24" s="1"/>
  <c r="I20" i="24"/>
  <c r="K20" i="24"/>
  <c r="M20" i="24" s="1"/>
  <c r="AJ62" i="20" a="1"/>
  <c r="AJ62" i="20" s="1"/>
  <c r="AK62" i="20" a="1"/>
  <c r="AK62" i="20" s="1"/>
  <c r="AK66" i="20" a="1"/>
  <c r="AK66" i="20" s="1"/>
  <c r="AJ66" i="20" a="1"/>
  <c r="AJ66" i="20" s="1"/>
  <c r="AK65" i="20" a="1"/>
  <c r="AK65" i="20" s="1"/>
  <c r="AJ65" i="20" a="1"/>
  <c r="AJ65" i="20" s="1"/>
  <c r="AK64" i="20" a="1"/>
  <c r="AK64" i="20" s="1"/>
  <c r="AJ64" i="20" a="1"/>
  <c r="AJ64" i="20" s="1"/>
  <c r="AJ63" i="20" a="1"/>
  <c r="AJ63" i="20" s="1"/>
  <c r="L20" i="24" l="1"/>
  <c r="N20" i="24"/>
  <c r="J23" i="4"/>
  <c r="G23" i="4"/>
  <c r="J22" i="4"/>
  <c r="G22" i="4"/>
  <c r="J21" i="4"/>
  <c r="G21" i="4"/>
  <c r="J20" i="4"/>
  <c r="G20" i="4"/>
  <c r="J19" i="4"/>
  <c r="G19" i="4"/>
  <c r="J18" i="4"/>
  <c r="G18" i="4"/>
  <c r="J17" i="4"/>
  <c r="G17" i="4"/>
  <c r="J16" i="4"/>
  <c r="G16" i="4"/>
  <c r="J15" i="4"/>
  <c r="G15" i="4"/>
  <c r="J14" i="4"/>
  <c r="G14" i="4"/>
  <c r="J13" i="4"/>
  <c r="G13" i="4"/>
  <c r="J12" i="4"/>
  <c r="G12" i="4"/>
  <c r="J11" i="4"/>
  <c r="G11" i="4"/>
  <c r="J10" i="4"/>
  <c r="G10" i="4"/>
  <c r="J9" i="4"/>
  <c r="G9" i="4"/>
  <c r="J8" i="4"/>
  <c r="G8" i="4"/>
  <c r="J7" i="4"/>
  <c r="G7" i="4"/>
  <c r="J6" i="4"/>
  <c r="G6" i="4"/>
  <c r="J5" i="4"/>
  <c r="G5" i="4"/>
  <c r="J4" i="4"/>
  <c r="G4" i="4"/>
  <c r="D187" i="34"/>
  <c r="D185" i="34"/>
  <c r="G162" i="34"/>
  <c r="G159" i="34"/>
  <c r="G123" i="34"/>
  <c r="G59" i="34"/>
  <c r="G53" i="34"/>
  <c r="G17" i="34"/>
  <c r="B2" i="28" a="1"/>
  <c r="P20" i="24" l="1"/>
  <c r="B2" i="28"/>
  <c r="F9" i="10" l="1" a="1"/>
  <c r="F9" i="10" s="1"/>
  <c r="E4" i="20" a="1"/>
  <c r="E4" i="20" s="1"/>
  <c r="G4" i="20" a="1"/>
  <c r="G4" i="20" s="1"/>
  <c r="I4" i="20" a="1"/>
  <c r="I4" i="20" s="1"/>
  <c r="K4" i="20" a="1"/>
  <c r="K4" i="20" s="1"/>
  <c r="V4" i="20" a="1"/>
  <c r="V4" i="20" s="1"/>
  <c r="Y4" i="20" a="1"/>
  <c r="Y4" i="20" s="1"/>
  <c r="AA4" i="20" a="1"/>
  <c r="AA4" i="20" s="1"/>
  <c r="AG4" i="20"/>
  <c r="AH4" i="20" a="1"/>
  <c r="AH4" i="20" s="1"/>
  <c r="AI4" i="20" s="1" a="1"/>
  <c r="AI4" i="20" s="1"/>
  <c r="AN4" i="20"/>
  <c r="AO4" i="20" a="1"/>
  <c r="AO4" i="20" s="1"/>
  <c r="B27" i="29"/>
  <c r="B10" i="29"/>
  <c r="O5" i="9" a="1"/>
  <c r="O5" i="9" s="1"/>
  <c r="O6" i="9" a="1"/>
  <c r="O6" i="9" s="1"/>
  <c r="O7" i="9" a="1"/>
  <c r="O7" i="9" s="1"/>
  <c r="O8" i="9" a="1"/>
  <c r="O8" i="9" s="1"/>
  <c r="O9" i="9" a="1"/>
  <c r="O9" i="9" s="1"/>
  <c r="O12" i="9" a="1"/>
  <c r="O12" i="9" s="1"/>
  <c r="O13" i="9" a="1"/>
  <c r="O13" i="9" s="1"/>
  <c r="O16" i="9" a="1"/>
  <c r="O16" i="9" s="1"/>
  <c r="O20" i="9" a="1"/>
  <c r="O20" i="9" s="1"/>
  <c r="O25" i="9" a="1"/>
  <c r="O25" i="9" s="1"/>
  <c r="O26" i="9" a="1"/>
  <c r="O26" i="9" s="1"/>
  <c r="O34" i="9" a="1"/>
  <c r="O34" i="9" s="1"/>
  <c r="O41" i="9" a="1"/>
  <c r="O41" i="9" s="1"/>
  <c r="O42" i="9" a="1"/>
  <c r="O42" i="9" s="1"/>
  <c r="K106" i="28" a="1"/>
  <c r="AK4" i="20" l="1" a="1"/>
  <c r="AK4" i="20" s="1"/>
  <c r="AJ4" i="20" a="1"/>
  <c r="AJ4" i="20" s="1"/>
  <c r="K106" i="28"/>
  <c r="A190" i="34" a="1"/>
  <c r="A190" i="34" s="1"/>
  <c r="I190" i="34"/>
  <c r="J190" i="34"/>
  <c r="K190" i="34"/>
  <c r="M190" i="34" a="1"/>
  <c r="M190" i="34" s="1"/>
  <c r="A176" i="34" a="1"/>
  <c r="A176" i="34" s="1"/>
  <c r="I176" i="34"/>
  <c r="J176" i="34"/>
  <c r="K176" i="34"/>
  <c r="M176" i="34" a="1"/>
  <c r="M176" i="34" s="1"/>
  <c r="Q131" i="34" a="1"/>
  <c r="Q162" i="34" a="1"/>
  <c r="Q134" i="34" a="1"/>
  <c r="Q168" i="34" a="1"/>
  <c r="Q180" i="34" a="1"/>
  <c r="Q147" i="34" a="1"/>
  <c r="I106" i="28" a="1"/>
  <c r="Q187" i="34" a="1"/>
  <c r="Q178" i="34" a="1"/>
  <c r="Q191" i="34" a="1"/>
  <c r="Q182" i="34" a="1"/>
  <c r="Q142" i="34" a="1"/>
  <c r="Q165" i="34" a="1"/>
  <c r="Q175" i="34" a="1"/>
  <c r="H3" i="3" a="1"/>
  <c r="Q185" i="34" a="1"/>
  <c r="Q153" i="34" a="1"/>
  <c r="Q172" i="34" a="1"/>
  <c r="Q159" i="34" a="1"/>
  <c r="Q145" i="34" a="1"/>
  <c r="Q192" i="34" a="1"/>
  <c r="Q129" i="34" a="1"/>
  <c r="Q156" i="34" a="1"/>
  <c r="Q149" i="34" a="1"/>
  <c r="Q138" i="34" a="1"/>
  <c r="K165" i="28" a="1"/>
  <c r="I106" i="28" l="1"/>
  <c r="E106" i="28"/>
  <c r="F106" i="28"/>
  <c r="G106" i="28"/>
  <c r="K165" i="28"/>
  <c r="H3" i="3"/>
  <c r="B190" i="34" a="1"/>
  <c r="B190" i="34" s="1"/>
  <c r="B176" i="34" a="1"/>
  <c r="B176" i="34" s="1"/>
  <c r="Q192" i="34"/>
  <c r="Q191" i="34"/>
  <c r="Q187" i="34"/>
  <c r="Q185" i="34"/>
  <c r="Q182" i="34"/>
  <c r="Q180" i="34"/>
  <c r="Q178" i="34"/>
  <c r="Q175" i="34"/>
  <c r="Q172" i="34"/>
  <c r="Q168" i="34"/>
  <c r="Q165" i="34"/>
  <c r="Q162" i="34"/>
  <c r="Q159" i="34"/>
  <c r="Q156" i="34"/>
  <c r="Q153" i="34"/>
  <c r="Q149" i="34"/>
  <c r="Q147" i="34"/>
  <c r="Q145" i="34"/>
  <c r="Q142" i="34"/>
  <c r="Q138" i="34"/>
  <c r="Q134" i="34"/>
  <c r="Q131" i="34"/>
  <c r="Q129" i="34"/>
  <c r="B106" i="28" a="1"/>
  <c r="B106" i="28" l="1"/>
  <c r="F127" i="34"/>
  <c r="F126" i="34"/>
  <c r="F125" i="34"/>
  <c r="F124" i="34"/>
  <c r="F121" i="34"/>
  <c r="F120" i="34"/>
  <c r="F119" i="34"/>
  <c r="F118" i="34"/>
  <c r="F117" i="34"/>
  <c r="F116" i="34"/>
  <c r="F115" i="34"/>
  <c r="F114" i="34"/>
  <c r="F113" i="34"/>
  <c r="F112" i="34"/>
  <c r="F109" i="34"/>
  <c r="F108" i="34"/>
  <c r="F107" i="34"/>
  <c r="F106" i="34"/>
  <c r="F105" i="34"/>
  <c r="F104" i="34"/>
  <c r="F100" i="34"/>
  <c r="F99" i="34"/>
  <c r="F98" i="34"/>
  <c r="F97" i="34"/>
  <c r="F96" i="34"/>
  <c r="F95" i="34"/>
  <c r="F94" i="34"/>
  <c r="F93" i="34"/>
  <c r="F92" i="34"/>
  <c r="F91" i="34"/>
  <c r="F90" i="34"/>
  <c r="F89" i="34"/>
  <c r="F88" i="34"/>
  <c r="F87" i="34"/>
  <c r="F86" i="34"/>
  <c r="F85" i="34"/>
  <c r="F84" i="34"/>
  <c r="F83" i="34"/>
  <c r="F82" i="34"/>
  <c r="F81" i="34"/>
  <c r="F78" i="34"/>
  <c r="F77" i="34"/>
  <c r="F76" i="34"/>
  <c r="F74" i="34"/>
  <c r="F73" i="34"/>
  <c r="F72" i="34"/>
  <c r="F69" i="34"/>
  <c r="F68" i="34"/>
  <c r="F67" i="34"/>
  <c r="F66" i="34"/>
  <c r="F63" i="34"/>
  <c r="F62" i="34"/>
  <c r="F61" i="34"/>
  <c r="F60" i="34"/>
  <c r="F57" i="34"/>
  <c r="F56" i="34"/>
  <c r="F55" i="34"/>
  <c r="F54" i="34"/>
  <c r="F51" i="34"/>
  <c r="F50" i="34"/>
  <c r="F49" i="34"/>
  <c r="F48" i="34"/>
  <c r="F47" i="34"/>
  <c r="F46" i="34"/>
  <c r="F40" i="34"/>
  <c r="F39" i="34"/>
  <c r="F38" i="34"/>
  <c r="F37" i="34"/>
  <c r="F36" i="34"/>
  <c r="F35" i="34"/>
  <c r="F34" i="34"/>
  <c r="F33" i="34"/>
  <c r="F32" i="34"/>
  <c r="F31" i="34"/>
  <c r="F30" i="34"/>
  <c r="F29" i="34"/>
  <c r="F28" i="34"/>
  <c r="F27" i="34"/>
  <c r="F26" i="34"/>
  <c r="F25" i="34"/>
  <c r="F24" i="34"/>
  <c r="F21" i="34"/>
  <c r="F20" i="34"/>
  <c r="F19" i="34"/>
  <c r="F18" i="34"/>
  <c r="F15" i="34"/>
  <c r="F14" i="34"/>
  <c r="F13" i="34"/>
  <c r="F11" i="34"/>
  <c r="F10" i="34"/>
  <c r="F9" i="34"/>
  <c r="A103" i="34" a="1"/>
  <c r="A103" i="34" s="1"/>
  <c r="B103" i="34" s="1" a="1"/>
  <c r="B103" i="34" s="1"/>
  <c r="A104" i="34" a="1"/>
  <c r="A104" i="34" s="1"/>
  <c r="B104" i="34" s="1" a="1"/>
  <c r="B104" i="34" s="1"/>
  <c r="A105" i="34" a="1"/>
  <c r="A105" i="34" s="1"/>
  <c r="B105" i="34" s="1" a="1"/>
  <c r="B105" i="34" s="1"/>
  <c r="A106" i="34" a="1"/>
  <c r="A106" i="34" s="1"/>
  <c r="B106" i="34" s="1" a="1"/>
  <c r="B106" i="34" s="1"/>
  <c r="A107" i="34" a="1"/>
  <c r="A107" i="34" s="1"/>
  <c r="B107" i="34" s="1" a="1"/>
  <c r="B107" i="34" s="1"/>
  <c r="A108" i="34" a="1"/>
  <c r="A108" i="34" s="1"/>
  <c r="B108" i="34" s="1" a="1"/>
  <c r="B108" i="34" s="1"/>
  <c r="A109" i="34" a="1"/>
  <c r="A109" i="34" s="1"/>
  <c r="A110" i="34" a="1"/>
  <c r="A110" i="34" s="1"/>
  <c r="B110" i="34" s="1" a="1"/>
  <c r="B110" i="34" s="1"/>
  <c r="A112" i="34" a="1"/>
  <c r="A112" i="34" s="1"/>
  <c r="A113" i="34" a="1"/>
  <c r="A113" i="34" s="1"/>
  <c r="A114" i="34" a="1"/>
  <c r="A114" i="34" s="1"/>
  <c r="B114" i="34" s="1" a="1"/>
  <c r="B114" i="34" s="1"/>
  <c r="A115" i="34" a="1"/>
  <c r="A115" i="34" s="1"/>
  <c r="A116" i="34" a="1"/>
  <c r="A116" i="34" s="1"/>
  <c r="A117" i="34" a="1"/>
  <c r="A117" i="34" s="1"/>
  <c r="B117" i="34" s="1" a="1"/>
  <c r="B117" i="34" s="1"/>
  <c r="A118" i="34" a="1"/>
  <c r="A118" i="34" s="1"/>
  <c r="A119" i="34" a="1"/>
  <c r="A119" i="34" s="1"/>
  <c r="B119" i="34" s="1" a="1"/>
  <c r="B119" i="34" s="1"/>
  <c r="A120" i="34" a="1"/>
  <c r="A120" i="34" s="1"/>
  <c r="B120" i="34" s="1" a="1"/>
  <c r="B120" i="34" s="1"/>
  <c r="A121" i="34" a="1"/>
  <c r="A121" i="34" s="1"/>
  <c r="B121" i="34" s="1" a="1"/>
  <c r="B121" i="34" s="1"/>
  <c r="A122" i="34" a="1"/>
  <c r="A122" i="34" s="1"/>
  <c r="B122" i="34" s="1" a="1"/>
  <c r="B122" i="34" s="1"/>
  <c r="A124" i="34" a="1"/>
  <c r="A124" i="34" s="1"/>
  <c r="B124" i="34" s="1" a="1"/>
  <c r="B124" i="34" s="1"/>
  <c r="A125" i="34" a="1"/>
  <c r="A125" i="34" s="1"/>
  <c r="A126" i="34" a="1"/>
  <c r="A126" i="34" s="1"/>
  <c r="A127" i="34" a="1"/>
  <c r="A127" i="34" s="1"/>
  <c r="B127" i="34" s="1" a="1"/>
  <c r="B127" i="34" s="1"/>
  <c r="A128" i="34" a="1"/>
  <c r="A128" i="34" s="1"/>
  <c r="B128" i="34" s="1" a="1"/>
  <c r="B128" i="34" s="1"/>
  <c r="A130" i="34" a="1"/>
  <c r="A130" i="34" s="1"/>
  <c r="A132" i="34" a="1"/>
  <c r="A132" i="34" s="1"/>
  <c r="B132" i="34" s="1" a="1"/>
  <c r="B132" i="34" s="1"/>
  <c r="A133" i="34" a="1"/>
  <c r="A133" i="34" s="1"/>
  <c r="A135" i="34" a="1"/>
  <c r="A135" i="34" s="1"/>
  <c r="B135" i="34" s="1" a="1"/>
  <c r="B135" i="34" s="1"/>
  <c r="A136" i="34" a="1"/>
  <c r="A136" i="34" s="1"/>
  <c r="B136" i="34" s="1" a="1"/>
  <c r="B136" i="34" s="1"/>
  <c r="A137" i="34" a="1"/>
  <c r="A137" i="34" s="1"/>
  <c r="A139" i="34" a="1"/>
  <c r="A139" i="34" s="1"/>
  <c r="A140" i="34" a="1"/>
  <c r="A140" i="34" s="1"/>
  <c r="A141" i="34" a="1"/>
  <c r="A141" i="34" s="1"/>
  <c r="B141" i="34" s="1" a="1"/>
  <c r="B141" i="34" s="1"/>
  <c r="A143" i="34" a="1"/>
  <c r="A143" i="34" s="1"/>
  <c r="B143" i="34" s="1" a="1"/>
  <c r="B143" i="34" s="1"/>
  <c r="A144" i="34" a="1"/>
  <c r="A144" i="34" s="1"/>
  <c r="B144" i="34" s="1" a="1"/>
  <c r="B144" i="34" s="1"/>
  <c r="A146" i="34" a="1"/>
  <c r="A146" i="34" s="1"/>
  <c r="A148" i="34" a="1"/>
  <c r="A148" i="34" s="1"/>
  <c r="B148" i="34" s="1" a="1"/>
  <c r="B148" i="34" s="1"/>
  <c r="A150" i="34" a="1"/>
  <c r="A150" i="34" s="1"/>
  <c r="B150" i="34" s="1" a="1"/>
  <c r="B150" i="34" s="1"/>
  <c r="A151" i="34" a="1"/>
  <c r="A151" i="34" s="1"/>
  <c r="B151" i="34" s="1" a="1"/>
  <c r="B151" i="34" s="1"/>
  <c r="A152" i="34" a="1"/>
  <c r="A152" i="34" s="1"/>
  <c r="B152" i="34" s="1" a="1"/>
  <c r="B152" i="34" s="1"/>
  <c r="A154" i="34" a="1"/>
  <c r="A154" i="34" s="1"/>
  <c r="A155" i="34" a="1"/>
  <c r="A155" i="34" s="1"/>
  <c r="B155" i="34" s="1" a="1"/>
  <c r="B155" i="34" s="1"/>
  <c r="A157" i="34" a="1"/>
  <c r="A157" i="34" s="1"/>
  <c r="B157" i="34" s="1" a="1"/>
  <c r="B157" i="34" s="1"/>
  <c r="A158" i="34" a="1"/>
  <c r="A158" i="34" s="1"/>
  <c r="A160" i="34" a="1"/>
  <c r="A160" i="34" s="1"/>
  <c r="A161" i="34" a="1"/>
  <c r="A161" i="34" s="1"/>
  <c r="A163" i="34" a="1"/>
  <c r="A163" i="34" s="1"/>
  <c r="B163" i="34" s="1" a="1"/>
  <c r="B163" i="34" s="1"/>
  <c r="A164" i="34" a="1"/>
  <c r="A164" i="34" s="1"/>
  <c r="B164" i="34" s="1" a="1"/>
  <c r="B164" i="34" s="1"/>
  <c r="A166" i="34" a="1"/>
  <c r="A166" i="34" s="1"/>
  <c r="B166" i="34" s="1" a="1"/>
  <c r="B166" i="34" s="1"/>
  <c r="A167" i="34" a="1"/>
  <c r="A167" i="34" s="1"/>
  <c r="B167" i="34" s="1" a="1"/>
  <c r="B167" i="34" s="1"/>
  <c r="A169" i="34" a="1"/>
  <c r="A169" i="34" s="1"/>
  <c r="A170" i="34" a="1"/>
  <c r="A170" i="34" s="1"/>
  <c r="B170" i="34" s="1" a="1"/>
  <c r="B170" i="34" s="1"/>
  <c r="A171" i="34" a="1"/>
  <c r="A171" i="34" s="1"/>
  <c r="B171" i="34" s="1" a="1"/>
  <c r="B171" i="34" s="1"/>
  <c r="A173" i="34" a="1"/>
  <c r="A173" i="34" s="1"/>
  <c r="B173" i="34" s="1" a="1"/>
  <c r="B173" i="34" s="1"/>
  <c r="A174" i="34" a="1"/>
  <c r="A174" i="34" s="1"/>
  <c r="B174" i="34" s="1" a="1"/>
  <c r="B174" i="34" s="1"/>
  <c r="A177" i="34" a="1"/>
  <c r="A177" i="34" s="1"/>
  <c r="B177" i="34" s="1" a="1"/>
  <c r="B177" i="34" s="1"/>
  <c r="A179" i="34" a="1"/>
  <c r="A179" i="34" s="1"/>
  <c r="B179" i="34" s="1" a="1"/>
  <c r="B179" i="34" s="1"/>
  <c r="A181" i="34" a="1"/>
  <c r="A181" i="34" s="1"/>
  <c r="B181" i="34" s="1" a="1"/>
  <c r="B181" i="34" s="1"/>
  <c r="A183" i="34" a="1"/>
  <c r="A183" i="34" s="1"/>
  <c r="B183" i="34" s="1" a="1"/>
  <c r="B183" i="34" s="1"/>
  <c r="A184" i="34" a="1"/>
  <c r="A184" i="34" s="1"/>
  <c r="B184" i="34" s="1" a="1"/>
  <c r="B184" i="34" s="1"/>
  <c r="A186" i="34" a="1"/>
  <c r="A186" i="34" s="1"/>
  <c r="B186" i="34" s="1" a="1"/>
  <c r="B186" i="34" s="1"/>
  <c r="A188" i="34" a="1"/>
  <c r="A188" i="34" s="1"/>
  <c r="B188" i="34" s="1" a="1"/>
  <c r="B188" i="34" s="1"/>
  <c r="A189" i="34" a="1"/>
  <c r="A189" i="34" s="1"/>
  <c r="I103" i="34"/>
  <c r="I104" i="34"/>
  <c r="I105" i="34"/>
  <c r="I106" i="34"/>
  <c r="I107" i="34"/>
  <c r="I108" i="34"/>
  <c r="I109" i="34"/>
  <c r="I110" i="34"/>
  <c r="I112" i="34"/>
  <c r="I113" i="34"/>
  <c r="I114" i="34"/>
  <c r="I115" i="34"/>
  <c r="I116" i="34"/>
  <c r="I117" i="34"/>
  <c r="I118" i="34"/>
  <c r="I119" i="34"/>
  <c r="I120" i="34"/>
  <c r="I121" i="34"/>
  <c r="I122" i="34"/>
  <c r="I124" i="34"/>
  <c r="I125" i="34"/>
  <c r="I126" i="34"/>
  <c r="I127" i="34"/>
  <c r="I128" i="34"/>
  <c r="I129" i="34"/>
  <c r="I130" i="34"/>
  <c r="I131" i="34"/>
  <c r="I132" i="34"/>
  <c r="I133" i="34"/>
  <c r="I134" i="34"/>
  <c r="I135" i="34"/>
  <c r="I136" i="34"/>
  <c r="I137" i="34"/>
  <c r="I138" i="34"/>
  <c r="I139" i="34"/>
  <c r="I140" i="34"/>
  <c r="I141" i="34"/>
  <c r="I142" i="34"/>
  <c r="I143" i="34"/>
  <c r="I144" i="34"/>
  <c r="I145" i="34"/>
  <c r="I146" i="34"/>
  <c r="I147" i="34"/>
  <c r="I148" i="34"/>
  <c r="I149" i="34"/>
  <c r="I150" i="34"/>
  <c r="I151" i="34"/>
  <c r="I152" i="34"/>
  <c r="I153" i="34"/>
  <c r="I154" i="34"/>
  <c r="I155" i="34"/>
  <c r="I156" i="34"/>
  <c r="I157" i="34"/>
  <c r="I158" i="34"/>
  <c r="I159" i="34"/>
  <c r="I160" i="34"/>
  <c r="I161" i="34"/>
  <c r="I162" i="34"/>
  <c r="I163" i="34"/>
  <c r="I164" i="34"/>
  <c r="I165" i="34"/>
  <c r="I166" i="34"/>
  <c r="I167" i="34"/>
  <c r="I168" i="34"/>
  <c r="I169" i="34"/>
  <c r="I170" i="34"/>
  <c r="I171" i="34"/>
  <c r="I172" i="34"/>
  <c r="I173" i="34"/>
  <c r="I174" i="34"/>
  <c r="I175" i="34"/>
  <c r="I177" i="34"/>
  <c r="I178" i="34"/>
  <c r="I179" i="34"/>
  <c r="I180" i="34"/>
  <c r="I181" i="34"/>
  <c r="I182" i="34"/>
  <c r="I183" i="34"/>
  <c r="I184" i="34"/>
  <c r="I185" i="34"/>
  <c r="I186" i="34"/>
  <c r="I187" i="34"/>
  <c r="I188" i="34"/>
  <c r="I189" i="34"/>
  <c r="I191" i="34"/>
  <c r="I192" i="34"/>
  <c r="J103" i="34"/>
  <c r="J104" i="34"/>
  <c r="J105" i="34"/>
  <c r="J106" i="34"/>
  <c r="J107" i="34"/>
  <c r="J108" i="34"/>
  <c r="J109" i="34"/>
  <c r="J110" i="34"/>
  <c r="J112" i="34"/>
  <c r="J113" i="34"/>
  <c r="J114" i="34"/>
  <c r="J115" i="34"/>
  <c r="J116" i="34"/>
  <c r="J117" i="34"/>
  <c r="J118" i="34"/>
  <c r="J119" i="34"/>
  <c r="J120" i="34"/>
  <c r="J121" i="34"/>
  <c r="J122" i="34"/>
  <c r="J124" i="34"/>
  <c r="J125" i="34"/>
  <c r="J126" i="34"/>
  <c r="J127" i="34"/>
  <c r="J128" i="34"/>
  <c r="J129" i="34"/>
  <c r="J130" i="34"/>
  <c r="J131" i="34"/>
  <c r="J132" i="34"/>
  <c r="J133" i="34"/>
  <c r="J134" i="34"/>
  <c r="J135" i="34"/>
  <c r="J136" i="34"/>
  <c r="J137" i="34"/>
  <c r="J138" i="34"/>
  <c r="J139" i="34"/>
  <c r="J140" i="34"/>
  <c r="J141" i="34"/>
  <c r="J142" i="34"/>
  <c r="J143" i="34"/>
  <c r="J144" i="34"/>
  <c r="J145" i="34"/>
  <c r="J146" i="34"/>
  <c r="J147" i="34"/>
  <c r="J148" i="34"/>
  <c r="J149" i="34"/>
  <c r="J150" i="34"/>
  <c r="J151" i="34"/>
  <c r="J152" i="34"/>
  <c r="J153" i="34"/>
  <c r="J154" i="34"/>
  <c r="J155" i="34"/>
  <c r="J156" i="34"/>
  <c r="J157" i="34"/>
  <c r="J158" i="34"/>
  <c r="J159" i="34"/>
  <c r="J160" i="34"/>
  <c r="J161" i="34"/>
  <c r="J162" i="34"/>
  <c r="J163" i="34"/>
  <c r="J164" i="34"/>
  <c r="J165" i="34"/>
  <c r="J166" i="34"/>
  <c r="J167" i="34"/>
  <c r="J168" i="34"/>
  <c r="J169" i="34"/>
  <c r="J170" i="34"/>
  <c r="J171" i="34"/>
  <c r="J172" i="34"/>
  <c r="J173" i="34"/>
  <c r="J174" i="34"/>
  <c r="J175" i="34"/>
  <c r="J177" i="34"/>
  <c r="J178" i="34"/>
  <c r="J179" i="34"/>
  <c r="J180" i="34"/>
  <c r="J181" i="34"/>
  <c r="J182" i="34"/>
  <c r="J183" i="34"/>
  <c r="J184" i="34"/>
  <c r="J185" i="34"/>
  <c r="J186" i="34"/>
  <c r="J187" i="34"/>
  <c r="J188" i="34"/>
  <c r="J189" i="34"/>
  <c r="J191" i="34"/>
  <c r="J192" i="34"/>
  <c r="K103" i="34"/>
  <c r="K104" i="34"/>
  <c r="K105" i="34"/>
  <c r="K106" i="34"/>
  <c r="K107" i="34"/>
  <c r="K108" i="34"/>
  <c r="K109" i="34"/>
  <c r="K110" i="34"/>
  <c r="K112" i="34"/>
  <c r="K113" i="34"/>
  <c r="K114" i="34"/>
  <c r="K115" i="34"/>
  <c r="K116" i="34"/>
  <c r="K117" i="34"/>
  <c r="K118" i="34"/>
  <c r="K119" i="34"/>
  <c r="K120" i="34"/>
  <c r="K121" i="34"/>
  <c r="K122" i="34"/>
  <c r="K124" i="34"/>
  <c r="K125" i="34"/>
  <c r="K126" i="34"/>
  <c r="K127" i="34"/>
  <c r="K128" i="34"/>
  <c r="K129" i="34"/>
  <c r="K130" i="34"/>
  <c r="K131" i="34"/>
  <c r="K132" i="34"/>
  <c r="K133" i="34"/>
  <c r="K134" i="34"/>
  <c r="K135" i="34"/>
  <c r="K136" i="34"/>
  <c r="K137" i="34"/>
  <c r="K138" i="34"/>
  <c r="K139" i="34"/>
  <c r="K140" i="34"/>
  <c r="K141" i="34"/>
  <c r="K142" i="34"/>
  <c r="K143" i="34"/>
  <c r="K144" i="34"/>
  <c r="K145" i="34"/>
  <c r="K146" i="34"/>
  <c r="K147" i="34"/>
  <c r="K148" i="34"/>
  <c r="K149" i="34"/>
  <c r="K150" i="34"/>
  <c r="K151" i="34"/>
  <c r="K152" i="34"/>
  <c r="K153" i="34"/>
  <c r="K154" i="34"/>
  <c r="K155" i="34"/>
  <c r="K156" i="34"/>
  <c r="K157" i="34"/>
  <c r="K158" i="34"/>
  <c r="K159" i="34"/>
  <c r="K160" i="34"/>
  <c r="K161" i="34"/>
  <c r="K162" i="34"/>
  <c r="K163" i="34"/>
  <c r="K164" i="34"/>
  <c r="K165" i="34"/>
  <c r="K166" i="34"/>
  <c r="K167" i="34"/>
  <c r="K168" i="34"/>
  <c r="K169" i="34"/>
  <c r="K170" i="34"/>
  <c r="K171" i="34"/>
  <c r="K172" i="34"/>
  <c r="K173" i="34"/>
  <c r="K174" i="34"/>
  <c r="K175" i="34"/>
  <c r="K177" i="34"/>
  <c r="K178" i="34"/>
  <c r="K179" i="34"/>
  <c r="K180" i="34"/>
  <c r="K181" i="34"/>
  <c r="K182" i="34"/>
  <c r="K183" i="34"/>
  <c r="K184" i="34"/>
  <c r="K185" i="34"/>
  <c r="K186" i="34"/>
  <c r="K187" i="34"/>
  <c r="K188" i="34"/>
  <c r="K189" i="34"/>
  <c r="K191" i="34"/>
  <c r="K192" i="34"/>
  <c r="M103" i="34" a="1"/>
  <c r="M103" i="34" s="1"/>
  <c r="M104" i="34" a="1"/>
  <c r="M104" i="34" s="1"/>
  <c r="M105" i="34" a="1"/>
  <c r="M105" i="34" s="1"/>
  <c r="M106" i="34" a="1"/>
  <c r="M106" i="34" s="1"/>
  <c r="M107" i="34" a="1"/>
  <c r="M107" i="34" s="1"/>
  <c r="M108" i="34" a="1"/>
  <c r="M108" i="34" s="1"/>
  <c r="M109" i="34" a="1"/>
  <c r="M109" i="34" s="1"/>
  <c r="M110" i="34" a="1"/>
  <c r="M110" i="34" s="1"/>
  <c r="M112" i="34" a="1"/>
  <c r="M112" i="34" s="1"/>
  <c r="M113" i="34" a="1"/>
  <c r="M113" i="34" s="1"/>
  <c r="M114" i="34" a="1"/>
  <c r="M114" i="34" s="1"/>
  <c r="M115" i="34" a="1"/>
  <c r="M115" i="34" s="1"/>
  <c r="M116" i="34" a="1"/>
  <c r="M116" i="34" s="1"/>
  <c r="M117" i="34" a="1"/>
  <c r="M117" i="34" s="1"/>
  <c r="M118" i="34" a="1"/>
  <c r="M118" i="34" s="1"/>
  <c r="M119" i="34" a="1"/>
  <c r="M119" i="34" s="1"/>
  <c r="M120" i="34" a="1"/>
  <c r="M120" i="34" s="1"/>
  <c r="M121" i="34" a="1"/>
  <c r="M121" i="34" s="1"/>
  <c r="M122" i="34" a="1"/>
  <c r="M122" i="34" s="1"/>
  <c r="M124" i="34" a="1"/>
  <c r="M124" i="34" s="1"/>
  <c r="M125" i="34" a="1"/>
  <c r="M125" i="34" s="1"/>
  <c r="M126" i="34" a="1"/>
  <c r="M126" i="34" s="1"/>
  <c r="M127" i="34" a="1"/>
  <c r="M127" i="34" s="1"/>
  <c r="M128" i="34" a="1"/>
  <c r="M128" i="34" s="1"/>
  <c r="M130" i="34" a="1"/>
  <c r="M130" i="34" s="1"/>
  <c r="M132" i="34" a="1"/>
  <c r="M132" i="34" s="1"/>
  <c r="M133" i="34" a="1"/>
  <c r="M133" i="34" s="1"/>
  <c r="M135" i="34" a="1"/>
  <c r="M135" i="34" s="1"/>
  <c r="M136" i="34" a="1"/>
  <c r="M136" i="34" s="1"/>
  <c r="M137" i="34" a="1"/>
  <c r="M137" i="34" s="1"/>
  <c r="M139" i="34" a="1"/>
  <c r="M139" i="34" s="1"/>
  <c r="M140" i="34" a="1"/>
  <c r="M140" i="34" s="1"/>
  <c r="M141" i="34" a="1"/>
  <c r="M141" i="34" s="1"/>
  <c r="M143" i="34" a="1"/>
  <c r="M143" i="34" s="1"/>
  <c r="M144" i="34" a="1"/>
  <c r="M144" i="34" s="1"/>
  <c r="M146" i="34" a="1"/>
  <c r="M146" i="34" s="1"/>
  <c r="M148" i="34" a="1"/>
  <c r="M148" i="34" s="1"/>
  <c r="M150" i="34" a="1"/>
  <c r="M150" i="34" s="1"/>
  <c r="M151" i="34" a="1"/>
  <c r="M151" i="34" s="1"/>
  <c r="M152" i="34" a="1"/>
  <c r="M152" i="34" s="1"/>
  <c r="M154" i="34" a="1"/>
  <c r="M154" i="34" s="1"/>
  <c r="M155" i="34" a="1"/>
  <c r="M155" i="34" s="1"/>
  <c r="M157" i="34" a="1"/>
  <c r="M157" i="34" s="1"/>
  <c r="M158" i="34" a="1"/>
  <c r="M158" i="34" s="1"/>
  <c r="M160" i="34" a="1"/>
  <c r="M160" i="34" s="1"/>
  <c r="M161" i="34" a="1"/>
  <c r="M161" i="34" s="1"/>
  <c r="M163" i="34" a="1"/>
  <c r="M163" i="34" s="1"/>
  <c r="M164" i="34" a="1"/>
  <c r="M164" i="34" s="1"/>
  <c r="M166" i="34" a="1"/>
  <c r="M166" i="34" s="1"/>
  <c r="M167" i="34" a="1"/>
  <c r="M167" i="34" s="1"/>
  <c r="M169" i="34" a="1"/>
  <c r="M169" i="34" s="1"/>
  <c r="M170" i="34" a="1"/>
  <c r="M170" i="34" s="1"/>
  <c r="M171" i="34" a="1"/>
  <c r="M171" i="34" s="1"/>
  <c r="M173" i="34" a="1"/>
  <c r="M173" i="34" s="1"/>
  <c r="M174" i="34" a="1"/>
  <c r="M174" i="34" s="1"/>
  <c r="M177" i="34" a="1"/>
  <c r="M177" i="34" s="1"/>
  <c r="M179" i="34" a="1"/>
  <c r="M179" i="34" s="1"/>
  <c r="M181" i="34" a="1"/>
  <c r="M181" i="34" s="1"/>
  <c r="M183" i="34" a="1"/>
  <c r="M183" i="34" s="1"/>
  <c r="M184" i="34" a="1"/>
  <c r="M184" i="34" s="1"/>
  <c r="M186" i="34" a="1"/>
  <c r="M186" i="34" s="1"/>
  <c r="M188" i="34" a="1"/>
  <c r="M188" i="34" s="1"/>
  <c r="M189" i="34" a="1"/>
  <c r="M189" i="34" s="1"/>
  <c r="A101" i="34" a="1"/>
  <c r="A101" i="34" s="1"/>
  <c r="B101" i="34" s="1" a="1"/>
  <c r="B101" i="34" s="1"/>
  <c r="I101" i="34"/>
  <c r="J101" i="34"/>
  <c r="K101" i="34"/>
  <c r="M101" i="34" a="1"/>
  <c r="M101" i="34" s="1"/>
  <c r="A66" i="34" a="1"/>
  <c r="A66" i="34" s="1"/>
  <c r="I66" i="34"/>
  <c r="J66" i="34"/>
  <c r="K66" i="34"/>
  <c r="M66" i="34" a="1"/>
  <c r="M66" i="34" s="1"/>
  <c r="A60" i="34" a="1"/>
  <c r="A60" i="34" s="1"/>
  <c r="I60" i="34"/>
  <c r="J60" i="34"/>
  <c r="K60" i="34"/>
  <c r="M60" i="34" a="1"/>
  <c r="M60" i="34" s="1"/>
  <c r="A54" i="34" a="1"/>
  <c r="A54" i="34" s="1"/>
  <c r="I54" i="34"/>
  <c r="J54" i="34"/>
  <c r="K54" i="34"/>
  <c r="M54" i="34" a="1"/>
  <c r="M54" i="34" s="1"/>
  <c r="A18" i="34" a="1"/>
  <c r="A18" i="34" s="1"/>
  <c r="B18" i="34" s="1" a="1"/>
  <c r="B18" i="34" s="1"/>
  <c r="A19" i="34" a="1"/>
  <c r="A19" i="34" s="1"/>
  <c r="A20" i="34" a="1"/>
  <c r="A20" i="34" s="1"/>
  <c r="A21" i="34" a="1"/>
  <c r="A21" i="34" s="1"/>
  <c r="B21" i="34" s="1" a="1"/>
  <c r="B21" i="34" s="1"/>
  <c r="A22" i="34" a="1"/>
  <c r="A22" i="34" s="1"/>
  <c r="A24" i="34" a="1"/>
  <c r="A24" i="34" s="1"/>
  <c r="B24" i="34" s="1" a="1"/>
  <c r="B24" i="34" s="1"/>
  <c r="A25" i="34" a="1"/>
  <c r="A25" i="34" s="1"/>
  <c r="A26" i="34" a="1"/>
  <c r="A26" i="34" s="1"/>
  <c r="B26" i="34" s="1" a="1"/>
  <c r="B26" i="34" s="1"/>
  <c r="A27" i="34" a="1"/>
  <c r="A27" i="34" s="1"/>
  <c r="A28" i="34" a="1"/>
  <c r="A28" i="34" s="1"/>
  <c r="B28" i="34" s="1" a="1"/>
  <c r="B28" i="34" s="1"/>
  <c r="A29" i="34" a="1"/>
  <c r="A29" i="34" s="1"/>
  <c r="B29" i="34" s="1" a="1"/>
  <c r="B29" i="34" s="1"/>
  <c r="A30" i="34" a="1"/>
  <c r="A30" i="34" s="1"/>
  <c r="A31" i="34" a="1"/>
  <c r="A31" i="34" s="1"/>
  <c r="A32" i="34" a="1"/>
  <c r="A32" i="34" s="1"/>
  <c r="A33" i="34" a="1"/>
  <c r="A33" i="34" s="1"/>
  <c r="A34" i="34" a="1"/>
  <c r="A34" i="34" s="1"/>
  <c r="A35" i="34" a="1"/>
  <c r="A35" i="34" s="1"/>
  <c r="B35" i="34" s="1" a="1"/>
  <c r="B35" i="34" s="1"/>
  <c r="A36" i="34" a="1"/>
  <c r="A36" i="34" s="1"/>
  <c r="B36" i="34" s="1" a="1"/>
  <c r="B36" i="34" s="1"/>
  <c r="A37" i="34" a="1"/>
  <c r="A37" i="34" s="1"/>
  <c r="B37" i="34" s="1" a="1"/>
  <c r="B37" i="34" s="1"/>
  <c r="A38" i="34" a="1"/>
  <c r="A38" i="34" s="1"/>
  <c r="B38" i="34" s="1" a="1"/>
  <c r="B38" i="34" s="1"/>
  <c r="A39" i="34" a="1"/>
  <c r="A39" i="34" s="1"/>
  <c r="B39" i="34" s="1" a="1"/>
  <c r="B39" i="34" s="1"/>
  <c r="A40" i="34" a="1"/>
  <c r="A40" i="34" s="1"/>
  <c r="A41" i="34" a="1"/>
  <c r="A41" i="34" s="1"/>
  <c r="A43" i="34" a="1"/>
  <c r="A43" i="34" s="1"/>
  <c r="B43" i="34" s="1" a="1"/>
  <c r="B43" i="34" s="1"/>
  <c r="A45" i="34" a="1"/>
  <c r="A45" i="34" s="1"/>
  <c r="B45" i="34" s="1" a="1"/>
  <c r="B45" i="34" s="1"/>
  <c r="A46" i="34" a="1"/>
  <c r="A46" i="34" s="1"/>
  <c r="B46" i="34" s="1" a="1"/>
  <c r="B46" i="34" s="1"/>
  <c r="A47" i="34" a="1"/>
  <c r="A47" i="34" s="1"/>
  <c r="A48" i="34" a="1"/>
  <c r="A48" i="34" s="1"/>
  <c r="A49" i="34" a="1"/>
  <c r="A49" i="34" s="1"/>
  <c r="A50" i="34" a="1"/>
  <c r="A50" i="34" s="1"/>
  <c r="A51" i="34" a="1"/>
  <c r="A51" i="34" s="1"/>
  <c r="B51" i="34" s="1" a="1"/>
  <c r="B51" i="34" s="1"/>
  <c r="A52" i="34" a="1"/>
  <c r="A52" i="34" s="1"/>
  <c r="B52" i="34" s="1" a="1"/>
  <c r="B52" i="34" s="1"/>
  <c r="A55" i="34" a="1"/>
  <c r="A55" i="34" s="1"/>
  <c r="B55" i="34" s="1" a="1"/>
  <c r="B55" i="34" s="1"/>
  <c r="A56" i="34" a="1"/>
  <c r="A56" i="34" s="1"/>
  <c r="A57" i="34" a="1"/>
  <c r="A57" i="34" s="1"/>
  <c r="A58" i="34" a="1"/>
  <c r="A58" i="34" s="1"/>
  <c r="A61" i="34" a="1"/>
  <c r="A61" i="34" s="1"/>
  <c r="B61" i="34" s="1" a="1"/>
  <c r="B61" i="34" s="1"/>
  <c r="A62" i="34" a="1"/>
  <c r="A62" i="34" s="1"/>
  <c r="B62" i="34" s="1" a="1"/>
  <c r="B62" i="34" s="1"/>
  <c r="A63" i="34" a="1"/>
  <c r="A63" i="34" s="1"/>
  <c r="A64" i="34" a="1"/>
  <c r="A64" i="34" s="1"/>
  <c r="A67" i="34" a="1"/>
  <c r="A67" i="34" s="1"/>
  <c r="A68" i="34" a="1"/>
  <c r="A68" i="34" s="1"/>
  <c r="A69" i="34" a="1"/>
  <c r="A69" i="34" s="1"/>
  <c r="B69" i="34" s="1" a="1"/>
  <c r="B69" i="34" s="1"/>
  <c r="A70" i="34" a="1"/>
  <c r="A70" i="34" s="1"/>
  <c r="B70" i="34" s="1" a="1"/>
  <c r="B70" i="34" s="1"/>
  <c r="A72" i="34" a="1"/>
  <c r="A72" i="34" s="1"/>
  <c r="B72" i="34" s="1" a="1"/>
  <c r="B72" i="34" s="1"/>
  <c r="A73" i="34" a="1"/>
  <c r="A73" i="34" s="1"/>
  <c r="B73" i="34" s="1" a="1"/>
  <c r="B73" i="34" s="1"/>
  <c r="A74" i="34" a="1"/>
  <c r="A74" i="34" s="1"/>
  <c r="A75" i="34" a="1"/>
  <c r="A75" i="34" s="1"/>
  <c r="B75" i="34" s="1" a="1"/>
  <c r="B75" i="34" s="1"/>
  <c r="A77" i="34" a="1"/>
  <c r="A77" i="34" s="1"/>
  <c r="A78" i="34" a="1"/>
  <c r="A78" i="34" s="1"/>
  <c r="A79" i="34" a="1"/>
  <c r="A79" i="34" s="1"/>
  <c r="A81" i="34" a="1"/>
  <c r="A81" i="34" s="1"/>
  <c r="B81" i="34" s="1" a="1"/>
  <c r="B81" i="34" s="1"/>
  <c r="A82" i="34" a="1"/>
  <c r="A82" i="34" s="1"/>
  <c r="A83" i="34" a="1"/>
  <c r="A83" i="34" s="1"/>
  <c r="B83" i="34" s="1" a="1"/>
  <c r="B83" i="34" s="1"/>
  <c r="A84" i="34" a="1"/>
  <c r="A84" i="34" s="1"/>
  <c r="A85" i="34" a="1"/>
  <c r="A85" i="34" s="1"/>
  <c r="A86" i="34" a="1"/>
  <c r="A86" i="34" s="1"/>
  <c r="A87" i="34" a="1"/>
  <c r="A87" i="34" s="1"/>
  <c r="B87" i="34" s="1" a="1"/>
  <c r="B87" i="34" s="1"/>
  <c r="A88" i="34" a="1"/>
  <c r="A88" i="34" s="1"/>
  <c r="B88" i="34" s="1" a="1"/>
  <c r="B88" i="34" s="1"/>
  <c r="A89" i="34" a="1"/>
  <c r="A89" i="34" s="1"/>
  <c r="A90" i="34" a="1"/>
  <c r="A90" i="34" s="1"/>
  <c r="A91" i="34" a="1"/>
  <c r="A91" i="34" s="1"/>
  <c r="A92" i="34" a="1"/>
  <c r="A92" i="34" s="1"/>
  <c r="B92" i="34" s="1" a="1"/>
  <c r="B92" i="34" s="1"/>
  <c r="A93" i="34" a="1"/>
  <c r="A93" i="34" s="1"/>
  <c r="B93" i="34" s="1" a="1"/>
  <c r="B93" i="34" s="1"/>
  <c r="A94" i="34" a="1"/>
  <c r="A94" i="34" s="1"/>
  <c r="A95" i="34" a="1"/>
  <c r="A95" i="34" s="1"/>
  <c r="B95" i="34" s="1" a="1"/>
  <c r="B95" i="34" s="1"/>
  <c r="A96" i="34" a="1"/>
  <c r="A96" i="34" s="1"/>
  <c r="B96" i="34" s="1" a="1"/>
  <c r="B96" i="34" s="1"/>
  <c r="A97" i="34" a="1"/>
  <c r="A97" i="34" s="1"/>
  <c r="B97" i="34" s="1" a="1"/>
  <c r="B97" i="34" s="1"/>
  <c r="A98" i="34" a="1"/>
  <c r="A98" i="34" s="1"/>
  <c r="A99" i="34" a="1"/>
  <c r="A99" i="34" s="1"/>
  <c r="A100" i="34" a="1"/>
  <c r="A100" i="34" s="1"/>
  <c r="B100" i="34" s="1" a="1"/>
  <c r="B100" i="34" s="1"/>
  <c r="I18" i="34"/>
  <c r="I19" i="34"/>
  <c r="I20" i="34"/>
  <c r="I21" i="34"/>
  <c r="I22" i="34"/>
  <c r="I24" i="34"/>
  <c r="I25" i="34"/>
  <c r="I26" i="34"/>
  <c r="I27" i="34"/>
  <c r="I28" i="34"/>
  <c r="I29" i="34"/>
  <c r="I30" i="34"/>
  <c r="I31" i="34"/>
  <c r="I32" i="34"/>
  <c r="I33" i="34"/>
  <c r="I34" i="34"/>
  <c r="I35" i="34"/>
  <c r="I36" i="34"/>
  <c r="I37" i="34"/>
  <c r="I38" i="34"/>
  <c r="I39" i="34"/>
  <c r="I40" i="34"/>
  <c r="I41" i="34"/>
  <c r="I43" i="34"/>
  <c r="I45" i="34"/>
  <c r="I46" i="34"/>
  <c r="I47" i="34"/>
  <c r="I48" i="34"/>
  <c r="I49" i="34"/>
  <c r="I50" i="34"/>
  <c r="I51" i="34"/>
  <c r="I52" i="34"/>
  <c r="I55" i="34"/>
  <c r="I56" i="34"/>
  <c r="I57" i="34"/>
  <c r="I58" i="34"/>
  <c r="I61" i="34"/>
  <c r="I62" i="34"/>
  <c r="I63" i="34"/>
  <c r="I64" i="34"/>
  <c r="I67" i="34"/>
  <c r="I68" i="34"/>
  <c r="I69" i="34"/>
  <c r="I70" i="34"/>
  <c r="I72" i="34"/>
  <c r="I73" i="34"/>
  <c r="I74" i="34"/>
  <c r="I75" i="34"/>
  <c r="I77" i="34"/>
  <c r="I78" i="34"/>
  <c r="I79" i="34"/>
  <c r="I81" i="34"/>
  <c r="I82" i="34"/>
  <c r="I83" i="34"/>
  <c r="I84" i="34"/>
  <c r="I85" i="34"/>
  <c r="I86" i="34"/>
  <c r="I87" i="34"/>
  <c r="I88" i="34"/>
  <c r="I89" i="34"/>
  <c r="I90" i="34"/>
  <c r="I91" i="34"/>
  <c r="I92" i="34"/>
  <c r="I93" i="34"/>
  <c r="I94" i="34"/>
  <c r="I95" i="34"/>
  <c r="I96" i="34"/>
  <c r="I97" i="34"/>
  <c r="I98" i="34"/>
  <c r="I99" i="34"/>
  <c r="I100" i="34"/>
  <c r="J18" i="34"/>
  <c r="J19" i="34"/>
  <c r="J20" i="34"/>
  <c r="J21" i="34"/>
  <c r="J22" i="34"/>
  <c r="J24" i="34"/>
  <c r="J25" i="34"/>
  <c r="J26" i="34"/>
  <c r="J27" i="34"/>
  <c r="J28" i="34"/>
  <c r="J29" i="34"/>
  <c r="J30" i="34"/>
  <c r="J31" i="34"/>
  <c r="J32" i="34"/>
  <c r="J33" i="34"/>
  <c r="J34" i="34"/>
  <c r="J35" i="34"/>
  <c r="J36" i="34"/>
  <c r="J37" i="34"/>
  <c r="J38" i="34"/>
  <c r="J39" i="34"/>
  <c r="J40" i="34"/>
  <c r="J41" i="34"/>
  <c r="J43" i="34"/>
  <c r="J45" i="34"/>
  <c r="J46" i="34"/>
  <c r="J47" i="34"/>
  <c r="J48" i="34"/>
  <c r="J49" i="34"/>
  <c r="J50" i="34"/>
  <c r="J51" i="34"/>
  <c r="J52" i="34"/>
  <c r="J55" i="34"/>
  <c r="J56" i="34"/>
  <c r="J57" i="34"/>
  <c r="J58" i="34"/>
  <c r="J61" i="34"/>
  <c r="J62" i="34"/>
  <c r="J63" i="34"/>
  <c r="J64" i="34"/>
  <c r="J67" i="34"/>
  <c r="J68" i="34"/>
  <c r="J69" i="34"/>
  <c r="J70" i="34"/>
  <c r="J72" i="34"/>
  <c r="J73" i="34"/>
  <c r="J74" i="34"/>
  <c r="J75" i="34"/>
  <c r="J77" i="34"/>
  <c r="J78" i="34"/>
  <c r="J79" i="34"/>
  <c r="J81" i="34"/>
  <c r="J82" i="34"/>
  <c r="J83" i="34"/>
  <c r="J84" i="34"/>
  <c r="J85" i="34"/>
  <c r="J86" i="34"/>
  <c r="J87" i="34"/>
  <c r="J88" i="34"/>
  <c r="J89" i="34"/>
  <c r="J90" i="34"/>
  <c r="J91" i="34"/>
  <c r="J92" i="34"/>
  <c r="J93" i="34"/>
  <c r="J94" i="34"/>
  <c r="J95" i="34"/>
  <c r="J96" i="34"/>
  <c r="J97" i="34"/>
  <c r="J98" i="34"/>
  <c r="J99" i="34"/>
  <c r="J100" i="34"/>
  <c r="K18" i="34"/>
  <c r="K19" i="34"/>
  <c r="K20" i="34"/>
  <c r="K21" i="34"/>
  <c r="K22" i="34"/>
  <c r="K24" i="34"/>
  <c r="K25" i="34"/>
  <c r="K26" i="34"/>
  <c r="K27" i="34"/>
  <c r="K28" i="34"/>
  <c r="K29" i="34"/>
  <c r="K30" i="34"/>
  <c r="K31" i="34"/>
  <c r="K32" i="34"/>
  <c r="K33" i="34"/>
  <c r="K34" i="34"/>
  <c r="K35" i="34"/>
  <c r="K36" i="34"/>
  <c r="K37" i="34"/>
  <c r="K38" i="34"/>
  <c r="K39" i="34"/>
  <c r="K40" i="34"/>
  <c r="K41" i="34"/>
  <c r="K43" i="34"/>
  <c r="K45" i="34"/>
  <c r="K46" i="34"/>
  <c r="K47" i="34"/>
  <c r="K48" i="34"/>
  <c r="K49" i="34"/>
  <c r="K50" i="34"/>
  <c r="K51" i="34"/>
  <c r="K52" i="34"/>
  <c r="K55" i="34"/>
  <c r="K56" i="34"/>
  <c r="K57" i="34"/>
  <c r="K58" i="34"/>
  <c r="K61" i="34"/>
  <c r="K62" i="34"/>
  <c r="K63" i="34"/>
  <c r="K64" i="34"/>
  <c r="K67" i="34"/>
  <c r="K68" i="34"/>
  <c r="K69" i="34"/>
  <c r="K70" i="34"/>
  <c r="K72" i="34"/>
  <c r="K73" i="34"/>
  <c r="K74" i="34"/>
  <c r="K75" i="34"/>
  <c r="K77" i="34"/>
  <c r="K78" i="34"/>
  <c r="K79" i="34"/>
  <c r="K81" i="34"/>
  <c r="K82" i="34"/>
  <c r="K83" i="34"/>
  <c r="K84" i="34"/>
  <c r="K85" i="34"/>
  <c r="K86" i="34"/>
  <c r="K87" i="34"/>
  <c r="K88" i="34"/>
  <c r="K89" i="34"/>
  <c r="K90" i="34"/>
  <c r="K91" i="34"/>
  <c r="K92" i="34"/>
  <c r="K93" i="34"/>
  <c r="K94" i="34"/>
  <c r="K95" i="34"/>
  <c r="K96" i="34"/>
  <c r="K97" i="34"/>
  <c r="K98" i="34"/>
  <c r="K99" i="34"/>
  <c r="K100" i="34"/>
  <c r="M18" i="34" a="1"/>
  <c r="M18" i="34" s="1"/>
  <c r="M19" i="34" a="1"/>
  <c r="M19" i="34" s="1"/>
  <c r="M20" i="34" a="1"/>
  <c r="M20" i="34" s="1"/>
  <c r="M21" i="34" a="1"/>
  <c r="M21" i="34" s="1"/>
  <c r="M22" i="34" a="1"/>
  <c r="M22" i="34" s="1"/>
  <c r="M24" i="34" a="1"/>
  <c r="M24" i="34" s="1"/>
  <c r="M25" i="34" a="1"/>
  <c r="M25" i="34" s="1"/>
  <c r="M26" i="34" a="1"/>
  <c r="M26" i="34" s="1"/>
  <c r="M27" i="34" a="1"/>
  <c r="M27" i="34" s="1"/>
  <c r="M28" i="34" a="1"/>
  <c r="M28" i="34" s="1"/>
  <c r="M29" i="34" a="1"/>
  <c r="M29" i="34" s="1"/>
  <c r="M30" i="34" a="1"/>
  <c r="M30" i="34" s="1"/>
  <c r="M31" i="34" a="1"/>
  <c r="M31" i="34" s="1"/>
  <c r="M32" i="34" a="1"/>
  <c r="M32" i="34" s="1"/>
  <c r="M33" i="34" a="1"/>
  <c r="M33" i="34" s="1"/>
  <c r="M34" i="34" a="1"/>
  <c r="M34" i="34" s="1"/>
  <c r="M35" i="34" a="1"/>
  <c r="M35" i="34" s="1"/>
  <c r="M36" i="34" a="1"/>
  <c r="M36" i="34" s="1"/>
  <c r="M37" i="34" a="1"/>
  <c r="M37" i="34" s="1"/>
  <c r="M38" i="34" a="1"/>
  <c r="M38" i="34" s="1"/>
  <c r="M39" i="34" a="1"/>
  <c r="M39" i="34" s="1"/>
  <c r="M40" i="34" a="1"/>
  <c r="M40" i="34" s="1"/>
  <c r="M41" i="34" a="1"/>
  <c r="M41" i="34" s="1"/>
  <c r="M43" i="34" a="1"/>
  <c r="M43" i="34" s="1"/>
  <c r="M45" i="34" a="1"/>
  <c r="M45" i="34" s="1"/>
  <c r="M46" i="34" a="1"/>
  <c r="M46" i="34" s="1"/>
  <c r="M47" i="34" a="1"/>
  <c r="M47" i="34" s="1"/>
  <c r="M48" i="34" a="1"/>
  <c r="M48" i="34" s="1"/>
  <c r="M49" i="34" a="1"/>
  <c r="M49" i="34" s="1"/>
  <c r="M50" i="34" a="1"/>
  <c r="M50" i="34" s="1"/>
  <c r="M51" i="34" a="1"/>
  <c r="M51" i="34" s="1"/>
  <c r="M52" i="34" a="1"/>
  <c r="M52" i="34" s="1"/>
  <c r="M55" i="34" a="1"/>
  <c r="M55" i="34" s="1"/>
  <c r="M56" i="34" a="1"/>
  <c r="M56" i="34" s="1"/>
  <c r="M57" i="34" a="1"/>
  <c r="M57" i="34" s="1"/>
  <c r="M58" i="34" a="1"/>
  <c r="M58" i="34" s="1"/>
  <c r="M61" i="34" a="1"/>
  <c r="M61" i="34" s="1"/>
  <c r="M62" i="34" a="1"/>
  <c r="M62" i="34" s="1"/>
  <c r="M63" i="34" a="1"/>
  <c r="M63" i="34" s="1"/>
  <c r="M64" i="34" a="1"/>
  <c r="M64" i="34" s="1"/>
  <c r="M67" i="34" a="1"/>
  <c r="M67" i="34" s="1"/>
  <c r="M68" i="34" a="1"/>
  <c r="M68" i="34" s="1"/>
  <c r="M69" i="34" a="1"/>
  <c r="M69" i="34" s="1"/>
  <c r="M70" i="34" a="1"/>
  <c r="M70" i="34" s="1"/>
  <c r="M72" i="34" a="1"/>
  <c r="M72" i="34" s="1"/>
  <c r="M73" i="34" a="1"/>
  <c r="M73" i="34" s="1"/>
  <c r="M74" i="34" a="1"/>
  <c r="M74" i="34" s="1"/>
  <c r="M75" i="34" a="1"/>
  <c r="M75" i="34" s="1"/>
  <c r="M77" i="34" a="1"/>
  <c r="M77" i="34" s="1"/>
  <c r="M78" i="34" a="1"/>
  <c r="M78" i="34" s="1"/>
  <c r="M79" i="34" a="1"/>
  <c r="M79" i="34" s="1"/>
  <c r="M81" i="34" a="1"/>
  <c r="M81" i="34" s="1"/>
  <c r="M82" i="34" a="1"/>
  <c r="M82" i="34" s="1"/>
  <c r="M83" i="34" a="1"/>
  <c r="M83" i="34" s="1"/>
  <c r="M84" i="34" a="1"/>
  <c r="M84" i="34" s="1"/>
  <c r="M85" i="34" a="1"/>
  <c r="M85" i="34" s="1"/>
  <c r="M86" i="34" a="1"/>
  <c r="M86" i="34" s="1"/>
  <c r="M87" i="34" a="1"/>
  <c r="M87" i="34" s="1"/>
  <c r="M88" i="34" a="1"/>
  <c r="M88" i="34" s="1"/>
  <c r="M89" i="34" a="1"/>
  <c r="M89" i="34" s="1"/>
  <c r="M90" i="34" a="1"/>
  <c r="M90" i="34" s="1"/>
  <c r="M91" i="34" a="1"/>
  <c r="M91" i="34" s="1"/>
  <c r="M92" i="34" a="1"/>
  <c r="M92" i="34" s="1"/>
  <c r="M93" i="34" a="1"/>
  <c r="M93" i="34" s="1"/>
  <c r="M94" i="34" a="1"/>
  <c r="M94" i="34" s="1"/>
  <c r="M95" i="34" a="1"/>
  <c r="M95" i="34" s="1"/>
  <c r="M96" i="34" a="1"/>
  <c r="M96" i="34" s="1"/>
  <c r="M97" i="34" a="1"/>
  <c r="M97" i="34" s="1"/>
  <c r="M98" i="34" a="1"/>
  <c r="M98" i="34" s="1"/>
  <c r="M99" i="34" a="1"/>
  <c r="M99" i="34" s="1"/>
  <c r="M100" i="34" a="1"/>
  <c r="M100" i="34" s="1"/>
  <c r="A11" i="34" a="1"/>
  <c r="A11" i="34" s="1"/>
  <c r="I11" i="34"/>
  <c r="J11" i="34"/>
  <c r="K11" i="34"/>
  <c r="M11" i="34" a="1"/>
  <c r="M11" i="34" s="1"/>
  <c r="A15" i="34" a="1"/>
  <c r="A15" i="34" s="1"/>
  <c r="B15" i="34" s="1" a="1"/>
  <c r="B15" i="34" s="1"/>
  <c r="I15" i="34"/>
  <c r="J15" i="34"/>
  <c r="K15" i="34"/>
  <c r="M15" i="34" a="1"/>
  <c r="M15" i="34" s="1"/>
  <c r="A14" i="34" a="1"/>
  <c r="A14" i="34" s="1"/>
  <c r="I14" i="34"/>
  <c r="J14" i="34"/>
  <c r="K14" i="34"/>
  <c r="M14" i="34" a="1"/>
  <c r="M14" i="34" s="1"/>
  <c r="A12" i="34" a="1"/>
  <c r="A12" i="34" s="1"/>
  <c r="I12" i="34"/>
  <c r="J12" i="34"/>
  <c r="K12" i="34"/>
  <c r="M12" i="34" a="1"/>
  <c r="M12" i="34" s="1"/>
  <c r="A10" i="34" a="1"/>
  <c r="A10" i="34" s="1"/>
  <c r="B10" i="34" s="1" a="1"/>
  <c r="B10" i="34" s="1"/>
  <c r="I10" i="34"/>
  <c r="J10" i="34"/>
  <c r="K10" i="34"/>
  <c r="M10" i="34" a="1"/>
  <c r="M10" i="34" s="1"/>
  <c r="A9" i="34" a="1"/>
  <c r="A9" i="34" s="1"/>
  <c r="I9" i="34"/>
  <c r="J9" i="34"/>
  <c r="K9" i="34"/>
  <c r="M9" i="34" a="1"/>
  <c r="M9" i="34" s="1"/>
  <c r="F14" i="31" a="1"/>
  <c r="F14" i="31" s="1"/>
  <c r="M4" i="34" a="1"/>
  <c r="M4" i="34" s="1"/>
  <c r="M5" i="34" a="1"/>
  <c r="M5" i="34" s="1"/>
  <c r="M6" i="34" a="1"/>
  <c r="M6" i="34" s="1"/>
  <c r="M7" i="34" a="1"/>
  <c r="M7" i="34" s="1"/>
  <c r="A5" i="34" a="1"/>
  <c r="A5" i="34" s="1"/>
  <c r="I5" i="34"/>
  <c r="J5" i="34"/>
  <c r="K5" i="34"/>
  <c r="A4" i="34" a="1"/>
  <c r="A4" i="34" s="1"/>
  <c r="I4" i="34"/>
  <c r="J4" i="34"/>
  <c r="K4" i="34"/>
  <c r="A6" i="34" a="1"/>
  <c r="A6" i="34" s="1"/>
  <c r="I6" i="34"/>
  <c r="J6" i="34"/>
  <c r="K6" i="34"/>
  <c r="A7" i="34" a="1"/>
  <c r="A7" i="34" s="1"/>
  <c r="I7" i="34"/>
  <c r="J7" i="34"/>
  <c r="K7" i="34"/>
  <c r="B12" i="29"/>
  <c r="M138" i="34" a="1"/>
  <c r="A153" i="34" a="1"/>
  <c r="A192" i="34" a="1"/>
  <c r="Q53" i="34" a="1"/>
  <c r="Q42" i="34" a="1"/>
  <c r="A162" i="34" a="1"/>
  <c r="A182" i="34" a="1"/>
  <c r="M145" i="34" a="1"/>
  <c r="M156" i="34" a="1"/>
  <c r="A172" i="34" a="1"/>
  <c r="M159" i="34" a="1"/>
  <c r="M142" i="34" a="1"/>
  <c r="A142" i="34" a="1"/>
  <c r="A134" i="34" a="1"/>
  <c r="A129" i="34" a="1"/>
  <c r="Q111" i="34" a="1"/>
  <c r="A138" i="34" a="1"/>
  <c r="Q71" i="34" a="1"/>
  <c r="Q102" i="34" a="1"/>
  <c r="M134" i="34" a="1"/>
  <c r="A180" i="34" a="1"/>
  <c r="A185" i="34" a="1"/>
  <c r="A156" i="34" a="1"/>
  <c r="M147" i="34" a="1"/>
  <c r="M178" i="34" a="1"/>
  <c r="A187" i="34" a="1"/>
  <c r="A149" i="34" a="1"/>
  <c r="Q59" i="34" a="1"/>
  <c r="A178" i="34" a="1"/>
  <c r="M162" i="34" a="1"/>
  <c r="M129" i="34" a="1"/>
  <c r="M182" i="34" a="1"/>
  <c r="M168" i="34" a="1"/>
  <c r="Q3" i="34" a="1"/>
  <c r="A159" i="34" a="1"/>
  <c r="Q17" i="34" a="1"/>
  <c r="F22" i="19" a="1"/>
  <c r="Q23" i="34" a="1"/>
  <c r="M192" i="34" a="1"/>
  <c r="M153" i="34" a="1"/>
  <c r="M187" i="34" a="1"/>
  <c r="Q65" i="34" a="1"/>
  <c r="M175" i="34" a="1"/>
  <c r="A145" i="34" a="1"/>
  <c r="Q123" i="34" a="1"/>
  <c r="M172" i="34" a="1"/>
  <c r="A165" i="34" a="1"/>
  <c r="M149" i="34" a="1"/>
  <c r="M165" i="34" a="1"/>
  <c r="Q8" i="34" a="1"/>
  <c r="M180" i="34" a="1"/>
  <c r="Q13" i="34" a="1"/>
  <c r="M191" i="34" a="1"/>
  <c r="Q76" i="34" a="1"/>
  <c r="Q44" i="34" a="1"/>
  <c r="M185" i="34" a="1"/>
  <c r="A191" i="34" a="1"/>
  <c r="A168" i="34" a="1"/>
  <c r="Q80" i="34" a="1"/>
  <c r="M131" i="34" a="1"/>
  <c r="A175" i="34" a="1"/>
  <c r="A147" i="34" a="1"/>
  <c r="A131" i="34" a="1"/>
  <c r="A192" i="34" l="1"/>
  <c r="M192" i="34"/>
  <c r="A191" i="34"/>
  <c r="M191" i="34"/>
  <c r="M187" i="34"/>
  <c r="A187" i="34"/>
  <c r="M185" i="34"/>
  <c r="A185" i="34"/>
  <c r="M182" i="34"/>
  <c r="A182" i="34"/>
  <c r="M180" i="34"/>
  <c r="A180" i="34"/>
  <c r="A178" i="34"/>
  <c r="M178" i="34"/>
  <c r="A175" i="34"/>
  <c r="M175" i="34"/>
  <c r="A172" i="34"/>
  <c r="M172" i="34"/>
  <c r="M168" i="34"/>
  <c r="A168" i="34"/>
  <c r="M165" i="34"/>
  <c r="A165" i="34"/>
  <c r="M162" i="34"/>
  <c r="A162" i="34"/>
  <c r="M159" i="34"/>
  <c r="A159" i="34"/>
  <c r="A156" i="34"/>
  <c r="M156" i="34"/>
  <c r="M153" i="34"/>
  <c r="A153" i="34"/>
  <c r="A149" i="34"/>
  <c r="M149" i="34"/>
  <c r="M147" i="34"/>
  <c r="A147" i="34"/>
  <c r="M145" i="34"/>
  <c r="A145" i="34"/>
  <c r="M142" i="34"/>
  <c r="A142" i="34"/>
  <c r="A138" i="34"/>
  <c r="M138" i="34"/>
  <c r="A134" i="34"/>
  <c r="M134" i="34"/>
  <c r="M131" i="34"/>
  <c r="A131" i="34"/>
  <c r="A129" i="34"/>
  <c r="M129" i="34"/>
  <c r="Q123" i="34"/>
  <c r="Q111" i="34"/>
  <c r="Q102" i="34"/>
  <c r="Q80" i="34"/>
  <c r="Q76" i="34"/>
  <c r="B113" i="34" a="1"/>
  <c r="B113" i="34" s="1"/>
  <c r="B140" i="34" a="1"/>
  <c r="B140" i="34" s="1"/>
  <c r="B130" i="34" a="1"/>
  <c r="B130" i="34" s="1"/>
  <c r="B112" i="34" a="1"/>
  <c r="B112" i="34" s="1"/>
  <c r="B118" i="34" a="1"/>
  <c r="B118" i="34" s="1"/>
  <c r="B161" i="34" a="1"/>
  <c r="B161" i="34" s="1"/>
  <c r="B139" i="34" a="1"/>
  <c r="B139" i="34" s="1"/>
  <c r="B160" i="34" a="1"/>
  <c r="B160" i="34" s="1"/>
  <c r="B126" i="34" a="1"/>
  <c r="B126" i="34" s="1"/>
  <c r="B137" i="34" a="1"/>
  <c r="B137" i="34" s="1"/>
  <c r="B125" i="34" a="1"/>
  <c r="B125" i="34" s="1"/>
  <c r="B116" i="34" a="1"/>
  <c r="B116" i="34" s="1"/>
  <c r="B158" i="34" a="1"/>
  <c r="B158" i="34" s="1"/>
  <c r="B146" i="34" a="1"/>
  <c r="B146" i="34" s="1"/>
  <c r="B189" i="34" a="1"/>
  <c r="B189" i="34" s="1"/>
  <c r="B169" i="34" a="1"/>
  <c r="B169" i="34" s="1"/>
  <c r="B109" i="34" a="1"/>
  <c r="B109" i="34" s="1"/>
  <c r="B154" i="34" a="1"/>
  <c r="B154" i="34" s="1"/>
  <c r="B133" i="34" a="1"/>
  <c r="B133" i="34" s="1"/>
  <c r="B115" i="34" a="1"/>
  <c r="B115" i="34" s="1"/>
  <c r="B66" i="34" a="1"/>
  <c r="B66" i="34" s="1"/>
  <c r="B60" i="34" a="1"/>
  <c r="B60" i="34" s="1"/>
  <c r="B54" i="34" a="1"/>
  <c r="B54" i="34" s="1"/>
  <c r="Q71" i="34"/>
  <c r="Q65" i="34"/>
  <c r="Q59" i="34"/>
  <c r="Q53" i="34"/>
  <c r="Q44" i="34"/>
  <c r="Q42" i="34"/>
  <c r="Q23" i="34"/>
  <c r="Q17" i="34"/>
  <c r="Q13" i="34"/>
  <c r="B94" i="34" a="1"/>
  <c r="B94" i="34" s="1"/>
  <c r="B33" i="34" a="1"/>
  <c r="B33" i="34" s="1"/>
  <c r="B58" i="34" a="1"/>
  <c r="B58" i="34" s="1"/>
  <c r="B57" i="34" a="1"/>
  <c r="B57" i="34" s="1"/>
  <c r="B50" i="34" a="1"/>
  <c r="B50" i="34" s="1"/>
  <c r="B34" i="34" a="1"/>
  <c r="B34" i="34" s="1"/>
  <c r="B86" i="34" a="1"/>
  <c r="B86" i="34" s="1"/>
  <c r="B25" i="34" a="1"/>
  <c r="B25" i="34" s="1"/>
  <c r="B41" i="34" a="1"/>
  <c r="B41" i="34" s="1"/>
  <c r="B91" i="34" a="1"/>
  <c r="B91" i="34" s="1"/>
  <c r="B32" i="34" a="1"/>
  <c r="B32" i="34" s="1"/>
  <c r="B84" i="34" a="1"/>
  <c r="B84" i="34" s="1"/>
  <c r="B40" i="34" a="1"/>
  <c r="B40" i="34" s="1"/>
  <c r="B31" i="34" a="1"/>
  <c r="B31" i="34" s="1"/>
  <c r="B22" i="34" a="1"/>
  <c r="B22" i="34" s="1"/>
  <c r="B68" i="34" a="1"/>
  <c r="B68" i="34" s="1"/>
  <c r="B99" i="34" a="1"/>
  <c r="B99" i="34" s="1"/>
  <c r="B82" i="34" a="1"/>
  <c r="B82" i="34" s="1"/>
  <c r="B74" i="34" a="1"/>
  <c r="B74" i="34" s="1"/>
  <c r="B47" i="34" a="1"/>
  <c r="B47" i="34" s="1"/>
  <c r="B90" i="34" a="1"/>
  <c r="B90" i="34" s="1"/>
  <c r="B56" i="34" a="1"/>
  <c r="B56" i="34" s="1"/>
  <c r="B48" i="34" a="1"/>
  <c r="B48" i="34" s="1"/>
  <c r="B98" i="34" a="1"/>
  <c r="B98" i="34" s="1"/>
  <c r="B30" i="34" a="1"/>
  <c r="B30" i="34" s="1"/>
  <c r="B49" i="34" a="1"/>
  <c r="B49" i="34" s="1"/>
  <c r="B20" i="34" a="1"/>
  <c r="B20" i="34" s="1"/>
  <c r="B67" i="34" a="1"/>
  <c r="B67" i="34" s="1"/>
  <c r="B89" i="34" a="1"/>
  <c r="B89" i="34" s="1"/>
  <c r="B79" i="34" a="1"/>
  <c r="B79" i="34" s="1"/>
  <c r="B63" i="34" a="1"/>
  <c r="B63" i="34" s="1"/>
  <c r="B64" i="34" a="1"/>
  <c r="B64" i="34" s="1"/>
  <c r="B27" i="34" a="1"/>
  <c r="B27" i="34" s="1"/>
  <c r="B19" i="34" a="1"/>
  <c r="B19" i="34" s="1"/>
  <c r="B78" i="34" a="1"/>
  <c r="B78" i="34" s="1"/>
  <c r="B85" i="34" a="1"/>
  <c r="B85" i="34" s="1"/>
  <c r="B77" i="34" a="1"/>
  <c r="B77" i="34" s="1"/>
  <c r="B11" i="34" a="1"/>
  <c r="B11" i="34" s="1"/>
  <c r="B14" i="34" a="1"/>
  <c r="B14" i="34" s="1"/>
  <c r="B12" i="34" a="1"/>
  <c r="B12" i="34" s="1"/>
  <c r="B9" i="34" a="1"/>
  <c r="B9" i="34" s="1"/>
  <c r="F22" i="19"/>
  <c r="G22" i="19" s="1"/>
  <c r="Q8" i="34"/>
  <c r="B5" i="34" a="1"/>
  <c r="B5" i="34" s="1"/>
  <c r="B4" i="34" a="1"/>
  <c r="B4" i="34" s="1"/>
  <c r="B6" i="34" a="1"/>
  <c r="B6" i="34" s="1"/>
  <c r="B7" i="34" a="1"/>
  <c r="B7" i="34" s="1"/>
  <c r="Q3" i="34"/>
  <c r="G20" i="10" a="1"/>
  <c r="G20" i="10" s="1"/>
  <c r="G21" i="10" a="1"/>
  <c r="G21" i="10" s="1"/>
  <c r="G22" i="10" a="1"/>
  <c r="G22" i="10" s="1"/>
  <c r="G23" i="10" a="1"/>
  <c r="G23" i="10" s="1"/>
  <c r="G26" i="10" a="1"/>
  <c r="G26" i="10" s="1"/>
  <c r="G27" i="10" a="1"/>
  <c r="G27" i="10" s="1"/>
  <c r="G28" i="10" a="1"/>
  <c r="G28" i="10" s="1"/>
  <c r="G29" i="10" a="1"/>
  <c r="G29" i="10" s="1"/>
  <c r="G30" i="10" a="1"/>
  <c r="G30" i="10" s="1"/>
  <c r="G31" i="10" a="1"/>
  <c r="G31" i="10" s="1"/>
  <c r="G34" i="10" a="1"/>
  <c r="G34" i="10" s="1"/>
  <c r="G35" i="10" a="1"/>
  <c r="G35" i="10" s="1"/>
  <c r="G37" i="10" a="1"/>
  <c r="G37" i="10" s="1"/>
  <c r="G39" i="10" a="1"/>
  <c r="G39" i="10" s="1"/>
  <c r="G40" i="10" a="1"/>
  <c r="G40" i="10" s="1"/>
  <c r="G43" i="10" a="1"/>
  <c r="G43" i="10" s="1"/>
  <c r="E3" i="20" a="1"/>
  <c r="E3" i="20" s="1"/>
  <c r="E5" i="20" a="1"/>
  <c r="E5" i="20" s="1"/>
  <c r="E7" i="20" a="1"/>
  <c r="E7" i="20" s="1"/>
  <c r="E8" i="20" a="1"/>
  <c r="E8" i="20" s="1"/>
  <c r="E9" i="20" a="1"/>
  <c r="E9" i="20" s="1"/>
  <c r="E10" i="20" a="1"/>
  <c r="E10" i="20" s="1"/>
  <c r="E12" i="20" a="1"/>
  <c r="E12" i="20" s="1"/>
  <c r="E15" i="20" a="1"/>
  <c r="E15" i="20" s="1"/>
  <c r="E16" i="20" a="1"/>
  <c r="E16" i="20" s="1"/>
  <c r="E17" i="20" a="1"/>
  <c r="E17" i="20" s="1"/>
  <c r="E19" i="20" a="1"/>
  <c r="E19" i="20" s="1"/>
  <c r="E21" i="20" a="1"/>
  <c r="E21" i="20" s="1"/>
  <c r="E22" i="20" a="1"/>
  <c r="E22" i="20" s="1"/>
  <c r="E24" i="20" a="1"/>
  <c r="E24" i="20" s="1"/>
  <c r="E25" i="20" a="1"/>
  <c r="E25" i="20" s="1"/>
  <c r="E26" i="20" a="1"/>
  <c r="E26" i="20" s="1"/>
  <c r="E28" i="20" a="1"/>
  <c r="E28" i="20" s="1"/>
  <c r="E29" i="20" a="1"/>
  <c r="E29" i="20" s="1"/>
  <c r="E32" i="20" a="1"/>
  <c r="E32" i="20" s="1"/>
  <c r="E33" i="20" a="1"/>
  <c r="E33" i="20" s="1"/>
  <c r="E34" i="20" a="1"/>
  <c r="E34" i="20" s="1"/>
  <c r="E35" i="20" a="1"/>
  <c r="E35" i="20" s="1"/>
  <c r="E36" i="20" a="1"/>
  <c r="E36" i="20" s="1"/>
  <c r="E37" i="20" a="1"/>
  <c r="E37" i="20" s="1"/>
  <c r="E38" i="20" a="1"/>
  <c r="E38" i="20" s="1"/>
  <c r="E39" i="20" a="1"/>
  <c r="E39" i="20" s="1"/>
  <c r="E40" i="20" a="1"/>
  <c r="E40" i="20" s="1"/>
  <c r="E41" i="20" a="1"/>
  <c r="E41" i="20" s="1"/>
  <c r="E42" i="20" a="1"/>
  <c r="E42" i="20" s="1"/>
  <c r="E43" i="20" a="1"/>
  <c r="E43" i="20" s="1"/>
  <c r="E44" i="20" a="1"/>
  <c r="E44" i="20" s="1"/>
  <c r="E45" i="20" a="1"/>
  <c r="E45" i="20" s="1"/>
  <c r="E46" i="20" a="1"/>
  <c r="E46" i="20" s="1"/>
  <c r="E47" i="20" a="1"/>
  <c r="E47" i="20" s="1"/>
  <c r="E48" i="20" a="1"/>
  <c r="E48" i="20" s="1"/>
  <c r="E49" i="20" a="1"/>
  <c r="E49" i="20" s="1"/>
  <c r="E50" i="20" a="1"/>
  <c r="E50" i="20" s="1"/>
  <c r="E51" i="20" a="1"/>
  <c r="E51" i="20" s="1"/>
  <c r="E52" i="20" a="1"/>
  <c r="E52" i="20" s="1"/>
  <c r="E53" i="20" a="1"/>
  <c r="E53" i="20" s="1"/>
  <c r="E54" i="20" a="1"/>
  <c r="E54" i="20" s="1"/>
  <c r="E55" i="20" a="1"/>
  <c r="E55" i="20" s="1"/>
  <c r="E56" i="20" a="1"/>
  <c r="E56" i="20" s="1"/>
  <c r="E57" i="20" a="1"/>
  <c r="E57" i="20" s="1"/>
  <c r="E58" i="20" a="1"/>
  <c r="E58" i="20" s="1"/>
  <c r="E59" i="20" a="1"/>
  <c r="E59" i="20" s="1"/>
  <c r="E60" i="20" a="1"/>
  <c r="E60" i="20" s="1"/>
  <c r="G67" i="20" a="1"/>
  <c r="G67" i="20" s="1"/>
  <c r="I67" i="20" a="1"/>
  <c r="I67" i="20" s="1"/>
  <c r="K67" i="20" a="1"/>
  <c r="K67" i="20" s="1"/>
  <c r="V67" i="20" a="1"/>
  <c r="V67" i="20" s="1"/>
  <c r="Y67" i="20" a="1"/>
  <c r="Y67" i="20" s="1"/>
  <c r="AA67" i="20" a="1"/>
  <c r="AA67" i="20" s="1"/>
  <c r="AN67" i="20"/>
  <c r="K4" i="29" a="1"/>
  <c r="K4" i="29" s="1"/>
  <c r="K5" i="29" a="1"/>
  <c r="K5" i="29" s="1"/>
  <c r="K6" i="29" a="1"/>
  <c r="K6" i="29" s="1"/>
  <c r="K9" i="29" a="1"/>
  <c r="K9" i="29" s="1"/>
  <c r="K11" i="29" a="1"/>
  <c r="K11" i="29" s="1"/>
  <c r="K14" i="29" a="1"/>
  <c r="K14" i="29" s="1"/>
  <c r="K15" i="29" a="1"/>
  <c r="K15" i="29" s="1"/>
  <c r="K17" i="29" a="1"/>
  <c r="K17" i="29" s="1"/>
  <c r="K19" i="29" a="1"/>
  <c r="K19" i="29" s="1"/>
  <c r="K22" i="29" a="1"/>
  <c r="K22" i="29" s="1"/>
  <c r="K23" i="29" a="1"/>
  <c r="K23" i="29" s="1"/>
  <c r="K25" i="29" a="1"/>
  <c r="K25" i="29" s="1"/>
  <c r="K29" i="29" a="1"/>
  <c r="K29" i="29" s="1"/>
  <c r="K31" i="29" a="1"/>
  <c r="K31" i="29" s="1"/>
  <c r="K34" i="29" a="1"/>
  <c r="K34" i="29" s="1"/>
  <c r="K35" i="29" a="1"/>
  <c r="K35" i="29" s="1"/>
  <c r="K37" i="29" a="1"/>
  <c r="K37" i="29" s="1"/>
  <c r="K42" i="29" a="1"/>
  <c r="K42" i="29" s="1"/>
  <c r="K43" i="29" a="1"/>
  <c r="K43" i="29" s="1"/>
  <c r="K52" i="29" a="1"/>
  <c r="K52" i="29" s="1"/>
  <c r="K59" i="29" a="1"/>
  <c r="K59" i="29" s="1"/>
  <c r="K60" i="29" a="1"/>
  <c r="K60" i="29" s="1"/>
  <c r="H16" i="29"/>
  <c r="H40" i="29"/>
  <c r="AY4" i="4"/>
  <c r="H7" i="29"/>
  <c r="AF6" i="9" a="1"/>
  <c r="AF6" i="9" s="1"/>
  <c r="AF7" i="9" a="1"/>
  <c r="AF7" i="9" s="1"/>
  <c r="AF8" i="9" a="1"/>
  <c r="AF8" i="9" s="1"/>
  <c r="AF9" i="9" a="1"/>
  <c r="AF9" i="9" s="1"/>
  <c r="AF12" i="9" a="1"/>
  <c r="AF12" i="9" s="1"/>
  <c r="AF13" i="9" a="1"/>
  <c r="AF13" i="9" s="1"/>
  <c r="AF16" i="9" a="1"/>
  <c r="AF16" i="9" s="1"/>
  <c r="AF20" i="9" a="1"/>
  <c r="AF20" i="9" s="1"/>
  <c r="AF25" i="9" a="1"/>
  <c r="AF25" i="9" s="1"/>
  <c r="AF26" i="9" a="1"/>
  <c r="AF26" i="9" s="1"/>
  <c r="AF34" i="9" a="1"/>
  <c r="AF34" i="9" s="1"/>
  <c r="AF41" i="9" a="1"/>
  <c r="AF41" i="9" s="1"/>
  <c r="AF42" i="9" a="1"/>
  <c r="AF42" i="9" s="1"/>
  <c r="AL20" i="10" a="1"/>
  <c r="AL20" i="10" s="1"/>
  <c r="AL21" i="10" a="1"/>
  <c r="AL21" i="10" s="1"/>
  <c r="AL22" i="10" a="1"/>
  <c r="AL22" i="10" s="1"/>
  <c r="AL23" i="10" a="1"/>
  <c r="AL23" i="10" s="1"/>
  <c r="AL26" i="10" a="1"/>
  <c r="AL26" i="10" s="1"/>
  <c r="AL27" i="10" a="1"/>
  <c r="AL27" i="10" s="1"/>
  <c r="AL28" i="10" a="1"/>
  <c r="AL28" i="10" s="1"/>
  <c r="AL29" i="10" a="1"/>
  <c r="AL29" i="10" s="1"/>
  <c r="AL30" i="10" a="1"/>
  <c r="AL30" i="10" s="1"/>
  <c r="AL31" i="10" a="1"/>
  <c r="AL31" i="10" s="1"/>
  <c r="AL34" i="10" a="1"/>
  <c r="AL34" i="10" s="1"/>
  <c r="AL35" i="10" a="1"/>
  <c r="AL35" i="10" s="1"/>
  <c r="AL37" i="10" a="1"/>
  <c r="AL37" i="10" s="1"/>
  <c r="AL39" i="10" a="1"/>
  <c r="AL39" i="10" s="1"/>
  <c r="AL40" i="10" a="1"/>
  <c r="AL40" i="10" s="1"/>
  <c r="AL43" i="10" a="1"/>
  <c r="AL43" i="10" s="1"/>
  <c r="AO3" i="20" a="1"/>
  <c r="AO3" i="20" s="1"/>
  <c r="AP3" i="20" s="1" a="1"/>
  <c r="AP3" i="20" s="1"/>
  <c r="AP4" i="20" s="1" a="1"/>
  <c r="AP4" i="20" s="1"/>
  <c r="AO5" i="20" a="1"/>
  <c r="AO5" i="20" s="1"/>
  <c r="AO7" i="20" a="1"/>
  <c r="AO7" i="20" s="1"/>
  <c r="AO8" i="20" a="1"/>
  <c r="AO8" i="20" s="1"/>
  <c r="AO9" i="20" a="1"/>
  <c r="AO9" i="20" s="1"/>
  <c r="AO12" i="20" a="1"/>
  <c r="AO12" i="20" s="1"/>
  <c r="AO15" i="20" a="1"/>
  <c r="AO15" i="20" s="1"/>
  <c r="AO16" i="20" a="1"/>
  <c r="AO16" i="20" s="1"/>
  <c r="AO17" i="20" a="1"/>
  <c r="AO17" i="20" s="1"/>
  <c r="AO19" i="20" a="1"/>
  <c r="AO19" i="20" s="1"/>
  <c r="AO21" i="20" a="1"/>
  <c r="AO21" i="20" s="1"/>
  <c r="AO22" i="20" a="1"/>
  <c r="AO22" i="20" s="1"/>
  <c r="AO24" i="20" a="1"/>
  <c r="AO24" i="20" s="1"/>
  <c r="AO25" i="20" a="1"/>
  <c r="AO25" i="20" s="1"/>
  <c r="AO26" i="20" a="1"/>
  <c r="AO26" i="20" s="1"/>
  <c r="AO28" i="20" a="1"/>
  <c r="AO28" i="20" s="1"/>
  <c r="AO29" i="20" a="1"/>
  <c r="AO29" i="20" s="1"/>
  <c r="AO32" i="20" a="1"/>
  <c r="AO32" i="20" s="1"/>
  <c r="AO33" i="20" a="1"/>
  <c r="AO33" i="20" s="1"/>
  <c r="AO34" i="20" a="1"/>
  <c r="AO34" i="20" s="1"/>
  <c r="AO35" i="20" a="1"/>
  <c r="AO35" i="20" s="1"/>
  <c r="AO36" i="20" a="1"/>
  <c r="AO36" i="20" s="1"/>
  <c r="AO37" i="20" a="1"/>
  <c r="AO37" i="20" s="1"/>
  <c r="AO38" i="20" a="1"/>
  <c r="AO38" i="20" s="1"/>
  <c r="AO39" i="20" a="1"/>
  <c r="AO39" i="20" s="1"/>
  <c r="AO40" i="20" a="1"/>
  <c r="AO40" i="20" s="1"/>
  <c r="AO41" i="20" a="1"/>
  <c r="AO41" i="20" s="1"/>
  <c r="AO42" i="20" a="1"/>
  <c r="AO42" i="20" s="1"/>
  <c r="AO43" i="20" a="1"/>
  <c r="AO43" i="20" s="1"/>
  <c r="AO44" i="20" a="1"/>
  <c r="AO44" i="20" s="1"/>
  <c r="AO45" i="20" a="1"/>
  <c r="AO45" i="20" s="1"/>
  <c r="AO46" i="20" a="1"/>
  <c r="AO46" i="20" s="1"/>
  <c r="AO47" i="20" a="1"/>
  <c r="AO47" i="20" s="1"/>
  <c r="AO48" i="20" a="1"/>
  <c r="AO48" i="20" s="1"/>
  <c r="AO49" i="20" a="1"/>
  <c r="AO49" i="20" s="1"/>
  <c r="AO50" i="20" a="1"/>
  <c r="AO50" i="20" s="1"/>
  <c r="AO51" i="20" a="1"/>
  <c r="AO51" i="20" s="1"/>
  <c r="AO52" i="20" a="1"/>
  <c r="AO52" i="20" s="1"/>
  <c r="AO53" i="20" a="1"/>
  <c r="AO53" i="20" s="1"/>
  <c r="AO54" i="20" a="1"/>
  <c r="AO54" i="20" s="1"/>
  <c r="AO55" i="20" a="1"/>
  <c r="AO55" i="20" s="1"/>
  <c r="AO56" i="20" a="1"/>
  <c r="AO56" i="20" s="1"/>
  <c r="AO57" i="20" a="1"/>
  <c r="AO57" i="20" s="1"/>
  <c r="AO58" i="20" a="1"/>
  <c r="AO58" i="20" s="1"/>
  <c r="AO59" i="20" a="1"/>
  <c r="AO59" i="20" s="1"/>
  <c r="AO60" i="20" a="1"/>
  <c r="AO60" i="20" s="1"/>
  <c r="L24" i="24"/>
  <c r="P24" i="24" s="1"/>
  <c r="M24" i="24"/>
  <c r="N24" i="24"/>
  <c r="O24" i="24"/>
  <c r="J26" i="24" a="1"/>
  <c r="I27" i="24" a="1"/>
  <c r="I25" i="24" a="1"/>
  <c r="K133" i="28" a="1"/>
  <c r="J25" i="24" a="1"/>
  <c r="I26" i="24" a="1"/>
  <c r="K27" i="24" a="1"/>
  <c r="K25" i="24" a="1"/>
  <c r="K26" i="24" a="1"/>
  <c r="M3" i="34" a="1"/>
  <c r="J27" i="24" a="1"/>
  <c r="K115" i="28" a="1"/>
  <c r="M8" i="34" a="1"/>
  <c r="I123" i="34" l="1"/>
  <c r="J123" i="34"/>
  <c r="K123" i="34"/>
  <c r="K111" i="34"/>
  <c r="J111" i="34"/>
  <c r="I111" i="34"/>
  <c r="I102" i="34"/>
  <c r="J102" i="34"/>
  <c r="K102" i="34"/>
  <c r="J80" i="34"/>
  <c r="I80" i="34"/>
  <c r="K80" i="34"/>
  <c r="I76" i="34"/>
  <c r="K76" i="34"/>
  <c r="J76" i="34"/>
  <c r="J71" i="34"/>
  <c r="I71" i="34"/>
  <c r="K71" i="34"/>
  <c r="J65" i="34"/>
  <c r="K65" i="34"/>
  <c r="I65" i="34"/>
  <c r="I59" i="34"/>
  <c r="K59" i="34"/>
  <c r="J59" i="34"/>
  <c r="J53" i="34"/>
  <c r="I53" i="34"/>
  <c r="K53" i="34"/>
  <c r="K44" i="34"/>
  <c r="J44" i="34"/>
  <c r="I44" i="34"/>
  <c r="K42" i="34"/>
  <c r="J42" i="34"/>
  <c r="I42" i="34"/>
  <c r="K23" i="34"/>
  <c r="J23" i="34"/>
  <c r="I23" i="34"/>
  <c r="I13" i="34"/>
  <c r="J13" i="34"/>
  <c r="K13" i="34"/>
  <c r="K17" i="34"/>
  <c r="I17" i="34"/>
  <c r="J17" i="34"/>
  <c r="J16" i="34"/>
  <c r="K16" i="34"/>
  <c r="I16" i="34"/>
  <c r="M3" i="34"/>
  <c r="M8" i="34"/>
  <c r="J8" i="34"/>
  <c r="K8" i="34"/>
  <c r="I8" i="34"/>
  <c r="K3" i="34"/>
  <c r="J3" i="34"/>
  <c r="I3" i="34"/>
  <c r="K115" i="28"/>
  <c r="K133" i="28"/>
  <c r="J25" i="24"/>
  <c r="O25" i="24" s="1"/>
  <c r="I25" i="24"/>
  <c r="K25" i="24"/>
  <c r="M25" i="24" s="1"/>
  <c r="K26" i="24"/>
  <c r="M26" i="24" s="1"/>
  <c r="J26" i="24"/>
  <c r="O26" i="24" s="1"/>
  <c r="I26" i="24"/>
  <c r="J27" i="24"/>
  <c r="O27" i="24" s="1"/>
  <c r="K27" i="24"/>
  <c r="M27" i="24" s="1"/>
  <c r="I27" i="24"/>
  <c r="AP5" i="20" a="1"/>
  <c r="AP5" i="20" s="1"/>
  <c r="F24" i="31" a="1"/>
  <c r="F24" i="31" s="1"/>
  <c r="A16" i="34" a="1"/>
  <c r="M16" i="34" a="1"/>
  <c r="A123" i="34" a="1"/>
  <c r="A102" i="34" a="1"/>
  <c r="A111" i="34" a="1"/>
  <c r="Q24" i="24" a="1"/>
  <c r="M65" i="34" a="1"/>
  <c r="A65" i="34" a="1"/>
  <c r="M53" i="34" a="1"/>
  <c r="M13" i="34" a="1"/>
  <c r="M44" i="34" a="1"/>
  <c r="M102" i="34" a="1"/>
  <c r="A80" i="34" a="1"/>
  <c r="K128" i="28" a="1"/>
  <c r="A59" i="34" a="1"/>
  <c r="M59" i="34" a="1"/>
  <c r="M23" i="34" a="1"/>
  <c r="A23" i="34" a="1"/>
  <c r="M111" i="34" a="1"/>
  <c r="M42" i="34" a="1"/>
  <c r="M71" i="34" a="1"/>
  <c r="A44" i="34" a="1"/>
  <c r="A17" i="34" a="1"/>
  <c r="A3" i="34" a="1"/>
  <c r="A42" i="34" a="1"/>
  <c r="A71" i="34" a="1"/>
  <c r="M80" i="34" a="1"/>
  <c r="M76" i="34" a="1"/>
  <c r="A8" i="34" a="1"/>
  <c r="M123" i="34" a="1"/>
  <c r="A13" i="34" a="1"/>
  <c r="A53" i="34" a="1"/>
  <c r="M17" i="34" a="1"/>
  <c r="A76" i="34" a="1"/>
  <c r="I115" i="28" a="1"/>
  <c r="I133" i="28" a="1"/>
  <c r="M123" i="34" l="1"/>
  <c r="A123" i="34"/>
  <c r="A111" i="34"/>
  <c r="M111" i="34"/>
  <c r="M102" i="34"/>
  <c r="A102" i="34"/>
  <c r="M80" i="34"/>
  <c r="A80" i="34"/>
  <c r="A76" i="34"/>
  <c r="M76" i="34"/>
  <c r="A71" i="34"/>
  <c r="M71" i="34"/>
  <c r="M65" i="34"/>
  <c r="A65" i="34"/>
  <c r="A59" i="34"/>
  <c r="M59" i="34"/>
  <c r="A53" i="34"/>
  <c r="M53" i="34"/>
  <c r="M44" i="34"/>
  <c r="A44" i="34"/>
  <c r="M42" i="34"/>
  <c r="A42" i="34"/>
  <c r="A23" i="34"/>
  <c r="M23" i="34"/>
  <c r="M13" i="34"/>
  <c r="A13" i="34"/>
  <c r="M17" i="34"/>
  <c r="A17" i="34"/>
  <c r="M16" i="34"/>
  <c r="A16" i="34"/>
  <c r="A8" i="34"/>
  <c r="O8" i="34" s="1"/>
  <c r="O9" i="34" s="1"/>
  <c r="O10" i="34" s="1"/>
  <c r="A3" i="34"/>
  <c r="L3" i="34" a="1"/>
  <c r="L3" i="34" s="1"/>
  <c r="L4" i="34" s="1" a="1"/>
  <c r="L4" i="34" s="1"/>
  <c r="L5" i="34" s="1" a="1"/>
  <c r="L5" i="34" s="1"/>
  <c r="I115" i="28"/>
  <c r="E115" i="28"/>
  <c r="F115" i="28"/>
  <c r="G115" i="28"/>
  <c r="I133" i="28"/>
  <c r="E133" i="28"/>
  <c r="F133" i="28"/>
  <c r="G133" i="28"/>
  <c r="Q24" i="24"/>
  <c r="L25" i="24"/>
  <c r="N25" i="24"/>
  <c r="L27" i="24"/>
  <c r="N27" i="24"/>
  <c r="L26" i="24"/>
  <c r="N26" i="24"/>
  <c r="K128" i="28"/>
  <c r="B133" i="28" a="1"/>
  <c r="I128" i="28" a="1"/>
  <c r="B115" i="28" a="1"/>
  <c r="O3" i="34" l="1"/>
  <c r="O4" i="34" s="1"/>
  <c r="A9" i="3"/>
  <c r="A43" i="3"/>
  <c r="A20" i="3"/>
  <c r="A15" i="3"/>
  <c r="A23" i="3"/>
  <c r="A30" i="3"/>
  <c r="A29" i="3"/>
  <c r="A48" i="3"/>
  <c r="A45" i="3"/>
  <c r="A57" i="3"/>
  <c r="A46" i="3"/>
  <c r="A35" i="3"/>
  <c r="A44" i="3"/>
  <c r="A49" i="3"/>
  <c r="A17" i="3"/>
  <c r="A56" i="3"/>
  <c r="A47" i="3"/>
  <c r="A51" i="3"/>
  <c r="A50" i="3"/>
  <c r="A36" i="3"/>
  <c r="A39" i="3"/>
  <c r="A38" i="3"/>
  <c r="A53" i="3"/>
  <c r="A59" i="3"/>
  <c r="A12" i="3"/>
  <c r="A11" i="3"/>
  <c r="A58" i="3"/>
  <c r="A26" i="3"/>
  <c r="A27" i="3"/>
  <c r="A32" i="3"/>
  <c r="A25" i="3"/>
  <c r="A40" i="3"/>
  <c r="A41" i="3"/>
  <c r="A60" i="3"/>
  <c r="A54" i="3"/>
  <c r="A55" i="3"/>
  <c r="A19" i="3"/>
  <c r="O17" i="34"/>
  <c r="O11" i="34"/>
  <c r="O12" i="34" s="1"/>
  <c r="O13" i="34" s="1"/>
  <c r="O14" i="34" s="1"/>
  <c r="O15" i="34" s="1"/>
  <c r="O16" i="34" s="1"/>
  <c r="A6" i="3"/>
  <c r="A7" i="3"/>
  <c r="H3" i="34" a="1"/>
  <c r="H3" i="34" s="1"/>
  <c r="N3" i="34" s="1"/>
  <c r="L6" i="34" a="1"/>
  <c r="L6" i="34" s="1"/>
  <c r="L7" i="34" s="1" a="1"/>
  <c r="L7" i="34" s="1"/>
  <c r="L8" i="34" s="1" a="1"/>
  <c r="L8" i="34" s="1"/>
  <c r="L9" i="34" s="1" a="1"/>
  <c r="L9" i="34" s="1"/>
  <c r="L10" i="34" s="1" a="1"/>
  <c r="L10" i="34" s="1"/>
  <c r="B115" i="28"/>
  <c r="B133" i="28"/>
  <c r="P25" i="24"/>
  <c r="P27" i="24"/>
  <c r="P26" i="24"/>
  <c r="I128" i="28"/>
  <c r="E128" i="28"/>
  <c r="F128" i="28"/>
  <c r="G128" i="28"/>
  <c r="B128" i="28" a="1"/>
  <c r="O18" i="34" l="1"/>
  <c r="L11" i="34" a="1"/>
  <c r="L11" i="34" s="1"/>
  <c r="L12" i="34" s="1" a="1"/>
  <c r="L12" i="34" s="1"/>
  <c r="L13" i="34" s="1" a="1"/>
  <c r="L13" i="34" s="1"/>
  <c r="L14" i="34" s="1" a="1"/>
  <c r="L14" i="34" s="1"/>
  <c r="L15" i="34" s="1" a="1"/>
  <c r="L15" i="34" s="1"/>
  <c r="L16" i="34" s="1" a="1"/>
  <c r="L16" i="34" s="1"/>
  <c r="L17" i="34" s="1" a="1"/>
  <c r="L17" i="34" s="1"/>
  <c r="L18" i="34" s="1" a="1"/>
  <c r="L18" i="34" s="1"/>
  <c r="L19" i="34" s="1" a="1"/>
  <c r="L19" i="34" s="1"/>
  <c r="L20" i="34" s="1" a="1"/>
  <c r="L20" i="34" s="1"/>
  <c r="L21" i="34" s="1" a="1"/>
  <c r="L21" i="34" s="1"/>
  <c r="L22" i="34" s="1" a="1"/>
  <c r="L22" i="34" s="1"/>
  <c r="L23" i="34" s="1" a="1"/>
  <c r="L23" i="34" s="1"/>
  <c r="L24" i="34" s="1" a="1"/>
  <c r="L24" i="34" s="1"/>
  <c r="L25" i="34" s="1" a="1"/>
  <c r="L25" i="34" s="1"/>
  <c r="L26" i="34" s="1" a="1"/>
  <c r="L26" i="34" s="1"/>
  <c r="L27" i="34" s="1" a="1"/>
  <c r="L27" i="34" s="1"/>
  <c r="L28" i="34" s="1" a="1"/>
  <c r="L28" i="34" s="1"/>
  <c r="L29" i="34" s="1" a="1"/>
  <c r="L29" i="34" s="1"/>
  <c r="L30" i="34" s="1" a="1"/>
  <c r="L30" i="34" s="1"/>
  <c r="L31" i="34" s="1" a="1"/>
  <c r="L31" i="34" s="1"/>
  <c r="L32" i="34" s="1" a="1"/>
  <c r="L32" i="34" s="1"/>
  <c r="L33" i="34" s="1" a="1"/>
  <c r="L33" i="34" s="1"/>
  <c r="L34" i="34" s="1" a="1"/>
  <c r="L34" i="34" s="1"/>
  <c r="L35" i="34" s="1" a="1"/>
  <c r="L35" i="34" s="1"/>
  <c r="L36" i="34" s="1" a="1"/>
  <c r="L36" i="34" s="1"/>
  <c r="L37" i="34" s="1" a="1"/>
  <c r="L37" i="34" s="1"/>
  <c r="L38" i="34" s="1" a="1"/>
  <c r="L38" i="34" s="1"/>
  <c r="L39" i="34" s="1" a="1"/>
  <c r="L39" i="34" s="1"/>
  <c r="L40" i="34" s="1" a="1"/>
  <c r="L40" i="34" s="1"/>
  <c r="L41" i="34" s="1" a="1"/>
  <c r="L41" i="34" s="1"/>
  <c r="L42" i="34" s="1" a="1"/>
  <c r="L42" i="34" s="1"/>
  <c r="L43" i="34" s="1" a="1"/>
  <c r="L43" i="34" s="1"/>
  <c r="L44" i="34" s="1" a="1"/>
  <c r="L44" i="34" s="1"/>
  <c r="L45" i="34" s="1" a="1"/>
  <c r="L45" i="34" s="1"/>
  <c r="L46" i="34" s="1" a="1"/>
  <c r="L46" i="34" s="1"/>
  <c r="L47" i="34" s="1" a="1"/>
  <c r="L47" i="34" s="1"/>
  <c r="L48" i="34" s="1" a="1"/>
  <c r="L48" i="34" s="1"/>
  <c r="L49" i="34" s="1" a="1"/>
  <c r="L49" i="34" s="1"/>
  <c r="L50" i="34" s="1" a="1"/>
  <c r="L50" i="34" s="1"/>
  <c r="L51" i="34" s="1" a="1"/>
  <c r="L51" i="34" s="1"/>
  <c r="L52" i="34" s="1" a="1"/>
  <c r="L52" i="34" s="1"/>
  <c r="L53" i="34" s="1" a="1"/>
  <c r="L53" i="34" s="1"/>
  <c r="O5" i="34"/>
  <c r="H4" i="34" a="1"/>
  <c r="H4" i="34" s="1"/>
  <c r="H5" i="34" s="1" a="1"/>
  <c r="H5" i="34" s="1"/>
  <c r="B128" i="28"/>
  <c r="L54" i="34" l="1" a="1"/>
  <c r="L54" i="34" s="1"/>
  <c r="L55" i="34" s="1" a="1"/>
  <c r="L55" i="34" s="1"/>
  <c r="L56" i="34" s="1" a="1"/>
  <c r="L56" i="34" s="1"/>
  <c r="L57" i="34" s="1" a="1"/>
  <c r="L57" i="34" s="1"/>
  <c r="L58" i="34" s="1" a="1"/>
  <c r="L58" i="34" s="1"/>
  <c r="L59" i="34" s="1" a="1"/>
  <c r="L59" i="34" s="1"/>
  <c r="O19" i="34"/>
  <c r="O6" i="34"/>
  <c r="N4" i="34"/>
  <c r="H6" i="34" a="1"/>
  <c r="H6" i="34" s="1"/>
  <c r="N5" i="34"/>
  <c r="F19" i="31" a="1"/>
  <c r="F19" i="31" s="1"/>
  <c r="F13" i="22" a="1"/>
  <c r="F12" i="22" a="1"/>
  <c r="F5" i="22" a="1"/>
  <c r="F6" i="22" a="1"/>
  <c r="L60" i="34" l="1" a="1"/>
  <c r="L60" i="34" s="1"/>
  <c r="L61" i="34" s="1" a="1"/>
  <c r="L61" i="34" s="1"/>
  <c r="L62" i="34" s="1" a="1"/>
  <c r="L62" i="34" s="1"/>
  <c r="L63" i="34" s="1" a="1"/>
  <c r="L63" i="34" s="1"/>
  <c r="L64" i="34" s="1" a="1"/>
  <c r="L64" i="34" s="1"/>
  <c r="L65" i="34" s="1" a="1"/>
  <c r="L65" i="34" s="1"/>
  <c r="O20" i="34"/>
  <c r="O7" i="34"/>
  <c r="H7" i="34" a="1"/>
  <c r="H7" i="34" s="1"/>
  <c r="N6" i="34"/>
  <c r="F13" i="22"/>
  <c r="F12" i="22"/>
  <c r="F6" i="22"/>
  <c r="F5" i="22"/>
  <c r="H18" i="22"/>
  <c r="H19" i="22"/>
  <c r="H20" i="22"/>
  <c r="H21" i="22"/>
  <c r="H22" i="22"/>
  <c r="H23" i="22"/>
  <c r="H24" i="22"/>
  <c r="H25" i="22"/>
  <c r="H26" i="22"/>
  <c r="H27" i="22"/>
  <c r="H28" i="22"/>
  <c r="H29" i="22"/>
  <c r="H30" i="22"/>
  <c r="H31" i="22"/>
  <c r="H32" i="22"/>
  <c r="H33" i="22"/>
  <c r="H34" i="22"/>
  <c r="H35" i="22"/>
  <c r="H36" i="22"/>
  <c r="H37" i="22"/>
  <c r="H38" i="22"/>
  <c r="H39" i="22"/>
  <c r="H40" i="22"/>
  <c r="H41" i="22"/>
  <c r="H42" i="22"/>
  <c r="H43" i="22"/>
  <c r="H44" i="22"/>
  <c r="H45" i="22"/>
  <c r="H46" i="22"/>
  <c r="H47" i="22"/>
  <c r="H48" i="22"/>
  <c r="H49" i="22"/>
  <c r="H50" i="22"/>
  <c r="H51" i="22"/>
  <c r="H52" i="22"/>
  <c r="H53" i="22"/>
  <c r="H54" i="22"/>
  <c r="H55" i="22"/>
  <c r="H56" i="22"/>
  <c r="H57" i="22"/>
  <c r="H58" i="22"/>
  <c r="H59" i="22"/>
  <c r="H60" i="22"/>
  <c r="H61" i="22"/>
  <c r="H62" i="22"/>
  <c r="H63" i="22"/>
  <c r="H64" i="22"/>
  <c r="H65" i="22"/>
  <c r="H66" i="22"/>
  <c r="H67" i="22"/>
  <c r="H68" i="22"/>
  <c r="H69" i="22"/>
  <c r="H70" i="22"/>
  <c r="H71" i="22"/>
  <c r="H72" i="22"/>
  <c r="H73" i="22"/>
  <c r="H74" i="22"/>
  <c r="H75" i="22"/>
  <c r="H76" i="22"/>
  <c r="H77" i="22"/>
  <c r="H78" i="22"/>
  <c r="H79" i="22"/>
  <c r="H80" i="22"/>
  <c r="H81" i="22"/>
  <c r="H82" i="22"/>
  <c r="H83" i="22"/>
  <c r="H84" i="22"/>
  <c r="H85" i="22"/>
  <c r="H86" i="22"/>
  <c r="H87" i="22"/>
  <c r="H88" i="22"/>
  <c r="H89" i="22"/>
  <c r="H90" i="22"/>
  <c r="H91" i="22"/>
  <c r="H92" i="22"/>
  <c r="H93" i="22"/>
  <c r="H94" i="22"/>
  <c r="H95" i="22"/>
  <c r="H96" i="22"/>
  <c r="H97" i="22"/>
  <c r="H98" i="22"/>
  <c r="H99" i="22"/>
  <c r="H100" i="22"/>
  <c r="H101" i="22"/>
  <c r="K222" i="28" a="1"/>
  <c r="K221" i="28" a="1"/>
  <c r="K220" i="28" a="1"/>
  <c r="L66" i="34" l="1" a="1"/>
  <c r="L66" i="34" s="1"/>
  <c r="L67" i="34" s="1" a="1"/>
  <c r="L67" i="34" s="1"/>
  <c r="L68" i="34" s="1" a="1"/>
  <c r="L68" i="34" s="1"/>
  <c r="L69" i="34" s="1" a="1"/>
  <c r="L69" i="34" s="1"/>
  <c r="L70" i="34" s="1" a="1"/>
  <c r="L70" i="34" s="1"/>
  <c r="L71" i="34" s="1" a="1"/>
  <c r="L71" i="34" s="1"/>
  <c r="L72" i="34" s="1" a="1"/>
  <c r="L72" i="34" s="1"/>
  <c r="L73" i="34" s="1" a="1"/>
  <c r="L73" i="34" s="1"/>
  <c r="L74" i="34" s="1" a="1"/>
  <c r="L74" i="34" s="1"/>
  <c r="L75" i="34" s="1" a="1"/>
  <c r="L75" i="34" s="1"/>
  <c r="L76" i="34" s="1" a="1"/>
  <c r="L76" i="34" s="1"/>
  <c r="L77" i="34" s="1" a="1"/>
  <c r="L77" i="34" s="1"/>
  <c r="L78" i="34" s="1" a="1"/>
  <c r="L78" i="34" s="1"/>
  <c r="L79" i="34" s="1" a="1"/>
  <c r="L79" i="34" s="1"/>
  <c r="L80" i="34" s="1" a="1"/>
  <c r="L80" i="34" s="1"/>
  <c r="L81" i="34" s="1" a="1"/>
  <c r="L81" i="34" s="1"/>
  <c r="L82" i="34" s="1" a="1"/>
  <c r="L82" i="34" s="1"/>
  <c r="L83" i="34" s="1" a="1"/>
  <c r="L83" i="34" s="1"/>
  <c r="L84" i="34" s="1" a="1"/>
  <c r="L84" i="34" s="1"/>
  <c r="L85" i="34" s="1" a="1"/>
  <c r="L85" i="34" s="1"/>
  <c r="L86" i="34" s="1" a="1"/>
  <c r="L86" i="34" s="1"/>
  <c r="L87" i="34" s="1" a="1"/>
  <c r="L87" i="34" s="1"/>
  <c r="L88" i="34" s="1" a="1"/>
  <c r="L88" i="34" s="1"/>
  <c r="L89" i="34" s="1" a="1"/>
  <c r="L89" i="34" s="1"/>
  <c r="L90" i="34" s="1" a="1"/>
  <c r="L90" i="34" s="1"/>
  <c r="L91" i="34" s="1" a="1"/>
  <c r="L91" i="34" s="1"/>
  <c r="L92" i="34" s="1" a="1"/>
  <c r="L92" i="34" s="1"/>
  <c r="L93" i="34" s="1" a="1"/>
  <c r="L93" i="34" s="1"/>
  <c r="L94" i="34" s="1" a="1"/>
  <c r="L94" i="34" s="1"/>
  <c r="L95" i="34" s="1" a="1"/>
  <c r="L95" i="34" s="1"/>
  <c r="L96" i="34" s="1" a="1"/>
  <c r="L96" i="34" s="1"/>
  <c r="L97" i="34" s="1" a="1"/>
  <c r="L97" i="34" s="1"/>
  <c r="L98" i="34" s="1" a="1"/>
  <c r="L98" i="34" s="1"/>
  <c r="L99" i="34" s="1" a="1"/>
  <c r="L99" i="34" s="1"/>
  <c r="L100" i="34" s="1" a="1"/>
  <c r="L100" i="34" s="1"/>
  <c r="L101" i="34" s="1" a="1"/>
  <c r="L101" i="34" s="1"/>
  <c r="L102" i="34" s="1" a="1"/>
  <c r="L102" i="34" s="1"/>
  <c r="L103" i="34" s="1" a="1"/>
  <c r="L103" i="34" s="1"/>
  <c r="L104" i="34" s="1" a="1"/>
  <c r="L104" i="34" s="1"/>
  <c r="L105" i="34" s="1" a="1"/>
  <c r="L105" i="34" s="1"/>
  <c r="L106" i="34" s="1" a="1"/>
  <c r="L106" i="34" s="1"/>
  <c r="L107" i="34" s="1" a="1"/>
  <c r="L107" i="34" s="1"/>
  <c r="L108" i="34" s="1" a="1"/>
  <c r="L108" i="34" s="1"/>
  <c r="L109" i="34" s="1" a="1"/>
  <c r="L109" i="34" s="1"/>
  <c r="L110" i="34" s="1" a="1"/>
  <c r="L110" i="34" s="1"/>
  <c r="L111" i="34" s="1" a="1"/>
  <c r="L111" i="34" s="1"/>
  <c r="L112" i="34" s="1" a="1"/>
  <c r="L112" i="34" s="1"/>
  <c r="L113" i="34" s="1" a="1"/>
  <c r="L113" i="34" s="1"/>
  <c r="L114" i="34" s="1" a="1"/>
  <c r="L114" i="34" s="1"/>
  <c r="L115" i="34" s="1" a="1"/>
  <c r="L115" i="34" s="1"/>
  <c r="L116" i="34" s="1" a="1"/>
  <c r="L116" i="34" s="1"/>
  <c r="L117" i="34" s="1" a="1"/>
  <c r="L117" i="34" s="1"/>
  <c r="L118" i="34" s="1" a="1"/>
  <c r="L118" i="34" s="1"/>
  <c r="L119" i="34" s="1" a="1"/>
  <c r="L119" i="34" s="1"/>
  <c r="L120" i="34" s="1" a="1"/>
  <c r="L120" i="34" s="1"/>
  <c r="L121" i="34" s="1" a="1"/>
  <c r="L121" i="34" s="1"/>
  <c r="L122" i="34" s="1" a="1"/>
  <c r="L122" i="34" s="1"/>
  <c r="L123" i="34" s="1" a="1"/>
  <c r="L123" i="34" s="1"/>
  <c r="L124" i="34" s="1" a="1"/>
  <c r="L124" i="34" s="1"/>
  <c r="L125" i="34" s="1" a="1"/>
  <c r="L125" i="34" s="1"/>
  <c r="L126" i="34" s="1" a="1"/>
  <c r="L126" i="34" s="1"/>
  <c r="L127" i="34" s="1" a="1"/>
  <c r="L127" i="34" s="1"/>
  <c r="L128" i="34" s="1" a="1"/>
  <c r="L128" i="34" s="1"/>
  <c r="L129" i="34" s="1" a="1"/>
  <c r="L129" i="34" s="1"/>
  <c r="L130" i="34" s="1" a="1"/>
  <c r="L130" i="34" s="1"/>
  <c r="L131" i="34" s="1" a="1"/>
  <c r="L131" i="34" s="1"/>
  <c r="L132" i="34" s="1" a="1"/>
  <c r="L132" i="34" s="1"/>
  <c r="L133" i="34" s="1" a="1"/>
  <c r="L133" i="34" s="1"/>
  <c r="L134" i="34" s="1" a="1"/>
  <c r="L134" i="34" s="1"/>
  <c r="L135" i="34" s="1" a="1"/>
  <c r="L135" i="34" s="1"/>
  <c r="L136" i="34" s="1" a="1"/>
  <c r="L136" i="34" s="1"/>
  <c r="L137" i="34" s="1" a="1"/>
  <c r="L137" i="34" s="1"/>
  <c r="L138" i="34" s="1" a="1"/>
  <c r="L138" i="34" s="1"/>
  <c r="L139" i="34" s="1" a="1"/>
  <c r="L139" i="34" s="1"/>
  <c r="L140" i="34" s="1" a="1"/>
  <c r="L140" i="34" s="1"/>
  <c r="L141" i="34" s="1" a="1"/>
  <c r="L141" i="34" s="1"/>
  <c r="L142" i="34" s="1" a="1"/>
  <c r="L142" i="34" s="1"/>
  <c r="L143" i="34" s="1" a="1"/>
  <c r="L143" i="34" s="1"/>
  <c r="L144" i="34" s="1" a="1"/>
  <c r="L144" i="34" s="1"/>
  <c r="L145" i="34" s="1" a="1"/>
  <c r="L145" i="34" s="1"/>
  <c r="L146" i="34" s="1" a="1"/>
  <c r="L146" i="34" s="1"/>
  <c r="L147" i="34" s="1" a="1"/>
  <c r="L147" i="34" s="1"/>
  <c r="L148" i="34" s="1" a="1"/>
  <c r="L148" i="34" s="1"/>
  <c r="L149" i="34" s="1" a="1"/>
  <c r="L149" i="34" s="1"/>
  <c r="L150" i="34" s="1" a="1"/>
  <c r="L150" i="34" s="1"/>
  <c r="L151" i="34" s="1" a="1"/>
  <c r="L151" i="34" s="1"/>
  <c r="L152" i="34" s="1" a="1"/>
  <c r="L152" i="34" s="1"/>
  <c r="L153" i="34" s="1" a="1"/>
  <c r="L153" i="34" s="1"/>
  <c r="L154" i="34" s="1" a="1"/>
  <c r="L154" i="34" s="1"/>
  <c r="L155" i="34" s="1" a="1"/>
  <c r="L155" i="34" s="1"/>
  <c r="L156" i="34" s="1" a="1"/>
  <c r="L156" i="34" s="1"/>
  <c r="L157" i="34" s="1" a="1"/>
  <c r="L157" i="34" s="1"/>
  <c r="L158" i="34" s="1" a="1"/>
  <c r="L158" i="34" s="1"/>
  <c r="L159" i="34" s="1" a="1"/>
  <c r="L159" i="34" s="1"/>
  <c r="L160" i="34" s="1" a="1"/>
  <c r="L160" i="34" s="1"/>
  <c r="L161" i="34" s="1" a="1"/>
  <c r="L161" i="34" s="1"/>
  <c r="L162" i="34" s="1" a="1"/>
  <c r="L162" i="34" s="1"/>
  <c r="L163" i="34" s="1" a="1"/>
  <c r="L163" i="34" s="1"/>
  <c r="L164" i="34" s="1" a="1"/>
  <c r="L164" i="34" s="1"/>
  <c r="L165" i="34" s="1" a="1"/>
  <c r="L165" i="34" s="1"/>
  <c r="L166" i="34" s="1" a="1"/>
  <c r="L166" i="34" s="1"/>
  <c r="L167" i="34" s="1" a="1"/>
  <c r="L167" i="34" s="1"/>
  <c r="L168" i="34" s="1" a="1"/>
  <c r="L168" i="34" s="1"/>
  <c r="L169" i="34" s="1" a="1"/>
  <c r="L169" i="34" s="1"/>
  <c r="L170" i="34" s="1" a="1"/>
  <c r="L170" i="34" s="1"/>
  <c r="L171" i="34" s="1" a="1"/>
  <c r="L171" i="34" s="1"/>
  <c r="L172" i="34" s="1" a="1"/>
  <c r="L172" i="34" s="1"/>
  <c r="L173" i="34" s="1" a="1"/>
  <c r="L173" i="34" s="1"/>
  <c r="L174" i="34" s="1" a="1"/>
  <c r="L174" i="34" s="1"/>
  <c r="L175" i="34" s="1" a="1"/>
  <c r="L175" i="34" s="1"/>
  <c r="O21" i="34"/>
  <c r="N7" i="34"/>
  <c r="H8" i="34" a="1"/>
  <c r="H8" i="34" s="1"/>
  <c r="K220" i="28"/>
  <c r="E220" i="28" s="1"/>
  <c r="K221" i="28"/>
  <c r="E221" i="28" s="1"/>
  <c r="K222" i="28"/>
  <c r="F222" i="28" s="1"/>
  <c r="F4" i="31" a="1"/>
  <c r="F4" i="31" s="1"/>
  <c r="G3" i="27" a="1"/>
  <c r="G3" i="27" s="1"/>
  <c r="G4" i="27" s="1" a="1"/>
  <c r="G4" i="27" s="1"/>
  <c r="G5" i="27" s="1" a="1"/>
  <c r="G5" i="27" s="1"/>
  <c r="G6" i="27" s="1" a="1"/>
  <c r="G6" i="27" s="1"/>
  <c r="G7" i="27" s="1" a="1"/>
  <c r="G7" i="27" s="1"/>
  <c r="G8" i="27" s="1" a="1"/>
  <c r="G8" i="27" s="1"/>
  <c r="G9" i="27" s="1" a="1"/>
  <c r="G9" i="27" s="1"/>
  <c r="G10" i="27" s="1" a="1"/>
  <c r="G10" i="27" s="1"/>
  <c r="G11" i="27" s="1" a="1"/>
  <c r="G11" i="27" s="1"/>
  <c r="G12" i="27" s="1" a="1"/>
  <c r="G12" i="27" s="1"/>
  <c r="G13" i="27" s="1" a="1"/>
  <c r="G13" i="27" s="1"/>
  <c r="G14" i="27" s="1" a="1"/>
  <c r="G14" i="27" s="1"/>
  <c r="G15" i="27" s="1" a="1"/>
  <c r="G15" i="27" s="1"/>
  <c r="AN5" i="17" a="1"/>
  <c r="AN5" i="17" s="1"/>
  <c r="AL5" i="17" a="1"/>
  <c r="AL5" i="17" s="1"/>
  <c r="AJ5" i="17" a="1"/>
  <c r="AJ5" i="17" s="1"/>
  <c r="AH5" i="17" a="1"/>
  <c r="AH5" i="17" s="1"/>
  <c r="U5" i="17" a="1"/>
  <c r="U5" i="17" s="1"/>
  <c r="I220" i="28" a="1"/>
  <c r="L176" i="34" l="1" a="1"/>
  <c r="L176" i="34" s="1"/>
  <c r="L177" i="34" s="1" a="1"/>
  <c r="L177" i="34" s="1"/>
  <c r="O22" i="34"/>
  <c r="H9" i="34" a="1"/>
  <c r="H9" i="34" s="1"/>
  <c r="N8" i="34"/>
  <c r="G221" i="28"/>
  <c r="F221" i="28"/>
  <c r="G222" i="28"/>
  <c r="G220" i="28"/>
  <c r="F220" i="28"/>
  <c r="I220" i="28"/>
  <c r="E222" i="28"/>
  <c r="AB3" i="21" a="1"/>
  <c r="AB3" i="21" s="1"/>
  <c r="AB4" i="21" s="1" a="1"/>
  <c r="AB4" i="21" s="1"/>
  <c r="AB5" i="21" s="1" a="1"/>
  <c r="AB5" i="21" s="1"/>
  <c r="AB6" i="21" s="1" a="1"/>
  <c r="AB6" i="21" s="1"/>
  <c r="AB7" i="21" s="1" a="1"/>
  <c r="AB7" i="21" s="1"/>
  <c r="AB8" i="21" s="1" a="1"/>
  <c r="AB8" i="21" s="1"/>
  <c r="AB9" i="21" s="1" a="1"/>
  <c r="AB9" i="21" s="1"/>
  <c r="AB10" i="21" s="1" a="1"/>
  <c r="AB10" i="21" s="1"/>
  <c r="AB11" i="21" s="1" a="1"/>
  <c r="AB11" i="21" s="1"/>
  <c r="AB12" i="21" s="1" a="1"/>
  <c r="AB12" i="21" s="1"/>
  <c r="AB13" i="21" s="1" a="1"/>
  <c r="AB13" i="21" s="1"/>
  <c r="AB14" i="21" s="1" a="1"/>
  <c r="AB14" i="21" s="1"/>
  <c r="AB15" i="21" s="1" a="1"/>
  <c r="AB15" i="21" s="1"/>
  <c r="AB16" i="21" s="1" a="1"/>
  <c r="AB16" i="21" s="1"/>
  <c r="AB17" i="21" s="1" a="1"/>
  <c r="AB17" i="21" s="1"/>
  <c r="AB18" i="21" s="1" a="1"/>
  <c r="AB18" i="21" s="1"/>
  <c r="AB19" i="21" s="1" a="1"/>
  <c r="AB19" i="21" s="1"/>
  <c r="AB20" i="21" s="1" a="1"/>
  <c r="AB20" i="21" s="1"/>
  <c r="AB21" i="21" s="1" a="1"/>
  <c r="AB21" i="21" s="1"/>
  <c r="AB22" i="21" s="1" a="1"/>
  <c r="AB22" i="21" s="1"/>
  <c r="AB23" i="21" s="1" a="1"/>
  <c r="AB23" i="21" s="1"/>
  <c r="AB24" i="21" s="1" a="1"/>
  <c r="AB24" i="21" s="1"/>
  <c r="AB25" i="21" s="1" a="1"/>
  <c r="AB25" i="21" s="1"/>
  <c r="AB26" i="21" s="1" a="1"/>
  <c r="AB26" i="21" s="1"/>
  <c r="AB27" i="21" s="1" a="1"/>
  <c r="AB27" i="21" s="1"/>
  <c r="AB28" i="21" s="1" a="1"/>
  <c r="AB28" i="21" s="1"/>
  <c r="AB29" i="21" s="1" a="1"/>
  <c r="AB29" i="21" s="1"/>
  <c r="AB30" i="21" s="1" a="1"/>
  <c r="AB30" i="21" s="1"/>
  <c r="AB31" i="21" s="1" a="1"/>
  <c r="AB31" i="21" s="1"/>
  <c r="AB32" i="21" s="1" a="1"/>
  <c r="AB32" i="21" s="1"/>
  <c r="AB33" i="21" s="1" a="1"/>
  <c r="AB33" i="21" s="1"/>
  <c r="AB34" i="21" s="1" a="1"/>
  <c r="AB34" i="21" s="1"/>
  <c r="AB35" i="21" s="1" a="1"/>
  <c r="AB35" i="21" s="1"/>
  <c r="AB36" i="21" s="1" a="1"/>
  <c r="AB36" i="21" s="1"/>
  <c r="AB37" i="21" s="1" a="1"/>
  <c r="AB37" i="21" s="1"/>
  <c r="AB38" i="21" s="1" a="1"/>
  <c r="AB38" i="21" s="1"/>
  <c r="AB39" i="21" s="1" a="1"/>
  <c r="AB39" i="21" s="1"/>
  <c r="AB40" i="21" s="1" a="1"/>
  <c r="AB40" i="21" s="1"/>
  <c r="AB41" i="21" s="1" a="1"/>
  <c r="AB41" i="21" s="1"/>
  <c r="AB42" i="21" s="1" a="1"/>
  <c r="AB42" i="21" s="1"/>
  <c r="AB43" i="21" s="1" a="1"/>
  <c r="AB43" i="21" s="1"/>
  <c r="Z3" i="21" a="1"/>
  <c r="Z3" i="21" s="1"/>
  <c r="Z4" i="21" s="1" a="1"/>
  <c r="Z4" i="21" s="1"/>
  <c r="Z5" i="21" s="1" a="1"/>
  <c r="Z5" i="21" s="1"/>
  <c r="Z6" i="21" s="1" a="1"/>
  <c r="Z6" i="21" s="1"/>
  <c r="Z7" i="21" s="1" a="1"/>
  <c r="Z7" i="21" s="1"/>
  <c r="Z8" i="21" s="1" a="1"/>
  <c r="Z8" i="21" s="1"/>
  <c r="Z9" i="21" s="1" a="1"/>
  <c r="Z9" i="21" s="1"/>
  <c r="Z10" i="21" s="1" a="1"/>
  <c r="Z10" i="21" s="1"/>
  <c r="Z11" i="21" s="1" a="1"/>
  <c r="Z11" i="21" s="1"/>
  <c r="Z12" i="21" s="1" a="1"/>
  <c r="Z12" i="21" s="1"/>
  <c r="Z13" i="21" s="1" a="1"/>
  <c r="Z13" i="21" s="1"/>
  <c r="Z14" i="21" s="1" a="1"/>
  <c r="Z14" i="21" s="1"/>
  <c r="Z15" i="21" s="1" a="1"/>
  <c r="Z15" i="21" s="1"/>
  <c r="Z16" i="21" s="1" a="1"/>
  <c r="Z16" i="21" s="1"/>
  <c r="Z17" i="21" s="1" a="1"/>
  <c r="Z17" i="21" s="1"/>
  <c r="Z18" i="21" s="1" a="1"/>
  <c r="Z18" i="21" s="1"/>
  <c r="Z19" i="21" s="1" a="1"/>
  <c r="Z19" i="21" s="1"/>
  <c r="Z20" i="21" s="1" a="1"/>
  <c r="Z20" i="21" s="1"/>
  <c r="Z21" i="21" s="1" a="1"/>
  <c r="Z21" i="21" s="1"/>
  <c r="Z22" i="21" s="1" a="1"/>
  <c r="Z22" i="21" s="1"/>
  <c r="Z23" i="21" s="1" a="1"/>
  <c r="Z23" i="21" s="1"/>
  <c r="Z24" i="21" s="1" a="1"/>
  <c r="Z24" i="21" s="1"/>
  <c r="Z25" i="21" s="1" a="1"/>
  <c r="Z25" i="21" s="1"/>
  <c r="Z26" i="21" s="1" a="1"/>
  <c r="Z26" i="21" s="1"/>
  <c r="Z27" i="21" s="1" a="1"/>
  <c r="Z27" i="21" s="1"/>
  <c r="Z28" i="21" s="1" a="1"/>
  <c r="Z28" i="21" s="1"/>
  <c r="Z29" i="21" s="1" a="1"/>
  <c r="Z29" i="21" s="1"/>
  <c r="Z30" i="21" s="1" a="1"/>
  <c r="Z30" i="21" s="1"/>
  <c r="Z31" i="21" s="1" a="1"/>
  <c r="Z31" i="21" s="1"/>
  <c r="Z32" i="21" s="1" a="1"/>
  <c r="Z32" i="21" s="1"/>
  <c r="Z33" i="21" s="1" a="1"/>
  <c r="Z33" i="21" s="1"/>
  <c r="Z34" i="21" s="1" a="1"/>
  <c r="Z34" i="21" s="1"/>
  <c r="Z35" i="21" s="1" a="1"/>
  <c r="Z35" i="21" s="1"/>
  <c r="Z36" i="21" s="1" a="1"/>
  <c r="Z36" i="21" s="1"/>
  <c r="Z37" i="21" s="1" a="1"/>
  <c r="Z37" i="21" s="1"/>
  <c r="Z38" i="21" s="1" a="1"/>
  <c r="Z38" i="21" s="1"/>
  <c r="Z39" i="21" s="1" a="1"/>
  <c r="Z39" i="21" s="1"/>
  <c r="Z40" i="21" s="1" a="1"/>
  <c r="Z40" i="21" s="1"/>
  <c r="Z41" i="21" s="1" a="1"/>
  <c r="Z41" i="21" s="1"/>
  <c r="Z42" i="21" s="1" a="1"/>
  <c r="Z42" i="21" s="1"/>
  <c r="Z43" i="21" s="1" a="1"/>
  <c r="Z43" i="21" s="1"/>
  <c r="I3" i="12" a="1"/>
  <c r="I3" i="12" s="1"/>
  <c r="AC103" i="3" a="1"/>
  <c r="AC103" i="3" s="1"/>
  <c r="AC102" i="3" a="1"/>
  <c r="AC102" i="3" s="1"/>
  <c r="AC101" i="3" a="1"/>
  <c r="AC101" i="3" s="1"/>
  <c r="AC100" i="3" a="1"/>
  <c r="AC100" i="3" s="1"/>
  <c r="AC99" i="3" a="1"/>
  <c r="AC99" i="3" s="1"/>
  <c r="AC98" i="3" a="1"/>
  <c r="AC98" i="3" s="1"/>
  <c r="AC97" i="3" a="1"/>
  <c r="AC97" i="3" s="1"/>
  <c r="AC96" i="3" a="1"/>
  <c r="AC96" i="3" s="1"/>
  <c r="AC95" i="3" a="1"/>
  <c r="AC95" i="3" s="1"/>
  <c r="AC94" i="3" a="1"/>
  <c r="AC94" i="3" s="1"/>
  <c r="AC93" i="3" a="1"/>
  <c r="AC93" i="3" s="1"/>
  <c r="AC92" i="3" a="1"/>
  <c r="AC92" i="3" s="1"/>
  <c r="AC91" i="3" a="1"/>
  <c r="AC91" i="3" s="1"/>
  <c r="AC90" i="3" a="1"/>
  <c r="AC90" i="3" s="1"/>
  <c r="AC89" i="3" a="1"/>
  <c r="AC89" i="3" s="1"/>
  <c r="AC88" i="3" a="1"/>
  <c r="AC88" i="3" s="1"/>
  <c r="AC87" i="3" a="1"/>
  <c r="AC87" i="3" s="1"/>
  <c r="AC86" i="3" a="1"/>
  <c r="AC86" i="3" s="1"/>
  <c r="AC85" i="3" a="1"/>
  <c r="AC85" i="3" s="1"/>
  <c r="AC84" i="3" a="1"/>
  <c r="AC84" i="3" s="1"/>
  <c r="AC83" i="3" a="1"/>
  <c r="AC83" i="3" s="1"/>
  <c r="AC82" i="3" a="1"/>
  <c r="AC82" i="3" s="1"/>
  <c r="AC81" i="3" a="1"/>
  <c r="AC81" i="3" s="1"/>
  <c r="AC80" i="3" a="1"/>
  <c r="AC80" i="3" s="1"/>
  <c r="AC79" i="3" a="1"/>
  <c r="AC79" i="3" s="1"/>
  <c r="AC78" i="3" a="1"/>
  <c r="AC78" i="3" s="1"/>
  <c r="AC77" i="3" a="1"/>
  <c r="AC77" i="3" s="1"/>
  <c r="AC76" i="3" a="1"/>
  <c r="AC76" i="3" s="1"/>
  <c r="AC75" i="3" a="1"/>
  <c r="AC75" i="3" s="1"/>
  <c r="AC74" i="3" a="1"/>
  <c r="AC74" i="3" s="1"/>
  <c r="AC73" i="3" a="1"/>
  <c r="AC73" i="3" s="1"/>
  <c r="AC72" i="3" a="1"/>
  <c r="AC72" i="3" s="1"/>
  <c r="AC71" i="3" a="1"/>
  <c r="AC71" i="3" s="1"/>
  <c r="AC70" i="3" a="1"/>
  <c r="AC70" i="3" s="1"/>
  <c r="AC69" i="3" a="1"/>
  <c r="AC69" i="3" s="1"/>
  <c r="AC68" i="3" a="1"/>
  <c r="AC68" i="3" s="1"/>
  <c r="AC67" i="3" a="1"/>
  <c r="AC67" i="3" s="1"/>
  <c r="AC66" i="3" a="1"/>
  <c r="AC66" i="3" s="1"/>
  <c r="AC65" i="3" a="1"/>
  <c r="AC65" i="3" s="1"/>
  <c r="AC64" i="3" a="1"/>
  <c r="AC64" i="3" s="1"/>
  <c r="AC63" i="3" a="1"/>
  <c r="AC63" i="3" s="1"/>
  <c r="AC62" i="3" a="1"/>
  <c r="AC62" i="3" s="1"/>
  <c r="AC61" i="3" a="1"/>
  <c r="AC61" i="3" s="1"/>
  <c r="AC60" i="3" a="1"/>
  <c r="AC60" i="3" s="1"/>
  <c r="AC59" i="3" a="1"/>
  <c r="AC59" i="3" s="1"/>
  <c r="AC58" i="3" a="1"/>
  <c r="AC58" i="3" s="1"/>
  <c r="AC57" i="3" a="1"/>
  <c r="AC57" i="3" s="1"/>
  <c r="AC56" i="3" a="1"/>
  <c r="AC56" i="3" s="1"/>
  <c r="AC55" i="3" a="1"/>
  <c r="AC55" i="3" s="1"/>
  <c r="AC54" i="3" a="1"/>
  <c r="AC54" i="3" s="1"/>
  <c r="AC53" i="3" a="1"/>
  <c r="AC53" i="3" s="1"/>
  <c r="AC52" i="3" a="1"/>
  <c r="AC52" i="3" s="1"/>
  <c r="AC51" i="3" a="1"/>
  <c r="AC51" i="3" s="1"/>
  <c r="AC50" i="3" a="1"/>
  <c r="AC50" i="3" s="1"/>
  <c r="AC49" i="3" a="1"/>
  <c r="AC49" i="3" s="1"/>
  <c r="AC48" i="3" a="1"/>
  <c r="AC48" i="3" s="1"/>
  <c r="AC47" i="3" a="1"/>
  <c r="AC47" i="3" s="1"/>
  <c r="AC46" i="3" a="1"/>
  <c r="AC46" i="3" s="1"/>
  <c r="AC45" i="3" a="1"/>
  <c r="AC45" i="3" s="1"/>
  <c r="AC44" i="3" a="1"/>
  <c r="AC44" i="3" s="1"/>
  <c r="AC43" i="3" a="1"/>
  <c r="AC43" i="3" s="1"/>
  <c r="AC42" i="3" a="1"/>
  <c r="AC42" i="3" s="1"/>
  <c r="AC41" i="3" a="1"/>
  <c r="AC41" i="3" s="1"/>
  <c r="AC40" i="3" a="1"/>
  <c r="AC40" i="3" s="1"/>
  <c r="AC39" i="3" a="1"/>
  <c r="AC39" i="3" s="1"/>
  <c r="AC38" i="3" a="1"/>
  <c r="AC38" i="3" s="1"/>
  <c r="AC37" i="3" a="1"/>
  <c r="AC37" i="3" s="1"/>
  <c r="AC36" i="3" a="1"/>
  <c r="AC36" i="3" s="1"/>
  <c r="AC35" i="3" a="1"/>
  <c r="AC35" i="3" s="1"/>
  <c r="AC34" i="3" a="1"/>
  <c r="AC34" i="3" s="1"/>
  <c r="AC33" i="3" a="1"/>
  <c r="AC33" i="3" s="1"/>
  <c r="AC32" i="3" a="1"/>
  <c r="AC32" i="3" s="1"/>
  <c r="AC28" i="3" a="1"/>
  <c r="AC28" i="3" s="1"/>
  <c r="AC26" i="3" a="1"/>
  <c r="AC26" i="3" s="1"/>
  <c r="AC24" i="3" a="1"/>
  <c r="AC24" i="3" s="1"/>
  <c r="AC23" i="3" a="1"/>
  <c r="AC23" i="3" s="1"/>
  <c r="AC22" i="3" a="1"/>
  <c r="AC22" i="3" s="1"/>
  <c r="AC21" i="3" a="1"/>
  <c r="AC21" i="3" s="1"/>
  <c r="AC20" i="3" a="1"/>
  <c r="AC20" i="3" s="1"/>
  <c r="AC19" i="3" a="1"/>
  <c r="AC19" i="3" s="1"/>
  <c r="AC18" i="3" a="1"/>
  <c r="AC18" i="3" s="1"/>
  <c r="AC16" i="3" a="1"/>
  <c r="AC16" i="3" s="1"/>
  <c r="AC15" i="3" a="1"/>
  <c r="AC15" i="3" s="1"/>
  <c r="AC14" i="3" a="1"/>
  <c r="AC14" i="3" s="1"/>
  <c r="AC13" i="3" a="1"/>
  <c r="AC13" i="3" s="1"/>
  <c r="AC11" i="3" a="1"/>
  <c r="AC11" i="3" s="1"/>
  <c r="AC10" i="3" a="1"/>
  <c r="AC10" i="3" s="1"/>
  <c r="AC9" i="3" a="1"/>
  <c r="AC9" i="3" s="1"/>
  <c r="AC8" i="3" a="1"/>
  <c r="AC8" i="3" s="1"/>
  <c r="AC6" i="3" a="1"/>
  <c r="AC6" i="3" s="1"/>
  <c r="AC5" i="3" a="1"/>
  <c r="AC5" i="3" s="1"/>
  <c r="AC4" i="3" a="1"/>
  <c r="AC4" i="3" s="1"/>
  <c r="G4" i="29" a="1"/>
  <c r="G4" i="29" s="1"/>
  <c r="G5" i="29" a="1"/>
  <c r="G5" i="29" s="1"/>
  <c r="G6" i="29" a="1"/>
  <c r="G6" i="29" s="1"/>
  <c r="G9" i="29" a="1"/>
  <c r="G9" i="29" s="1"/>
  <c r="G11" i="29" a="1"/>
  <c r="G11" i="29" s="1"/>
  <c r="G14" i="29" a="1"/>
  <c r="G14" i="29" s="1"/>
  <c r="G15" i="29" a="1"/>
  <c r="G15" i="29" s="1"/>
  <c r="G17" i="29" a="1"/>
  <c r="G17" i="29" s="1"/>
  <c r="G19" i="29" a="1"/>
  <c r="G19" i="29" s="1"/>
  <c r="G22" i="29" a="1"/>
  <c r="G22" i="29" s="1"/>
  <c r="G23" i="29" a="1"/>
  <c r="G23" i="29" s="1"/>
  <c r="G25" i="29" a="1"/>
  <c r="G25" i="29" s="1"/>
  <c r="G29" i="29" a="1"/>
  <c r="G29" i="29" s="1"/>
  <c r="G31" i="29" a="1"/>
  <c r="G31" i="29" s="1"/>
  <c r="G34" i="29" a="1"/>
  <c r="G34" i="29" s="1"/>
  <c r="G37" i="29" a="1"/>
  <c r="G37" i="29" s="1"/>
  <c r="G42" i="29" a="1"/>
  <c r="G42" i="29" s="1"/>
  <c r="G52" i="29" a="1"/>
  <c r="G52" i="29" s="1"/>
  <c r="AA3" i="20" a="1"/>
  <c r="AA3" i="20" s="1"/>
  <c r="AA5" i="20" a="1"/>
  <c r="AA5" i="20" s="1"/>
  <c r="AA6" i="20" a="1"/>
  <c r="AA6" i="20" s="1"/>
  <c r="AA7" i="20" a="1"/>
  <c r="AA7" i="20" s="1"/>
  <c r="AA8" i="20" a="1"/>
  <c r="AA8" i="20" s="1"/>
  <c r="AA9" i="20" a="1"/>
  <c r="AA9" i="20" s="1"/>
  <c r="AA10" i="20" a="1"/>
  <c r="AA10" i="20" s="1"/>
  <c r="AA11" i="20" a="1"/>
  <c r="AA11" i="20" s="1"/>
  <c r="AA12" i="20" a="1"/>
  <c r="AA12" i="20" s="1"/>
  <c r="AA13" i="20" a="1"/>
  <c r="AA13" i="20" s="1"/>
  <c r="AA14" i="20" a="1"/>
  <c r="AA14" i="20" s="1"/>
  <c r="AA15" i="20" a="1"/>
  <c r="AA15" i="20" s="1"/>
  <c r="AA16" i="20" a="1"/>
  <c r="AA16" i="20" s="1"/>
  <c r="AA17" i="20" a="1"/>
  <c r="AA17" i="20" s="1"/>
  <c r="AA18" i="20" a="1"/>
  <c r="AA18" i="20" s="1"/>
  <c r="AA19" i="20" a="1"/>
  <c r="AA19" i="20" s="1"/>
  <c r="AA20" i="20" a="1"/>
  <c r="AA20" i="20" s="1"/>
  <c r="AA21" i="20" a="1"/>
  <c r="AA21" i="20" s="1"/>
  <c r="AA22" i="20" a="1"/>
  <c r="AA22" i="20" s="1"/>
  <c r="AA23" i="20" a="1"/>
  <c r="AA23" i="20" s="1"/>
  <c r="AA24" i="20" a="1"/>
  <c r="AA24" i="20" s="1"/>
  <c r="AA25" i="20" a="1"/>
  <c r="AA25" i="20" s="1"/>
  <c r="AA26" i="20" a="1"/>
  <c r="AA26" i="20" s="1"/>
  <c r="AA27" i="20" a="1"/>
  <c r="AA27" i="20" s="1"/>
  <c r="AA28" i="20" a="1"/>
  <c r="AA28" i="20" s="1"/>
  <c r="AA29" i="20" a="1"/>
  <c r="AA29" i="20" s="1"/>
  <c r="AA30" i="20" a="1"/>
  <c r="AA30" i="20" s="1"/>
  <c r="AA31" i="20" a="1"/>
  <c r="AA31" i="20" s="1"/>
  <c r="AA32" i="20" a="1"/>
  <c r="AA32" i="20" s="1"/>
  <c r="AA33" i="20" a="1"/>
  <c r="AA33" i="20" s="1"/>
  <c r="AA34" i="20" a="1"/>
  <c r="AA34" i="20" s="1"/>
  <c r="AA35" i="20" a="1"/>
  <c r="AA35" i="20" s="1"/>
  <c r="AA36" i="20" a="1"/>
  <c r="AA36" i="20" s="1"/>
  <c r="AA37" i="20" a="1"/>
  <c r="AA37" i="20" s="1"/>
  <c r="AA38" i="20" a="1"/>
  <c r="AA38" i="20" s="1"/>
  <c r="AA39" i="20" a="1"/>
  <c r="AA39" i="20" s="1"/>
  <c r="AA40" i="20" a="1"/>
  <c r="AA40" i="20" s="1"/>
  <c r="AA41" i="20" a="1"/>
  <c r="AA41" i="20" s="1"/>
  <c r="AA42" i="20" a="1"/>
  <c r="AA42" i="20" s="1"/>
  <c r="AA43" i="20" a="1"/>
  <c r="AA43" i="20" s="1"/>
  <c r="AA44" i="20" a="1"/>
  <c r="AA44" i="20" s="1"/>
  <c r="AA45" i="20" a="1"/>
  <c r="AA45" i="20" s="1"/>
  <c r="AA46" i="20" a="1"/>
  <c r="AA46" i="20" s="1"/>
  <c r="AA47" i="20" a="1"/>
  <c r="AA47" i="20" s="1"/>
  <c r="AA48" i="20" a="1"/>
  <c r="AA48" i="20" s="1"/>
  <c r="AA49" i="20" a="1"/>
  <c r="AA49" i="20" s="1"/>
  <c r="AA50" i="20" a="1"/>
  <c r="AA50" i="20" s="1"/>
  <c r="AA51" i="20" a="1"/>
  <c r="AA51" i="20" s="1"/>
  <c r="AA52" i="20" a="1"/>
  <c r="AA52" i="20" s="1"/>
  <c r="AA53" i="20" a="1"/>
  <c r="AA53" i="20" s="1"/>
  <c r="AA54" i="20" a="1"/>
  <c r="AA54" i="20" s="1"/>
  <c r="AA55" i="20" a="1"/>
  <c r="AA55" i="20" s="1"/>
  <c r="AA56" i="20" a="1"/>
  <c r="AA56" i="20" s="1"/>
  <c r="AA57" i="20" a="1"/>
  <c r="AA57" i="20" s="1"/>
  <c r="AA58" i="20" a="1"/>
  <c r="AA58" i="20" s="1"/>
  <c r="AA59" i="20" a="1"/>
  <c r="AA59" i="20" s="1"/>
  <c r="AA60" i="20" a="1"/>
  <c r="AA60" i="20" s="1"/>
  <c r="AA61" i="20" a="1"/>
  <c r="AA61" i="20" s="1"/>
  <c r="Y3" i="20" a="1"/>
  <c r="Y3" i="20" s="1"/>
  <c r="Y5" i="20" a="1"/>
  <c r="Y5" i="20" s="1"/>
  <c r="Y6" i="20" a="1"/>
  <c r="Y6" i="20" s="1"/>
  <c r="Y7" i="20" a="1"/>
  <c r="Y7" i="20" s="1"/>
  <c r="Y8" i="20" a="1"/>
  <c r="Y8" i="20" s="1"/>
  <c r="Y9" i="20" a="1"/>
  <c r="Y9" i="20" s="1"/>
  <c r="Y10" i="20" a="1"/>
  <c r="Y10" i="20" s="1"/>
  <c r="Y11" i="20" a="1"/>
  <c r="Y11" i="20" s="1"/>
  <c r="Y12" i="20" a="1"/>
  <c r="Y12" i="20" s="1"/>
  <c r="Y13" i="20" a="1"/>
  <c r="Y13" i="20" s="1"/>
  <c r="Y14" i="20" a="1"/>
  <c r="Y14" i="20" s="1"/>
  <c r="Y15" i="20" a="1"/>
  <c r="Y15" i="20" s="1"/>
  <c r="Y16" i="20" a="1"/>
  <c r="Y16" i="20" s="1"/>
  <c r="Y17" i="20" a="1"/>
  <c r="Y17" i="20" s="1"/>
  <c r="Y18" i="20" a="1"/>
  <c r="Y18" i="20" s="1"/>
  <c r="Y19" i="20" a="1"/>
  <c r="Y19" i="20" s="1"/>
  <c r="Y20" i="20" a="1"/>
  <c r="Y20" i="20" s="1"/>
  <c r="Y21" i="20" a="1"/>
  <c r="Y21" i="20" s="1"/>
  <c r="Y22" i="20" a="1"/>
  <c r="Y22" i="20" s="1"/>
  <c r="Y23" i="20" a="1"/>
  <c r="Y23" i="20" s="1"/>
  <c r="Y24" i="20" a="1"/>
  <c r="Y24" i="20" s="1"/>
  <c r="Y25" i="20" a="1"/>
  <c r="Y25" i="20" s="1"/>
  <c r="Y26" i="20" a="1"/>
  <c r="Y26" i="20" s="1"/>
  <c r="Y27" i="20" a="1"/>
  <c r="Y27" i="20" s="1"/>
  <c r="Y28" i="20" a="1"/>
  <c r="Y28" i="20" s="1"/>
  <c r="Y29" i="20" a="1"/>
  <c r="Y29" i="20" s="1"/>
  <c r="Y30" i="20" a="1"/>
  <c r="Y30" i="20" s="1"/>
  <c r="Y31" i="20" a="1"/>
  <c r="Y31" i="20" s="1"/>
  <c r="Y32" i="20" a="1"/>
  <c r="Y32" i="20" s="1"/>
  <c r="Y33" i="20" a="1"/>
  <c r="Y33" i="20" s="1"/>
  <c r="Y34" i="20" a="1"/>
  <c r="Y34" i="20" s="1"/>
  <c r="Y35" i="20" a="1"/>
  <c r="Y35" i="20" s="1"/>
  <c r="Y36" i="20" a="1"/>
  <c r="Y36" i="20" s="1"/>
  <c r="Y37" i="20" a="1"/>
  <c r="Y37" i="20" s="1"/>
  <c r="Y38" i="20" a="1"/>
  <c r="Y38" i="20" s="1"/>
  <c r="Y39" i="20" a="1"/>
  <c r="Y39" i="20" s="1"/>
  <c r="Y40" i="20" a="1"/>
  <c r="Y40" i="20" s="1"/>
  <c r="Y41" i="20" a="1"/>
  <c r="Y41" i="20" s="1"/>
  <c r="Y42" i="20" a="1"/>
  <c r="Y42" i="20" s="1"/>
  <c r="Y43" i="20" a="1"/>
  <c r="Y43" i="20" s="1"/>
  <c r="Y44" i="20" a="1"/>
  <c r="Y44" i="20" s="1"/>
  <c r="Y45" i="20" a="1"/>
  <c r="Y45" i="20" s="1"/>
  <c r="Y46" i="20" a="1"/>
  <c r="Y46" i="20" s="1"/>
  <c r="Y47" i="20" a="1"/>
  <c r="Y47" i="20" s="1"/>
  <c r="Y48" i="20" a="1"/>
  <c r="Y48" i="20" s="1"/>
  <c r="Y49" i="20" a="1"/>
  <c r="Y49" i="20" s="1"/>
  <c r="Y50" i="20" a="1"/>
  <c r="Y50" i="20" s="1"/>
  <c r="Y51" i="20" a="1"/>
  <c r="Y51" i="20" s="1"/>
  <c r="Y52" i="20" a="1"/>
  <c r="Y52" i="20" s="1"/>
  <c r="Y53" i="20" a="1"/>
  <c r="Y53" i="20" s="1"/>
  <c r="Y54" i="20" a="1"/>
  <c r="Y54" i="20" s="1"/>
  <c r="Y55" i="20" a="1"/>
  <c r="Y55" i="20" s="1"/>
  <c r="Y56" i="20" a="1"/>
  <c r="Y56" i="20" s="1"/>
  <c r="Y57" i="20" a="1"/>
  <c r="Y57" i="20" s="1"/>
  <c r="Y58" i="20" a="1"/>
  <c r="Y58" i="20" s="1"/>
  <c r="Y59" i="20" a="1"/>
  <c r="Y59" i="20" s="1"/>
  <c r="Y60" i="20" a="1"/>
  <c r="Y60" i="20" s="1"/>
  <c r="Y61" i="20" a="1"/>
  <c r="Y61" i="20" s="1"/>
  <c r="U3" i="20" a="1"/>
  <c r="U3" i="20" s="1"/>
  <c r="G3" i="20" a="1"/>
  <c r="G3" i="20" s="1"/>
  <c r="G5" i="20" a="1"/>
  <c r="G5" i="20" s="1"/>
  <c r="G6" i="20" a="1"/>
  <c r="G6" i="20" s="1"/>
  <c r="G8" i="20" a="1"/>
  <c r="G8" i="20" s="1"/>
  <c r="G9" i="20" a="1"/>
  <c r="G9" i="20" s="1"/>
  <c r="G10" i="20" a="1"/>
  <c r="G10" i="20" s="1"/>
  <c r="G11" i="20" a="1"/>
  <c r="G11" i="20" s="1"/>
  <c r="G12" i="20" a="1"/>
  <c r="G12" i="20" s="1"/>
  <c r="G13" i="20" a="1"/>
  <c r="G13" i="20" s="1"/>
  <c r="G14" i="20" a="1"/>
  <c r="G14" i="20" s="1"/>
  <c r="G15" i="20" a="1"/>
  <c r="G15" i="20" s="1"/>
  <c r="G16" i="20" a="1"/>
  <c r="G16" i="20" s="1"/>
  <c r="G17" i="20" a="1"/>
  <c r="G17" i="20" s="1"/>
  <c r="G18" i="20" a="1"/>
  <c r="G18" i="20" s="1"/>
  <c r="G20" i="20" a="1"/>
  <c r="G20" i="20" s="1"/>
  <c r="G22" i="20" a="1"/>
  <c r="G22" i="20" s="1"/>
  <c r="G23" i="20" a="1"/>
  <c r="G23" i="20" s="1"/>
  <c r="G26" i="20" a="1"/>
  <c r="G26" i="20" s="1"/>
  <c r="G27" i="20" a="1"/>
  <c r="G27" i="20" s="1"/>
  <c r="G28" i="20" a="1"/>
  <c r="G28" i="20" s="1"/>
  <c r="G29" i="20" a="1"/>
  <c r="G29" i="20" s="1"/>
  <c r="G30" i="20" a="1"/>
  <c r="G30" i="20" s="1"/>
  <c r="G32" i="20" a="1"/>
  <c r="G32" i="20" s="1"/>
  <c r="G34" i="20" a="1"/>
  <c r="G34" i="20" s="1"/>
  <c r="G36" i="20" a="1"/>
  <c r="G36" i="20" s="1"/>
  <c r="G38" i="20" a="1"/>
  <c r="G38" i="20" s="1"/>
  <c r="G39" i="20" a="1"/>
  <c r="G39" i="20" s="1"/>
  <c r="Z3" i="10" a="1"/>
  <c r="Z3" i="10" s="1"/>
  <c r="Z4" i="10" a="1"/>
  <c r="Z4" i="10" s="1"/>
  <c r="Z5" i="10" a="1"/>
  <c r="Z5" i="10" s="1"/>
  <c r="Z6" i="10" a="1"/>
  <c r="Z6" i="10" s="1"/>
  <c r="Z7" i="10" a="1"/>
  <c r="Z7" i="10" s="1"/>
  <c r="Z8" i="10" a="1"/>
  <c r="Z8" i="10" s="1"/>
  <c r="Z9" i="10" a="1"/>
  <c r="Z9" i="10" s="1"/>
  <c r="Z10" i="10" a="1"/>
  <c r="Z10" i="10" s="1"/>
  <c r="Z11" i="10" a="1"/>
  <c r="Z11" i="10" s="1"/>
  <c r="Z12" i="10" a="1"/>
  <c r="Z12" i="10" s="1"/>
  <c r="Z13" i="10" a="1"/>
  <c r="Z13" i="10" s="1"/>
  <c r="Z14" i="10" a="1"/>
  <c r="Z14" i="10" s="1"/>
  <c r="Z15" i="10" a="1"/>
  <c r="Z15" i="10" s="1"/>
  <c r="Z16" i="10" a="1"/>
  <c r="Z16" i="10" s="1"/>
  <c r="Z17" i="10" a="1"/>
  <c r="Z17" i="10" s="1"/>
  <c r="Z18" i="10" a="1"/>
  <c r="Z18" i="10" s="1"/>
  <c r="Z19" i="10" a="1"/>
  <c r="Z19" i="10" s="1"/>
  <c r="Z20" i="10" a="1"/>
  <c r="Z20" i="10" s="1"/>
  <c r="Z21" i="10" a="1"/>
  <c r="Z21" i="10" s="1"/>
  <c r="Z22" i="10" a="1"/>
  <c r="Z22" i="10" s="1"/>
  <c r="Z23" i="10" a="1"/>
  <c r="Z23" i="10" s="1"/>
  <c r="Z24" i="10" a="1"/>
  <c r="Z24" i="10" s="1"/>
  <c r="Z25" i="10" a="1"/>
  <c r="Z25" i="10" s="1"/>
  <c r="Z26" i="10" a="1"/>
  <c r="Z26" i="10" s="1"/>
  <c r="Z27" i="10" a="1"/>
  <c r="Z27" i="10" s="1"/>
  <c r="Z28" i="10" a="1"/>
  <c r="Z28" i="10" s="1"/>
  <c r="Z29" i="10" a="1"/>
  <c r="Z29" i="10" s="1"/>
  <c r="Z30" i="10" a="1"/>
  <c r="Z30" i="10" s="1"/>
  <c r="Z31" i="10" a="1"/>
  <c r="Z31" i="10" s="1"/>
  <c r="Z32" i="10" a="1"/>
  <c r="Z32" i="10" s="1"/>
  <c r="Z33" i="10" a="1"/>
  <c r="Z33" i="10" s="1"/>
  <c r="Z34" i="10" a="1"/>
  <c r="Z34" i="10" s="1"/>
  <c r="Z35" i="10" a="1"/>
  <c r="Z35" i="10" s="1"/>
  <c r="Z36" i="10" a="1"/>
  <c r="Z36" i="10" s="1"/>
  <c r="Z37" i="10" a="1"/>
  <c r="Z37" i="10" s="1"/>
  <c r="Z38" i="10" a="1"/>
  <c r="Z38" i="10" s="1"/>
  <c r="Z39" i="10" a="1"/>
  <c r="Z39" i="10" s="1"/>
  <c r="Z40" i="10" a="1"/>
  <c r="Z40" i="10" s="1"/>
  <c r="Z41" i="10" a="1"/>
  <c r="Z41" i="10" s="1"/>
  <c r="Z42" i="10" a="1"/>
  <c r="Z42" i="10" s="1"/>
  <c r="Z43" i="10" a="1"/>
  <c r="Z43" i="10" s="1"/>
  <c r="Z44" i="10" a="1"/>
  <c r="Z44" i="10" s="1"/>
  <c r="U3" i="10" a="1"/>
  <c r="U3" i="10" s="1"/>
  <c r="U4" i="10" s="1" a="1"/>
  <c r="U4" i="10" s="1"/>
  <c r="U5" i="10" s="1" a="1"/>
  <c r="U5" i="10" s="1"/>
  <c r="U6" i="10" s="1" a="1"/>
  <c r="U6" i="10" s="1"/>
  <c r="U7" i="10" s="1" a="1"/>
  <c r="U7" i="10" s="1"/>
  <c r="U8" i="10" s="1" a="1"/>
  <c r="U8" i="10" s="1"/>
  <c r="U9" i="10" s="1" a="1"/>
  <c r="U9" i="10" s="1"/>
  <c r="U10" i="10" s="1" a="1"/>
  <c r="U10" i="10" s="1"/>
  <c r="U11" i="10" s="1" a="1"/>
  <c r="U11" i="10" s="1"/>
  <c r="U12" i="10" s="1" a="1"/>
  <c r="U12" i="10" s="1"/>
  <c r="U13" i="10" s="1" a="1"/>
  <c r="U13" i="10" s="1"/>
  <c r="U14" i="10" s="1" a="1"/>
  <c r="U14" i="10" s="1"/>
  <c r="U15" i="10" s="1" a="1"/>
  <c r="U15" i="10" s="1"/>
  <c r="U16" i="10" s="1" a="1"/>
  <c r="U16" i="10" s="1"/>
  <c r="U17" i="10" s="1" a="1"/>
  <c r="U17" i="10" s="1"/>
  <c r="U18" i="10" s="1" a="1"/>
  <c r="U18" i="10" s="1"/>
  <c r="U19" i="10" s="1" a="1"/>
  <c r="U19" i="10" s="1"/>
  <c r="U20" i="10" s="1" a="1"/>
  <c r="U20" i="10" s="1"/>
  <c r="U21" i="10" s="1" a="1"/>
  <c r="U21" i="10" s="1"/>
  <c r="U22" i="10" s="1" a="1"/>
  <c r="U22" i="10" s="1"/>
  <c r="U23" i="10" s="1" a="1"/>
  <c r="U23" i="10" s="1"/>
  <c r="U24" i="10" s="1" a="1"/>
  <c r="U24" i="10" s="1"/>
  <c r="U25" i="10" s="1" a="1"/>
  <c r="U25" i="10" s="1"/>
  <c r="U26" i="10" s="1" a="1"/>
  <c r="U26" i="10" s="1"/>
  <c r="U27" i="10" s="1" a="1"/>
  <c r="U27" i="10" s="1"/>
  <c r="U28" i="10" s="1" a="1"/>
  <c r="U28" i="10" s="1"/>
  <c r="U29" i="10" s="1" a="1"/>
  <c r="U29" i="10" s="1"/>
  <c r="U30" i="10" s="1" a="1"/>
  <c r="U30" i="10" s="1"/>
  <c r="U31" i="10" s="1" a="1"/>
  <c r="U31" i="10" s="1"/>
  <c r="U32" i="10" s="1" a="1"/>
  <c r="U32" i="10" s="1"/>
  <c r="U33" i="10" s="1" a="1"/>
  <c r="U33" i="10" s="1"/>
  <c r="U34" i="10" s="1" a="1"/>
  <c r="U34" i="10" s="1"/>
  <c r="U35" i="10" s="1" a="1"/>
  <c r="U35" i="10" s="1"/>
  <c r="U36" i="10" s="1" a="1"/>
  <c r="U36" i="10" s="1"/>
  <c r="U37" i="10" s="1" a="1"/>
  <c r="U37" i="10" s="1"/>
  <c r="U38" i="10" s="1" a="1"/>
  <c r="U38" i="10" s="1"/>
  <c r="U39" i="10" s="1" a="1"/>
  <c r="U39" i="10" s="1"/>
  <c r="U40" i="10" s="1" a="1"/>
  <c r="U40" i="10" s="1"/>
  <c r="U41" i="10" s="1" a="1"/>
  <c r="U41" i="10" s="1"/>
  <c r="U42" i="10" s="1" a="1"/>
  <c r="U42" i="10" s="1"/>
  <c r="U43" i="10" s="1" a="1"/>
  <c r="U43" i="10" s="1"/>
  <c r="U44" i="10" s="1" a="1"/>
  <c r="U44" i="10" s="1"/>
  <c r="I3" i="10" a="1"/>
  <c r="I3" i="10" s="1"/>
  <c r="I4" i="10" a="1"/>
  <c r="I4" i="10" s="1"/>
  <c r="I5" i="10" a="1"/>
  <c r="I5" i="10" s="1"/>
  <c r="I6" i="10" a="1"/>
  <c r="I6" i="10" s="1"/>
  <c r="I7" i="10" a="1"/>
  <c r="I7" i="10" s="1"/>
  <c r="I8" i="10" a="1"/>
  <c r="I8" i="10" s="1"/>
  <c r="I9" i="10" a="1"/>
  <c r="I9" i="10" s="1"/>
  <c r="I10" i="10" a="1"/>
  <c r="I10" i="10" s="1"/>
  <c r="I11" i="10" a="1"/>
  <c r="I11" i="10" s="1"/>
  <c r="I12" i="10" a="1"/>
  <c r="I12" i="10" s="1"/>
  <c r="I20" i="10" a="1"/>
  <c r="I20" i="10" s="1"/>
  <c r="I21" i="10" a="1"/>
  <c r="I21" i="10" s="1"/>
  <c r="I24" i="10" a="1"/>
  <c r="I24" i="10" s="1"/>
  <c r="I25" i="10" a="1"/>
  <c r="I25" i="10" s="1"/>
  <c r="I31" i="10" a="1"/>
  <c r="I31" i="10" s="1"/>
  <c r="I32" i="10" a="1"/>
  <c r="I32" i="10" s="1"/>
  <c r="I33" i="10" a="1"/>
  <c r="I33" i="10" s="1"/>
  <c r="I34" i="10" a="1"/>
  <c r="I34" i="10" s="1"/>
  <c r="I35" i="10" a="1"/>
  <c r="I35" i="10" s="1"/>
  <c r="I38" i="10" a="1"/>
  <c r="I38" i="10" s="1"/>
  <c r="I41" i="10" a="1"/>
  <c r="I41" i="10" s="1"/>
  <c r="I42" i="10" a="1"/>
  <c r="I42" i="10" s="1"/>
  <c r="R3" i="9" a="1"/>
  <c r="R3" i="9" s="1"/>
  <c r="R4" i="9" s="1" a="1"/>
  <c r="R4" i="9" s="1"/>
  <c r="R5" i="9" s="1" a="1"/>
  <c r="R5" i="9" s="1"/>
  <c r="R6" i="9" s="1" a="1"/>
  <c r="R6" i="9" s="1"/>
  <c r="R7" i="9" s="1" a="1"/>
  <c r="R7" i="9" s="1"/>
  <c r="R8" i="9" s="1" a="1"/>
  <c r="R8" i="9" s="1"/>
  <c r="R9" i="9" s="1" a="1"/>
  <c r="R9" i="9" s="1"/>
  <c r="R10" i="9" s="1" a="1"/>
  <c r="R10" i="9" s="1"/>
  <c r="R11" i="9" s="1" a="1"/>
  <c r="R11" i="9" s="1"/>
  <c r="R12" i="9" s="1" a="1"/>
  <c r="R12" i="9" s="1"/>
  <c r="R13" i="9" s="1" a="1"/>
  <c r="R13" i="9" s="1"/>
  <c r="R14" i="9" s="1" a="1"/>
  <c r="R14" i="9" s="1"/>
  <c r="R15" i="9" s="1" a="1"/>
  <c r="R15" i="9" s="1"/>
  <c r="R16" i="9" s="1" a="1"/>
  <c r="R16" i="9" s="1"/>
  <c r="R17" i="9" s="1" a="1"/>
  <c r="R17" i="9" s="1"/>
  <c r="R18" i="9" s="1" a="1"/>
  <c r="R18" i="9" s="1"/>
  <c r="R19" i="9" s="1" a="1"/>
  <c r="R19" i="9" s="1"/>
  <c r="R20" i="9" s="1" a="1"/>
  <c r="R20" i="9" s="1"/>
  <c r="R21" i="9" s="1" a="1"/>
  <c r="R21" i="9" s="1"/>
  <c r="R22" i="9" s="1" a="1"/>
  <c r="R22" i="9" s="1"/>
  <c r="R23" i="9" s="1" a="1"/>
  <c r="R23" i="9" s="1"/>
  <c r="R24" i="9" s="1" a="1"/>
  <c r="R24" i="9" s="1"/>
  <c r="R25" i="9" s="1" a="1"/>
  <c r="R25" i="9" s="1"/>
  <c r="R26" i="9" s="1" a="1"/>
  <c r="R26" i="9" s="1"/>
  <c r="R27" i="9" s="1" a="1"/>
  <c r="R27" i="9" s="1"/>
  <c r="R28" i="9" s="1" a="1"/>
  <c r="R28" i="9" s="1"/>
  <c r="R29" i="9" s="1" a="1"/>
  <c r="R29" i="9" s="1"/>
  <c r="R30" i="9" s="1" a="1"/>
  <c r="R30" i="9" s="1"/>
  <c r="R31" i="9" s="1" a="1"/>
  <c r="R31" i="9" s="1"/>
  <c r="R32" i="9" s="1" a="1"/>
  <c r="R32" i="9" s="1"/>
  <c r="R33" i="9" s="1" a="1"/>
  <c r="R33" i="9" s="1"/>
  <c r="R34" i="9" s="1" a="1"/>
  <c r="R34" i="9" s="1"/>
  <c r="R35" i="9" s="1" a="1"/>
  <c r="R35" i="9" s="1"/>
  <c r="R36" i="9" s="1" a="1"/>
  <c r="R36" i="9" s="1"/>
  <c r="R37" i="9" s="1" a="1"/>
  <c r="R37" i="9" s="1"/>
  <c r="R38" i="9" s="1" a="1"/>
  <c r="R38" i="9" s="1"/>
  <c r="R39" i="9" s="1" a="1"/>
  <c r="R39" i="9" s="1"/>
  <c r="R40" i="9" s="1" a="1"/>
  <c r="R40" i="9" s="1"/>
  <c r="R41" i="9" s="1" a="1"/>
  <c r="R41" i="9" s="1"/>
  <c r="R42" i="9" s="1" a="1"/>
  <c r="R42" i="9" s="1"/>
  <c r="R43" i="9" s="1" a="1"/>
  <c r="R43" i="9" s="1"/>
  <c r="D3" i="9" a="1"/>
  <c r="D3" i="9" s="1"/>
  <c r="D4" i="9" a="1"/>
  <c r="D4" i="9" s="1"/>
  <c r="D10" i="9" a="1"/>
  <c r="D10" i="9" s="1"/>
  <c r="D11" i="9" a="1"/>
  <c r="D11" i="9" s="1"/>
  <c r="D14" i="9" a="1"/>
  <c r="D14" i="9" s="1"/>
  <c r="D15" i="9" a="1"/>
  <c r="D15" i="9" s="1"/>
  <c r="D17" i="9" a="1"/>
  <c r="D17" i="9" s="1"/>
  <c r="D19" i="9" a="1"/>
  <c r="D19" i="9" s="1"/>
  <c r="D22" i="9" a="1"/>
  <c r="D22" i="9" s="1"/>
  <c r="D23" i="9" a="1"/>
  <c r="D23" i="9" s="1"/>
  <c r="D24" i="9" a="1"/>
  <c r="D24" i="9" s="1"/>
  <c r="D29" i="9" a="1"/>
  <c r="D29" i="9" s="1"/>
  <c r="D30" i="9" a="1"/>
  <c r="D30" i="9" s="1"/>
  <c r="D32" i="9" a="1"/>
  <c r="D32" i="9" s="1"/>
  <c r="D33" i="9" a="1"/>
  <c r="D33" i="9" s="1"/>
  <c r="D35" i="9" a="1"/>
  <c r="D35" i="9" s="1"/>
  <c r="D36" i="9" a="1"/>
  <c r="D36" i="9" s="1"/>
  <c r="D37" i="9" a="1"/>
  <c r="D37" i="9" s="1"/>
  <c r="D38" i="9" a="1"/>
  <c r="D38" i="9" s="1"/>
  <c r="D39" i="9" a="1"/>
  <c r="D39" i="9" s="1"/>
  <c r="D40" i="9" a="1"/>
  <c r="D40" i="9" s="1"/>
  <c r="D43" i="9" a="1"/>
  <c r="D43" i="9" s="1"/>
  <c r="Q3" i="25" a="1"/>
  <c r="Q3" i="25" s="1"/>
  <c r="Q4" i="25" s="1" a="1"/>
  <c r="Q4" i="25" s="1"/>
  <c r="Q5" i="25" s="1" a="1"/>
  <c r="Q5" i="25" s="1"/>
  <c r="Q6" i="25" s="1" a="1"/>
  <c r="Q6" i="25" s="1"/>
  <c r="Q7" i="25" s="1" a="1"/>
  <c r="Q7" i="25" s="1"/>
  <c r="Q8" i="25" s="1" a="1"/>
  <c r="Q8" i="25" s="1"/>
  <c r="Q9" i="25" s="1" a="1"/>
  <c r="Q9" i="25" s="1"/>
  <c r="Q10" i="25" s="1" a="1"/>
  <c r="Q10" i="25" s="1"/>
  <c r="Q11" i="25" s="1" a="1"/>
  <c r="Q11" i="25" s="1"/>
  <c r="Q12" i="25" s="1" a="1"/>
  <c r="Q12" i="25" s="1"/>
  <c r="Q13" i="25" s="1" a="1"/>
  <c r="Q13" i="25" s="1"/>
  <c r="Q14" i="25" s="1" a="1"/>
  <c r="Q14" i="25" s="1"/>
  <c r="Q15" i="25" s="1" a="1"/>
  <c r="Q15" i="25" s="1"/>
  <c r="Q16" i="25" s="1" a="1"/>
  <c r="Q16" i="25" s="1"/>
  <c r="Q17" i="25" s="1" a="1"/>
  <c r="Q17" i="25" s="1"/>
  <c r="Q18" i="25" s="1" a="1"/>
  <c r="Q18" i="25" s="1"/>
  <c r="Q19" i="25" s="1" a="1"/>
  <c r="Q19" i="25" s="1"/>
  <c r="Q20" i="25" s="1" a="1"/>
  <c r="Q20" i="25" s="1"/>
  <c r="Q21" i="25" s="1" a="1"/>
  <c r="Q21" i="25" s="1"/>
  <c r="O4" i="29" a="1"/>
  <c r="O4" i="29" s="1"/>
  <c r="O5" i="29" s="1" a="1"/>
  <c r="O5" i="29" s="1"/>
  <c r="O6" i="29" s="1" a="1"/>
  <c r="O6" i="29" s="1"/>
  <c r="O7" i="29" s="1" a="1"/>
  <c r="O7" i="29" s="1"/>
  <c r="O8" i="29" s="1" a="1"/>
  <c r="O8" i="29" s="1"/>
  <c r="O9" i="29" s="1" a="1"/>
  <c r="O9" i="29" s="1"/>
  <c r="O10" i="29" s="1" a="1"/>
  <c r="O10" i="29" s="1"/>
  <c r="O11" i="29" s="1" a="1"/>
  <c r="O11" i="29" s="1"/>
  <c r="O12" i="29" s="1" a="1"/>
  <c r="O12" i="29" s="1"/>
  <c r="O13" i="29" s="1" a="1"/>
  <c r="O13" i="29" s="1"/>
  <c r="O14" i="29" s="1" a="1"/>
  <c r="O14" i="29" s="1"/>
  <c r="O15" i="29" s="1" a="1"/>
  <c r="O15" i="29" s="1"/>
  <c r="O16" i="29" s="1" a="1"/>
  <c r="O16" i="29" s="1"/>
  <c r="O17" i="29" s="1" a="1"/>
  <c r="O17" i="29" s="1"/>
  <c r="O18" i="29" s="1" a="1"/>
  <c r="O18" i="29" s="1"/>
  <c r="O19" i="29" s="1" a="1"/>
  <c r="O19" i="29" s="1"/>
  <c r="O20" i="29" s="1" a="1"/>
  <c r="O20" i="29" s="1"/>
  <c r="O21" i="29" s="1" a="1"/>
  <c r="O21" i="29" s="1"/>
  <c r="O22" i="29" s="1" a="1"/>
  <c r="O22" i="29" s="1"/>
  <c r="O23" i="29" s="1" a="1"/>
  <c r="O23" i="29" s="1"/>
  <c r="O24" i="29" s="1" a="1"/>
  <c r="O24" i="29" s="1"/>
  <c r="O25" i="29" s="1" a="1"/>
  <c r="O25" i="29" s="1"/>
  <c r="O26" i="29" s="1" a="1"/>
  <c r="O26" i="29" s="1"/>
  <c r="O27" i="29" s="1" a="1"/>
  <c r="O27" i="29" s="1"/>
  <c r="O28" i="29" s="1" a="1"/>
  <c r="O28" i="29" s="1"/>
  <c r="O29" i="29" s="1" a="1"/>
  <c r="O29" i="29" s="1"/>
  <c r="O30" i="29" s="1" a="1"/>
  <c r="O30" i="29" s="1"/>
  <c r="O31" i="29" s="1" a="1"/>
  <c r="O31" i="29" s="1"/>
  <c r="O32" i="29" s="1" a="1"/>
  <c r="O32" i="29" s="1"/>
  <c r="O33" i="29" s="1" a="1"/>
  <c r="O33" i="29" s="1"/>
  <c r="O34" i="29" s="1" a="1"/>
  <c r="O34" i="29" s="1"/>
  <c r="O35" i="29" s="1" a="1"/>
  <c r="O35" i="29" s="1"/>
  <c r="O36" i="29" s="1" a="1"/>
  <c r="O36" i="29" s="1"/>
  <c r="O37" i="29" s="1" a="1"/>
  <c r="O37" i="29" s="1"/>
  <c r="O38" i="29" s="1" a="1"/>
  <c r="O38" i="29" s="1"/>
  <c r="O39" i="29" s="1" a="1"/>
  <c r="O39" i="29" s="1"/>
  <c r="O40" i="29" s="1" a="1"/>
  <c r="O40" i="29" s="1"/>
  <c r="O41" i="29" s="1" a="1"/>
  <c r="O41" i="29" s="1"/>
  <c r="O42" i="29" s="1" a="1"/>
  <c r="O42" i="29" s="1"/>
  <c r="O43" i="29" s="1" a="1"/>
  <c r="O43" i="29" s="1"/>
  <c r="O44" i="29" s="1" a="1"/>
  <c r="O44" i="29" s="1"/>
  <c r="O45" i="29" s="1" a="1"/>
  <c r="O45" i="29" s="1"/>
  <c r="O46" i="29" s="1" a="1"/>
  <c r="O46" i="29" s="1"/>
  <c r="O47" i="29" s="1" a="1"/>
  <c r="O47" i="29" s="1"/>
  <c r="O48" i="29" s="1" a="1"/>
  <c r="O48" i="29" s="1"/>
  <c r="O49" i="29" s="1" a="1"/>
  <c r="O49" i="29" s="1"/>
  <c r="O50" i="29" s="1" a="1"/>
  <c r="O50" i="29" s="1"/>
  <c r="O51" i="29" s="1" a="1"/>
  <c r="O51" i="29" s="1"/>
  <c r="O52" i="29" s="1" a="1"/>
  <c r="O52" i="29" s="1"/>
  <c r="O53" i="29" s="1" a="1"/>
  <c r="O53" i="29" s="1"/>
  <c r="O54" i="29" s="1" a="1"/>
  <c r="O54" i="29" s="1"/>
  <c r="O55" i="29" s="1" a="1"/>
  <c r="O55" i="29" s="1"/>
  <c r="O56" i="29" s="1" a="1"/>
  <c r="O56" i="29" s="1"/>
  <c r="O57" i="29" s="1" a="1"/>
  <c r="O57" i="29" s="1"/>
  <c r="O58" i="29" s="1" a="1"/>
  <c r="O58" i="29" s="1"/>
  <c r="O59" i="29" s="1" a="1"/>
  <c r="O59" i="29" s="1"/>
  <c r="O60" i="29" s="1" a="1"/>
  <c r="O60" i="29" s="1"/>
  <c r="B222" i="28" a="1"/>
  <c r="B220" i="28" a="1"/>
  <c r="I222" i="28" a="1"/>
  <c r="B221" i="28" a="1"/>
  <c r="I221" i="28" a="1"/>
  <c r="I221" i="28" l="1"/>
  <c r="U4" i="20" a="1"/>
  <c r="U4" i="20" s="1"/>
  <c r="U5" i="20" s="1" a="1"/>
  <c r="U5" i="20" s="1"/>
  <c r="U6" i="20" s="1" a="1"/>
  <c r="U6" i="20" s="1"/>
  <c r="U7" i="20" s="1" a="1"/>
  <c r="U7" i="20" s="1"/>
  <c r="U8" i="20" s="1" a="1"/>
  <c r="U8" i="20" s="1"/>
  <c r="U9" i="20" s="1" a="1"/>
  <c r="U9" i="20" s="1"/>
  <c r="U10" i="20" s="1" a="1"/>
  <c r="U10" i="20" s="1"/>
  <c r="U11" i="20" s="1" a="1"/>
  <c r="U11" i="20" s="1"/>
  <c r="U12" i="20" s="1" a="1"/>
  <c r="U12" i="20" s="1"/>
  <c r="U13" i="20" s="1" a="1"/>
  <c r="U13" i="20" s="1"/>
  <c r="U14" i="20" s="1" a="1"/>
  <c r="U14" i="20" s="1"/>
  <c r="U15" i="20" s="1" a="1"/>
  <c r="U15" i="20" s="1"/>
  <c r="U16" i="20" s="1" a="1"/>
  <c r="U16" i="20" s="1"/>
  <c r="U17" i="20" s="1" a="1"/>
  <c r="U17" i="20" s="1"/>
  <c r="U18" i="20" s="1" a="1"/>
  <c r="U18" i="20" s="1"/>
  <c r="U19" i="20" s="1" a="1"/>
  <c r="U19" i="20" s="1"/>
  <c r="U20" i="20" s="1" a="1"/>
  <c r="U20" i="20" s="1"/>
  <c r="U21" i="20" s="1" a="1"/>
  <c r="U21" i="20" s="1"/>
  <c r="U22" i="20" s="1" a="1"/>
  <c r="U22" i="20" s="1"/>
  <c r="U23" i="20" s="1" a="1"/>
  <c r="U23" i="20" s="1"/>
  <c r="U24" i="20" s="1" a="1"/>
  <c r="U24" i="20" s="1"/>
  <c r="U25" i="20" s="1" a="1"/>
  <c r="U25" i="20" s="1"/>
  <c r="U26" i="20" s="1" a="1"/>
  <c r="U26" i="20" s="1"/>
  <c r="U27" i="20" s="1" a="1"/>
  <c r="U27" i="20" s="1"/>
  <c r="U28" i="20" s="1" a="1"/>
  <c r="U28" i="20" s="1"/>
  <c r="U29" i="20" s="1" a="1"/>
  <c r="U29" i="20" s="1"/>
  <c r="U30" i="20" s="1" a="1"/>
  <c r="U30" i="20" s="1"/>
  <c r="U31" i="20" s="1" a="1"/>
  <c r="U31" i="20" s="1"/>
  <c r="U32" i="20" s="1" a="1"/>
  <c r="U32" i="20" s="1"/>
  <c r="U33" i="20" s="1" a="1"/>
  <c r="U33" i="20" s="1"/>
  <c r="U34" i="20" s="1" a="1"/>
  <c r="U34" i="20" s="1"/>
  <c r="U35" i="20" s="1" a="1"/>
  <c r="U35" i="20" s="1"/>
  <c r="U36" i="20" s="1" a="1"/>
  <c r="U36" i="20" s="1"/>
  <c r="U37" i="20" s="1" a="1"/>
  <c r="U37" i="20" s="1"/>
  <c r="U38" i="20" s="1" a="1"/>
  <c r="U38" i="20" s="1"/>
  <c r="U39" i="20" s="1" a="1"/>
  <c r="U39" i="20" s="1"/>
  <c r="U40" i="20" s="1" a="1"/>
  <c r="U40" i="20" s="1"/>
  <c r="U41" i="20" s="1" a="1"/>
  <c r="U41" i="20" s="1"/>
  <c r="U42" i="20" s="1" a="1"/>
  <c r="U42" i="20" s="1"/>
  <c r="U43" i="20" s="1" a="1"/>
  <c r="U43" i="20" s="1"/>
  <c r="U44" i="20" s="1" a="1"/>
  <c r="U44" i="20" s="1"/>
  <c r="U45" i="20" s="1" a="1"/>
  <c r="U45" i="20" s="1"/>
  <c r="U46" i="20" s="1" a="1"/>
  <c r="U46" i="20" s="1"/>
  <c r="U47" i="20" s="1" a="1"/>
  <c r="U47" i="20" s="1"/>
  <c r="U48" i="20" s="1" a="1"/>
  <c r="U48" i="20" s="1"/>
  <c r="U49" i="20" s="1" a="1"/>
  <c r="U49" i="20" s="1"/>
  <c r="U50" i="20" s="1" a="1"/>
  <c r="U50" i="20" s="1"/>
  <c r="U51" i="20" s="1" a="1"/>
  <c r="U51" i="20" s="1"/>
  <c r="U52" i="20" s="1" a="1"/>
  <c r="U52" i="20" s="1"/>
  <c r="U53" i="20" s="1" a="1"/>
  <c r="U53" i="20" s="1"/>
  <c r="U54" i="20" s="1" a="1"/>
  <c r="U54" i="20" s="1"/>
  <c r="U55" i="20" s="1" a="1"/>
  <c r="U55" i="20" s="1"/>
  <c r="U56" i="20" s="1" a="1"/>
  <c r="U56" i="20" s="1"/>
  <c r="U57" i="20" s="1" a="1"/>
  <c r="U57" i="20" s="1"/>
  <c r="U58" i="20" s="1" a="1"/>
  <c r="U58" i="20" s="1"/>
  <c r="U59" i="20" s="1" a="1"/>
  <c r="U59" i="20" s="1"/>
  <c r="U60" i="20" s="1" a="1"/>
  <c r="U60" i="20" s="1"/>
  <c r="U61" i="20" s="1" a="1"/>
  <c r="U61" i="20" s="1"/>
  <c r="L178" i="34" a="1"/>
  <c r="L178" i="34" s="1"/>
  <c r="L179" i="34" s="1" a="1"/>
  <c r="L179" i="34" s="1"/>
  <c r="L180" i="34" s="1" a="1"/>
  <c r="L180" i="34" s="1"/>
  <c r="L181" i="34" s="1" a="1"/>
  <c r="L181" i="34" s="1"/>
  <c r="L182" i="34" s="1" a="1"/>
  <c r="L182" i="34" s="1"/>
  <c r="L183" i="34" s="1" a="1"/>
  <c r="L183" i="34" s="1"/>
  <c r="L184" i="34" s="1" a="1"/>
  <c r="L184" i="34" s="1"/>
  <c r="L185" i="34" s="1" a="1"/>
  <c r="L185" i="34" s="1"/>
  <c r="L186" i="34" s="1" a="1"/>
  <c r="L186" i="34" s="1"/>
  <c r="L187" i="34" s="1" a="1"/>
  <c r="L187" i="34" s="1"/>
  <c r="L188" i="34" s="1" a="1"/>
  <c r="L188" i="34" s="1"/>
  <c r="L189" i="34" s="1" a="1"/>
  <c r="L189" i="34" s="1"/>
  <c r="O23" i="34"/>
  <c r="N9" i="34"/>
  <c r="H10" i="34" a="1"/>
  <c r="H10" i="34" s="1"/>
  <c r="H11" i="34" s="1" a="1"/>
  <c r="H11" i="34" s="1"/>
  <c r="N11" i="34" s="1"/>
  <c r="I222" i="28"/>
  <c r="B221" i="28"/>
  <c r="B220" i="28"/>
  <c r="B222" i="28"/>
  <c r="D39" i="10"/>
  <c r="D22" i="10"/>
  <c r="D19" i="10"/>
  <c r="D18" i="10"/>
  <c r="U62" i="20" l="1" a="1"/>
  <c r="U62" i="20" s="1"/>
  <c r="U63" i="20" s="1" a="1"/>
  <c r="U63" i="20" s="1"/>
  <c r="U64" i="20" s="1" a="1"/>
  <c r="U64" i="20" s="1"/>
  <c r="U65" i="20" s="1" a="1"/>
  <c r="U65" i="20" s="1"/>
  <c r="U66" i="20" s="1" a="1"/>
  <c r="U66" i="20" s="1"/>
  <c r="U67" i="20" s="1" a="1"/>
  <c r="U67" i="20" s="1"/>
  <c r="L190" i="34" a="1"/>
  <c r="L190" i="34" s="1"/>
  <c r="L191" i="34" s="1" a="1"/>
  <c r="L191" i="34" s="1"/>
  <c r="L192" i="34" s="1" a="1"/>
  <c r="L192" i="34" s="1"/>
  <c r="O24" i="34"/>
  <c r="N10" i="34"/>
  <c r="T18" i="10"/>
  <c r="C39" i="10"/>
  <c r="B39" i="10"/>
  <c r="C27" i="10"/>
  <c r="C19" i="10"/>
  <c r="C18" i="10"/>
  <c r="T14" i="10"/>
  <c r="Q32" i="9"/>
  <c r="O25" i="34" l="1"/>
  <c r="H12" i="34" a="1"/>
  <c r="H12" i="34" s="1"/>
  <c r="B34" i="9"/>
  <c r="E21" i="25"/>
  <c r="E5" i="25"/>
  <c r="H48" i="29"/>
  <c r="B47" i="29"/>
  <c r="B20" i="29"/>
  <c r="F23" i="31" a="1"/>
  <c r="F23" i="31" s="1"/>
  <c r="F18" i="31" a="1"/>
  <c r="F18" i="31" s="1"/>
  <c r="F13" i="31" a="1"/>
  <c r="F13" i="31" s="1"/>
  <c r="F8" i="31" a="1"/>
  <c r="F8" i="31" s="1"/>
  <c r="F9" i="31" a="1"/>
  <c r="F9" i="31" s="1"/>
  <c r="F3" i="31" a="1"/>
  <c r="F3" i="31" s="1"/>
  <c r="J55" i="29"/>
  <c r="I55" i="29"/>
  <c r="J45" i="29"/>
  <c r="I45" i="29"/>
  <c r="J58" i="29"/>
  <c r="J57" i="29"/>
  <c r="I57" i="29"/>
  <c r="K57" i="29" s="1" a="1"/>
  <c r="K57" i="29" s="1"/>
  <c r="J56" i="29"/>
  <c r="J53" i="29"/>
  <c r="I53" i="29"/>
  <c r="J51" i="29"/>
  <c r="J50" i="29"/>
  <c r="J49" i="29"/>
  <c r="J48" i="29"/>
  <c r="J47" i="29"/>
  <c r="J46" i="29"/>
  <c r="J44" i="29"/>
  <c r="J41" i="29"/>
  <c r="I41" i="29"/>
  <c r="J40" i="29"/>
  <c r="J39" i="29"/>
  <c r="J38" i="29"/>
  <c r="J36" i="29"/>
  <c r="J7" i="29"/>
  <c r="I40" i="29" a="1"/>
  <c r="I32" i="29" a="1"/>
  <c r="I13" i="29" a="1"/>
  <c r="I28" i="29" a="1"/>
  <c r="I56" i="29" a="1"/>
  <c r="I50" i="29" a="1"/>
  <c r="I49" i="29" a="1"/>
  <c r="I51" i="29" a="1"/>
  <c r="I38" i="29" a="1"/>
  <c r="I39" i="29" a="1"/>
  <c r="I44" i="29" a="1"/>
  <c r="I36" i="29" a="1"/>
  <c r="I47" i="29" a="1"/>
  <c r="I46" i="29" a="1"/>
  <c r="D70" i="28"/>
  <c r="D71" i="28"/>
  <c r="I48" i="29" a="1"/>
  <c r="I58" i="29" a="1"/>
  <c r="K55" i="29" l="1" a="1"/>
  <c r="K55" i="29" s="1"/>
  <c r="L55" i="29" s="1"/>
  <c r="K53" i="29" a="1"/>
  <c r="K53" i="29" s="1"/>
  <c r="L53" i="29" s="1"/>
  <c r="O26" i="34"/>
  <c r="N12" i="34"/>
  <c r="H13" i="34" a="1"/>
  <c r="H13" i="34" s="1"/>
  <c r="K41" i="29" a="1"/>
  <c r="K41" i="29" s="1"/>
  <c r="L41" i="29" s="1"/>
  <c r="K45" i="29" a="1"/>
  <c r="K45" i="29" s="1"/>
  <c r="L45" i="29" s="1"/>
  <c r="L57" i="29"/>
  <c r="C14" i="16" a="1"/>
  <c r="C14" i="16" s="1"/>
  <c r="I58" i="29"/>
  <c r="I56" i="29"/>
  <c r="I51" i="29"/>
  <c r="I50" i="29"/>
  <c r="I49" i="29"/>
  <c r="I48" i="29"/>
  <c r="I47" i="29"/>
  <c r="I46" i="29"/>
  <c r="I44" i="29"/>
  <c r="I40" i="29"/>
  <c r="I39" i="29"/>
  <c r="I38" i="29"/>
  <c r="I36" i="29"/>
  <c r="I32" i="29"/>
  <c r="I28" i="29"/>
  <c r="I13" i="29"/>
  <c r="J54" i="29"/>
  <c r="K38" i="29" a="1"/>
  <c r="I7" i="29" a="1"/>
  <c r="K36" i="29" a="1"/>
  <c r="K49" i="29" a="1"/>
  <c r="I54" i="29" a="1"/>
  <c r="K40" i="29" a="1"/>
  <c r="K46" i="29" a="1"/>
  <c r="K157" i="28" a="1"/>
  <c r="K47" i="29" a="1"/>
  <c r="K44" i="29" a="1"/>
  <c r="K51" i="29" a="1"/>
  <c r="K56" i="29" a="1"/>
  <c r="K39" i="29" a="1"/>
  <c r="K48" i="29" a="1"/>
  <c r="K58" i="29" a="1"/>
  <c r="K50" i="29" a="1"/>
  <c r="O27" i="34" l="1"/>
  <c r="N13" i="34"/>
  <c r="H14" i="34" a="1"/>
  <c r="H14" i="34" s="1"/>
  <c r="K56" i="29"/>
  <c r="L56" i="29" s="1"/>
  <c r="K48" i="29"/>
  <c r="L48" i="29" s="1"/>
  <c r="K58" i="29"/>
  <c r="L58" i="29" s="1"/>
  <c r="K46" i="29"/>
  <c r="L46" i="29" s="1"/>
  <c r="K36" i="29"/>
  <c r="L36" i="29" s="1"/>
  <c r="K49" i="29"/>
  <c r="L49" i="29" s="1"/>
  <c r="K38" i="29"/>
  <c r="L38" i="29" s="1"/>
  <c r="K50" i="29"/>
  <c r="L50" i="29" s="1"/>
  <c r="K39" i="29"/>
  <c r="L39" i="29" s="1"/>
  <c r="K47" i="29"/>
  <c r="L47" i="29" s="1"/>
  <c r="K51" i="29"/>
  <c r="L51" i="29" s="1"/>
  <c r="K40" i="29"/>
  <c r="L40" i="29" s="1"/>
  <c r="K44" i="29"/>
  <c r="L44" i="29" s="1"/>
  <c r="I54" i="29"/>
  <c r="I7" i="29"/>
  <c r="K157" i="28"/>
  <c r="I157" i="28" a="1"/>
  <c r="K54" i="29" a="1"/>
  <c r="K7" i="29" a="1"/>
  <c r="O28" i="34" l="1"/>
  <c r="N14" i="34"/>
  <c r="H15" i="34" a="1"/>
  <c r="H15" i="34" s="1"/>
  <c r="K54" i="29"/>
  <c r="L54" i="29" s="1"/>
  <c r="K7" i="29"/>
  <c r="L7" i="29" s="1"/>
  <c r="I157" i="28"/>
  <c r="F157" i="28"/>
  <c r="G157" i="28"/>
  <c r="E157" i="28"/>
  <c r="B157" i="28" a="1"/>
  <c r="O29" i="34" l="1"/>
  <c r="N15" i="34"/>
  <c r="H16" i="34" a="1"/>
  <c r="H16" i="34" s="1"/>
  <c r="B157" i="28"/>
  <c r="N16" i="34" l="1"/>
  <c r="H17" i="34" a="1"/>
  <c r="H17" i="34" s="1"/>
  <c r="O30" i="34"/>
  <c r="AH87" i="22" a="1"/>
  <c r="AH87" i="22" s="1"/>
  <c r="AH88" i="22" a="1"/>
  <c r="AH88" i="22" s="1"/>
  <c r="AH89" i="22" a="1"/>
  <c r="AH89" i="22" s="1"/>
  <c r="AH90" i="22" a="1"/>
  <c r="AH90" i="22" s="1"/>
  <c r="AH91" i="22" a="1"/>
  <c r="AH91" i="22" s="1"/>
  <c r="AH92" i="22" a="1"/>
  <c r="AH92" i="22" s="1"/>
  <c r="AH93" i="22" a="1"/>
  <c r="AH93" i="22" s="1"/>
  <c r="AH94" i="22" a="1"/>
  <c r="AH94" i="22" s="1"/>
  <c r="AH95" i="22" a="1"/>
  <c r="AH95" i="22" s="1"/>
  <c r="AH96" i="22" a="1"/>
  <c r="AH96" i="22" s="1"/>
  <c r="AH97" i="22" a="1"/>
  <c r="AH97" i="22" s="1"/>
  <c r="AH98" i="22" a="1"/>
  <c r="AH98" i="22" s="1"/>
  <c r="AH99" i="22" a="1"/>
  <c r="AH99" i="22" s="1"/>
  <c r="AH100" i="22" a="1"/>
  <c r="AH100" i="22" s="1"/>
  <c r="AH101" i="22" a="1"/>
  <c r="AH101" i="22" s="1"/>
  <c r="K44" i="10" a="1"/>
  <c r="K44" i="10" s="1"/>
  <c r="AE44" i="10"/>
  <c r="AK44" i="10"/>
  <c r="H54" i="29"/>
  <c r="O31" i="34" l="1"/>
  <c r="N17" i="34"/>
  <c r="H18" i="34" a="1"/>
  <c r="H18" i="34" s="1"/>
  <c r="H49" i="29"/>
  <c r="H36" i="29"/>
  <c r="AE43" i="10"/>
  <c r="AF43" i="10" a="1"/>
  <c r="AF43" i="10" s="1"/>
  <c r="AK43" i="10"/>
  <c r="I16" i="16"/>
  <c r="I13" i="16"/>
  <c r="I15" i="16"/>
  <c r="N18" i="34" l="1"/>
  <c r="H19" i="34" a="1"/>
  <c r="H19" i="34" s="1"/>
  <c r="O32" i="34"/>
  <c r="AG43" i="10" a="1"/>
  <c r="AG43" i="10" s="1"/>
  <c r="AH43" i="10" a="1"/>
  <c r="AH43" i="10" s="1"/>
  <c r="E42" i="10"/>
  <c r="E41" i="10"/>
  <c r="E40" i="10"/>
  <c r="E39" i="10"/>
  <c r="E37" i="10"/>
  <c r="E34" i="10"/>
  <c r="E28" i="10"/>
  <c r="E27" i="10"/>
  <c r="E24" i="10"/>
  <c r="E23" i="10"/>
  <c r="E22" i="10"/>
  <c r="E19" i="10"/>
  <c r="E18" i="10"/>
  <c r="E12" i="10"/>
  <c r="E11" i="10"/>
  <c r="E6" i="10"/>
  <c r="H58" i="29"/>
  <c r="I34" i="20" a="1"/>
  <c r="I34" i="20" s="1"/>
  <c r="K34" i="20" a="1"/>
  <c r="K34" i="20" s="1"/>
  <c r="V34" i="20" a="1"/>
  <c r="V34" i="20" s="1"/>
  <c r="AG34" i="20"/>
  <c r="AH34" i="20" a="1"/>
  <c r="AH34" i="20" s="1"/>
  <c r="AI34" i="20" s="1" a="1"/>
  <c r="AI34" i="20" s="1"/>
  <c r="AJ34" i="20" s="1" a="1"/>
  <c r="AJ34" i="20" s="1"/>
  <c r="AN34" i="20"/>
  <c r="C43" i="21"/>
  <c r="K43" i="21" a="1"/>
  <c r="K43" i="21" s="1"/>
  <c r="AM43" i="21" s="1"/>
  <c r="L43" i="21"/>
  <c r="X43" i="21" a="1"/>
  <c r="X43" i="21" s="1"/>
  <c r="AA43" i="21"/>
  <c r="AC43" i="21"/>
  <c r="AD43" i="21" a="1"/>
  <c r="AD43" i="21" s="1"/>
  <c r="AH43" i="21" a="1"/>
  <c r="AH43" i="21" s="1"/>
  <c r="K107" i="28" a="1"/>
  <c r="K59" i="28" a="1"/>
  <c r="E58" i="29" a="1"/>
  <c r="K105" i="28" a="1"/>
  <c r="K108" i="28" a="1"/>
  <c r="N19" i="34" l="1"/>
  <c r="H20" i="34" a="1"/>
  <c r="H20" i="34" s="1"/>
  <c r="O33" i="34"/>
  <c r="AC25" i="3" a="1"/>
  <c r="AC25" i="3" s="1"/>
  <c r="AC7" i="3" a="1"/>
  <c r="AC7" i="3" s="1"/>
  <c r="AC12" i="3" a="1"/>
  <c r="AC12" i="3" s="1"/>
  <c r="W4" i="3" a="1"/>
  <c r="W4" i="3" s="1"/>
  <c r="Y4" i="3" a="1"/>
  <c r="Y4" i="3" s="1"/>
  <c r="E58" i="29"/>
  <c r="K59" i="28"/>
  <c r="AK34" i="20" a="1"/>
  <c r="AK34" i="20" s="1"/>
  <c r="K108" i="28"/>
  <c r="K107" i="28"/>
  <c r="K105" i="28"/>
  <c r="AI3" i="20" a="1"/>
  <c r="AI3" i="20" s="1"/>
  <c r="AI17" i="20" a="1"/>
  <c r="AI17" i="20" s="1"/>
  <c r="AI19" i="20" a="1"/>
  <c r="AI19" i="20" s="1"/>
  <c r="AI28" i="20" a="1"/>
  <c r="AI28" i="20" s="1"/>
  <c r="AI38" i="20" a="1"/>
  <c r="AI38" i="20" s="1"/>
  <c r="AI39" i="20" a="1"/>
  <c r="AI39" i="20" s="1"/>
  <c r="AH3" i="20" a="1"/>
  <c r="AH3" i="20" s="1"/>
  <c r="AH5" i="20" a="1"/>
  <c r="AH5" i="20" s="1"/>
  <c r="AI5" i="20" s="1" a="1"/>
  <c r="AI5" i="20" s="1"/>
  <c r="AH8" i="20" a="1"/>
  <c r="AH8" i="20" s="1"/>
  <c r="AI8" i="20" s="1" a="1"/>
  <c r="AI8" i="20" s="1"/>
  <c r="AH9" i="20" a="1"/>
  <c r="AH9" i="20" s="1"/>
  <c r="AI9" i="20" s="1" a="1"/>
  <c r="AI9" i="20" s="1"/>
  <c r="AH12" i="20" a="1"/>
  <c r="AH12" i="20" s="1"/>
  <c r="AI12" i="20" s="1" a="1"/>
  <c r="AI12" i="20" s="1"/>
  <c r="AH15" i="20" a="1"/>
  <c r="AH15" i="20" s="1"/>
  <c r="AI15" i="20" s="1" a="1"/>
  <c r="AI15" i="20" s="1"/>
  <c r="AH16" i="20" a="1"/>
  <c r="AH16" i="20" s="1"/>
  <c r="AI16" i="20" s="1" a="1"/>
  <c r="AI16" i="20" s="1"/>
  <c r="AH17" i="20" a="1"/>
  <c r="AH17" i="20" s="1"/>
  <c r="AH19" i="20" a="1"/>
  <c r="AH19" i="20" s="1"/>
  <c r="AH21" i="20" a="1"/>
  <c r="AH21" i="20" s="1"/>
  <c r="AI21" i="20" s="1" a="1"/>
  <c r="AI21" i="20" s="1"/>
  <c r="AH22" i="20" a="1"/>
  <c r="AH22" i="20" s="1"/>
  <c r="AI22" i="20" s="1" a="1"/>
  <c r="AI22" i="20" s="1"/>
  <c r="AH24" i="20" a="1"/>
  <c r="AH24" i="20" s="1"/>
  <c r="AI24" i="20" s="1" a="1"/>
  <c r="AI24" i="20" s="1"/>
  <c r="AH25" i="20" a="1"/>
  <c r="AH25" i="20" s="1"/>
  <c r="AI25" i="20" s="1" a="1"/>
  <c r="AI25" i="20" s="1"/>
  <c r="AH26" i="20" a="1"/>
  <c r="AH26" i="20" s="1"/>
  <c r="AI26" i="20" s="1" a="1"/>
  <c r="AI26" i="20" s="1"/>
  <c r="AH28" i="20" a="1"/>
  <c r="AH28" i="20" s="1"/>
  <c r="AH29" i="20" a="1"/>
  <c r="AH29" i="20" s="1"/>
  <c r="AI29" i="20" s="1" a="1"/>
  <c r="AI29" i="20" s="1"/>
  <c r="AH32" i="20" a="1"/>
  <c r="AH32" i="20" s="1"/>
  <c r="AI32" i="20" s="1" a="1"/>
  <c r="AI32" i="20" s="1"/>
  <c r="AH33" i="20" a="1"/>
  <c r="AH33" i="20" s="1"/>
  <c r="AI33" i="20" s="1" a="1"/>
  <c r="AI33" i="20" s="1"/>
  <c r="AH35" i="20" a="1"/>
  <c r="AH35" i="20" s="1"/>
  <c r="AI35" i="20" s="1" a="1"/>
  <c r="AI35" i="20" s="1"/>
  <c r="AH36" i="20" a="1"/>
  <c r="AH36" i="20" s="1"/>
  <c r="AI36" i="20" s="1" a="1"/>
  <c r="AI36" i="20" s="1"/>
  <c r="AH37" i="20" a="1"/>
  <c r="AH37" i="20" s="1"/>
  <c r="AI37" i="20" s="1" a="1"/>
  <c r="AI37" i="20" s="1"/>
  <c r="AH38" i="20" a="1"/>
  <c r="AH38" i="20" s="1"/>
  <c r="AH39" i="20" a="1"/>
  <c r="AH39" i="20" s="1"/>
  <c r="AH40" i="20" a="1"/>
  <c r="AH40" i="20" s="1"/>
  <c r="AI40" i="20" s="1" a="1"/>
  <c r="AI40" i="20" s="1"/>
  <c r="AH41" i="20" a="1"/>
  <c r="AH41" i="20" s="1"/>
  <c r="AI41" i="20" s="1" a="1"/>
  <c r="AI41" i="20" s="1"/>
  <c r="AH42" i="20" a="1"/>
  <c r="AH42" i="20" s="1"/>
  <c r="AI42" i="20" s="1" a="1"/>
  <c r="AI42" i="20" s="1"/>
  <c r="AH43" i="20" a="1"/>
  <c r="AH43" i="20" s="1"/>
  <c r="AI43" i="20" s="1" a="1"/>
  <c r="AI43" i="20" s="1"/>
  <c r="AH44" i="20" a="1"/>
  <c r="AH44" i="20" s="1"/>
  <c r="AI44" i="20" s="1" a="1"/>
  <c r="AI44" i="20" s="1"/>
  <c r="AH45" i="20" a="1"/>
  <c r="AH45" i="20" s="1"/>
  <c r="AI45" i="20" s="1" a="1"/>
  <c r="AI45" i="20" s="1"/>
  <c r="AH46" i="20" a="1"/>
  <c r="AH46" i="20" s="1"/>
  <c r="AI46" i="20" s="1" a="1"/>
  <c r="AI46" i="20" s="1"/>
  <c r="AH47" i="20" a="1"/>
  <c r="AH47" i="20" s="1"/>
  <c r="AI47" i="20" s="1" a="1"/>
  <c r="AI47" i="20" s="1"/>
  <c r="AH48" i="20" a="1"/>
  <c r="AH48" i="20" s="1"/>
  <c r="AI48" i="20" s="1" a="1"/>
  <c r="AI48" i="20" s="1"/>
  <c r="AH49" i="20" a="1"/>
  <c r="AH49" i="20" s="1"/>
  <c r="AI49" i="20" s="1" a="1"/>
  <c r="AI49" i="20" s="1"/>
  <c r="AH50" i="20" a="1"/>
  <c r="AH50" i="20" s="1"/>
  <c r="AI50" i="20" s="1" a="1"/>
  <c r="AI50" i="20" s="1"/>
  <c r="AH51" i="20" a="1"/>
  <c r="AH51" i="20" s="1"/>
  <c r="AI51" i="20" s="1" a="1"/>
  <c r="AI51" i="20" s="1"/>
  <c r="AH52" i="20" a="1"/>
  <c r="AH52" i="20" s="1"/>
  <c r="AI52" i="20" s="1" a="1"/>
  <c r="AI52" i="20" s="1"/>
  <c r="AH53" i="20" a="1"/>
  <c r="AH53" i="20" s="1"/>
  <c r="AI53" i="20" s="1" a="1"/>
  <c r="AI53" i="20" s="1"/>
  <c r="AH54" i="20" a="1"/>
  <c r="AH54" i="20" s="1"/>
  <c r="AI54" i="20" s="1" a="1"/>
  <c r="AI54" i="20" s="1"/>
  <c r="AH55" i="20" a="1"/>
  <c r="AH55" i="20" s="1"/>
  <c r="AI55" i="20" s="1" a="1"/>
  <c r="AI55" i="20" s="1"/>
  <c r="AH56" i="20" a="1"/>
  <c r="AH56" i="20" s="1"/>
  <c r="AI56" i="20" s="1" a="1"/>
  <c r="AI56" i="20" s="1"/>
  <c r="AH57" i="20" a="1"/>
  <c r="AH57" i="20" s="1"/>
  <c r="AI57" i="20" s="1" a="1"/>
  <c r="AI57" i="20" s="1"/>
  <c r="AH58" i="20" a="1"/>
  <c r="AH58" i="20" s="1"/>
  <c r="AI58" i="20" s="1" a="1"/>
  <c r="AI58" i="20" s="1"/>
  <c r="AH59" i="20" a="1"/>
  <c r="AH59" i="20" s="1"/>
  <c r="AI59" i="20" s="1" a="1"/>
  <c r="AI59" i="20" s="1"/>
  <c r="AH60" i="20" a="1"/>
  <c r="AH60" i="20" s="1"/>
  <c r="AI60" i="20" s="1" a="1"/>
  <c r="AI60" i="20" s="1"/>
  <c r="K176" i="28" a="1"/>
  <c r="I108" i="28" a="1"/>
  <c r="I59" i="28" a="1"/>
  <c r="O34" i="34" l="1"/>
  <c r="N20" i="34"/>
  <c r="H21" i="34" a="1"/>
  <c r="H21" i="34" s="1"/>
  <c r="I59" i="28"/>
  <c r="E59" i="28"/>
  <c r="F59" i="28"/>
  <c r="G59" i="28"/>
  <c r="I108" i="28"/>
  <c r="E108" i="28"/>
  <c r="F108" i="28"/>
  <c r="G108" i="28"/>
  <c r="K176" i="28"/>
  <c r="AH84" i="22" a="1"/>
  <c r="AH84" i="22" s="1"/>
  <c r="AH85" i="22" a="1"/>
  <c r="AH85" i="22" s="1"/>
  <c r="AH86" i="22" a="1"/>
  <c r="AH86" i="22" s="1"/>
  <c r="B59" i="28" a="1"/>
  <c r="B108" i="28" a="1"/>
  <c r="I176" i="28" a="1"/>
  <c r="N21" i="34" l="1"/>
  <c r="H22" i="34" a="1"/>
  <c r="H22" i="34" s="1"/>
  <c r="O35" i="34"/>
  <c r="B59" i="28"/>
  <c r="B108" i="28"/>
  <c r="I176" i="28"/>
  <c r="E176" i="28"/>
  <c r="F176" i="28"/>
  <c r="G176" i="28"/>
  <c r="T38" i="10"/>
  <c r="C38" i="10" a="1"/>
  <c r="C38" i="10" s="1"/>
  <c r="Q14" i="3"/>
  <c r="S14" i="3"/>
  <c r="X14" i="3"/>
  <c r="Z14" i="3"/>
  <c r="X15" i="3"/>
  <c r="Z15" i="3"/>
  <c r="Q4" i="3"/>
  <c r="R4" i="3" s="1" a="1"/>
  <c r="R4" i="3" s="1"/>
  <c r="Q5" i="3"/>
  <c r="Q8" i="3"/>
  <c r="Q10" i="3"/>
  <c r="Q13" i="3"/>
  <c r="Q16" i="3"/>
  <c r="Q18" i="3"/>
  <c r="Q21" i="3"/>
  <c r="Q22" i="3"/>
  <c r="Q24" i="3"/>
  <c r="Q28" i="3"/>
  <c r="Q30" i="3"/>
  <c r="Q33" i="3"/>
  <c r="Q34" i="3"/>
  <c r="Q37" i="3"/>
  <c r="Q42" i="3"/>
  <c r="Q52"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K42" i="10" a="1"/>
  <c r="K42" i="10" s="1"/>
  <c r="AE42" i="10"/>
  <c r="AK42" i="10"/>
  <c r="K41" i="10" a="1"/>
  <c r="K41" i="10" s="1"/>
  <c r="AE41" i="10"/>
  <c r="AK41" i="10"/>
  <c r="I40" i="20" a="1"/>
  <c r="I40" i="20" s="1"/>
  <c r="K40" i="20" a="1"/>
  <c r="K40" i="20" s="1"/>
  <c r="AG40" i="20"/>
  <c r="AN40" i="20"/>
  <c r="I39" i="20" a="1"/>
  <c r="I39" i="20" s="1"/>
  <c r="K39" i="20" a="1"/>
  <c r="K39" i="20" s="1"/>
  <c r="V39" i="20" a="1"/>
  <c r="V39" i="20" s="1"/>
  <c r="AN39" i="20"/>
  <c r="I38" i="20" a="1"/>
  <c r="I38" i="20" s="1"/>
  <c r="K38" i="20" a="1"/>
  <c r="K38" i="20" s="1"/>
  <c r="V38" i="20" a="1"/>
  <c r="V38" i="20" s="1"/>
  <c r="AN38" i="20"/>
  <c r="K37" i="20" a="1"/>
  <c r="K37" i="20" s="1"/>
  <c r="AG37" i="20"/>
  <c r="AN37" i="20"/>
  <c r="I36" i="20" a="1"/>
  <c r="I36" i="20" s="1"/>
  <c r="K36" i="20" a="1"/>
  <c r="K36" i="20" s="1"/>
  <c r="V36" i="20" a="1"/>
  <c r="V36" i="20" s="1"/>
  <c r="AG36" i="20"/>
  <c r="AN36" i="20"/>
  <c r="AP4" i="3" a="1"/>
  <c r="AP4" i="3" s="1"/>
  <c r="F60" i="29"/>
  <c r="AE40" i="10"/>
  <c r="AF40" i="10" a="1"/>
  <c r="AF40" i="10" s="1"/>
  <c r="AK40" i="10"/>
  <c r="AH82" i="22" a="1"/>
  <c r="AH82" i="22" s="1"/>
  <c r="AH83" i="22" a="1"/>
  <c r="AH83" i="22" s="1"/>
  <c r="AK3" i="10"/>
  <c r="AK4" i="10"/>
  <c r="AK5" i="10"/>
  <c r="AK6" i="10"/>
  <c r="AK7" i="10"/>
  <c r="AK8" i="10"/>
  <c r="AK9" i="10"/>
  <c r="AK10" i="10"/>
  <c r="AK11" i="10"/>
  <c r="AK12" i="10"/>
  <c r="AK13" i="10"/>
  <c r="AK14" i="10"/>
  <c r="AK15" i="10"/>
  <c r="AK16" i="10"/>
  <c r="AK17" i="10"/>
  <c r="AK18" i="10"/>
  <c r="AK19" i="10"/>
  <c r="AK20" i="10"/>
  <c r="AK21" i="10"/>
  <c r="AK22" i="10"/>
  <c r="AK23" i="10"/>
  <c r="AK24" i="10"/>
  <c r="AK25" i="10"/>
  <c r="AK26" i="10"/>
  <c r="AK27" i="10"/>
  <c r="AK28" i="10"/>
  <c r="AK29" i="10"/>
  <c r="AK30" i="10"/>
  <c r="AK31" i="10"/>
  <c r="AK32" i="10"/>
  <c r="AK33" i="10"/>
  <c r="AK34" i="10"/>
  <c r="AK35" i="10"/>
  <c r="AK36" i="10"/>
  <c r="AK37" i="10"/>
  <c r="AK38" i="10"/>
  <c r="AK39" i="10"/>
  <c r="AN3" i="20"/>
  <c r="AN5" i="20"/>
  <c r="AN6" i="20"/>
  <c r="AN7" i="20"/>
  <c r="AN8" i="20"/>
  <c r="AN9" i="20"/>
  <c r="AN10" i="20"/>
  <c r="AN11" i="20"/>
  <c r="AN12" i="20"/>
  <c r="AN13" i="20"/>
  <c r="AN14" i="20"/>
  <c r="AN15" i="20"/>
  <c r="AN16" i="20"/>
  <c r="AN17" i="20"/>
  <c r="AN18" i="20"/>
  <c r="AN19" i="20"/>
  <c r="AN20" i="20"/>
  <c r="AN21" i="20"/>
  <c r="AN22" i="20"/>
  <c r="AN23" i="20"/>
  <c r="AN24" i="20"/>
  <c r="AN25" i="20"/>
  <c r="AN26" i="20"/>
  <c r="AN27" i="20"/>
  <c r="AN28" i="20"/>
  <c r="AN29" i="20"/>
  <c r="AN30" i="20"/>
  <c r="AN31" i="20"/>
  <c r="AN32" i="20"/>
  <c r="AN33" i="20"/>
  <c r="AN35" i="20"/>
  <c r="AN41" i="20"/>
  <c r="AN42" i="20"/>
  <c r="AN43" i="20"/>
  <c r="AN44" i="20"/>
  <c r="AN45" i="20"/>
  <c r="AN46" i="20"/>
  <c r="AN47" i="20"/>
  <c r="AN48" i="20"/>
  <c r="AN49" i="20"/>
  <c r="AN50" i="20"/>
  <c r="AN51" i="20"/>
  <c r="AN52" i="20"/>
  <c r="AN53" i="20"/>
  <c r="AN54" i="20"/>
  <c r="AN55" i="20"/>
  <c r="AN56" i="20"/>
  <c r="AN57" i="20"/>
  <c r="AN58" i="20"/>
  <c r="AN59" i="20"/>
  <c r="AN60" i="20"/>
  <c r="AN61" i="20"/>
  <c r="V6" i="32" a="1"/>
  <c r="V6" i="32" s="1"/>
  <c r="K249" i="28" a="1"/>
  <c r="K238" i="28" a="1"/>
  <c r="B12" i="14" a="1"/>
  <c r="J18" i="24" a="1"/>
  <c r="K233" i="28" a="1"/>
  <c r="K235" i="28" a="1"/>
  <c r="I18" i="24" a="1"/>
  <c r="K230" i="28" a="1"/>
  <c r="K246" i="28" a="1"/>
  <c r="K17" i="24" a="1"/>
  <c r="I17" i="24" a="1"/>
  <c r="K237" i="28" a="1"/>
  <c r="K244" i="28" a="1"/>
  <c r="K251" i="28" a="1"/>
  <c r="K240" i="28" a="1"/>
  <c r="K248" i="28" a="1"/>
  <c r="K247" i="28" a="1"/>
  <c r="K241" i="28" a="1"/>
  <c r="K18" i="24" a="1"/>
  <c r="K236" i="28" a="1"/>
  <c r="K234" i="28" a="1"/>
  <c r="K112" i="28" a="1"/>
  <c r="K245" i="28" a="1"/>
  <c r="K250" i="28" a="1"/>
  <c r="E60" i="29" a="1"/>
  <c r="J17" i="24" a="1"/>
  <c r="K243" i="28" a="1"/>
  <c r="K239" i="28" a="1"/>
  <c r="K232" i="28" a="1"/>
  <c r="K242" i="28" a="1"/>
  <c r="K231" i="28" a="1"/>
  <c r="A12" i="14" a="1"/>
  <c r="C12" i="14" a="1"/>
  <c r="F21" i="19" a="1"/>
  <c r="D12" i="14" a="1"/>
  <c r="B176" i="28" a="1"/>
  <c r="O36" i="34" l="1"/>
  <c r="N22" i="34"/>
  <c r="H23" i="34" a="1"/>
  <c r="H23" i="34" s="1"/>
  <c r="R5" i="3" a="1"/>
  <c r="R5" i="3" s="1"/>
  <c r="AP5" i="3" a="1"/>
  <c r="AP5" i="3" s="1"/>
  <c r="B176" i="28"/>
  <c r="K112" i="28"/>
  <c r="AK40" i="20" a="1"/>
  <c r="AK40" i="20" s="1"/>
  <c r="AJ40" i="20" a="1"/>
  <c r="AJ40" i="20" s="1"/>
  <c r="AK38" i="20" a="1"/>
  <c r="AK38" i="20" s="1"/>
  <c r="AJ38" i="20" a="1"/>
  <c r="AJ38" i="20" s="1"/>
  <c r="K18" i="24"/>
  <c r="M18" i="24" s="1"/>
  <c r="J18" i="24"/>
  <c r="O18" i="24" s="1"/>
  <c r="I18" i="24"/>
  <c r="AJ39" i="20" a="1"/>
  <c r="AJ39" i="20" s="1"/>
  <c r="AK39" i="20" a="1"/>
  <c r="AK39" i="20" s="1"/>
  <c r="AJ37" i="20" a="1"/>
  <c r="AJ37" i="20" s="1"/>
  <c r="AK37" i="20" a="1"/>
  <c r="AK37" i="20" s="1"/>
  <c r="AJ36" i="20" a="1"/>
  <c r="AJ36" i="20" s="1"/>
  <c r="AK36" i="20" a="1"/>
  <c r="AK36" i="20" s="1"/>
  <c r="E60" i="29"/>
  <c r="AH40" i="10" a="1"/>
  <c r="AH40" i="10" s="1"/>
  <c r="AG40" i="10" a="1"/>
  <c r="AG40" i="10" s="1"/>
  <c r="K17" i="24"/>
  <c r="M17" i="24" s="1"/>
  <c r="J17" i="24"/>
  <c r="O17" i="24" s="1"/>
  <c r="I17" i="24"/>
  <c r="D12" i="14"/>
  <c r="C12" i="14"/>
  <c r="B12" i="14"/>
  <c r="A12" i="14"/>
  <c r="K251" i="28"/>
  <c r="K232" i="28"/>
  <c r="K231" i="28"/>
  <c r="F21" i="19"/>
  <c r="G21" i="19" s="1"/>
  <c r="K250" i="28"/>
  <c r="K249" i="28"/>
  <c r="K248" i="28"/>
  <c r="K241" i="28"/>
  <c r="K240" i="28"/>
  <c r="K247" i="28"/>
  <c r="K239" i="28"/>
  <c r="K246" i="28"/>
  <c r="K238" i="28"/>
  <c r="K245" i="28"/>
  <c r="K237" i="28"/>
  <c r="K244" i="28"/>
  <c r="K236" i="28"/>
  <c r="K243" i="28"/>
  <c r="K235" i="28"/>
  <c r="K242" i="28"/>
  <c r="K234" i="28"/>
  <c r="K233" i="28"/>
  <c r="K230" i="28"/>
  <c r="C42" i="21"/>
  <c r="K42" i="21" a="1"/>
  <c r="K42" i="21" s="1"/>
  <c r="AM42" i="21" s="1"/>
  <c r="L42" i="21"/>
  <c r="X42" i="21" a="1"/>
  <c r="X42" i="21" s="1"/>
  <c r="AA42" i="21"/>
  <c r="AC42" i="21"/>
  <c r="AD42" i="21" a="1"/>
  <c r="AD42" i="21" s="1"/>
  <c r="AH42" i="21" a="1"/>
  <c r="AH42" i="21" s="1"/>
  <c r="I14" i="16"/>
  <c r="T39" i="10" a="1"/>
  <c r="T39" i="10" s="1"/>
  <c r="AE39" i="10"/>
  <c r="AF39" i="10" a="1"/>
  <c r="AF39" i="10" s="1"/>
  <c r="H44" i="29"/>
  <c r="Q30" i="9"/>
  <c r="I61" i="20" a="1"/>
  <c r="I61" i="20" s="1"/>
  <c r="K61" i="20" a="1"/>
  <c r="K61" i="20" s="1"/>
  <c r="X49" i="3"/>
  <c r="Z49" i="3"/>
  <c r="F49" i="29"/>
  <c r="D49" i="29"/>
  <c r="F57" i="29"/>
  <c r="I231" i="28" a="1"/>
  <c r="G60" i="29" a="1"/>
  <c r="I232" i="28" a="1"/>
  <c r="J23" i="24" a="1"/>
  <c r="I23" i="24" a="1"/>
  <c r="I241" i="28" a="1"/>
  <c r="K223" i="28" a="1"/>
  <c r="I251" i="28" a="1"/>
  <c r="I240" i="28" a="1"/>
  <c r="I235" i="28" a="1"/>
  <c r="I244" i="28" a="1"/>
  <c r="I242" i="28" a="1"/>
  <c r="I236" i="28" a="1"/>
  <c r="I249" i="28" a="1"/>
  <c r="K60" i="28" a="1"/>
  <c r="I248" i="28" a="1"/>
  <c r="E57" i="29" a="1"/>
  <c r="I247" i="28" a="1"/>
  <c r="I250" i="28" a="1"/>
  <c r="I245" i="28" a="1"/>
  <c r="E49" i="29" a="1"/>
  <c r="I239" i="28" a="1"/>
  <c r="K23" i="24" a="1"/>
  <c r="I234" i="28" a="1"/>
  <c r="K61" i="28" a="1"/>
  <c r="I112" i="28" a="1"/>
  <c r="K155" i="28" a="1"/>
  <c r="I237" i="28" a="1"/>
  <c r="I230" i="28" a="1"/>
  <c r="I238" i="28" a="1"/>
  <c r="I243" i="28" a="1"/>
  <c r="I246" i="28" a="1"/>
  <c r="N23" i="34" l="1"/>
  <c r="H24" i="34" a="1"/>
  <c r="H24" i="34" s="1"/>
  <c r="O37" i="34"/>
  <c r="Y5" i="3" a="1"/>
  <c r="Y5" i="3" s="1"/>
  <c r="Y6" i="3" s="1" a="1"/>
  <c r="Y6" i="3" s="1"/>
  <c r="Y7" i="3" s="1" a="1"/>
  <c r="Y7" i="3" s="1"/>
  <c r="Y8" i="3" s="1" a="1"/>
  <c r="Y8" i="3" s="1"/>
  <c r="Y9" i="3" s="1" a="1"/>
  <c r="Y9" i="3" s="1"/>
  <c r="Y10" i="3" s="1" a="1"/>
  <c r="Y10" i="3" s="1"/>
  <c r="Y11" i="3" s="1" a="1"/>
  <c r="Y11" i="3" s="1"/>
  <c r="Y12" i="3" s="1" a="1"/>
  <c r="Y12" i="3" s="1"/>
  <c r="Y13" i="3" s="1" a="1"/>
  <c r="Y13" i="3" s="1"/>
  <c r="Y14" i="3" s="1" a="1"/>
  <c r="Y14" i="3" s="1"/>
  <c r="Y15" i="3" s="1" a="1"/>
  <c r="Y15" i="3" s="1"/>
  <c r="Y16" i="3" s="1" a="1"/>
  <c r="Y16" i="3" s="1"/>
  <c r="Y17" i="3" s="1" a="1"/>
  <c r="Y17" i="3" s="1"/>
  <c r="Y18" i="3" s="1" a="1"/>
  <c r="Y18" i="3" s="1"/>
  <c r="Y19" i="3" s="1" a="1"/>
  <c r="Y19" i="3" s="1"/>
  <c r="Y20" i="3" s="1" a="1"/>
  <c r="Y20" i="3" s="1"/>
  <c r="Y21" i="3" s="1" a="1"/>
  <c r="Y21" i="3" s="1"/>
  <c r="Y22" i="3" s="1" a="1"/>
  <c r="Y22" i="3" s="1"/>
  <c r="Y23" i="3" s="1" a="1"/>
  <c r="Y23" i="3" s="1"/>
  <c r="Y24" i="3" s="1" a="1"/>
  <c r="Y24" i="3" s="1"/>
  <c r="Y25" i="3" s="1" a="1"/>
  <c r="Y25" i="3" s="1"/>
  <c r="Y26" i="3" s="1" a="1"/>
  <c r="Y26" i="3" s="1"/>
  <c r="Y27" i="3" s="1" a="1"/>
  <c r="Y27" i="3" s="1"/>
  <c r="Y28" i="3" s="1" a="1"/>
  <c r="Y28" i="3" s="1"/>
  <c r="Y29" i="3" s="1" a="1"/>
  <c r="Y29" i="3" s="1"/>
  <c r="Y30" i="3" s="1" a="1"/>
  <c r="Y30" i="3" s="1"/>
  <c r="Y31" i="3" s="1" a="1"/>
  <c r="Y31" i="3" s="1"/>
  <c r="Y32" i="3" s="1" a="1"/>
  <c r="Y32" i="3" s="1"/>
  <c r="Y33" i="3" s="1" a="1"/>
  <c r="Y33" i="3" s="1"/>
  <c r="Y34" i="3" s="1" a="1"/>
  <c r="Y34" i="3" s="1"/>
  <c r="Y35" i="3" s="1" a="1"/>
  <c r="Y35" i="3" s="1"/>
  <c r="Y36" i="3" s="1" a="1"/>
  <c r="Y36" i="3" s="1"/>
  <c r="Y37" i="3" s="1" a="1"/>
  <c r="Y37" i="3" s="1"/>
  <c r="Y38" i="3" s="1" a="1"/>
  <c r="Y38" i="3" s="1"/>
  <c r="Y39" i="3" s="1" a="1"/>
  <c r="Y39" i="3" s="1"/>
  <c r="Y40" i="3" s="1" a="1"/>
  <c r="Y40" i="3" s="1"/>
  <c r="Y41" i="3" s="1" a="1"/>
  <c r="Y41" i="3" s="1"/>
  <c r="Y42" i="3" s="1" a="1"/>
  <c r="Y42" i="3" s="1"/>
  <c r="Y43" i="3" s="1" a="1"/>
  <c r="Y43" i="3" s="1"/>
  <c r="Y44" i="3" s="1" a="1"/>
  <c r="Y44" i="3" s="1"/>
  <c r="Y45" i="3" s="1" a="1"/>
  <c r="Y45" i="3" s="1"/>
  <c r="Y46" i="3" s="1" a="1"/>
  <c r="Y46" i="3" s="1"/>
  <c r="Y47" i="3" s="1" a="1"/>
  <c r="Y47" i="3" s="1"/>
  <c r="Y48" i="3" s="1" a="1"/>
  <c r="Y48" i="3" s="1"/>
  <c r="Y49" i="3" s="1" a="1"/>
  <c r="Y49" i="3" s="1"/>
  <c r="Y50" i="3" s="1" a="1"/>
  <c r="Y50" i="3" s="1"/>
  <c r="Y51" i="3" s="1" a="1"/>
  <c r="Y51" i="3" s="1"/>
  <c r="Y52" i="3" s="1" a="1"/>
  <c r="Y52" i="3" s="1"/>
  <c r="Y53" i="3" s="1" a="1"/>
  <c r="Y53" i="3" s="1"/>
  <c r="Y54" i="3" s="1" a="1"/>
  <c r="Y54" i="3" s="1"/>
  <c r="Y55" i="3" s="1" a="1"/>
  <c r="Y55" i="3" s="1"/>
  <c r="Y56" i="3" s="1" a="1"/>
  <c r="Y56" i="3" s="1"/>
  <c r="Y57" i="3" s="1" a="1"/>
  <c r="Y57" i="3" s="1"/>
  <c r="Y58" i="3" s="1" a="1"/>
  <c r="Y58" i="3" s="1"/>
  <c r="Y59" i="3" s="1" a="1"/>
  <c r="Y59" i="3" s="1"/>
  <c r="Y60" i="3" s="1" a="1"/>
  <c r="Y60" i="3" s="1"/>
  <c r="Y61" i="3" s="1" a="1"/>
  <c r="Y61" i="3" s="1"/>
  <c r="Y62" i="3" s="1" a="1"/>
  <c r="Y62" i="3" s="1"/>
  <c r="Y63" i="3" s="1" a="1"/>
  <c r="Y63" i="3" s="1"/>
  <c r="Y64" i="3" s="1" a="1"/>
  <c r="Y64" i="3" s="1"/>
  <c r="Y65" i="3" s="1" a="1"/>
  <c r="Y65" i="3" s="1"/>
  <c r="Y66" i="3" s="1" a="1"/>
  <c r="Y66" i="3" s="1"/>
  <c r="Y67" i="3" s="1" a="1"/>
  <c r="Y67" i="3" s="1"/>
  <c r="Y68" i="3" s="1" a="1"/>
  <c r="Y68" i="3" s="1"/>
  <c r="Y69" i="3" s="1" a="1"/>
  <c r="Y69" i="3" s="1"/>
  <c r="Y70" i="3" s="1" a="1"/>
  <c r="Y70" i="3" s="1"/>
  <c r="Y71" i="3" s="1" a="1"/>
  <c r="Y71" i="3" s="1"/>
  <c r="Y72" i="3" s="1" a="1"/>
  <c r="Y72" i="3" s="1"/>
  <c r="Y73" i="3" s="1" a="1"/>
  <c r="Y73" i="3" s="1"/>
  <c r="Y74" i="3" s="1" a="1"/>
  <c r="Y74" i="3" s="1"/>
  <c r="Y75" i="3" s="1" a="1"/>
  <c r="Y75" i="3" s="1"/>
  <c r="Y76" i="3" s="1" a="1"/>
  <c r="Y76" i="3" s="1"/>
  <c r="Y77" i="3" s="1" a="1"/>
  <c r="Y77" i="3" s="1"/>
  <c r="Y78" i="3" s="1" a="1"/>
  <c r="Y78" i="3" s="1"/>
  <c r="Y79" i="3" s="1" a="1"/>
  <c r="Y79" i="3" s="1"/>
  <c r="Y80" i="3" s="1" a="1"/>
  <c r="Y80" i="3" s="1"/>
  <c r="Y81" i="3" s="1" a="1"/>
  <c r="Y81" i="3" s="1"/>
  <c r="Y82" i="3" s="1" a="1"/>
  <c r="Y82" i="3" s="1"/>
  <c r="Y83" i="3" s="1" a="1"/>
  <c r="Y83" i="3" s="1"/>
  <c r="Y84" i="3" s="1" a="1"/>
  <c r="Y84" i="3" s="1"/>
  <c r="Y85" i="3" s="1" a="1"/>
  <c r="Y85" i="3" s="1"/>
  <c r="Y86" i="3" s="1" a="1"/>
  <c r="Y86" i="3" s="1"/>
  <c r="Y87" i="3" s="1" a="1"/>
  <c r="Y87" i="3" s="1"/>
  <c r="Y88" i="3" s="1" a="1"/>
  <c r="Y88" i="3" s="1"/>
  <c r="Y89" i="3" s="1" a="1"/>
  <c r="Y89" i="3" s="1"/>
  <c r="Y90" i="3" s="1" a="1"/>
  <c r="Y90" i="3" s="1"/>
  <c r="Y91" i="3" s="1" a="1"/>
  <c r="Y91" i="3" s="1"/>
  <c r="Y92" i="3" s="1" a="1"/>
  <c r="Y92" i="3" s="1"/>
  <c r="Y93" i="3" s="1" a="1"/>
  <c r="Y93" i="3" s="1"/>
  <c r="Y94" i="3" s="1" a="1"/>
  <c r="Y94" i="3" s="1"/>
  <c r="Y95" i="3" s="1" a="1"/>
  <c r="Y95" i="3" s="1"/>
  <c r="Y96" i="3" s="1" a="1"/>
  <c r="Y96" i="3" s="1"/>
  <c r="Y97" i="3" s="1" a="1"/>
  <c r="Y97" i="3" s="1"/>
  <c r="Y98" i="3" s="1" a="1"/>
  <c r="Y98" i="3" s="1"/>
  <c r="Y99" i="3" s="1" a="1"/>
  <c r="Y99" i="3" s="1"/>
  <c r="Y100" i="3" s="1" a="1"/>
  <c r="Y100" i="3" s="1"/>
  <c r="Y101" i="3" s="1" a="1"/>
  <c r="Y101" i="3" s="1"/>
  <c r="Y102" i="3" s="1" a="1"/>
  <c r="Y102" i="3" s="1"/>
  <c r="Y103" i="3" s="1" a="1"/>
  <c r="Y103" i="3" s="1"/>
  <c r="W5" i="3" a="1"/>
  <c r="W5" i="3" s="1"/>
  <c r="W6" i="3" s="1" a="1"/>
  <c r="W6" i="3" s="1"/>
  <c r="W7" i="3" s="1" a="1"/>
  <c r="W7" i="3" s="1"/>
  <c r="W8" i="3" s="1" a="1"/>
  <c r="W8" i="3" s="1"/>
  <c r="W9" i="3" s="1" a="1"/>
  <c r="W9" i="3" s="1"/>
  <c r="W10" i="3" s="1" a="1"/>
  <c r="W10" i="3" s="1"/>
  <c r="W11" i="3" s="1" a="1"/>
  <c r="W11" i="3" s="1"/>
  <c r="W12" i="3" s="1" a="1"/>
  <c r="W12" i="3" s="1"/>
  <c r="W13" i="3" s="1" a="1"/>
  <c r="W13" i="3" s="1"/>
  <c r="W14" i="3" s="1" a="1"/>
  <c r="W14" i="3" s="1"/>
  <c r="W15" i="3" s="1" a="1"/>
  <c r="W15" i="3" s="1"/>
  <c r="W16" i="3" s="1" a="1"/>
  <c r="W16" i="3" s="1"/>
  <c r="W17" i="3" s="1" a="1"/>
  <c r="W17" i="3" s="1"/>
  <c r="W18" i="3" s="1" a="1"/>
  <c r="W18" i="3" s="1"/>
  <c r="W19" i="3" s="1" a="1"/>
  <c r="W19" i="3" s="1"/>
  <c r="W20" i="3" s="1" a="1"/>
  <c r="W20" i="3" s="1"/>
  <c r="W21" i="3" s="1" a="1"/>
  <c r="W21" i="3" s="1"/>
  <c r="W22" i="3" s="1" a="1"/>
  <c r="W22" i="3" s="1"/>
  <c r="W23" i="3" s="1" a="1"/>
  <c r="W23" i="3" s="1"/>
  <c r="W24" i="3" s="1" a="1"/>
  <c r="W24" i="3" s="1"/>
  <c r="W25" i="3" s="1" a="1"/>
  <c r="W25" i="3" s="1"/>
  <c r="W26" i="3" s="1" a="1"/>
  <c r="W26" i="3" s="1"/>
  <c r="W27" i="3" s="1" a="1"/>
  <c r="W27" i="3" s="1"/>
  <c r="W28" i="3" s="1" a="1"/>
  <c r="W28" i="3" s="1"/>
  <c r="W29" i="3" s="1" a="1"/>
  <c r="W29" i="3" s="1"/>
  <c r="W30" i="3" s="1" a="1"/>
  <c r="W30" i="3" s="1"/>
  <c r="W31" i="3" s="1" a="1"/>
  <c r="W31" i="3" s="1"/>
  <c r="W32" i="3" s="1" a="1"/>
  <c r="W32" i="3" s="1"/>
  <c r="W33" i="3" s="1" a="1"/>
  <c r="W33" i="3" s="1"/>
  <c r="W34" i="3" s="1" a="1"/>
  <c r="W34" i="3" s="1"/>
  <c r="W35" i="3" s="1" a="1"/>
  <c r="W35" i="3" s="1"/>
  <c r="W36" i="3" s="1" a="1"/>
  <c r="W36" i="3" s="1"/>
  <c r="W37" i="3" s="1" a="1"/>
  <c r="W37" i="3" s="1"/>
  <c r="W38" i="3" s="1" a="1"/>
  <c r="W38" i="3" s="1"/>
  <c r="W39" i="3" s="1" a="1"/>
  <c r="W39" i="3" s="1"/>
  <c r="W40" i="3" s="1" a="1"/>
  <c r="W40" i="3" s="1"/>
  <c r="W41" i="3" s="1" a="1"/>
  <c r="W41" i="3" s="1"/>
  <c r="W42" i="3" s="1" a="1"/>
  <c r="W42" i="3" s="1"/>
  <c r="W43" i="3" s="1" a="1"/>
  <c r="W43" i="3" s="1"/>
  <c r="W44" i="3" s="1" a="1"/>
  <c r="W44" i="3" s="1"/>
  <c r="W45" i="3" s="1" a="1"/>
  <c r="W45" i="3" s="1"/>
  <c r="W46" i="3" s="1" a="1"/>
  <c r="W46" i="3" s="1"/>
  <c r="W47" i="3" s="1" a="1"/>
  <c r="W47" i="3" s="1"/>
  <c r="W48" i="3" s="1" a="1"/>
  <c r="W48" i="3" s="1"/>
  <c r="W49" i="3" s="1" a="1"/>
  <c r="W49" i="3" s="1"/>
  <c r="W50" i="3" s="1" a="1"/>
  <c r="W50" i="3" s="1"/>
  <c r="W51" i="3" s="1" a="1"/>
  <c r="W51" i="3" s="1"/>
  <c r="W52" i="3" s="1" a="1"/>
  <c r="W52" i="3" s="1"/>
  <c r="W53" i="3" s="1" a="1"/>
  <c r="W53" i="3" s="1"/>
  <c r="W54" i="3" s="1" a="1"/>
  <c r="W54" i="3" s="1"/>
  <c r="W55" i="3" s="1" a="1"/>
  <c r="W55" i="3" s="1"/>
  <c r="W56" i="3" s="1" a="1"/>
  <c r="W56" i="3" s="1"/>
  <c r="W57" i="3" s="1" a="1"/>
  <c r="W57" i="3" s="1"/>
  <c r="W58" i="3" s="1" a="1"/>
  <c r="W58" i="3" s="1"/>
  <c r="W59" i="3" s="1" a="1"/>
  <c r="W59" i="3" s="1"/>
  <c r="W60" i="3" s="1" a="1"/>
  <c r="W60" i="3" s="1"/>
  <c r="W61" i="3" s="1" a="1"/>
  <c r="W61" i="3" s="1"/>
  <c r="W62" i="3" s="1" a="1"/>
  <c r="W62" i="3" s="1"/>
  <c r="W63" i="3" s="1" a="1"/>
  <c r="W63" i="3" s="1"/>
  <c r="W64" i="3" s="1" a="1"/>
  <c r="W64" i="3" s="1"/>
  <c r="W65" i="3" s="1" a="1"/>
  <c r="W65" i="3" s="1"/>
  <c r="W66" i="3" s="1" a="1"/>
  <c r="W66" i="3" s="1"/>
  <c r="W67" i="3" s="1" a="1"/>
  <c r="W67" i="3" s="1"/>
  <c r="W68" i="3" s="1" a="1"/>
  <c r="W68" i="3" s="1"/>
  <c r="W69" i="3" s="1" a="1"/>
  <c r="W69" i="3" s="1"/>
  <c r="W70" i="3" s="1" a="1"/>
  <c r="W70" i="3" s="1"/>
  <c r="W71" i="3" s="1" a="1"/>
  <c r="W71" i="3" s="1"/>
  <c r="W72" i="3" s="1" a="1"/>
  <c r="W72" i="3" s="1"/>
  <c r="W73" i="3" s="1" a="1"/>
  <c r="W73" i="3" s="1"/>
  <c r="W74" i="3" s="1" a="1"/>
  <c r="W74" i="3" s="1"/>
  <c r="W75" i="3" s="1" a="1"/>
  <c r="W75" i="3" s="1"/>
  <c r="W76" i="3" s="1" a="1"/>
  <c r="W76" i="3" s="1"/>
  <c r="W77" i="3" s="1" a="1"/>
  <c r="W77" i="3" s="1"/>
  <c r="W78" i="3" s="1" a="1"/>
  <c r="W78" i="3" s="1"/>
  <c r="W79" i="3" s="1" a="1"/>
  <c r="W79" i="3" s="1"/>
  <c r="W80" i="3" s="1" a="1"/>
  <c r="W80" i="3" s="1"/>
  <c r="W81" i="3" s="1" a="1"/>
  <c r="W81" i="3" s="1"/>
  <c r="W82" i="3" s="1" a="1"/>
  <c r="W82" i="3" s="1"/>
  <c r="W83" i="3" s="1" a="1"/>
  <c r="W83" i="3" s="1"/>
  <c r="W84" i="3" s="1" a="1"/>
  <c r="W84" i="3" s="1"/>
  <c r="W85" i="3" s="1" a="1"/>
  <c r="W85" i="3" s="1"/>
  <c r="W86" i="3" s="1" a="1"/>
  <c r="W86" i="3" s="1"/>
  <c r="W87" i="3" s="1" a="1"/>
  <c r="W87" i="3" s="1"/>
  <c r="W88" i="3" s="1" a="1"/>
  <c r="W88" i="3" s="1"/>
  <c r="W89" i="3" s="1" a="1"/>
  <c r="W89" i="3" s="1"/>
  <c r="W90" i="3" s="1" a="1"/>
  <c r="W90" i="3" s="1"/>
  <c r="W91" i="3" s="1" a="1"/>
  <c r="W91" i="3" s="1"/>
  <c r="W92" i="3" s="1" a="1"/>
  <c r="W92" i="3" s="1"/>
  <c r="W93" i="3" s="1" a="1"/>
  <c r="W93" i="3" s="1"/>
  <c r="W94" i="3" s="1" a="1"/>
  <c r="W94" i="3" s="1"/>
  <c r="W95" i="3" s="1" a="1"/>
  <c r="W95" i="3" s="1"/>
  <c r="W96" i="3" s="1" a="1"/>
  <c r="W96" i="3" s="1"/>
  <c r="W97" i="3" s="1" a="1"/>
  <c r="W97" i="3" s="1"/>
  <c r="W98" i="3" s="1" a="1"/>
  <c r="W98" i="3" s="1"/>
  <c r="W99" i="3" s="1" a="1"/>
  <c r="W99" i="3" s="1"/>
  <c r="W100" i="3" s="1" a="1"/>
  <c r="W100" i="3" s="1"/>
  <c r="W101" i="3" s="1" a="1"/>
  <c r="W101" i="3" s="1"/>
  <c r="W102" i="3" s="1" a="1"/>
  <c r="W102" i="3" s="1"/>
  <c r="W103" i="3" s="1" a="1"/>
  <c r="W103" i="3" s="1"/>
  <c r="G60" i="29"/>
  <c r="I112" i="28"/>
  <c r="E112" i="28"/>
  <c r="F112" i="28"/>
  <c r="G112" i="28"/>
  <c r="L18" i="24"/>
  <c r="N18" i="24"/>
  <c r="L17" i="24"/>
  <c r="N17" i="24"/>
  <c r="I251" i="28"/>
  <c r="E251" i="28"/>
  <c r="F251" i="28"/>
  <c r="G251" i="28"/>
  <c r="I231" i="28"/>
  <c r="I232" i="28"/>
  <c r="G231" i="28"/>
  <c r="E231" i="28"/>
  <c r="F231" i="28"/>
  <c r="G232" i="28"/>
  <c r="E232" i="28"/>
  <c r="F232" i="28"/>
  <c r="I248" i="28"/>
  <c r="I249" i="28"/>
  <c r="I250" i="28"/>
  <c r="F248" i="28"/>
  <c r="E248" i="28"/>
  <c r="G248" i="28"/>
  <c r="F249" i="28"/>
  <c r="E249" i="28"/>
  <c r="G249" i="28"/>
  <c r="F250" i="28"/>
  <c r="E250" i="28"/>
  <c r="G250" i="28"/>
  <c r="I242" i="28"/>
  <c r="I235" i="28"/>
  <c r="I236" i="28"/>
  <c r="I244" i="28"/>
  <c r="I237" i="28"/>
  <c r="I245" i="28"/>
  <c r="I238" i="28"/>
  <c r="I246" i="28"/>
  <c r="I239" i="28"/>
  <c r="I247" i="28"/>
  <c r="I240" i="28"/>
  <c r="I241" i="28"/>
  <c r="I243" i="28"/>
  <c r="E242" i="28"/>
  <c r="G242" i="28"/>
  <c r="F242" i="28"/>
  <c r="G235" i="28"/>
  <c r="F235" i="28"/>
  <c r="E235" i="28"/>
  <c r="G236" i="28"/>
  <c r="F236" i="28"/>
  <c r="E236" i="28"/>
  <c r="E244" i="28"/>
  <c r="G244" i="28"/>
  <c r="F244" i="28"/>
  <c r="G237" i="28"/>
  <c r="F237" i="28"/>
  <c r="E237" i="28"/>
  <c r="F245" i="28"/>
  <c r="E245" i="28"/>
  <c r="G245" i="28"/>
  <c r="G238" i="28"/>
  <c r="F238" i="28"/>
  <c r="E238" i="28"/>
  <c r="F246" i="28"/>
  <c r="E246" i="28"/>
  <c r="G246" i="28"/>
  <c r="G239" i="28"/>
  <c r="F239" i="28"/>
  <c r="E239" i="28"/>
  <c r="E247" i="28"/>
  <c r="F247" i="28"/>
  <c r="G247" i="28"/>
  <c r="G240" i="28"/>
  <c r="F240" i="28"/>
  <c r="E240" i="28"/>
  <c r="G241" i="28"/>
  <c r="F241" i="28"/>
  <c r="E241" i="28"/>
  <c r="E243" i="28"/>
  <c r="G243" i="28"/>
  <c r="F243" i="28"/>
  <c r="I234" i="28"/>
  <c r="G233" i="28"/>
  <c r="F233" i="28"/>
  <c r="E233" i="28"/>
  <c r="G234" i="28"/>
  <c r="F234" i="28"/>
  <c r="E234" i="28"/>
  <c r="I230" i="28"/>
  <c r="E230" i="28"/>
  <c r="F230" i="28"/>
  <c r="G230" i="28"/>
  <c r="K23" i="24"/>
  <c r="M23" i="24" s="1"/>
  <c r="J23" i="24"/>
  <c r="O23" i="24" s="1"/>
  <c r="I23" i="24"/>
  <c r="K223" i="28"/>
  <c r="K155" i="28"/>
  <c r="AG39" i="10" a="1"/>
  <c r="AG39" i="10" s="1"/>
  <c r="AH39" i="10" a="1"/>
  <c r="AH39" i="10" s="1"/>
  <c r="E49" i="29"/>
  <c r="E57" i="29"/>
  <c r="K61" i="28"/>
  <c r="K60" i="28"/>
  <c r="I2" i="16"/>
  <c r="J2" i="16" s="1" a="1"/>
  <c r="J2" i="16" s="1"/>
  <c r="I3" i="16"/>
  <c r="I4" i="16"/>
  <c r="I5" i="16"/>
  <c r="I6" i="16"/>
  <c r="I7" i="16"/>
  <c r="I8" i="16"/>
  <c r="D8" i="30"/>
  <c r="D9" i="30"/>
  <c r="D10" i="30"/>
  <c r="D11" i="30"/>
  <c r="D12" i="30"/>
  <c r="D13" i="30"/>
  <c r="D14" i="30"/>
  <c r="D15" i="30"/>
  <c r="D16" i="30"/>
  <c r="D17" i="30"/>
  <c r="D18" i="30"/>
  <c r="D19" i="30"/>
  <c r="D20" i="30"/>
  <c r="D21" i="30"/>
  <c r="D22" i="30"/>
  <c r="D23" i="30"/>
  <c r="D24" i="30"/>
  <c r="D25" i="30"/>
  <c r="D26" i="30"/>
  <c r="D27" i="30"/>
  <c r="D28" i="30"/>
  <c r="D29" i="30"/>
  <c r="D30" i="30"/>
  <c r="D7" i="30"/>
  <c r="B10" i="30"/>
  <c r="B11" i="30"/>
  <c r="B12" i="30"/>
  <c r="B13" i="30"/>
  <c r="B14" i="30"/>
  <c r="B15" i="30"/>
  <c r="B16" i="30"/>
  <c r="B17" i="30"/>
  <c r="B18" i="30"/>
  <c r="B19" i="30"/>
  <c r="B20" i="30"/>
  <c r="B21" i="30"/>
  <c r="B22" i="30"/>
  <c r="B23" i="30"/>
  <c r="B24" i="30"/>
  <c r="B25" i="30"/>
  <c r="B26" i="30"/>
  <c r="B27" i="30"/>
  <c r="B28" i="30"/>
  <c r="B29" i="30"/>
  <c r="B30" i="30"/>
  <c r="H10" i="29"/>
  <c r="K38" i="10" a="1"/>
  <c r="K38" i="10" s="1"/>
  <c r="AE38" i="10"/>
  <c r="B22" i="24"/>
  <c r="AH7" i="21" a="1"/>
  <c r="AH7" i="21" s="1"/>
  <c r="AH8" i="21" a="1"/>
  <c r="AH8" i="21" s="1"/>
  <c r="AH9" i="21" a="1"/>
  <c r="AH9" i="21" s="1"/>
  <c r="AH10" i="21" a="1"/>
  <c r="AH10" i="21" s="1"/>
  <c r="AH11" i="21" a="1"/>
  <c r="AH11" i="21" s="1"/>
  <c r="AH12" i="21" a="1"/>
  <c r="AH12" i="21" s="1"/>
  <c r="AH14" i="21" a="1"/>
  <c r="AH14" i="21" s="1"/>
  <c r="AH15" i="21" a="1"/>
  <c r="AH15" i="21" s="1"/>
  <c r="AH21" i="21" a="1"/>
  <c r="AH21" i="21" s="1"/>
  <c r="AH22" i="21" a="1"/>
  <c r="AH22" i="21" s="1"/>
  <c r="AH23" i="21" a="1"/>
  <c r="AH23" i="21" s="1"/>
  <c r="AH26" i="21" a="1"/>
  <c r="AH26" i="21" s="1"/>
  <c r="AH33" i="21" a="1"/>
  <c r="AH33" i="21" s="1"/>
  <c r="AH34" i="21" a="1"/>
  <c r="AH34" i="21" s="1"/>
  <c r="AH37" i="21" a="1"/>
  <c r="AH37" i="21" s="1"/>
  <c r="AH41" i="21" a="1"/>
  <c r="AH41" i="21" s="1"/>
  <c r="L3" i="24"/>
  <c r="P3" i="24" s="1"/>
  <c r="M3" i="24"/>
  <c r="N3" i="24"/>
  <c r="O3" i="24"/>
  <c r="I60" i="20" a="1"/>
  <c r="I60" i="20" s="1"/>
  <c r="K60" i="20" a="1"/>
  <c r="K60" i="20" s="1"/>
  <c r="AG60" i="20"/>
  <c r="F3" i="30"/>
  <c r="BD4" i="4"/>
  <c r="K11" i="24" a="1"/>
  <c r="B231" i="28" a="1"/>
  <c r="K22" i="24" a="1"/>
  <c r="B238" i="28" a="1"/>
  <c r="J11" i="24" a="1"/>
  <c r="B236" i="28" a="1"/>
  <c r="B234" i="28" a="1"/>
  <c r="B251" i="28" a="1"/>
  <c r="K261" i="28" a="1"/>
  <c r="B242" i="28" a="1"/>
  <c r="I155" i="28" a="1"/>
  <c r="B233" i="28" a="1"/>
  <c r="B240" i="28" a="1"/>
  <c r="B249" i="28" a="1"/>
  <c r="K39" i="28" a="1"/>
  <c r="G49" i="29" a="1"/>
  <c r="B247" i="28" a="1"/>
  <c r="K263" i="28" a="1"/>
  <c r="B246" i="28" a="1"/>
  <c r="B232" i="28" a="1"/>
  <c r="I22" i="24" a="1"/>
  <c r="K262" i="28" a="1"/>
  <c r="B235" i="28" a="1"/>
  <c r="B248" i="28" a="1"/>
  <c r="I11" i="24" a="1"/>
  <c r="B239" i="28" a="1"/>
  <c r="B250" i="28" a="1"/>
  <c r="B244" i="28" a="1"/>
  <c r="K36" i="28" a="1"/>
  <c r="B245" i="28" a="1"/>
  <c r="B241" i="28" a="1"/>
  <c r="B237" i="28" a="1"/>
  <c r="B112" i="28" a="1"/>
  <c r="B243" i="28" a="1"/>
  <c r="K40" i="28" a="1"/>
  <c r="J22" i="24" a="1"/>
  <c r="C19" i="30" a="1"/>
  <c r="K38" i="28" a="1"/>
  <c r="F20" i="19" a="1"/>
  <c r="K37" i="28" a="1"/>
  <c r="I60" i="28" a="1"/>
  <c r="C29" i="30" a="1"/>
  <c r="C15" i="30" a="1"/>
  <c r="I61" i="28" a="1"/>
  <c r="G57" i="29" a="1"/>
  <c r="O38" i="34" l="1"/>
  <c r="N24" i="34"/>
  <c r="H25" i="34" a="1"/>
  <c r="H25" i="34" s="1"/>
  <c r="J3" i="16" a="1"/>
  <c r="J3" i="16" s="1"/>
  <c r="J4" i="16" s="1" a="1"/>
  <c r="J4" i="16" s="1"/>
  <c r="J5" i="16" s="1" a="1"/>
  <c r="J5" i="16" s="1"/>
  <c r="J6" i="16" s="1" a="1"/>
  <c r="J6" i="16" s="1"/>
  <c r="J7" i="16" s="1" a="1"/>
  <c r="J7" i="16" s="1"/>
  <c r="J8" i="16" s="1" a="1"/>
  <c r="J8" i="16" s="1"/>
  <c r="G57" i="29"/>
  <c r="G49" i="29"/>
  <c r="C19" i="30"/>
  <c r="C29" i="30"/>
  <c r="C15" i="30"/>
  <c r="B112" i="28"/>
  <c r="P18" i="24"/>
  <c r="P17" i="24"/>
  <c r="B251" i="28"/>
  <c r="B232" i="28"/>
  <c r="B231" i="28"/>
  <c r="B235" i="28"/>
  <c r="B243" i="28"/>
  <c r="B250" i="28"/>
  <c r="B249" i="28"/>
  <c r="B242" i="28"/>
  <c r="B237" i="28"/>
  <c r="B234" i="28"/>
  <c r="B241" i="28"/>
  <c r="B247" i="28"/>
  <c r="B248" i="28"/>
  <c r="B238" i="28"/>
  <c r="B233" i="28"/>
  <c r="B239" i="28"/>
  <c r="B244" i="28"/>
  <c r="B240" i="28"/>
  <c r="B236" i="28"/>
  <c r="B245" i="28"/>
  <c r="B246" i="28"/>
  <c r="L23" i="24"/>
  <c r="N23" i="24"/>
  <c r="I155" i="28"/>
  <c r="E155" i="28"/>
  <c r="F155" i="28"/>
  <c r="G155" i="28"/>
  <c r="I60" i="28"/>
  <c r="I61" i="28"/>
  <c r="E60" i="28"/>
  <c r="F60" i="28"/>
  <c r="G60" i="28"/>
  <c r="F61" i="28"/>
  <c r="G61" i="28"/>
  <c r="E61" i="28"/>
  <c r="F20" i="19"/>
  <c r="G20" i="19" s="1"/>
  <c r="K40" i="28"/>
  <c r="K39" i="28"/>
  <c r="K38" i="28"/>
  <c r="K37" i="28"/>
  <c r="K36" i="28"/>
  <c r="K263" i="28"/>
  <c r="K262" i="28"/>
  <c r="J11" i="24"/>
  <c r="O11" i="24" s="1"/>
  <c r="I11" i="24"/>
  <c r="K11" i="24"/>
  <c r="M11" i="24" s="1"/>
  <c r="K22" i="24"/>
  <c r="M22" i="24" s="1"/>
  <c r="J22" i="24"/>
  <c r="O22" i="24" s="1"/>
  <c r="I22" i="24"/>
  <c r="AJ60" i="20" a="1"/>
  <c r="AJ60" i="20" s="1"/>
  <c r="AK60" i="20" a="1"/>
  <c r="AK60" i="20" s="1"/>
  <c r="K261" i="28"/>
  <c r="BD6" i="4"/>
  <c r="BD5" i="4"/>
  <c r="F1" i="30"/>
  <c r="BA6" i="4" a="1"/>
  <c r="BA6" i="4" s="1"/>
  <c r="BA5" i="4" a="1"/>
  <c r="BA5" i="4" s="1"/>
  <c r="BA4" i="4" a="1"/>
  <c r="BA4" i="4" s="1"/>
  <c r="F2" i="30"/>
  <c r="C1" i="30"/>
  <c r="AT5" i="17" a="1"/>
  <c r="AT5" i="17" s="1"/>
  <c r="C12" i="30" a="1"/>
  <c r="K252" i="28" a="1"/>
  <c r="C27" i="30" a="1"/>
  <c r="I12" i="24" a="1"/>
  <c r="Q3" i="24" a="1"/>
  <c r="C22" i="30" a="1"/>
  <c r="K12" i="24" a="1"/>
  <c r="C10" i="30" a="1"/>
  <c r="BB6" i="4" a="1"/>
  <c r="B230" i="28" a="1"/>
  <c r="K153" i="28" a="1"/>
  <c r="C16" i="30" a="1"/>
  <c r="K57" i="28" a="1"/>
  <c r="K58" i="28" a="1"/>
  <c r="C14" i="30" a="1"/>
  <c r="B60" i="28" a="1"/>
  <c r="K193" i="28" a="1"/>
  <c r="I14" i="24" a="1"/>
  <c r="BC5" i="4" a="1"/>
  <c r="J12" i="24" a="1"/>
  <c r="C24" i="30" a="1"/>
  <c r="K152" i="28" a="1"/>
  <c r="BC4" i="4" a="1"/>
  <c r="C20" i="30" a="1"/>
  <c r="K14" i="24" a="1"/>
  <c r="F19" i="19" a="1"/>
  <c r="C18" i="30" a="1"/>
  <c r="C28" i="30" a="1"/>
  <c r="BB4" i="4" a="1"/>
  <c r="BC6" i="4" a="1"/>
  <c r="C17" i="30" a="1"/>
  <c r="J14" i="24" a="1"/>
  <c r="C25" i="30" a="1"/>
  <c r="B61" i="28" a="1"/>
  <c r="C13" i="30" a="1"/>
  <c r="BB5" i="4" a="1"/>
  <c r="C21" i="30" a="1"/>
  <c r="C26" i="30" a="1"/>
  <c r="K154" i="28" a="1"/>
  <c r="B155" i="28" a="1"/>
  <c r="C23" i="30" a="1"/>
  <c r="I37" i="28" a="1"/>
  <c r="K158" i="28" a="1"/>
  <c r="K42" i="28" a="1"/>
  <c r="I40" i="28" a="1"/>
  <c r="C11" i="30" a="1"/>
  <c r="K75" i="28" a="1"/>
  <c r="K56" i="28" a="1"/>
  <c r="C30" i="30" a="1"/>
  <c r="I38" i="28" a="1"/>
  <c r="N25" i="34" l="1"/>
  <c r="H26" i="34" a="1"/>
  <c r="H26" i="34" s="1"/>
  <c r="O39" i="34"/>
  <c r="C14" i="30"/>
  <c r="C28" i="30"/>
  <c r="C30" i="30"/>
  <c r="C20" i="30"/>
  <c r="C21" i="30"/>
  <c r="C23" i="30"/>
  <c r="C10" i="30"/>
  <c r="C25" i="30"/>
  <c r="C12" i="30"/>
  <c r="C24" i="30"/>
  <c r="C13" i="30"/>
  <c r="C11" i="30"/>
  <c r="C26" i="30"/>
  <c r="C27" i="30"/>
  <c r="C16" i="30"/>
  <c r="C17" i="30"/>
  <c r="C22" i="30"/>
  <c r="C18" i="30"/>
  <c r="B230" i="28"/>
  <c r="B60" i="28"/>
  <c r="B155" i="28"/>
  <c r="B61" i="28"/>
  <c r="E36" i="28"/>
  <c r="G37" i="28"/>
  <c r="G38" i="28"/>
  <c r="G39" i="28"/>
  <c r="G40" i="28"/>
  <c r="P23" i="24"/>
  <c r="Q3" i="24"/>
  <c r="F39" i="28"/>
  <c r="E39" i="28"/>
  <c r="E40" i="28"/>
  <c r="F40" i="28"/>
  <c r="E38" i="28"/>
  <c r="F38" i="28"/>
  <c r="I40" i="28"/>
  <c r="F37" i="28"/>
  <c r="E37" i="28"/>
  <c r="I37" i="28"/>
  <c r="I38" i="28"/>
  <c r="F36" i="28"/>
  <c r="G36" i="28"/>
  <c r="E263" i="28"/>
  <c r="F263" i="28"/>
  <c r="G263" i="28"/>
  <c r="B9" i="30"/>
  <c r="B8" i="30"/>
  <c r="B7" i="30"/>
  <c r="N11" i="24"/>
  <c r="L11" i="24"/>
  <c r="L22" i="24"/>
  <c r="N22" i="24"/>
  <c r="E262" i="28"/>
  <c r="F262" i="28"/>
  <c r="G262" i="28"/>
  <c r="BC6" i="4"/>
  <c r="BC5" i="4"/>
  <c r="BC4" i="4"/>
  <c r="F19" i="19"/>
  <c r="G19" i="19" s="1"/>
  <c r="BB6" i="4"/>
  <c r="BB4" i="4"/>
  <c r="BB5" i="4"/>
  <c r="K58" i="28"/>
  <c r="J14" i="24"/>
  <c r="O14" i="24" s="1"/>
  <c r="I14" i="24"/>
  <c r="K14" i="24"/>
  <c r="M14" i="24" s="1"/>
  <c r="K252" i="28"/>
  <c r="K193" i="28"/>
  <c r="K158" i="28"/>
  <c r="K154" i="28"/>
  <c r="K153" i="28"/>
  <c r="K152" i="28"/>
  <c r="K75" i="28"/>
  <c r="K42" i="28"/>
  <c r="K57" i="28"/>
  <c r="K56" i="28"/>
  <c r="K12" i="24"/>
  <c r="J12" i="24"/>
  <c r="I12" i="24"/>
  <c r="B40" i="28" a="1"/>
  <c r="F2" i="19" a="1"/>
  <c r="B263" i="28" a="1"/>
  <c r="I263" i="28" a="1"/>
  <c r="B37" i="28" a="1"/>
  <c r="I58" i="28" a="1"/>
  <c r="F17" i="19" a="1"/>
  <c r="I262" i="28" a="1"/>
  <c r="J15" i="24" a="1"/>
  <c r="K161" i="28" a="1"/>
  <c r="B39" i="28" a="1"/>
  <c r="F12" i="19" a="1"/>
  <c r="I152" i="28" a="1"/>
  <c r="F13" i="19" a="1"/>
  <c r="F5" i="19" a="1"/>
  <c r="I154" i="28" a="1"/>
  <c r="I75" i="28" a="1"/>
  <c r="K164" i="28" a="1"/>
  <c r="F8" i="19" a="1"/>
  <c r="F10" i="19" a="1"/>
  <c r="F18" i="19" a="1"/>
  <c r="F14" i="19" a="1"/>
  <c r="J13" i="24" a="1"/>
  <c r="B38" i="28" a="1"/>
  <c r="K162" i="28" a="1"/>
  <c r="F4" i="19" a="1"/>
  <c r="I36" i="28" a="1"/>
  <c r="K13" i="24" a="1"/>
  <c r="F11" i="19" a="1"/>
  <c r="B262" i="28" a="1"/>
  <c r="B36" i="28" a="1"/>
  <c r="F9" i="19" a="1"/>
  <c r="F6" i="19" a="1"/>
  <c r="I158" i="28" a="1"/>
  <c r="F3" i="19" a="1"/>
  <c r="I193" i="28" a="1"/>
  <c r="K163" i="28" a="1"/>
  <c r="I39" i="28" a="1"/>
  <c r="F16" i="19" a="1"/>
  <c r="F15" i="19" a="1"/>
  <c r="K160" i="28" a="1"/>
  <c r="K159" i="28" a="1"/>
  <c r="F7" i="19" a="1"/>
  <c r="I56" i="28" a="1"/>
  <c r="I57" i="28" a="1"/>
  <c r="I153" i="28" a="1"/>
  <c r="I42" i="28" a="1"/>
  <c r="H36" i="28" l="1" a="1"/>
  <c r="H36" i="28" s="1"/>
  <c r="H37" i="28" s="1" a="1"/>
  <c r="H37" i="28" s="1"/>
  <c r="H38" i="28" s="1" a="1"/>
  <c r="H38" i="28" s="1"/>
  <c r="H39" i="28" s="1" a="1"/>
  <c r="H39" i="28" s="1"/>
  <c r="H40" i="28" s="1" a="1"/>
  <c r="H40" i="28" s="1"/>
  <c r="O40" i="34"/>
  <c r="N26" i="34"/>
  <c r="H27" i="34" a="1"/>
  <c r="H27" i="34" s="1"/>
  <c r="B40" i="28"/>
  <c r="B262" i="28"/>
  <c r="B39" i="28"/>
  <c r="B38" i="28"/>
  <c r="B37" i="28"/>
  <c r="B36" i="28"/>
  <c r="B263" i="28"/>
  <c r="I36" i="28"/>
  <c r="I39" i="28"/>
  <c r="I263" i="28"/>
  <c r="P11" i="24"/>
  <c r="P22" i="24"/>
  <c r="I262" i="28"/>
  <c r="I58" i="28"/>
  <c r="E58" i="28"/>
  <c r="F58" i="28"/>
  <c r="G58" i="28"/>
  <c r="N14" i="24"/>
  <c r="L14" i="24"/>
  <c r="I193" i="28"/>
  <c r="G193" i="28"/>
  <c r="F193" i="28"/>
  <c r="E193" i="28"/>
  <c r="I158" i="28"/>
  <c r="I56" i="28"/>
  <c r="I57" i="28"/>
  <c r="I75" i="28"/>
  <c r="I152" i="28"/>
  <c r="I153" i="28"/>
  <c r="I42" i="28"/>
  <c r="I154" i="28"/>
  <c r="E158" i="28"/>
  <c r="F158" i="28"/>
  <c r="G158" i="28"/>
  <c r="E152" i="28"/>
  <c r="G152" i="28"/>
  <c r="F152" i="28"/>
  <c r="G153" i="28"/>
  <c r="F153" i="28"/>
  <c r="E153" i="28"/>
  <c r="G154" i="28"/>
  <c r="F154" i="28"/>
  <c r="E154" i="28"/>
  <c r="E75" i="28"/>
  <c r="F75" i="28"/>
  <c r="G75" i="28"/>
  <c r="E42" i="28"/>
  <c r="F42" i="28"/>
  <c r="G42" i="28"/>
  <c r="G57" i="28"/>
  <c r="E57" i="28"/>
  <c r="F57" i="28"/>
  <c r="F56" i="28"/>
  <c r="G56" i="28"/>
  <c r="E56" i="28"/>
  <c r="F18" i="19"/>
  <c r="G18" i="19" s="1"/>
  <c r="F17" i="19"/>
  <c r="G17" i="19" s="1"/>
  <c r="F16" i="19"/>
  <c r="G16" i="19" s="1"/>
  <c r="F15" i="19"/>
  <c r="G15" i="19" s="1"/>
  <c r="F14" i="19"/>
  <c r="G14" i="19" s="1"/>
  <c r="F13" i="19"/>
  <c r="G13" i="19" s="1"/>
  <c r="B18" i="24" s="1"/>
  <c r="F12" i="19"/>
  <c r="G12" i="19" s="1"/>
  <c r="F11" i="19"/>
  <c r="G11" i="19" s="1"/>
  <c r="F10" i="19"/>
  <c r="G10" i="19" s="1"/>
  <c r="F9" i="19"/>
  <c r="G9" i="19" s="1"/>
  <c r="F8" i="19"/>
  <c r="G8" i="19" s="1"/>
  <c r="F7" i="19"/>
  <c r="G7" i="19" s="1"/>
  <c r="F6" i="19"/>
  <c r="G6" i="19" s="1"/>
  <c r="F5" i="19"/>
  <c r="G5" i="19" s="1"/>
  <c r="F4" i="19"/>
  <c r="G4" i="19" s="1"/>
  <c r="F3" i="19"/>
  <c r="G3" i="19" s="1"/>
  <c r="F2" i="19"/>
  <c r="G2" i="19" s="1"/>
  <c r="K164" i="28"/>
  <c r="K163" i="28"/>
  <c r="K162" i="28"/>
  <c r="K161" i="28"/>
  <c r="K160" i="28"/>
  <c r="K159" i="28"/>
  <c r="K13" i="24"/>
  <c r="J13" i="24"/>
  <c r="J15" i="24"/>
  <c r="M19" i="24"/>
  <c r="O19" i="24"/>
  <c r="H28" i="29"/>
  <c r="H27" i="29"/>
  <c r="H26" i="29"/>
  <c r="F59" i="29"/>
  <c r="D60" i="29"/>
  <c r="Q60" i="29" a="1"/>
  <c r="Q60" i="29" s="1"/>
  <c r="D59" i="29"/>
  <c r="Q59" i="29" a="1"/>
  <c r="Q59" i="29" s="1"/>
  <c r="K37" i="10" a="1"/>
  <c r="K37" i="10" s="1"/>
  <c r="AE37" i="10"/>
  <c r="AF37" i="10" a="1"/>
  <c r="AF37" i="10" s="1"/>
  <c r="K36" i="10" a="1"/>
  <c r="K36" i="10" s="1"/>
  <c r="AE36" i="10"/>
  <c r="J21" i="24" a="1"/>
  <c r="I159" i="28" a="1"/>
  <c r="B158" i="28" a="1"/>
  <c r="K21" i="24" a="1"/>
  <c r="B153" i="28" a="1"/>
  <c r="B6" i="28" a="1"/>
  <c r="I21" i="24" a="1"/>
  <c r="E59" i="29" a="1"/>
  <c r="B5" i="28" a="1"/>
  <c r="I163" i="28" a="1"/>
  <c r="B42" i="28" a="1"/>
  <c r="B56" i="28" a="1"/>
  <c r="I13" i="24" a="1"/>
  <c r="B4" i="28" a="1"/>
  <c r="B193" i="28" a="1"/>
  <c r="B154" i="28" a="1"/>
  <c r="I160" i="28" a="1"/>
  <c r="B58" i="28" a="1"/>
  <c r="B10" i="28" a="1"/>
  <c r="B8" i="28" a="1"/>
  <c r="B152" i="28" a="1"/>
  <c r="B57" i="28" a="1"/>
  <c r="B75" i="28" a="1"/>
  <c r="I164" i="28" a="1"/>
  <c r="I161" i="28" a="1"/>
  <c r="I162" i="28" a="1"/>
  <c r="A36" i="28" l="1" a="1"/>
  <c r="A36" i="28" s="1"/>
  <c r="N27" i="34"/>
  <c r="H28" i="34" a="1"/>
  <c r="H28" i="34" s="1"/>
  <c r="O41" i="34"/>
  <c r="A37" i="28" a="1"/>
  <c r="A37" i="28" s="1"/>
  <c r="B153" i="28"/>
  <c r="B154" i="28"/>
  <c r="B57" i="28"/>
  <c r="B193" i="28"/>
  <c r="B152" i="28"/>
  <c r="B42" i="28"/>
  <c r="B158" i="28"/>
  <c r="B75" i="28"/>
  <c r="B56" i="28"/>
  <c r="B58" i="28"/>
  <c r="P14" i="24"/>
  <c r="I159" i="28"/>
  <c r="I164" i="28"/>
  <c r="I160" i="28"/>
  <c r="I161" i="28"/>
  <c r="I162" i="28"/>
  <c r="I163" i="28"/>
  <c r="I13" i="24"/>
  <c r="M13" i="24"/>
  <c r="O13" i="24"/>
  <c r="K21" i="24"/>
  <c r="M21" i="24" s="1"/>
  <c r="J21" i="24"/>
  <c r="O21" i="24" s="1"/>
  <c r="I21" i="24"/>
  <c r="E59" i="29"/>
  <c r="AG37" i="10" a="1"/>
  <c r="AG37" i="10" s="1"/>
  <c r="AH37" i="10" a="1"/>
  <c r="AH37" i="10" s="1"/>
  <c r="B10" i="28"/>
  <c r="B8" i="28"/>
  <c r="B6" i="28"/>
  <c r="B5" i="28"/>
  <c r="B4" i="28"/>
  <c r="G59" i="29" a="1"/>
  <c r="O42" i="34" l="1"/>
  <c r="H29" i="34" a="1"/>
  <c r="H29" i="34" s="1"/>
  <c r="N28" i="34"/>
  <c r="G59" i="29"/>
  <c r="L13" i="24"/>
  <c r="N13" i="24"/>
  <c r="L19" i="24"/>
  <c r="N19" i="24"/>
  <c r="N21" i="24"/>
  <c r="L21" i="24"/>
  <c r="X47" i="3"/>
  <c r="Z47" i="3"/>
  <c r="H47" i="29"/>
  <c r="F47" i="29"/>
  <c r="D47" i="29"/>
  <c r="H32" i="29"/>
  <c r="H24" i="29"/>
  <c r="H20" i="29"/>
  <c r="H18" i="29"/>
  <c r="H30" i="29"/>
  <c r="H39" i="29"/>
  <c r="E47" i="29" a="1"/>
  <c r="N29" i="34" l="1"/>
  <c r="H30" i="34" a="1"/>
  <c r="H30" i="34" s="1"/>
  <c r="O43" i="34"/>
  <c r="A40" i="28" a="1"/>
  <c r="A40" i="28" s="1"/>
  <c r="A38" i="28" a="1"/>
  <c r="A38" i="28" s="1"/>
  <c r="A39" i="28" a="1"/>
  <c r="A39" i="28" s="1"/>
  <c r="P13" i="24"/>
  <c r="P21" i="24"/>
  <c r="P19" i="24"/>
  <c r="E47" i="29"/>
  <c r="AM8" i="4"/>
  <c r="AL8" i="4"/>
  <c r="AK8" i="4"/>
  <c r="AJ8" i="4"/>
  <c r="AI8" i="4"/>
  <c r="AM7" i="4"/>
  <c r="AL7" i="4"/>
  <c r="AK7" i="4"/>
  <c r="AJ7" i="4"/>
  <c r="AI7" i="4"/>
  <c r="AM6" i="4"/>
  <c r="AL6" i="4"/>
  <c r="AK6" i="4"/>
  <c r="AJ6" i="4"/>
  <c r="AI6" i="4"/>
  <c r="AM5" i="4"/>
  <c r="AL5" i="4"/>
  <c r="AK5" i="4"/>
  <c r="AJ5" i="4"/>
  <c r="AI5" i="4"/>
  <c r="AM4" i="4"/>
  <c r="AL4" i="4"/>
  <c r="AK4" i="4"/>
  <c r="AJ4" i="4"/>
  <c r="AI4" i="4"/>
  <c r="Q19" i="24" a="1"/>
  <c r="G47" i="29" a="1"/>
  <c r="O44" i="34" l="1"/>
  <c r="H31" i="34" a="1"/>
  <c r="H31" i="34" s="1"/>
  <c r="N30" i="34"/>
  <c r="G47" i="29"/>
  <c r="Q19" i="24"/>
  <c r="K35" i="10" a="1"/>
  <c r="K35" i="10" s="1"/>
  <c r="AE35" i="10"/>
  <c r="AF35" i="10" a="1"/>
  <c r="AF35" i="10" s="1"/>
  <c r="N31" i="34" l="1"/>
  <c r="H32" i="34" a="1"/>
  <c r="H32" i="34" s="1"/>
  <c r="O45" i="34"/>
  <c r="AH35" i="10" a="1"/>
  <c r="AH35" i="10" s="1"/>
  <c r="AG35" i="10" a="1"/>
  <c r="AG35" i="10" s="1"/>
  <c r="F3" i="9" a="1"/>
  <c r="F3" i="9" s="1"/>
  <c r="F4" i="9" a="1"/>
  <c r="F4" i="9" s="1"/>
  <c r="F14" i="9" a="1"/>
  <c r="F14" i="9" s="1"/>
  <c r="F15" i="9" a="1"/>
  <c r="F15" i="9" s="1"/>
  <c r="F17" i="9" a="1"/>
  <c r="F17" i="9" s="1"/>
  <c r="F21" i="9" a="1"/>
  <c r="F21" i="9" s="1"/>
  <c r="F22" i="9" a="1"/>
  <c r="F22" i="9" s="1"/>
  <c r="F23" i="9" a="1"/>
  <c r="F23" i="9" s="1"/>
  <c r="F24" i="9" a="1"/>
  <c r="F24" i="9" s="1"/>
  <c r="F29" i="9" a="1"/>
  <c r="F29" i="9" s="1"/>
  <c r="F30" i="9" a="1"/>
  <c r="F30" i="9" s="1"/>
  <c r="F36" i="9" a="1"/>
  <c r="F36" i="9" s="1"/>
  <c r="F38" i="9" a="1"/>
  <c r="F38" i="9" s="1"/>
  <c r="O46" i="34" l="1"/>
  <c r="N32" i="34"/>
  <c r="H33" i="34" a="1"/>
  <c r="H33" i="34" s="1"/>
  <c r="F7" i="29"/>
  <c r="N33" i="34" l="1"/>
  <c r="H34" i="34" a="1"/>
  <c r="H34" i="34" s="1"/>
  <c r="O47" i="34"/>
  <c r="C41" i="21"/>
  <c r="K41" i="21" a="1"/>
  <c r="K41" i="21" s="1"/>
  <c r="AM41" i="21" s="1"/>
  <c r="L41" i="21"/>
  <c r="X41" i="21" a="1"/>
  <c r="X41" i="21" s="1"/>
  <c r="AA41" i="21"/>
  <c r="AC41" i="21"/>
  <c r="AD41" i="21" a="1"/>
  <c r="AD41" i="21" s="1"/>
  <c r="O48" i="34" l="1"/>
  <c r="N34" i="34"/>
  <c r="H35" i="34" a="1"/>
  <c r="H35" i="34" s="1"/>
  <c r="P4" i="29" a="1"/>
  <c r="P4" i="29" s="1"/>
  <c r="P5" i="29" s="1" a="1"/>
  <c r="P5" i="29" s="1"/>
  <c r="P6" i="29" s="1" a="1"/>
  <c r="P6" i="29" s="1"/>
  <c r="P7" i="29" s="1" a="1"/>
  <c r="P7" i="29" s="1"/>
  <c r="P8" i="29" s="1" a="1"/>
  <c r="P8" i="29" s="1"/>
  <c r="P9" i="29" s="1" a="1"/>
  <c r="P9" i="29" s="1"/>
  <c r="P10" i="29" s="1" a="1"/>
  <c r="P10" i="29" s="1"/>
  <c r="P11" i="29" s="1" a="1"/>
  <c r="P11" i="29" s="1"/>
  <c r="P12" i="29" s="1" a="1"/>
  <c r="P12" i="29" s="1"/>
  <c r="P13" i="29" s="1" a="1"/>
  <c r="P13" i="29" s="1"/>
  <c r="P14" i="29" s="1" a="1"/>
  <c r="P14" i="29" s="1"/>
  <c r="P15" i="29" s="1" a="1"/>
  <c r="P15" i="29" s="1"/>
  <c r="P16" i="29" s="1" a="1"/>
  <c r="P16" i="29" s="1"/>
  <c r="P17" i="29" s="1" a="1"/>
  <c r="P17" i="29" s="1"/>
  <c r="P18" i="29" s="1" a="1"/>
  <c r="P18" i="29" s="1"/>
  <c r="P19" i="29" s="1" a="1"/>
  <c r="P19" i="29" s="1"/>
  <c r="P20" i="29" s="1" a="1"/>
  <c r="P20" i="29" s="1"/>
  <c r="P21" i="29" s="1" a="1"/>
  <c r="P21" i="29" s="1"/>
  <c r="P22" i="29" s="1" a="1"/>
  <c r="P22" i="29" s="1"/>
  <c r="P23" i="29" s="1" a="1"/>
  <c r="P23" i="29" s="1"/>
  <c r="P24" i="29" s="1" a="1"/>
  <c r="P24" i="29" s="1"/>
  <c r="P25" i="29" s="1" a="1"/>
  <c r="P25" i="29" s="1"/>
  <c r="P26" i="29" s="1" a="1"/>
  <c r="P26" i="29" s="1"/>
  <c r="P27" i="29" s="1" a="1"/>
  <c r="P27" i="29" s="1"/>
  <c r="P28" i="29" s="1" a="1"/>
  <c r="P28" i="29" s="1"/>
  <c r="P29" i="29" s="1" a="1"/>
  <c r="P29" i="29" s="1"/>
  <c r="P30" i="29" s="1" a="1"/>
  <c r="P30" i="29" s="1"/>
  <c r="P31" i="29" s="1" a="1"/>
  <c r="P31" i="29" s="1"/>
  <c r="P32" i="29" s="1" a="1"/>
  <c r="P32" i="29" s="1"/>
  <c r="P33" i="29" s="1" a="1"/>
  <c r="P33" i="29" s="1"/>
  <c r="P34" i="29" s="1" a="1"/>
  <c r="P34" i="29" s="1"/>
  <c r="P35" i="29" s="1" a="1"/>
  <c r="P35" i="29" s="1"/>
  <c r="P36" i="29" s="1" a="1"/>
  <c r="P36" i="29" s="1"/>
  <c r="P37" i="29" s="1" a="1"/>
  <c r="P37" i="29" s="1"/>
  <c r="P38" i="29" s="1" a="1"/>
  <c r="P38" i="29" s="1"/>
  <c r="P39" i="29" s="1" a="1"/>
  <c r="P39" i="29" s="1"/>
  <c r="P40" i="29" s="1" a="1"/>
  <c r="P40" i="29" s="1"/>
  <c r="P41" i="29" s="1" a="1"/>
  <c r="P41" i="29" s="1"/>
  <c r="P42" i="29" s="1" a="1"/>
  <c r="P42" i="29" s="1"/>
  <c r="P43" i="29" s="1" a="1"/>
  <c r="P43" i="29" s="1"/>
  <c r="P44" i="29" s="1" a="1"/>
  <c r="P44" i="29" s="1"/>
  <c r="P45" i="29" s="1" a="1"/>
  <c r="P45" i="29" s="1"/>
  <c r="P46" i="29" s="1" a="1"/>
  <c r="P46" i="29" s="1"/>
  <c r="I59" i="20" a="1"/>
  <c r="I59" i="20" s="1"/>
  <c r="K59" i="20" a="1"/>
  <c r="K59" i="20" s="1"/>
  <c r="AG59" i="20"/>
  <c r="AJ59" i="20" a="1"/>
  <c r="AJ59" i="20" s="1"/>
  <c r="O19" i="25" a="1"/>
  <c r="O19" i="25" s="1"/>
  <c r="O20" i="25" a="1"/>
  <c r="O20" i="25" s="1"/>
  <c r="O21" i="25" a="1"/>
  <c r="O21" i="25" s="1"/>
  <c r="C19" i="25" a="1"/>
  <c r="C19" i="25" s="1"/>
  <c r="C20" i="25" a="1"/>
  <c r="C20" i="25" s="1"/>
  <c r="C21" i="25" a="1"/>
  <c r="C21" i="25" s="1"/>
  <c r="S41" i="9"/>
  <c r="K34" i="10" a="1"/>
  <c r="K34" i="10" s="1"/>
  <c r="AE34" i="10"/>
  <c r="AF34" i="10" a="1"/>
  <c r="AF34" i="10" s="1"/>
  <c r="C2" i="14" a="1"/>
  <c r="D2" i="14" a="1"/>
  <c r="B2" i="14" a="1"/>
  <c r="A2" i="14" a="1"/>
  <c r="A3" i="14" a="1"/>
  <c r="O49" i="34" l="1"/>
  <c r="N35" i="34"/>
  <c r="H36" i="34" a="1"/>
  <c r="H36" i="34" s="1"/>
  <c r="P47" i="29" a="1"/>
  <c r="P47" i="29" s="1"/>
  <c r="P48" i="29" s="1" a="1"/>
  <c r="P48" i="29" s="1"/>
  <c r="A2" i="14"/>
  <c r="L2" i="14" s="1"/>
  <c r="A3" i="14"/>
  <c r="D2" i="14"/>
  <c r="C2" i="14"/>
  <c r="B2" i="14"/>
  <c r="AK59" i="20" a="1"/>
  <c r="AK59" i="20" s="1"/>
  <c r="AG34" i="10" a="1"/>
  <c r="AG34" i="10" s="1"/>
  <c r="AH34" i="10" a="1"/>
  <c r="AH34" i="10" s="1"/>
  <c r="M71" i="28"/>
  <c r="M70" i="28" a="1"/>
  <c r="M70" i="28" s="1"/>
  <c r="M66" i="28" a="1"/>
  <c r="M66" i="28" s="1"/>
  <c r="M67" i="28"/>
  <c r="U33"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S4" i="3"/>
  <c r="T4" i="3" s="1" a="1"/>
  <c r="T4" i="3" s="1"/>
  <c r="S5" i="3"/>
  <c r="S8" i="3"/>
  <c r="S10" i="3"/>
  <c r="S13" i="3"/>
  <c r="S16" i="3"/>
  <c r="S18" i="3"/>
  <c r="S21" i="3"/>
  <c r="S22" i="3"/>
  <c r="S24" i="3"/>
  <c r="S28" i="3"/>
  <c r="S30" i="3"/>
  <c r="S33" i="3"/>
  <c r="S34" i="3"/>
  <c r="S37" i="3"/>
  <c r="S42" i="3"/>
  <c r="S52"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C33" i="3" a="1"/>
  <c r="C33" i="3" s="1"/>
  <c r="H57" i="29"/>
  <c r="H56" i="29"/>
  <c r="F56" i="29"/>
  <c r="F55" i="29"/>
  <c r="H55" i="29"/>
  <c r="D66" i="28"/>
  <c r="K64" i="28" a="1"/>
  <c r="D67" i="28"/>
  <c r="E55" i="29" a="1"/>
  <c r="K74" i="28" a="1"/>
  <c r="K66" i="28" a="1"/>
  <c r="K65" i="28" a="1"/>
  <c r="K70" i="28" a="1"/>
  <c r="E56" i="29" a="1"/>
  <c r="K62" i="28" a="1"/>
  <c r="K68" i="28" a="1"/>
  <c r="K67" i="28" a="1"/>
  <c r="K73" i="28" a="1"/>
  <c r="B7" i="14" a="1"/>
  <c r="K63" i="28" a="1"/>
  <c r="K69" i="28" a="1"/>
  <c r="K72" i="28" a="1"/>
  <c r="K71" i="28" a="1"/>
  <c r="H37" i="34" l="1" a="1"/>
  <c r="H37" i="34" s="1"/>
  <c r="N36" i="34"/>
  <c r="O50" i="34"/>
  <c r="T5" i="3" a="1"/>
  <c r="T5" i="3" s="1"/>
  <c r="P49" i="29" a="1"/>
  <c r="P49" i="29" s="1"/>
  <c r="P50" i="29" s="1" a="1"/>
  <c r="P50" i="29" s="1"/>
  <c r="P51" i="29" s="1" a="1"/>
  <c r="P51" i="29" s="1"/>
  <c r="P52" i="29" s="1" a="1"/>
  <c r="P52" i="29" s="1"/>
  <c r="P53" i="29" s="1" a="1"/>
  <c r="P53" i="29" s="1"/>
  <c r="P54" i="29" s="1" a="1"/>
  <c r="P54" i="29" s="1"/>
  <c r="P55" i="29" s="1" a="1"/>
  <c r="P55" i="29" s="1"/>
  <c r="P56" i="29" s="1" a="1"/>
  <c r="P56" i="29" s="1"/>
  <c r="P57" i="29" s="1" a="1"/>
  <c r="P57" i="29" s="1"/>
  <c r="P58" i="29" s="1" a="1"/>
  <c r="P58" i="29" s="1"/>
  <c r="P59" i="29" s="1" a="1"/>
  <c r="P59" i="29" s="1"/>
  <c r="P60" i="29" s="1" a="1"/>
  <c r="P60" i="29" s="1"/>
  <c r="E2" i="14"/>
  <c r="F2" i="14" s="1"/>
  <c r="K74" i="28"/>
  <c r="K73" i="28"/>
  <c r="K72" i="28"/>
  <c r="K71" i="28"/>
  <c r="K70" i="28"/>
  <c r="K69" i="28"/>
  <c r="K68" i="28"/>
  <c r="K67" i="28"/>
  <c r="K66" i="28"/>
  <c r="K65" i="28"/>
  <c r="K64" i="28"/>
  <c r="K63" i="28"/>
  <c r="K62" i="28"/>
  <c r="B7" i="14"/>
  <c r="E56" i="29"/>
  <c r="E55" i="29"/>
  <c r="I64" i="28" a="1"/>
  <c r="G55" i="29" a="1"/>
  <c r="I63" i="28" a="1"/>
  <c r="I74" i="28" a="1"/>
  <c r="I72" i="28" a="1"/>
  <c r="G56" i="29" a="1"/>
  <c r="I62" i="28" a="1"/>
  <c r="I73" i="28" a="1"/>
  <c r="I67" i="28" a="1"/>
  <c r="I71" i="28" a="1"/>
  <c r="I70" i="28" a="1"/>
  <c r="I69" i="28" a="1"/>
  <c r="I68" i="28" a="1"/>
  <c r="I66" i="28" a="1"/>
  <c r="I65" i="28" a="1"/>
  <c r="O51" i="34" l="1"/>
  <c r="N37" i="34"/>
  <c r="H38" i="34" a="1"/>
  <c r="H38" i="34" s="1"/>
  <c r="G55" i="29"/>
  <c r="G56" i="29"/>
  <c r="I67" i="28"/>
  <c r="I68" i="28"/>
  <c r="I65" i="28"/>
  <c r="I66" i="28"/>
  <c r="I70" i="28"/>
  <c r="I71" i="28"/>
  <c r="I72" i="28"/>
  <c r="I63" i="28"/>
  <c r="I73" i="28"/>
  <c r="I62" i="28"/>
  <c r="I74" i="28"/>
  <c r="I64" i="28"/>
  <c r="I69" i="28"/>
  <c r="G2" i="14"/>
  <c r="I2" i="14"/>
  <c r="H2" i="14"/>
  <c r="F74" i="28"/>
  <c r="E74" i="28"/>
  <c r="G74" i="28"/>
  <c r="G73" i="28"/>
  <c r="F73" i="28"/>
  <c r="E73" i="28"/>
  <c r="E72" i="28"/>
  <c r="G72" i="28"/>
  <c r="F72" i="28"/>
  <c r="E71" i="28"/>
  <c r="G71" i="28"/>
  <c r="F71" i="28"/>
  <c r="E70" i="28"/>
  <c r="F70" i="28"/>
  <c r="G70" i="28"/>
  <c r="F69" i="28"/>
  <c r="E69" i="28"/>
  <c r="G69" i="28"/>
  <c r="G68" i="28"/>
  <c r="F68" i="28"/>
  <c r="E68" i="28"/>
  <c r="E67" i="28"/>
  <c r="F67" i="28"/>
  <c r="G67" i="28"/>
  <c r="E66" i="28"/>
  <c r="F66" i="28"/>
  <c r="G66" i="28"/>
  <c r="E65" i="28"/>
  <c r="F65" i="28"/>
  <c r="G65" i="28"/>
  <c r="E64" i="28"/>
  <c r="F64" i="28"/>
  <c r="G64" i="28"/>
  <c r="E63" i="28"/>
  <c r="F63" i="28"/>
  <c r="G63" i="28"/>
  <c r="G62" i="28"/>
  <c r="E62" i="28"/>
  <c r="F62" i="28"/>
  <c r="F54" i="29"/>
  <c r="H53" i="29"/>
  <c r="F53" i="29"/>
  <c r="H51" i="29"/>
  <c r="F51" i="29"/>
  <c r="H50" i="29"/>
  <c r="F50" i="29"/>
  <c r="F48" i="29"/>
  <c r="H46" i="29"/>
  <c r="F46" i="29"/>
  <c r="H45" i="29"/>
  <c r="F45" i="29"/>
  <c r="F44" i="29"/>
  <c r="H43" i="29"/>
  <c r="F43" i="29"/>
  <c r="E45" i="29" a="1"/>
  <c r="E48" i="29" a="1"/>
  <c r="J2" i="14"/>
  <c r="E50" i="29" a="1"/>
  <c r="B67" i="28" a="1"/>
  <c r="B68" i="28" a="1"/>
  <c r="B62" i="28" a="1"/>
  <c r="E53" i="29" a="1"/>
  <c r="B66" i="28" a="1"/>
  <c r="B70" i="28" a="1"/>
  <c r="E54" i="29" a="1"/>
  <c r="E43" i="29" a="1"/>
  <c r="E46" i="29" a="1"/>
  <c r="B63" i="28" a="1"/>
  <c r="B73" i="28" a="1"/>
  <c r="B69" i="28" a="1"/>
  <c r="E51" i="29" a="1"/>
  <c r="B72" i="28" a="1"/>
  <c r="B71" i="28" a="1"/>
  <c r="E44" i="29" a="1"/>
  <c r="B64" i="28" a="1"/>
  <c r="B74" i="28" a="1"/>
  <c r="B65" i="28" a="1"/>
  <c r="N38" i="34" l="1"/>
  <c r="H39" i="34" a="1"/>
  <c r="H39" i="34" s="1"/>
  <c r="O52" i="34"/>
  <c r="K2" i="14" a="1"/>
  <c r="K2" i="14" s="1"/>
  <c r="B70" i="28"/>
  <c r="B71" i="28"/>
  <c r="B67" i="28"/>
  <c r="B68" i="28"/>
  <c r="B72" i="28"/>
  <c r="B66" i="28"/>
  <c r="B73" i="28"/>
  <c r="B65" i="28"/>
  <c r="B63" i="28"/>
  <c r="B69" i="28"/>
  <c r="B64" i="28"/>
  <c r="B74" i="28"/>
  <c r="B62" i="28"/>
  <c r="E54" i="29"/>
  <c r="E53" i="29"/>
  <c r="E51" i="29"/>
  <c r="E50" i="29"/>
  <c r="E48" i="29"/>
  <c r="E46" i="29"/>
  <c r="E45" i="29"/>
  <c r="E44" i="29"/>
  <c r="E43" i="29"/>
  <c r="H41" i="29"/>
  <c r="G54" i="29" a="1"/>
  <c r="G48" i="29" a="1"/>
  <c r="G51" i="29" a="1"/>
  <c r="G50" i="29" a="1"/>
  <c r="G44" i="29" a="1"/>
  <c r="G53" i="29" a="1"/>
  <c r="G46" i="29" a="1"/>
  <c r="G45" i="29" a="1"/>
  <c r="G43" i="29" a="1"/>
  <c r="N39" i="34" l="1"/>
  <c r="H40" i="34" a="1"/>
  <c r="H40" i="34" s="1"/>
  <c r="O53" i="34"/>
  <c r="O54" i="34" s="1"/>
  <c r="G50" i="29"/>
  <c r="G51" i="29"/>
  <c r="G43" i="29"/>
  <c r="G45" i="29"/>
  <c r="G46" i="29"/>
  <c r="G53" i="29"/>
  <c r="G44" i="29"/>
  <c r="G48" i="29"/>
  <c r="G54" i="29"/>
  <c r="F41" i="29"/>
  <c r="E41" i="29" a="1"/>
  <c r="O55" i="34" l="1"/>
  <c r="N40" i="34"/>
  <c r="H41" i="34" a="1"/>
  <c r="H41" i="34" s="1"/>
  <c r="E41" i="29"/>
  <c r="F40" i="29"/>
  <c r="F39" i="29"/>
  <c r="Q4" i="29" a="1"/>
  <c r="Q4" i="29" s="1"/>
  <c r="Q5" i="29" a="1"/>
  <c r="Q5" i="29" s="1"/>
  <c r="Q6" i="29" a="1"/>
  <c r="Q6" i="29" s="1"/>
  <c r="Q7" i="29" a="1"/>
  <c r="Q7" i="29" s="1"/>
  <c r="Q8" i="29" a="1"/>
  <c r="Q8" i="29" s="1"/>
  <c r="Q9" i="29" a="1"/>
  <c r="Q9" i="29" s="1"/>
  <c r="Q10" i="29" a="1"/>
  <c r="Q10" i="29" s="1"/>
  <c r="Q11" i="29" a="1"/>
  <c r="Q11" i="29" s="1"/>
  <c r="Q12" i="29" a="1"/>
  <c r="Q12" i="29" s="1"/>
  <c r="Q13" i="29" a="1"/>
  <c r="Q13" i="29" s="1"/>
  <c r="Q14" i="29" a="1"/>
  <c r="Q14" i="29" s="1"/>
  <c r="Q15" i="29" a="1"/>
  <c r="Q15" i="29" s="1"/>
  <c r="Q16" i="29" a="1"/>
  <c r="Q16" i="29" s="1"/>
  <c r="Q17" i="29" a="1"/>
  <c r="Q17" i="29" s="1"/>
  <c r="Q18" i="29" a="1"/>
  <c r="Q18" i="29" s="1"/>
  <c r="Q19" i="29" a="1"/>
  <c r="Q19" i="29" s="1"/>
  <c r="Q20" i="29" a="1"/>
  <c r="Q20" i="29" s="1"/>
  <c r="Q21" i="29" a="1"/>
  <c r="Q21" i="29" s="1"/>
  <c r="Q22" i="29" a="1"/>
  <c r="Q22" i="29" s="1"/>
  <c r="Q23" i="29" a="1"/>
  <c r="Q23" i="29" s="1"/>
  <c r="Q24" i="29" a="1"/>
  <c r="Q24" i="29" s="1"/>
  <c r="Q25" i="29" a="1"/>
  <c r="Q25" i="29" s="1"/>
  <c r="Q27" i="29" a="1"/>
  <c r="Q27" i="29" s="1"/>
  <c r="Q28" i="29" a="1"/>
  <c r="Q28" i="29" s="1"/>
  <c r="Q29" i="29" a="1"/>
  <c r="Q29" i="29" s="1"/>
  <c r="Q30" i="29" a="1"/>
  <c r="Q30" i="29" s="1"/>
  <c r="Q31" i="29" a="1"/>
  <c r="Q31" i="29" s="1"/>
  <c r="Q32" i="29" a="1"/>
  <c r="Q32" i="29" s="1"/>
  <c r="Q33" i="29" a="1"/>
  <c r="Q33" i="29" s="1"/>
  <c r="Q34" i="29" a="1"/>
  <c r="Q34" i="29" s="1"/>
  <c r="Q35" i="29" a="1"/>
  <c r="Q35" i="29" s="1"/>
  <c r="Q52" i="29" a="1"/>
  <c r="Q52" i="29" s="1"/>
  <c r="Q53" i="29" a="1"/>
  <c r="Q53" i="29" s="1"/>
  <c r="Q54" i="29" a="1"/>
  <c r="Q54" i="29" s="1"/>
  <c r="Q55" i="29" a="1"/>
  <c r="Q55" i="29" s="1"/>
  <c r="Q56" i="29" a="1"/>
  <c r="Q56" i="29" s="1"/>
  <c r="Q57" i="29" a="1"/>
  <c r="Q57" i="29" s="1"/>
  <c r="Q58" i="29" a="1"/>
  <c r="Q58" i="29" s="1"/>
  <c r="H38" i="29"/>
  <c r="F38" i="29"/>
  <c r="F36" i="29"/>
  <c r="AD33" i="3" a="1"/>
  <c r="AD33" i="3" s="1"/>
  <c r="AD61" i="3" a="1"/>
  <c r="AD61" i="3" s="1"/>
  <c r="AD62" i="3" a="1"/>
  <c r="AD62" i="3" s="1"/>
  <c r="AD63" i="3" a="1"/>
  <c r="AD63" i="3" s="1"/>
  <c r="AD64" i="3" a="1"/>
  <c r="AD64" i="3" s="1"/>
  <c r="AD65" i="3" a="1"/>
  <c r="AD65" i="3" s="1"/>
  <c r="AD66" i="3" a="1"/>
  <c r="AD66" i="3" s="1"/>
  <c r="AD67" i="3" a="1"/>
  <c r="AD67" i="3" s="1"/>
  <c r="AD68" i="3" a="1"/>
  <c r="AD68" i="3" s="1"/>
  <c r="AD69" i="3" a="1"/>
  <c r="AD69" i="3" s="1"/>
  <c r="AD70" i="3" a="1"/>
  <c r="AD70" i="3" s="1"/>
  <c r="AD71" i="3" a="1"/>
  <c r="AD71" i="3" s="1"/>
  <c r="AD72" i="3" a="1"/>
  <c r="AD72" i="3" s="1"/>
  <c r="AD73" i="3" a="1"/>
  <c r="AD73" i="3" s="1"/>
  <c r="AD74" i="3" a="1"/>
  <c r="AD74" i="3" s="1"/>
  <c r="AD75" i="3" a="1"/>
  <c r="AD75" i="3" s="1"/>
  <c r="AD76" i="3" a="1"/>
  <c r="AD76" i="3" s="1"/>
  <c r="AD77" i="3" a="1"/>
  <c r="AD77" i="3" s="1"/>
  <c r="AD78" i="3" a="1"/>
  <c r="AD78" i="3" s="1"/>
  <c r="AD79" i="3" a="1"/>
  <c r="AD79" i="3" s="1"/>
  <c r="AD80" i="3" a="1"/>
  <c r="AD80" i="3" s="1"/>
  <c r="AD81" i="3" a="1"/>
  <c r="AD81" i="3" s="1"/>
  <c r="AD82" i="3" a="1"/>
  <c r="AD82" i="3" s="1"/>
  <c r="AD83" i="3" a="1"/>
  <c r="AD83" i="3" s="1"/>
  <c r="AD84" i="3" a="1"/>
  <c r="AD84" i="3" s="1"/>
  <c r="AD85" i="3" a="1"/>
  <c r="AD85" i="3" s="1"/>
  <c r="AD86" i="3" a="1"/>
  <c r="AD86" i="3" s="1"/>
  <c r="AD87" i="3" a="1"/>
  <c r="AD87" i="3" s="1"/>
  <c r="AD88" i="3" a="1"/>
  <c r="AD88" i="3" s="1"/>
  <c r="AD89" i="3" a="1"/>
  <c r="AD89" i="3" s="1"/>
  <c r="AD90" i="3" a="1"/>
  <c r="AD90" i="3" s="1"/>
  <c r="AD91" i="3" a="1"/>
  <c r="AD91" i="3" s="1"/>
  <c r="AD92" i="3" a="1"/>
  <c r="AD92" i="3" s="1"/>
  <c r="AD93" i="3" a="1"/>
  <c r="AD93" i="3" s="1"/>
  <c r="AD94" i="3" a="1"/>
  <c r="AD94" i="3" s="1"/>
  <c r="AD95" i="3" a="1"/>
  <c r="AD95" i="3" s="1"/>
  <c r="AD96" i="3" a="1"/>
  <c r="AD96" i="3" s="1"/>
  <c r="AD97" i="3" a="1"/>
  <c r="AD97" i="3" s="1"/>
  <c r="AD98" i="3" a="1"/>
  <c r="AD98" i="3" s="1"/>
  <c r="AD99" i="3" a="1"/>
  <c r="AD99" i="3" s="1"/>
  <c r="AD100" i="3" a="1"/>
  <c r="AD100" i="3" s="1"/>
  <c r="AD101" i="3" a="1"/>
  <c r="AD101" i="3" s="1"/>
  <c r="AD102" i="3" a="1"/>
  <c r="AD102" i="3" s="1"/>
  <c r="AD103" i="3" a="1"/>
  <c r="AD103" i="3" s="1"/>
  <c r="H35" i="29"/>
  <c r="F35" i="29"/>
  <c r="H33" i="29"/>
  <c r="F33" i="29"/>
  <c r="F32" i="29"/>
  <c r="F30" i="29"/>
  <c r="F28" i="29"/>
  <c r="F27" i="29"/>
  <c r="F26" i="29"/>
  <c r="F24" i="29"/>
  <c r="H21" i="29"/>
  <c r="F21" i="29"/>
  <c r="F20" i="29"/>
  <c r="F18" i="29"/>
  <c r="F16" i="29"/>
  <c r="H13" i="29"/>
  <c r="F13" i="29"/>
  <c r="H12" i="29"/>
  <c r="F12" i="29"/>
  <c r="E28" i="29" a="1"/>
  <c r="E13" i="29" a="1"/>
  <c r="E16" i="29" a="1"/>
  <c r="E40" i="29" a="1"/>
  <c r="E38" i="29" a="1"/>
  <c r="E20" i="29" a="1"/>
  <c r="G41" i="29" a="1"/>
  <c r="E35" i="29" a="1"/>
  <c r="E36" i="29" a="1"/>
  <c r="E21" i="29" a="1"/>
  <c r="E18" i="29" a="1"/>
  <c r="E12" i="29" a="1"/>
  <c r="E32" i="29" a="1"/>
  <c r="E26" i="29" a="1"/>
  <c r="E39" i="29" a="1"/>
  <c r="E27" i="29" a="1"/>
  <c r="E33" i="29" a="1"/>
  <c r="E30" i="29" a="1"/>
  <c r="E24" i="29" a="1"/>
  <c r="N41" i="34" l="1"/>
  <c r="H42" i="34" a="1"/>
  <c r="H42" i="34" s="1"/>
  <c r="O56" i="34"/>
  <c r="G41" i="29"/>
  <c r="O97" i="3"/>
  <c r="AJ97" i="3" a="1"/>
  <c r="AJ97" i="3" s="1"/>
  <c r="AH97" i="3" a="1"/>
  <c r="AH97" i="3" s="1"/>
  <c r="AK97" i="3" s="1" a="1"/>
  <c r="AK97" i="3" s="1"/>
  <c r="AI97" i="3" a="1"/>
  <c r="AI97" i="3" s="1"/>
  <c r="O66" i="3"/>
  <c r="AI66" i="3" a="1"/>
  <c r="AI66" i="3" s="1"/>
  <c r="AJ66" i="3" a="1"/>
  <c r="AJ66" i="3" s="1"/>
  <c r="AH66" i="3" a="1"/>
  <c r="AH66" i="3" s="1"/>
  <c r="AK66" i="3" s="1" a="1"/>
  <c r="AK66" i="3" s="1"/>
  <c r="O82" i="3"/>
  <c r="AJ82" i="3" a="1"/>
  <c r="AJ82" i="3" s="1"/>
  <c r="AI82" i="3" a="1"/>
  <c r="AI82" i="3" s="1"/>
  <c r="AH82" i="3" a="1"/>
  <c r="AH82" i="3" s="1"/>
  <c r="AK82" i="3" s="1" a="1"/>
  <c r="AK82" i="3" s="1"/>
  <c r="O95" i="3"/>
  <c r="AH95" i="3" a="1"/>
  <c r="AH95" i="3" s="1"/>
  <c r="AK95" i="3" s="1" a="1"/>
  <c r="AK95" i="3" s="1"/>
  <c r="AI95" i="3" a="1"/>
  <c r="AI95" i="3" s="1"/>
  <c r="AJ95" i="3" a="1"/>
  <c r="AJ95" i="3" s="1"/>
  <c r="O79" i="3"/>
  <c r="AJ79" i="3" a="1"/>
  <c r="AJ79" i="3" s="1"/>
  <c r="AI79" i="3" a="1"/>
  <c r="AI79" i="3" s="1"/>
  <c r="AH79" i="3" a="1"/>
  <c r="AH79" i="3" s="1"/>
  <c r="AK79" i="3" s="1" a="1"/>
  <c r="AK79" i="3" s="1"/>
  <c r="O64" i="3"/>
  <c r="AI64" i="3" a="1"/>
  <c r="AI64" i="3" s="1"/>
  <c r="AJ64" i="3" a="1"/>
  <c r="AJ64" i="3" s="1"/>
  <c r="AH64" i="3" a="1"/>
  <c r="AH64" i="3" s="1"/>
  <c r="AK64" i="3" s="1" a="1"/>
  <c r="AK64" i="3" s="1"/>
  <c r="O90" i="3"/>
  <c r="AJ90" i="3" a="1"/>
  <c r="AJ90" i="3" s="1"/>
  <c r="AI90" i="3" a="1"/>
  <c r="AI90" i="3" s="1"/>
  <c r="AH90" i="3" a="1"/>
  <c r="AH90" i="3" s="1"/>
  <c r="AK90" i="3" s="1" a="1"/>
  <c r="AK90" i="3" s="1"/>
  <c r="O76" i="3"/>
  <c r="AJ76" i="3" a="1"/>
  <c r="AJ76" i="3" s="1"/>
  <c r="AI76" i="3" a="1"/>
  <c r="AI76" i="3" s="1"/>
  <c r="AH76" i="3" a="1"/>
  <c r="AH76" i="3" s="1"/>
  <c r="AK76" i="3" s="1" a="1"/>
  <c r="AK76" i="3" s="1"/>
  <c r="O62" i="3"/>
  <c r="AI62" i="3" a="1"/>
  <c r="AI62" i="3" s="1"/>
  <c r="AJ62" i="3" a="1"/>
  <c r="AJ62" i="3" s="1"/>
  <c r="AH62" i="3" a="1"/>
  <c r="AH62" i="3" s="1"/>
  <c r="AK62" i="3" s="1" a="1"/>
  <c r="AK62" i="3" s="1"/>
  <c r="O69" i="3"/>
  <c r="AH69" i="3" a="1"/>
  <c r="AH69" i="3" s="1"/>
  <c r="AK69" i="3" s="1" a="1"/>
  <c r="AK69" i="3" s="1"/>
  <c r="AI69" i="3" a="1"/>
  <c r="AI69" i="3" s="1"/>
  <c r="AJ69" i="3" a="1"/>
  <c r="AJ69" i="3" s="1"/>
  <c r="O94" i="3"/>
  <c r="AI94" i="3" a="1"/>
  <c r="AI94" i="3" s="1"/>
  <c r="AJ94" i="3" a="1"/>
  <c r="AJ94" i="3" s="1"/>
  <c r="AH94" i="3" a="1"/>
  <c r="AH94" i="3" s="1"/>
  <c r="AK94" i="3" s="1" a="1"/>
  <c r="AK94" i="3" s="1"/>
  <c r="O63" i="3"/>
  <c r="AI63" i="3" a="1"/>
  <c r="AI63" i="3" s="1"/>
  <c r="AJ63" i="3" a="1"/>
  <c r="AJ63" i="3" s="1"/>
  <c r="AH63" i="3" a="1"/>
  <c r="AH63" i="3" s="1"/>
  <c r="AK63" i="3" s="1" a="1"/>
  <c r="AK63" i="3" s="1"/>
  <c r="O61" i="3"/>
  <c r="AJ61" i="3" a="1"/>
  <c r="AJ61" i="3" s="1"/>
  <c r="AH61" i="3" a="1"/>
  <c r="AH61" i="3" s="1"/>
  <c r="AK61" i="3" s="1" a="1"/>
  <c r="AK61" i="3" s="1"/>
  <c r="AI61" i="3" a="1"/>
  <c r="AI61" i="3" s="1"/>
  <c r="O67" i="3"/>
  <c r="AI67" i="3" a="1"/>
  <c r="AI67" i="3" s="1"/>
  <c r="AJ67" i="3" a="1"/>
  <c r="AJ67" i="3" s="1"/>
  <c r="AH67" i="3" a="1"/>
  <c r="AH67" i="3" s="1"/>
  <c r="AK67" i="3" s="1" a="1"/>
  <c r="AK67" i="3" s="1"/>
  <c r="O80" i="3"/>
  <c r="AJ80" i="3" a="1"/>
  <c r="AJ80" i="3" s="1"/>
  <c r="AI80" i="3" a="1"/>
  <c r="AI80" i="3" s="1"/>
  <c r="AH80" i="3" a="1"/>
  <c r="AH80" i="3" s="1"/>
  <c r="AK80" i="3" s="1" a="1"/>
  <c r="AK80" i="3" s="1"/>
  <c r="O77" i="3"/>
  <c r="AH77" i="3" a="1"/>
  <c r="AH77" i="3" s="1"/>
  <c r="AK77" i="3" s="1" a="1"/>
  <c r="AK77" i="3" s="1"/>
  <c r="AJ77" i="3" a="1"/>
  <c r="AJ77" i="3" s="1"/>
  <c r="AI77" i="3" a="1"/>
  <c r="AI77" i="3" s="1"/>
  <c r="O103" i="3"/>
  <c r="AI103" i="3" a="1"/>
  <c r="AI103" i="3" s="1"/>
  <c r="AJ103" i="3" a="1"/>
  <c r="AJ103" i="3" s="1"/>
  <c r="AH103" i="3" a="1"/>
  <c r="AH103" i="3" s="1"/>
  <c r="AK103" i="3" s="1" a="1"/>
  <c r="AK103" i="3" s="1"/>
  <c r="O74" i="3"/>
  <c r="AJ74" i="3" a="1"/>
  <c r="AJ74" i="3" s="1"/>
  <c r="AI74" i="3" a="1"/>
  <c r="AI74" i="3" s="1"/>
  <c r="AH74" i="3" a="1"/>
  <c r="AH74" i="3" s="1"/>
  <c r="AK74" i="3" s="1" a="1"/>
  <c r="AK74" i="3" s="1"/>
  <c r="O33" i="3"/>
  <c r="AJ33" i="3" a="1"/>
  <c r="AJ33" i="3" s="1"/>
  <c r="AH33" i="3" a="1"/>
  <c r="AH33" i="3" s="1"/>
  <c r="AK33" i="3" s="1" a="1"/>
  <c r="AK33" i="3" s="1"/>
  <c r="AI33" i="3" a="1"/>
  <c r="AI33" i="3" s="1"/>
  <c r="O96" i="3"/>
  <c r="AJ96" i="3" a="1"/>
  <c r="AJ96" i="3" s="1"/>
  <c r="AH96" i="3" a="1"/>
  <c r="AH96" i="3" s="1"/>
  <c r="AK96" i="3" s="1" a="1"/>
  <c r="AK96" i="3" s="1"/>
  <c r="AI96" i="3" a="1"/>
  <c r="AI96" i="3" s="1"/>
  <c r="O81" i="3"/>
  <c r="AJ81" i="3" a="1"/>
  <c r="AJ81" i="3" s="1"/>
  <c r="AI81" i="3" a="1"/>
  <c r="AI81" i="3" s="1"/>
  <c r="AH81" i="3" a="1"/>
  <c r="AH81" i="3" s="1"/>
  <c r="AK81" i="3" s="1" a="1"/>
  <c r="AK81" i="3" s="1"/>
  <c r="O75" i="3"/>
  <c r="AJ75" i="3" a="1"/>
  <c r="AJ75" i="3" s="1"/>
  <c r="AI75" i="3" a="1"/>
  <c r="AI75" i="3" s="1"/>
  <c r="AH75" i="3" a="1"/>
  <c r="AH75" i="3" s="1"/>
  <c r="AK75" i="3" s="1" a="1"/>
  <c r="AK75" i="3" s="1"/>
  <c r="O88" i="3"/>
  <c r="AJ88" i="3" a="1"/>
  <c r="AJ88" i="3" s="1"/>
  <c r="AI88" i="3" a="1"/>
  <c r="AI88" i="3" s="1"/>
  <c r="AH88" i="3" a="1"/>
  <c r="AH88" i="3" s="1"/>
  <c r="AK88" i="3" s="1" a="1"/>
  <c r="AK88" i="3" s="1"/>
  <c r="O72" i="3"/>
  <c r="AJ72" i="3" a="1"/>
  <c r="AJ72" i="3" s="1"/>
  <c r="AI72" i="3" a="1"/>
  <c r="AI72" i="3" s="1"/>
  <c r="AH72" i="3" a="1"/>
  <c r="AH72" i="3" s="1"/>
  <c r="AK72" i="3" s="1" a="1"/>
  <c r="AK72" i="3" s="1"/>
  <c r="O93" i="3"/>
  <c r="AJ93" i="3" a="1"/>
  <c r="AJ93" i="3" s="1"/>
  <c r="AH93" i="3" a="1"/>
  <c r="AH93" i="3" s="1"/>
  <c r="AK93" i="3" s="1" a="1"/>
  <c r="AK93" i="3" s="1"/>
  <c r="AI93" i="3" a="1"/>
  <c r="AI93" i="3" s="1"/>
  <c r="O102" i="3"/>
  <c r="AI102" i="3" a="1"/>
  <c r="AI102" i="3" s="1"/>
  <c r="AJ102" i="3" a="1"/>
  <c r="AJ102" i="3" s="1"/>
  <c r="AH102" i="3" a="1"/>
  <c r="AH102" i="3" s="1"/>
  <c r="AK102" i="3" s="1" a="1"/>
  <c r="AK102" i="3" s="1"/>
  <c r="O101" i="3"/>
  <c r="AJ101" i="3" a="1"/>
  <c r="AJ101" i="3" s="1"/>
  <c r="AH101" i="3" a="1"/>
  <c r="AH101" i="3" s="1"/>
  <c r="AK101" i="3" s="1" a="1"/>
  <c r="AK101" i="3" s="1"/>
  <c r="AI101" i="3" a="1"/>
  <c r="AI101" i="3" s="1"/>
  <c r="O73" i="3"/>
  <c r="AJ73" i="3" a="1"/>
  <c r="AJ73" i="3" s="1"/>
  <c r="AI73" i="3" a="1"/>
  <c r="AI73" i="3" s="1"/>
  <c r="AH73" i="3" a="1"/>
  <c r="AH73" i="3" s="1"/>
  <c r="AK73" i="3" s="1" a="1"/>
  <c r="AK73" i="3" s="1"/>
  <c r="O99" i="3"/>
  <c r="AJ99" i="3" a="1"/>
  <c r="AJ99" i="3" s="1"/>
  <c r="AH99" i="3" a="1"/>
  <c r="AH99" i="3" s="1"/>
  <c r="AK99" i="3" s="1" a="1"/>
  <c r="AK99" i="3" s="1"/>
  <c r="AI99" i="3" a="1"/>
  <c r="AI99" i="3" s="1"/>
  <c r="O83" i="3"/>
  <c r="AJ83" i="3" a="1"/>
  <c r="AJ83" i="3" s="1"/>
  <c r="AI83" i="3" a="1"/>
  <c r="AI83" i="3" s="1"/>
  <c r="AH83" i="3" a="1"/>
  <c r="AH83" i="3" s="1"/>
  <c r="AK83" i="3" s="1" a="1"/>
  <c r="AK83" i="3" s="1"/>
  <c r="O68" i="3"/>
  <c r="AH68" i="3" a="1"/>
  <c r="AH68" i="3" s="1"/>
  <c r="AK68" i="3" s="1" a="1"/>
  <c r="AK68" i="3" s="1"/>
  <c r="AI68" i="3" a="1"/>
  <c r="AI68" i="3" s="1"/>
  <c r="AJ68" i="3" a="1"/>
  <c r="AJ68" i="3" s="1"/>
  <c r="O65" i="3"/>
  <c r="AI65" i="3" a="1"/>
  <c r="AI65" i="3" s="1"/>
  <c r="AJ65" i="3" a="1"/>
  <c r="AJ65" i="3" s="1"/>
  <c r="AH65" i="3" a="1"/>
  <c r="AH65" i="3" s="1"/>
  <c r="AK65" i="3" s="1" a="1"/>
  <c r="AK65" i="3" s="1"/>
  <c r="O92" i="3"/>
  <c r="AJ92" i="3" a="1"/>
  <c r="AJ92" i="3" s="1"/>
  <c r="AH92" i="3" a="1"/>
  <c r="AH92" i="3" s="1"/>
  <c r="AK92" i="3" s="1" a="1"/>
  <c r="AK92" i="3" s="1"/>
  <c r="AI92" i="3" a="1"/>
  <c r="AI92" i="3" s="1"/>
  <c r="O78" i="3"/>
  <c r="AI78" i="3" a="1"/>
  <c r="AI78" i="3" s="1"/>
  <c r="AH78" i="3" a="1"/>
  <c r="AH78" i="3" s="1"/>
  <c r="AK78" i="3" s="1" a="1"/>
  <c r="AK78" i="3" s="1"/>
  <c r="AJ78" i="3" a="1"/>
  <c r="AJ78" i="3" s="1"/>
  <c r="O91" i="3"/>
  <c r="AJ91" i="3" a="1"/>
  <c r="AJ91" i="3" s="1"/>
  <c r="AI91" i="3" a="1"/>
  <c r="AI91" i="3" s="1"/>
  <c r="AH91" i="3" a="1"/>
  <c r="AH91" i="3" s="1"/>
  <c r="AK91" i="3" s="1" a="1"/>
  <c r="AK91" i="3" s="1"/>
  <c r="O89" i="3"/>
  <c r="AJ89" i="3" a="1"/>
  <c r="AJ89" i="3" s="1"/>
  <c r="AI89" i="3" a="1"/>
  <c r="AI89" i="3" s="1"/>
  <c r="AH89" i="3" a="1"/>
  <c r="AH89" i="3" s="1"/>
  <c r="AK89" i="3" s="1" a="1"/>
  <c r="AK89" i="3" s="1"/>
  <c r="O87" i="3"/>
  <c r="AJ87" i="3" a="1"/>
  <c r="AJ87" i="3" s="1"/>
  <c r="AI87" i="3" a="1"/>
  <c r="AI87" i="3" s="1"/>
  <c r="AH87" i="3" a="1"/>
  <c r="AH87" i="3" s="1"/>
  <c r="AK87" i="3" s="1" a="1"/>
  <c r="AK87" i="3" s="1"/>
  <c r="O100" i="3"/>
  <c r="AJ100" i="3" a="1"/>
  <c r="AJ100" i="3" s="1"/>
  <c r="AH100" i="3" a="1"/>
  <c r="AH100" i="3" s="1"/>
  <c r="AK100" i="3" s="1" a="1"/>
  <c r="AK100" i="3" s="1"/>
  <c r="AI100" i="3" a="1"/>
  <c r="AI100" i="3" s="1"/>
  <c r="O86" i="3"/>
  <c r="AI86" i="3" a="1"/>
  <c r="AI86" i="3" s="1"/>
  <c r="AH86" i="3" a="1"/>
  <c r="AH86" i="3" s="1"/>
  <c r="AK86" i="3" s="1" a="1"/>
  <c r="AK86" i="3" s="1"/>
  <c r="AJ86" i="3" a="1"/>
  <c r="AJ86" i="3" s="1"/>
  <c r="O85" i="3"/>
  <c r="AJ85" i="3" a="1"/>
  <c r="AJ85" i="3" s="1"/>
  <c r="AI85" i="3" a="1"/>
  <c r="AI85" i="3" s="1"/>
  <c r="AH85" i="3" a="1"/>
  <c r="AH85" i="3" s="1"/>
  <c r="AK85" i="3" s="1" a="1"/>
  <c r="AK85" i="3" s="1"/>
  <c r="O71" i="3"/>
  <c r="AJ71" i="3" a="1"/>
  <c r="AJ71" i="3" s="1"/>
  <c r="AI71" i="3" a="1"/>
  <c r="AI71" i="3" s="1"/>
  <c r="AH71" i="3" a="1"/>
  <c r="AH71" i="3" s="1"/>
  <c r="AK71" i="3" s="1" a="1"/>
  <c r="AK71" i="3" s="1"/>
  <c r="O98" i="3"/>
  <c r="AJ98" i="3" a="1"/>
  <c r="AJ98" i="3" s="1"/>
  <c r="AH98" i="3" a="1"/>
  <c r="AH98" i="3" s="1"/>
  <c r="AK98" i="3" s="1" a="1"/>
  <c r="AK98" i="3" s="1"/>
  <c r="AI98" i="3" a="1"/>
  <c r="AI98" i="3" s="1"/>
  <c r="O84" i="3"/>
  <c r="AJ84" i="3" a="1"/>
  <c r="AJ84" i="3" s="1"/>
  <c r="AI84" i="3" a="1"/>
  <c r="AI84" i="3" s="1"/>
  <c r="AH84" i="3" a="1"/>
  <c r="AH84" i="3" s="1"/>
  <c r="AK84" i="3" s="1" a="1"/>
  <c r="AK84" i="3" s="1"/>
  <c r="O70" i="3"/>
  <c r="AI70" i="3" a="1"/>
  <c r="AI70" i="3" s="1"/>
  <c r="AJ70" i="3" a="1"/>
  <c r="AJ70" i="3" s="1"/>
  <c r="AH70" i="3" a="1"/>
  <c r="AH70" i="3" s="1"/>
  <c r="AK70" i="3" s="1" a="1"/>
  <c r="AK70" i="3" s="1"/>
  <c r="AL85" i="3" a="1"/>
  <c r="AL85" i="3" s="1"/>
  <c r="AL76" i="3" a="1"/>
  <c r="AL76" i="3" s="1"/>
  <c r="AL93" i="3" a="1"/>
  <c r="AL93" i="3" s="1"/>
  <c r="AL90" i="3" a="1"/>
  <c r="AL90" i="3" s="1"/>
  <c r="AL72" i="3" a="1"/>
  <c r="AL72" i="3" s="1"/>
  <c r="AL74" i="3" a="1"/>
  <c r="AL74" i="3" s="1"/>
  <c r="AL88" i="3" a="1"/>
  <c r="AL88" i="3" s="1"/>
  <c r="AL103" i="3" a="1"/>
  <c r="AL103" i="3" s="1"/>
  <c r="AL87" i="3" a="1"/>
  <c r="AL87" i="3" s="1"/>
  <c r="AL71" i="3" a="1"/>
  <c r="AL71" i="3" s="1"/>
  <c r="AL84" i="3" a="1"/>
  <c r="AL84" i="3" s="1"/>
  <c r="AL70" i="3" a="1"/>
  <c r="AL70" i="3" s="1"/>
  <c r="AL83" i="3" a="1"/>
  <c r="AL83" i="3" s="1"/>
  <c r="AL33" i="3" a="1"/>
  <c r="AL33" i="3" s="1"/>
  <c r="AL102" i="3" a="1"/>
  <c r="AL102" i="3" s="1"/>
  <c r="AL86" i="3" a="1"/>
  <c r="AL86" i="3" s="1"/>
  <c r="AL101" i="3" a="1"/>
  <c r="AL101" i="3" s="1"/>
  <c r="AL69" i="3" a="1"/>
  <c r="AL69" i="3" s="1"/>
  <c r="AL68" i="3" a="1"/>
  <c r="AL68" i="3" s="1"/>
  <c r="AL61" i="3" a="1"/>
  <c r="AL61" i="3" s="1"/>
  <c r="AL75" i="3" a="1"/>
  <c r="AL75" i="3" s="1"/>
  <c r="AL100" i="3" a="1"/>
  <c r="AL100" i="3" s="1"/>
  <c r="AL98" i="3" a="1"/>
  <c r="AL98" i="3" s="1"/>
  <c r="AL82" i="3" a="1"/>
  <c r="AL82" i="3" s="1"/>
  <c r="AL66" i="3" a="1"/>
  <c r="AL66" i="3" s="1"/>
  <c r="AL77" i="3" a="1"/>
  <c r="AL77" i="3" s="1"/>
  <c r="AL91" i="3" a="1"/>
  <c r="AL91" i="3" s="1"/>
  <c r="AL89" i="3" a="1"/>
  <c r="AL89" i="3" s="1"/>
  <c r="AL99" i="3" a="1"/>
  <c r="AL99" i="3" s="1"/>
  <c r="AL67" i="3" a="1"/>
  <c r="AL67" i="3" s="1"/>
  <c r="AL97" i="3" a="1"/>
  <c r="AL97" i="3" s="1"/>
  <c r="AL81" i="3" a="1"/>
  <c r="AL81" i="3" s="1"/>
  <c r="AL65" i="3" a="1"/>
  <c r="AL65" i="3" s="1"/>
  <c r="AL96" i="3" a="1"/>
  <c r="AL96" i="3" s="1"/>
  <c r="AL92" i="3" a="1"/>
  <c r="AL92" i="3" s="1"/>
  <c r="AL73" i="3" a="1"/>
  <c r="AL73" i="3" s="1"/>
  <c r="AL80" i="3" a="1"/>
  <c r="AL80" i="3" s="1"/>
  <c r="AL64" i="3" a="1"/>
  <c r="AL64" i="3" s="1"/>
  <c r="AL95" i="3" a="1"/>
  <c r="AL95" i="3" s="1"/>
  <c r="AL79" i="3" a="1"/>
  <c r="AL79" i="3" s="1"/>
  <c r="AL63" i="3" a="1"/>
  <c r="AL63" i="3" s="1"/>
  <c r="AL94" i="3" a="1"/>
  <c r="AL94" i="3" s="1"/>
  <c r="AL78" i="3" a="1"/>
  <c r="AL78" i="3" s="1"/>
  <c r="AL62" i="3" a="1"/>
  <c r="AL62" i="3" s="1"/>
  <c r="E40" i="29"/>
  <c r="E39" i="29"/>
  <c r="E38" i="29"/>
  <c r="E36" i="29"/>
  <c r="E35" i="29"/>
  <c r="E33" i="29"/>
  <c r="E32" i="29"/>
  <c r="E30" i="29"/>
  <c r="E28" i="29"/>
  <c r="E27" i="29"/>
  <c r="E26" i="29"/>
  <c r="E24" i="29"/>
  <c r="E21" i="29"/>
  <c r="E20" i="29"/>
  <c r="E18" i="29"/>
  <c r="E16" i="29"/>
  <c r="E13" i="29"/>
  <c r="E12" i="29"/>
  <c r="F10" i="29"/>
  <c r="H8" i="29"/>
  <c r="F8" i="29"/>
  <c r="D4" i="29"/>
  <c r="R4" i="29" s="1" a="1"/>
  <c r="R4" i="29" s="1"/>
  <c r="D5"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8" i="29"/>
  <c r="D50" i="29"/>
  <c r="D51" i="29"/>
  <c r="D52" i="29"/>
  <c r="D53" i="29"/>
  <c r="D54" i="29"/>
  <c r="D55" i="29"/>
  <c r="D56" i="29"/>
  <c r="D57" i="29"/>
  <c r="D58" i="29"/>
  <c r="G36" i="29" a="1"/>
  <c r="G30" i="29" a="1"/>
  <c r="G40" i="29" a="1"/>
  <c r="G32" i="29" a="1"/>
  <c r="G39" i="29" a="1"/>
  <c r="G13" i="29" a="1"/>
  <c r="G24" i="29" a="1"/>
  <c r="G27" i="29" a="1"/>
  <c r="G38" i="29" a="1"/>
  <c r="G28" i="29" a="1"/>
  <c r="G12" i="29" a="1"/>
  <c r="G33" i="29" a="1"/>
  <c r="G21" i="29" a="1"/>
  <c r="G35" i="29" a="1"/>
  <c r="G18" i="29" a="1"/>
  <c r="G16" i="29" a="1"/>
  <c r="G20" i="29" a="1"/>
  <c r="G26" i="29" a="1"/>
  <c r="O57" i="34" l="1"/>
  <c r="N42" i="34"/>
  <c r="H43" i="34" a="1"/>
  <c r="H43" i="34" s="1"/>
  <c r="R5" i="29" a="1"/>
  <c r="R5" i="29" s="1"/>
  <c r="R6" i="29" s="1" a="1"/>
  <c r="R6" i="29" s="1"/>
  <c r="R7" i="29" s="1" a="1"/>
  <c r="R7" i="29" s="1"/>
  <c r="R8" i="29" s="1" a="1"/>
  <c r="R8" i="29" s="1"/>
  <c r="R9" i="29" s="1" a="1"/>
  <c r="R9" i="29" s="1"/>
  <c r="R10" i="29" s="1" a="1"/>
  <c r="R10" i="29" s="1"/>
  <c r="R11" i="29" s="1" a="1"/>
  <c r="R11" i="29" s="1"/>
  <c r="R12" i="29" s="1" a="1"/>
  <c r="R12" i="29" s="1"/>
  <c r="R13" i="29" s="1" a="1"/>
  <c r="R13" i="29" s="1"/>
  <c r="R14" i="29" s="1" a="1"/>
  <c r="R14" i="29" s="1"/>
  <c r="R15" i="29" s="1" a="1"/>
  <c r="R15" i="29" s="1"/>
  <c r="R16" i="29" s="1" a="1"/>
  <c r="R16" i="29" s="1"/>
  <c r="R17" i="29" s="1" a="1"/>
  <c r="R17" i="29" s="1"/>
  <c r="R18" i="29" s="1" a="1"/>
  <c r="R18" i="29" s="1"/>
  <c r="R19" i="29" s="1" a="1"/>
  <c r="R19" i="29" s="1"/>
  <c r="R20" i="29" s="1" a="1"/>
  <c r="R20" i="29" s="1"/>
  <c r="R21" i="29" s="1" a="1"/>
  <c r="R21" i="29" s="1"/>
  <c r="R22" i="29" s="1" a="1"/>
  <c r="R22" i="29" s="1"/>
  <c r="R23" i="29" s="1" a="1"/>
  <c r="R23" i="29" s="1"/>
  <c r="R24" i="29" s="1" a="1"/>
  <c r="R24" i="29" s="1"/>
  <c r="R25" i="29" s="1" a="1"/>
  <c r="R25" i="29" s="1"/>
  <c r="R26" i="29" s="1" a="1"/>
  <c r="R26" i="29" s="1"/>
  <c r="R27" i="29" s="1" a="1"/>
  <c r="R27" i="29" s="1"/>
  <c r="R28" i="29" s="1" a="1"/>
  <c r="R28" i="29" s="1"/>
  <c r="R29" i="29" s="1" a="1"/>
  <c r="R29" i="29" s="1"/>
  <c r="R30" i="29" s="1" a="1"/>
  <c r="R30" i="29" s="1"/>
  <c r="R31" i="29" s="1" a="1"/>
  <c r="R31" i="29" s="1"/>
  <c r="R32" i="29" s="1" a="1"/>
  <c r="R32" i="29" s="1"/>
  <c r="R33" i="29" s="1" a="1"/>
  <c r="R33" i="29" s="1"/>
  <c r="R34" i="29" s="1" a="1"/>
  <c r="R34" i="29" s="1"/>
  <c r="R35" i="29" s="1" a="1"/>
  <c r="R35" i="29" s="1"/>
  <c r="R36" i="29" s="1" a="1"/>
  <c r="R36" i="29" s="1"/>
  <c r="R37" i="29" s="1" a="1"/>
  <c r="R37" i="29" s="1"/>
  <c r="R38" i="29" s="1" a="1"/>
  <c r="R38" i="29" s="1"/>
  <c r="R39" i="29" s="1" a="1"/>
  <c r="R39" i="29" s="1"/>
  <c r="R40" i="29" s="1" a="1"/>
  <c r="R40" i="29" s="1"/>
  <c r="R41" i="29" s="1" a="1"/>
  <c r="R41" i="29" s="1"/>
  <c r="R42" i="29" s="1" a="1"/>
  <c r="R42" i="29" s="1"/>
  <c r="R43" i="29" s="1" a="1"/>
  <c r="R43" i="29" s="1"/>
  <c r="R44" i="29" s="1" a="1"/>
  <c r="R44" i="29" s="1"/>
  <c r="R45" i="29" s="1" a="1"/>
  <c r="R45" i="29" s="1"/>
  <c r="R46" i="29" s="1" a="1"/>
  <c r="R46" i="29" s="1"/>
  <c r="R47" i="29" s="1" a="1"/>
  <c r="R47" i="29" s="1"/>
  <c r="R48" i="29" s="1" a="1"/>
  <c r="R48" i="29" s="1"/>
  <c r="R49" i="29" s="1" a="1"/>
  <c r="R49" i="29" s="1"/>
  <c r="R50" i="29" s="1" a="1"/>
  <c r="R50" i="29" s="1"/>
  <c r="R51" i="29" s="1" a="1"/>
  <c r="R51" i="29" s="1"/>
  <c r="R52" i="29" s="1" a="1"/>
  <c r="R52" i="29" s="1"/>
  <c r="R53" i="29" s="1" a="1"/>
  <c r="R53" i="29" s="1"/>
  <c r="R54" i="29" s="1" a="1"/>
  <c r="R54" i="29" s="1"/>
  <c r="R55" i="29" s="1" a="1"/>
  <c r="R55" i="29" s="1"/>
  <c r="R56" i="29" s="1" a="1"/>
  <c r="R56" i="29" s="1"/>
  <c r="R57" i="29" s="1" a="1"/>
  <c r="R57" i="29" s="1"/>
  <c r="R58" i="29" s="1" a="1"/>
  <c r="R58" i="29" s="1"/>
  <c r="R59" i="29" s="1" a="1"/>
  <c r="R59" i="29" s="1"/>
  <c r="R60" i="29" s="1" a="1"/>
  <c r="R60" i="29" s="1"/>
  <c r="G24" i="29"/>
  <c r="G26" i="29"/>
  <c r="G16" i="29"/>
  <c r="G13" i="29"/>
  <c r="G21" i="29"/>
  <c r="G28" i="29"/>
  <c r="G39" i="29"/>
  <c r="G30" i="29"/>
  <c r="G18" i="29"/>
  <c r="G32" i="29"/>
  <c r="G38" i="29"/>
  <c r="G40" i="29"/>
  <c r="G27" i="29"/>
  <c r="G33" i="29"/>
  <c r="G20" i="29"/>
  <c r="G35" i="29"/>
  <c r="G12" i="29"/>
  <c r="G36" i="29"/>
  <c r="E7" i="29" a="1"/>
  <c r="E8" i="29" a="1"/>
  <c r="E10" i="29" a="1"/>
  <c r="N43" i="34" l="1"/>
  <c r="H44" i="34" a="1"/>
  <c r="H44" i="34" s="1"/>
  <c r="O58" i="34"/>
  <c r="AG84" i="3" a="1"/>
  <c r="AG84" i="3" s="1"/>
  <c r="K33" i="3"/>
  <c r="AG33" i="3" a="1"/>
  <c r="AG33" i="3" s="1"/>
  <c r="AG103" i="3" a="1"/>
  <c r="AG103" i="3" s="1"/>
  <c r="AG87" i="3" a="1"/>
  <c r="AG87" i="3" s="1"/>
  <c r="AG71" i="3" a="1"/>
  <c r="AG71" i="3" s="1"/>
  <c r="AG88" i="3" a="1"/>
  <c r="AG88" i="3" s="1"/>
  <c r="AG72" i="3" a="1"/>
  <c r="AG72" i="3" s="1"/>
  <c r="AG102" i="3" a="1"/>
  <c r="AG102" i="3" s="1"/>
  <c r="AG86" i="3" a="1"/>
  <c r="AG86" i="3" s="1"/>
  <c r="AG70" i="3" a="1"/>
  <c r="AG70" i="3" s="1"/>
  <c r="AG101" i="3" a="1"/>
  <c r="AG101" i="3" s="1"/>
  <c r="AG85" i="3" a="1"/>
  <c r="AG85" i="3" s="1"/>
  <c r="AG69" i="3" a="1"/>
  <c r="AG69" i="3" s="1"/>
  <c r="K100" i="3"/>
  <c r="AG100" i="3" a="1"/>
  <c r="AG100" i="3" s="1"/>
  <c r="K68" i="3"/>
  <c r="AG68" i="3" a="1"/>
  <c r="AG68" i="3" s="1"/>
  <c r="K99" i="3"/>
  <c r="AG99" i="3" a="1"/>
  <c r="AG99" i="3" s="1"/>
  <c r="K83" i="3"/>
  <c r="AG83" i="3" a="1"/>
  <c r="AG83" i="3" s="1"/>
  <c r="K67" i="3"/>
  <c r="AG67" i="3" a="1"/>
  <c r="AG67" i="3" s="1"/>
  <c r="K98" i="3"/>
  <c r="AG98" i="3" a="1"/>
  <c r="AG98" i="3" s="1"/>
  <c r="K82" i="3"/>
  <c r="AG82" i="3" a="1"/>
  <c r="AG82" i="3" s="1"/>
  <c r="K66" i="3"/>
  <c r="AG66" i="3" a="1"/>
  <c r="AG66" i="3" s="1"/>
  <c r="K97" i="3"/>
  <c r="AG97" i="3" a="1"/>
  <c r="AG97" i="3" s="1"/>
  <c r="K81" i="3"/>
  <c r="AG81" i="3" a="1"/>
  <c r="AG81" i="3" s="1"/>
  <c r="K65" i="3"/>
  <c r="AG65" i="3" a="1"/>
  <c r="AG65" i="3" s="1"/>
  <c r="J96" i="3"/>
  <c r="AG96" i="3" a="1"/>
  <c r="AG96" i="3" s="1"/>
  <c r="J80" i="3"/>
  <c r="AG80" i="3" a="1"/>
  <c r="AG80" i="3" s="1"/>
  <c r="J64" i="3"/>
  <c r="AG64" i="3" a="1"/>
  <c r="AG64" i="3" s="1"/>
  <c r="J95" i="3"/>
  <c r="AG95" i="3" a="1"/>
  <c r="AG95" i="3" s="1"/>
  <c r="J79" i="3"/>
  <c r="AG79" i="3" a="1"/>
  <c r="AG79" i="3" s="1"/>
  <c r="J63" i="3"/>
  <c r="AG63" i="3" a="1"/>
  <c r="AG63" i="3" s="1"/>
  <c r="J94" i="3"/>
  <c r="AG94" i="3" a="1"/>
  <c r="AG94" i="3" s="1"/>
  <c r="J78" i="3"/>
  <c r="AG78" i="3" a="1"/>
  <c r="AG78" i="3" s="1"/>
  <c r="J62" i="3"/>
  <c r="AG62" i="3" a="1"/>
  <c r="AG62" i="3" s="1"/>
  <c r="J93" i="3"/>
  <c r="AG93" i="3" a="1"/>
  <c r="AG93" i="3" s="1"/>
  <c r="J77" i="3"/>
  <c r="AG77" i="3" a="1"/>
  <c r="AG77" i="3" s="1"/>
  <c r="J61" i="3"/>
  <c r="AG61" i="3" a="1"/>
  <c r="AG61" i="3" s="1"/>
  <c r="AG92" i="3" a="1"/>
  <c r="AG92" i="3" s="1"/>
  <c r="AG76" i="3" a="1"/>
  <c r="AG76" i="3" s="1"/>
  <c r="AG91" i="3" a="1"/>
  <c r="AG91" i="3" s="1"/>
  <c r="AG75" i="3" a="1"/>
  <c r="AG75" i="3" s="1"/>
  <c r="AG90" i="3" a="1"/>
  <c r="AG90" i="3" s="1"/>
  <c r="AG74" i="3" a="1"/>
  <c r="AG74" i="3" s="1"/>
  <c r="AG89" i="3" a="1"/>
  <c r="AG89" i="3" s="1"/>
  <c r="AG73" i="3" a="1"/>
  <c r="AG73" i="3" s="1"/>
  <c r="E10" i="29"/>
  <c r="E8" i="29"/>
  <c r="AE102" i="3" a="1"/>
  <c r="AE102" i="3" s="1"/>
  <c r="AF90" i="3" a="1"/>
  <c r="AF90" i="3" s="1"/>
  <c r="AE87" i="3" a="1"/>
  <c r="AE87" i="3" s="1"/>
  <c r="AE73" i="3" a="1"/>
  <c r="AE73" i="3" s="1"/>
  <c r="AF89" i="3" a="1"/>
  <c r="AF89" i="3" s="1"/>
  <c r="AF73" i="3" a="1"/>
  <c r="AF73" i="3" s="1"/>
  <c r="AE88" i="3" a="1"/>
  <c r="AE88" i="3" s="1"/>
  <c r="AE74" i="3" a="1"/>
  <c r="AE74" i="3" s="1"/>
  <c r="AF74" i="3" a="1"/>
  <c r="AF74" i="3" s="1"/>
  <c r="AE101" i="3" a="1"/>
  <c r="AE101" i="3" s="1"/>
  <c r="AE86" i="3" a="1"/>
  <c r="AE86" i="3" s="1"/>
  <c r="AE72" i="3" a="1"/>
  <c r="AE72" i="3" s="1"/>
  <c r="AF88" i="3" a="1"/>
  <c r="AF88" i="3" s="1"/>
  <c r="AF72" i="3" a="1"/>
  <c r="AF72" i="3" s="1"/>
  <c r="AE100" i="3" a="1"/>
  <c r="AE100" i="3" s="1"/>
  <c r="AE71" i="3" a="1"/>
  <c r="AE71" i="3" s="1"/>
  <c r="AF103" i="3" a="1"/>
  <c r="AF103" i="3" s="1"/>
  <c r="AF87" i="3" a="1"/>
  <c r="AF87" i="3" s="1"/>
  <c r="AF71" i="3" a="1"/>
  <c r="AF71" i="3" s="1"/>
  <c r="AE99" i="3" a="1"/>
  <c r="AE99" i="3" s="1"/>
  <c r="AE85" i="3" a="1"/>
  <c r="AE85" i="3" s="1"/>
  <c r="AE70" i="3" a="1"/>
  <c r="AE70" i="3" s="1"/>
  <c r="AF102" i="3" a="1"/>
  <c r="AF102" i="3" s="1"/>
  <c r="AF86" i="3" a="1"/>
  <c r="AF86" i="3" s="1"/>
  <c r="AF70" i="3" a="1"/>
  <c r="AF70" i="3" s="1"/>
  <c r="AE98" i="3" a="1"/>
  <c r="AE98" i="3" s="1"/>
  <c r="AE84" i="3" a="1"/>
  <c r="AE84" i="3" s="1"/>
  <c r="AF101" i="3" a="1"/>
  <c r="AF101" i="3" s="1"/>
  <c r="AF85" i="3" a="1"/>
  <c r="AF85" i="3" s="1"/>
  <c r="AF69" i="3" a="1"/>
  <c r="AF69" i="3" s="1"/>
  <c r="AE97" i="3" a="1"/>
  <c r="AE97" i="3" s="1"/>
  <c r="AE83" i="3" a="1"/>
  <c r="AE83" i="3" s="1"/>
  <c r="AE69" i="3" a="1"/>
  <c r="AE69" i="3" s="1"/>
  <c r="AF100" i="3" a="1"/>
  <c r="AF100" i="3" s="1"/>
  <c r="AF84" i="3" a="1"/>
  <c r="AF84" i="3" s="1"/>
  <c r="AF68" i="3" a="1"/>
  <c r="AF68" i="3" s="1"/>
  <c r="AE96" i="3" a="1"/>
  <c r="AE96" i="3" s="1"/>
  <c r="AE82" i="3" a="1"/>
  <c r="AE82" i="3" s="1"/>
  <c r="AE68" i="3" a="1"/>
  <c r="AE68" i="3" s="1"/>
  <c r="AF99" i="3" a="1"/>
  <c r="AF99" i="3" s="1"/>
  <c r="AF83" i="3" a="1"/>
  <c r="AF83" i="3" s="1"/>
  <c r="AF67" i="3" a="1"/>
  <c r="AF67" i="3" s="1"/>
  <c r="AE95" i="3" a="1"/>
  <c r="AE95" i="3" s="1"/>
  <c r="AE81" i="3" a="1"/>
  <c r="AE81" i="3" s="1"/>
  <c r="AE67" i="3" a="1"/>
  <c r="AE67" i="3" s="1"/>
  <c r="AF98" i="3" a="1"/>
  <c r="AF98" i="3" s="1"/>
  <c r="AF82" i="3" a="1"/>
  <c r="AF82" i="3" s="1"/>
  <c r="AF66" i="3" a="1"/>
  <c r="AF66" i="3" s="1"/>
  <c r="AF33" i="3" a="1"/>
  <c r="AF33" i="3" s="1"/>
  <c r="AE94" i="3" a="1"/>
  <c r="AE94" i="3" s="1"/>
  <c r="AE80" i="3" a="1"/>
  <c r="AE80" i="3" s="1"/>
  <c r="AE66" i="3" a="1"/>
  <c r="AE66" i="3" s="1"/>
  <c r="AF97" i="3" a="1"/>
  <c r="AF97" i="3" s="1"/>
  <c r="AF81" i="3" a="1"/>
  <c r="AF81" i="3" s="1"/>
  <c r="AF65" i="3" a="1"/>
  <c r="AF65" i="3" s="1"/>
  <c r="AE79" i="3" a="1"/>
  <c r="AE79" i="3" s="1"/>
  <c r="AE65" i="3" a="1"/>
  <c r="AE65" i="3" s="1"/>
  <c r="AF96" i="3" a="1"/>
  <c r="AF96" i="3" s="1"/>
  <c r="AF80" i="3" a="1"/>
  <c r="AF80" i="3" s="1"/>
  <c r="AF64" i="3" a="1"/>
  <c r="AF64" i="3" s="1"/>
  <c r="AE93" i="3" a="1"/>
  <c r="AE93" i="3" s="1"/>
  <c r="AE78" i="3" a="1"/>
  <c r="AE78" i="3" s="1"/>
  <c r="AE64" i="3" a="1"/>
  <c r="AE64" i="3" s="1"/>
  <c r="AF95" i="3" a="1"/>
  <c r="AF95" i="3" s="1"/>
  <c r="AF79" i="3" a="1"/>
  <c r="AF79" i="3" s="1"/>
  <c r="AF63" i="3" a="1"/>
  <c r="AF63" i="3" s="1"/>
  <c r="AE92" i="3" a="1"/>
  <c r="AE92" i="3" s="1"/>
  <c r="AE63" i="3" a="1"/>
  <c r="AE63" i="3" s="1"/>
  <c r="AE33" i="3" a="1"/>
  <c r="AE33" i="3" s="1"/>
  <c r="AF94" i="3" a="1"/>
  <c r="AF94" i="3" s="1"/>
  <c r="AF78" i="3" a="1"/>
  <c r="AF78" i="3" s="1"/>
  <c r="AF62" i="3" a="1"/>
  <c r="AF62" i="3" s="1"/>
  <c r="AE91" i="3" a="1"/>
  <c r="AE91" i="3" s="1"/>
  <c r="AE77" i="3" a="1"/>
  <c r="AE77" i="3" s="1"/>
  <c r="AE62" i="3" a="1"/>
  <c r="AE62" i="3" s="1"/>
  <c r="AF93" i="3" a="1"/>
  <c r="AF93" i="3" s="1"/>
  <c r="AF77" i="3" a="1"/>
  <c r="AF77" i="3" s="1"/>
  <c r="AF61" i="3" a="1"/>
  <c r="AF61" i="3" s="1"/>
  <c r="AE90" i="3" a="1"/>
  <c r="AE90" i="3" s="1"/>
  <c r="AE76" i="3" a="1"/>
  <c r="AE76" i="3" s="1"/>
  <c r="AF92" i="3" a="1"/>
  <c r="AF92" i="3" s="1"/>
  <c r="AF76" i="3" a="1"/>
  <c r="AF76" i="3" s="1"/>
  <c r="AE103" i="3" a="1"/>
  <c r="AE103" i="3" s="1"/>
  <c r="AE89" i="3" a="1"/>
  <c r="AE89" i="3" s="1"/>
  <c r="AE75" i="3" a="1"/>
  <c r="AE75" i="3" s="1"/>
  <c r="AE61" i="3" a="1"/>
  <c r="AE61" i="3" s="1"/>
  <c r="AF91" i="3" a="1"/>
  <c r="AF91" i="3" s="1"/>
  <c r="AF75" i="3" a="1"/>
  <c r="AF75" i="3" s="1"/>
  <c r="K96" i="3"/>
  <c r="K95" i="3"/>
  <c r="K80" i="3"/>
  <c r="K79" i="3"/>
  <c r="K64" i="3"/>
  <c r="K63" i="3"/>
  <c r="J92" i="3"/>
  <c r="J91" i="3"/>
  <c r="J76" i="3"/>
  <c r="J75" i="3"/>
  <c r="J90" i="3"/>
  <c r="J74" i="3"/>
  <c r="K94" i="3"/>
  <c r="K78" i="3"/>
  <c r="K62" i="3"/>
  <c r="J89" i="3"/>
  <c r="J73" i="3"/>
  <c r="K93" i="3"/>
  <c r="K77" i="3"/>
  <c r="K61" i="3"/>
  <c r="J88" i="3"/>
  <c r="J72" i="3"/>
  <c r="K92" i="3"/>
  <c r="K76" i="3"/>
  <c r="J103" i="3"/>
  <c r="J87" i="3"/>
  <c r="J71" i="3"/>
  <c r="K91" i="3"/>
  <c r="K75" i="3"/>
  <c r="J102" i="3"/>
  <c r="J86" i="3"/>
  <c r="J70" i="3"/>
  <c r="K90" i="3"/>
  <c r="K74" i="3"/>
  <c r="J101" i="3"/>
  <c r="J85" i="3"/>
  <c r="J69" i="3"/>
  <c r="K89" i="3"/>
  <c r="K73" i="3"/>
  <c r="J100" i="3"/>
  <c r="J84" i="3"/>
  <c r="J68" i="3"/>
  <c r="K88" i="3"/>
  <c r="K72" i="3"/>
  <c r="J99" i="3"/>
  <c r="J83" i="3"/>
  <c r="J67" i="3"/>
  <c r="J33" i="3"/>
  <c r="K103" i="3"/>
  <c r="K87" i="3"/>
  <c r="K71" i="3"/>
  <c r="J98" i="3"/>
  <c r="J82" i="3"/>
  <c r="J66" i="3"/>
  <c r="K102" i="3"/>
  <c r="K86" i="3"/>
  <c r="K70" i="3"/>
  <c r="J97" i="3"/>
  <c r="J81" i="3"/>
  <c r="J65" i="3"/>
  <c r="K101" i="3"/>
  <c r="K85" i="3"/>
  <c r="K69" i="3"/>
  <c r="K84" i="3"/>
  <c r="E7" i="29"/>
  <c r="G10" i="29" a="1"/>
  <c r="G7" i="29" a="1"/>
  <c r="G8" i="29" a="1"/>
  <c r="N44" i="34" l="1"/>
  <c r="H45" i="34" a="1"/>
  <c r="H45" i="34" s="1"/>
  <c r="O59" i="34"/>
  <c r="O60" i="34" s="1"/>
  <c r="G8" i="29"/>
  <c r="G7" i="29"/>
  <c r="G10" i="29"/>
  <c r="O61" i="34" l="1"/>
  <c r="H46" i="34" a="1"/>
  <c r="H46" i="34" s="1"/>
  <c r="N45" i="34"/>
  <c r="AB61" i="3" a="1"/>
  <c r="AB61" i="3" s="1"/>
  <c r="AB63" i="3" a="1"/>
  <c r="AB63" i="3" s="1"/>
  <c r="AB65" i="3" a="1"/>
  <c r="AB65" i="3" s="1"/>
  <c r="AB67" i="3" a="1"/>
  <c r="AB67" i="3" s="1"/>
  <c r="AB68" i="3" a="1"/>
  <c r="AB68" i="3" s="1"/>
  <c r="AB70" i="3" a="1"/>
  <c r="AB70" i="3" s="1"/>
  <c r="AB71" i="3" a="1"/>
  <c r="AB71" i="3" s="1"/>
  <c r="AB72" i="3" a="1"/>
  <c r="AB72" i="3" s="1"/>
  <c r="AB74" i="3" a="1"/>
  <c r="AB74" i="3" s="1"/>
  <c r="AB76" i="3" a="1"/>
  <c r="AB76" i="3" s="1"/>
  <c r="AB77" i="3" a="1"/>
  <c r="AB77" i="3" s="1"/>
  <c r="AB79" i="3" a="1"/>
  <c r="AB79" i="3" s="1"/>
  <c r="AB81" i="3" a="1"/>
  <c r="AB81" i="3" s="1"/>
  <c r="AB82" i="3" a="1"/>
  <c r="AB82" i="3" s="1"/>
  <c r="AB83" i="3" a="1"/>
  <c r="AB83" i="3" s="1"/>
  <c r="AB84" i="3" a="1"/>
  <c r="AB84" i="3" s="1"/>
  <c r="AB87" i="3" a="1"/>
  <c r="AB87" i="3" s="1"/>
  <c r="AB89" i="3" a="1"/>
  <c r="AB89" i="3" s="1"/>
  <c r="AB90" i="3" a="1"/>
  <c r="AB90" i="3" s="1"/>
  <c r="AB92" i="3" a="1"/>
  <c r="AB92" i="3" s="1"/>
  <c r="AB93" i="3" a="1"/>
  <c r="AB93" i="3" s="1"/>
  <c r="AB95" i="3" a="1"/>
  <c r="AB95" i="3" s="1"/>
  <c r="AB97" i="3" a="1"/>
  <c r="AB97" i="3" s="1"/>
  <c r="AB98" i="3" a="1"/>
  <c r="AB98" i="3" s="1"/>
  <c r="AB99" i="3" a="1"/>
  <c r="AB99" i="3" s="1"/>
  <c r="AB100" i="3" a="1"/>
  <c r="AB100" i="3" s="1"/>
  <c r="AB103" i="3" a="1"/>
  <c r="AB103" i="3" s="1"/>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AB62" i="3" a="1"/>
  <c r="AB62" i="3" s="1"/>
  <c r="AB64" i="3" a="1"/>
  <c r="AB64" i="3" s="1"/>
  <c r="AB66" i="3" a="1"/>
  <c r="AB66" i="3" s="1"/>
  <c r="AB69" i="3" a="1"/>
  <c r="AB69" i="3" s="1"/>
  <c r="AB73" i="3" a="1"/>
  <c r="AB73" i="3" s="1"/>
  <c r="AB75" i="3" a="1"/>
  <c r="AB75" i="3" s="1"/>
  <c r="AB78" i="3" a="1"/>
  <c r="AB78" i="3" s="1"/>
  <c r="AB80" i="3" a="1"/>
  <c r="AB80" i="3" s="1"/>
  <c r="AB85" i="3" a="1"/>
  <c r="AB85" i="3" s="1"/>
  <c r="AB86" i="3" a="1"/>
  <c r="AB86" i="3" s="1"/>
  <c r="AB88" i="3" a="1"/>
  <c r="AB88" i="3" s="1"/>
  <c r="AB91" i="3" a="1"/>
  <c r="AB91" i="3" s="1"/>
  <c r="AB94" i="3" a="1"/>
  <c r="AB94" i="3" s="1"/>
  <c r="AB96" i="3" a="1"/>
  <c r="AB96" i="3" s="1"/>
  <c r="AB101" i="3" a="1"/>
  <c r="AB101" i="3" s="1"/>
  <c r="AB102" i="3" a="1"/>
  <c r="AB102" i="3" s="1"/>
  <c r="X57" i="3"/>
  <c r="X58" i="3"/>
  <c r="Z57" i="3"/>
  <c r="Z58" i="3"/>
  <c r="N46" i="34" l="1"/>
  <c r="H47" i="34" a="1"/>
  <c r="H47" i="34" s="1"/>
  <c r="O62" i="34"/>
  <c r="AC29" i="3" a="1"/>
  <c r="AC29" i="3" s="1"/>
  <c r="I11" i="16"/>
  <c r="I12" i="16"/>
  <c r="I9" i="16"/>
  <c r="J9" i="16" s="1" a="1"/>
  <c r="J9" i="16" s="1"/>
  <c r="I10" i="16"/>
  <c r="AO4" i="4"/>
  <c r="I10" i="24" a="1"/>
  <c r="J10" i="24" a="1"/>
  <c r="K10" i="24" a="1"/>
  <c r="O63" i="34" l="1"/>
  <c r="N47" i="34"/>
  <c r="H48" i="34" a="1"/>
  <c r="H48" i="34" s="1"/>
  <c r="J10" i="16" a="1"/>
  <c r="J10" i="16" s="1"/>
  <c r="J11" i="16" s="1" a="1"/>
  <c r="J11" i="16" s="1"/>
  <c r="J12" i="16" s="1" a="1"/>
  <c r="J12" i="16" s="1"/>
  <c r="J13" i="16" s="1" a="1"/>
  <c r="J13" i="16" s="1"/>
  <c r="J14" i="16" s="1" a="1"/>
  <c r="J14" i="16" s="1"/>
  <c r="J15" i="16" s="1" a="1"/>
  <c r="J15" i="16" s="1"/>
  <c r="J16" i="16" s="1" a="1"/>
  <c r="J16" i="16" s="1"/>
  <c r="J17" i="16" s="1" a="1"/>
  <c r="J17" i="16" s="1"/>
  <c r="J18" i="16" s="1" a="1"/>
  <c r="J18" i="16" s="1"/>
  <c r="K10" i="24"/>
  <c r="M10" i="24" s="1"/>
  <c r="J10" i="24"/>
  <c r="O10" i="24" s="1"/>
  <c r="I10" i="24"/>
  <c r="C40" i="21"/>
  <c r="L40" i="21"/>
  <c r="X40" i="21" a="1"/>
  <c r="X40" i="21" s="1"/>
  <c r="AA40" i="21"/>
  <c r="AC40" i="21"/>
  <c r="AD40" i="21" a="1"/>
  <c r="AD40" i="21" s="1"/>
  <c r="N48" i="34" l="1"/>
  <c r="H49" i="34" a="1"/>
  <c r="H49" i="34" s="1"/>
  <c r="O64" i="34"/>
  <c r="N10" i="24"/>
  <c r="L10" i="24"/>
  <c r="C39" i="21"/>
  <c r="L39" i="21"/>
  <c r="X39" i="21" a="1"/>
  <c r="X39" i="21" s="1"/>
  <c r="AA39" i="21"/>
  <c r="AC39" i="21"/>
  <c r="AD39" i="21" a="1"/>
  <c r="AD39" i="21" s="1"/>
  <c r="K33" i="10" a="1"/>
  <c r="K33" i="10" s="1"/>
  <c r="AE33" i="10"/>
  <c r="N49" i="34" l="1"/>
  <c r="H50" i="34" a="1"/>
  <c r="H50" i="34" s="1"/>
  <c r="O65" i="34"/>
  <c r="O66" i="34" s="1"/>
  <c r="P10" i="24"/>
  <c r="K32" i="10" a="1"/>
  <c r="K32" i="10" s="1"/>
  <c r="AE32" i="10"/>
  <c r="AB5" i="17"/>
  <c r="AC5" i="17" s="1" a="1"/>
  <c r="AC5" i="17" s="1"/>
  <c r="N50" i="34" l="1"/>
  <c r="H51" i="34" a="1"/>
  <c r="H51" i="34" s="1"/>
  <c r="O67" i="34"/>
  <c r="N51" i="34" l="1"/>
  <c r="H52" i="34" a="1"/>
  <c r="H52" i="34" s="1"/>
  <c r="O68" i="34"/>
  <c r="C38" i="21"/>
  <c r="L38" i="21"/>
  <c r="X38" i="21" a="1"/>
  <c r="X38" i="21" s="1"/>
  <c r="AA38" i="21"/>
  <c r="AC38" i="21"/>
  <c r="AD38" i="21" a="1"/>
  <c r="AD38" i="21" s="1"/>
  <c r="U38" i="9" a="1"/>
  <c r="U38" i="9" s="1"/>
  <c r="G38" i="9" s="1" a="1"/>
  <c r="G38" i="9" s="1"/>
  <c r="O69" i="34" l="1"/>
  <c r="N52" i="34"/>
  <c r="H53" i="34" a="1"/>
  <c r="H53" i="34" s="1"/>
  <c r="H54" i="34" s="1" a="1"/>
  <c r="H54" i="34" s="1"/>
  <c r="N54" i="34" s="1"/>
  <c r="K31" i="10" a="1"/>
  <c r="K31" i="10" s="1"/>
  <c r="AE31" i="10"/>
  <c r="AF31" i="10" a="1"/>
  <c r="AF31" i="10" s="1"/>
  <c r="AE30" i="10"/>
  <c r="AF30" i="10" a="1"/>
  <c r="AF30" i="10" s="1"/>
  <c r="AE29" i="10"/>
  <c r="AF29" i="10" a="1"/>
  <c r="AF29" i="10" s="1"/>
  <c r="N53" i="34" l="1"/>
  <c r="H55" i="34" a="1"/>
  <c r="H55" i="34" s="1"/>
  <c r="O70" i="34"/>
  <c r="AG31" i="10" a="1"/>
  <c r="AG31" i="10" s="1"/>
  <c r="AH31" i="10" a="1"/>
  <c r="AH31" i="10" s="1"/>
  <c r="AG30" i="10" a="1"/>
  <c r="AG30" i="10" s="1"/>
  <c r="AH30" i="10" a="1"/>
  <c r="AH30" i="10" s="1"/>
  <c r="AG29" i="10" a="1"/>
  <c r="AG29" i="10" s="1"/>
  <c r="AH29" i="10" a="1"/>
  <c r="AH29" i="10" s="1"/>
  <c r="K58" i="20" a="1"/>
  <c r="K58" i="20" s="1"/>
  <c r="AG58" i="20"/>
  <c r="C37" i="21"/>
  <c r="K37" i="21" a="1"/>
  <c r="K37" i="21" s="1"/>
  <c r="AM37" i="21" s="1"/>
  <c r="L37" i="21"/>
  <c r="X37" i="21" a="1"/>
  <c r="X37" i="21" s="1"/>
  <c r="AA37" i="21"/>
  <c r="AC37" i="21"/>
  <c r="AD37" i="21" a="1"/>
  <c r="AD37" i="21" s="1"/>
  <c r="C36" i="21"/>
  <c r="L36" i="21"/>
  <c r="X36" i="21" a="1"/>
  <c r="X36" i="21" s="1"/>
  <c r="AA36" i="21"/>
  <c r="AC36" i="21"/>
  <c r="AD36" i="21" a="1"/>
  <c r="AD36" i="21" s="1"/>
  <c r="K27" i="10" a="1"/>
  <c r="K27" i="10" s="1"/>
  <c r="K28" i="10" a="1"/>
  <c r="K28" i="10" s="1"/>
  <c r="AE27" i="10"/>
  <c r="AE28" i="10"/>
  <c r="AF27" i="10" a="1"/>
  <c r="AF27" i="10" s="1"/>
  <c r="AF28" i="10" a="1"/>
  <c r="AF28" i="10" s="1"/>
  <c r="U36" i="9" a="1"/>
  <c r="U36" i="9" s="1"/>
  <c r="G36" i="9" s="1" a="1"/>
  <c r="G36" i="9" s="1"/>
  <c r="L18" i="21"/>
  <c r="L3" i="21"/>
  <c r="L4" i="21"/>
  <c r="L5" i="21"/>
  <c r="L6" i="21"/>
  <c r="L7" i="21"/>
  <c r="L8" i="21"/>
  <c r="L9" i="21"/>
  <c r="L10" i="21"/>
  <c r="L11" i="21"/>
  <c r="L12" i="21"/>
  <c r="L13" i="21"/>
  <c r="L14" i="21"/>
  <c r="L15" i="21"/>
  <c r="L16" i="21"/>
  <c r="L17" i="21"/>
  <c r="L19" i="21"/>
  <c r="L20" i="21"/>
  <c r="L21" i="21"/>
  <c r="L22" i="21"/>
  <c r="L23" i="21"/>
  <c r="L24" i="21"/>
  <c r="L25" i="21"/>
  <c r="L26" i="21"/>
  <c r="L27" i="21"/>
  <c r="L28" i="21"/>
  <c r="L29" i="21"/>
  <c r="L30" i="21"/>
  <c r="L31" i="21"/>
  <c r="L32" i="21"/>
  <c r="L33" i="21"/>
  <c r="L34" i="21"/>
  <c r="L35" i="21"/>
  <c r="C3" i="21"/>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K219" i="28" a="1"/>
  <c r="N55" i="34" l="1"/>
  <c r="H56" i="34" a="1"/>
  <c r="H56" i="34" s="1"/>
  <c r="O71" i="34"/>
  <c r="AJ58" i="20" a="1"/>
  <c r="AJ58" i="20" s="1"/>
  <c r="AK58" i="20" a="1"/>
  <c r="AK58" i="20" s="1"/>
  <c r="AH28" i="10" a="1"/>
  <c r="AH28" i="10" s="1"/>
  <c r="AG28" i="10" a="1"/>
  <c r="AG28" i="10" s="1"/>
  <c r="AH27" i="10" a="1"/>
  <c r="AH27" i="10" s="1"/>
  <c r="AG27" i="10" a="1"/>
  <c r="AG27" i="10" s="1"/>
  <c r="K219" i="28"/>
  <c r="A3" i="17"/>
  <c r="AH62" i="22" a="1"/>
  <c r="AH62" i="22" s="1"/>
  <c r="AH63" i="22" a="1"/>
  <c r="AH63" i="22" s="1"/>
  <c r="AH64" i="22" a="1"/>
  <c r="AH64" i="22" s="1"/>
  <c r="AH65" i="22" a="1"/>
  <c r="AH65" i="22" s="1"/>
  <c r="AH66" i="22" a="1"/>
  <c r="AH66" i="22" s="1"/>
  <c r="AH67" i="22" a="1"/>
  <c r="AH67" i="22" s="1"/>
  <c r="AH68" i="22" a="1"/>
  <c r="AH68" i="22" s="1"/>
  <c r="AH69" i="22" a="1"/>
  <c r="AH69" i="22" s="1"/>
  <c r="AH70" i="22" a="1"/>
  <c r="AH70" i="22" s="1"/>
  <c r="AH71" i="22" a="1"/>
  <c r="AH71" i="22" s="1"/>
  <c r="AH72" i="22" a="1"/>
  <c r="AH72" i="22" s="1"/>
  <c r="AH73" i="22" a="1"/>
  <c r="AH73" i="22" s="1"/>
  <c r="AH74" i="22" a="1"/>
  <c r="AH74" i="22" s="1"/>
  <c r="AH75" i="22" a="1"/>
  <c r="AH75" i="22" s="1"/>
  <c r="AH76" i="22" a="1"/>
  <c r="AH76" i="22" s="1"/>
  <c r="AH77" i="22" a="1"/>
  <c r="AH77" i="22" s="1"/>
  <c r="AH78" i="22" a="1"/>
  <c r="AH78" i="22" s="1"/>
  <c r="AH79" i="22" a="1"/>
  <c r="AH79" i="22" s="1"/>
  <c r="AH80" i="22" a="1"/>
  <c r="AH80" i="22" s="1"/>
  <c r="AH81" i="22" a="1"/>
  <c r="AH81" i="22" s="1"/>
  <c r="AE26" i="10"/>
  <c r="AF26" i="10" a="1"/>
  <c r="AF26" i="10" s="1"/>
  <c r="I57" i="20" a="1"/>
  <c r="I57" i="20" s="1"/>
  <c r="K57" i="20" a="1"/>
  <c r="K57" i="20" s="1"/>
  <c r="AG57" i="20"/>
  <c r="X35" i="21" a="1"/>
  <c r="X35" i="21" s="1"/>
  <c r="AA35" i="21"/>
  <c r="AC35" i="21"/>
  <c r="AD35" i="21" a="1"/>
  <c r="AD35" i="21" s="1"/>
  <c r="I219" i="28" a="1"/>
  <c r="N56" i="34" l="1"/>
  <c r="H57" i="34" a="1"/>
  <c r="H57" i="34" s="1"/>
  <c r="I219" i="28"/>
  <c r="E219" i="28"/>
  <c r="F219" i="28"/>
  <c r="G219" i="28"/>
  <c r="AG26" i="10" a="1"/>
  <c r="AG26" i="10" s="1"/>
  <c r="AH26" i="10" a="1"/>
  <c r="AH26" i="10" s="1"/>
  <c r="AJ57" i="20" a="1"/>
  <c r="AJ57" i="20" s="1"/>
  <c r="AK57" i="20" a="1"/>
  <c r="AK57" i="20" s="1"/>
  <c r="K179" i="28" a="1"/>
  <c r="B219" i="28" a="1"/>
  <c r="K188" i="28" a="1"/>
  <c r="N57" i="34" l="1"/>
  <c r="H58" i="34" a="1"/>
  <c r="H58" i="34" s="1"/>
  <c r="O72" i="34"/>
  <c r="B219" i="28"/>
  <c r="K188" i="28"/>
  <c r="K179" i="28"/>
  <c r="I188" i="28" a="1"/>
  <c r="K90" i="28" a="1"/>
  <c r="I179" i="28" a="1"/>
  <c r="O73" i="34" l="1"/>
  <c r="N58" i="34"/>
  <c r="H59" i="34" a="1"/>
  <c r="H59" i="34" s="1"/>
  <c r="H60" i="34" s="1" a="1"/>
  <c r="H60" i="34" s="1"/>
  <c r="N60" i="34" s="1"/>
  <c r="I179" i="28"/>
  <c r="I188" i="28"/>
  <c r="F188" i="28"/>
  <c r="E188" i="28"/>
  <c r="G188" i="28"/>
  <c r="E179" i="28"/>
  <c r="F179" i="28"/>
  <c r="G179" i="28"/>
  <c r="K90" i="28"/>
  <c r="I90" i="28" a="1"/>
  <c r="B179" i="28" a="1"/>
  <c r="B188" i="28" a="1"/>
  <c r="K86" i="28" a="1"/>
  <c r="N59" i="34" l="1"/>
  <c r="H61" i="34" a="1"/>
  <c r="H61" i="34" s="1"/>
  <c r="O74" i="34"/>
  <c r="B188" i="28"/>
  <c r="B179" i="28"/>
  <c r="I90" i="28"/>
  <c r="F90" i="28"/>
  <c r="G90" i="28"/>
  <c r="E90" i="28"/>
  <c r="K86" i="28"/>
  <c r="I86" i="28" a="1"/>
  <c r="B90" i="28" a="1"/>
  <c r="H62" i="34" l="1" a="1"/>
  <c r="H62" i="34" s="1"/>
  <c r="N61" i="34"/>
  <c r="O75" i="34"/>
  <c r="B90" i="28"/>
  <c r="I86" i="28"/>
  <c r="E86" i="28"/>
  <c r="F86" i="28"/>
  <c r="G86" i="28"/>
  <c r="K34" i="21" a="1"/>
  <c r="K34" i="21" s="1"/>
  <c r="AM34" i="21" s="1"/>
  <c r="X34" i="21" a="1"/>
  <c r="X34" i="21" s="1"/>
  <c r="AA34" i="21"/>
  <c r="AC34" i="21"/>
  <c r="AD34" i="21" a="1"/>
  <c r="AD34" i="21" s="1"/>
  <c r="S34" i="9"/>
  <c r="B86" i="28" a="1"/>
  <c r="O76" i="34" l="1"/>
  <c r="N62" i="34"/>
  <c r="H63" i="34" a="1"/>
  <c r="H63" i="34" s="1"/>
  <c r="B86" i="28"/>
  <c r="K25" i="10" a="1"/>
  <c r="K25" i="10" s="1"/>
  <c r="AE25" i="10"/>
  <c r="N63" i="34" l="1"/>
  <c r="H64" i="34" a="1"/>
  <c r="H64" i="34" s="1"/>
  <c r="O77" i="34"/>
  <c r="H21" i="25" a="1"/>
  <c r="H21" i="25" s="1"/>
  <c r="I21" i="25" a="1"/>
  <c r="I21" i="25" s="1"/>
  <c r="O78" i="34" l="1"/>
  <c r="N64" i="34"/>
  <c r="H65" i="34" a="1"/>
  <c r="H65" i="34" s="1"/>
  <c r="H66" i="34" s="1" a="1"/>
  <c r="H66" i="34" s="1"/>
  <c r="N66" i="34" s="1"/>
  <c r="I56" i="20" a="1"/>
  <c r="I56" i="20" s="1"/>
  <c r="AG56" i="20"/>
  <c r="U3" i="9" a="1"/>
  <c r="U3" i="9" s="1"/>
  <c r="U4" i="9" a="1"/>
  <c r="U4" i="9" s="1"/>
  <c r="U14" i="9" a="1"/>
  <c r="U14" i="9" s="1"/>
  <c r="U15" i="9" a="1"/>
  <c r="U15" i="9" s="1"/>
  <c r="U17" i="9" a="1"/>
  <c r="U17" i="9" s="1"/>
  <c r="U21" i="9" a="1"/>
  <c r="U21" i="9" s="1"/>
  <c r="U22" i="9" a="1"/>
  <c r="U22" i="9" s="1"/>
  <c r="U23" i="9" a="1"/>
  <c r="U23" i="9" s="1"/>
  <c r="U24" i="9" a="1"/>
  <c r="U24" i="9" s="1"/>
  <c r="U29" i="9" a="1"/>
  <c r="U29" i="9" s="1"/>
  <c r="U30" i="9" a="1"/>
  <c r="U30" i="9" s="1"/>
  <c r="K3" i="20" a="1"/>
  <c r="K3" i="20" s="1"/>
  <c r="K5" i="20" a="1"/>
  <c r="K5" i="20" s="1"/>
  <c r="K6" i="20" a="1"/>
  <c r="K6" i="20" s="1"/>
  <c r="K8" i="20" a="1"/>
  <c r="K8" i="20" s="1"/>
  <c r="K9" i="20" a="1"/>
  <c r="K9" i="20" s="1"/>
  <c r="K10" i="20" a="1"/>
  <c r="K10" i="20" s="1"/>
  <c r="K11" i="20" a="1"/>
  <c r="K11" i="20" s="1"/>
  <c r="K12" i="20" a="1"/>
  <c r="K12" i="20" s="1"/>
  <c r="K13" i="20" a="1"/>
  <c r="K13" i="20" s="1"/>
  <c r="K14" i="20" a="1"/>
  <c r="K14" i="20" s="1"/>
  <c r="K15" i="20" a="1"/>
  <c r="K15" i="20" s="1"/>
  <c r="K16" i="20" a="1"/>
  <c r="K16" i="20" s="1"/>
  <c r="K17" i="20" a="1"/>
  <c r="K17" i="20" s="1"/>
  <c r="K18" i="20" a="1"/>
  <c r="K18" i="20" s="1"/>
  <c r="K19" i="20" a="1"/>
  <c r="K19" i="20" s="1"/>
  <c r="K20" i="20" a="1"/>
  <c r="K20" i="20" s="1"/>
  <c r="K21" i="20" a="1"/>
  <c r="K21" i="20" s="1"/>
  <c r="K22" i="20" a="1"/>
  <c r="K22" i="20" s="1"/>
  <c r="K23" i="20" a="1"/>
  <c r="K23" i="20" s="1"/>
  <c r="K26" i="20" a="1"/>
  <c r="K26" i="20" s="1"/>
  <c r="K27" i="20" a="1"/>
  <c r="K27" i="20" s="1"/>
  <c r="K28" i="20" a="1"/>
  <c r="K28" i="20" s="1"/>
  <c r="K29" i="20" a="1"/>
  <c r="K29" i="20" s="1"/>
  <c r="K30" i="20" a="1"/>
  <c r="K30" i="20" s="1"/>
  <c r="K31" i="20" a="1"/>
  <c r="K31" i="20" s="1"/>
  <c r="K32" i="20" a="1"/>
  <c r="K32" i="20" s="1"/>
  <c r="K33" i="20" a="1"/>
  <c r="K33" i="20" s="1"/>
  <c r="K41" i="20" a="1"/>
  <c r="K41" i="20" s="1"/>
  <c r="K42" i="20" a="1"/>
  <c r="K42" i="20" s="1"/>
  <c r="K43" i="20" a="1"/>
  <c r="K43" i="20" s="1"/>
  <c r="K44" i="20" a="1"/>
  <c r="K44" i="20" s="1"/>
  <c r="K45" i="20" a="1"/>
  <c r="K45" i="20" s="1"/>
  <c r="K46" i="20" a="1"/>
  <c r="K46" i="20" s="1"/>
  <c r="K47" i="20" a="1"/>
  <c r="K47" i="20" s="1"/>
  <c r="K48" i="20" a="1"/>
  <c r="K48" i="20" s="1"/>
  <c r="K49" i="20" a="1"/>
  <c r="K49" i="20" s="1"/>
  <c r="K50" i="20" a="1"/>
  <c r="K50" i="20" s="1"/>
  <c r="K51" i="20" a="1"/>
  <c r="K51" i="20" s="1"/>
  <c r="K52" i="20" a="1"/>
  <c r="K52" i="20" s="1"/>
  <c r="K53" i="20" a="1"/>
  <c r="K53" i="20" s="1"/>
  <c r="K54" i="20" a="1"/>
  <c r="K54" i="20" s="1"/>
  <c r="K55" i="20" a="1"/>
  <c r="K55" i="20" s="1"/>
  <c r="K3" i="10" a="1"/>
  <c r="K3" i="10" s="1"/>
  <c r="K4" i="10" a="1"/>
  <c r="K4" i="10" s="1"/>
  <c r="K5" i="10" a="1"/>
  <c r="K5" i="10" s="1"/>
  <c r="K6" i="10" a="1"/>
  <c r="K6" i="10" s="1"/>
  <c r="K7" i="10" a="1"/>
  <c r="K7" i="10" s="1"/>
  <c r="K8" i="10" a="1"/>
  <c r="K8" i="10" s="1"/>
  <c r="K9" i="10" a="1"/>
  <c r="K9" i="10" s="1"/>
  <c r="K10" i="10" a="1"/>
  <c r="K10" i="10" s="1"/>
  <c r="K11" i="10" a="1"/>
  <c r="K11" i="10" s="1"/>
  <c r="K12" i="10" a="1"/>
  <c r="K12" i="10" s="1"/>
  <c r="K13" i="10" a="1"/>
  <c r="K13" i="10" s="1"/>
  <c r="K14" i="10" a="1"/>
  <c r="K14" i="10" s="1"/>
  <c r="K15" i="10" a="1"/>
  <c r="K15" i="10" s="1"/>
  <c r="K16" i="10" a="1"/>
  <c r="K16" i="10" s="1"/>
  <c r="K17" i="10" a="1"/>
  <c r="K17" i="10" s="1"/>
  <c r="K18" i="10" a="1"/>
  <c r="K18" i="10" s="1"/>
  <c r="K19" i="10" a="1"/>
  <c r="K19" i="10" s="1"/>
  <c r="K20" i="10" a="1"/>
  <c r="K20" i="10" s="1"/>
  <c r="K21" i="10" a="1"/>
  <c r="K21" i="10" s="1"/>
  <c r="K24" i="10" a="1"/>
  <c r="K24" i="10" s="1"/>
  <c r="B3" i="14" a="1"/>
  <c r="K183" i="28" a="1"/>
  <c r="C3" i="14" a="1"/>
  <c r="K87" i="28" a="1"/>
  <c r="K89" i="28" a="1"/>
  <c r="D3" i="14" a="1"/>
  <c r="K184" i="28" a="1"/>
  <c r="O79" i="34" l="1"/>
  <c r="N65" i="34"/>
  <c r="H67" i="34" a="1"/>
  <c r="H67" i="34" s="1"/>
  <c r="K184" i="28"/>
  <c r="K183" i="28"/>
  <c r="AJ56" i="20" a="1"/>
  <c r="AJ56" i="20" s="1"/>
  <c r="AK56" i="20" a="1"/>
  <c r="AK56" i="20" s="1"/>
  <c r="D3" i="14"/>
  <c r="C3" i="14"/>
  <c r="B3" i="14"/>
  <c r="K87" i="28"/>
  <c r="K89" i="28"/>
  <c r="I183" i="28" a="1"/>
  <c r="I184" i="28" a="1"/>
  <c r="I87" i="28" a="1"/>
  <c r="I89" i="28" a="1"/>
  <c r="N67" i="34" l="1"/>
  <c r="H68" i="34" a="1"/>
  <c r="H68" i="34" s="1"/>
  <c r="O80" i="34"/>
  <c r="I89" i="28"/>
  <c r="I87" i="28"/>
  <c r="I184" i="28"/>
  <c r="I183" i="28"/>
  <c r="E184" i="28"/>
  <c r="F184" i="28"/>
  <c r="G184" i="28"/>
  <c r="E183" i="28"/>
  <c r="F183" i="28"/>
  <c r="G183" i="28"/>
  <c r="E87" i="28"/>
  <c r="F87" i="28"/>
  <c r="G87" i="28"/>
  <c r="E89" i="28"/>
  <c r="F89" i="28"/>
  <c r="G89" i="28"/>
  <c r="B89" i="28" a="1"/>
  <c r="B184" i="28" a="1"/>
  <c r="B183" i="28" a="1"/>
  <c r="B87" i="28" a="1"/>
  <c r="N68" i="34" l="1"/>
  <c r="H69" i="34" a="1"/>
  <c r="H69" i="34" s="1"/>
  <c r="B87" i="28"/>
  <c r="B183" i="28"/>
  <c r="B89" i="28"/>
  <c r="B184" i="28"/>
  <c r="K33" i="21" a="1"/>
  <c r="K33" i="21" s="1"/>
  <c r="AM33" i="21" s="1"/>
  <c r="X33" i="21" a="1"/>
  <c r="X33" i="21" s="1"/>
  <c r="AA33" i="21"/>
  <c r="AC33" i="21"/>
  <c r="AD33" i="21" a="1"/>
  <c r="AD33" i="21" s="1"/>
  <c r="K88" i="28" a="1"/>
  <c r="O81" i="34" l="1"/>
  <c r="N69" i="34"/>
  <c r="H70" i="34" a="1"/>
  <c r="H70" i="34" s="1"/>
  <c r="K88" i="28"/>
  <c r="I88" i="28" a="1"/>
  <c r="H71" i="34" l="1" a="1"/>
  <c r="H71" i="34" s="1"/>
  <c r="N70" i="34"/>
  <c r="O82" i="34"/>
  <c r="I88" i="28"/>
  <c r="E88" i="28"/>
  <c r="F88" i="28"/>
  <c r="G88" i="28"/>
  <c r="K44" i="28" a="1"/>
  <c r="K43" i="28" a="1"/>
  <c r="K41" i="28" a="1"/>
  <c r="B88" i="28" a="1"/>
  <c r="O83" i="34" l="1"/>
  <c r="N71" i="34"/>
  <c r="B88" i="28"/>
  <c r="K44" i="28"/>
  <c r="K43" i="28"/>
  <c r="K41" i="28"/>
  <c r="I43" i="28" a="1"/>
  <c r="I44" i="28" a="1"/>
  <c r="I41" i="28" a="1"/>
  <c r="O84" i="34" l="1"/>
  <c r="H72" i="34" a="1"/>
  <c r="H72" i="34" s="1"/>
  <c r="I43" i="28"/>
  <c r="I41" i="28"/>
  <c r="I44" i="28"/>
  <c r="AC17" i="3" a="1"/>
  <c r="AC17" i="3" s="1"/>
  <c r="AC27" i="3" a="1"/>
  <c r="AC27" i="3" s="1"/>
  <c r="K23" i="4"/>
  <c r="K4" i="4"/>
  <c r="K151" i="28" a="1"/>
  <c r="K260" i="28" a="1"/>
  <c r="K167" i="28" a="1"/>
  <c r="K129" i="28" a="1"/>
  <c r="K100" i="28" a="1"/>
  <c r="K81" i="28" a="1"/>
  <c r="K209" i="28" a="1"/>
  <c r="K216" i="28" a="1"/>
  <c r="K127" i="28" a="1"/>
  <c r="K145" i="28" a="1"/>
  <c r="K227" i="28" a="1"/>
  <c r="K194" i="28" a="1"/>
  <c r="K49" i="28" a="1"/>
  <c r="K149" i="28" a="1"/>
  <c r="K226" i="28" a="1"/>
  <c r="K186" i="28" a="1"/>
  <c r="K131" i="28" a="1"/>
  <c r="K45" i="28" a="1"/>
  <c r="K120" i="28" a="1"/>
  <c r="K101" i="28" a="1"/>
  <c r="K140" i="28" a="1"/>
  <c r="K118" i="28" a="1"/>
  <c r="K228" i="28" a="1"/>
  <c r="K47" i="28" a="1"/>
  <c r="K201" i="28" a="1"/>
  <c r="K210" i="28" a="1"/>
  <c r="K123" i="28" a="1"/>
  <c r="K54" i="28" a="1"/>
  <c r="K135" i="28" a="1"/>
  <c r="K206" i="28" a="1"/>
  <c r="K48" i="28" a="1"/>
  <c r="K257" i="28" a="1"/>
  <c r="K126" i="28" a="1"/>
  <c r="K83" i="28" a="1"/>
  <c r="K174" i="28" a="1"/>
  <c r="K113" i="28" a="1"/>
  <c r="K156" i="28" a="1"/>
  <c r="K144" i="28" a="1"/>
  <c r="K150" i="28" a="1"/>
  <c r="K207" i="28" a="1"/>
  <c r="K136" i="28" a="1"/>
  <c r="K102" i="28" a="1"/>
  <c r="K195" i="28" a="1"/>
  <c r="K253" i="28" a="1"/>
  <c r="K142" i="28" a="1"/>
  <c r="K256" i="28" a="1"/>
  <c r="K141" i="28" a="1"/>
  <c r="K109" i="28" a="1"/>
  <c r="K55" i="28" a="1"/>
  <c r="K78" i="28" a="1"/>
  <c r="K53" i="28" a="1"/>
  <c r="K148" i="28" a="1"/>
  <c r="K181" i="28" a="1"/>
  <c r="K196" i="28" a="1"/>
  <c r="K259" i="28" a="1"/>
  <c r="K177" i="28" a="1"/>
  <c r="K189" i="28" a="1"/>
  <c r="K84" i="28" a="1"/>
  <c r="K254" i="28" a="1"/>
  <c r="K166" i="28" a="1"/>
  <c r="K171" i="28" a="1"/>
  <c r="K116" i="28" a="1"/>
  <c r="K217" i="28" a="1"/>
  <c r="K178" i="28" a="1"/>
  <c r="K218" i="28" a="1"/>
  <c r="K117" i="28" a="1"/>
  <c r="K180" i="28" a="1"/>
  <c r="K203" i="28" a="1"/>
  <c r="K173" i="28" a="1"/>
  <c r="K98" i="28" a="1"/>
  <c r="K191" i="28" a="1"/>
  <c r="K170" i="28" a="1"/>
  <c r="K80" i="28" a="1"/>
  <c r="K92" i="28" a="1"/>
  <c r="K169" i="28" a="1"/>
  <c r="K147" i="28" a="1"/>
  <c r="K211" i="28" a="1"/>
  <c r="K79" i="28" a="1"/>
  <c r="K212" i="28" a="1"/>
  <c r="K190" i="28" a="1"/>
  <c r="K96" i="28" a="1"/>
  <c r="K134" i="28" a="1"/>
  <c r="K85" i="28" a="1"/>
  <c r="K99" i="28" a="1"/>
  <c r="K172" i="28" a="1"/>
  <c r="K46" i="28" a="1"/>
  <c r="K124" i="28" a="1"/>
  <c r="K255" i="28" a="1"/>
  <c r="K224" i="28" a="1"/>
  <c r="K52" i="28" a="1"/>
  <c r="K82" i="28" a="1"/>
  <c r="K202" i="28" a="1"/>
  <c r="K51" i="28" a="1"/>
  <c r="K137" i="28" a="1"/>
  <c r="K213" i="28" a="1"/>
  <c r="K103" i="28" a="1"/>
  <c r="K229" i="28" a="1"/>
  <c r="K198" i="28" a="1"/>
  <c r="K182" i="28" a="1"/>
  <c r="K132" i="28" a="1"/>
  <c r="K104" i="28" a="1"/>
  <c r="K192" i="28" a="1"/>
  <c r="K146" i="28" a="1"/>
  <c r="K110" i="28" a="1"/>
  <c r="K95" i="28" a="1"/>
  <c r="K225" i="28" a="1"/>
  <c r="K175" i="28" a="1"/>
  <c r="K185" i="28" a="1"/>
  <c r="K204" i="28" a="1"/>
  <c r="K111" i="28" a="1"/>
  <c r="K143" i="28" a="1"/>
  <c r="K97" i="28" a="1"/>
  <c r="K258" i="28" a="1"/>
  <c r="K77" i="28" a="1"/>
  <c r="K197" i="28" a="1"/>
  <c r="K200" i="28" a="1"/>
  <c r="K119" i="28" a="1"/>
  <c r="K139" i="28" a="1"/>
  <c r="K168" i="28" a="1"/>
  <c r="K93" i="28" a="1"/>
  <c r="K187" i="28" a="1"/>
  <c r="K50" i="28" a="1"/>
  <c r="K94" i="28" a="1"/>
  <c r="K114" i="28" a="1"/>
  <c r="K121" i="28" a="1"/>
  <c r="K208" i="28" a="1"/>
  <c r="K205" i="28" a="1"/>
  <c r="K76" i="28" a="1"/>
  <c r="K214" i="28" a="1"/>
  <c r="K138" i="28" a="1"/>
  <c r="K122" i="28" a="1"/>
  <c r="K215" i="28" a="1"/>
  <c r="K125" i="28" a="1"/>
  <c r="K130" i="28" a="1"/>
  <c r="K199" i="28" a="1"/>
  <c r="K91" i="28" a="1"/>
  <c r="N72" i="34" l="1"/>
  <c r="H73" i="34" a="1"/>
  <c r="H73" i="34" s="1"/>
  <c r="O85" i="34"/>
  <c r="AC31" i="3" a="1"/>
  <c r="AC31" i="3" s="1"/>
  <c r="AC30" i="3" a="1"/>
  <c r="AC30" i="3" s="1"/>
  <c r="K19" i="4"/>
  <c r="K9" i="4"/>
  <c r="K16" i="4"/>
  <c r="K18" i="4"/>
  <c r="K11" i="4"/>
  <c r="K21" i="4"/>
  <c r="K7" i="4"/>
  <c r="K6" i="4"/>
  <c r="K20" i="4"/>
  <c r="K10" i="4"/>
  <c r="K14" i="4"/>
  <c r="K5" i="4"/>
  <c r="K12" i="4"/>
  <c r="K17" i="4"/>
  <c r="K8" i="4"/>
  <c r="K22" i="4"/>
  <c r="K15" i="4"/>
  <c r="K13" i="4"/>
  <c r="K260" i="28"/>
  <c r="K259" i="28"/>
  <c r="K258" i="28"/>
  <c r="K257" i="28"/>
  <c r="K256" i="28"/>
  <c r="K255" i="28"/>
  <c r="K212" i="28"/>
  <c r="K254" i="28"/>
  <c r="K253" i="28"/>
  <c r="K229" i="28"/>
  <c r="K228" i="28"/>
  <c r="K227" i="28"/>
  <c r="K226" i="28"/>
  <c r="K225" i="28"/>
  <c r="K224" i="28"/>
  <c r="K218" i="28"/>
  <c r="K217" i="28"/>
  <c r="K216" i="28"/>
  <c r="K215" i="28"/>
  <c r="K214" i="28"/>
  <c r="K213" i="28"/>
  <c r="K211" i="28"/>
  <c r="K202" i="28"/>
  <c r="K210" i="28"/>
  <c r="K201" i="28"/>
  <c r="K209" i="28"/>
  <c r="K208" i="28"/>
  <c r="K200" i="28"/>
  <c r="K199" i="28"/>
  <c r="K207" i="28"/>
  <c r="K198" i="28"/>
  <c r="K203" i="28"/>
  <c r="K206" i="28"/>
  <c r="K197" i="28"/>
  <c r="K205" i="28"/>
  <c r="K196" i="28"/>
  <c r="K204" i="28"/>
  <c r="K195" i="28"/>
  <c r="K194" i="28"/>
  <c r="K192" i="28"/>
  <c r="K189" i="28"/>
  <c r="K190" i="28"/>
  <c r="K186" i="28"/>
  <c r="K185" i="28"/>
  <c r="K187" i="28"/>
  <c r="K182" i="28"/>
  <c r="K181" i="28"/>
  <c r="K191" i="28"/>
  <c r="K180" i="28"/>
  <c r="K178" i="28"/>
  <c r="K177" i="28"/>
  <c r="K175" i="28"/>
  <c r="K174" i="28"/>
  <c r="K172" i="28"/>
  <c r="K173" i="28"/>
  <c r="K171" i="28"/>
  <c r="K170" i="28"/>
  <c r="K169" i="28"/>
  <c r="K168" i="28"/>
  <c r="K167" i="28"/>
  <c r="K166" i="28"/>
  <c r="K156" i="28"/>
  <c r="K151" i="28"/>
  <c r="K150" i="28"/>
  <c r="K149" i="28"/>
  <c r="K147" i="28"/>
  <c r="K138" i="28"/>
  <c r="K146" i="28"/>
  <c r="K137" i="28"/>
  <c r="K145" i="28"/>
  <c r="K136" i="28"/>
  <c r="K144" i="28"/>
  <c r="K135" i="28"/>
  <c r="K143" i="28"/>
  <c r="K134" i="28"/>
  <c r="K142" i="28"/>
  <c r="K132" i="28"/>
  <c r="K141" i="28"/>
  <c r="K131" i="28"/>
  <c r="K148" i="28"/>
  <c r="K140" i="28"/>
  <c r="K139" i="28"/>
  <c r="K130" i="28"/>
  <c r="K129" i="28"/>
  <c r="K126" i="28"/>
  <c r="K118" i="28"/>
  <c r="K127" i="28"/>
  <c r="K117" i="28"/>
  <c r="K125" i="28"/>
  <c r="K116" i="28"/>
  <c r="K124" i="28"/>
  <c r="K119" i="28"/>
  <c r="K114" i="28"/>
  <c r="K123" i="28"/>
  <c r="K113" i="28"/>
  <c r="K122" i="28"/>
  <c r="K111" i="28"/>
  <c r="K121" i="28"/>
  <c r="K120" i="28"/>
  <c r="K110" i="28"/>
  <c r="K109" i="28"/>
  <c r="K100" i="28"/>
  <c r="K99" i="28"/>
  <c r="K98" i="28"/>
  <c r="K97" i="28"/>
  <c r="K96" i="28"/>
  <c r="K104" i="28"/>
  <c r="K95" i="28"/>
  <c r="K103" i="28"/>
  <c r="K94" i="28"/>
  <c r="K102" i="28"/>
  <c r="K101" i="28"/>
  <c r="K93" i="28"/>
  <c r="K92" i="28"/>
  <c r="K84" i="28"/>
  <c r="K83" i="28"/>
  <c r="K82" i="28"/>
  <c r="K81" i="28"/>
  <c r="K91" i="28"/>
  <c r="K80" i="28"/>
  <c r="K79" i="28"/>
  <c r="K78" i="28"/>
  <c r="K85" i="28"/>
  <c r="K77" i="28"/>
  <c r="K76" i="28"/>
  <c r="K55" i="28"/>
  <c r="K54" i="28"/>
  <c r="K53" i="28"/>
  <c r="K52" i="28"/>
  <c r="K51" i="28"/>
  <c r="K50" i="28"/>
  <c r="K49" i="28"/>
  <c r="K48" i="28"/>
  <c r="K47" i="28"/>
  <c r="K46" i="28"/>
  <c r="K45" i="28"/>
  <c r="AG55" i="20"/>
  <c r="AG54" i="20"/>
  <c r="AE24" i="10"/>
  <c r="AG52" i="20"/>
  <c r="AG53" i="20"/>
  <c r="AJ52" i="20" a="1"/>
  <c r="AJ52" i="20" s="1"/>
  <c r="I43" i="20" a="1"/>
  <c r="I43" i="20" s="1"/>
  <c r="AG43" i="20"/>
  <c r="AG44" i="20"/>
  <c r="AG45" i="20"/>
  <c r="AG46" i="20"/>
  <c r="AG47" i="20"/>
  <c r="AG48" i="20"/>
  <c r="AG49" i="20"/>
  <c r="AG50" i="20"/>
  <c r="AG51" i="20"/>
  <c r="AG41" i="20"/>
  <c r="AG42" i="20"/>
  <c r="AJ41" i="20" a="1"/>
  <c r="AJ41" i="20" s="1"/>
  <c r="I6" i="20" a="1"/>
  <c r="I6" i="20" s="1"/>
  <c r="I10" i="20" a="1"/>
  <c r="I10" i="20" s="1"/>
  <c r="I11" i="20" a="1"/>
  <c r="I11" i="20" s="1"/>
  <c r="I12" i="20" a="1"/>
  <c r="I12" i="20" s="1"/>
  <c r="I13" i="20" a="1"/>
  <c r="I13" i="20" s="1"/>
  <c r="I15" i="20" a="1"/>
  <c r="I15" i="20" s="1"/>
  <c r="I16" i="20" a="1"/>
  <c r="I16" i="20" s="1"/>
  <c r="I17" i="20" a="1"/>
  <c r="I17" i="20" s="1"/>
  <c r="I18" i="20" a="1"/>
  <c r="I18" i="20" s="1"/>
  <c r="I19" i="20" a="1"/>
  <c r="I19" i="20" s="1"/>
  <c r="I20" i="20" a="1"/>
  <c r="I20" i="20" s="1"/>
  <c r="I22" i="20" a="1"/>
  <c r="I22" i="20" s="1"/>
  <c r="I23" i="20" a="1"/>
  <c r="I23" i="20" s="1"/>
  <c r="I26" i="20" a="1"/>
  <c r="I26" i="20" s="1"/>
  <c r="I27" i="20" a="1"/>
  <c r="I27" i="20" s="1"/>
  <c r="I28" i="20" a="1"/>
  <c r="I28" i="20" s="1"/>
  <c r="I29" i="20" a="1"/>
  <c r="I29" i="20" s="1"/>
  <c r="I30" i="20" a="1"/>
  <c r="I30" i="20" s="1"/>
  <c r="I31" i="20" a="1"/>
  <c r="I31" i="20" s="1"/>
  <c r="I32" i="20" a="1"/>
  <c r="I32" i="20" s="1"/>
  <c r="V6" i="20" a="1"/>
  <c r="V6" i="20" s="1"/>
  <c r="V8" i="20" a="1"/>
  <c r="V8" i="20" s="1"/>
  <c r="V9" i="20" a="1"/>
  <c r="V9" i="20" s="1"/>
  <c r="V10" i="20" a="1"/>
  <c r="V10" i="20" s="1"/>
  <c r="V11" i="20" a="1"/>
  <c r="V11" i="20" s="1"/>
  <c r="V12" i="20" a="1"/>
  <c r="V12" i="20" s="1"/>
  <c r="V13" i="20" a="1"/>
  <c r="V13" i="20" s="1"/>
  <c r="V14" i="20" a="1"/>
  <c r="V14" i="20" s="1"/>
  <c r="V15" i="20" a="1"/>
  <c r="V15" i="20" s="1"/>
  <c r="V16" i="20" a="1"/>
  <c r="V16" i="20" s="1"/>
  <c r="V17" i="20" a="1"/>
  <c r="V17" i="20" s="1"/>
  <c r="V18" i="20" a="1"/>
  <c r="V18" i="20" s="1"/>
  <c r="V20" i="20" a="1"/>
  <c r="V20" i="20" s="1"/>
  <c r="V22" i="20" a="1"/>
  <c r="V22" i="20" s="1"/>
  <c r="V23" i="20" a="1"/>
  <c r="V23" i="20" s="1"/>
  <c r="V26" i="20" a="1"/>
  <c r="V26" i="20" s="1"/>
  <c r="V27" i="20" a="1"/>
  <c r="V27" i="20" s="1"/>
  <c r="V28" i="20" a="1"/>
  <c r="V28" i="20" s="1"/>
  <c r="V29" i="20" a="1"/>
  <c r="V29" i="20" s="1"/>
  <c r="V30" i="20" a="1"/>
  <c r="V30" i="20" s="1"/>
  <c r="V32" i="20" a="1"/>
  <c r="V32" i="20" s="1"/>
  <c r="AG8" i="20"/>
  <c r="AG9" i="20"/>
  <c r="AG12" i="20"/>
  <c r="AG15" i="20"/>
  <c r="AG16" i="20"/>
  <c r="AG21" i="20"/>
  <c r="AG22" i="20"/>
  <c r="AG24" i="20"/>
  <c r="AG25" i="20"/>
  <c r="AG26" i="20"/>
  <c r="AG29" i="20"/>
  <c r="AG33" i="20"/>
  <c r="AG35" i="20"/>
  <c r="AJ12" i="20" a="1"/>
  <c r="AJ12" i="20" s="1"/>
  <c r="AK15" i="20" a="1"/>
  <c r="AK15" i="20" s="1"/>
  <c r="AK16" i="20" a="1"/>
  <c r="AK16" i="20" s="1"/>
  <c r="AJ19" i="20" a="1"/>
  <c r="AJ19" i="20" s="1"/>
  <c r="AK21" i="20" a="1"/>
  <c r="AK21" i="20" s="1"/>
  <c r="AK24" i="20" a="1"/>
  <c r="AK24" i="20" s="1"/>
  <c r="AJ25" i="20" a="1"/>
  <c r="AJ25" i="20" s="1"/>
  <c r="AJ26" i="20" a="1"/>
  <c r="AJ26" i="20" s="1"/>
  <c r="AJ29" i="20" a="1"/>
  <c r="AJ29" i="20" s="1"/>
  <c r="AJ33" i="20" a="1"/>
  <c r="AJ33" i="20" s="1"/>
  <c r="I5" i="20" a="1"/>
  <c r="I5" i="20" s="1"/>
  <c r="V5" i="20" a="1"/>
  <c r="V5" i="20" s="1"/>
  <c r="AG5" i="20"/>
  <c r="AJ5" i="20" a="1"/>
  <c r="AJ5" i="20" s="1"/>
  <c r="H3" i="27" a="1"/>
  <c r="H3" i="27" s="1"/>
  <c r="H4" i="27" s="1" a="1"/>
  <c r="H4" i="27" s="1"/>
  <c r="I174" i="28" a="1"/>
  <c r="I205" i="28" a="1"/>
  <c r="I198" i="28" a="1"/>
  <c r="I207" i="28" a="1"/>
  <c r="I156" i="28" a="1"/>
  <c r="I123" i="28" a="1"/>
  <c r="I122" i="28" a="1"/>
  <c r="I203" i="28" a="1"/>
  <c r="I254" i="28" a="1"/>
  <c r="I226" i="28" a="1"/>
  <c r="I98" i="28" a="1"/>
  <c r="I50" i="28" a="1"/>
  <c r="I103" i="28" a="1"/>
  <c r="I140" i="28" a="1"/>
  <c r="I175" i="28" a="1"/>
  <c r="I77" i="28" a="1"/>
  <c r="C11" i="14" a="1"/>
  <c r="I223" i="28" a="1"/>
  <c r="I258" i="28" a="1"/>
  <c r="I80" i="28" a="1"/>
  <c r="I116" i="28" a="1"/>
  <c r="I215" i="28" a="1"/>
  <c r="I104" i="28" a="1"/>
  <c r="I124" i="28" a="1"/>
  <c r="I93" i="28" a="1"/>
  <c r="I94" i="28" a="1"/>
  <c r="I225" i="28" a="1"/>
  <c r="I209" i="28" a="1"/>
  <c r="I190" i="28" a="1"/>
  <c r="I142" i="28" a="1"/>
  <c r="I213" i="28" a="1"/>
  <c r="I172" i="28" a="1"/>
  <c r="I55" i="28" a="1"/>
  <c r="I216" i="28" a="1"/>
  <c r="I121" i="28" a="1"/>
  <c r="I252" i="28" a="1"/>
  <c r="I84" i="28" a="1"/>
  <c r="L182" i="28" a="1"/>
  <c r="I218" i="28" a="1"/>
  <c r="I109" i="28" a="1"/>
  <c r="I202" i="28" a="1"/>
  <c r="I227" i="28" a="1"/>
  <c r="I208" i="28" a="1"/>
  <c r="I53" i="28" a="1"/>
  <c r="A11" i="14" a="1"/>
  <c r="I127" i="28" a="1"/>
  <c r="I185" i="28" a="1"/>
  <c r="I148" i="28" a="1"/>
  <c r="I111" i="28" a="1"/>
  <c r="I165" i="28" a="1"/>
  <c r="I139" i="28" a="1"/>
  <c r="I150" i="28" a="1"/>
  <c r="I130" i="28" a="1"/>
  <c r="I199" i="28" a="1"/>
  <c r="I211" i="28" a="1"/>
  <c r="I143" i="28" a="1"/>
  <c r="I255" i="28" a="1"/>
  <c r="I120" i="28" a="1"/>
  <c r="I138" i="28" a="1"/>
  <c r="I229" i="28" a="1"/>
  <c r="I257" i="28" a="1"/>
  <c r="I117" i="28" a="1"/>
  <c r="I146" i="28" a="1"/>
  <c r="I178" i="28" a="1"/>
  <c r="I167" i="28" a="1"/>
  <c r="I151" i="28" a="1"/>
  <c r="I149" i="28" a="1"/>
  <c r="I180" i="28" a="1"/>
  <c r="I259" i="28" a="1"/>
  <c r="I186" i="28" a="1"/>
  <c r="I54" i="28" a="1"/>
  <c r="I214" i="28" a="1"/>
  <c r="I45" i="28" a="1"/>
  <c r="I200" i="28" a="1"/>
  <c r="I131" i="28" a="1"/>
  <c r="D11" i="14" a="1"/>
  <c r="I210" i="28" a="1"/>
  <c r="I51" i="28" a="1"/>
  <c r="I82" i="28" a="1"/>
  <c r="I261" i="28" a="1"/>
  <c r="I191" i="28" a="1"/>
  <c r="I147" i="28" a="1"/>
  <c r="I49" i="28" a="1"/>
  <c r="I141" i="28" a="1"/>
  <c r="I224" i="28" a="1"/>
  <c r="I260" i="28" a="1"/>
  <c r="I95" i="28" a="1"/>
  <c r="I83" i="28" a="1"/>
  <c r="I187" i="28" a="1"/>
  <c r="I76" i="28" a="1"/>
  <c r="I102" i="28" a="1"/>
  <c r="I256" i="28" a="1"/>
  <c r="I168" i="28" a="1"/>
  <c r="I171" i="28" a="1"/>
  <c r="I96" i="28" a="1"/>
  <c r="I197" i="28" a="1"/>
  <c r="I166" i="28" a="1"/>
  <c r="I137" i="28" a="1"/>
  <c r="I100" i="28" a="1"/>
  <c r="B11" i="14" a="1"/>
  <c r="I136" i="28" a="1"/>
  <c r="I105" i="28" a="1"/>
  <c r="I85" i="28" a="1"/>
  <c r="I119" i="28" a="1"/>
  <c r="I132" i="28" a="1"/>
  <c r="I114" i="28" a="1"/>
  <c r="I134" i="28" a="1"/>
  <c r="I169" i="28" a="1"/>
  <c r="I196" i="28" a="1"/>
  <c r="I204" i="28" a="1"/>
  <c r="I206" i="28" a="1"/>
  <c r="I144" i="28" a="1"/>
  <c r="I181" i="28" a="1"/>
  <c r="I228" i="28" a="1"/>
  <c r="I113" i="28" a="1"/>
  <c r="I217" i="28" a="1"/>
  <c r="I129" i="28" a="1"/>
  <c r="I126" i="28" a="1"/>
  <c r="I110" i="28" a="1"/>
  <c r="I92" i="28" a="1"/>
  <c r="I192" i="28" a="1"/>
  <c r="I177" i="28" a="1"/>
  <c r="I107" i="28" a="1"/>
  <c r="I78" i="28" a="1"/>
  <c r="I52" i="28" a="1"/>
  <c r="I48" i="28" a="1"/>
  <c r="I101" i="28" a="1"/>
  <c r="I195" i="28" a="1"/>
  <c r="I118" i="28" a="1"/>
  <c r="I47" i="28" a="1"/>
  <c r="I145" i="28" a="1"/>
  <c r="I81" i="28" a="1"/>
  <c r="I194" i="28" a="1"/>
  <c r="I173" i="28" a="1"/>
  <c r="I99" i="28" a="1"/>
  <c r="I91" i="28" a="1"/>
  <c r="I201" i="28" a="1"/>
  <c r="I46" i="28" a="1"/>
  <c r="I253" i="28" a="1"/>
  <c r="I189" i="28" a="1"/>
  <c r="I170" i="28" a="1"/>
  <c r="I135" i="28" a="1"/>
  <c r="I125" i="28" a="1"/>
  <c r="I97" i="28" a="1"/>
  <c r="I79" i="28" a="1"/>
  <c r="O86" i="34" l="1"/>
  <c r="N73" i="34"/>
  <c r="H74" i="34" a="1"/>
  <c r="H74" i="34" s="1"/>
  <c r="J28" i="29"/>
  <c r="J13" i="29"/>
  <c r="H5" i="27" a="1"/>
  <c r="H5" i="27" s="1"/>
  <c r="H6" i="27" s="1" a="1"/>
  <c r="H6" i="27" s="1"/>
  <c r="H7" i="27" s="1" a="1"/>
  <c r="H7" i="27" s="1"/>
  <c r="H8" i="27" s="1" a="1"/>
  <c r="H8" i="27" s="1"/>
  <c r="H9" i="27" s="1" a="1"/>
  <c r="H9" i="27" s="1"/>
  <c r="H10" i="27" s="1" a="1"/>
  <c r="H10" i="27" s="1"/>
  <c r="H11" i="27" s="1" a="1"/>
  <c r="H11" i="27" s="1"/>
  <c r="H12" i="27" s="1" a="1"/>
  <c r="H12" i="27" s="1"/>
  <c r="H13" i="27" s="1" a="1"/>
  <c r="H13" i="27" s="1"/>
  <c r="H14" i="27" s="1" a="1"/>
  <c r="H14" i="27" s="1"/>
  <c r="H15" i="27" s="1" a="1"/>
  <c r="H15" i="27" s="1"/>
  <c r="I209" i="28"/>
  <c r="I47" i="28"/>
  <c r="I50" i="28"/>
  <c r="I84" i="28"/>
  <c r="I109" i="28"/>
  <c r="I126" i="28"/>
  <c r="I137" i="28"/>
  <c r="I168" i="28"/>
  <c r="I186" i="28"/>
  <c r="I208" i="28"/>
  <c r="I227" i="28"/>
  <c r="I93" i="28"/>
  <c r="I120" i="28"/>
  <c r="I130" i="28"/>
  <c r="I138" i="28"/>
  <c r="I170" i="28"/>
  <c r="I189" i="28"/>
  <c r="I201" i="28"/>
  <c r="I229" i="28"/>
  <c r="I53" i="28"/>
  <c r="I101" i="28"/>
  <c r="I121" i="28"/>
  <c r="I139" i="28"/>
  <c r="I147" i="28"/>
  <c r="I171" i="28"/>
  <c r="I192" i="28"/>
  <c r="I210" i="28"/>
  <c r="I253" i="28"/>
  <c r="I54" i="28"/>
  <c r="I102" i="28"/>
  <c r="I111" i="28"/>
  <c r="I140" i="28"/>
  <c r="I149" i="28"/>
  <c r="I173" i="28"/>
  <c r="I194" i="28"/>
  <c r="I202" i="28"/>
  <c r="I254" i="28"/>
  <c r="I148" i="28"/>
  <c r="I150" i="28"/>
  <c r="I172" i="28"/>
  <c r="I195" i="28"/>
  <c r="I211" i="28"/>
  <c r="I252" i="28"/>
  <c r="I190" i="28"/>
  <c r="I122" i="28"/>
  <c r="I76" i="28"/>
  <c r="I103" i="28"/>
  <c r="I113" i="28"/>
  <c r="I131" i="28"/>
  <c r="I151" i="28"/>
  <c r="I174" i="28"/>
  <c r="I204" i="28"/>
  <c r="I213" i="28"/>
  <c r="I51" i="28"/>
  <c r="I129" i="28"/>
  <c r="I94" i="28"/>
  <c r="I77" i="28"/>
  <c r="I95" i="28"/>
  <c r="I123" i="28"/>
  <c r="I141" i="28"/>
  <c r="I156" i="28"/>
  <c r="I175" i="28"/>
  <c r="I196" i="28"/>
  <c r="I214" i="28"/>
  <c r="I255" i="28"/>
  <c r="I228" i="28"/>
  <c r="I55" i="28"/>
  <c r="I85" i="28"/>
  <c r="I104" i="28"/>
  <c r="I114" i="28"/>
  <c r="I132" i="28"/>
  <c r="I177" i="28"/>
  <c r="I205" i="28"/>
  <c r="I215" i="28"/>
  <c r="I256" i="28"/>
  <c r="I110" i="28"/>
  <c r="I78" i="28"/>
  <c r="I96" i="28"/>
  <c r="I119" i="28"/>
  <c r="I142" i="28"/>
  <c r="I178" i="28"/>
  <c r="I197" i="28"/>
  <c r="I216" i="28"/>
  <c r="I257" i="28"/>
  <c r="I79" i="28"/>
  <c r="I97" i="28"/>
  <c r="I124" i="28"/>
  <c r="I134" i="28"/>
  <c r="I180" i="28"/>
  <c r="I206" i="28"/>
  <c r="I217" i="28"/>
  <c r="I258" i="28"/>
  <c r="I80" i="28"/>
  <c r="I116" i="28"/>
  <c r="I143" i="28"/>
  <c r="I191" i="28"/>
  <c r="I203" i="28"/>
  <c r="I218" i="28"/>
  <c r="I259" i="28"/>
  <c r="I92" i="28"/>
  <c r="I146" i="28"/>
  <c r="I52" i="28"/>
  <c r="I45" i="28"/>
  <c r="I105" i="28"/>
  <c r="I46" i="28"/>
  <c r="I91" i="28"/>
  <c r="I98" i="28"/>
  <c r="I125" i="28"/>
  <c r="I135" i="28"/>
  <c r="I181" i="28"/>
  <c r="I198" i="28"/>
  <c r="I223" i="28"/>
  <c r="I260" i="28"/>
  <c r="I117" i="28"/>
  <c r="I144" i="28"/>
  <c r="I165" i="28"/>
  <c r="I207" i="28"/>
  <c r="I224" i="28"/>
  <c r="I261" i="28"/>
  <c r="I169" i="28"/>
  <c r="I107" i="28"/>
  <c r="I48" i="28"/>
  <c r="I82" i="28"/>
  <c r="I99" i="28"/>
  <c r="I127" i="28"/>
  <c r="I136" i="28"/>
  <c r="I166" i="28"/>
  <c r="I187" i="28"/>
  <c r="I199" i="28"/>
  <c r="I225" i="28"/>
  <c r="I81" i="28"/>
  <c r="I49" i="28"/>
  <c r="I83" i="28"/>
  <c r="I100" i="28"/>
  <c r="I118" i="28"/>
  <c r="I145" i="28"/>
  <c r="I167" i="28"/>
  <c r="I185" i="28"/>
  <c r="I200" i="28"/>
  <c r="I226" i="28"/>
  <c r="E194" i="28"/>
  <c r="L182" i="28"/>
  <c r="E260" i="28"/>
  <c r="F260" i="28"/>
  <c r="G260" i="28"/>
  <c r="E261" i="28"/>
  <c r="F261" i="28"/>
  <c r="G261" i="28"/>
  <c r="F225" i="28"/>
  <c r="E225" i="28"/>
  <c r="G225" i="28"/>
  <c r="E255" i="28"/>
  <c r="F255" i="28"/>
  <c r="G255" i="28"/>
  <c r="F226" i="28"/>
  <c r="G226" i="28"/>
  <c r="E226" i="28"/>
  <c r="E256" i="28"/>
  <c r="G256" i="28"/>
  <c r="F256" i="28"/>
  <c r="F227" i="28"/>
  <c r="G227" i="28"/>
  <c r="E227" i="28"/>
  <c r="F257" i="28"/>
  <c r="E257" i="28"/>
  <c r="G257" i="28"/>
  <c r="G228" i="28"/>
  <c r="F228" i="28"/>
  <c r="E228" i="28"/>
  <c r="E258" i="28"/>
  <c r="F258" i="28"/>
  <c r="G258" i="28"/>
  <c r="F229" i="28"/>
  <c r="G229" i="28"/>
  <c r="E229" i="28"/>
  <c r="E259" i="28"/>
  <c r="F259" i="28"/>
  <c r="G259" i="28"/>
  <c r="E252" i="28"/>
  <c r="F252" i="28"/>
  <c r="G252" i="28"/>
  <c r="E253" i="28"/>
  <c r="F253" i="28"/>
  <c r="G253" i="28"/>
  <c r="F254" i="28"/>
  <c r="E254" i="28"/>
  <c r="G254" i="28"/>
  <c r="E224" i="28"/>
  <c r="F224" i="28"/>
  <c r="G224" i="28"/>
  <c r="F214" i="28"/>
  <c r="E214" i="28"/>
  <c r="G214" i="28"/>
  <c r="E215" i="28"/>
  <c r="G215" i="28"/>
  <c r="F215" i="28"/>
  <c r="E216" i="28"/>
  <c r="G216" i="28"/>
  <c r="F216" i="28"/>
  <c r="E218" i="28"/>
  <c r="F218" i="28"/>
  <c r="G218" i="28"/>
  <c r="E217" i="28"/>
  <c r="G217" i="28"/>
  <c r="F217" i="28"/>
  <c r="E223" i="28"/>
  <c r="G223" i="28"/>
  <c r="F223" i="28"/>
  <c r="F194" i="28"/>
  <c r="G194" i="28"/>
  <c r="E213" i="28"/>
  <c r="F213" i="28"/>
  <c r="G213" i="28"/>
  <c r="G203" i="28"/>
  <c r="F203" i="28"/>
  <c r="E203" i="28"/>
  <c r="E195" i="28"/>
  <c r="F195" i="28"/>
  <c r="G195" i="28"/>
  <c r="G211" i="28"/>
  <c r="E211" i="28"/>
  <c r="F211" i="28"/>
  <c r="G204" i="28"/>
  <c r="E204" i="28"/>
  <c r="F204" i="28"/>
  <c r="E196" i="28"/>
  <c r="F196" i="28"/>
  <c r="G196" i="28"/>
  <c r="G205" i="28"/>
  <c r="E205" i="28"/>
  <c r="F205" i="28"/>
  <c r="E197" i="28"/>
  <c r="F197" i="28"/>
  <c r="G197" i="28"/>
  <c r="F206" i="28"/>
  <c r="G206" i="28"/>
  <c r="E206" i="28"/>
  <c r="F209" i="28"/>
  <c r="G209" i="28"/>
  <c r="E209" i="28"/>
  <c r="E212" i="28"/>
  <c r="F212" i="28"/>
  <c r="G212" i="28"/>
  <c r="E198" i="28"/>
  <c r="F198" i="28"/>
  <c r="G198" i="28"/>
  <c r="G199" i="28"/>
  <c r="F199" i="28"/>
  <c r="E199" i="28"/>
  <c r="F192" i="28"/>
  <c r="G192" i="28"/>
  <c r="E192" i="28"/>
  <c r="F207" i="28"/>
  <c r="G207" i="28"/>
  <c r="E207" i="28"/>
  <c r="F208" i="28"/>
  <c r="G208" i="28"/>
  <c r="E208" i="28"/>
  <c r="G202" i="28"/>
  <c r="E202" i="28"/>
  <c r="F202" i="28"/>
  <c r="E200" i="28"/>
  <c r="F200" i="28"/>
  <c r="G200" i="28"/>
  <c r="E210" i="28"/>
  <c r="F210" i="28"/>
  <c r="G210" i="28"/>
  <c r="G201" i="28"/>
  <c r="E201" i="28"/>
  <c r="F201" i="28"/>
  <c r="G177" i="28"/>
  <c r="F177" i="28"/>
  <c r="E177" i="28"/>
  <c r="G178" i="28"/>
  <c r="F178" i="28"/>
  <c r="E178" i="28"/>
  <c r="G180" i="28"/>
  <c r="F180" i="28"/>
  <c r="E180" i="28"/>
  <c r="F191" i="28"/>
  <c r="E191" i="28"/>
  <c r="G191" i="28"/>
  <c r="G181" i="28"/>
  <c r="F181" i="28"/>
  <c r="E181" i="28"/>
  <c r="E182" i="28"/>
  <c r="G182" i="28"/>
  <c r="F182" i="28"/>
  <c r="E187" i="28"/>
  <c r="G187" i="28"/>
  <c r="F187" i="28"/>
  <c r="E185" i="28"/>
  <c r="G185" i="28"/>
  <c r="F185" i="28"/>
  <c r="E186" i="28"/>
  <c r="F186" i="28"/>
  <c r="G186" i="28"/>
  <c r="F190" i="28"/>
  <c r="E190" i="28"/>
  <c r="G190" i="28"/>
  <c r="E189" i="28"/>
  <c r="G189" i="28"/>
  <c r="F189" i="28"/>
  <c r="E173" i="28"/>
  <c r="G173" i="28"/>
  <c r="F173" i="28"/>
  <c r="G172" i="28"/>
  <c r="E172" i="28"/>
  <c r="F172" i="28"/>
  <c r="F174" i="28"/>
  <c r="E174" i="28"/>
  <c r="G174" i="28"/>
  <c r="E175" i="28"/>
  <c r="F175" i="28"/>
  <c r="G175" i="28"/>
  <c r="G171" i="28"/>
  <c r="F171" i="28"/>
  <c r="E171" i="28"/>
  <c r="E170" i="28"/>
  <c r="G170" i="28"/>
  <c r="F170" i="28"/>
  <c r="G169" i="28"/>
  <c r="E169" i="28"/>
  <c r="F169" i="28"/>
  <c r="E160" i="28"/>
  <c r="G160" i="28"/>
  <c r="F160" i="28"/>
  <c r="E161" i="28"/>
  <c r="G161" i="28"/>
  <c r="F161" i="28"/>
  <c r="E162" i="28"/>
  <c r="G162" i="28"/>
  <c r="F162" i="28"/>
  <c r="F167" i="28"/>
  <c r="G167" i="28"/>
  <c r="E167" i="28"/>
  <c r="E163" i="28"/>
  <c r="F163" i="28"/>
  <c r="G163" i="28"/>
  <c r="E164" i="28"/>
  <c r="G164" i="28"/>
  <c r="F164" i="28"/>
  <c r="F165" i="28"/>
  <c r="E165" i="28"/>
  <c r="G165" i="28"/>
  <c r="E166" i="28"/>
  <c r="G166" i="28"/>
  <c r="F166" i="28"/>
  <c r="F168" i="28"/>
  <c r="G168" i="28"/>
  <c r="E168" i="28"/>
  <c r="E159" i="28"/>
  <c r="G159" i="28"/>
  <c r="F159" i="28"/>
  <c r="E156" i="28"/>
  <c r="G156" i="28"/>
  <c r="F156" i="28"/>
  <c r="E151" i="28"/>
  <c r="F151" i="28"/>
  <c r="G151" i="28"/>
  <c r="G150" i="28"/>
  <c r="E150" i="28"/>
  <c r="F150" i="28"/>
  <c r="G149" i="28"/>
  <c r="E149" i="28"/>
  <c r="F149" i="28"/>
  <c r="G143" i="28"/>
  <c r="F143" i="28"/>
  <c r="E143" i="28"/>
  <c r="E135" i="28"/>
  <c r="G135" i="28"/>
  <c r="F135" i="28"/>
  <c r="E129" i="28"/>
  <c r="G129" i="28"/>
  <c r="F129" i="28"/>
  <c r="G144" i="28"/>
  <c r="F144" i="28"/>
  <c r="E144" i="28"/>
  <c r="E130" i="28"/>
  <c r="F130" i="28"/>
  <c r="G130" i="28"/>
  <c r="G139" i="28"/>
  <c r="E139" i="28"/>
  <c r="F139" i="28"/>
  <c r="G140" i="28"/>
  <c r="F140" i="28"/>
  <c r="E140" i="28"/>
  <c r="E148" i="28"/>
  <c r="F148" i="28"/>
  <c r="G148" i="28"/>
  <c r="F136" i="28"/>
  <c r="G136" i="28"/>
  <c r="E136" i="28"/>
  <c r="E131" i="28"/>
  <c r="F131" i="28"/>
  <c r="G131" i="28"/>
  <c r="G145" i="28"/>
  <c r="F145" i="28"/>
  <c r="E145" i="28"/>
  <c r="G141" i="28"/>
  <c r="F141" i="28"/>
  <c r="E141" i="28"/>
  <c r="F137" i="28"/>
  <c r="E137" i="28"/>
  <c r="G137" i="28"/>
  <c r="E146" i="28"/>
  <c r="G146" i="28"/>
  <c r="F146" i="28"/>
  <c r="E132" i="28"/>
  <c r="G132" i="28"/>
  <c r="F132" i="28"/>
  <c r="G138" i="28"/>
  <c r="F138" i="28"/>
  <c r="E138" i="28"/>
  <c r="F142" i="28"/>
  <c r="E142" i="28"/>
  <c r="G142" i="28"/>
  <c r="F134" i="28"/>
  <c r="E134" i="28"/>
  <c r="G134" i="28"/>
  <c r="E147" i="28"/>
  <c r="F147" i="28"/>
  <c r="G147" i="28"/>
  <c r="E118" i="28"/>
  <c r="F118" i="28"/>
  <c r="G118" i="28"/>
  <c r="F126" i="28"/>
  <c r="G126" i="28"/>
  <c r="E126" i="28"/>
  <c r="F123" i="28"/>
  <c r="G123" i="28"/>
  <c r="E123" i="28"/>
  <c r="E109" i="28"/>
  <c r="F109" i="28"/>
  <c r="G109" i="28"/>
  <c r="E114" i="28"/>
  <c r="F114" i="28"/>
  <c r="G114" i="28"/>
  <c r="E110" i="28"/>
  <c r="F110" i="28"/>
  <c r="G110" i="28"/>
  <c r="G120" i="28"/>
  <c r="E120" i="28"/>
  <c r="F120" i="28"/>
  <c r="G119" i="28"/>
  <c r="E119" i="28"/>
  <c r="F119" i="28"/>
  <c r="F124" i="28"/>
  <c r="G124" i="28"/>
  <c r="E124" i="28"/>
  <c r="G121" i="28"/>
  <c r="F121" i="28"/>
  <c r="E121" i="28"/>
  <c r="E116" i="28"/>
  <c r="F116" i="28"/>
  <c r="G116" i="28"/>
  <c r="E111" i="28"/>
  <c r="F111" i="28"/>
  <c r="G111" i="28"/>
  <c r="F125" i="28"/>
  <c r="G125" i="28"/>
  <c r="E125" i="28"/>
  <c r="G122" i="28"/>
  <c r="E122" i="28"/>
  <c r="F122" i="28"/>
  <c r="E117" i="28"/>
  <c r="G117" i="28"/>
  <c r="F117" i="28"/>
  <c r="E113" i="28"/>
  <c r="F113" i="28"/>
  <c r="G113" i="28"/>
  <c r="E127" i="28"/>
  <c r="F127" i="28"/>
  <c r="G127" i="28"/>
  <c r="E102" i="28"/>
  <c r="F102" i="28"/>
  <c r="G102" i="28"/>
  <c r="E105" i="28"/>
  <c r="G105" i="28"/>
  <c r="F105" i="28"/>
  <c r="E107" i="28"/>
  <c r="G107" i="28"/>
  <c r="F107" i="28"/>
  <c r="F104" i="28"/>
  <c r="G104" i="28"/>
  <c r="E104" i="28"/>
  <c r="E103" i="28"/>
  <c r="G103" i="28"/>
  <c r="F103" i="28"/>
  <c r="F92" i="28"/>
  <c r="E92" i="28"/>
  <c r="G92" i="28"/>
  <c r="F93" i="28"/>
  <c r="E93" i="28"/>
  <c r="G93" i="28"/>
  <c r="G100" i="28"/>
  <c r="F100" i="28"/>
  <c r="E100" i="28"/>
  <c r="E101" i="28"/>
  <c r="G101" i="28"/>
  <c r="F101" i="28"/>
  <c r="G97" i="28"/>
  <c r="F97" i="28"/>
  <c r="E97" i="28"/>
  <c r="G98" i="28"/>
  <c r="E98" i="28"/>
  <c r="F98" i="28"/>
  <c r="F94" i="28"/>
  <c r="E94" i="28"/>
  <c r="G94" i="28"/>
  <c r="E96" i="28"/>
  <c r="G96" i="28"/>
  <c r="F96" i="28"/>
  <c r="F95" i="28"/>
  <c r="E95" i="28"/>
  <c r="G95" i="28"/>
  <c r="G99" i="28"/>
  <c r="F99" i="28"/>
  <c r="E99" i="28"/>
  <c r="E76" i="28"/>
  <c r="F76" i="28"/>
  <c r="G76" i="28"/>
  <c r="E82" i="28"/>
  <c r="G82" i="28"/>
  <c r="F82" i="28"/>
  <c r="E77" i="28"/>
  <c r="F77" i="28"/>
  <c r="G77" i="28"/>
  <c r="E85" i="28"/>
  <c r="F85" i="28"/>
  <c r="G85" i="28"/>
  <c r="F80" i="28"/>
  <c r="E80" i="28"/>
  <c r="G80" i="28"/>
  <c r="E83" i="28"/>
  <c r="F83" i="28"/>
  <c r="G83" i="28"/>
  <c r="E78" i="28"/>
  <c r="F78" i="28"/>
  <c r="G78" i="28"/>
  <c r="E91" i="28"/>
  <c r="F91" i="28"/>
  <c r="G91" i="28"/>
  <c r="E79" i="28"/>
  <c r="F79" i="28"/>
  <c r="G79" i="28"/>
  <c r="E81" i="28"/>
  <c r="F81" i="28"/>
  <c r="G81" i="28"/>
  <c r="F84" i="28"/>
  <c r="E84" i="28"/>
  <c r="G84" i="28"/>
  <c r="F43" i="28"/>
  <c r="G43" i="28"/>
  <c r="F44" i="28"/>
  <c r="G44" i="28"/>
  <c r="F45" i="28"/>
  <c r="G45" i="28"/>
  <c r="F46" i="28"/>
  <c r="G46" i="28"/>
  <c r="F47" i="28"/>
  <c r="G47" i="28"/>
  <c r="F48" i="28"/>
  <c r="G48" i="28"/>
  <c r="F49" i="28"/>
  <c r="G49" i="28"/>
  <c r="F50" i="28"/>
  <c r="G50" i="28"/>
  <c r="F51" i="28"/>
  <c r="G51" i="28"/>
  <c r="F52" i="28"/>
  <c r="G52" i="28"/>
  <c r="F53" i="28"/>
  <c r="G53" i="28"/>
  <c r="F54" i="28"/>
  <c r="G54" i="28"/>
  <c r="F41" i="28"/>
  <c r="G41" i="28"/>
  <c r="F55" i="28"/>
  <c r="G55" i="28"/>
  <c r="E50" i="28"/>
  <c r="E51" i="28"/>
  <c r="E52" i="28"/>
  <c r="E53" i="28"/>
  <c r="E54" i="28"/>
  <c r="E55" i="28"/>
  <c r="E44" i="28"/>
  <c r="E45" i="28"/>
  <c r="E46" i="28"/>
  <c r="E47" i="28"/>
  <c r="E48" i="28"/>
  <c r="E49" i="28"/>
  <c r="E43" i="28"/>
  <c r="E41" i="28"/>
  <c r="AJ55" i="20" a="1"/>
  <c r="AJ55" i="20" s="1"/>
  <c r="AK55" i="20" a="1"/>
  <c r="AK55" i="20" s="1"/>
  <c r="AK48" i="20" a="1"/>
  <c r="AK48" i="20" s="1"/>
  <c r="AJ48" i="20" a="1"/>
  <c r="AJ48" i="20" s="1"/>
  <c r="AJ16" i="20" a="1"/>
  <c r="AJ16" i="20" s="1"/>
  <c r="AJ54" i="20" a="1"/>
  <c r="AJ54" i="20" s="1"/>
  <c r="AK54" i="20" a="1"/>
  <c r="AK54" i="20" s="1"/>
  <c r="AK53" i="20" a="1"/>
  <c r="AK53" i="20" s="1"/>
  <c r="AJ53" i="20" a="1"/>
  <c r="AJ53" i="20" s="1"/>
  <c r="AK52" i="20" a="1"/>
  <c r="AK52" i="20" s="1"/>
  <c r="AK47" i="20" a="1"/>
  <c r="AK47" i="20" s="1"/>
  <c r="AJ47" i="20" a="1"/>
  <c r="AJ47" i="20" s="1"/>
  <c r="AK46" i="20" a="1"/>
  <c r="AK46" i="20" s="1"/>
  <c r="AJ46" i="20" a="1"/>
  <c r="AJ46" i="20" s="1"/>
  <c r="AJ17" i="20" a="1"/>
  <c r="AJ17" i="20" s="1"/>
  <c r="AK17" i="20" a="1"/>
  <c r="AK17" i="20" s="1"/>
  <c r="AK45" i="20" a="1"/>
  <c r="AK45" i="20" s="1"/>
  <c r="AJ45" i="20" a="1"/>
  <c r="AJ45" i="20" s="1"/>
  <c r="AJ44" i="20" a="1"/>
  <c r="AJ44" i="20" s="1"/>
  <c r="AK44" i="20" a="1"/>
  <c r="AK44" i="20" s="1"/>
  <c r="AJ43" i="20" a="1"/>
  <c r="AJ43" i="20" s="1"/>
  <c r="AK43" i="20" a="1"/>
  <c r="AK43" i="20" s="1"/>
  <c r="AJ51" i="20" a="1"/>
  <c r="AJ51" i="20" s="1"/>
  <c r="AK51" i="20" a="1"/>
  <c r="AK51" i="20" s="1"/>
  <c r="AJ50" i="20" a="1"/>
  <c r="AJ50" i="20" s="1"/>
  <c r="AK50" i="20" a="1"/>
  <c r="AK50" i="20" s="1"/>
  <c r="AJ49" i="20" a="1"/>
  <c r="AJ49" i="20" s="1"/>
  <c r="AK49" i="20" a="1"/>
  <c r="AK49" i="20" s="1"/>
  <c r="AK9" i="20" a="1"/>
  <c r="AK9" i="20" s="1"/>
  <c r="AJ9" i="20" a="1"/>
  <c r="AJ9" i="20" s="1"/>
  <c r="AK33" i="20" a="1"/>
  <c r="AK33" i="20" s="1"/>
  <c r="AK12" i="20" a="1"/>
  <c r="AK12" i="20" s="1"/>
  <c r="AJ42" i="20" a="1"/>
  <c r="AJ42" i="20" s="1"/>
  <c r="AK42" i="20" a="1"/>
  <c r="AK42" i="20" s="1"/>
  <c r="AK41" i="20" a="1"/>
  <c r="AK41" i="20" s="1"/>
  <c r="AK29" i="20" a="1"/>
  <c r="AK29" i="20" s="1"/>
  <c r="AK25" i="20" a="1"/>
  <c r="AK25" i="20" s="1"/>
  <c r="AK19" i="20" a="1"/>
  <c r="AK19" i="20" s="1"/>
  <c r="AK22" i="20" a="1"/>
  <c r="AK22" i="20" s="1"/>
  <c r="AJ22" i="20" a="1"/>
  <c r="AJ22" i="20" s="1"/>
  <c r="AK26" i="20" a="1"/>
  <c r="AK26" i="20" s="1"/>
  <c r="AK35" i="20" a="1"/>
  <c r="AK35" i="20" s="1"/>
  <c r="AJ35" i="20" a="1"/>
  <c r="AJ35" i="20" s="1"/>
  <c r="AJ28" i="20" a="1"/>
  <c r="AJ28" i="20" s="1"/>
  <c r="AK28" i="20" a="1"/>
  <c r="AK28" i="20" s="1"/>
  <c r="AJ8" i="20" a="1"/>
  <c r="AJ8" i="20" s="1"/>
  <c r="AK8" i="20" a="1"/>
  <c r="AK8" i="20" s="1"/>
  <c r="AJ24" i="20" a="1"/>
  <c r="AJ24" i="20" s="1"/>
  <c r="AJ21" i="20" a="1"/>
  <c r="AJ21" i="20" s="1"/>
  <c r="AJ15" i="20" a="1"/>
  <c r="AJ15" i="20" s="1"/>
  <c r="AK5" i="20" a="1"/>
  <c r="AK5" i="20" s="1"/>
  <c r="D11" i="14"/>
  <c r="C11" i="14"/>
  <c r="B11" i="14"/>
  <c r="A11" i="14"/>
  <c r="M12" i="24"/>
  <c r="O12" i="24"/>
  <c r="B257" i="28" a="1"/>
  <c r="B51" i="28" a="1"/>
  <c r="K28" i="29" a="1"/>
  <c r="B175" i="28" a="1"/>
  <c r="B122" i="28" a="1"/>
  <c r="B210" i="28" a="1"/>
  <c r="B105" i="28" a="1"/>
  <c r="B205" i="28" a="1"/>
  <c r="B50" i="28" a="1"/>
  <c r="B218" i="28" a="1"/>
  <c r="B213" i="28" a="1"/>
  <c r="B127" i="28" a="1"/>
  <c r="B174" i="28" a="1"/>
  <c r="B117" i="28" a="1"/>
  <c r="B119" i="28" a="1"/>
  <c r="B101" i="28" a="1"/>
  <c r="B81" i="28" a="1"/>
  <c r="B146" i="28" a="1"/>
  <c r="B202" i="28" a="1"/>
  <c r="B131" i="28" a="1"/>
  <c r="B261" i="28" a="1"/>
  <c r="B253" i="28" a="1"/>
  <c r="B223" i="28" a="1"/>
  <c r="B165" i="28" a="1"/>
  <c r="B124" i="28" a="1"/>
  <c r="B160" i="28" a="1"/>
  <c r="B161" i="28" a="1"/>
  <c r="B129" i="28" a="1"/>
  <c r="B145" i="28" a="1"/>
  <c r="B206" i="28" a="1"/>
  <c r="B198" i="28" a="1"/>
  <c r="B82" i="28" a="1"/>
  <c r="B109" i="28" a="1"/>
  <c r="B204" i="28" a="1"/>
  <c r="B120" i="28" a="1"/>
  <c r="B254" i="28" a="1"/>
  <c r="B166" i="28" a="1"/>
  <c r="B156" i="28" a="1"/>
  <c r="B41" i="28" a="1"/>
  <c r="B201" i="28" a="1"/>
  <c r="B44" i="28" a="1"/>
  <c r="B53" i="28" a="1"/>
  <c r="B123" i="28" a="1"/>
  <c r="B78" i="28" a="1"/>
  <c r="B224" i="28" a="1"/>
  <c r="B203" i="28" a="1"/>
  <c r="B48" i="28" a="1"/>
  <c r="B102" i="28" a="1"/>
  <c r="B217" i="28" a="1"/>
  <c r="B80" i="28" a="1"/>
  <c r="B215" i="28" a="1"/>
  <c r="B226" i="28" a="1"/>
  <c r="K13" i="29" a="1"/>
  <c r="B171" i="28" a="1"/>
  <c r="B118" i="28" a="1"/>
  <c r="B149" i="28" a="1"/>
  <c r="B142" i="28" a="1"/>
  <c r="B52" i="28" a="1"/>
  <c r="B114" i="28" a="1"/>
  <c r="B92" i="28" a="1"/>
  <c r="B147" i="28" a="1"/>
  <c r="B228" i="28" a="1"/>
  <c r="B178" i="28" a="1"/>
  <c r="B195" i="28" a="1"/>
  <c r="B125" i="28" a="1"/>
  <c r="B47" i="28" a="1"/>
  <c r="B167" i="28" a="1"/>
  <c r="B76" i="28" a="1"/>
  <c r="B170" i="28" a="1"/>
  <c r="B103" i="28" a="1"/>
  <c r="B197" i="28" a="1"/>
  <c r="B211" i="28" a="1"/>
  <c r="B186" i="28" a="1"/>
  <c r="B259" i="28" a="1"/>
  <c r="B143" i="28" a="1"/>
  <c r="B107" i="28" a="1"/>
  <c r="B196" i="28" a="1"/>
  <c r="B94" i="28" a="1"/>
  <c r="B121" i="28" a="1"/>
  <c r="B104" i="28" a="1"/>
  <c r="B163" i="28" a="1"/>
  <c r="B141" i="28" a="1"/>
  <c r="B169" i="28" a="1"/>
  <c r="B130" i="28" a="1"/>
  <c r="B159" i="28" a="1"/>
  <c r="B216" i="28" a="1"/>
  <c r="B113" i="28" a="1"/>
  <c r="B43" i="28" a="1"/>
  <c r="B100" i="28" a="1"/>
  <c r="B99" i="28" a="1"/>
  <c r="B98" i="28" a="1"/>
  <c r="B45" i="28" a="1"/>
  <c r="B138" i="28" a="1"/>
  <c r="B191" i="28" a="1"/>
  <c r="B84" i="28" a="1"/>
  <c r="B135" i="28" a="1"/>
  <c r="B177" i="28" a="1"/>
  <c r="B46" i="28" a="1"/>
  <c r="B93" i="28" a="1"/>
  <c r="B192" i="28" a="1"/>
  <c r="B97" i="28" a="1"/>
  <c r="B189" i="28" a="1"/>
  <c r="B200" i="28" a="1"/>
  <c r="B199" i="28" a="1"/>
  <c r="B187" i="28" a="1"/>
  <c r="B91" i="28" a="1"/>
  <c r="B85" i="28" a="1"/>
  <c r="B225" i="28" a="1"/>
  <c r="B164" i="28" a="1"/>
  <c r="B258" i="28" a="1"/>
  <c r="B137" i="28" a="1"/>
  <c r="B140" i="28" a="1"/>
  <c r="B207" i="28" a="1"/>
  <c r="B49" i="28" a="1"/>
  <c r="B79" i="28" a="1"/>
  <c r="B180" i="28" a="1"/>
  <c r="B168" i="28" a="1"/>
  <c r="B116" i="28" a="1"/>
  <c r="B126" i="28" a="1"/>
  <c r="B150" i="28" a="1"/>
  <c r="B190" i="28" a="1"/>
  <c r="B255" i="28" a="1"/>
  <c r="B185" i="28" a="1"/>
  <c r="B172" i="28" a="1"/>
  <c r="B139" i="28" a="1"/>
  <c r="B96" i="28" a="1"/>
  <c r="B229" i="28" a="1"/>
  <c r="B260" i="28" a="1"/>
  <c r="B214" i="28" a="1"/>
  <c r="B110" i="28" a="1"/>
  <c r="B181" i="28" a="1"/>
  <c r="B144" i="28" a="1"/>
  <c r="B134" i="28" a="1"/>
  <c r="B77" i="28" a="1"/>
  <c r="B132" i="28" a="1"/>
  <c r="B55" i="28" a="1"/>
  <c r="B227" i="28" a="1"/>
  <c r="I182" i="28" a="1"/>
  <c r="B173" i="28" a="1"/>
  <c r="B151" i="28" a="1"/>
  <c r="B209" i="28" a="1"/>
  <c r="B162" i="28" a="1"/>
  <c r="B148" i="28" a="1"/>
  <c r="B83" i="28" a="1"/>
  <c r="B136" i="28" a="1"/>
  <c r="B95" i="28" a="1"/>
  <c r="B256" i="28" a="1"/>
  <c r="B54" i="28" a="1"/>
  <c r="B111" i="28" a="1"/>
  <c r="B208" i="28" a="1"/>
  <c r="B194" i="28" a="1"/>
  <c r="O1" i="9" l="1" a="1"/>
  <c r="O1" i="9" s="1"/>
  <c r="N74" i="34"/>
  <c r="H75" i="34" a="1"/>
  <c r="H75" i="34" s="1"/>
  <c r="O87" i="34"/>
  <c r="G1" i="10" a="1"/>
  <c r="G1" i="10" s="1"/>
  <c r="E1" i="20" a="1"/>
  <c r="E1" i="20" s="1"/>
  <c r="K13" i="29"/>
  <c r="L13" i="29" s="1" a="1"/>
  <c r="L13" i="29" s="1"/>
  <c r="K28" i="29"/>
  <c r="L28" i="29" s="1" a="1"/>
  <c r="L28" i="29" s="1"/>
  <c r="H16" i="22" a="1"/>
  <c r="H16" i="22" s="1"/>
  <c r="J16" i="22" a="1"/>
  <c r="J16" i="22" s="1"/>
  <c r="I16" i="22" a="1"/>
  <c r="I16" i="22" s="1"/>
  <c r="H41" i="28" a="1"/>
  <c r="H41" i="28" s="1"/>
  <c r="H42" i="28" s="1" a="1"/>
  <c r="H42" i="28" s="1"/>
  <c r="H43" i="28" s="1" a="1"/>
  <c r="H43" i="28" s="1"/>
  <c r="H44" i="28" s="1" a="1"/>
  <c r="H44" i="28" s="1"/>
  <c r="H45" i="28" s="1" a="1"/>
  <c r="H45" i="28" s="1"/>
  <c r="H46" i="28" s="1" a="1"/>
  <c r="H46" i="28" s="1"/>
  <c r="H47" i="28" s="1" a="1"/>
  <c r="H47" i="28" s="1"/>
  <c r="H48" i="28" s="1" a="1"/>
  <c r="H48" i="28" s="1"/>
  <c r="H49" i="28" s="1" a="1"/>
  <c r="H49" i="28" s="1"/>
  <c r="H50" i="28" s="1" a="1"/>
  <c r="H50" i="28" s="1"/>
  <c r="H51" i="28" s="1" a="1"/>
  <c r="H51" i="28" s="1"/>
  <c r="H52" i="28" s="1" a="1"/>
  <c r="H52" i="28" s="1"/>
  <c r="H53" i="28" s="1" a="1"/>
  <c r="H53" i="28" s="1"/>
  <c r="H54" i="28" s="1" a="1"/>
  <c r="H54" i="28" s="1"/>
  <c r="H55" i="28" s="1" a="1"/>
  <c r="H55" i="28" s="1"/>
  <c r="H56" i="28" s="1" a="1"/>
  <c r="H56" i="28" s="1"/>
  <c r="H57" i="28" s="1" a="1"/>
  <c r="H57" i="28" s="1"/>
  <c r="H58" i="28" s="1" a="1"/>
  <c r="H58" i="28" s="1"/>
  <c r="H59" i="28" s="1" a="1"/>
  <c r="H59" i="28" s="1"/>
  <c r="H60" i="28" s="1" a="1"/>
  <c r="H60" i="28" s="1"/>
  <c r="H61" i="28" s="1" a="1"/>
  <c r="H61" i="28" s="1"/>
  <c r="H62" i="28" s="1" a="1"/>
  <c r="H62" i="28" s="1"/>
  <c r="H63" i="28" s="1" a="1"/>
  <c r="H63" i="28" s="1"/>
  <c r="H64" i="28" s="1" a="1"/>
  <c r="H64" i="28" s="1"/>
  <c r="H65" i="28" s="1" a="1"/>
  <c r="H65" i="28" s="1"/>
  <c r="H66" i="28" s="1" a="1"/>
  <c r="H66" i="28" s="1"/>
  <c r="H67" i="28" s="1" a="1"/>
  <c r="H67" i="28" s="1"/>
  <c r="H68" i="28" s="1" a="1"/>
  <c r="H68" i="28" s="1"/>
  <c r="H69" i="28" s="1" a="1"/>
  <c r="H69" i="28" s="1"/>
  <c r="H70" i="28" s="1" a="1"/>
  <c r="H70" i="28" s="1"/>
  <c r="H71" i="28" s="1" a="1"/>
  <c r="H71" i="28" s="1"/>
  <c r="H72" i="28" s="1" a="1"/>
  <c r="H72" i="28" s="1"/>
  <c r="H73" i="28" s="1" a="1"/>
  <c r="H73" i="28" s="1"/>
  <c r="H74" i="28" s="1" a="1"/>
  <c r="H74" i="28" s="1"/>
  <c r="H75" i="28" s="1" a="1"/>
  <c r="H75" i="28" s="1"/>
  <c r="H76" i="28" s="1" a="1"/>
  <c r="H76" i="28" s="1"/>
  <c r="H77" i="28" s="1" a="1"/>
  <c r="H77" i="28" s="1"/>
  <c r="H78" i="28" s="1" a="1"/>
  <c r="H78" i="28" s="1"/>
  <c r="H79" i="28" s="1" a="1"/>
  <c r="H79" i="28" s="1"/>
  <c r="H80" i="28" s="1" a="1"/>
  <c r="H80" i="28" s="1"/>
  <c r="H81" i="28" s="1" a="1"/>
  <c r="H81" i="28" s="1"/>
  <c r="H82" i="28" s="1" a="1"/>
  <c r="H82" i="28" s="1"/>
  <c r="H83" i="28" s="1" a="1"/>
  <c r="H83" i="28" s="1"/>
  <c r="H84" i="28" s="1" a="1"/>
  <c r="H84" i="28" s="1"/>
  <c r="H85" i="28" s="1" a="1"/>
  <c r="H85" i="28" s="1"/>
  <c r="H86" i="28" s="1" a="1"/>
  <c r="H86" i="28" s="1"/>
  <c r="H87" i="28" s="1" a="1"/>
  <c r="H87" i="28" s="1"/>
  <c r="H88" i="28" s="1" a="1"/>
  <c r="H88" i="28" s="1"/>
  <c r="H89" i="28" s="1" a="1"/>
  <c r="H89" i="28" s="1"/>
  <c r="H90" i="28" s="1" a="1"/>
  <c r="H90" i="28" s="1"/>
  <c r="H91" i="28" s="1" a="1"/>
  <c r="H91" i="28" s="1"/>
  <c r="H92" i="28" s="1" a="1"/>
  <c r="H92" i="28" s="1"/>
  <c r="H93" i="28" s="1" a="1"/>
  <c r="H93" i="28" s="1"/>
  <c r="H94" i="28" s="1" a="1"/>
  <c r="H94" i="28" s="1"/>
  <c r="H95" i="28" s="1" a="1"/>
  <c r="H95" i="28" s="1"/>
  <c r="H96" i="28" s="1" a="1"/>
  <c r="H96" i="28" s="1"/>
  <c r="H97" i="28" s="1" a="1"/>
  <c r="H97" i="28" s="1"/>
  <c r="H98" i="28" s="1" a="1"/>
  <c r="H98" i="28" s="1"/>
  <c r="H99" i="28" s="1" a="1"/>
  <c r="H99" i="28" s="1"/>
  <c r="H100" i="28" s="1" a="1"/>
  <c r="H100" i="28" s="1"/>
  <c r="H101" i="28" s="1" a="1"/>
  <c r="H101" i="28" s="1"/>
  <c r="H102" i="28" s="1" a="1"/>
  <c r="H102" i="28" s="1"/>
  <c r="H103" i="28" s="1" a="1"/>
  <c r="H103" i="28" s="1"/>
  <c r="H104" i="28" s="1" a="1"/>
  <c r="H104" i="28" s="1"/>
  <c r="H105" i="28" s="1" a="1"/>
  <c r="H105" i="28" s="1"/>
  <c r="A25" i="16" a="1"/>
  <c r="A25" i="16" s="1"/>
  <c r="BF1" i="4" a="1"/>
  <c r="BF1" i="4" s="1"/>
  <c r="F58" i="29" s="1"/>
  <c r="M1" i="9" a="1"/>
  <c r="M1" i="9" s="1"/>
  <c r="E1" i="12" a="1"/>
  <c r="E1" i="12" s="1"/>
  <c r="D1" i="12" a="1"/>
  <c r="D1" i="12" s="1"/>
  <c r="F1" i="12" a="1"/>
  <c r="F1" i="12" s="1"/>
  <c r="G1" i="12" a="1"/>
  <c r="G1" i="12" s="1"/>
  <c r="D1" i="10" a="1"/>
  <c r="D1" i="10" s="1"/>
  <c r="I182" i="28"/>
  <c r="G1" i="21" s="1" a="1"/>
  <c r="G1" i="21" s="1"/>
  <c r="A1" i="32" a="1"/>
  <c r="A1" i="32" s="1"/>
  <c r="B212" i="28" a="1"/>
  <c r="B212" i="28" s="1"/>
  <c r="B182" i="28" a="1"/>
  <c r="B182" i="28" s="1"/>
  <c r="B45" i="28"/>
  <c r="B192" i="28"/>
  <c r="B224" i="28"/>
  <c r="B194" i="28"/>
  <c r="B130" i="28"/>
  <c r="B162" i="28"/>
  <c r="B190" i="28"/>
  <c r="B217" i="28"/>
  <c r="B92" i="28"/>
  <c r="B144" i="28"/>
  <c r="B254" i="28"/>
  <c r="B258" i="28"/>
  <c r="B102" i="28"/>
  <c r="B78" i="28"/>
  <c r="B98" i="28"/>
  <c r="B131" i="28"/>
  <c r="B150" i="28"/>
  <c r="B166" i="28"/>
  <c r="B54" i="28"/>
  <c r="B111" i="28"/>
  <c r="B132" i="28"/>
  <c r="B136" i="28"/>
  <c r="B175" i="28"/>
  <c r="B191" i="28"/>
  <c r="B210" i="28"/>
  <c r="B199" i="28"/>
  <c r="B195" i="28"/>
  <c r="B228" i="28"/>
  <c r="B55" i="28"/>
  <c r="B53" i="28"/>
  <c r="B76" i="28"/>
  <c r="B97" i="28"/>
  <c r="B127" i="28"/>
  <c r="B118" i="28"/>
  <c r="B165" i="28"/>
  <c r="B161" i="28"/>
  <c r="B197" i="28"/>
  <c r="B203" i="28"/>
  <c r="B218" i="28"/>
  <c r="B255" i="28"/>
  <c r="B84" i="28"/>
  <c r="B83" i="28"/>
  <c r="B99" i="28"/>
  <c r="B103" i="28"/>
  <c r="B110" i="28"/>
  <c r="B174" i="28"/>
  <c r="B186" i="28"/>
  <c r="B180" i="28"/>
  <c r="B44" i="28"/>
  <c r="B82" i="28"/>
  <c r="B120" i="28"/>
  <c r="B52" i="28"/>
  <c r="B51" i="28"/>
  <c r="B104" i="28"/>
  <c r="B116" i="28"/>
  <c r="B146" i="28"/>
  <c r="B151" i="28"/>
  <c r="B200" i="28"/>
  <c r="B205" i="28"/>
  <c r="B253" i="28"/>
  <c r="B225" i="28"/>
  <c r="B50" i="28"/>
  <c r="B113" i="28"/>
  <c r="B121" i="28"/>
  <c r="B147" i="28"/>
  <c r="B129" i="28"/>
  <c r="B160" i="28"/>
  <c r="B216" i="28"/>
  <c r="B257" i="28"/>
  <c r="B80" i="28"/>
  <c r="B114" i="28"/>
  <c r="B137" i="28"/>
  <c r="B148" i="28"/>
  <c r="B164" i="28"/>
  <c r="B172" i="28"/>
  <c r="B185" i="28"/>
  <c r="B178" i="28"/>
  <c r="B202" i="28"/>
  <c r="B198" i="28"/>
  <c r="B81" i="28"/>
  <c r="B95" i="28"/>
  <c r="B101" i="28"/>
  <c r="B134" i="28"/>
  <c r="B140" i="28"/>
  <c r="B156" i="28"/>
  <c r="B169" i="28"/>
  <c r="B213" i="28"/>
  <c r="B227" i="28"/>
  <c r="B117" i="28"/>
  <c r="B141" i="28"/>
  <c r="B135" i="28"/>
  <c r="B208" i="28"/>
  <c r="B196" i="28"/>
  <c r="B215" i="28"/>
  <c r="B261" i="28"/>
  <c r="B143" i="28"/>
  <c r="B163" i="28"/>
  <c r="B187" i="28"/>
  <c r="B177" i="28"/>
  <c r="B43" i="28"/>
  <c r="B85" i="28"/>
  <c r="B107" i="28"/>
  <c r="B109" i="28"/>
  <c r="B49" i="28"/>
  <c r="B79" i="28"/>
  <c r="B122" i="28"/>
  <c r="B123" i="28"/>
  <c r="B142" i="28"/>
  <c r="B159" i="28"/>
  <c r="B167" i="28"/>
  <c r="B173" i="28"/>
  <c r="B209" i="28"/>
  <c r="B204" i="28"/>
  <c r="B214" i="28"/>
  <c r="B259" i="28"/>
  <c r="B96" i="28"/>
  <c r="B145" i="28"/>
  <c r="B139" i="28"/>
  <c r="B168" i="28"/>
  <c r="B170" i="28"/>
  <c r="B207" i="28"/>
  <c r="B229" i="28"/>
  <c r="B260" i="28"/>
  <c r="B41" i="28"/>
  <c r="B93" i="28"/>
  <c r="B223" i="28"/>
  <c r="B256" i="28"/>
  <c r="B100" i="28"/>
  <c r="B124" i="28"/>
  <c r="B48" i="28"/>
  <c r="B47" i="28"/>
  <c r="B77" i="28"/>
  <c r="B105" i="28"/>
  <c r="B125" i="28"/>
  <c r="B119" i="28"/>
  <c r="B138" i="28"/>
  <c r="B171" i="28"/>
  <c r="B46" i="28"/>
  <c r="B91" i="28"/>
  <c r="B94" i="28"/>
  <c r="B126" i="28"/>
  <c r="B149" i="28"/>
  <c r="B189" i="28"/>
  <c r="B181" i="28"/>
  <c r="B201" i="28"/>
  <c r="B206" i="28"/>
  <c r="B211" i="28"/>
  <c r="B226" i="28"/>
  <c r="B252" i="28" a="1"/>
  <c r="B252" i="28" s="1"/>
  <c r="K16" i="22" a="1"/>
  <c r="K16" i="22" s="1"/>
  <c r="A14" i="16" a="1"/>
  <c r="A14" i="16" s="1"/>
  <c r="BK1" i="4" a="1"/>
  <c r="BK1" i="4" s="1"/>
  <c r="BI1" i="4" a="1"/>
  <c r="BI1" i="4" s="1"/>
  <c r="A21" i="31" a="1"/>
  <c r="A21" i="31" s="1"/>
  <c r="A16" i="31" a="1"/>
  <c r="A16" i="31" s="1"/>
  <c r="A11" i="31" a="1"/>
  <c r="A11" i="31" s="1"/>
  <c r="A6" i="31" a="1"/>
  <c r="A6" i="31" s="1"/>
  <c r="A1" i="31" a="1"/>
  <c r="A1" i="31" s="1"/>
  <c r="B5" i="30" a="1"/>
  <c r="B5" i="30" s="1"/>
  <c r="C5" i="30" a="1"/>
  <c r="C5" i="30" s="1"/>
  <c r="BA1" i="4" a="1"/>
  <c r="BA1" i="4" s="1"/>
  <c r="B1" i="24" a="1"/>
  <c r="B1" i="24" s="1"/>
  <c r="C1" i="24" a="1"/>
  <c r="C1" i="24" s="1"/>
  <c r="D1" i="24" a="1"/>
  <c r="D1" i="24" s="1"/>
  <c r="E1" i="24" a="1"/>
  <c r="E1" i="24" s="1"/>
  <c r="F1" i="24" a="1"/>
  <c r="F1" i="24" s="1"/>
  <c r="G1" i="24" a="1"/>
  <c r="G1" i="24" s="1"/>
  <c r="A1" i="24" a="1"/>
  <c r="A1" i="24" s="1"/>
  <c r="B16" i="14" a="1"/>
  <c r="B16" i="14" s="1"/>
  <c r="B18" i="14" a="1"/>
  <c r="B18" i="14" s="1"/>
  <c r="A18" i="14" a="1"/>
  <c r="A18" i="14" s="1"/>
  <c r="B1" i="27" a="1"/>
  <c r="B1" i="27" s="1"/>
  <c r="C1" i="27" a="1"/>
  <c r="C1" i="27" s="1"/>
  <c r="E1" i="27" a="1"/>
  <c r="E1" i="27" s="1"/>
  <c r="F1" i="27" a="1"/>
  <c r="F1" i="27" s="1"/>
  <c r="D1" i="27" a="1"/>
  <c r="D1" i="27" s="1"/>
  <c r="A1" i="27" a="1"/>
  <c r="A1" i="27" s="1"/>
  <c r="B16" i="22" a="1"/>
  <c r="B16" i="22" s="1"/>
  <c r="C16" i="22" a="1"/>
  <c r="C16" i="22" s="1"/>
  <c r="D16" i="22" a="1"/>
  <c r="D16" i="22" s="1"/>
  <c r="E16" i="22" a="1"/>
  <c r="E16" i="22" s="1"/>
  <c r="F16" i="22" a="1"/>
  <c r="F16" i="22" s="1"/>
  <c r="G16" i="22" a="1"/>
  <c r="G16" i="22" s="1"/>
  <c r="A16" i="22" a="1"/>
  <c r="A16" i="22" s="1"/>
  <c r="D3" i="17" a="1"/>
  <c r="D3" i="17" s="1"/>
  <c r="L3" i="17" a="1"/>
  <c r="L3" i="17" s="1"/>
  <c r="T3" i="17" a="1"/>
  <c r="T3" i="17" s="1"/>
  <c r="M3" i="17" a="1"/>
  <c r="M3" i="17" s="1"/>
  <c r="E3" i="17" a="1"/>
  <c r="E3" i="17" s="1"/>
  <c r="N3" i="17" a="1"/>
  <c r="N3" i="17" s="1"/>
  <c r="F3" i="17" a="1"/>
  <c r="F3" i="17" s="1"/>
  <c r="O3" i="17" a="1"/>
  <c r="O3" i="17" s="1"/>
  <c r="G3" i="17" a="1"/>
  <c r="G3" i="17" s="1"/>
  <c r="P3" i="17" a="1"/>
  <c r="P3" i="17" s="1"/>
  <c r="H3" i="17" a="1"/>
  <c r="H3" i="17" s="1"/>
  <c r="Q3" i="17" a="1"/>
  <c r="Q3" i="17" s="1"/>
  <c r="I3" i="17" a="1"/>
  <c r="I3" i="17" s="1"/>
  <c r="J3" i="17" a="1"/>
  <c r="J3" i="17" s="1"/>
  <c r="S3" i="17" a="1"/>
  <c r="S3" i="17" s="1"/>
  <c r="R3" i="17" a="1"/>
  <c r="R3" i="17" s="1"/>
  <c r="K3" i="17" a="1"/>
  <c r="K3" i="17" s="1"/>
  <c r="C1" i="17" a="1"/>
  <c r="C1" i="17" s="1"/>
  <c r="C3" i="17" a="1"/>
  <c r="C3" i="17" s="1"/>
  <c r="A1" i="17" a="1"/>
  <c r="A1" i="17" s="1"/>
  <c r="AQ1" i="4" a="1"/>
  <c r="AQ1" i="4" s="1"/>
  <c r="AH1" i="4" a="1"/>
  <c r="AH1" i="4" s="1"/>
  <c r="Y1" i="4" a="1"/>
  <c r="Y1" i="4" s="1"/>
  <c r="C1" i="4" a="1"/>
  <c r="C1" i="4" s="1"/>
  <c r="E1" i="4" a="1"/>
  <c r="E1" i="4" s="1"/>
  <c r="V1" i="4" a="1"/>
  <c r="V1" i="4" s="1"/>
  <c r="AE1" i="4" a="1"/>
  <c r="AE1" i="4" s="1"/>
  <c r="Q1" i="4" a="1"/>
  <c r="Q1" i="4" s="1"/>
  <c r="O1" i="4" a="1"/>
  <c r="O1" i="4" s="1"/>
  <c r="AO1" i="4" a="1"/>
  <c r="AO1" i="4" s="1"/>
  <c r="T1" i="4" a="1"/>
  <c r="T1" i="4" s="1"/>
  <c r="AU1" i="4" a="1"/>
  <c r="AU1" i="4" s="1"/>
  <c r="AW1" i="4" a="1"/>
  <c r="AW1" i="4" s="1"/>
  <c r="AY1" i="4" a="1"/>
  <c r="AY1" i="4" s="1"/>
  <c r="M1" i="4" a="1"/>
  <c r="M1" i="4" s="1"/>
  <c r="B17" i="19" s="1"/>
  <c r="G1" i="4" a="1"/>
  <c r="G1" i="4" s="1"/>
  <c r="J16" i="29" s="1"/>
  <c r="A1" i="4" a="1"/>
  <c r="A1" i="4" s="1"/>
  <c r="B1" i="29" a="1"/>
  <c r="B1" i="29" s="1"/>
  <c r="I1" i="29" a="1"/>
  <c r="I1" i="29" s="1"/>
  <c r="C1" i="29" a="1"/>
  <c r="C1" i="29" s="1"/>
  <c r="J1" i="29" a="1"/>
  <c r="J1" i="29" s="1"/>
  <c r="D1" i="29" a="1"/>
  <c r="D1" i="29" s="1"/>
  <c r="E1" i="29" a="1"/>
  <c r="E1" i="29" s="1"/>
  <c r="L1" i="29" a="1"/>
  <c r="L1" i="29" s="1"/>
  <c r="M1" i="29" a="1"/>
  <c r="M1" i="29" s="1"/>
  <c r="F1" i="29" a="1"/>
  <c r="F1" i="29" s="1"/>
  <c r="G1" i="29" a="1"/>
  <c r="G1" i="29" s="1"/>
  <c r="K1" i="29" a="1"/>
  <c r="K1" i="29" s="1"/>
  <c r="N1" i="29" a="1"/>
  <c r="N1" i="29" s="1"/>
  <c r="H1" i="29" a="1"/>
  <c r="H1" i="29" s="1"/>
  <c r="A1" i="29" a="1"/>
  <c r="A1" i="29" s="1"/>
  <c r="B1" i="25" a="1"/>
  <c r="B1" i="25" s="1"/>
  <c r="J1" i="25" a="1"/>
  <c r="J1" i="25" s="1"/>
  <c r="K1" i="25" a="1"/>
  <c r="K1" i="25" s="1"/>
  <c r="C1" i="25" a="1"/>
  <c r="C1" i="25" s="1"/>
  <c r="L1" i="25" a="1"/>
  <c r="L1" i="25" s="1"/>
  <c r="D1" i="25" a="1"/>
  <c r="D1" i="25" s="1"/>
  <c r="M1" i="25" a="1"/>
  <c r="M1" i="25" s="1"/>
  <c r="E1" i="25" a="1"/>
  <c r="E1" i="25" s="1"/>
  <c r="I1" i="25" a="1"/>
  <c r="I1" i="25" s="1"/>
  <c r="N1" i="25" a="1"/>
  <c r="N1" i="25" s="1"/>
  <c r="F1" i="25" a="1"/>
  <c r="F1" i="25" s="1"/>
  <c r="O1" i="25" a="1"/>
  <c r="O1" i="25" s="1"/>
  <c r="G1" i="25" a="1"/>
  <c r="G1" i="25" s="1"/>
  <c r="P1" i="25" a="1"/>
  <c r="P1" i="25" s="1"/>
  <c r="H1" i="25" a="1"/>
  <c r="H1" i="25" s="1"/>
  <c r="A1" i="25" a="1"/>
  <c r="A1" i="25" s="1"/>
  <c r="B1" i="9" a="1"/>
  <c r="B1" i="9" s="1"/>
  <c r="K1" i="9" a="1"/>
  <c r="K1" i="9" s="1"/>
  <c r="C1" i="9" a="1"/>
  <c r="C1" i="9" s="1"/>
  <c r="L1" i="9" a="1"/>
  <c r="L1" i="9" s="1"/>
  <c r="D1" i="9" a="1"/>
  <c r="D1" i="9" s="1"/>
  <c r="N1" i="9" a="1"/>
  <c r="N1" i="9" s="1"/>
  <c r="E1" i="9" a="1"/>
  <c r="E1" i="9" s="1"/>
  <c r="P1" i="9" a="1"/>
  <c r="P1" i="9" s="1"/>
  <c r="F1" i="9" a="1"/>
  <c r="F1" i="9" s="1"/>
  <c r="Q1" i="9" a="1"/>
  <c r="Q1" i="9" s="1"/>
  <c r="G1" i="9" a="1"/>
  <c r="G1" i="9" s="1"/>
  <c r="H1" i="9" a="1"/>
  <c r="H1" i="9" s="1"/>
  <c r="I1" i="9" a="1"/>
  <c r="I1" i="9" s="1"/>
  <c r="J1" i="9" a="1"/>
  <c r="J1" i="9" s="1"/>
  <c r="A1" i="9" a="1"/>
  <c r="A1" i="9" s="1"/>
  <c r="A1" i="10" a="1"/>
  <c r="A1" i="10" s="1"/>
  <c r="B1" i="10" a="1"/>
  <c r="B1" i="10" s="1"/>
  <c r="L1" i="10" a="1"/>
  <c r="L1" i="10" s="1"/>
  <c r="M1" i="10" a="1"/>
  <c r="M1" i="10" s="1"/>
  <c r="T1" i="10" a="1"/>
  <c r="T1" i="10" s="1"/>
  <c r="C1" i="10" a="1"/>
  <c r="C1" i="10" s="1"/>
  <c r="N1" i="10" a="1"/>
  <c r="N1" i="10" s="1"/>
  <c r="E1" i="10" a="1"/>
  <c r="E1" i="10" s="1"/>
  <c r="O1" i="10" a="1"/>
  <c r="O1" i="10" s="1"/>
  <c r="R1" i="10" a="1"/>
  <c r="R1" i="10" s="1"/>
  <c r="S1" i="10" a="1"/>
  <c r="S1" i="10" s="1"/>
  <c r="J1" i="10" a="1"/>
  <c r="J1" i="10" s="1"/>
  <c r="F1" i="10" a="1"/>
  <c r="F1" i="10" s="1"/>
  <c r="K1" i="10" a="1"/>
  <c r="K1" i="10" s="1"/>
  <c r="P1" i="10" a="1"/>
  <c r="P1" i="10" s="1"/>
  <c r="H1" i="10" a="1"/>
  <c r="H1" i="10" s="1"/>
  <c r="Q1" i="10" a="1"/>
  <c r="Q1" i="10" s="1"/>
  <c r="I1" i="10" a="1"/>
  <c r="I1" i="10" s="1"/>
  <c r="B1" i="20" a="1"/>
  <c r="B1" i="20" s="1"/>
  <c r="S1" i="20" a="1"/>
  <c r="S1" i="20" s="1"/>
  <c r="K1" i="20" a="1"/>
  <c r="K1" i="20" s="1"/>
  <c r="L1" i="20" a="1"/>
  <c r="L1" i="20" s="1"/>
  <c r="T1" i="20" a="1"/>
  <c r="T1" i="20" s="1"/>
  <c r="C1" i="20" a="1"/>
  <c r="C1" i="20" s="1"/>
  <c r="M1" i="20" a="1"/>
  <c r="M1" i="20" s="1"/>
  <c r="D1" i="20" a="1"/>
  <c r="D1" i="20" s="1"/>
  <c r="N1" i="20" a="1"/>
  <c r="N1" i="20" s="1"/>
  <c r="F1" i="20" a="1"/>
  <c r="F1" i="20" s="1"/>
  <c r="O1" i="20" a="1"/>
  <c r="O1" i="20" s="1"/>
  <c r="R1" i="20" a="1"/>
  <c r="R1" i="20" s="1"/>
  <c r="G1" i="20" a="1"/>
  <c r="G1" i="20" s="1"/>
  <c r="Q1" i="20" a="1"/>
  <c r="Q1" i="20" s="1"/>
  <c r="P1" i="20" a="1"/>
  <c r="P1" i="20" s="1"/>
  <c r="H1" i="20" a="1"/>
  <c r="H1" i="20" s="1"/>
  <c r="I1" i="20" a="1"/>
  <c r="I1" i="20" s="1"/>
  <c r="J1" i="20" a="1"/>
  <c r="J1" i="20" s="1"/>
  <c r="A1" i="20" a="1"/>
  <c r="A1" i="20" s="1"/>
  <c r="F2" i="16" a="1"/>
  <c r="F2" i="16" s="1"/>
  <c r="A6" i="16" a="1"/>
  <c r="A6" i="16" s="1"/>
  <c r="A16" i="16" a="1"/>
  <c r="A16" i="16" s="1"/>
  <c r="A12" i="16" a="1"/>
  <c r="A12" i="16" s="1"/>
  <c r="A8" i="16" a="1"/>
  <c r="A8" i="16" s="1"/>
  <c r="A4" i="16" a="1"/>
  <c r="A4" i="16" s="1"/>
  <c r="A10" i="16" a="1"/>
  <c r="A10" i="16" s="1"/>
  <c r="A2" i="16" a="1"/>
  <c r="A2" i="16" s="1"/>
  <c r="C1" i="3" a="1"/>
  <c r="C1" i="3" s="1"/>
  <c r="D1" i="3" a="1"/>
  <c r="D1" i="3" s="1"/>
  <c r="E1" i="3" a="1"/>
  <c r="E1" i="3" s="1"/>
  <c r="H1" i="3" a="1"/>
  <c r="H1" i="3" s="1"/>
  <c r="F1" i="3" a="1"/>
  <c r="F1" i="3" s="1"/>
  <c r="G1" i="3" a="1"/>
  <c r="G1" i="3" s="1"/>
  <c r="B1" i="3" a="1"/>
  <c r="B1" i="3" s="1"/>
  <c r="B1" i="13" a="1"/>
  <c r="B1" i="13" s="1"/>
  <c r="C1" i="13" a="1"/>
  <c r="C1" i="13" s="1"/>
  <c r="D1" i="13" a="1"/>
  <c r="D1" i="13" s="1"/>
  <c r="A1" i="13" a="1"/>
  <c r="A1" i="13" s="1"/>
  <c r="B1" i="12" a="1"/>
  <c r="B1" i="12" s="1"/>
  <c r="C1" i="12" a="1"/>
  <c r="C1" i="12" s="1"/>
  <c r="A1" i="12" a="1"/>
  <c r="A1" i="12" s="1"/>
  <c r="B1" i="21" a="1"/>
  <c r="B1" i="21" s="1"/>
  <c r="C1" i="21" a="1"/>
  <c r="C1" i="21" s="1"/>
  <c r="D1" i="21" a="1"/>
  <c r="D1" i="21" s="1"/>
  <c r="E1" i="21" a="1"/>
  <c r="E1" i="21" s="1"/>
  <c r="A1" i="21" a="1"/>
  <c r="A1" i="21" s="1"/>
  <c r="L12" i="24"/>
  <c r="N12" i="24"/>
  <c r="G58" i="29" a="1"/>
  <c r="I233" i="28" a="1"/>
  <c r="AQ17" i="3" l="1" a="1"/>
  <c r="AQ17" i="3" s="1"/>
  <c r="AR17" i="3" s="1" a="1"/>
  <c r="AR17" i="3" s="1"/>
  <c r="AR18" i="3" s="1" a="1"/>
  <c r="AR18" i="3" s="1"/>
  <c r="AR19" i="3" s="1" a="1"/>
  <c r="AR19" i="3" s="1"/>
  <c r="AR20" i="3" s="1" a="1"/>
  <c r="AR20" i="3" s="1"/>
  <c r="AR21" i="3" s="1" a="1"/>
  <c r="AR21" i="3" s="1"/>
  <c r="AR22" i="3" s="1" a="1"/>
  <c r="AR22" i="3" s="1"/>
  <c r="AR23" i="3" s="1" a="1"/>
  <c r="AR23" i="3" s="1"/>
  <c r="AR24" i="3" s="1" a="1"/>
  <c r="AR24" i="3" s="1"/>
  <c r="AR25" i="3" s="1" a="1"/>
  <c r="AR25" i="3" s="1"/>
  <c r="AR26" i="3" s="1" a="1"/>
  <c r="AR26" i="3" s="1"/>
  <c r="AR27" i="3" s="1" a="1"/>
  <c r="AR27" i="3" s="1"/>
  <c r="AR28" i="3" s="1" a="1"/>
  <c r="AR28" i="3" s="1"/>
  <c r="AR29" i="3" s="1" a="1"/>
  <c r="AR29" i="3" s="1"/>
  <c r="AR30" i="3" s="1" a="1"/>
  <c r="AR30" i="3" s="1"/>
  <c r="AR31" i="3" s="1" a="1"/>
  <c r="AR31" i="3" s="1"/>
  <c r="AR32" i="3" s="1" a="1"/>
  <c r="AR32" i="3" s="1"/>
  <c r="AR33" i="3" s="1" a="1"/>
  <c r="AR33" i="3" s="1"/>
  <c r="AR34" i="3" s="1" a="1"/>
  <c r="AR34" i="3" s="1"/>
  <c r="AR35" i="3" s="1" a="1"/>
  <c r="AR35" i="3" s="1"/>
  <c r="AR36" i="3" s="1" a="1"/>
  <c r="AR36" i="3" s="1"/>
  <c r="AR37" i="3" s="1" a="1"/>
  <c r="AR37" i="3" s="1"/>
  <c r="AR38" i="3" s="1" a="1"/>
  <c r="AR38" i="3" s="1"/>
  <c r="AR39" i="3" s="1" a="1"/>
  <c r="AR39" i="3" s="1"/>
  <c r="AR40" i="3" s="1" a="1"/>
  <c r="AR40" i="3" s="1"/>
  <c r="AR41" i="3" s="1" a="1"/>
  <c r="AR41" i="3" s="1"/>
  <c r="AR42" i="3" s="1" a="1"/>
  <c r="AR42" i="3" s="1"/>
  <c r="AR43" i="3" s="1" a="1"/>
  <c r="AR43" i="3" s="1"/>
  <c r="AR44" i="3" s="1" a="1"/>
  <c r="AR44" i="3" s="1"/>
  <c r="AR45" i="3" s="1" a="1"/>
  <c r="AR45" i="3" s="1"/>
  <c r="AR46" i="3" s="1" a="1"/>
  <c r="AR46" i="3" s="1"/>
  <c r="AR47" i="3" s="1" a="1"/>
  <c r="AR47" i="3" s="1"/>
  <c r="AR48" i="3" s="1" a="1"/>
  <c r="AR48" i="3" s="1"/>
  <c r="AR49" i="3" s="1" a="1"/>
  <c r="AR49" i="3" s="1"/>
  <c r="AR50" i="3" s="1" a="1"/>
  <c r="AR50" i="3" s="1"/>
  <c r="AR51" i="3" s="1" a="1"/>
  <c r="AR51" i="3" s="1"/>
  <c r="AR52" i="3" s="1" a="1"/>
  <c r="AR52" i="3" s="1"/>
  <c r="AR53" i="3" s="1" a="1"/>
  <c r="AR53" i="3" s="1"/>
  <c r="AR54" i="3" s="1" a="1"/>
  <c r="AR54" i="3" s="1"/>
  <c r="AR55" i="3" s="1" a="1"/>
  <c r="AR55" i="3" s="1"/>
  <c r="AR56" i="3" s="1" a="1"/>
  <c r="AR56" i="3" s="1"/>
  <c r="AR57" i="3" s="1" a="1"/>
  <c r="AR57" i="3" s="1"/>
  <c r="AR58" i="3" s="1" a="1"/>
  <c r="AR58" i="3" s="1"/>
  <c r="AR59" i="3" s="1" a="1"/>
  <c r="AR59" i="3" s="1"/>
  <c r="AR60" i="3" s="1" a="1"/>
  <c r="AR60" i="3" s="1"/>
  <c r="AR61" i="3" s="1" a="1"/>
  <c r="AR61" i="3" s="1"/>
  <c r="AR62" i="3" s="1" a="1"/>
  <c r="AR62" i="3" s="1"/>
  <c r="AR63" i="3" s="1" a="1"/>
  <c r="AR63" i="3" s="1"/>
  <c r="AR64" i="3" s="1" a="1"/>
  <c r="AR64" i="3" s="1"/>
  <c r="AR65" i="3" s="1" a="1"/>
  <c r="AR65" i="3" s="1"/>
  <c r="AR66" i="3" s="1" a="1"/>
  <c r="AR66" i="3" s="1"/>
  <c r="AR67" i="3" s="1" a="1"/>
  <c r="AR67" i="3" s="1"/>
  <c r="AR68" i="3" s="1" a="1"/>
  <c r="AR68" i="3" s="1"/>
  <c r="AR69" i="3" s="1" a="1"/>
  <c r="AR69" i="3" s="1"/>
  <c r="AR70" i="3" s="1" a="1"/>
  <c r="AR70" i="3" s="1"/>
  <c r="AR71" i="3" s="1" a="1"/>
  <c r="AR71" i="3" s="1"/>
  <c r="AR72" i="3" s="1" a="1"/>
  <c r="AR72" i="3" s="1"/>
  <c r="AR73" i="3" s="1" a="1"/>
  <c r="AR73" i="3" s="1"/>
  <c r="AR74" i="3" s="1" a="1"/>
  <c r="AR74" i="3" s="1"/>
  <c r="AR75" i="3" s="1" a="1"/>
  <c r="AR75" i="3" s="1"/>
  <c r="AR76" i="3" s="1" a="1"/>
  <c r="AR76" i="3" s="1"/>
  <c r="AR77" i="3" s="1" a="1"/>
  <c r="AR77" i="3" s="1"/>
  <c r="AR78" i="3" s="1" a="1"/>
  <c r="AR78" i="3" s="1"/>
  <c r="AR79" i="3" s="1" a="1"/>
  <c r="AR79" i="3" s="1"/>
  <c r="AR80" i="3" s="1" a="1"/>
  <c r="AR80" i="3" s="1"/>
  <c r="AR81" i="3" s="1" a="1"/>
  <c r="AR81" i="3" s="1"/>
  <c r="AR82" i="3" s="1" a="1"/>
  <c r="AR82" i="3" s="1"/>
  <c r="AR83" i="3" s="1" a="1"/>
  <c r="AR83" i="3" s="1"/>
  <c r="AR84" i="3" s="1" a="1"/>
  <c r="AR84" i="3" s="1"/>
  <c r="AR85" i="3" s="1" a="1"/>
  <c r="AR85" i="3" s="1"/>
  <c r="AR86" i="3" s="1" a="1"/>
  <c r="AR86" i="3" s="1"/>
  <c r="AR87" i="3" s="1" a="1"/>
  <c r="AR87" i="3" s="1"/>
  <c r="AR88" i="3" s="1" a="1"/>
  <c r="AR88" i="3" s="1"/>
  <c r="AR89" i="3" s="1" a="1"/>
  <c r="AR89" i="3" s="1"/>
  <c r="AR90" i="3" s="1" a="1"/>
  <c r="AR90" i="3" s="1"/>
  <c r="AR91" i="3" s="1" a="1"/>
  <c r="AR91" i="3" s="1"/>
  <c r="AR92" i="3" s="1" a="1"/>
  <c r="AR92" i="3" s="1"/>
  <c r="AR93" i="3" s="1" a="1"/>
  <c r="AR93" i="3" s="1"/>
  <c r="AR94" i="3" s="1" a="1"/>
  <c r="AR94" i="3" s="1"/>
  <c r="AR95" i="3" s="1" a="1"/>
  <c r="AR95" i="3" s="1"/>
  <c r="AR96" i="3" s="1" a="1"/>
  <c r="AR96" i="3" s="1"/>
  <c r="AR97" i="3" s="1" a="1"/>
  <c r="AR97" i="3" s="1"/>
  <c r="AR98" i="3" s="1" a="1"/>
  <c r="AR98" i="3" s="1"/>
  <c r="AR99" i="3" s="1" a="1"/>
  <c r="AR99" i="3" s="1"/>
  <c r="AR100" i="3" s="1" a="1"/>
  <c r="AR100" i="3" s="1"/>
  <c r="AR101" i="3" s="1" a="1"/>
  <c r="AR101" i="3" s="1"/>
  <c r="AR102" i="3" s="1" a="1"/>
  <c r="AR102" i="3" s="1"/>
  <c r="AR103" i="3" s="1" a="1"/>
  <c r="AR103" i="3" s="1"/>
  <c r="C9" i="10" a="1"/>
  <c r="C9" i="10" s="1"/>
  <c r="I66" i="20" a="1"/>
  <c r="I66" i="20" s="1"/>
  <c r="I65" i="20" a="1"/>
  <c r="I65" i="20" s="1"/>
  <c r="I62" i="20" a="1"/>
  <c r="I62" i="20" s="1"/>
  <c r="I63" i="20" a="1"/>
  <c r="I63" i="20" s="1"/>
  <c r="I64" i="20" a="1"/>
  <c r="I64" i="20" s="1"/>
  <c r="G66" i="20" a="1"/>
  <c r="G66" i="20" s="1"/>
  <c r="G65" i="20" a="1"/>
  <c r="G65" i="20" s="1"/>
  <c r="G63" i="20" a="1"/>
  <c r="G63" i="20" s="1"/>
  <c r="G62" i="20" a="1"/>
  <c r="G62" i="20" s="1"/>
  <c r="G64" i="20" a="1"/>
  <c r="G64" i="20" s="1"/>
  <c r="O3" i="9" a="1"/>
  <c r="O3" i="9" s="1"/>
  <c r="O10" i="9" a="1"/>
  <c r="O10" i="9" s="1"/>
  <c r="O17" i="9" a="1"/>
  <c r="O17" i="9" s="1"/>
  <c r="O24" i="9" a="1"/>
  <c r="O24" i="9" s="1"/>
  <c r="O31" i="9" a="1"/>
  <c r="O31" i="9" s="1"/>
  <c r="O38" i="9" a="1"/>
  <c r="O38" i="9" s="1"/>
  <c r="O4" i="9" a="1"/>
  <c r="O4" i="9" s="1"/>
  <c r="O18" i="9" a="1"/>
  <c r="O18" i="9" s="1"/>
  <c r="O39" i="9" a="1"/>
  <c r="O39" i="9" s="1"/>
  <c r="O19" i="9" a="1"/>
  <c r="O19" i="9" s="1"/>
  <c r="O28" i="9" a="1"/>
  <c r="O28" i="9" s="1"/>
  <c r="O15" i="9" a="1"/>
  <c r="O15" i="9" s="1"/>
  <c r="O37" i="9" a="1"/>
  <c r="O37" i="9" s="1"/>
  <c r="O11" i="9" a="1"/>
  <c r="O11" i="9" s="1"/>
  <c r="O32" i="9" a="1"/>
  <c r="O32" i="9" s="1"/>
  <c r="O33" i="9" a="1"/>
  <c r="O33" i="9" s="1"/>
  <c r="O35" i="9" a="1"/>
  <c r="O35" i="9" s="1"/>
  <c r="O36" i="9" a="1"/>
  <c r="O36" i="9" s="1"/>
  <c r="O40" i="9" a="1"/>
  <c r="O40" i="9" s="1"/>
  <c r="O29" i="9" a="1"/>
  <c r="O29" i="9" s="1"/>
  <c r="O43" i="9" a="1"/>
  <c r="O43" i="9" s="1"/>
  <c r="O23" i="9" a="1"/>
  <c r="O23" i="9" s="1"/>
  <c r="O27" i="9" a="1"/>
  <c r="O27" i="9" s="1"/>
  <c r="O14" i="9" a="1"/>
  <c r="O14" i="9" s="1"/>
  <c r="O21" i="9" a="1"/>
  <c r="O21" i="9" s="1"/>
  <c r="O22" i="9" a="1"/>
  <c r="O22" i="9" s="1"/>
  <c r="O30" i="9" a="1"/>
  <c r="O30" i="9" s="1"/>
  <c r="H106" i="28" a="1"/>
  <c r="H106" i="28" s="1"/>
  <c r="H107" i="28" s="1" a="1"/>
  <c r="H107" i="28" s="1"/>
  <c r="H108" i="28" s="1" a="1"/>
  <c r="H108" i="28" s="1"/>
  <c r="H109" i="28" s="1" a="1"/>
  <c r="H109" i="28" s="1"/>
  <c r="H110" i="28" s="1" a="1"/>
  <c r="H110" i="28" s="1"/>
  <c r="H111" i="28" s="1" a="1"/>
  <c r="H111" i="28" s="1"/>
  <c r="H112" i="28" s="1" a="1"/>
  <c r="H112" i="28" s="1"/>
  <c r="H113" i="28" s="1" a="1"/>
  <c r="H113" i="28" s="1"/>
  <c r="H114" i="28" s="1" a="1"/>
  <c r="H114" i="28" s="1"/>
  <c r="H115" i="28" s="1" a="1"/>
  <c r="H115" i="28" s="1"/>
  <c r="H116" i="28" s="1" a="1"/>
  <c r="H116" i="28" s="1"/>
  <c r="H117" i="28" s="1" a="1"/>
  <c r="H117" i="28" s="1"/>
  <c r="H118" i="28" s="1" a="1"/>
  <c r="H118" i="28" s="1"/>
  <c r="H119" i="28" s="1" a="1"/>
  <c r="H119" i="28" s="1"/>
  <c r="H120" i="28" s="1" a="1"/>
  <c r="H120" i="28" s="1"/>
  <c r="H121" i="28" s="1" a="1"/>
  <c r="H121" i="28" s="1"/>
  <c r="H122" i="28" s="1" a="1"/>
  <c r="H122" i="28" s="1"/>
  <c r="H123" i="28" s="1" a="1"/>
  <c r="H123" i="28" s="1"/>
  <c r="H124" i="28" s="1" a="1"/>
  <c r="H124" i="28" s="1"/>
  <c r="H125" i="28" s="1" a="1"/>
  <c r="H125" i="28" s="1"/>
  <c r="H126" i="28" s="1" a="1"/>
  <c r="H126" i="28" s="1"/>
  <c r="H127" i="28" s="1" a="1"/>
  <c r="H127" i="28" s="1"/>
  <c r="H128" i="28" s="1" a="1"/>
  <c r="H128" i="28" s="1"/>
  <c r="H129" i="28" s="1" a="1"/>
  <c r="H129" i="28" s="1"/>
  <c r="H130" i="28" s="1" a="1"/>
  <c r="H130" i="28" s="1"/>
  <c r="H131" i="28" s="1" a="1"/>
  <c r="H131" i="28" s="1"/>
  <c r="H132" i="28" s="1" a="1"/>
  <c r="H132" i="28" s="1"/>
  <c r="AL42" i="10" a="1"/>
  <c r="AL42" i="10" s="1"/>
  <c r="G42" i="10" a="1"/>
  <c r="G42" i="10" s="1"/>
  <c r="B191" i="34" a="1"/>
  <c r="B191" i="34" s="1"/>
  <c r="B192" i="34" a="1"/>
  <c r="B192" i="34" s="1"/>
  <c r="B185" i="34" a="1"/>
  <c r="B185" i="34" s="1"/>
  <c r="B187" i="34" a="1"/>
  <c r="B187" i="34" s="1"/>
  <c r="B180" i="34" a="1"/>
  <c r="B180" i="34" s="1"/>
  <c r="B182" i="34" a="1"/>
  <c r="B182" i="34" s="1"/>
  <c r="B175" i="34" a="1"/>
  <c r="B175" i="34" s="1"/>
  <c r="B178" i="34" a="1"/>
  <c r="B178" i="34" s="1"/>
  <c r="B168" i="34" a="1"/>
  <c r="B168" i="34" s="1"/>
  <c r="B172" i="34" a="1"/>
  <c r="B172" i="34" s="1"/>
  <c r="B162" i="34" a="1"/>
  <c r="B162" i="34" s="1"/>
  <c r="B165" i="34" a="1"/>
  <c r="B165" i="34" s="1"/>
  <c r="B156" i="34" a="1"/>
  <c r="B156" i="34" s="1"/>
  <c r="B159" i="34" a="1"/>
  <c r="B159" i="34" s="1"/>
  <c r="B149" i="34" a="1"/>
  <c r="B149" i="34" s="1"/>
  <c r="B153" i="34" a="1"/>
  <c r="B153" i="34" s="1"/>
  <c r="B145" i="34" a="1"/>
  <c r="B145" i="34" s="1"/>
  <c r="B147" i="34" a="1"/>
  <c r="B147" i="34" s="1"/>
  <c r="B138" i="34" a="1"/>
  <c r="B138" i="34" s="1"/>
  <c r="B142" i="34" a="1"/>
  <c r="B142" i="34" s="1"/>
  <c r="B131" i="34" a="1"/>
  <c r="B131" i="34" s="1"/>
  <c r="B134" i="34" a="1"/>
  <c r="B134" i="34" s="1"/>
  <c r="B123" i="34" a="1"/>
  <c r="B123" i="34" s="1"/>
  <c r="B129" i="34" a="1"/>
  <c r="B129" i="34" s="1"/>
  <c r="B102" i="34" a="1"/>
  <c r="B102" i="34" s="1"/>
  <c r="B111" i="34" a="1"/>
  <c r="B111" i="34" s="1"/>
  <c r="B76" i="34" a="1"/>
  <c r="B76" i="34" s="1"/>
  <c r="B80" i="34" a="1"/>
  <c r="B80" i="34" s="1"/>
  <c r="E60" i="34" a="1"/>
  <c r="E60" i="34" s="1"/>
  <c r="E66" i="34" a="1"/>
  <c r="E66" i="34" s="1"/>
  <c r="B71" i="34" a="1"/>
  <c r="B71" i="34" s="1"/>
  <c r="E54" i="34" a="1"/>
  <c r="E54" i="34" s="1"/>
  <c r="B59" i="34" a="1"/>
  <c r="B59" i="34" s="1"/>
  <c r="B65" i="34" a="1"/>
  <c r="B65" i="34" s="1"/>
  <c r="B44" i="34" a="1"/>
  <c r="B44" i="34" s="1"/>
  <c r="B53" i="34" a="1"/>
  <c r="B53" i="34" s="1"/>
  <c r="B23" i="34" a="1"/>
  <c r="B23" i="34" s="1"/>
  <c r="B42" i="34" a="1"/>
  <c r="B42" i="34" s="1"/>
  <c r="B16" i="34" a="1"/>
  <c r="B16" i="34" s="1"/>
  <c r="B17" i="34" a="1"/>
  <c r="B17" i="34" s="1"/>
  <c r="E17" i="34" a="1"/>
  <c r="E17" i="34" s="1"/>
  <c r="E18" i="34" a="1"/>
  <c r="E18" i="34" s="1"/>
  <c r="E19" i="34" a="1"/>
  <c r="E19" i="34" s="1"/>
  <c r="E20" i="34" a="1"/>
  <c r="E20" i="34" s="1"/>
  <c r="E21" i="34" a="1"/>
  <c r="E21" i="34" s="1"/>
  <c r="E22" i="34" a="1"/>
  <c r="E22" i="34" s="1"/>
  <c r="E23" i="34" a="1"/>
  <c r="E23" i="34" s="1"/>
  <c r="E24" i="34" a="1"/>
  <c r="E24" i="34" s="1"/>
  <c r="E25" i="34" a="1"/>
  <c r="E25" i="34" s="1"/>
  <c r="E26" i="34" a="1"/>
  <c r="E26" i="34" s="1"/>
  <c r="E27" i="34" a="1"/>
  <c r="E27" i="34" s="1"/>
  <c r="E28" i="34" a="1"/>
  <c r="E28" i="34" s="1"/>
  <c r="E29" i="34" a="1"/>
  <c r="E29" i="34" s="1"/>
  <c r="E30" i="34" a="1"/>
  <c r="E30" i="34" s="1"/>
  <c r="E31" i="34" a="1"/>
  <c r="E31" i="34" s="1"/>
  <c r="E32" i="34" a="1"/>
  <c r="E32" i="34" s="1"/>
  <c r="E33" i="34" a="1"/>
  <c r="E33" i="34" s="1"/>
  <c r="E34" i="34" a="1"/>
  <c r="E34" i="34" s="1"/>
  <c r="E35" i="34" a="1"/>
  <c r="E35" i="34" s="1"/>
  <c r="E36" i="34" a="1"/>
  <c r="E36" i="34" s="1"/>
  <c r="E37" i="34" a="1"/>
  <c r="E37" i="34" s="1"/>
  <c r="E38" i="34" a="1"/>
  <c r="E38" i="34" s="1"/>
  <c r="E39" i="34" a="1"/>
  <c r="E39" i="34" s="1"/>
  <c r="E40" i="34" a="1"/>
  <c r="E40" i="34" s="1"/>
  <c r="E41" i="34" a="1"/>
  <c r="E41" i="34" s="1"/>
  <c r="E42" i="34" a="1"/>
  <c r="E42" i="34" s="1"/>
  <c r="E43" i="34" a="1"/>
  <c r="E43" i="34" s="1"/>
  <c r="E44" i="34" a="1"/>
  <c r="E44" i="34" s="1"/>
  <c r="E45" i="34" a="1"/>
  <c r="E45" i="34" s="1"/>
  <c r="E46" i="34" a="1"/>
  <c r="E46" i="34" s="1"/>
  <c r="E47" i="34" a="1"/>
  <c r="E47" i="34" s="1"/>
  <c r="E48" i="34" a="1"/>
  <c r="E48" i="34" s="1"/>
  <c r="E49" i="34" a="1"/>
  <c r="E49" i="34" s="1"/>
  <c r="E50" i="34" a="1"/>
  <c r="E50" i="34" s="1"/>
  <c r="E51" i="34" a="1"/>
  <c r="E51" i="34" s="1"/>
  <c r="E52" i="34" a="1"/>
  <c r="E52" i="34" s="1"/>
  <c r="E53" i="34" a="1"/>
  <c r="E53" i="34" s="1"/>
  <c r="E55" i="34" a="1"/>
  <c r="E55" i="34" s="1"/>
  <c r="E56" i="34" a="1"/>
  <c r="E56" i="34" s="1"/>
  <c r="E57" i="34" a="1"/>
  <c r="E57" i="34" s="1"/>
  <c r="E58" i="34" a="1"/>
  <c r="E58" i="34" s="1"/>
  <c r="E59" i="34" a="1"/>
  <c r="E59" i="34" s="1"/>
  <c r="E61" i="34" a="1"/>
  <c r="E61" i="34" s="1"/>
  <c r="E62" i="34" a="1"/>
  <c r="E62" i="34" s="1"/>
  <c r="E63" i="34" a="1"/>
  <c r="E63" i="34" s="1"/>
  <c r="E64" i="34" a="1"/>
  <c r="E64" i="34" s="1"/>
  <c r="E65" i="34" a="1"/>
  <c r="E65" i="34" s="1"/>
  <c r="E67" i="34" a="1"/>
  <c r="E67" i="34" s="1"/>
  <c r="E68" i="34" a="1"/>
  <c r="E68" i="34" s="1"/>
  <c r="E69" i="34" a="1"/>
  <c r="E69" i="34" s="1"/>
  <c r="E70" i="34" a="1"/>
  <c r="E70" i="34" s="1"/>
  <c r="E71" i="34" a="1"/>
  <c r="E71" i="34" s="1"/>
  <c r="E72" i="34" a="1"/>
  <c r="E72" i="34" s="1"/>
  <c r="E73" i="34" a="1"/>
  <c r="E73" i="34" s="1"/>
  <c r="E74" i="34" a="1"/>
  <c r="E74" i="34" s="1"/>
  <c r="E75" i="34" a="1"/>
  <c r="E75" i="34" s="1"/>
  <c r="E76" i="34" a="1"/>
  <c r="E76" i="34" s="1"/>
  <c r="E77" i="34" a="1"/>
  <c r="E77" i="34" s="1"/>
  <c r="E78" i="34" a="1"/>
  <c r="E78" i="34" s="1"/>
  <c r="E79" i="34" a="1"/>
  <c r="E79" i="34" s="1"/>
  <c r="E80" i="34" a="1"/>
  <c r="E80" i="34" s="1"/>
  <c r="E81" i="34" a="1"/>
  <c r="E81" i="34" s="1"/>
  <c r="E82" i="34" a="1"/>
  <c r="E82" i="34" s="1"/>
  <c r="E83" i="34" a="1"/>
  <c r="E83" i="34" s="1"/>
  <c r="E84" i="34" a="1"/>
  <c r="E84" i="34" s="1"/>
  <c r="E85" i="34" a="1"/>
  <c r="E85" i="34" s="1"/>
  <c r="E86" i="34" a="1"/>
  <c r="E86" i="34" s="1"/>
  <c r="E87" i="34" a="1"/>
  <c r="E87" i="34" s="1"/>
  <c r="O88" i="34"/>
  <c r="N75" i="34"/>
  <c r="H76" i="34" a="1"/>
  <c r="H76" i="34" s="1"/>
  <c r="E11" i="34" a="1"/>
  <c r="E11" i="34" s="1"/>
  <c r="E16" i="34" a="1"/>
  <c r="E16" i="34" s="1"/>
  <c r="E14" i="34" a="1"/>
  <c r="E14" i="34" s="1"/>
  <c r="E15" i="34" a="1"/>
  <c r="E15" i="34" s="1"/>
  <c r="E12" i="34" a="1"/>
  <c r="E12" i="34" s="1"/>
  <c r="B13" i="34" a="1"/>
  <c r="B13" i="34" s="1"/>
  <c r="E13" i="34" a="1"/>
  <c r="E13" i="34" s="1"/>
  <c r="E10" i="34" a="1"/>
  <c r="E10" i="34" s="1"/>
  <c r="E9" i="34" a="1"/>
  <c r="E9" i="34" s="1"/>
  <c r="E3" i="34" a="1"/>
  <c r="E3" i="34" s="1"/>
  <c r="E8" i="34" a="1"/>
  <c r="E8" i="34" s="1"/>
  <c r="E4" i="34" a="1"/>
  <c r="E4" i="34" s="1"/>
  <c r="E5" i="34" a="1"/>
  <c r="E5" i="34" s="1"/>
  <c r="E6" i="34" a="1"/>
  <c r="E6" i="34" s="1"/>
  <c r="E7" i="34" a="1"/>
  <c r="E7" i="34" s="1"/>
  <c r="B8" i="34" a="1"/>
  <c r="B8" i="34" s="1"/>
  <c r="B3" i="34" a="1"/>
  <c r="B3" i="34" s="1"/>
  <c r="G3" i="10" a="1"/>
  <c r="G3" i="10" s="1"/>
  <c r="G16" i="10" a="1"/>
  <c r="G16" i="10" s="1"/>
  <c r="G10" i="10" a="1"/>
  <c r="G10" i="10" s="1"/>
  <c r="G8" i="10" a="1"/>
  <c r="G8" i="10" s="1"/>
  <c r="G4" i="10" a="1"/>
  <c r="G4" i="10" s="1"/>
  <c r="G17" i="10" a="1"/>
  <c r="G17" i="10" s="1"/>
  <c r="G24" i="10" a="1"/>
  <c r="G24" i="10" s="1"/>
  <c r="G44" i="10" a="1"/>
  <c r="G44" i="10" s="1"/>
  <c r="G14" i="10" a="1"/>
  <c r="G14" i="10" s="1"/>
  <c r="G11" i="10" a="1"/>
  <c r="G11" i="10" s="1"/>
  <c r="G25" i="10" a="1"/>
  <c r="G25" i="10" s="1"/>
  <c r="G38" i="10" a="1"/>
  <c r="G38" i="10" s="1"/>
  <c r="G5" i="10" a="1"/>
  <c r="G5" i="10" s="1"/>
  <c r="G18" i="10" a="1"/>
  <c r="G18" i="10" s="1"/>
  <c r="G6" i="10" a="1"/>
  <c r="G6" i="10" s="1"/>
  <c r="G19" i="10" a="1"/>
  <c r="G19" i="10" s="1"/>
  <c r="G12" i="10" a="1"/>
  <c r="G12" i="10" s="1"/>
  <c r="G32" i="10" a="1"/>
  <c r="G32" i="10" s="1"/>
  <c r="G7" i="10" a="1"/>
  <c r="G7" i="10" s="1"/>
  <c r="G13" i="10" a="1"/>
  <c r="G13" i="10" s="1"/>
  <c r="G33" i="10" a="1"/>
  <c r="G33" i="10" s="1"/>
  <c r="G41" i="10" a="1"/>
  <c r="G41" i="10" s="1"/>
  <c r="G36" i="10" a="1"/>
  <c r="G36" i="10" s="1"/>
  <c r="G9" i="10" a="1"/>
  <c r="G9" i="10" s="1"/>
  <c r="G15" i="10" a="1"/>
  <c r="G15" i="10" s="1"/>
  <c r="E11" i="20" a="1"/>
  <c r="E11" i="20" s="1"/>
  <c r="E61" i="20" a="1"/>
  <c r="E61" i="20" s="1"/>
  <c r="E67" i="20" a="1"/>
  <c r="E67" i="20" s="1"/>
  <c r="E13" i="20" a="1"/>
  <c r="E13" i="20" s="1"/>
  <c r="E6" i="20" a="1"/>
  <c r="E6" i="20" s="1"/>
  <c r="E20" i="20" a="1"/>
  <c r="E20" i="20" s="1"/>
  <c r="E14" i="20" a="1"/>
  <c r="E14" i="20" s="1"/>
  <c r="E23" i="20" a="1"/>
  <c r="E23" i="20" s="1"/>
  <c r="E31" i="20" a="1"/>
  <c r="E31" i="20" s="1"/>
  <c r="E30" i="20" a="1"/>
  <c r="E30" i="20" s="1"/>
  <c r="E18" i="20" a="1"/>
  <c r="E18" i="20" s="1"/>
  <c r="E27" i="20" a="1"/>
  <c r="E27" i="20" s="1"/>
  <c r="AO10" i="20" a="1"/>
  <c r="AO10" i="20" s="1"/>
  <c r="AF5" i="9" a="1"/>
  <c r="AF5" i="9" s="1"/>
  <c r="J33" i="29"/>
  <c r="AF3" i="9" a="1"/>
  <c r="AF3" i="9" s="1"/>
  <c r="AF10" i="9" a="1"/>
  <c r="AF10" i="9" s="1"/>
  <c r="AF17" i="9" a="1"/>
  <c r="AF17" i="9" s="1"/>
  <c r="AF24" i="9" a="1"/>
  <c r="AF24" i="9" s="1"/>
  <c r="AF31" i="9" a="1"/>
  <c r="AF31" i="9" s="1"/>
  <c r="AF38" i="9" a="1"/>
  <c r="AF38" i="9" s="1"/>
  <c r="AF11" i="9" a="1"/>
  <c r="AF11" i="9" s="1"/>
  <c r="AF39" i="9" a="1"/>
  <c r="AF39" i="9" s="1"/>
  <c r="AF23" i="9" a="1"/>
  <c r="AF23" i="9" s="1"/>
  <c r="AF4" i="9" a="1"/>
  <c r="AF4" i="9" s="1"/>
  <c r="AF18" i="9" a="1"/>
  <c r="AF18" i="9" s="1"/>
  <c r="AF28" i="9" a="1"/>
  <c r="AF28" i="9" s="1"/>
  <c r="AF22" i="9" a="1"/>
  <c r="AF22" i="9" s="1"/>
  <c r="AF33" i="9" a="1"/>
  <c r="AF33" i="9" s="1"/>
  <c r="AF36" i="9" a="1"/>
  <c r="AF36" i="9" s="1"/>
  <c r="AF19" i="9" a="1"/>
  <c r="AF19" i="9" s="1"/>
  <c r="AF29" i="9" a="1"/>
  <c r="AF29" i="9" s="1"/>
  <c r="AF30" i="9" a="1"/>
  <c r="AF30" i="9" s="1"/>
  <c r="AF27" i="9" a="1"/>
  <c r="AF27" i="9" s="1"/>
  <c r="AF14" i="9" a="1"/>
  <c r="AF14" i="9" s="1"/>
  <c r="AF21" i="9" a="1"/>
  <c r="AF21" i="9" s="1"/>
  <c r="AF35" i="9" a="1"/>
  <c r="AF35" i="9" s="1"/>
  <c r="AF15" i="9" a="1"/>
  <c r="AF15" i="9" s="1"/>
  <c r="AF37" i="9" a="1"/>
  <c r="AF37" i="9" s="1"/>
  <c r="AL3" i="10" a="1"/>
  <c r="AL3" i="10" s="1"/>
  <c r="AM3" i="10" s="1" a="1"/>
  <c r="AM3" i="10" s="1"/>
  <c r="AL16" i="10" a="1"/>
  <c r="AL16" i="10" s="1"/>
  <c r="AL36" i="10" a="1"/>
  <c r="AL36" i="10" s="1"/>
  <c r="AL17" i="10" a="1"/>
  <c r="AL17" i="10" s="1"/>
  <c r="AL44" i="10" a="1"/>
  <c r="AL44" i="10" s="1"/>
  <c r="AL41" i="10" a="1"/>
  <c r="AL41" i="10" s="1"/>
  <c r="AL4" i="10" a="1"/>
  <c r="AL4" i="10" s="1"/>
  <c r="AL24" i="10" a="1"/>
  <c r="AL24" i="10" s="1"/>
  <c r="AL18" i="10" a="1"/>
  <c r="AL18" i="10" s="1"/>
  <c r="AL25" i="10" a="1"/>
  <c r="AL25" i="10" s="1"/>
  <c r="AL38" i="10" a="1"/>
  <c r="AL38" i="10" s="1"/>
  <c r="AL13" i="10" a="1"/>
  <c r="AL13" i="10" s="1"/>
  <c r="AL15" i="10" a="1"/>
  <c r="AL15" i="10" s="1"/>
  <c r="AL14" i="10" a="1"/>
  <c r="AL14" i="10" s="1"/>
  <c r="AO11" i="20" a="1"/>
  <c r="AO11" i="20" s="1"/>
  <c r="AO18" i="20" a="1"/>
  <c r="AO18" i="20" s="1"/>
  <c r="AO30" i="20" a="1"/>
  <c r="AO30" i="20" s="1"/>
  <c r="AO6" i="20" a="1"/>
  <c r="AO6" i="20" s="1"/>
  <c r="AP6" i="20" s="1" a="1"/>
  <c r="AP6" i="20" s="1"/>
  <c r="AO13" i="20" a="1"/>
  <c r="AO13" i="20" s="1"/>
  <c r="AO27" i="20" a="1"/>
  <c r="AO27" i="20" s="1"/>
  <c r="AO61" i="20" a="1"/>
  <c r="AO61" i="20" s="1"/>
  <c r="AO31" i="20" a="1"/>
  <c r="AO31" i="20" s="1"/>
  <c r="AO14" i="20" a="1"/>
  <c r="AO14" i="20" s="1"/>
  <c r="AO23" i="20" a="1"/>
  <c r="AO23" i="20" s="1"/>
  <c r="F43" i="9" a="1"/>
  <c r="F43" i="9" s="1"/>
  <c r="G58" i="29"/>
  <c r="AL19" i="10" s="1" a="1"/>
  <c r="AL19" i="10" s="1"/>
  <c r="G25" i="20" a="1"/>
  <c r="G25" i="20" s="1"/>
  <c r="G45" i="20" a="1"/>
  <c r="G45" i="20" s="1"/>
  <c r="G52" i="20" a="1"/>
  <c r="G52" i="20" s="1"/>
  <c r="G59" i="20" a="1"/>
  <c r="G59" i="20" s="1"/>
  <c r="G19" i="20" a="1"/>
  <c r="G19" i="20" s="1"/>
  <c r="G33" i="20" a="1"/>
  <c r="G33" i="20" s="1"/>
  <c r="G40" i="20" a="1"/>
  <c r="G40" i="20" s="1"/>
  <c r="G46" i="20" a="1"/>
  <c r="G46" i="20" s="1"/>
  <c r="G53" i="20" a="1"/>
  <c r="G53" i="20" s="1"/>
  <c r="G60" i="20" a="1"/>
  <c r="G60" i="20" s="1"/>
  <c r="G41" i="20" a="1"/>
  <c r="G41" i="20" s="1"/>
  <c r="G47" i="20" a="1"/>
  <c r="G47" i="20" s="1"/>
  <c r="G54" i="20" a="1"/>
  <c r="G54" i="20" s="1"/>
  <c r="G61" i="20" a="1"/>
  <c r="G61" i="20" s="1"/>
  <c r="G31" i="20" a="1"/>
  <c r="G31" i="20" s="1"/>
  <c r="G58" i="20" a="1"/>
  <c r="G58" i="20" s="1"/>
  <c r="G55" i="20" a="1"/>
  <c r="G55" i="20" s="1"/>
  <c r="G56" i="20" a="1"/>
  <c r="G56" i="20" s="1"/>
  <c r="G7" i="20" a="1"/>
  <c r="G7" i="20" s="1"/>
  <c r="G21" i="20" a="1"/>
  <c r="G21" i="20" s="1"/>
  <c r="G35" i="20" a="1"/>
  <c r="G35" i="20" s="1"/>
  <c r="G42" i="20" a="1"/>
  <c r="G42" i="20" s="1"/>
  <c r="G48" i="20" a="1"/>
  <c r="G48" i="20" s="1"/>
  <c r="G49" i="20" a="1"/>
  <c r="G49" i="20" s="1"/>
  <c r="G37" i="20" a="1"/>
  <c r="G37" i="20" s="1"/>
  <c r="G50" i="20" a="1"/>
  <c r="G50" i="20" s="1"/>
  <c r="G57" i="20" a="1"/>
  <c r="G57" i="20" s="1"/>
  <c r="G24" i="20" a="1"/>
  <c r="G24" i="20" s="1"/>
  <c r="G44" i="20" a="1"/>
  <c r="G44" i="20" s="1"/>
  <c r="G43" i="20" a="1"/>
  <c r="G43" i="20" s="1"/>
  <c r="G51" i="20" a="1"/>
  <c r="G51" i="20" s="1"/>
  <c r="I16" i="10" a="1"/>
  <c r="I16" i="10" s="1"/>
  <c r="I23" i="10" a="1"/>
  <c r="I23" i="10" s="1"/>
  <c r="I30" i="10" a="1"/>
  <c r="I30" i="10" s="1"/>
  <c r="I36" i="10" a="1"/>
  <c r="I36" i="10" s="1"/>
  <c r="I43" i="10" a="1"/>
  <c r="I43" i="10" s="1"/>
  <c r="I37" i="10" a="1"/>
  <c r="I37" i="10" s="1"/>
  <c r="I17" i="10" a="1"/>
  <c r="I17" i="10" s="1"/>
  <c r="I44" i="10" a="1"/>
  <c r="I44" i="10" s="1"/>
  <c r="I18" i="10" a="1"/>
  <c r="I18" i="10" s="1"/>
  <c r="I26" i="10" a="1"/>
  <c r="I26" i="10" s="1"/>
  <c r="I39" i="10" a="1"/>
  <c r="I39" i="10" s="1"/>
  <c r="I14" i="10" a="1"/>
  <c r="I14" i="10" s="1"/>
  <c r="I28" i="10" a="1"/>
  <c r="I28" i="10" s="1"/>
  <c r="I29" i="10" a="1"/>
  <c r="I29" i="10" s="1"/>
  <c r="I19" i="10" a="1"/>
  <c r="I19" i="10" s="1"/>
  <c r="I15" i="10" a="1"/>
  <c r="I15" i="10" s="1"/>
  <c r="I13" i="10" a="1"/>
  <c r="I13" i="10" s="1"/>
  <c r="I27" i="10" a="1"/>
  <c r="I27" i="10" s="1"/>
  <c r="I40" i="10" a="1"/>
  <c r="I40" i="10" s="1"/>
  <c r="I22" i="10" a="1"/>
  <c r="I22" i="10" s="1"/>
  <c r="D18" i="9" a="1"/>
  <c r="D18" i="9" s="1"/>
  <c r="D25" i="9" a="1"/>
  <c r="D25" i="9" s="1"/>
  <c r="D12" i="9" a="1"/>
  <c r="D12" i="9" s="1"/>
  <c r="D5" i="9" a="1"/>
  <c r="D5" i="9" s="1"/>
  <c r="D26" i="9" a="1"/>
  <c r="D26" i="9" s="1"/>
  <c r="D6" i="9" a="1"/>
  <c r="D6" i="9" s="1"/>
  <c r="D13" i="9" a="1"/>
  <c r="D13" i="9" s="1"/>
  <c r="D20" i="9" a="1"/>
  <c r="D20" i="9" s="1"/>
  <c r="D27" i="9" a="1"/>
  <c r="D27" i="9" s="1"/>
  <c r="D34" i="9" a="1"/>
  <c r="D34" i="9" s="1"/>
  <c r="D41" i="9" a="1"/>
  <c r="D41" i="9" s="1"/>
  <c r="D28" i="9" a="1"/>
  <c r="D28" i="9" s="1"/>
  <c r="D42" i="9" a="1"/>
  <c r="D42" i="9" s="1"/>
  <c r="D9" i="9" a="1"/>
  <c r="D9" i="9" s="1"/>
  <c r="D7" i="9" a="1"/>
  <c r="D7" i="9" s="1"/>
  <c r="D21" i="9" a="1"/>
  <c r="D21" i="9" s="1"/>
  <c r="D31" i="9" a="1"/>
  <c r="D31" i="9" s="1"/>
  <c r="D8" i="9" a="1"/>
  <c r="D8" i="9" s="1"/>
  <c r="D16" i="9" a="1"/>
  <c r="D16" i="9" s="1"/>
  <c r="J30" i="29"/>
  <c r="J27" i="29"/>
  <c r="J26" i="29"/>
  <c r="J24" i="29"/>
  <c r="J21" i="29"/>
  <c r="J20" i="29"/>
  <c r="J18" i="29"/>
  <c r="J12" i="29"/>
  <c r="J10" i="29"/>
  <c r="J8" i="29"/>
  <c r="AH16" i="21" a="1"/>
  <c r="AH16" i="21" s="1"/>
  <c r="I35" i="20" a="1"/>
  <c r="I35" i="20" s="1"/>
  <c r="D2" i="19" a="1"/>
  <c r="D2" i="19" s="1"/>
  <c r="I9" i="20" a="1"/>
  <c r="I9" i="20" s="1"/>
  <c r="I37" i="20" a="1"/>
  <c r="I37" i="20" s="1"/>
  <c r="AH29" i="21" a="1"/>
  <c r="AH29" i="21" s="1"/>
  <c r="AD15" i="3" a="1"/>
  <c r="AD15" i="3" s="1"/>
  <c r="AD14" i="3" a="1"/>
  <c r="AD14" i="3" s="1"/>
  <c r="L14" i="3" a="1"/>
  <c r="L14" i="3" s="1"/>
  <c r="C14" i="3" s="1" a="1"/>
  <c r="C14" i="3" s="1"/>
  <c r="L15" i="3" a="1"/>
  <c r="L15" i="3" s="1"/>
  <c r="AM14" i="3" a="1"/>
  <c r="AM14" i="3" s="1"/>
  <c r="AM15" i="3" a="1"/>
  <c r="AM15" i="3" s="1"/>
  <c r="F42" i="9" a="1"/>
  <c r="F42" i="9" s="1"/>
  <c r="C8" i="25" a="1"/>
  <c r="C8" i="25" s="1"/>
  <c r="H8" i="25" a="1"/>
  <c r="H8" i="25" s="1"/>
  <c r="I8" i="25" a="1"/>
  <c r="I8" i="25" s="1"/>
  <c r="I47" i="20" a="1"/>
  <c r="I47" i="20" s="1"/>
  <c r="I21" i="20" a="1"/>
  <c r="I21" i="20" s="1"/>
  <c r="L1" i="21" a="1"/>
  <c r="L1" i="21" s="1"/>
  <c r="H1" i="21" a="1"/>
  <c r="H1" i="21" s="1"/>
  <c r="I1" i="21" a="1"/>
  <c r="I1" i="21" s="1"/>
  <c r="J1" i="21" a="1"/>
  <c r="J1" i="21" s="1"/>
  <c r="O1" i="21" a="1"/>
  <c r="O1" i="21" s="1"/>
  <c r="K1" i="21" a="1"/>
  <c r="K1" i="21" s="1"/>
  <c r="F1" i="21" a="1"/>
  <c r="F1" i="21" s="1"/>
  <c r="N1" i="21" a="1"/>
  <c r="N1" i="21" s="1"/>
  <c r="M1" i="21" a="1"/>
  <c r="M1" i="21" s="1"/>
  <c r="AP6" i="3" a="1"/>
  <c r="AP6" i="3" s="1"/>
  <c r="AP7" i="3" s="1" a="1"/>
  <c r="AP7" i="3" s="1"/>
  <c r="AP8" i="3" s="1" a="1"/>
  <c r="AP8" i="3" s="1"/>
  <c r="AP9" i="3" s="1" a="1"/>
  <c r="AP9" i="3" s="1"/>
  <c r="AP10" i="3" s="1" a="1"/>
  <c r="AP10" i="3" s="1"/>
  <c r="J1" i="19" a="1"/>
  <c r="J1" i="19" s="1"/>
  <c r="J2" i="19" s="1" a="1"/>
  <c r="J2" i="19" s="1"/>
  <c r="AU5" i="17"/>
  <c r="AV5" i="17" s="1" a="1"/>
  <c r="AV5" i="17" s="1"/>
  <c r="I233" i="28"/>
  <c r="H4" i="32" s="1" a="1"/>
  <c r="H4" i="32" s="1"/>
  <c r="I7" i="20" a="1"/>
  <c r="I7" i="20" s="1"/>
  <c r="L49" i="3" a="1"/>
  <c r="L49" i="3" s="1"/>
  <c r="C49" i="3" s="1" a="1"/>
  <c r="C49" i="3" s="1"/>
  <c r="AD49" i="3" a="1"/>
  <c r="AD49" i="3" s="1"/>
  <c r="AM49" i="3" a="1"/>
  <c r="AM49" i="3" s="1"/>
  <c r="AH3" i="21" a="1"/>
  <c r="AH3" i="21" s="1"/>
  <c r="AH19" i="21" a="1"/>
  <c r="AH19" i="21" s="1"/>
  <c r="AH27" i="21" a="1"/>
  <c r="AH27" i="21" s="1"/>
  <c r="AH20" i="21" a="1"/>
  <c r="AH20" i="21" s="1"/>
  <c r="AH36" i="21" a="1"/>
  <c r="AH36" i="21" s="1"/>
  <c r="AH4" i="21" a="1"/>
  <c r="AH4" i="21" s="1"/>
  <c r="AH28" i="21" a="1"/>
  <c r="AH28" i="21" s="1"/>
  <c r="AH13" i="21" a="1"/>
  <c r="AH13" i="21" s="1"/>
  <c r="AH5" i="21" a="1"/>
  <c r="AH5" i="21" s="1"/>
  <c r="AH35" i="21" a="1"/>
  <c r="AH35" i="21" s="1"/>
  <c r="AH38" i="21" a="1"/>
  <c r="AH38" i="21" s="1"/>
  <c r="AH6" i="21" a="1"/>
  <c r="AH6" i="21" s="1"/>
  <c r="AH30" i="21" a="1"/>
  <c r="AH30" i="21" s="1"/>
  <c r="AH39" i="21" a="1"/>
  <c r="AH39" i="21" s="1"/>
  <c r="AH31" i="21" a="1"/>
  <c r="AH31" i="21" s="1"/>
  <c r="AH24" i="21" a="1"/>
  <c r="AH24" i="21" s="1"/>
  <c r="AH18" i="21" a="1"/>
  <c r="AH18" i="21" s="1"/>
  <c r="AH32" i="21" a="1"/>
  <c r="AH32" i="21" s="1"/>
  <c r="AH40" i="21" a="1"/>
  <c r="AH40" i="21" s="1"/>
  <c r="AH25" i="21" a="1"/>
  <c r="AH25" i="21" s="1"/>
  <c r="AH17" i="21" a="1"/>
  <c r="AH17" i="21" s="1"/>
  <c r="A41" i="28" a="1"/>
  <c r="A41" i="28" s="1"/>
  <c r="A42" i="28" a="1"/>
  <c r="A42" i="28" s="1"/>
  <c r="P12" i="24"/>
  <c r="I33" i="29" a="1"/>
  <c r="I18" i="29" a="1"/>
  <c r="I12" i="29" a="1"/>
  <c r="I20" i="29" a="1"/>
  <c r="I8" i="29" a="1"/>
  <c r="I24" i="29" a="1"/>
  <c r="I26" i="29" a="1"/>
  <c r="I30" i="29" a="1"/>
  <c r="I21" i="29" a="1"/>
  <c r="I16" i="29" a="1"/>
  <c r="I10" i="29" a="1"/>
  <c r="I27" i="29" a="1"/>
  <c r="D8" i="25" l="1"/>
  <c r="J8" i="25" s="1"/>
  <c r="A106" i="28" a="1"/>
  <c r="A106" i="28" s="1"/>
  <c r="N76" i="34"/>
  <c r="H77" i="34" a="1"/>
  <c r="H77" i="34" s="1"/>
  <c r="E88" i="34" a="1"/>
  <c r="E88" i="34" s="1"/>
  <c r="O89" i="34"/>
  <c r="I16" i="29"/>
  <c r="A115" i="28" a="1"/>
  <c r="A115" i="28" s="1"/>
  <c r="H133" i="28" a="1"/>
  <c r="H133" i="28" s="1"/>
  <c r="H134" i="28" s="1" a="1"/>
  <c r="H134" i="28" s="1"/>
  <c r="H135" i="28" s="1" a="1"/>
  <c r="H135" i="28" s="1"/>
  <c r="H136" i="28" s="1" a="1"/>
  <c r="H136" i="28" s="1"/>
  <c r="H137" i="28" s="1" a="1"/>
  <c r="H137" i="28" s="1"/>
  <c r="H138" i="28" s="1" a="1"/>
  <c r="H138" i="28" s="1"/>
  <c r="H139" i="28" s="1" a="1"/>
  <c r="H139" i="28" s="1"/>
  <c r="H140" i="28" s="1" a="1"/>
  <c r="H140" i="28" s="1"/>
  <c r="H141" i="28" s="1" a="1"/>
  <c r="H141" i="28" s="1"/>
  <c r="H142" i="28" s="1" a="1"/>
  <c r="H142" i="28" s="1"/>
  <c r="H143" i="28" s="1" a="1"/>
  <c r="H143" i="28" s="1"/>
  <c r="H144" i="28" s="1" a="1"/>
  <c r="H144" i="28" s="1"/>
  <c r="H145" i="28" s="1" a="1"/>
  <c r="H145" i="28" s="1"/>
  <c r="H146" i="28" s="1" a="1"/>
  <c r="H146" i="28" s="1"/>
  <c r="H147" i="28" s="1" a="1"/>
  <c r="H147" i="28" s="1"/>
  <c r="H148" i="28" s="1" a="1"/>
  <c r="H148" i="28" s="1"/>
  <c r="H149" i="28" s="1" a="1"/>
  <c r="H149" i="28" s="1"/>
  <c r="H150" i="28" s="1" a="1"/>
  <c r="H150" i="28" s="1"/>
  <c r="H151" i="28" s="1" a="1"/>
  <c r="H151" i="28" s="1"/>
  <c r="H152" i="28" s="1" a="1"/>
  <c r="H152" i="28" s="1"/>
  <c r="H153" i="28" s="1" a="1"/>
  <c r="H153" i="28" s="1"/>
  <c r="H154" i="28" s="1" a="1"/>
  <c r="H154" i="28" s="1"/>
  <c r="H155" i="28" s="1" a="1"/>
  <c r="H155" i="28" s="1"/>
  <c r="H156" i="28" s="1" a="1"/>
  <c r="H156" i="28" s="1"/>
  <c r="H157" i="28" s="1" a="1"/>
  <c r="H157" i="28" s="1"/>
  <c r="H158" i="28" s="1" a="1"/>
  <c r="H158" i="28" s="1"/>
  <c r="H159" i="28" s="1" a="1"/>
  <c r="H159" i="28" s="1"/>
  <c r="H160" i="28" s="1" a="1"/>
  <c r="H160" i="28" s="1"/>
  <c r="H161" i="28" s="1" a="1"/>
  <c r="H161" i="28" s="1"/>
  <c r="H162" i="28" s="1" a="1"/>
  <c r="H162" i="28" s="1"/>
  <c r="H163" i="28" s="1" a="1"/>
  <c r="H163" i="28" s="1"/>
  <c r="H164" i="28" s="1" a="1"/>
  <c r="H164" i="28" s="1"/>
  <c r="H165" i="28" s="1" a="1"/>
  <c r="H165" i="28" s="1"/>
  <c r="H166" i="28" s="1" a="1"/>
  <c r="H166" i="28" s="1"/>
  <c r="H167" i="28" s="1" a="1"/>
  <c r="H167" i="28" s="1"/>
  <c r="H168" i="28" s="1" a="1"/>
  <c r="H168" i="28" s="1"/>
  <c r="H169" i="28" s="1" a="1"/>
  <c r="H169" i="28" s="1"/>
  <c r="H170" i="28" s="1" a="1"/>
  <c r="H170" i="28" s="1"/>
  <c r="H171" i="28" s="1" a="1"/>
  <c r="H171" i="28" s="1"/>
  <c r="H172" i="28" s="1" a="1"/>
  <c r="H172" i="28" s="1"/>
  <c r="H173" i="28" s="1" a="1"/>
  <c r="H173" i="28" s="1"/>
  <c r="H174" i="28" s="1" a="1"/>
  <c r="H174" i="28" s="1"/>
  <c r="H175" i="28" s="1" a="1"/>
  <c r="H175" i="28" s="1"/>
  <c r="H176" i="28" s="1" a="1"/>
  <c r="H176" i="28" s="1"/>
  <c r="H177" i="28" s="1" a="1"/>
  <c r="H177" i="28" s="1"/>
  <c r="H178" i="28" s="1" a="1"/>
  <c r="H178" i="28" s="1"/>
  <c r="H179" i="28" s="1" a="1"/>
  <c r="H179" i="28" s="1"/>
  <c r="H180" i="28" s="1" a="1"/>
  <c r="H180" i="28" s="1"/>
  <c r="H181" i="28" s="1" a="1"/>
  <c r="H181" i="28" s="1"/>
  <c r="H182" i="28" s="1" a="1"/>
  <c r="H182" i="28" s="1"/>
  <c r="H183" i="28" s="1" a="1"/>
  <c r="H183" i="28" s="1"/>
  <c r="H184" i="28" s="1" a="1"/>
  <c r="H184" i="28" s="1"/>
  <c r="H185" i="28" s="1" a="1"/>
  <c r="H185" i="28" s="1"/>
  <c r="H186" i="28" s="1" a="1"/>
  <c r="H186" i="28" s="1"/>
  <c r="H187" i="28" s="1" a="1"/>
  <c r="H187" i="28" s="1"/>
  <c r="H188" i="28" s="1" a="1"/>
  <c r="H188" i="28" s="1"/>
  <c r="H189" i="28" s="1" a="1"/>
  <c r="H189" i="28" s="1"/>
  <c r="H190" i="28" s="1" a="1"/>
  <c r="H190" i="28" s="1"/>
  <c r="H191" i="28" s="1" a="1"/>
  <c r="H191" i="28" s="1"/>
  <c r="H192" i="28" s="1" a="1"/>
  <c r="H192" i="28" s="1"/>
  <c r="H193" i="28" s="1" a="1"/>
  <c r="H193" i="28" s="1"/>
  <c r="H194" i="28" s="1" a="1"/>
  <c r="H194" i="28" s="1"/>
  <c r="H195" i="28" s="1" a="1"/>
  <c r="H195" i="28" s="1"/>
  <c r="H196" i="28" s="1" a="1"/>
  <c r="H196" i="28" s="1"/>
  <c r="H197" i="28" s="1" a="1"/>
  <c r="H197" i="28" s="1"/>
  <c r="H198" i="28" s="1" a="1"/>
  <c r="H198" i="28" s="1"/>
  <c r="H199" i="28" s="1" a="1"/>
  <c r="H199" i="28" s="1"/>
  <c r="H200" i="28" s="1" a="1"/>
  <c r="H200" i="28" s="1"/>
  <c r="H201" i="28" s="1" a="1"/>
  <c r="H201" i="28" s="1"/>
  <c r="H202" i="28" s="1" a="1"/>
  <c r="H202" i="28" s="1"/>
  <c r="H203" i="28" s="1" a="1"/>
  <c r="H203" i="28" s="1"/>
  <c r="H204" i="28" s="1" a="1"/>
  <c r="H204" i="28" s="1"/>
  <c r="H205" i="28" s="1" a="1"/>
  <c r="H205" i="28" s="1"/>
  <c r="H206" i="28" s="1" a="1"/>
  <c r="H206" i="28" s="1"/>
  <c r="H207" i="28" s="1" a="1"/>
  <c r="H207" i="28" s="1"/>
  <c r="H208" i="28" s="1" a="1"/>
  <c r="H208" i="28" s="1"/>
  <c r="H209" i="28" s="1" a="1"/>
  <c r="H209" i="28" s="1"/>
  <c r="H210" i="28" s="1" a="1"/>
  <c r="H210" i="28" s="1"/>
  <c r="H211" i="28" s="1" a="1"/>
  <c r="H211" i="28" s="1"/>
  <c r="H212" i="28" s="1" a="1"/>
  <c r="H212" i="28" s="1"/>
  <c r="H213" i="28" s="1" a="1"/>
  <c r="H213" i="28" s="1"/>
  <c r="H214" i="28" s="1" a="1"/>
  <c r="H214" i="28" s="1"/>
  <c r="H215" i="28" s="1" a="1"/>
  <c r="H215" i="28" s="1"/>
  <c r="H216" i="28" s="1" a="1"/>
  <c r="H216" i="28" s="1"/>
  <c r="H217" i="28" s="1" a="1"/>
  <c r="H217" i="28" s="1"/>
  <c r="H218" i="28" s="1" a="1"/>
  <c r="H218" i="28" s="1"/>
  <c r="H219" i="28" s="1" a="1"/>
  <c r="H219" i="28" s="1"/>
  <c r="AF40" i="9" a="1"/>
  <c r="AF40" i="9" s="1"/>
  <c r="AG3" i="9" a="1"/>
  <c r="AG3" i="9" s="1"/>
  <c r="AG4" i="9" s="1" a="1"/>
  <c r="AG4" i="9" s="1"/>
  <c r="AG5" i="9" s="1" a="1"/>
  <c r="AG5" i="9" s="1"/>
  <c r="AG6" i="9" s="1" a="1"/>
  <c r="AG6" i="9" s="1"/>
  <c r="AG7" i="9" s="1" a="1"/>
  <c r="AG7" i="9" s="1"/>
  <c r="AG8" i="9" s="1" a="1"/>
  <c r="AG8" i="9" s="1"/>
  <c r="AG9" i="9" s="1" a="1"/>
  <c r="AG9" i="9" s="1"/>
  <c r="AG10" i="9" s="1" a="1"/>
  <c r="AG10" i="9" s="1"/>
  <c r="AG11" i="9" s="1" a="1"/>
  <c r="AG11" i="9" s="1"/>
  <c r="AG12" i="9" s="1" a="1"/>
  <c r="AG12" i="9" s="1"/>
  <c r="AG13" i="9" s="1" a="1"/>
  <c r="AG13" i="9" s="1"/>
  <c r="AG14" i="9" s="1" a="1"/>
  <c r="AG14" i="9" s="1"/>
  <c r="AG15" i="9" s="1" a="1"/>
  <c r="AG15" i="9" s="1"/>
  <c r="AG16" i="9" s="1" a="1"/>
  <c r="AG16" i="9" s="1"/>
  <c r="AG17" i="9" s="1" a="1"/>
  <c r="AG17" i="9" s="1"/>
  <c r="AG18" i="9" s="1" a="1"/>
  <c r="AG18" i="9" s="1"/>
  <c r="AG19" i="9" s="1" a="1"/>
  <c r="AG19" i="9" s="1"/>
  <c r="AG20" i="9" s="1" a="1"/>
  <c r="AG20" i="9" s="1"/>
  <c r="AG21" i="9" s="1" a="1"/>
  <c r="AG21" i="9" s="1"/>
  <c r="AG22" i="9" s="1" a="1"/>
  <c r="AG22" i="9" s="1"/>
  <c r="AG23" i="9" s="1" a="1"/>
  <c r="AG23" i="9" s="1"/>
  <c r="AG24" i="9" s="1" a="1"/>
  <c r="AG24" i="9" s="1"/>
  <c r="AG25" i="9" s="1" a="1"/>
  <c r="AG25" i="9" s="1"/>
  <c r="AG26" i="9" s="1" a="1"/>
  <c r="AG26" i="9" s="1"/>
  <c r="AG27" i="9" s="1" a="1"/>
  <c r="AG27" i="9" s="1"/>
  <c r="AG28" i="9" s="1" a="1"/>
  <c r="AG28" i="9" s="1"/>
  <c r="AG29" i="9" s="1" a="1"/>
  <c r="AG29" i="9" s="1"/>
  <c r="AG30" i="9" s="1" a="1"/>
  <c r="AG30" i="9" s="1"/>
  <c r="AG31" i="9" s="1" a="1"/>
  <c r="AG31" i="9" s="1"/>
  <c r="AM4" i="10" a="1"/>
  <c r="AM4" i="10" s="1"/>
  <c r="AP7" i="20" a="1"/>
  <c r="AP7" i="20" s="1"/>
  <c r="A128" i="28" a="1"/>
  <c r="A128" i="28" s="1"/>
  <c r="AP11" i="3" a="1"/>
  <c r="AP11" i="3" s="1"/>
  <c r="AP12" i="3" s="1" a="1"/>
  <c r="AP12" i="3" s="1"/>
  <c r="AP13" i="3" s="1" a="1"/>
  <c r="AP13" i="3" s="1"/>
  <c r="AP14" i="3" s="1" a="1"/>
  <c r="AP14" i="3" s="1"/>
  <c r="AP15" i="3" s="1" a="1"/>
  <c r="AP15" i="3" s="1"/>
  <c r="AP16" i="3" s="1" a="1"/>
  <c r="AP16" i="3" s="1"/>
  <c r="AP17" i="3" s="1" a="1"/>
  <c r="AP17" i="3" s="1"/>
  <c r="AP18" i="3" s="1" a="1"/>
  <c r="AP18" i="3" s="1"/>
  <c r="AP19" i="3" s="1" a="1"/>
  <c r="AP19" i="3" s="1"/>
  <c r="AP20" i="3" s="1" a="1"/>
  <c r="AP20" i="3" s="1"/>
  <c r="AP21" i="3" s="1" a="1"/>
  <c r="AP21" i="3" s="1"/>
  <c r="AP22" i="3" s="1" a="1"/>
  <c r="AP22" i="3" s="1"/>
  <c r="AP23" i="3" s="1" a="1"/>
  <c r="AP23" i="3" s="1"/>
  <c r="AP24" i="3" s="1" a="1"/>
  <c r="AP24" i="3" s="1"/>
  <c r="AP25" i="3" s="1" a="1"/>
  <c r="AP25" i="3" s="1"/>
  <c r="AP26" i="3" s="1" a="1"/>
  <c r="AP26" i="3" s="1"/>
  <c r="AP27" i="3" s="1" a="1"/>
  <c r="AP27" i="3" s="1"/>
  <c r="AP28" i="3" s="1" a="1"/>
  <c r="AP28" i="3" s="1"/>
  <c r="AP29" i="3" s="1" a="1"/>
  <c r="AP29" i="3" s="1"/>
  <c r="AP30" i="3" s="1" a="1"/>
  <c r="AP30" i="3" s="1"/>
  <c r="AP31" i="3" s="1" a="1"/>
  <c r="AP31" i="3" s="1"/>
  <c r="AP32" i="3" s="1" a="1"/>
  <c r="AP32" i="3" s="1"/>
  <c r="AP33" i="3" s="1" a="1"/>
  <c r="AP33" i="3" s="1"/>
  <c r="AP34" i="3" s="1" a="1"/>
  <c r="AP34" i="3" s="1"/>
  <c r="AP35" i="3" s="1" a="1"/>
  <c r="AP35" i="3" s="1"/>
  <c r="AP36" i="3" s="1" a="1"/>
  <c r="AP36" i="3" s="1"/>
  <c r="AP37" i="3" s="1" a="1"/>
  <c r="AP37" i="3" s="1"/>
  <c r="AP38" i="3" s="1" a="1"/>
  <c r="AP38" i="3" s="1"/>
  <c r="AP39" i="3" s="1" a="1"/>
  <c r="AP39" i="3" s="1"/>
  <c r="AP40" i="3" s="1" a="1"/>
  <c r="AP40" i="3" s="1"/>
  <c r="AP41" i="3" s="1" a="1"/>
  <c r="AP41" i="3" s="1"/>
  <c r="AP42" i="3" s="1" a="1"/>
  <c r="AP42" i="3" s="1"/>
  <c r="AP43" i="3" s="1" a="1"/>
  <c r="AP43" i="3" s="1"/>
  <c r="AP44" i="3" s="1" a="1"/>
  <c r="AP44" i="3" s="1"/>
  <c r="AP45" i="3" s="1" a="1"/>
  <c r="AP45" i="3" s="1"/>
  <c r="AP46" i="3" s="1" a="1"/>
  <c r="AP46" i="3" s="1"/>
  <c r="AP47" i="3" s="1" a="1"/>
  <c r="AP47" i="3" s="1"/>
  <c r="AP48" i="3" s="1" a="1"/>
  <c r="AP48" i="3" s="1"/>
  <c r="AP49" i="3" s="1" a="1"/>
  <c r="AP49" i="3" s="1"/>
  <c r="AP50" i="3" s="1" a="1"/>
  <c r="AP50" i="3" s="1"/>
  <c r="AP51" i="3" s="1" a="1"/>
  <c r="AP51" i="3" s="1"/>
  <c r="AP52" i="3" s="1" a="1"/>
  <c r="AP52" i="3" s="1"/>
  <c r="AP53" i="3" s="1" a="1"/>
  <c r="AP53" i="3" s="1"/>
  <c r="AP54" i="3" s="1" a="1"/>
  <c r="AP54" i="3" s="1"/>
  <c r="AP55" i="3" s="1" a="1"/>
  <c r="AP55" i="3" s="1"/>
  <c r="AP56" i="3" s="1" a="1"/>
  <c r="AP56" i="3" s="1"/>
  <c r="AP57" i="3" s="1" a="1"/>
  <c r="AP57" i="3" s="1"/>
  <c r="AP58" i="3" s="1" a="1"/>
  <c r="AP58" i="3" s="1"/>
  <c r="AJ49" i="3" a="1"/>
  <c r="AJ49" i="3" s="1"/>
  <c r="AJ14" i="3" a="1"/>
  <c r="AJ14" i="3" s="1"/>
  <c r="AJ15" i="3" a="1"/>
  <c r="AJ15" i="3" s="1"/>
  <c r="AI49" i="3" a="1"/>
  <c r="AI49" i="3" s="1"/>
  <c r="AI14" i="3" a="1"/>
  <c r="AI14" i="3" s="1"/>
  <c r="AH49" i="3" a="1"/>
  <c r="AH49" i="3" s="1"/>
  <c r="AK49" i="3" s="1" a="1"/>
  <c r="AK49" i="3" s="1"/>
  <c r="AH14" i="3" a="1"/>
  <c r="AH14" i="3" s="1"/>
  <c r="AK14" i="3" s="1" a="1"/>
  <c r="AK14" i="3" s="1"/>
  <c r="I33" i="29"/>
  <c r="J32" i="29"/>
  <c r="I30" i="29"/>
  <c r="I27" i="29"/>
  <c r="I26" i="29"/>
  <c r="I24" i="29"/>
  <c r="I21" i="29"/>
  <c r="I20" i="29"/>
  <c r="I18" i="29"/>
  <c r="I12" i="29"/>
  <c r="I10" i="29"/>
  <c r="I8" i="29"/>
  <c r="C15" i="3" a="1"/>
  <c r="C15" i="3" s="1"/>
  <c r="J14" i="3"/>
  <c r="AB14" i="3" s="1" a="1"/>
  <c r="AB14" i="3" s="1"/>
  <c r="AF14" i="3" a="1"/>
  <c r="AF14" i="3" s="1"/>
  <c r="O14" i="3"/>
  <c r="K14" i="3"/>
  <c r="AE14" i="3" a="1"/>
  <c r="AE14" i="3" s="1"/>
  <c r="AL14" i="3" a="1"/>
  <c r="AL14" i="3" s="1"/>
  <c r="AG14" i="3" a="1"/>
  <c r="AG14" i="3" s="1"/>
  <c r="AL15" i="3" a="1"/>
  <c r="AL15" i="3" s="1"/>
  <c r="O15" i="3" s="1"/>
  <c r="AE15" i="3" a="1"/>
  <c r="AE15" i="3" s="1"/>
  <c r="AF15" i="3" a="1"/>
  <c r="AF15" i="3" s="1"/>
  <c r="AG15" i="3" a="1"/>
  <c r="AG15" i="3" s="1"/>
  <c r="E15" i="3" s="1"/>
  <c r="O8" i="25" s="1" a="1"/>
  <c r="O8" i="25" s="1"/>
  <c r="K15" i="3"/>
  <c r="J15" i="3"/>
  <c r="AB15" i="3" s="1" a="1"/>
  <c r="AB15" i="3" s="1"/>
  <c r="J4" i="19" a="1"/>
  <c r="J4" i="19" s="1"/>
  <c r="A2" i="32" a="1"/>
  <c r="A2" i="32" s="1"/>
  <c r="A3" i="32" a="1"/>
  <c r="A3" i="32" s="1"/>
  <c r="L4" i="32" a="1"/>
  <c r="L4" i="32" s="1"/>
  <c r="C4" i="32" a="1"/>
  <c r="C4" i="32" s="1"/>
  <c r="S4" i="32" a="1"/>
  <c r="S4" i="32" s="1"/>
  <c r="R4" i="32" a="1"/>
  <c r="R4" i="32" s="1"/>
  <c r="B4" i="32" a="1"/>
  <c r="B4" i="32" s="1"/>
  <c r="E4" i="32" a="1"/>
  <c r="E4" i="32" s="1"/>
  <c r="Q4" i="32" a="1"/>
  <c r="Q4" i="32" s="1"/>
  <c r="I4" i="32" a="1"/>
  <c r="I4" i="32" s="1"/>
  <c r="P4" i="32" a="1"/>
  <c r="P4" i="32" s="1"/>
  <c r="G4" i="32" a="1"/>
  <c r="G4" i="32" s="1"/>
  <c r="O4" i="32" a="1"/>
  <c r="O4" i="32" s="1"/>
  <c r="F4" i="32" a="1"/>
  <c r="F4" i="32" s="1"/>
  <c r="K4" i="32" a="1"/>
  <c r="K4" i="32" s="1"/>
  <c r="N4" i="32" a="1"/>
  <c r="N4" i="32" s="1"/>
  <c r="J4" i="32" a="1"/>
  <c r="J4" i="32" s="1"/>
  <c r="M4" i="32" a="1"/>
  <c r="M4" i="32" s="1"/>
  <c r="T4" i="32" a="1"/>
  <c r="T4" i="32" s="1"/>
  <c r="D4" i="32" a="1"/>
  <c r="D4" i="32" s="1"/>
  <c r="J49" i="3"/>
  <c r="AB49" i="3" s="1" a="1"/>
  <c r="AB49" i="3" s="1"/>
  <c r="AE49" i="3" a="1"/>
  <c r="AE49" i="3" s="1"/>
  <c r="K49" i="3"/>
  <c r="AG49" i="3" a="1"/>
  <c r="AG49" i="3" s="1"/>
  <c r="E49" i="3" s="1"/>
  <c r="Q49" i="3" s="1"/>
  <c r="AF49" i="3" a="1"/>
  <c r="AF49" i="3" s="1"/>
  <c r="A43" i="28" a="1"/>
  <c r="A43" i="28" s="1"/>
  <c r="K32" i="29" a="1"/>
  <c r="K24" i="29" a="1"/>
  <c r="K33" i="29" a="1"/>
  <c r="K8" i="29" a="1"/>
  <c r="K18" i="29" a="1"/>
  <c r="K26" i="29" a="1"/>
  <c r="K10" i="29" a="1"/>
  <c r="K21" i="29" a="1"/>
  <c r="K16" i="29" a="1"/>
  <c r="K30" i="29" a="1"/>
  <c r="K27" i="29" a="1"/>
  <c r="K20" i="29" a="1"/>
  <c r="K12" i="29" a="1"/>
  <c r="E89" i="34" l="1" a="1"/>
  <c r="E89" i="34" s="1"/>
  <c r="O90" i="34"/>
  <c r="N77" i="34"/>
  <c r="H78" i="34" a="1"/>
  <c r="H78" i="34" s="1"/>
  <c r="K16" i="29"/>
  <c r="L16" i="29" s="1" a="1"/>
  <c r="L16" i="29" s="1"/>
  <c r="H220" i="28" a="1"/>
  <c r="H220" i="28" s="1"/>
  <c r="A220" i="28" s="1" a="1"/>
  <c r="A220" i="28" s="1"/>
  <c r="A133" i="28" a="1"/>
  <c r="A133" i="28" s="1"/>
  <c r="K26" i="29"/>
  <c r="K8" i="29"/>
  <c r="L8" i="29" s="1"/>
  <c r="K12" i="29"/>
  <c r="AL6" i="10" s="1" a="1"/>
  <c r="AL6" i="10" s="1"/>
  <c r="K27" i="29"/>
  <c r="L27" i="29" s="1" a="1"/>
  <c r="L27" i="29" s="1"/>
  <c r="K20" i="29"/>
  <c r="AL10" i="10" s="1" a="1"/>
  <c r="AL10" i="10" s="1"/>
  <c r="K24" i="29"/>
  <c r="K30" i="29"/>
  <c r="K10" i="29"/>
  <c r="L10" i="29" s="1" a="1"/>
  <c r="L10" i="29" s="1"/>
  <c r="K18" i="29"/>
  <c r="K21" i="29"/>
  <c r="AL11" i="10" s="1" a="1"/>
  <c r="AL11" i="10" s="1"/>
  <c r="K32" i="29"/>
  <c r="L32" i="29" s="1" a="1"/>
  <c r="L32" i="29" s="1"/>
  <c r="K33" i="29"/>
  <c r="AL12" i="10" s="1" a="1"/>
  <c r="AL12" i="10" s="1"/>
  <c r="AP8" i="20" a="1"/>
  <c r="AP8" i="20" s="1"/>
  <c r="AH15" i="3" a="1"/>
  <c r="AH15" i="3" s="1"/>
  <c r="AI15" i="3" a="1"/>
  <c r="AI15" i="3" s="1"/>
  <c r="U14" i="3"/>
  <c r="Q15" i="3"/>
  <c r="T8" i="25"/>
  <c r="L8" i="25"/>
  <c r="M8" i="25" s="1" a="1"/>
  <c r="M8" i="25" s="1"/>
  <c r="U8" i="25" s="1" a="1"/>
  <c r="U8" i="25" s="1"/>
  <c r="G49" i="3"/>
  <c r="S49" i="3" s="1"/>
  <c r="U49" i="3"/>
  <c r="A44" i="28" a="1"/>
  <c r="A44" i="28" s="1"/>
  <c r="L47" i="3" a="1"/>
  <c r="L47" i="3" s="1"/>
  <c r="C47" i="3" s="1" a="1"/>
  <c r="C47" i="3" s="1"/>
  <c r="AD47" i="3" a="1"/>
  <c r="AD47" i="3" s="1"/>
  <c r="F16" i="9" a="1"/>
  <c r="F16" i="9" s="1"/>
  <c r="F32" i="9" a="1"/>
  <c r="F32" i="9" s="1"/>
  <c r="F33" i="9" a="1"/>
  <c r="F33" i="9" s="1"/>
  <c r="F37" i="9" a="1"/>
  <c r="F37" i="9" s="1"/>
  <c r="F18" i="9" a="1"/>
  <c r="F18" i="9" s="1"/>
  <c r="F34" i="9" a="1"/>
  <c r="F34" i="9" s="1"/>
  <c r="F5" i="9" a="1"/>
  <c r="F5" i="9" s="1"/>
  <c r="F40" i="9" a="1"/>
  <c r="F40" i="9" s="1"/>
  <c r="F20" i="9" a="1"/>
  <c r="F20" i="9" s="1"/>
  <c r="F6" i="9" a="1"/>
  <c r="F6" i="9" s="1"/>
  <c r="F39" i="9" a="1"/>
  <c r="F39" i="9" s="1"/>
  <c r="F7" i="9" a="1"/>
  <c r="F7" i="9" s="1"/>
  <c r="F8" i="9" a="1"/>
  <c r="F8" i="9" s="1"/>
  <c r="F9" i="9" a="1"/>
  <c r="F9" i="9" s="1"/>
  <c r="F25" i="9" a="1"/>
  <c r="F25" i="9" s="1"/>
  <c r="F41" i="9" a="1"/>
  <c r="F41" i="9" s="1"/>
  <c r="F35" i="9" a="1"/>
  <c r="F35" i="9" s="1"/>
  <c r="F10" i="9" a="1"/>
  <c r="F10" i="9" s="1"/>
  <c r="F26" i="9" a="1"/>
  <c r="F26" i="9" s="1"/>
  <c r="F27" i="9" a="1"/>
  <c r="F27" i="9" s="1"/>
  <c r="F28" i="9" a="1"/>
  <c r="F28" i="9" s="1"/>
  <c r="F11" i="9" a="1"/>
  <c r="F11" i="9" s="1"/>
  <c r="F12" i="9" a="1"/>
  <c r="F12" i="9" s="1"/>
  <c r="F13" i="9" a="1"/>
  <c r="F13" i="9" s="1"/>
  <c r="F31" i="9" a="1"/>
  <c r="F31" i="9" s="1"/>
  <c r="F19" i="9" a="1"/>
  <c r="F19" i="9" s="1"/>
  <c r="C3" i="25" a="1"/>
  <c r="C3" i="25" s="1"/>
  <c r="C4" i="25" a="1"/>
  <c r="C4" i="25" s="1"/>
  <c r="C14" i="25" a="1"/>
  <c r="C14" i="25" s="1"/>
  <c r="C15" i="25" a="1"/>
  <c r="C15" i="25" s="1"/>
  <c r="C5" i="25" a="1"/>
  <c r="C5" i="25" s="1"/>
  <c r="C6" i="25" a="1"/>
  <c r="C6" i="25" s="1"/>
  <c r="C16" i="25" a="1"/>
  <c r="C16" i="25" s="1"/>
  <c r="C7" i="25" a="1"/>
  <c r="C7" i="25" s="1"/>
  <c r="C9" i="25" a="1"/>
  <c r="C9" i="25" s="1"/>
  <c r="C10" i="25" a="1"/>
  <c r="C10" i="25" s="1"/>
  <c r="C11" i="25" a="1"/>
  <c r="C11" i="25" s="1"/>
  <c r="C12" i="25" a="1"/>
  <c r="C12" i="25" s="1"/>
  <c r="C13" i="25" a="1"/>
  <c r="C13" i="25" s="1"/>
  <c r="C17" i="25" a="1"/>
  <c r="C17" i="25" s="1"/>
  <c r="C18" i="25" a="1"/>
  <c r="C18" i="25" s="1"/>
  <c r="L30" i="3" a="1"/>
  <c r="L30" i="3" s="1"/>
  <c r="C30" i="3" s="1" a="1"/>
  <c r="C30" i="3" s="1"/>
  <c r="L46" i="3" a="1"/>
  <c r="L46" i="3" s="1"/>
  <c r="C46" i="3" s="1" a="1"/>
  <c r="C46" i="3" s="1"/>
  <c r="L64" i="3" a="1"/>
  <c r="L64" i="3" s="1"/>
  <c r="L80" i="3" a="1"/>
  <c r="L80" i="3" s="1"/>
  <c r="L96" i="3" a="1"/>
  <c r="L96" i="3" s="1"/>
  <c r="L81" i="3" a="1"/>
  <c r="L81" i="3" s="1"/>
  <c r="L97" i="3" a="1"/>
  <c r="L97" i="3" s="1"/>
  <c r="L31" i="3" a="1"/>
  <c r="L31" i="3" s="1"/>
  <c r="C31" i="3" s="1" a="1"/>
  <c r="C31" i="3" s="1"/>
  <c r="L48" i="3" a="1"/>
  <c r="L48" i="3" s="1"/>
  <c r="C48" i="3" s="1" a="1"/>
  <c r="C48" i="3" s="1"/>
  <c r="L65" i="3" a="1"/>
  <c r="L65" i="3" s="1"/>
  <c r="L16" i="3" a="1"/>
  <c r="L16" i="3" s="1"/>
  <c r="C16" i="3" s="1" a="1"/>
  <c r="C16" i="3" s="1"/>
  <c r="L32" i="3" a="1"/>
  <c r="L32" i="3" s="1"/>
  <c r="C32" i="3" s="1" a="1"/>
  <c r="C32" i="3" s="1"/>
  <c r="L50" i="3" a="1"/>
  <c r="L50" i="3" s="1"/>
  <c r="C50" i="3" s="1" a="1"/>
  <c r="C50" i="3" s="1"/>
  <c r="L66" i="3" a="1"/>
  <c r="L66" i="3" s="1"/>
  <c r="L82" i="3" a="1"/>
  <c r="L82" i="3" s="1"/>
  <c r="L98" i="3" a="1"/>
  <c r="L98" i="3" s="1"/>
  <c r="L101" i="3" a="1"/>
  <c r="L101" i="3" s="1"/>
  <c r="L17" i="3" a="1"/>
  <c r="L17" i="3" s="1"/>
  <c r="C17" i="3" s="1" a="1"/>
  <c r="C17" i="3" s="1"/>
  <c r="L33" i="3" a="1"/>
  <c r="L33" i="3" s="1"/>
  <c r="L51" i="3" a="1"/>
  <c r="L51" i="3" s="1"/>
  <c r="C51" i="3" s="1" a="1"/>
  <c r="C51" i="3" s="1"/>
  <c r="L67" i="3" a="1"/>
  <c r="L67" i="3" s="1"/>
  <c r="L83" i="3" a="1"/>
  <c r="L83" i="3" s="1"/>
  <c r="L99" i="3" a="1"/>
  <c r="L99" i="3" s="1"/>
  <c r="L84" i="3" a="1"/>
  <c r="L84" i="3" s="1"/>
  <c r="L18" i="3" a="1"/>
  <c r="L18" i="3" s="1"/>
  <c r="C18" i="3" s="1" a="1"/>
  <c r="C18" i="3" s="1"/>
  <c r="L34" i="3" a="1"/>
  <c r="L34" i="3" s="1"/>
  <c r="C34" i="3" s="1" a="1"/>
  <c r="C34" i="3" s="1"/>
  <c r="L52" i="3" a="1"/>
  <c r="L52" i="3" s="1"/>
  <c r="C52" i="3" s="1" a="1"/>
  <c r="C52" i="3" s="1"/>
  <c r="L68" i="3" a="1"/>
  <c r="L68" i="3" s="1"/>
  <c r="L100" i="3" a="1"/>
  <c r="L100" i="3" s="1"/>
  <c r="L19" i="3" a="1"/>
  <c r="L19" i="3" s="1"/>
  <c r="C19" i="3" s="1" a="1"/>
  <c r="C19" i="3" s="1"/>
  <c r="L35" i="3" a="1"/>
  <c r="L35" i="3" s="1"/>
  <c r="C35" i="3" s="1" a="1"/>
  <c r="C35" i="3" s="1"/>
  <c r="L53" i="3" a="1"/>
  <c r="L53" i="3" s="1"/>
  <c r="C53" i="3" s="1" a="1"/>
  <c r="C53" i="3" s="1"/>
  <c r="L69" i="3" a="1"/>
  <c r="L69" i="3" s="1"/>
  <c r="L85" i="3" a="1"/>
  <c r="L85" i="3" s="1"/>
  <c r="L4" i="3" a="1"/>
  <c r="L4" i="3" s="1"/>
  <c r="C4" i="3" s="1" a="1"/>
  <c r="C4" i="3" s="1"/>
  <c r="L20" i="3" a="1"/>
  <c r="L20" i="3" s="1"/>
  <c r="C20" i="3" s="1" a="1"/>
  <c r="C20" i="3" s="1"/>
  <c r="L36" i="3" a="1"/>
  <c r="L36" i="3" s="1"/>
  <c r="C36" i="3" s="1" a="1"/>
  <c r="C36" i="3" s="1"/>
  <c r="L54" i="3" a="1"/>
  <c r="L54" i="3" s="1"/>
  <c r="C54" i="3" s="1" a="1"/>
  <c r="C54" i="3" s="1"/>
  <c r="L70" i="3" a="1"/>
  <c r="L70" i="3" s="1"/>
  <c r="L86" i="3" a="1"/>
  <c r="L86" i="3" s="1"/>
  <c r="L102" i="3" a="1"/>
  <c r="L102" i="3" s="1"/>
  <c r="L103" i="3" a="1"/>
  <c r="L103" i="3" s="1"/>
  <c r="L5" i="3" a="1"/>
  <c r="L5" i="3" s="1"/>
  <c r="C5" i="3" s="1" a="1"/>
  <c r="C5" i="3" s="1"/>
  <c r="L21" i="3" a="1"/>
  <c r="L21" i="3" s="1"/>
  <c r="C21" i="3" s="1" a="1"/>
  <c r="C21" i="3" s="1"/>
  <c r="L37" i="3" a="1"/>
  <c r="L37" i="3" s="1"/>
  <c r="C37" i="3" s="1" a="1"/>
  <c r="C37" i="3" s="1"/>
  <c r="L55" i="3" a="1"/>
  <c r="L55" i="3" s="1"/>
  <c r="C55" i="3" s="1" a="1"/>
  <c r="C55" i="3" s="1"/>
  <c r="L71" i="3" a="1"/>
  <c r="L71" i="3" s="1"/>
  <c r="L87" i="3" a="1"/>
  <c r="L87" i="3" s="1"/>
  <c r="L6" i="3" a="1"/>
  <c r="L6" i="3" s="1"/>
  <c r="L22" i="3" a="1"/>
  <c r="L22" i="3" s="1"/>
  <c r="C22" i="3" s="1" a="1"/>
  <c r="C22" i="3" s="1"/>
  <c r="L38" i="3" a="1"/>
  <c r="L38" i="3" s="1"/>
  <c r="C38" i="3" s="1" a="1"/>
  <c r="C38" i="3" s="1"/>
  <c r="L56" i="3" a="1"/>
  <c r="L56" i="3" s="1"/>
  <c r="C56" i="3" s="1" a="1"/>
  <c r="C56" i="3" s="1"/>
  <c r="L72" i="3" a="1"/>
  <c r="L72" i="3" s="1"/>
  <c r="L88" i="3" a="1"/>
  <c r="L88" i="3" s="1"/>
  <c r="L89" i="3" a="1"/>
  <c r="L89" i="3" s="1"/>
  <c r="L7" i="3" a="1"/>
  <c r="L7" i="3" s="1"/>
  <c r="C7" i="3" s="1" a="1"/>
  <c r="C7" i="3" s="1"/>
  <c r="L23" i="3" a="1"/>
  <c r="L23" i="3" s="1"/>
  <c r="C23" i="3" s="1" a="1"/>
  <c r="C23" i="3" s="1"/>
  <c r="L39" i="3" a="1"/>
  <c r="L39" i="3" s="1"/>
  <c r="C39" i="3" s="1" a="1"/>
  <c r="C39" i="3" s="1"/>
  <c r="L57" i="3" a="1"/>
  <c r="L57" i="3" s="1"/>
  <c r="C57" i="3" s="1" a="1"/>
  <c r="C57" i="3" s="1"/>
  <c r="L73" i="3" a="1"/>
  <c r="L73" i="3" s="1"/>
  <c r="L8" i="3" a="1"/>
  <c r="L8" i="3" s="1"/>
  <c r="C8" i="3" s="1" a="1"/>
  <c r="C8" i="3" s="1"/>
  <c r="L24" i="3" a="1"/>
  <c r="L24" i="3" s="1"/>
  <c r="C24" i="3" s="1" a="1"/>
  <c r="C24" i="3" s="1"/>
  <c r="L40" i="3" a="1"/>
  <c r="L40" i="3" s="1"/>
  <c r="C40" i="3" s="1" a="1"/>
  <c r="C40" i="3" s="1"/>
  <c r="L58" i="3" a="1"/>
  <c r="L58" i="3" s="1"/>
  <c r="C58" i="3" s="1" a="1"/>
  <c r="C58" i="3" s="1"/>
  <c r="L74" i="3" a="1"/>
  <c r="L74" i="3" s="1"/>
  <c r="L90" i="3" a="1"/>
  <c r="L90" i="3" s="1"/>
  <c r="L59" i="3" a="1"/>
  <c r="L59" i="3" s="1"/>
  <c r="L75" i="3" a="1"/>
  <c r="L75" i="3" s="1"/>
  <c r="L92" i="3" a="1"/>
  <c r="L92" i="3" s="1"/>
  <c r="L77" i="3" a="1"/>
  <c r="L77" i="3" s="1"/>
  <c r="L12" i="3" a="1"/>
  <c r="L12" i="3" s="1"/>
  <c r="C12" i="3" s="1" a="1"/>
  <c r="C12" i="3" s="1"/>
  <c r="L62" i="3" a="1"/>
  <c r="L62" i="3" s="1"/>
  <c r="L78" i="3" a="1"/>
  <c r="L78" i="3" s="1"/>
  <c r="L63" i="3" a="1"/>
  <c r="L63" i="3" s="1"/>
  <c r="L9" i="3" a="1"/>
  <c r="L9" i="3" s="1"/>
  <c r="C9" i="3" s="1" a="1"/>
  <c r="C9" i="3" s="1"/>
  <c r="L25" i="3" a="1"/>
  <c r="L25" i="3" s="1"/>
  <c r="C25" i="3" s="1" a="1"/>
  <c r="C25" i="3" s="1"/>
  <c r="L41" i="3" a="1"/>
  <c r="L41" i="3" s="1"/>
  <c r="C41" i="3" s="1" a="1"/>
  <c r="C41" i="3" s="1"/>
  <c r="L91" i="3" a="1"/>
  <c r="L91" i="3" s="1"/>
  <c r="L28" i="3" a="1"/>
  <c r="L28" i="3" s="1"/>
  <c r="C28" i="3" s="1" a="1"/>
  <c r="C28" i="3" s="1"/>
  <c r="L94" i="3" a="1"/>
  <c r="L94" i="3" s="1"/>
  <c r="L95" i="3" a="1"/>
  <c r="L95" i="3" s="1"/>
  <c r="L10" i="3" a="1"/>
  <c r="L10" i="3" s="1"/>
  <c r="C10" i="3" s="1" a="1"/>
  <c r="C10" i="3" s="1"/>
  <c r="L26" i="3" a="1"/>
  <c r="L26" i="3" s="1"/>
  <c r="C26" i="3" s="1" a="1"/>
  <c r="C26" i="3" s="1"/>
  <c r="L42" i="3" a="1"/>
  <c r="L42" i="3" s="1"/>
  <c r="C42" i="3" s="1" a="1"/>
  <c r="C42" i="3" s="1"/>
  <c r="L60" i="3" a="1"/>
  <c r="L60" i="3" s="1"/>
  <c r="C60" i="3" s="1" a="1"/>
  <c r="C60" i="3" s="1"/>
  <c r="L76" i="3" a="1"/>
  <c r="L76" i="3" s="1"/>
  <c r="L61" i="3" a="1"/>
  <c r="L61" i="3" s="1"/>
  <c r="L11" i="3" a="1"/>
  <c r="L11" i="3" s="1"/>
  <c r="C11" i="3" s="1" a="1"/>
  <c r="C11" i="3" s="1"/>
  <c r="L27" i="3" a="1"/>
  <c r="L27" i="3" s="1"/>
  <c r="C27" i="3" s="1" a="1"/>
  <c r="C27" i="3" s="1"/>
  <c r="L43" i="3" a="1"/>
  <c r="L43" i="3" s="1"/>
  <c r="C43" i="3" s="1" a="1"/>
  <c r="C43" i="3" s="1"/>
  <c r="L93" i="3" a="1"/>
  <c r="L93" i="3" s="1"/>
  <c r="L44" i="3" a="1"/>
  <c r="L44" i="3" s="1"/>
  <c r="C44" i="3" s="1" a="1"/>
  <c r="C44" i="3" s="1"/>
  <c r="L79" i="3" a="1"/>
  <c r="L79" i="3" s="1"/>
  <c r="L13" i="3" a="1"/>
  <c r="L13" i="3" s="1"/>
  <c r="C13" i="3" s="1" a="1"/>
  <c r="C13" i="3" s="1"/>
  <c r="L29" i="3" a="1"/>
  <c r="L29" i="3" s="1"/>
  <c r="C29" i="3" s="1" a="1"/>
  <c r="C29" i="3" s="1"/>
  <c r="L45" i="3" a="1"/>
  <c r="L45" i="3" s="1"/>
  <c r="C45" i="3" s="1" a="1"/>
  <c r="C45" i="3" s="1"/>
  <c r="AD59" i="3" a="1"/>
  <c r="AD59" i="3" s="1"/>
  <c r="AD60" i="3" a="1"/>
  <c r="AD60" i="3" s="1"/>
  <c r="C3" i="3" a="1"/>
  <c r="C3" i="3" s="1"/>
  <c r="AD8" i="3" a="1"/>
  <c r="AD8" i="3" s="1"/>
  <c r="AD20" i="3" a="1"/>
  <c r="AD20" i="3" s="1"/>
  <c r="AD31" i="3" a="1"/>
  <c r="AD31" i="3" s="1"/>
  <c r="AD46" i="3" a="1"/>
  <c r="AD46" i="3" s="1"/>
  <c r="AD28" i="3" a="1"/>
  <c r="AD28" i="3" s="1"/>
  <c r="AD4" i="3" a="1"/>
  <c r="AD4" i="3" s="1"/>
  <c r="AD48" i="3" a="1"/>
  <c r="AD48" i="3" s="1"/>
  <c r="AD53" i="3" a="1"/>
  <c r="AD53" i="3" s="1"/>
  <c r="AD55" i="3" a="1"/>
  <c r="AD55" i="3" s="1"/>
  <c r="AD29" i="3" a="1"/>
  <c r="AD29" i="3" s="1"/>
  <c r="AD58" i="3" a="1"/>
  <c r="AD58" i="3" s="1"/>
  <c r="AD12" i="3" a="1"/>
  <c r="AD12" i="3" s="1"/>
  <c r="AD30" i="3" a="1"/>
  <c r="AD30" i="3" s="1"/>
  <c r="AD6" i="3" a="1"/>
  <c r="AD6" i="3" s="1"/>
  <c r="AD13" i="3" a="1"/>
  <c r="AD13" i="3" s="1"/>
  <c r="AD23" i="3" a="1"/>
  <c r="AD23" i="3" s="1"/>
  <c r="AD54" i="3" a="1"/>
  <c r="AD54" i="3" s="1"/>
  <c r="AD34" i="3" a="1"/>
  <c r="AD34" i="3" s="1"/>
  <c r="AD44" i="3" a="1"/>
  <c r="AD44" i="3" s="1"/>
  <c r="AD7" i="3" a="1"/>
  <c r="AD7" i="3" s="1"/>
  <c r="AD5" i="3" a="1"/>
  <c r="AD5" i="3" s="1"/>
  <c r="AD27" i="3" a="1"/>
  <c r="AD27" i="3" s="1"/>
  <c r="AD40" i="3" a="1"/>
  <c r="AD40" i="3" s="1"/>
  <c r="AD35" i="3" a="1"/>
  <c r="AD35" i="3" s="1"/>
  <c r="AD11" i="3" a="1"/>
  <c r="AD11" i="3" s="1"/>
  <c r="AD57" i="3" a="1"/>
  <c r="AD57" i="3" s="1"/>
  <c r="AD18" i="3" a="1"/>
  <c r="AD18" i="3" s="1"/>
  <c r="AD32" i="3" a="1"/>
  <c r="AD32" i="3" s="1"/>
  <c r="AD43" i="3" a="1"/>
  <c r="AD43" i="3" s="1"/>
  <c r="AD39" i="3" a="1"/>
  <c r="AD39" i="3" s="1"/>
  <c r="AD36" i="3" a="1"/>
  <c r="AD36" i="3" s="1"/>
  <c r="AD19" i="3" a="1"/>
  <c r="AD19" i="3" s="1"/>
  <c r="AD26" i="3" a="1"/>
  <c r="AD26" i="3" s="1"/>
  <c r="AD22" i="3" a="1"/>
  <c r="AD22" i="3" s="1"/>
  <c r="AD52" i="3" a="1"/>
  <c r="AD52" i="3" s="1"/>
  <c r="AD16" i="3" a="1"/>
  <c r="AD16" i="3" s="1"/>
  <c r="AD10" i="3" a="1"/>
  <c r="AD10" i="3" s="1"/>
  <c r="AD41" i="3" a="1"/>
  <c r="AD41" i="3" s="1"/>
  <c r="AD42" i="3" a="1"/>
  <c r="AD42" i="3" s="1"/>
  <c r="AD56" i="3" a="1"/>
  <c r="AD56" i="3" s="1"/>
  <c r="AD17" i="3" a="1"/>
  <c r="AD17" i="3" s="1"/>
  <c r="AD25" i="3" a="1"/>
  <c r="AD25" i="3" s="1"/>
  <c r="AD38" i="3" a="1"/>
  <c r="AD38" i="3" s="1"/>
  <c r="AD9" i="3" a="1"/>
  <c r="AD9" i="3" s="1"/>
  <c r="AD21" i="3" a="1"/>
  <c r="AD21" i="3" s="1"/>
  <c r="AD51" i="3" a="1"/>
  <c r="AD51" i="3" s="1"/>
  <c r="AD45" i="3" a="1"/>
  <c r="AD45" i="3" s="1"/>
  <c r="AD24" i="3" a="1"/>
  <c r="AD24" i="3" s="1"/>
  <c r="AD37" i="3" a="1"/>
  <c r="AD37" i="3" s="1"/>
  <c r="AD50" i="3" a="1"/>
  <c r="AD50" i="3" s="1"/>
  <c r="AM10" i="3" a="1"/>
  <c r="AM10" i="3" s="1"/>
  <c r="AM40" i="3" a="1"/>
  <c r="AM40" i="3" s="1"/>
  <c r="AM13" i="3" a="1"/>
  <c r="AM13" i="3" s="1"/>
  <c r="AM9" i="3" a="1"/>
  <c r="AM9" i="3" s="1"/>
  <c r="AM75" i="3" a="1"/>
  <c r="AM75" i="3" s="1"/>
  <c r="AM68" i="3" a="1"/>
  <c r="AM68" i="3" s="1"/>
  <c r="AM87" i="3" a="1"/>
  <c r="AM87" i="3" s="1"/>
  <c r="AM45" i="3" a="1"/>
  <c r="AM45" i="3" s="1"/>
  <c r="AM60" i="3" a="1"/>
  <c r="AM60" i="3" s="1"/>
  <c r="AM48" i="3" a="1"/>
  <c r="AM48" i="3" s="1"/>
  <c r="AM36" i="3" a="1"/>
  <c r="AM36" i="3" s="1"/>
  <c r="AM77" i="3" a="1"/>
  <c r="AM77" i="3" s="1"/>
  <c r="AM35" i="3" a="1"/>
  <c r="AM35" i="3" s="1"/>
  <c r="AM51" i="3" a="1"/>
  <c r="AM51" i="3" s="1"/>
  <c r="AM80" i="3" a="1"/>
  <c r="AM80" i="3" s="1"/>
  <c r="AM94" i="3" a="1"/>
  <c r="AM94" i="3" s="1"/>
  <c r="AM34" i="3" a="1"/>
  <c r="AM34" i="3" s="1"/>
  <c r="AM44" i="3" a="1"/>
  <c r="AM44" i="3" s="1"/>
  <c r="AM57" i="3" a="1"/>
  <c r="AM57" i="3" s="1"/>
  <c r="AM37" i="3" a="1"/>
  <c r="AM37" i="3" s="1"/>
  <c r="AM82" i="3" a="1"/>
  <c r="AM82" i="3" s="1"/>
  <c r="AM58" i="3" a="1"/>
  <c r="AM58" i="3" s="1"/>
  <c r="AM33" i="3" a="1"/>
  <c r="AM33" i="3" s="1"/>
  <c r="AM24" i="3" a="1"/>
  <c r="AM24" i="3" s="1"/>
  <c r="AM79" i="3" a="1"/>
  <c r="AM79" i="3" s="1"/>
  <c r="AM85" i="3" a="1"/>
  <c r="AM85" i="3" s="1"/>
  <c r="AM83" i="3" a="1"/>
  <c r="AM83" i="3" s="1"/>
  <c r="AM29" i="3" a="1"/>
  <c r="AM29" i="3" s="1"/>
  <c r="AM50" i="3" a="1"/>
  <c r="AM50" i="3" s="1"/>
  <c r="AM74" i="3" a="1"/>
  <c r="AM74" i="3" s="1"/>
  <c r="AM72" i="3" a="1"/>
  <c r="AM72" i="3" s="1"/>
  <c r="AM97" i="3" a="1"/>
  <c r="AM97" i="3" s="1"/>
  <c r="AM4" i="3" a="1"/>
  <c r="AM4" i="3" s="1"/>
  <c r="AN4" i="3" s="1" a="1"/>
  <c r="AN4" i="3" s="1"/>
  <c r="AM65" i="3" a="1"/>
  <c r="AM65" i="3" s="1"/>
  <c r="AM52" i="3" a="1"/>
  <c r="AM52" i="3" s="1"/>
  <c r="AM5" i="3" a="1"/>
  <c r="AM5" i="3" s="1"/>
  <c r="AM12" i="3" a="1"/>
  <c r="AM12" i="3" s="1"/>
  <c r="AM96" i="3" a="1"/>
  <c r="AM96" i="3" s="1"/>
  <c r="AM6" i="3" a="1"/>
  <c r="AM6" i="3" s="1"/>
  <c r="AM100" i="3" a="1"/>
  <c r="AM100" i="3" s="1"/>
  <c r="AM102" i="3" a="1"/>
  <c r="AM102" i="3" s="1"/>
  <c r="AM25" i="3" a="1"/>
  <c r="AM25" i="3" s="1"/>
  <c r="AM47" i="3" a="1"/>
  <c r="AM47" i="3" s="1"/>
  <c r="AM101" i="3" a="1"/>
  <c r="AM101" i="3" s="1"/>
  <c r="AM22" i="3" a="1"/>
  <c r="AM22" i="3" s="1"/>
  <c r="AM54" i="3" a="1"/>
  <c r="AM54" i="3" s="1"/>
  <c r="AM7" i="3" a="1"/>
  <c r="AM7" i="3" s="1"/>
  <c r="AM38" i="3" a="1"/>
  <c r="AM38" i="3" s="1"/>
  <c r="AM89" i="3" a="1"/>
  <c r="AM89" i="3" s="1"/>
  <c r="AM103" i="3" a="1"/>
  <c r="AM103" i="3" s="1"/>
  <c r="AM16" i="3" a="1"/>
  <c r="AM16" i="3" s="1"/>
  <c r="AM11" i="3" a="1"/>
  <c r="AM11" i="3" s="1"/>
  <c r="AM21" i="3" a="1"/>
  <c r="AM21" i="3" s="1"/>
  <c r="AM93" i="3" a="1"/>
  <c r="AM93" i="3" s="1"/>
  <c r="AM53" i="3" a="1"/>
  <c r="AM53" i="3" s="1"/>
  <c r="AM46" i="3" a="1"/>
  <c r="AM46" i="3" s="1"/>
  <c r="AM70" i="3" a="1"/>
  <c r="AM70" i="3" s="1"/>
  <c r="AM91" i="3" a="1"/>
  <c r="AM91" i="3" s="1"/>
  <c r="AM39" i="3" a="1"/>
  <c r="AM39" i="3" s="1"/>
  <c r="AM76" i="3" a="1"/>
  <c r="AM76" i="3" s="1"/>
  <c r="AM59" i="3" a="1"/>
  <c r="AM59" i="3" s="1"/>
  <c r="AM26" i="3" a="1"/>
  <c r="AM26" i="3" s="1"/>
  <c r="AM90" i="3" a="1"/>
  <c r="AM90" i="3" s="1"/>
  <c r="AM27" i="3" a="1"/>
  <c r="AM27" i="3" s="1"/>
  <c r="AM8" i="3" a="1"/>
  <c r="AM8" i="3" s="1"/>
  <c r="AM98" i="3" a="1"/>
  <c r="AM98" i="3" s="1"/>
  <c r="AM28" i="3" a="1"/>
  <c r="AM28" i="3" s="1"/>
  <c r="AM73" i="3" a="1"/>
  <c r="AM73" i="3" s="1"/>
  <c r="AM62" i="3" a="1"/>
  <c r="AM62" i="3" s="1"/>
  <c r="AM31" i="3" a="1"/>
  <c r="AM31" i="3" s="1"/>
  <c r="AM63" i="3" a="1"/>
  <c r="AM63" i="3" s="1"/>
  <c r="AM61" i="3" a="1"/>
  <c r="AM61" i="3" s="1"/>
  <c r="AM19" i="3" a="1"/>
  <c r="AM19" i="3" s="1"/>
  <c r="AM64" i="3" a="1"/>
  <c r="AM64" i="3" s="1"/>
  <c r="AM55" i="3" a="1"/>
  <c r="AM55" i="3" s="1"/>
  <c r="AM43" i="3" a="1"/>
  <c r="AM43" i="3" s="1"/>
  <c r="AM99" i="3" a="1"/>
  <c r="AM99" i="3" s="1"/>
  <c r="AM32" i="3" a="1"/>
  <c r="AM32" i="3" s="1"/>
  <c r="AM95" i="3" a="1"/>
  <c r="AM95" i="3" s="1"/>
  <c r="AM42" i="3" a="1"/>
  <c r="AM42" i="3" s="1"/>
  <c r="AM17" i="3" a="1"/>
  <c r="AM17" i="3" s="1"/>
  <c r="AM69" i="3" a="1"/>
  <c r="AM69" i="3" s="1"/>
  <c r="AM78" i="3" a="1"/>
  <c r="AM78" i="3" s="1"/>
  <c r="AM20" i="3" a="1"/>
  <c r="AM20" i="3" s="1"/>
  <c r="AM18" i="3" a="1"/>
  <c r="AM18" i="3" s="1"/>
  <c r="AM66" i="3" a="1"/>
  <c r="AM66" i="3" s="1"/>
  <c r="AM84" i="3" a="1"/>
  <c r="AM84" i="3" s="1"/>
  <c r="AM81" i="3" a="1"/>
  <c r="AM81" i="3" s="1"/>
  <c r="AM56" i="3" a="1"/>
  <c r="AM56" i="3" s="1"/>
  <c r="AM86" i="3" a="1"/>
  <c r="AM86" i="3" s="1"/>
  <c r="AM71" i="3" a="1"/>
  <c r="AM71" i="3" s="1"/>
  <c r="AM67" i="3" a="1"/>
  <c r="AM67" i="3" s="1"/>
  <c r="AM92" i="3" a="1"/>
  <c r="AM92" i="3" s="1"/>
  <c r="AM88" i="3" a="1"/>
  <c r="AM88" i="3" s="1"/>
  <c r="AM23" i="3" a="1"/>
  <c r="AM23" i="3" s="1"/>
  <c r="AM30" i="3" a="1"/>
  <c r="AM30" i="3" s="1"/>
  <c r="AL32" i="10" l="1" a="1"/>
  <c r="AL32" i="10" s="1"/>
  <c r="L26" i="29"/>
  <c r="AL7" i="10" a="1"/>
  <c r="AL7" i="10" s="1"/>
  <c r="N78" i="34"/>
  <c r="H79" i="34" a="1"/>
  <c r="H79" i="34" s="1"/>
  <c r="E90" i="34" a="1"/>
  <c r="E90" i="34" s="1"/>
  <c r="O91" i="34"/>
  <c r="AO67" i="20" a="1"/>
  <c r="AO67" i="20" s="1"/>
  <c r="H221" i="28" a="1"/>
  <c r="H221" i="28" s="1"/>
  <c r="H222" i="28" s="1" a="1"/>
  <c r="H222" i="28" s="1"/>
  <c r="H223" i="28" s="1" a="1"/>
  <c r="H223" i="28" s="1"/>
  <c r="H224" i="28" s="1" a="1"/>
  <c r="H224" i="28" s="1"/>
  <c r="H225" i="28" s="1" a="1"/>
  <c r="H225" i="28" s="1"/>
  <c r="H226" i="28" s="1" a="1"/>
  <c r="H226" i="28" s="1"/>
  <c r="H227" i="28" s="1" a="1"/>
  <c r="H227" i="28" s="1"/>
  <c r="H228" i="28" s="1" a="1"/>
  <c r="H228" i="28" s="1"/>
  <c r="H229" i="28" s="1" a="1"/>
  <c r="H229" i="28" s="1"/>
  <c r="H230" i="28" s="1" a="1"/>
  <c r="H230" i="28" s="1"/>
  <c r="H231" i="28" s="1" a="1"/>
  <c r="H231" i="28" s="1"/>
  <c r="H232" i="28" s="1" a="1"/>
  <c r="H232" i="28" s="1"/>
  <c r="H233" i="28" s="1" a="1"/>
  <c r="H233" i="28" s="1"/>
  <c r="H234" i="28" s="1" a="1"/>
  <c r="H234" i="28" s="1"/>
  <c r="H235" i="28" s="1" a="1"/>
  <c r="H235" i="28" s="1"/>
  <c r="H236" i="28" s="1" a="1"/>
  <c r="H236" i="28" s="1"/>
  <c r="H237" i="28" s="1" a="1"/>
  <c r="H237" i="28" s="1"/>
  <c r="H238" i="28" s="1" a="1"/>
  <c r="H238" i="28" s="1"/>
  <c r="H239" i="28" s="1" a="1"/>
  <c r="H239" i="28" s="1"/>
  <c r="H240" i="28" s="1" a="1"/>
  <c r="H240" i="28" s="1"/>
  <c r="H241" i="28" s="1" a="1"/>
  <c r="H241" i="28" s="1"/>
  <c r="H242" i="28" s="1" a="1"/>
  <c r="H242" i="28" s="1"/>
  <c r="H243" i="28" s="1" a="1"/>
  <c r="H243" i="28" s="1"/>
  <c r="H244" i="28" s="1" a="1"/>
  <c r="H244" i="28" s="1"/>
  <c r="H245" i="28" s="1" a="1"/>
  <c r="H245" i="28" s="1"/>
  <c r="H246" i="28" s="1" a="1"/>
  <c r="H246" i="28" s="1"/>
  <c r="H247" i="28" s="1" a="1"/>
  <c r="H247" i="28" s="1"/>
  <c r="H248" i="28" s="1" a="1"/>
  <c r="H248" i="28" s="1"/>
  <c r="H249" i="28" s="1" a="1"/>
  <c r="H249" i="28" s="1"/>
  <c r="H250" i="28" s="1" a="1"/>
  <c r="H250" i="28" s="1"/>
  <c r="H251" i="28" s="1" a="1"/>
  <c r="H251" i="28" s="1"/>
  <c r="H252" i="28" s="1" a="1"/>
  <c r="H252" i="28" s="1"/>
  <c r="H253" i="28" s="1" a="1"/>
  <c r="H253" i="28" s="1"/>
  <c r="H254" i="28" s="1" a="1"/>
  <c r="H254" i="28" s="1"/>
  <c r="H255" i="28" s="1" a="1"/>
  <c r="H255" i="28" s="1"/>
  <c r="H256" i="28" s="1" a="1"/>
  <c r="H256" i="28" s="1"/>
  <c r="H257" i="28" s="1" a="1"/>
  <c r="H257" i="28" s="1"/>
  <c r="H258" i="28" s="1" a="1"/>
  <c r="H258" i="28" s="1"/>
  <c r="H259" i="28" s="1" a="1"/>
  <c r="H259" i="28" s="1"/>
  <c r="H260" i="28" s="1" a="1"/>
  <c r="H260" i="28" s="1"/>
  <c r="H261" i="28" s="1" a="1"/>
  <c r="H261" i="28" s="1"/>
  <c r="H262" i="28" s="1" a="1"/>
  <c r="H262" i="28" s="1"/>
  <c r="H263" i="28" s="1" a="1"/>
  <c r="H263" i="28" s="1"/>
  <c r="V8" i="25"/>
  <c r="AL5" i="10" a="1"/>
  <c r="AL5" i="10" s="1"/>
  <c r="AM5" i="10" s="1" a="1"/>
  <c r="AM5" i="10" s="1"/>
  <c r="AF32" i="9" a="1"/>
  <c r="AF32" i="9" s="1"/>
  <c r="AF43" i="9" a="1"/>
  <c r="AF43" i="9" s="1"/>
  <c r="AL8" i="10" a="1"/>
  <c r="AL8" i="10" s="1"/>
  <c r="AL9" i="10" a="1"/>
  <c r="AL9" i="10" s="1"/>
  <c r="AL33" i="10" a="1"/>
  <c r="AL33" i="10" s="1"/>
  <c r="AO20" i="20" a="1"/>
  <c r="AO20" i="20" s="1"/>
  <c r="L20" i="29" a="1"/>
  <c r="L20" i="29" s="1"/>
  <c r="L12" i="29" a="1"/>
  <c r="L12" i="29" s="1"/>
  <c r="L33" i="29" a="1"/>
  <c r="L33" i="29" s="1"/>
  <c r="L30" i="29" a="1"/>
  <c r="L30" i="29" s="1"/>
  <c r="L21" i="29" a="1"/>
  <c r="L21" i="29" s="1"/>
  <c r="L24" i="29" a="1"/>
  <c r="L24" i="29" s="1"/>
  <c r="AK15" i="3" a="1"/>
  <c r="AK15" i="3" s="1"/>
  <c r="G15" i="3" s="1"/>
  <c r="S15" i="3" s="1"/>
  <c r="AP9" i="20" a="1"/>
  <c r="AP9" i="20" s="1"/>
  <c r="L18" i="29" a="1"/>
  <c r="L18" i="29" s="1"/>
  <c r="AN5" i="3" a="1"/>
  <c r="AN5" i="3" s="1"/>
  <c r="AJ24" i="3" a="1"/>
  <c r="AJ24" i="3" s="1"/>
  <c r="AJ7" i="3" a="1"/>
  <c r="AJ7" i="3" s="1"/>
  <c r="AJ45" i="3" a="1"/>
  <c r="AJ45" i="3" s="1"/>
  <c r="AJ26" i="3" a="1"/>
  <c r="AJ26" i="3" s="1"/>
  <c r="AJ44" i="3" a="1"/>
  <c r="AJ44" i="3" s="1"/>
  <c r="AJ28" i="3" a="1"/>
  <c r="AJ28" i="3" s="1"/>
  <c r="AJ9" i="3" a="1"/>
  <c r="AJ9" i="3" s="1"/>
  <c r="AJ39" i="3" a="1"/>
  <c r="AJ39" i="3" s="1"/>
  <c r="AJ23" i="3" a="1"/>
  <c r="AJ23" i="3" s="1"/>
  <c r="AJ20" i="3" a="1"/>
  <c r="AJ20" i="3" s="1"/>
  <c r="AJ38" i="3" a="1"/>
  <c r="AJ38" i="3" s="1"/>
  <c r="AJ43" i="3" a="1"/>
  <c r="AJ43" i="3" s="1"/>
  <c r="AJ13" i="3" a="1"/>
  <c r="AJ13" i="3" s="1"/>
  <c r="AJ8" i="3" a="1"/>
  <c r="AJ8" i="3" s="1"/>
  <c r="AJ25" i="3" a="1"/>
  <c r="AJ25" i="3" s="1"/>
  <c r="AJ32" i="3" a="1"/>
  <c r="AJ32" i="3" s="1"/>
  <c r="AJ6" i="3" a="1"/>
  <c r="AJ6" i="3" s="1"/>
  <c r="AJ17" i="3" a="1"/>
  <c r="AJ17" i="3" s="1"/>
  <c r="AJ18" i="3" a="1"/>
  <c r="AJ18" i="3" s="1"/>
  <c r="AJ30" i="3" a="1"/>
  <c r="AJ30" i="3" s="1"/>
  <c r="AJ60" i="3" a="1"/>
  <c r="AJ60" i="3" s="1"/>
  <c r="AJ56" i="3" a="1"/>
  <c r="AJ56" i="3" s="1"/>
  <c r="AJ57" i="3" a="1"/>
  <c r="AJ57" i="3" s="1"/>
  <c r="AJ12" i="3" a="1"/>
  <c r="AJ12" i="3" s="1"/>
  <c r="AJ59" i="3" a="1"/>
  <c r="AJ59" i="3" s="1"/>
  <c r="AJ42" i="3" a="1"/>
  <c r="AJ42" i="3" s="1"/>
  <c r="AJ11" i="3" a="1"/>
  <c r="AJ11" i="3" s="1"/>
  <c r="AJ58" i="3" a="1"/>
  <c r="AJ58" i="3" s="1"/>
  <c r="AJ41" i="3" a="1"/>
  <c r="AJ41" i="3" s="1"/>
  <c r="AJ35" i="3" a="1"/>
  <c r="AJ35" i="3" s="1"/>
  <c r="AJ29" i="3" a="1"/>
  <c r="AJ29" i="3" s="1"/>
  <c r="AJ10" i="3" a="1"/>
  <c r="AJ10" i="3" s="1"/>
  <c r="AJ40" i="3" a="1"/>
  <c r="AJ40" i="3" s="1"/>
  <c r="AJ55" i="3" a="1"/>
  <c r="AJ55" i="3" s="1"/>
  <c r="AJ50" i="3" a="1"/>
  <c r="AJ50" i="3" s="1"/>
  <c r="AJ16" i="3" a="1"/>
  <c r="AJ16" i="3" s="1"/>
  <c r="AJ27" i="3" a="1"/>
  <c r="AJ27" i="3" s="1"/>
  <c r="AJ53" i="3" a="1"/>
  <c r="AJ53" i="3" s="1"/>
  <c r="AJ37" i="3" a="1"/>
  <c r="AJ37" i="3" s="1"/>
  <c r="AJ52" i="3" a="1"/>
  <c r="AJ52" i="3" s="1"/>
  <c r="AJ5" i="3" a="1"/>
  <c r="AJ5" i="3" s="1"/>
  <c r="AJ48" i="3" a="1"/>
  <c r="AJ48" i="3" s="1"/>
  <c r="AJ22" i="3" a="1"/>
  <c r="AJ22" i="3" s="1"/>
  <c r="AJ4" i="3" a="1"/>
  <c r="AJ4" i="3" s="1"/>
  <c r="M4" i="3" a="1"/>
  <c r="M4" i="3" s="1"/>
  <c r="M5" i="3" s="1" a="1"/>
  <c r="M5" i="3" s="1"/>
  <c r="M6" i="3" s="1" a="1"/>
  <c r="M6" i="3" s="1"/>
  <c r="M7" i="3" s="1" a="1"/>
  <c r="M7" i="3" s="1"/>
  <c r="M8" i="3" s="1" a="1"/>
  <c r="M8" i="3" s="1"/>
  <c r="M9" i="3" s="1" a="1"/>
  <c r="M9" i="3" s="1"/>
  <c r="M10" i="3" s="1" a="1"/>
  <c r="M10" i="3" s="1"/>
  <c r="M11" i="3" s="1" a="1"/>
  <c r="M11" i="3" s="1"/>
  <c r="M12" i="3" s="1" a="1"/>
  <c r="M12" i="3" s="1"/>
  <c r="M13" i="3" s="1" a="1"/>
  <c r="M13" i="3" s="1"/>
  <c r="M14" i="3" s="1" a="1"/>
  <c r="M14" i="3" s="1"/>
  <c r="M15" i="3" s="1" a="1"/>
  <c r="M15" i="3" s="1"/>
  <c r="M16" i="3" s="1" a="1"/>
  <c r="M16" i="3" s="1"/>
  <c r="M17" i="3" s="1" a="1"/>
  <c r="M17" i="3" s="1"/>
  <c r="M18" i="3" s="1" a="1"/>
  <c r="M18" i="3" s="1"/>
  <c r="M19" i="3" s="1" a="1"/>
  <c r="M19" i="3" s="1"/>
  <c r="M20" i="3" s="1" a="1"/>
  <c r="M20" i="3" s="1"/>
  <c r="M21" i="3" s="1" a="1"/>
  <c r="M21" i="3" s="1"/>
  <c r="M22" i="3" s="1" a="1"/>
  <c r="M22" i="3" s="1"/>
  <c r="M23" i="3" s="1" a="1"/>
  <c r="M23" i="3" s="1"/>
  <c r="M24" i="3" s="1" a="1"/>
  <c r="M24" i="3" s="1"/>
  <c r="M25" i="3" s="1" a="1"/>
  <c r="M25" i="3" s="1"/>
  <c r="M26" i="3" s="1" a="1"/>
  <c r="M26" i="3" s="1"/>
  <c r="M27" i="3" s="1" a="1"/>
  <c r="M27" i="3" s="1"/>
  <c r="M28" i="3" s="1" a="1"/>
  <c r="M28" i="3" s="1"/>
  <c r="M29" i="3" s="1" a="1"/>
  <c r="M29" i="3" s="1"/>
  <c r="M30" i="3" s="1" a="1"/>
  <c r="M30" i="3" s="1"/>
  <c r="M31" i="3" s="1" a="1"/>
  <c r="M31" i="3" s="1"/>
  <c r="M32" i="3" s="1" a="1"/>
  <c r="M32" i="3" s="1"/>
  <c r="M33" i="3" s="1" a="1"/>
  <c r="M33" i="3" s="1"/>
  <c r="M34" i="3" s="1" a="1"/>
  <c r="M34" i="3" s="1"/>
  <c r="M35" i="3" s="1" a="1"/>
  <c r="M35" i="3" s="1"/>
  <c r="M36" i="3" s="1" a="1"/>
  <c r="M36" i="3" s="1"/>
  <c r="M37" i="3" s="1" a="1"/>
  <c r="M37" i="3" s="1"/>
  <c r="M38" i="3" s="1" a="1"/>
  <c r="M38" i="3" s="1"/>
  <c r="M39" i="3" s="1" a="1"/>
  <c r="M39" i="3" s="1"/>
  <c r="M40" i="3" s="1" a="1"/>
  <c r="M40" i="3" s="1"/>
  <c r="M41" i="3" s="1" a="1"/>
  <c r="M41" i="3" s="1"/>
  <c r="M42" i="3" s="1" a="1"/>
  <c r="M42" i="3" s="1"/>
  <c r="M43" i="3" s="1" a="1"/>
  <c r="M43" i="3" s="1"/>
  <c r="M44" i="3" s="1" a="1"/>
  <c r="M44" i="3" s="1"/>
  <c r="M45" i="3" s="1" a="1"/>
  <c r="M45" i="3" s="1"/>
  <c r="M46" i="3" s="1" a="1"/>
  <c r="M46" i="3" s="1"/>
  <c r="M47" i="3" s="1" a="1"/>
  <c r="M47" i="3" s="1"/>
  <c r="M48" i="3" s="1" a="1"/>
  <c r="M48" i="3" s="1"/>
  <c r="M49" i="3" s="1" a="1"/>
  <c r="M49" i="3" s="1"/>
  <c r="M50" i="3" s="1" a="1"/>
  <c r="M50" i="3" s="1"/>
  <c r="M51" i="3" s="1" a="1"/>
  <c r="M51" i="3" s="1"/>
  <c r="M52" i="3" s="1" a="1"/>
  <c r="M52" i="3" s="1"/>
  <c r="M53" i="3" s="1" a="1"/>
  <c r="M53" i="3" s="1"/>
  <c r="M54" i="3" s="1" a="1"/>
  <c r="M54" i="3" s="1"/>
  <c r="M55" i="3" s="1" a="1"/>
  <c r="M55" i="3" s="1"/>
  <c r="M56" i="3" s="1" a="1"/>
  <c r="M56" i="3" s="1"/>
  <c r="M57" i="3" s="1" a="1"/>
  <c r="M57" i="3" s="1"/>
  <c r="M58" i="3" s="1" a="1"/>
  <c r="M58" i="3" s="1"/>
  <c r="M59" i="3" s="1" a="1"/>
  <c r="M59" i="3" s="1"/>
  <c r="M60" i="3" s="1" a="1"/>
  <c r="M60" i="3" s="1"/>
  <c r="M61" i="3" s="1" a="1"/>
  <c r="M61" i="3" s="1"/>
  <c r="M62" i="3" s="1" a="1"/>
  <c r="M62" i="3" s="1"/>
  <c r="M63" i="3" s="1" a="1"/>
  <c r="M63" i="3" s="1"/>
  <c r="M64" i="3" s="1" a="1"/>
  <c r="M64" i="3" s="1"/>
  <c r="M65" i="3" s="1" a="1"/>
  <c r="M65" i="3" s="1"/>
  <c r="M66" i="3" s="1" a="1"/>
  <c r="M66" i="3" s="1"/>
  <c r="M67" i="3" s="1" a="1"/>
  <c r="M67" i="3" s="1"/>
  <c r="M68" i="3" s="1" a="1"/>
  <c r="M68" i="3" s="1"/>
  <c r="M69" i="3" s="1" a="1"/>
  <c r="M69" i="3" s="1"/>
  <c r="M70" i="3" s="1" a="1"/>
  <c r="M70" i="3" s="1"/>
  <c r="M71" i="3" s="1" a="1"/>
  <c r="M71" i="3" s="1"/>
  <c r="M72" i="3" s="1" a="1"/>
  <c r="M72" i="3" s="1"/>
  <c r="M73" i="3" s="1" a="1"/>
  <c r="M73" i="3" s="1"/>
  <c r="M74" i="3" s="1" a="1"/>
  <c r="M74" i="3" s="1"/>
  <c r="M75" i="3" s="1" a="1"/>
  <c r="M75" i="3" s="1"/>
  <c r="M76" i="3" s="1" a="1"/>
  <c r="M76" i="3" s="1"/>
  <c r="M77" i="3" s="1" a="1"/>
  <c r="M77" i="3" s="1"/>
  <c r="M78" i="3" s="1" a="1"/>
  <c r="M78" i="3" s="1"/>
  <c r="M79" i="3" s="1" a="1"/>
  <c r="M79" i="3" s="1"/>
  <c r="M80" i="3" s="1" a="1"/>
  <c r="M80" i="3" s="1"/>
  <c r="M81" i="3" s="1" a="1"/>
  <c r="M81" i="3" s="1"/>
  <c r="M82" i="3" s="1" a="1"/>
  <c r="M82" i="3" s="1"/>
  <c r="M83" i="3" s="1" a="1"/>
  <c r="M83" i="3" s="1"/>
  <c r="M84" i="3" s="1" a="1"/>
  <c r="M84" i="3" s="1"/>
  <c r="M85" i="3" s="1" a="1"/>
  <c r="M85" i="3" s="1"/>
  <c r="M86" i="3" s="1" a="1"/>
  <c r="M86" i="3" s="1"/>
  <c r="M87" i="3" s="1" a="1"/>
  <c r="M87" i="3" s="1"/>
  <c r="M88" i="3" s="1" a="1"/>
  <c r="M88" i="3" s="1"/>
  <c r="M89" i="3" s="1" a="1"/>
  <c r="M89" i="3" s="1"/>
  <c r="M90" i="3" s="1" a="1"/>
  <c r="M90" i="3" s="1"/>
  <c r="M91" i="3" s="1" a="1"/>
  <c r="M91" i="3" s="1"/>
  <c r="M92" i="3" s="1" a="1"/>
  <c r="M92" i="3" s="1"/>
  <c r="M93" i="3" s="1" a="1"/>
  <c r="M93" i="3" s="1"/>
  <c r="M94" i="3" s="1" a="1"/>
  <c r="M94" i="3" s="1"/>
  <c r="M95" i="3" s="1" a="1"/>
  <c r="M95" i="3" s="1"/>
  <c r="M96" i="3" s="1" a="1"/>
  <c r="M96" i="3" s="1"/>
  <c r="M97" i="3" s="1" a="1"/>
  <c r="M97" i="3" s="1"/>
  <c r="M98" i="3" s="1" a="1"/>
  <c r="M98" i="3" s="1"/>
  <c r="M99" i="3" s="1" a="1"/>
  <c r="M99" i="3" s="1"/>
  <c r="M100" i="3" s="1" a="1"/>
  <c r="M100" i="3" s="1"/>
  <c r="M101" i="3" s="1" a="1"/>
  <c r="M101" i="3" s="1"/>
  <c r="M102" i="3" s="1" a="1"/>
  <c r="M102" i="3" s="1"/>
  <c r="M103" i="3" s="1" a="1"/>
  <c r="M103" i="3" s="1"/>
  <c r="AJ51" i="3" a="1"/>
  <c r="AJ51" i="3" s="1"/>
  <c r="AJ19" i="3" a="1"/>
  <c r="AJ19" i="3" s="1"/>
  <c r="AJ34" i="3" a="1"/>
  <c r="AJ34" i="3" s="1"/>
  <c r="AJ46" i="3" a="1"/>
  <c r="AJ46" i="3" s="1"/>
  <c r="AJ21" i="3" a="1"/>
  <c r="AJ21" i="3" s="1"/>
  <c r="AJ36" i="3" a="1"/>
  <c r="AJ36" i="3" s="1"/>
  <c r="AJ54" i="3" a="1"/>
  <c r="AJ54" i="3" s="1"/>
  <c r="AJ31" i="3" a="1"/>
  <c r="AJ31" i="3" s="1"/>
  <c r="AJ47" i="3" a="1"/>
  <c r="AJ47" i="3" s="1"/>
  <c r="U15" i="3"/>
  <c r="AI35" i="3" a="1"/>
  <c r="AI35" i="3" s="1"/>
  <c r="AI37" i="3" a="1"/>
  <c r="AI37" i="3" s="1"/>
  <c r="AI52" i="3" a="1"/>
  <c r="AI52" i="3" s="1"/>
  <c r="AI5" i="3" a="1"/>
  <c r="AI5" i="3" s="1"/>
  <c r="AI48" i="3" a="1"/>
  <c r="AI48" i="3" s="1"/>
  <c r="AI22" i="3" a="1"/>
  <c r="AI22" i="3" s="1"/>
  <c r="AI4" i="3" a="1"/>
  <c r="AI4" i="3" s="1"/>
  <c r="AI17" i="3" a="1"/>
  <c r="AI17" i="3" s="1"/>
  <c r="AI30" i="3" a="1"/>
  <c r="AI30" i="3" s="1"/>
  <c r="AI12" i="3" a="1"/>
  <c r="AI12" i="3" s="1"/>
  <c r="AI11" i="3" a="1"/>
  <c r="AI11" i="3" s="1"/>
  <c r="AI40" i="3" a="1"/>
  <c r="AI40" i="3" s="1"/>
  <c r="AI16" i="3" a="1"/>
  <c r="AI16" i="3" s="1"/>
  <c r="AI45" i="3" a="1"/>
  <c r="AI45" i="3" s="1"/>
  <c r="AI26" i="3" a="1"/>
  <c r="AI26" i="3" s="1"/>
  <c r="AI44" i="3" a="1"/>
  <c r="AI44" i="3" s="1"/>
  <c r="AI28" i="3" a="1"/>
  <c r="AI28" i="3" s="1"/>
  <c r="AI51" i="3" a="1"/>
  <c r="AI51" i="3" s="1"/>
  <c r="AI19" i="3" a="1"/>
  <c r="AI19" i="3" s="1"/>
  <c r="AI34" i="3" a="1"/>
  <c r="AI34" i="3" s="1"/>
  <c r="AI46" i="3" a="1"/>
  <c r="AI46" i="3" s="1"/>
  <c r="AI21" i="3" a="1"/>
  <c r="AI21" i="3" s="1"/>
  <c r="AI36" i="3" a="1"/>
  <c r="AI36" i="3" s="1"/>
  <c r="AI54" i="3" a="1"/>
  <c r="AI54" i="3" s="1"/>
  <c r="AI31" i="3" a="1"/>
  <c r="AI31" i="3" s="1"/>
  <c r="AI56" i="3" a="1"/>
  <c r="AI56" i="3" s="1"/>
  <c r="AI59" i="3" a="1"/>
  <c r="AI59" i="3" s="1"/>
  <c r="AI42" i="3" a="1"/>
  <c r="AI42" i="3" s="1"/>
  <c r="AI58" i="3" a="1"/>
  <c r="AI58" i="3" s="1"/>
  <c r="AI29" i="3" a="1"/>
  <c r="AI29" i="3" s="1"/>
  <c r="AI50" i="3" a="1"/>
  <c r="AI50" i="3" s="1"/>
  <c r="AI27" i="3" a="1"/>
  <c r="AI27" i="3" s="1"/>
  <c r="AI53" i="3" a="1"/>
  <c r="AI53" i="3" s="1"/>
  <c r="AI9" i="3" a="1"/>
  <c r="AI9" i="3" s="1"/>
  <c r="AI23" i="3" a="1"/>
  <c r="AI23" i="3" s="1"/>
  <c r="AI43" i="3" a="1"/>
  <c r="AI43" i="3" s="1"/>
  <c r="AI8" i="3" a="1"/>
  <c r="AI8" i="3" s="1"/>
  <c r="AI18" i="3" a="1"/>
  <c r="AI18" i="3" s="1"/>
  <c r="AI60" i="3" a="1"/>
  <c r="AI60" i="3" s="1"/>
  <c r="AI57" i="3" a="1"/>
  <c r="AI57" i="3" s="1"/>
  <c r="AI41" i="3" a="1"/>
  <c r="AI41" i="3" s="1"/>
  <c r="AI10" i="3" a="1"/>
  <c r="AI10" i="3" s="1"/>
  <c r="AI55" i="3" a="1"/>
  <c r="AI55" i="3" s="1"/>
  <c r="AI24" i="3" a="1"/>
  <c r="AI24" i="3" s="1"/>
  <c r="AI7" i="3" a="1"/>
  <c r="AI7" i="3" s="1"/>
  <c r="AI39" i="3" a="1"/>
  <c r="AI39" i="3" s="1"/>
  <c r="AI20" i="3" a="1"/>
  <c r="AI20" i="3" s="1"/>
  <c r="AI38" i="3" a="1"/>
  <c r="AI38" i="3" s="1"/>
  <c r="AI13" i="3" a="1"/>
  <c r="AI13" i="3" s="1"/>
  <c r="AI25" i="3" a="1"/>
  <c r="AI25" i="3" s="1"/>
  <c r="AI32" i="3" a="1"/>
  <c r="AI32" i="3" s="1"/>
  <c r="AI6" i="3" a="1"/>
  <c r="AI6" i="3" s="1"/>
  <c r="AI47" i="3" a="1"/>
  <c r="AI47" i="3" s="1"/>
  <c r="AH43" i="3" a="1"/>
  <c r="AH43" i="3" s="1"/>
  <c r="AK43" i="3" s="1" a="1"/>
  <c r="AK43" i="3" s="1"/>
  <c r="AH25" i="3" a="1"/>
  <c r="AH25" i="3" s="1"/>
  <c r="AH32" i="3" a="1"/>
  <c r="AH32" i="3" s="1"/>
  <c r="AK32" i="3" s="1" a="1"/>
  <c r="AK32" i="3" s="1"/>
  <c r="AH6" i="3" a="1"/>
  <c r="AH6" i="3" s="1"/>
  <c r="AK6" i="3" s="1" a="1"/>
  <c r="AK6" i="3" s="1"/>
  <c r="AH17" i="3" a="1"/>
  <c r="AH17" i="3" s="1"/>
  <c r="AH11" i="3" a="1"/>
  <c r="AH11" i="3" s="1"/>
  <c r="AH35" i="3" a="1"/>
  <c r="AH35" i="3" s="1"/>
  <c r="AK35" i="3" s="1" a="1"/>
  <c r="AK35" i="3" s="1"/>
  <c r="AH10" i="3" a="1"/>
  <c r="AH10" i="3" s="1"/>
  <c r="AK10" i="3" s="1" a="1"/>
  <c r="AK10" i="3" s="1"/>
  <c r="AH40" i="3" a="1"/>
  <c r="AH40" i="3" s="1"/>
  <c r="AK40" i="3" s="1" a="1"/>
  <c r="AK40" i="3" s="1"/>
  <c r="AH55" i="3" a="1"/>
  <c r="AH55" i="3" s="1"/>
  <c r="AK55" i="3" s="1" a="1"/>
  <c r="AK55" i="3" s="1"/>
  <c r="AH50" i="3" a="1"/>
  <c r="AH50" i="3" s="1"/>
  <c r="AK50" i="3" s="1" a="1"/>
  <c r="AK50" i="3" s="1"/>
  <c r="AH16" i="3" a="1"/>
  <c r="AH16" i="3" s="1"/>
  <c r="AK16" i="3" s="1" a="1"/>
  <c r="AK16" i="3" s="1"/>
  <c r="AH27" i="3" a="1"/>
  <c r="AH27" i="3" s="1"/>
  <c r="AK27" i="3" s="1" a="1"/>
  <c r="AK27" i="3" s="1"/>
  <c r="AH53" i="3" a="1"/>
  <c r="AH53" i="3" s="1"/>
  <c r="AK53" i="3" s="1" a="1"/>
  <c r="AK53" i="3" s="1"/>
  <c r="AH13" i="3" a="1"/>
  <c r="AH13" i="3" s="1"/>
  <c r="AK13" i="3" s="1" a="1"/>
  <c r="AK13" i="3" s="1"/>
  <c r="AH8" i="3" a="1"/>
  <c r="AH8" i="3" s="1"/>
  <c r="AK8" i="3" s="1" a="1"/>
  <c r="AK8" i="3" s="1"/>
  <c r="AH60" i="3" a="1"/>
  <c r="AH60" i="3" s="1"/>
  <c r="AK60" i="3" s="1" a="1"/>
  <c r="AK60" i="3" s="1"/>
  <c r="AH59" i="3" a="1"/>
  <c r="AH59" i="3" s="1"/>
  <c r="AK59" i="3" s="1" a="1"/>
  <c r="AK59" i="3" s="1"/>
  <c r="AH41" i="3" a="1"/>
  <c r="AH41" i="3" s="1"/>
  <c r="AK41" i="3" s="1" a="1"/>
  <c r="AK41" i="3" s="1"/>
  <c r="AH22" i="3" a="1"/>
  <c r="AH22" i="3" s="1"/>
  <c r="AK22" i="3" s="1" a="1"/>
  <c r="AK22" i="3" s="1"/>
  <c r="AH4" i="3" a="1"/>
  <c r="AH4" i="3" s="1"/>
  <c r="AK4" i="3" s="1" a="1"/>
  <c r="AK4" i="3" s="1"/>
  <c r="AH45" i="3" a="1"/>
  <c r="AH45" i="3" s="1"/>
  <c r="AK45" i="3" s="1" a="1"/>
  <c r="AK45" i="3" s="1"/>
  <c r="AH44" i="3" a="1"/>
  <c r="AH44" i="3" s="1"/>
  <c r="AK44" i="3" s="1" a="1"/>
  <c r="AK44" i="3" s="1"/>
  <c r="AH28" i="3" a="1"/>
  <c r="AH28" i="3" s="1"/>
  <c r="AK28" i="3" s="1" a="1"/>
  <c r="AK28" i="3" s="1"/>
  <c r="AH18" i="3" a="1"/>
  <c r="AH18" i="3" s="1"/>
  <c r="AK18" i="3" s="1" a="1"/>
  <c r="AK18" i="3" s="1"/>
  <c r="AH57" i="3" a="1"/>
  <c r="AH57" i="3" s="1"/>
  <c r="AK57" i="3" s="1" a="1"/>
  <c r="AK57" i="3" s="1"/>
  <c r="AH37" i="3" a="1"/>
  <c r="AH37" i="3" s="1"/>
  <c r="AK37" i="3" s="1" a="1"/>
  <c r="AK37" i="3" s="1"/>
  <c r="AH5" i="3" a="1"/>
  <c r="AH5" i="3" s="1"/>
  <c r="AK5" i="3" s="1" a="1"/>
  <c r="AK5" i="3" s="1"/>
  <c r="AH24" i="3" a="1"/>
  <c r="AH24" i="3" s="1"/>
  <c r="AK24" i="3" s="1" a="1"/>
  <c r="AK24" i="3" s="1"/>
  <c r="AH7" i="3" a="1"/>
  <c r="AH7" i="3" s="1"/>
  <c r="AH51" i="3" a="1"/>
  <c r="AH51" i="3" s="1"/>
  <c r="AK51" i="3" s="1" a="1"/>
  <c r="AK51" i="3" s="1"/>
  <c r="AH19" i="3" a="1"/>
  <c r="AH19" i="3" s="1"/>
  <c r="AK19" i="3" s="1" a="1"/>
  <c r="AK19" i="3" s="1"/>
  <c r="AH34" i="3" a="1"/>
  <c r="AH34" i="3" s="1"/>
  <c r="AK34" i="3" s="1" a="1"/>
  <c r="AK34" i="3" s="1"/>
  <c r="AH46" i="3" a="1"/>
  <c r="AH46" i="3" s="1"/>
  <c r="AK46" i="3" s="1" a="1"/>
  <c r="AK46" i="3" s="1"/>
  <c r="AH38" i="3" a="1"/>
  <c r="AH38" i="3" s="1"/>
  <c r="AK38" i="3" s="1" a="1"/>
  <c r="AK38" i="3" s="1"/>
  <c r="AH30" i="3" a="1"/>
  <c r="AH30" i="3" s="1"/>
  <c r="AK30" i="3" s="1" a="1"/>
  <c r="AK30" i="3" s="1"/>
  <c r="AH56" i="3" a="1"/>
  <c r="AH56" i="3" s="1"/>
  <c r="AK56" i="3" s="1" a="1"/>
  <c r="AK56" i="3" s="1"/>
  <c r="AH12" i="3" a="1"/>
  <c r="AH12" i="3" s="1"/>
  <c r="AK12" i="3" s="1" a="1"/>
  <c r="AK12" i="3" s="1"/>
  <c r="AH42" i="3" a="1"/>
  <c r="AH42" i="3" s="1"/>
  <c r="AK42" i="3" s="1" a="1"/>
  <c r="AK42" i="3" s="1"/>
  <c r="AH58" i="3" a="1"/>
  <c r="AH58" i="3" s="1"/>
  <c r="AK58" i="3" s="1" a="1"/>
  <c r="AK58" i="3" s="1"/>
  <c r="AH29" i="3" a="1"/>
  <c r="AH29" i="3" s="1"/>
  <c r="AH52" i="3" a="1"/>
  <c r="AH52" i="3" s="1"/>
  <c r="AK52" i="3" s="1" a="1"/>
  <c r="AK52" i="3" s="1"/>
  <c r="AH48" i="3" a="1"/>
  <c r="AH48" i="3" s="1"/>
  <c r="AK48" i="3" s="1" a="1"/>
  <c r="AK48" i="3" s="1"/>
  <c r="AH26" i="3" a="1"/>
  <c r="AH26" i="3" s="1"/>
  <c r="AK26" i="3" s="1" a="1"/>
  <c r="AK26" i="3" s="1"/>
  <c r="AH21" i="3" a="1"/>
  <c r="AH21" i="3" s="1"/>
  <c r="AK21" i="3" s="1" a="1"/>
  <c r="AK21" i="3" s="1"/>
  <c r="AH36" i="3" a="1"/>
  <c r="AH36" i="3" s="1"/>
  <c r="AK36" i="3" s="1" a="1"/>
  <c r="AK36" i="3" s="1"/>
  <c r="AH54" i="3" a="1"/>
  <c r="AH54" i="3" s="1"/>
  <c r="AK54" i="3" s="1" a="1"/>
  <c r="AK54" i="3" s="1"/>
  <c r="AH31" i="3" a="1"/>
  <c r="AH31" i="3" s="1"/>
  <c r="AK31" i="3" s="1" a="1"/>
  <c r="AK31" i="3" s="1"/>
  <c r="AH9" i="3" a="1"/>
  <c r="AH9" i="3" s="1"/>
  <c r="AK9" i="3" s="1" a="1"/>
  <c r="AK9" i="3" s="1"/>
  <c r="AH39" i="3" a="1"/>
  <c r="AH39" i="3" s="1"/>
  <c r="AK39" i="3" s="1" a="1"/>
  <c r="AK39" i="3" s="1"/>
  <c r="AH23" i="3" a="1"/>
  <c r="AH23" i="3" s="1"/>
  <c r="AK23" i="3" s="1" a="1"/>
  <c r="AK23" i="3" s="1"/>
  <c r="AH20" i="3" a="1"/>
  <c r="AH20" i="3" s="1"/>
  <c r="AK20" i="3" s="1" a="1"/>
  <c r="AK20" i="3" s="1"/>
  <c r="AH47" i="3" a="1"/>
  <c r="AH47" i="3" s="1"/>
  <c r="AK47" i="3" s="1" a="1"/>
  <c r="AK47" i="3" s="1"/>
  <c r="O13" i="3"/>
  <c r="O8" i="3"/>
  <c r="O18" i="3"/>
  <c r="O10" i="3"/>
  <c r="O16" i="3"/>
  <c r="O37" i="3"/>
  <c r="O52" i="3"/>
  <c r="O5" i="3"/>
  <c r="O24" i="3"/>
  <c r="O22" i="3"/>
  <c r="O4" i="3"/>
  <c r="P4" i="3" s="1" a="1"/>
  <c r="P4" i="3" s="1"/>
  <c r="O42" i="3"/>
  <c r="O28" i="3"/>
  <c r="O34" i="3"/>
  <c r="O21" i="3"/>
  <c r="AP59" i="3" a="1"/>
  <c r="AP59" i="3" s="1"/>
  <c r="AP60" i="3" s="1" a="1"/>
  <c r="AP60" i="3" s="1"/>
  <c r="AP61" i="3" s="1" a="1"/>
  <c r="AP61" i="3" s="1"/>
  <c r="AP62" i="3" s="1" a="1"/>
  <c r="AP62" i="3" s="1"/>
  <c r="AP63" i="3" s="1" a="1"/>
  <c r="AP63" i="3" s="1"/>
  <c r="AP64" i="3" s="1" a="1"/>
  <c r="AP64" i="3" s="1"/>
  <c r="AP65" i="3" s="1" a="1"/>
  <c r="AP65" i="3" s="1"/>
  <c r="AP66" i="3" s="1" a="1"/>
  <c r="AP66" i="3" s="1"/>
  <c r="AP67" i="3" s="1" a="1"/>
  <c r="AP67" i="3" s="1"/>
  <c r="AP68" i="3" s="1" a="1"/>
  <c r="AP68" i="3" s="1"/>
  <c r="AP69" i="3" s="1" a="1"/>
  <c r="AP69" i="3" s="1"/>
  <c r="AP70" i="3" s="1" a="1"/>
  <c r="AP70" i="3" s="1"/>
  <c r="AP71" i="3" s="1" a="1"/>
  <c r="AP71" i="3" s="1"/>
  <c r="AP72" i="3" s="1" a="1"/>
  <c r="AP72" i="3" s="1"/>
  <c r="AP73" i="3" s="1" a="1"/>
  <c r="AP73" i="3" s="1"/>
  <c r="AP74" i="3" s="1" a="1"/>
  <c r="AP74" i="3" s="1"/>
  <c r="AP75" i="3" s="1" a="1"/>
  <c r="AP75" i="3" s="1"/>
  <c r="AP76" i="3" s="1" a="1"/>
  <c r="AP76" i="3" s="1"/>
  <c r="AP77" i="3" s="1" a="1"/>
  <c r="AP77" i="3" s="1"/>
  <c r="AP78" i="3" s="1" a="1"/>
  <c r="AP78" i="3" s="1"/>
  <c r="AP79" i="3" s="1" a="1"/>
  <c r="AP79" i="3" s="1"/>
  <c r="AP80" i="3" s="1" a="1"/>
  <c r="AP80" i="3" s="1"/>
  <c r="AP81" i="3" s="1" a="1"/>
  <c r="AP81" i="3" s="1"/>
  <c r="AP82" i="3" s="1" a="1"/>
  <c r="AP82" i="3" s="1"/>
  <c r="AP83" i="3" s="1" a="1"/>
  <c r="AP83" i="3" s="1"/>
  <c r="AP84" i="3" s="1" a="1"/>
  <c r="AP84" i="3" s="1"/>
  <c r="AP85" i="3" s="1" a="1"/>
  <c r="AP85" i="3" s="1"/>
  <c r="AP86" i="3" s="1" a="1"/>
  <c r="AP86" i="3" s="1"/>
  <c r="AP87" i="3" s="1" a="1"/>
  <c r="AP87" i="3" s="1"/>
  <c r="AP88" i="3" s="1" a="1"/>
  <c r="AP88" i="3" s="1"/>
  <c r="AP89" i="3" s="1" a="1"/>
  <c r="AP89" i="3" s="1"/>
  <c r="AP90" i="3" s="1" a="1"/>
  <c r="AP90" i="3" s="1"/>
  <c r="AP91" i="3" s="1" a="1"/>
  <c r="AP91" i="3" s="1"/>
  <c r="AP92" i="3" s="1" a="1"/>
  <c r="AP92" i="3" s="1"/>
  <c r="AP93" i="3" s="1" a="1"/>
  <c r="AP93" i="3" s="1"/>
  <c r="AP94" i="3" s="1" a="1"/>
  <c r="AP94" i="3" s="1"/>
  <c r="AP95" i="3" s="1" a="1"/>
  <c r="AP95" i="3" s="1"/>
  <c r="AP96" i="3" s="1" a="1"/>
  <c r="AP96" i="3" s="1"/>
  <c r="AP97" i="3" s="1" a="1"/>
  <c r="AP97" i="3" s="1"/>
  <c r="AP98" i="3" s="1" a="1"/>
  <c r="AP98" i="3" s="1"/>
  <c r="AP99" i="3" s="1" a="1"/>
  <c r="AP99" i="3" s="1"/>
  <c r="AP100" i="3" s="1" a="1"/>
  <c r="AP100" i="3" s="1"/>
  <c r="AP101" i="3" s="1" a="1"/>
  <c r="AP101" i="3" s="1"/>
  <c r="AP102" i="3" s="1" a="1"/>
  <c r="AP102" i="3" s="1"/>
  <c r="AP103" i="3" s="1" a="1"/>
  <c r="AP103" i="3" s="1"/>
  <c r="C59" i="3" a="1"/>
  <c r="C59" i="3" s="1"/>
  <c r="C6" i="3" a="1"/>
  <c r="C6" i="3" s="1"/>
  <c r="I45" i="20" a="1"/>
  <c r="I45" i="20" s="1"/>
  <c r="I41" i="20" a="1"/>
  <c r="I41" i="20" s="1"/>
  <c r="I51" i="20" a="1"/>
  <c r="I51" i="20" s="1"/>
  <c r="I50" i="20" a="1"/>
  <c r="I50" i="20" s="1"/>
  <c r="I49" i="20" a="1"/>
  <c r="I49" i="20" s="1"/>
  <c r="I46" i="20" a="1"/>
  <c r="I46" i="20" s="1"/>
  <c r="I48" i="20" a="1"/>
  <c r="I48" i="20" s="1"/>
  <c r="I44" i="20" a="1"/>
  <c r="I44" i="20" s="1"/>
  <c r="I33" i="20" a="1"/>
  <c r="I33" i="20" s="1"/>
  <c r="I58" i="20" a="1"/>
  <c r="I58" i="20" s="1"/>
  <c r="I42" i="20" a="1"/>
  <c r="I42" i="20" s="1"/>
  <c r="K36" i="21" a="1"/>
  <c r="K36" i="21" s="1"/>
  <c r="AM36" i="21" s="1"/>
  <c r="I14" i="20" a="1"/>
  <c r="I14" i="20" s="1"/>
  <c r="K38" i="21" a="1"/>
  <c r="K38" i="21" s="1"/>
  <c r="AM38" i="21" s="1"/>
  <c r="I53" i="20" a="1"/>
  <c r="I53" i="20" s="1"/>
  <c r="I25" i="20" a="1"/>
  <c r="I25" i="20" s="1"/>
  <c r="I24" i="20" a="1"/>
  <c r="I24" i="20" s="1"/>
  <c r="I8" i="20" a="1"/>
  <c r="I8" i="20" s="1"/>
  <c r="I54" i="20" a="1"/>
  <c r="I54" i="20" s="1"/>
  <c r="I55" i="20" a="1"/>
  <c r="I55" i="20" s="1"/>
  <c r="I52" i="20" a="1"/>
  <c r="I52" i="20" s="1"/>
  <c r="K35" i="21" a="1"/>
  <c r="K35" i="21" s="1"/>
  <c r="AM35" i="21" s="1"/>
  <c r="K39" i="21" a="1"/>
  <c r="K39" i="21" s="1"/>
  <c r="AM39" i="21" s="1"/>
  <c r="K40" i="21" a="1"/>
  <c r="K40" i="21" s="1"/>
  <c r="AM40" i="21" s="1"/>
  <c r="AL19" i="3" a="1"/>
  <c r="AL19" i="3" s="1"/>
  <c r="O19" i="3" s="1"/>
  <c r="AG19" i="3" a="1"/>
  <c r="AG19" i="3" s="1"/>
  <c r="E19" i="3" s="1"/>
  <c r="Q19" i="3" s="1"/>
  <c r="J19" i="3"/>
  <c r="K19" i="3"/>
  <c r="AF19" i="3" a="1"/>
  <c r="AF19" i="3" s="1"/>
  <c r="AE19" i="3" a="1"/>
  <c r="AE19" i="3" s="1"/>
  <c r="AL54" i="3" a="1"/>
  <c r="AL54" i="3" s="1"/>
  <c r="O54" i="3" s="1"/>
  <c r="K54" i="3"/>
  <c r="AF54" i="3" a="1"/>
  <c r="AF54" i="3" s="1"/>
  <c r="AE54" i="3" a="1"/>
  <c r="AE54" i="3" s="1"/>
  <c r="J54" i="3"/>
  <c r="AG54" i="3" a="1"/>
  <c r="AG54" i="3" s="1"/>
  <c r="E54" i="3" s="1"/>
  <c r="Q54" i="3" s="1"/>
  <c r="AF45" i="3" a="1"/>
  <c r="AF45" i="3" s="1"/>
  <c r="J45" i="3"/>
  <c r="AG45" i="3" a="1"/>
  <c r="AG45" i="3" s="1"/>
  <c r="E45" i="3" s="1"/>
  <c r="Q45" i="3" s="1"/>
  <c r="AE45" i="3" a="1"/>
  <c r="AE45" i="3" s="1"/>
  <c r="K45" i="3"/>
  <c r="AL23" i="3" a="1"/>
  <c r="AL23" i="3" s="1"/>
  <c r="O23" i="3" s="1"/>
  <c r="AF23" i="3" a="1"/>
  <c r="AF23" i="3" s="1"/>
  <c r="AE23" i="3" a="1"/>
  <c r="AE23" i="3" s="1"/>
  <c r="J23" i="3"/>
  <c r="AG23" i="3" a="1"/>
  <c r="AG23" i="3" s="1"/>
  <c r="E23" i="3" s="1"/>
  <c r="Q23" i="3" s="1"/>
  <c r="K23" i="3"/>
  <c r="AE51" i="3" a="1"/>
  <c r="AE51" i="3" s="1"/>
  <c r="K51" i="3"/>
  <c r="AG51" i="3" a="1"/>
  <c r="AG51" i="3" s="1"/>
  <c r="E51" i="3" s="1"/>
  <c r="Q51" i="3" s="1"/>
  <c r="J51" i="3"/>
  <c r="AF51" i="3" a="1"/>
  <c r="AF51" i="3" s="1"/>
  <c r="AG39" i="3" a="1"/>
  <c r="AG39" i="3" s="1"/>
  <c r="E39" i="3" s="1"/>
  <c r="Q39" i="3" s="1"/>
  <c r="AE39" i="3" a="1"/>
  <c r="AE39" i="3" s="1"/>
  <c r="AF39" i="3" a="1"/>
  <c r="AF39" i="3" s="1"/>
  <c r="J39" i="3"/>
  <c r="K39" i="3"/>
  <c r="AL13" i="3" a="1"/>
  <c r="AL13" i="3" s="1"/>
  <c r="AF13" i="3" a="1"/>
  <c r="AF13" i="3" s="1"/>
  <c r="AE13" i="3" a="1"/>
  <c r="AE13" i="3" s="1"/>
  <c r="K13" i="3"/>
  <c r="J13" i="3"/>
  <c r="AG13" i="3" a="1"/>
  <c r="AG13" i="3" s="1"/>
  <c r="AL21" i="3" a="1"/>
  <c r="AL21" i="3" s="1"/>
  <c r="J21" i="3"/>
  <c r="AG21" i="3" a="1"/>
  <c r="AG21" i="3" s="1"/>
  <c r="AE21" i="3" a="1"/>
  <c r="AE21" i="3" s="1"/>
  <c r="AF21" i="3" a="1"/>
  <c r="AF21" i="3" s="1"/>
  <c r="K21" i="3"/>
  <c r="AE43" i="3" a="1"/>
  <c r="AE43" i="3" s="1"/>
  <c r="J43" i="3"/>
  <c r="K43" i="3"/>
  <c r="AG43" i="3" a="1"/>
  <c r="AG43" i="3" s="1"/>
  <c r="E43" i="3" s="1"/>
  <c r="Q43" i="3" s="1"/>
  <c r="AF43" i="3" a="1"/>
  <c r="AF43" i="3" s="1"/>
  <c r="AL6" i="3" a="1"/>
  <c r="AL6" i="3" s="1"/>
  <c r="O6" i="3" s="1"/>
  <c r="AG6" i="3" a="1"/>
  <c r="AG6" i="3" s="1"/>
  <c r="E6" i="3" s="1"/>
  <c r="Q6" i="3" s="1"/>
  <c r="R6" i="3" s="1" a="1"/>
  <c r="R6" i="3" s="1"/>
  <c r="K6" i="3"/>
  <c r="AF6" i="3" a="1"/>
  <c r="AF6" i="3" s="1"/>
  <c r="J6" i="3"/>
  <c r="AE6" i="3" a="1"/>
  <c r="AE6" i="3" s="1"/>
  <c r="AL60" i="3" a="1"/>
  <c r="AL60" i="3" s="1"/>
  <c r="O60" i="3" s="1"/>
  <c r="AE60" i="3" a="1"/>
  <c r="AE60" i="3" s="1"/>
  <c r="K60" i="3"/>
  <c r="AG60" i="3" a="1"/>
  <c r="AG60" i="3" s="1"/>
  <c r="E60" i="3" s="1"/>
  <c r="Q60" i="3" s="1"/>
  <c r="AF60" i="3" a="1"/>
  <c r="AF60" i="3" s="1"/>
  <c r="J60" i="3"/>
  <c r="AB60" i="3" s="1" a="1"/>
  <c r="AB60" i="3" s="1"/>
  <c r="AL7" i="3" a="1"/>
  <c r="AL7" i="3" s="1"/>
  <c r="O7" i="3" s="1"/>
  <c r="AG7" i="3" a="1"/>
  <c r="AG7" i="3" s="1"/>
  <c r="E7" i="3" s="1"/>
  <c r="Q7" i="3" s="1"/>
  <c r="K7" i="3"/>
  <c r="AF7" i="3" a="1"/>
  <c r="AF7" i="3" s="1"/>
  <c r="J7" i="3"/>
  <c r="AE7" i="3" a="1"/>
  <c r="AE7" i="3" s="1"/>
  <c r="AL28" i="3" a="1"/>
  <c r="AL28" i="3" s="1"/>
  <c r="AG28" i="3" a="1"/>
  <c r="AG28" i="3" s="1"/>
  <c r="J28" i="3"/>
  <c r="K28" i="3"/>
  <c r="AF28" i="3" a="1"/>
  <c r="AF28" i="3" s="1"/>
  <c r="AE28" i="3" a="1"/>
  <c r="AE28" i="3" s="1"/>
  <c r="AL37" i="3" a="1"/>
  <c r="AL37" i="3" s="1"/>
  <c r="J37" i="3"/>
  <c r="AG37" i="3" a="1"/>
  <c r="AG37" i="3" s="1"/>
  <c r="AE37" i="3" a="1"/>
  <c r="AE37" i="3" s="1"/>
  <c r="AF37" i="3" a="1"/>
  <c r="AF37" i="3" s="1"/>
  <c r="K37" i="3"/>
  <c r="AL24" i="3" a="1"/>
  <c r="AL24" i="3" s="1"/>
  <c r="AE24" i="3" a="1"/>
  <c r="AE24" i="3" s="1"/>
  <c r="J24" i="3"/>
  <c r="AG24" i="3" a="1"/>
  <c r="AG24" i="3" s="1"/>
  <c r="K24" i="3"/>
  <c r="AF24" i="3" a="1"/>
  <c r="AF24" i="3" s="1"/>
  <c r="AL32" i="3" a="1"/>
  <c r="AL32" i="3" s="1"/>
  <c r="O32" i="3" s="1"/>
  <c r="K32" i="3"/>
  <c r="AG32" i="3" a="1"/>
  <c r="AG32" i="3" s="1"/>
  <c r="E32" i="3" s="1"/>
  <c r="Q32" i="3" s="1"/>
  <c r="J32" i="3"/>
  <c r="AF32" i="3" a="1"/>
  <c r="AF32" i="3" s="1"/>
  <c r="AE32" i="3" a="1"/>
  <c r="AE32" i="3" s="1"/>
  <c r="AL30" i="3" a="1"/>
  <c r="AL30" i="3" s="1"/>
  <c r="O30" i="3" s="1"/>
  <c r="AF30" i="3" a="1"/>
  <c r="AF30" i="3" s="1"/>
  <c r="K30" i="3"/>
  <c r="J30" i="3"/>
  <c r="AG30" i="3" a="1"/>
  <c r="AG30" i="3" s="1"/>
  <c r="AE30" i="3" a="1"/>
  <c r="AE30" i="3" s="1"/>
  <c r="AL59" i="3" a="1"/>
  <c r="AL59" i="3" s="1"/>
  <c r="O59" i="3" s="1"/>
  <c r="AE59" i="3" a="1"/>
  <c r="AE59" i="3" s="1"/>
  <c r="AG59" i="3" a="1"/>
  <c r="AG59" i="3" s="1"/>
  <c r="E59" i="3" s="1"/>
  <c r="Q59" i="3" s="1"/>
  <c r="K59" i="3"/>
  <c r="J59" i="3"/>
  <c r="AB59" i="3" s="1" a="1"/>
  <c r="AB59" i="3" s="1"/>
  <c r="AF59" i="3" a="1"/>
  <c r="AF59" i="3" s="1"/>
  <c r="K36" i="3"/>
  <c r="AG36" i="3" a="1"/>
  <c r="AG36" i="3" s="1"/>
  <c r="E36" i="3" s="1"/>
  <c r="Q36" i="3" s="1"/>
  <c r="AF36" i="3" a="1"/>
  <c r="AF36" i="3" s="1"/>
  <c r="AE36" i="3" a="1"/>
  <c r="AE36" i="3" s="1"/>
  <c r="J36" i="3"/>
  <c r="AL9" i="3" a="1"/>
  <c r="AL9" i="3" s="1"/>
  <c r="O9" i="3" s="1"/>
  <c r="AF9" i="3" a="1"/>
  <c r="AF9" i="3" s="1"/>
  <c r="J9" i="3"/>
  <c r="AG9" i="3" a="1"/>
  <c r="AG9" i="3" s="1"/>
  <c r="E9" i="3" s="1"/>
  <c r="Q9" i="3" s="1"/>
  <c r="K9" i="3"/>
  <c r="AE9" i="3" a="1"/>
  <c r="AE9" i="3" s="1"/>
  <c r="AE38" i="3" a="1"/>
  <c r="AE38" i="3" s="1"/>
  <c r="AF38" i="3" a="1"/>
  <c r="AF38" i="3" s="1"/>
  <c r="J38" i="3"/>
  <c r="K38" i="3"/>
  <c r="AG38" i="3" a="1"/>
  <c r="AG38" i="3" s="1"/>
  <c r="E38" i="3" s="1"/>
  <c r="Q38" i="3" s="1"/>
  <c r="AL18" i="3" a="1"/>
  <c r="AL18" i="3" s="1"/>
  <c r="AG18" i="3" a="1"/>
  <c r="AG18" i="3" s="1"/>
  <c r="K18" i="3"/>
  <c r="AF18" i="3" a="1"/>
  <c r="AF18" i="3" s="1"/>
  <c r="J18" i="3"/>
  <c r="AE18" i="3" a="1"/>
  <c r="AE18" i="3" s="1"/>
  <c r="AL12" i="3" a="1"/>
  <c r="AL12" i="3" s="1"/>
  <c r="O12" i="3" s="1"/>
  <c r="J12" i="3"/>
  <c r="AG12" i="3" a="1"/>
  <c r="AG12" i="3" s="1"/>
  <c r="E12" i="3" s="1"/>
  <c r="Q12" i="3" s="1"/>
  <c r="AF12" i="3" a="1"/>
  <c r="AF12" i="3" s="1"/>
  <c r="AE12" i="3" a="1"/>
  <c r="AE12" i="3" s="1"/>
  <c r="K12" i="3"/>
  <c r="AL26" i="3" a="1"/>
  <c r="AL26" i="3" s="1"/>
  <c r="O26" i="3" s="1"/>
  <c r="AG26" i="3" a="1"/>
  <c r="AG26" i="3" s="1"/>
  <c r="E26" i="3" s="1"/>
  <c r="Q26" i="3" s="1"/>
  <c r="AF26" i="3" a="1"/>
  <c r="AF26" i="3" s="1"/>
  <c r="J26" i="3"/>
  <c r="K26" i="3"/>
  <c r="AE26" i="3" a="1"/>
  <c r="AE26" i="3" s="1"/>
  <c r="AL8" i="3" a="1"/>
  <c r="AL8" i="3" s="1"/>
  <c r="AG8" i="3" a="1"/>
  <c r="AG8" i="3" s="1"/>
  <c r="AE8" i="3" a="1"/>
  <c r="AE8" i="3" s="1"/>
  <c r="J8" i="3"/>
  <c r="AF8" i="3" a="1"/>
  <c r="AF8" i="3" s="1"/>
  <c r="K8" i="3"/>
  <c r="AF25" i="3" a="1"/>
  <c r="AF25" i="3" s="1"/>
  <c r="AE25" i="3" a="1"/>
  <c r="AE25" i="3" s="1"/>
  <c r="AG25" i="3" a="1"/>
  <c r="AG25" i="3" s="1"/>
  <c r="E25" i="3" s="1"/>
  <c r="Q25" i="3" s="1"/>
  <c r="J25" i="3"/>
  <c r="K25" i="3"/>
  <c r="AL57" i="3" a="1"/>
  <c r="AL57" i="3" s="1"/>
  <c r="O57" i="3" s="1"/>
  <c r="AF57" i="3" a="1"/>
  <c r="AF57" i="3" s="1"/>
  <c r="AE57" i="3" a="1"/>
  <c r="AE57" i="3" s="1"/>
  <c r="AG57" i="3" a="1"/>
  <c r="AG57" i="3" s="1"/>
  <c r="E57" i="3" s="1"/>
  <c r="Q57" i="3" s="1"/>
  <c r="K57" i="3"/>
  <c r="J57" i="3"/>
  <c r="AB57" i="3" s="1" a="1"/>
  <c r="AB57" i="3" s="1"/>
  <c r="AL58" i="3" a="1"/>
  <c r="AL58" i="3" s="1"/>
  <c r="O58" i="3" s="1"/>
  <c r="AE58" i="3" a="1"/>
  <c r="AE58" i="3" s="1"/>
  <c r="K58" i="3"/>
  <c r="AF58" i="3" a="1"/>
  <c r="AF58" i="3" s="1"/>
  <c r="J58" i="3"/>
  <c r="AB58" i="3" s="1" a="1"/>
  <c r="AB58" i="3" s="1"/>
  <c r="AG58" i="3" a="1"/>
  <c r="AG58" i="3" s="1"/>
  <c r="E58" i="3" s="1"/>
  <c r="Q58" i="3" s="1"/>
  <c r="AL17" i="3" a="1"/>
  <c r="AL17" i="3" s="1"/>
  <c r="O17" i="3" s="1"/>
  <c r="AG17" i="3" a="1"/>
  <c r="AG17" i="3" s="1"/>
  <c r="E17" i="3" s="1"/>
  <c r="Q17" i="3" s="1"/>
  <c r="J17" i="3"/>
  <c r="AE17" i="3" a="1"/>
  <c r="AE17" i="3" s="1"/>
  <c r="K17" i="3"/>
  <c r="AF17" i="3" a="1"/>
  <c r="AF17" i="3" s="1"/>
  <c r="AL11" i="3" a="1"/>
  <c r="AL11" i="3" s="1"/>
  <c r="O11" i="3" s="1"/>
  <c r="K11" i="3"/>
  <c r="AF11" i="3" a="1"/>
  <c r="AF11" i="3" s="1"/>
  <c r="AE11" i="3" a="1"/>
  <c r="AE11" i="3" s="1"/>
  <c r="J11" i="3"/>
  <c r="AG11" i="3" a="1"/>
  <c r="AG11" i="3" s="1"/>
  <c r="E11" i="3" s="1"/>
  <c r="Q11" i="3" s="1"/>
  <c r="AL29" i="3" a="1"/>
  <c r="AL29" i="3" s="1"/>
  <c r="O29" i="3" s="1"/>
  <c r="AE29" i="3" a="1"/>
  <c r="AE29" i="3" s="1"/>
  <c r="AG29" i="3" a="1"/>
  <c r="AG29" i="3" s="1"/>
  <c r="E29" i="3" s="1"/>
  <c r="Q29" i="3" s="1"/>
  <c r="J29" i="3"/>
  <c r="K29" i="3"/>
  <c r="AF29" i="3" a="1"/>
  <c r="AF29" i="3" s="1"/>
  <c r="AL56" i="3" a="1"/>
  <c r="AL56" i="3" s="1"/>
  <c r="O56" i="3" s="1"/>
  <c r="AF56" i="3" a="1"/>
  <c r="AF56" i="3" s="1"/>
  <c r="J56" i="3"/>
  <c r="AG56" i="3" a="1"/>
  <c r="AG56" i="3" s="1"/>
  <c r="E56" i="3" s="1"/>
  <c r="Q56" i="3" s="1"/>
  <c r="AE56" i="3" a="1"/>
  <c r="AE56" i="3" s="1"/>
  <c r="K56" i="3"/>
  <c r="AL35" i="3" a="1"/>
  <c r="AL35" i="3" s="1"/>
  <c r="O35" i="3" s="1"/>
  <c r="AG35" i="3" a="1"/>
  <c r="AG35" i="3" s="1"/>
  <c r="E35" i="3" s="1"/>
  <c r="Q35" i="3" s="1"/>
  <c r="AF35" i="3" a="1"/>
  <c r="AF35" i="3" s="1"/>
  <c r="AE35" i="3" a="1"/>
  <c r="AE35" i="3" s="1"/>
  <c r="K35" i="3"/>
  <c r="J35" i="3"/>
  <c r="AL55" i="3" a="1"/>
  <c r="AL55" i="3" s="1"/>
  <c r="O55" i="3" s="1"/>
  <c r="J55" i="3"/>
  <c r="AE55" i="3" a="1"/>
  <c r="AE55" i="3" s="1"/>
  <c r="K55" i="3"/>
  <c r="AF55" i="3" a="1"/>
  <c r="AF55" i="3" s="1"/>
  <c r="AG55" i="3" a="1"/>
  <c r="AG55" i="3" s="1"/>
  <c r="E55" i="3" s="1"/>
  <c r="Q55" i="3" s="1"/>
  <c r="AL42" i="3" a="1"/>
  <c r="AL42" i="3" s="1"/>
  <c r="AF42" i="3" a="1"/>
  <c r="AF42" i="3" s="1"/>
  <c r="AG42" i="3" a="1"/>
  <c r="AG42" i="3" s="1"/>
  <c r="K42" i="3"/>
  <c r="J42" i="3"/>
  <c r="AE42" i="3" a="1"/>
  <c r="AE42" i="3" s="1"/>
  <c r="AE40" i="3" a="1"/>
  <c r="AE40" i="3" s="1"/>
  <c r="K40" i="3"/>
  <c r="AF40" i="3" a="1"/>
  <c r="AF40" i="3" s="1"/>
  <c r="AG40" i="3" a="1"/>
  <c r="AG40" i="3" s="1"/>
  <c r="E40" i="3" s="1"/>
  <c r="Q40" i="3" s="1"/>
  <c r="J40" i="3"/>
  <c r="AL53" i="3" a="1"/>
  <c r="AL53" i="3" s="1"/>
  <c r="O53" i="3" s="1"/>
  <c r="AG53" i="3" a="1"/>
  <c r="AG53" i="3" s="1"/>
  <c r="E53" i="3" s="1"/>
  <c r="Q53" i="3" s="1"/>
  <c r="K53" i="3"/>
  <c r="AE53" i="3" a="1"/>
  <c r="AE53" i="3" s="1"/>
  <c r="J53" i="3"/>
  <c r="AF53" i="3" a="1"/>
  <c r="AF53" i="3" s="1"/>
  <c r="AG41" i="3" a="1"/>
  <c r="AG41" i="3" s="1"/>
  <c r="E41" i="3" s="1"/>
  <c r="Q41" i="3" s="1"/>
  <c r="AE41" i="3" a="1"/>
  <c r="AE41" i="3" s="1"/>
  <c r="J41" i="3"/>
  <c r="AF41" i="3" a="1"/>
  <c r="AF41" i="3" s="1"/>
  <c r="K41" i="3"/>
  <c r="AL27" i="3" a="1"/>
  <c r="AL27" i="3" s="1"/>
  <c r="O27" i="3" s="1"/>
  <c r="AF27" i="3" a="1"/>
  <c r="AF27" i="3" s="1"/>
  <c r="K27" i="3"/>
  <c r="J27" i="3"/>
  <c r="AG27" i="3" a="1"/>
  <c r="AG27" i="3" s="1"/>
  <c r="E27" i="3" s="1"/>
  <c r="Q27" i="3" s="1"/>
  <c r="AE27" i="3" a="1"/>
  <c r="AE27" i="3" s="1"/>
  <c r="K48" i="3"/>
  <c r="AF48" i="3" a="1"/>
  <c r="AF48" i="3" s="1"/>
  <c r="AG48" i="3" a="1"/>
  <c r="AG48" i="3" s="1"/>
  <c r="E48" i="3" s="1"/>
  <c r="Q48" i="3" s="1"/>
  <c r="J48" i="3"/>
  <c r="AE48" i="3" a="1"/>
  <c r="AE48" i="3" s="1"/>
  <c r="AL10" i="3" a="1"/>
  <c r="AL10" i="3" s="1"/>
  <c r="AE10" i="3" a="1"/>
  <c r="AE10" i="3" s="1"/>
  <c r="J10" i="3"/>
  <c r="AF10" i="3" a="1"/>
  <c r="AF10" i="3" s="1"/>
  <c r="K10" i="3"/>
  <c r="AG10" i="3" a="1"/>
  <c r="AG10" i="3" s="1"/>
  <c r="AL5" i="3" a="1"/>
  <c r="AL5" i="3" s="1"/>
  <c r="AE5" i="3" a="1"/>
  <c r="AE5" i="3" s="1"/>
  <c r="AG5" i="3" a="1"/>
  <c r="AG5" i="3" s="1"/>
  <c r="AF5" i="3" a="1"/>
  <c r="AF5" i="3" s="1"/>
  <c r="J5" i="3"/>
  <c r="K5" i="3"/>
  <c r="AL4" i="3" a="1"/>
  <c r="AL4" i="3" s="1"/>
  <c r="J4" i="3"/>
  <c r="AE4" i="3" a="1"/>
  <c r="AE4" i="3" s="1"/>
  <c r="AF4" i="3" a="1"/>
  <c r="AF4" i="3" s="1"/>
  <c r="K4" i="3"/>
  <c r="AG4" i="3" a="1"/>
  <c r="AG4" i="3" s="1"/>
  <c r="AL52" i="3" a="1"/>
  <c r="AL52" i="3" s="1"/>
  <c r="AE52" i="3" a="1"/>
  <c r="AE52" i="3" s="1"/>
  <c r="K52" i="3"/>
  <c r="AG52" i="3" a="1"/>
  <c r="AG52" i="3" s="1"/>
  <c r="AF52" i="3" a="1"/>
  <c r="AF52" i="3" s="1"/>
  <c r="J52" i="3"/>
  <c r="AE44" i="3" a="1"/>
  <c r="AE44" i="3" s="1"/>
  <c r="J44" i="3"/>
  <c r="AG44" i="3" a="1"/>
  <c r="AG44" i="3" s="1"/>
  <c r="E44" i="3" s="1"/>
  <c r="Q44" i="3" s="1"/>
  <c r="AF44" i="3" a="1"/>
  <c r="AF44" i="3" s="1"/>
  <c r="K44" i="3"/>
  <c r="K46" i="3"/>
  <c r="AG46" i="3" a="1"/>
  <c r="AG46" i="3" s="1"/>
  <c r="E46" i="3" s="1"/>
  <c r="Q46" i="3" s="1"/>
  <c r="AE46" i="3" a="1"/>
  <c r="AE46" i="3" s="1"/>
  <c r="J46" i="3"/>
  <c r="AF46" i="3" a="1"/>
  <c r="AF46" i="3" s="1"/>
  <c r="AF50" i="3" a="1"/>
  <c r="AF50" i="3" s="1"/>
  <c r="K50" i="3"/>
  <c r="J50" i="3"/>
  <c r="AE50" i="3" a="1"/>
  <c r="AE50" i="3" s="1"/>
  <c r="AG50" i="3" a="1"/>
  <c r="AG50" i="3" s="1"/>
  <c r="E50" i="3" s="1"/>
  <c r="Q50" i="3" s="1"/>
  <c r="AL22" i="3" a="1"/>
  <c r="AL22" i="3" s="1"/>
  <c r="AG22" i="3" a="1"/>
  <c r="AG22" i="3" s="1"/>
  <c r="K22" i="3"/>
  <c r="AE22" i="3" a="1"/>
  <c r="AE22" i="3" s="1"/>
  <c r="AF22" i="3" a="1"/>
  <c r="AF22" i="3" s="1"/>
  <c r="J22" i="3"/>
  <c r="AL34" i="3" a="1"/>
  <c r="AL34" i="3" s="1"/>
  <c r="AG34" i="3" a="1"/>
  <c r="AG34" i="3" s="1"/>
  <c r="AE34" i="3" a="1"/>
  <c r="AE34" i="3" s="1"/>
  <c r="AF34" i="3" a="1"/>
  <c r="AF34" i="3" s="1"/>
  <c r="K34" i="3"/>
  <c r="J34" i="3"/>
  <c r="AL31" i="3" a="1"/>
  <c r="AL31" i="3" s="1"/>
  <c r="O31" i="3" s="1"/>
  <c r="K31" i="3"/>
  <c r="AG31" i="3" a="1"/>
  <c r="AG31" i="3" s="1"/>
  <c r="E31" i="3" s="1"/>
  <c r="Q31" i="3" s="1"/>
  <c r="AF31" i="3" a="1"/>
  <c r="AF31" i="3" s="1"/>
  <c r="AE31" i="3" a="1"/>
  <c r="AE31" i="3" s="1"/>
  <c r="J31" i="3"/>
  <c r="AL20" i="3" a="1"/>
  <c r="AL20" i="3" s="1"/>
  <c r="O20" i="3" s="1"/>
  <c r="J20" i="3"/>
  <c r="AF20" i="3" a="1"/>
  <c r="AF20" i="3" s="1"/>
  <c r="K20" i="3"/>
  <c r="AG20" i="3" a="1"/>
  <c r="AG20" i="3" s="1"/>
  <c r="E20" i="3" s="1"/>
  <c r="Q20" i="3" s="1"/>
  <c r="AE20" i="3" a="1"/>
  <c r="AE20" i="3" s="1"/>
  <c r="AL16" i="3" a="1"/>
  <c r="AL16" i="3" s="1"/>
  <c r="AE16" i="3" a="1"/>
  <c r="AE16" i="3" s="1"/>
  <c r="AG16" i="3" a="1"/>
  <c r="AG16" i="3" s="1"/>
  <c r="K16" i="3"/>
  <c r="AF16" i="3" a="1"/>
  <c r="AF16" i="3" s="1"/>
  <c r="J16" i="3"/>
  <c r="J47" i="3"/>
  <c r="AB47" i="3" s="1" a="1"/>
  <c r="AB47" i="3" s="1"/>
  <c r="AF47" i="3" a="1"/>
  <c r="AF47" i="3" s="1"/>
  <c r="AG47" i="3" a="1"/>
  <c r="AG47" i="3" s="1"/>
  <c r="E47" i="3" s="1"/>
  <c r="Q47" i="3" s="1"/>
  <c r="K47" i="3"/>
  <c r="AE47" i="3" a="1"/>
  <c r="AE47" i="3" s="1"/>
  <c r="A46" i="28" a="1"/>
  <c r="A46" i="28" s="1"/>
  <c r="AH20" i="22" a="1"/>
  <c r="AH20" i="22" s="1"/>
  <c r="AH21" i="22" a="1"/>
  <c r="AH21" i="22" s="1"/>
  <c r="AH22" i="22" a="1"/>
  <c r="AH22" i="22" s="1"/>
  <c r="AH23" i="22" a="1"/>
  <c r="AH23" i="22" s="1"/>
  <c r="AH24" i="22" a="1"/>
  <c r="AH24" i="22" s="1"/>
  <c r="AH25" i="22" a="1"/>
  <c r="AH25" i="22" s="1"/>
  <c r="AH26" i="22" a="1"/>
  <c r="AH26" i="22" s="1"/>
  <c r="AH27" i="22" a="1"/>
  <c r="AH27" i="22" s="1"/>
  <c r="AH28" i="22" a="1"/>
  <c r="AH28" i="22" s="1"/>
  <c r="AH30" i="22" a="1"/>
  <c r="AH30" i="22" s="1"/>
  <c r="AH31" i="22" a="1"/>
  <c r="AH31" i="22" s="1"/>
  <c r="AH32" i="22" a="1"/>
  <c r="AH32" i="22" s="1"/>
  <c r="AH33" i="22" a="1"/>
  <c r="AH33" i="22" s="1"/>
  <c r="AH34" i="22" a="1"/>
  <c r="AH34" i="22" s="1"/>
  <c r="AH35" i="22" a="1"/>
  <c r="AH35" i="22" s="1"/>
  <c r="AH36" i="22" a="1"/>
  <c r="AH36" i="22" s="1"/>
  <c r="AH37" i="22" a="1"/>
  <c r="AH37" i="22" s="1"/>
  <c r="AH38" i="22" a="1"/>
  <c r="AH38" i="22" s="1"/>
  <c r="AH39" i="22" a="1"/>
  <c r="AH39" i="22" s="1"/>
  <c r="AH40" i="22" a="1"/>
  <c r="AH40" i="22" s="1"/>
  <c r="AH41" i="22" a="1"/>
  <c r="AH41" i="22" s="1"/>
  <c r="AH42" i="22" a="1"/>
  <c r="AH42" i="22" s="1"/>
  <c r="AH43" i="22" a="1"/>
  <c r="AH43" i="22" s="1"/>
  <c r="AH44" i="22" a="1"/>
  <c r="AH44" i="22" s="1"/>
  <c r="AH45" i="22" a="1"/>
  <c r="AH45" i="22" s="1"/>
  <c r="AH46" i="22" a="1"/>
  <c r="AH46" i="22" s="1"/>
  <c r="AH47" i="22" a="1"/>
  <c r="AH47" i="22" s="1"/>
  <c r="AH48" i="22" a="1"/>
  <c r="AH48" i="22" s="1"/>
  <c r="AH49" i="22" a="1"/>
  <c r="AH49" i="22" s="1"/>
  <c r="AH50" i="22" a="1"/>
  <c r="AH50" i="22" s="1"/>
  <c r="AH51" i="22" a="1"/>
  <c r="AH51" i="22" s="1"/>
  <c r="AH52" i="22" a="1"/>
  <c r="AH52" i="22" s="1"/>
  <c r="AH53" i="22" a="1"/>
  <c r="AH53" i="22" s="1"/>
  <c r="AH54" i="22" a="1"/>
  <c r="AH54" i="22" s="1"/>
  <c r="AH55" i="22" a="1"/>
  <c r="AH55" i="22" s="1"/>
  <c r="AH56" i="22" a="1"/>
  <c r="AH56" i="22" s="1"/>
  <c r="AH57" i="22" a="1"/>
  <c r="AH57" i="22" s="1"/>
  <c r="AH59" i="22" a="1"/>
  <c r="AH59" i="22" s="1"/>
  <c r="AH60" i="22" a="1"/>
  <c r="AH60" i="22" s="1"/>
  <c r="AH61" i="22" a="1"/>
  <c r="AH61" i="22" s="1"/>
  <c r="AH19" i="22" a="1"/>
  <c r="AH29" i="22" a="1"/>
  <c r="AH18" i="22" a="1"/>
  <c r="AH58" i="22" a="1"/>
  <c r="AK11" i="3" l="1" a="1"/>
  <c r="AK11" i="3" s="1"/>
  <c r="AN6" i="3" a="1"/>
  <c r="AN6" i="3" s="1"/>
  <c r="V62" i="20" a="1"/>
  <c r="V62" i="20" s="1"/>
  <c r="V63" i="20" a="1"/>
  <c r="V63" i="20" s="1"/>
  <c r="V65" i="20" a="1"/>
  <c r="V65" i="20" s="1"/>
  <c r="V64" i="20" a="1"/>
  <c r="V64" i="20" s="1"/>
  <c r="V66" i="20" a="1"/>
  <c r="V66" i="20" s="1"/>
  <c r="E91" i="34" a="1"/>
  <c r="E91" i="34" s="1"/>
  <c r="O92" i="34"/>
  <c r="N79" i="34"/>
  <c r="H80" i="34" a="1"/>
  <c r="H80" i="34" s="1"/>
  <c r="AG10" i="20"/>
  <c r="A222" i="28" a="1"/>
  <c r="A222" i="28" s="1"/>
  <c r="A221" i="28" a="1"/>
  <c r="A221" i="28" s="1"/>
  <c r="AG67" i="20"/>
  <c r="AG32" i="9" a="1"/>
  <c r="AG32" i="9" s="1"/>
  <c r="AK29" i="3" a="1"/>
  <c r="AK29" i="3" s="1"/>
  <c r="G29" i="3" s="1"/>
  <c r="S29" i="3" s="1"/>
  <c r="AK7" i="3" a="1"/>
  <c r="AK7" i="3" s="1"/>
  <c r="G7" i="3" s="1"/>
  <c r="S7" i="3" s="1"/>
  <c r="AM6" i="10" a="1"/>
  <c r="AM6" i="10" s="1"/>
  <c r="AM7" i="10" s="1" a="1"/>
  <c r="AM7" i="10" s="1"/>
  <c r="AM8" i="10" s="1" a="1"/>
  <c r="AM8" i="10" s="1"/>
  <c r="AM9" i="10" s="1" a="1"/>
  <c r="AM9" i="10" s="1"/>
  <c r="AM10" i="10" s="1" a="1"/>
  <c r="AM10" i="10" s="1"/>
  <c r="AM11" i="10" s="1" a="1"/>
  <c r="AM11" i="10" s="1"/>
  <c r="AM12" i="10" s="1" a="1"/>
  <c r="AM12" i="10" s="1"/>
  <c r="AM13" i="10" s="1" a="1"/>
  <c r="AM13" i="10" s="1"/>
  <c r="AM14" i="10" s="1" a="1"/>
  <c r="AM14" i="10" s="1"/>
  <c r="AM15" i="10" s="1" a="1"/>
  <c r="AM15" i="10" s="1"/>
  <c r="AM16" i="10" s="1" a="1"/>
  <c r="AM16" i="10" s="1"/>
  <c r="AM17" i="10" s="1" a="1"/>
  <c r="AM17" i="10" s="1"/>
  <c r="AM18" i="10" s="1" a="1"/>
  <c r="AM18" i="10" s="1"/>
  <c r="AM19" i="10" s="1" a="1"/>
  <c r="AM19" i="10" s="1"/>
  <c r="AM20" i="10" s="1" a="1"/>
  <c r="AM20" i="10" s="1"/>
  <c r="AM21" i="10" s="1" a="1"/>
  <c r="AM21" i="10" s="1"/>
  <c r="AM22" i="10" s="1" a="1"/>
  <c r="AM22" i="10" s="1"/>
  <c r="AM23" i="10" s="1" a="1"/>
  <c r="AM23" i="10" s="1"/>
  <c r="AM24" i="10" s="1" a="1"/>
  <c r="AM24" i="10" s="1"/>
  <c r="AM25" i="10" s="1" a="1"/>
  <c r="AM25" i="10" s="1"/>
  <c r="AM26" i="10" s="1" a="1"/>
  <c r="AM26" i="10" s="1"/>
  <c r="AM27" i="10" s="1" a="1"/>
  <c r="AM27" i="10" s="1"/>
  <c r="AM28" i="10" s="1" a="1"/>
  <c r="AM28" i="10" s="1"/>
  <c r="AM29" i="10" s="1" a="1"/>
  <c r="AM29" i="10" s="1"/>
  <c r="AM30" i="10" s="1" a="1"/>
  <c r="AM30" i="10" s="1"/>
  <c r="AM31" i="10" s="1" a="1"/>
  <c r="AM31" i="10" s="1"/>
  <c r="AM32" i="10" s="1" a="1"/>
  <c r="AM32" i="10" s="1"/>
  <c r="AM33" i="10" s="1" a="1"/>
  <c r="AM33" i="10" s="1"/>
  <c r="AM34" i="10" s="1" a="1"/>
  <c r="AM34" i="10" s="1"/>
  <c r="AM35" i="10" s="1" a="1"/>
  <c r="AM35" i="10" s="1"/>
  <c r="AM36" i="10" s="1" a="1"/>
  <c r="AM36" i="10" s="1"/>
  <c r="AM37" i="10" s="1" a="1"/>
  <c r="AM37" i="10" s="1"/>
  <c r="AM38" i="10" s="1" a="1"/>
  <c r="AM38" i="10" s="1"/>
  <c r="AM39" i="10" s="1" a="1"/>
  <c r="AM39" i="10" s="1"/>
  <c r="AM40" i="10" s="1" a="1"/>
  <c r="AM40" i="10" s="1"/>
  <c r="AM41" i="10" s="1" a="1"/>
  <c r="AM41" i="10" s="1"/>
  <c r="AM42" i="10" s="1" a="1"/>
  <c r="AM42" i="10" s="1"/>
  <c r="AM43" i="10" s="1" a="1"/>
  <c r="AM43" i="10" s="1"/>
  <c r="AM44" i="10" s="1" a="1"/>
  <c r="AM44" i="10" s="1"/>
  <c r="AK25" i="3" a="1"/>
  <c r="AK25" i="3" s="1"/>
  <c r="G25" i="3" s="1"/>
  <c r="S25" i="3" s="1"/>
  <c r="AP10" i="20" a="1"/>
  <c r="AP10" i="20" s="1"/>
  <c r="AG7" i="20"/>
  <c r="AK17" i="3" a="1"/>
  <c r="AK17" i="3" s="1"/>
  <c r="G17" i="3" s="1"/>
  <c r="S17" i="3" s="1"/>
  <c r="P5" i="3" a="1"/>
  <c r="P5" i="3" s="1"/>
  <c r="P6" i="3" s="1" a="1"/>
  <c r="P6" i="3" s="1"/>
  <c r="P7" i="3" s="1" a="1"/>
  <c r="P7" i="3" s="1"/>
  <c r="P8" i="3" s="1" a="1"/>
  <c r="P8" i="3" s="1"/>
  <c r="P9" i="3" s="1" a="1"/>
  <c r="P9" i="3" s="1"/>
  <c r="P10" i="3" s="1" a="1"/>
  <c r="P10" i="3" s="1"/>
  <c r="P11" i="3" s="1" a="1"/>
  <c r="P11" i="3" s="1"/>
  <c r="P12" i="3" s="1" a="1"/>
  <c r="P12" i="3" s="1"/>
  <c r="P13" i="3" s="1" a="1"/>
  <c r="P13" i="3" s="1"/>
  <c r="P14" i="3" s="1" a="1"/>
  <c r="P14" i="3" s="1"/>
  <c r="P15" i="3" s="1" a="1"/>
  <c r="P15" i="3" s="1"/>
  <c r="P16" i="3" s="1" a="1"/>
  <c r="P16" i="3" s="1"/>
  <c r="P17" i="3" s="1" a="1"/>
  <c r="P17" i="3" s="1"/>
  <c r="P18" i="3" s="1" a="1"/>
  <c r="P18" i="3" s="1"/>
  <c r="P19" i="3" s="1" a="1"/>
  <c r="P19" i="3" s="1"/>
  <c r="P20" i="3" s="1" a="1"/>
  <c r="P20" i="3" s="1"/>
  <c r="P21" i="3" s="1" a="1"/>
  <c r="P21" i="3" s="1"/>
  <c r="P22" i="3" s="1" a="1"/>
  <c r="P22" i="3" s="1"/>
  <c r="P23" i="3" s="1" a="1"/>
  <c r="P23" i="3" s="1"/>
  <c r="P24" i="3" s="1" a="1"/>
  <c r="P24" i="3" s="1"/>
  <c r="R7" i="3" a="1"/>
  <c r="R7" i="3" s="1"/>
  <c r="R8" i="3" s="1" a="1"/>
  <c r="R8" i="3" s="1"/>
  <c r="R9" i="3" s="1" a="1"/>
  <c r="R9" i="3" s="1"/>
  <c r="R10" i="3" s="1" a="1"/>
  <c r="R10" i="3" s="1"/>
  <c r="R11" i="3" s="1" a="1"/>
  <c r="R11" i="3" s="1"/>
  <c r="R12" i="3" s="1" a="1"/>
  <c r="R12" i="3" s="1"/>
  <c r="R13" i="3" s="1" a="1"/>
  <c r="R13" i="3" s="1"/>
  <c r="R14" i="3" s="1" a="1"/>
  <c r="R14" i="3" s="1"/>
  <c r="R15" i="3" s="1" a="1"/>
  <c r="R15" i="3" s="1"/>
  <c r="R16" i="3" s="1" a="1"/>
  <c r="R16" i="3" s="1"/>
  <c r="R17" i="3" s="1" a="1"/>
  <c r="R17" i="3" s="1"/>
  <c r="R18" i="3" s="1" a="1"/>
  <c r="R18" i="3" s="1"/>
  <c r="R19" i="3" s="1" a="1"/>
  <c r="R19" i="3" s="1"/>
  <c r="R20" i="3" s="1" a="1"/>
  <c r="R20" i="3" s="1"/>
  <c r="R21" i="3" s="1" a="1"/>
  <c r="R21" i="3" s="1"/>
  <c r="R22" i="3" s="1" a="1"/>
  <c r="R22" i="3" s="1"/>
  <c r="R23" i="3" s="1" a="1"/>
  <c r="R23" i="3" s="1"/>
  <c r="R24" i="3" s="1" a="1"/>
  <c r="R24" i="3" s="1"/>
  <c r="R25" i="3" s="1" a="1"/>
  <c r="R25" i="3" s="1"/>
  <c r="R26" i="3" s="1" a="1"/>
  <c r="R26" i="3" s="1"/>
  <c r="R27" i="3" s="1" a="1"/>
  <c r="R27" i="3" s="1"/>
  <c r="R28" i="3" s="1" a="1"/>
  <c r="R28" i="3" s="1"/>
  <c r="R29" i="3" s="1" a="1"/>
  <c r="R29" i="3" s="1"/>
  <c r="R30" i="3" s="1" a="1"/>
  <c r="R30" i="3" s="1"/>
  <c r="R31" i="3" s="1" a="1"/>
  <c r="R31" i="3" s="1"/>
  <c r="R32" i="3" s="1" a="1"/>
  <c r="R32" i="3" s="1"/>
  <c r="R33" i="3" s="1" a="1"/>
  <c r="R33" i="3" s="1"/>
  <c r="R34" i="3" s="1" a="1"/>
  <c r="R34" i="3" s="1"/>
  <c r="R35" i="3" s="1" a="1"/>
  <c r="R35" i="3" s="1"/>
  <c r="R36" i="3" s="1" a="1"/>
  <c r="R36" i="3" s="1"/>
  <c r="R37" i="3" s="1" a="1"/>
  <c r="R37" i="3" s="1"/>
  <c r="R38" i="3" s="1" a="1"/>
  <c r="R38" i="3" s="1"/>
  <c r="R39" i="3" s="1" a="1"/>
  <c r="R39" i="3" s="1"/>
  <c r="R40" i="3" s="1" a="1"/>
  <c r="R40" i="3" s="1"/>
  <c r="R41" i="3" s="1" a="1"/>
  <c r="R41" i="3" s="1"/>
  <c r="R42" i="3" s="1" a="1"/>
  <c r="R42" i="3" s="1"/>
  <c r="R43" i="3" s="1" a="1"/>
  <c r="R43" i="3" s="1"/>
  <c r="R44" i="3" s="1" a="1"/>
  <c r="R44" i="3" s="1"/>
  <c r="R45" i="3" s="1" a="1"/>
  <c r="R45" i="3" s="1"/>
  <c r="R46" i="3" s="1" a="1"/>
  <c r="R46" i="3" s="1"/>
  <c r="R47" i="3" s="1" a="1"/>
  <c r="R47" i="3" s="1"/>
  <c r="R48" i="3" s="1" a="1"/>
  <c r="R48" i="3" s="1"/>
  <c r="R49" i="3" s="1" a="1"/>
  <c r="R49" i="3" s="1"/>
  <c r="R50" i="3" s="1" a="1"/>
  <c r="R50" i="3" s="1"/>
  <c r="R51" i="3" s="1" a="1"/>
  <c r="R51" i="3" s="1"/>
  <c r="R52" i="3" s="1" a="1"/>
  <c r="R52" i="3" s="1"/>
  <c r="R53" i="3" s="1" a="1"/>
  <c r="R53" i="3" s="1"/>
  <c r="R54" i="3" s="1" a="1"/>
  <c r="R54" i="3" s="1"/>
  <c r="R55" i="3" s="1" a="1"/>
  <c r="R55" i="3" s="1"/>
  <c r="R56" i="3" s="1" a="1"/>
  <c r="R56" i="3" s="1"/>
  <c r="R57" i="3" s="1" a="1"/>
  <c r="R57" i="3" s="1"/>
  <c r="R58" i="3" s="1" a="1"/>
  <c r="R58" i="3" s="1"/>
  <c r="R59" i="3" s="1" a="1"/>
  <c r="R59" i="3" s="1"/>
  <c r="R60" i="3" s="1" a="1"/>
  <c r="R60" i="3" s="1"/>
  <c r="R61" i="3" s="1" a="1"/>
  <c r="R61" i="3" s="1"/>
  <c r="R62" i="3" s="1" a="1"/>
  <c r="R62" i="3" s="1"/>
  <c r="R63" i="3" s="1" a="1"/>
  <c r="R63" i="3" s="1"/>
  <c r="R64" i="3" s="1" a="1"/>
  <c r="R64" i="3" s="1"/>
  <c r="R65" i="3" s="1" a="1"/>
  <c r="R65" i="3" s="1"/>
  <c r="R66" i="3" s="1" a="1"/>
  <c r="R66" i="3" s="1"/>
  <c r="R67" i="3" s="1" a="1"/>
  <c r="R67" i="3" s="1"/>
  <c r="R68" i="3" s="1" a="1"/>
  <c r="R68" i="3" s="1"/>
  <c r="R69" i="3" s="1" a="1"/>
  <c r="R69" i="3" s="1"/>
  <c r="R70" i="3" s="1" a="1"/>
  <c r="R70" i="3" s="1"/>
  <c r="R71" i="3" s="1" a="1"/>
  <c r="R71" i="3" s="1"/>
  <c r="R72" i="3" s="1" a="1"/>
  <c r="R72" i="3" s="1"/>
  <c r="R73" i="3" s="1" a="1"/>
  <c r="R73" i="3" s="1"/>
  <c r="R74" i="3" s="1" a="1"/>
  <c r="R74" i="3" s="1"/>
  <c r="R75" i="3" s="1" a="1"/>
  <c r="R75" i="3" s="1"/>
  <c r="R76" i="3" s="1" a="1"/>
  <c r="R76" i="3" s="1"/>
  <c r="R77" i="3" s="1" a="1"/>
  <c r="R77" i="3" s="1"/>
  <c r="R78" i="3" s="1" a="1"/>
  <c r="R78" i="3" s="1"/>
  <c r="R79" i="3" s="1" a="1"/>
  <c r="R79" i="3" s="1"/>
  <c r="R80" i="3" s="1" a="1"/>
  <c r="R80" i="3" s="1"/>
  <c r="R81" i="3" s="1" a="1"/>
  <c r="R81" i="3" s="1"/>
  <c r="R82" i="3" s="1" a="1"/>
  <c r="R82" i="3" s="1"/>
  <c r="R83" i="3" s="1" a="1"/>
  <c r="R83" i="3" s="1"/>
  <c r="R84" i="3" s="1" a="1"/>
  <c r="R84" i="3" s="1"/>
  <c r="R85" i="3" s="1" a="1"/>
  <c r="R85" i="3" s="1"/>
  <c r="R86" i="3" s="1" a="1"/>
  <c r="R86" i="3" s="1"/>
  <c r="R87" i="3" s="1" a="1"/>
  <c r="R87" i="3" s="1"/>
  <c r="R88" i="3" s="1" a="1"/>
  <c r="R88" i="3" s="1"/>
  <c r="R89" i="3" s="1" a="1"/>
  <c r="R89" i="3" s="1"/>
  <c r="R90" i="3" s="1" a="1"/>
  <c r="R90" i="3" s="1"/>
  <c r="R91" i="3" s="1" a="1"/>
  <c r="R91" i="3" s="1"/>
  <c r="R92" i="3" s="1" a="1"/>
  <c r="R92" i="3" s="1"/>
  <c r="R93" i="3" s="1" a="1"/>
  <c r="R93" i="3" s="1"/>
  <c r="R94" i="3" s="1" a="1"/>
  <c r="R94" i="3" s="1"/>
  <c r="R95" i="3" s="1" a="1"/>
  <c r="R95" i="3" s="1"/>
  <c r="R96" i="3" s="1" a="1"/>
  <c r="R96" i="3" s="1"/>
  <c r="R97" i="3" s="1" a="1"/>
  <c r="R97" i="3" s="1"/>
  <c r="R98" i="3" s="1" a="1"/>
  <c r="R98" i="3" s="1"/>
  <c r="R99" i="3" s="1" a="1"/>
  <c r="R99" i="3" s="1"/>
  <c r="R100" i="3" s="1" a="1"/>
  <c r="R100" i="3" s="1"/>
  <c r="R101" i="3" s="1" a="1"/>
  <c r="R101" i="3" s="1"/>
  <c r="R102" i="3" s="1" a="1"/>
  <c r="R102" i="3" s="1"/>
  <c r="R103" i="3" s="1" a="1"/>
  <c r="R103" i="3" s="1"/>
  <c r="S43" i="9"/>
  <c r="T43" i="9" s="1" a="1"/>
  <c r="T43" i="9" s="1"/>
  <c r="AG38" i="20"/>
  <c r="AG39" i="20"/>
  <c r="AG28" i="20"/>
  <c r="AG14" i="20"/>
  <c r="AG17" i="20"/>
  <c r="AG20" i="20"/>
  <c r="AG18" i="20"/>
  <c r="AG19" i="20"/>
  <c r="V33" i="20" a="1"/>
  <c r="V33" i="20" s="1"/>
  <c r="V40" i="20" a="1"/>
  <c r="V40" i="20" s="1"/>
  <c r="V21" i="20" a="1"/>
  <c r="V21" i="20" s="1"/>
  <c r="V37" i="20" a="1"/>
  <c r="V37" i="20" s="1"/>
  <c r="AG32" i="20"/>
  <c r="V7" i="20" a="1"/>
  <c r="V7" i="20" s="1"/>
  <c r="AG61" i="20"/>
  <c r="V31" i="20" a="1"/>
  <c r="V31" i="20" s="1"/>
  <c r="V61" i="20" a="1"/>
  <c r="V61" i="20" s="1"/>
  <c r="S42" i="9"/>
  <c r="AG31" i="20"/>
  <c r="V60" i="20" a="1"/>
  <c r="V60" i="20" s="1"/>
  <c r="AM41" i="3" a="1"/>
  <c r="AM41" i="3" s="1"/>
  <c r="U16" i="3"/>
  <c r="U25" i="3"/>
  <c r="U37" i="3"/>
  <c r="U23" i="3"/>
  <c r="G23" i="3"/>
  <c r="S23" i="3" s="1"/>
  <c r="U38" i="3"/>
  <c r="G38" i="3"/>
  <c r="S38" i="3" s="1"/>
  <c r="U43" i="3"/>
  <c r="G43" i="3"/>
  <c r="S43" i="3" s="1"/>
  <c r="U27" i="3"/>
  <c r="G27" i="3"/>
  <c r="S27" i="3" s="1"/>
  <c r="U32" i="3"/>
  <c r="G32" i="3"/>
  <c r="S32" i="3" s="1"/>
  <c r="U53" i="3"/>
  <c r="G53" i="3"/>
  <c r="S53" i="3" s="1"/>
  <c r="U17" i="3"/>
  <c r="U26" i="3"/>
  <c r="G26" i="3"/>
  <c r="S26" i="3" s="1"/>
  <c r="U36" i="3"/>
  <c r="G36" i="3"/>
  <c r="S36" i="3" s="1"/>
  <c r="U13" i="3"/>
  <c r="U54" i="3"/>
  <c r="G54" i="3"/>
  <c r="S54" i="3" s="1"/>
  <c r="U57" i="3"/>
  <c r="G57" i="3"/>
  <c r="S57" i="3" s="1"/>
  <c r="U7" i="3"/>
  <c r="U50" i="3"/>
  <c r="G50" i="3"/>
  <c r="S50" i="3" s="1"/>
  <c r="U5" i="3"/>
  <c r="V59" i="20" a="1"/>
  <c r="V59" i="20" s="1"/>
  <c r="U48" i="3"/>
  <c r="G48" i="3"/>
  <c r="S48" i="3" s="1"/>
  <c r="U42" i="3"/>
  <c r="U31" i="3"/>
  <c r="G31" i="3"/>
  <c r="S31" i="3" s="1"/>
  <c r="U30" i="3"/>
  <c r="U6" i="3"/>
  <c r="G6" i="3"/>
  <c r="U51" i="3"/>
  <c r="G51" i="3"/>
  <c r="S51" i="3" s="1"/>
  <c r="U18" i="3"/>
  <c r="U56" i="3"/>
  <c r="G56" i="3"/>
  <c r="S56" i="3" s="1"/>
  <c r="U22" i="3"/>
  <c r="U4" i="3"/>
  <c r="V4" i="3" s="1" a="1"/>
  <c r="V4" i="3" s="1"/>
  <c r="U41" i="3"/>
  <c r="G41" i="3"/>
  <c r="S41" i="3" s="1"/>
  <c r="U35" i="3"/>
  <c r="G35" i="3"/>
  <c r="S35" i="3" s="1"/>
  <c r="U11" i="3"/>
  <c r="G11" i="3"/>
  <c r="S11" i="3" s="1"/>
  <c r="U28" i="3"/>
  <c r="U44" i="3"/>
  <c r="G44" i="3"/>
  <c r="S44" i="3" s="1"/>
  <c r="U47" i="3"/>
  <c r="G47" i="3"/>
  <c r="S47" i="3" s="1"/>
  <c r="U8" i="3"/>
  <c r="U21" i="3"/>
  <c r="U45" i="3"/>
  <c r="G45" i="3"/>
  <c r="S45" i="3" s="1"/>
  <c r="U58" i="3"/>
  <c r="G58" i="3"/>
  <c r="S58" i="3" s="1"/>
  <c r="U9" i="3"/>
  <c r="G9" i="3"/>
  <c r="S9" i="3" s="1"/>
  <c r="U46" i="3"/>
  <c r="G46" i="3"/>
  <c r="S46" i="3" s="1"/>
  <c r="U20" i="3"/>
  <c r="G20" i="3"/>
  <c r="S20" i="3" s="1"/>
  <c r="U40" i="3"/>
  <c r="G40" i="3"/>
  <c r="S40" i="3" s="1"/>
  <c r="U24" i="3"/>
  <c r="U52" i="3"/>
  <c r="U10" i="3"/>
  <c r="G60" i="3"/>
  <c r="S60" i="3" s="1"/>
  <c r="U60" i="3"/>
  <c r="U34" i="3"/>
  <c r="U29" i="3"/>
  <c r="G59" i="3"/>
  <c r="S59" i="3" s="1"/>
  <c r="U59" i="3"/>
  <c r="U39" i="3"/>
  <c r="G39" i="3"/>
  <c r="S39" i="3" s="1"/>
  <c r="U55" i="3"/>
  <c r="G55" i="3"/>
  <c r="S55" i="3" s="1"/>
  <c r="U12" i="3"/>
  <c r="G12" i="3"/>
  <c r="S12" i="3" s="1"/>
  <c r="U19" i="3"/>
  <c r="G19" i="3"/>
  <c r="S19" i="3" s="1"/>
  <c r="AH58" i="22"/>
  <c r="AH19" i="22"/>
  <c r="AH29" i="22"/>
  <c r="AH18" i="22"/>
  <c r="A45" i="28" a="1"/>
  <c r="A45" i="28" s="1"/>
  <c r="A47" i="28" a="1"/>
  <c r="A47" i="28" s="1"/>
  <c r="AD3" i="21" a="1"/>
  <c r="AD3" i="21" s="1"/>
  <c r="AD4" i="21" a="1"/>
  <c r="AD4" i="21" s="1"/>
  <c r="AD5" i="21" a="1"/>
  <c r="AD5" i="21" s="1"/>
  <c r="AD6" i="21" a="1"/>
  <c r="AD6" i="21" s="1"/>
  <c r="AD7" i="21" a="1"/>
  <c r="AD7" i="21" s="1"/>
  <c r="AD8" i="21" a="1"/>
  <c r="AD8" i="21" s="1"/>
  <c r="AD9" i="21" a="1"/>
  <c r="AD9" i="21" s="1"/>
  <c r="AD10" i="21" a="1"/>
  <c r="AD10" i="21" s="1"/>
  <c r="AD11" i="21" a="1"/>
  <c r="AD11" i="21" s="1"/>
  <c r="AD12" i="21" a="1"/>
  <c r="AD12" i="21" s="1"/>
  <c r="AD13" i="21" a="1"/>
  <c r="AD13" i="21" s="1"/>
  <c r="AD14" i="21" a="1"/>
  <c r="AD14" i="21" s="1"/>
  <c r="AD15" i="21" a="1"/>
  <c r="AD15" i="21" s="1"/>
  <c r="AD16" i="21" a="1"/>
  <c r="AD16" i="21" s="1"/>
  <c r="AD17" i="21" a="1"/>
  <c r="AD17" i="21" s="1"/>
  <c r="AD18" i="21" a="1"/>
  <c r="AD18" i="21" s="1"/>
  <c r="AD19" i="21" a="1"/>
  <c r="AD19" i="21" s="1"/>
  <c r="AD20" i="21" a="1"/>
  <c r="AD20" i="21" s="1"/>
  <c r="AD21" i="21" a="1"/>
  <c r="AD21" i="21" s="1"/>
  <c r="AD22" i="21" a="1"/>
  <c r="AD22" i="21" s="1"/>
  <c r="AD23" i="21" a="1"/>
  <c r="AD23" i="21" s="1"/>
  <c r="AD24" i="21" a="1"/>
  <c r="AD24" i="21" s="1"/>
  <c r="AD25" i="21" a="1"/>
  <c r="AD25" i="21" s="1"/>
  <c r="AD26" i="21" a="1"/>
  <c r="AD26" i="21" s="1"/>
  <c r="AD27" i="21" a="1"/>
  <c r="AD27" i="21" s="1"/>
  <c r="AD28" i="21" a="1"/>
  <c r="AD28" i="21" s="1"/>
  <c r="AD29" i="21" a="1"/>
  <c r="AD29" i="21" s="1"/>
  <c r="AD30" i="21" a="1"/>
  <c r="AD30" i="21" s="1"/>
  <c r="AD31" i="21" a="1"/>
  <c r="AD31" i="21" s="1"/>
  <c r="AD32" i="21" a="1"/>
  <c r="AD32" i="21" s="1"/>
  <c r="AF20" i="10" a="1"/>
  <c r="AF20" i="10" s="1"/>
  <c r="AF21" i="10" a="1"/>
  <c r="AF21" i="10" s="1"/>
  <c r="AF22" i="10" a="1"/>
  <c r="AF22" i="10" s="1"/>
  <c r="AF23" i="10" a="1"/>
  <c r="AF23" i="10" s="1"/>
  <c r="E1" i="30" a="1"/>
  <c r="AN7" i="3" l="1" a="1"/>
  <c r="AN7" i="3" s="1"/>
  <c r="N80" i="34"/>
  <c r="E92" i="34" a="1"/>
  <c r="E92" i="34" s="1"/>
  <c r="O93" i="34"/>
  <c r="AG33" i="9" a="1"/>
  <c r="AG33" i="9" s="1"/>
  <c r="AP11" i="20" a="1"/>
  <c r="AP11" i="20" s="1"/>
  <c r="V5" i="3" a="1"/>
  <c r="V5" i="3" s="1"/>
  <c r="V6" i="3" s="1" a="1"/>
  <c r="V6" i="3" s="1"/>
  <c r="V7" i="3" s="1" a="1"/>
  <c r="V7" i="3" s="1"/>
  <c r="V8" i="3" s="1" a="1"/>
  <c r="V8" i="3" s="1"/>
  <c r="V9" i="3" s="1" a="1"/>
  <c r="V9" i="3" s="1"/>
  <c r="V10" i="3" s="1" a="1"/>
  <c r="V10" i="3" s="1"/>
  <c r="V11" i="3" s="1" a="1"/>
  <c r="V11" i="3" s="1"/>
  <c r="V12" i="3" s="1" a="1"/>
  <c r="V12" i="3" s="1"/>
  <c r="V13" i="3" s="1" a="1"/>
  <c r="V13" i="3" s="1"/>
  <c r="V14" i="3" s="1" a="1"/>
  <c r="V14" i="3" s="1"/>
  <c r="V15" i="3" s="1" a="1"/>
  <c r="V15" i="3" s="1"/>
  <c r="V16" i="3" s="1" a="1"/>
  <c r="V16" i="3" s="1"/>
  <c r="V17" i="3" s="1" a="1"/>
  <c r="V17" i="3" s="1"/>
  <c r="V18" i="3" s="1" a="1"/>
  <c r="V18" i="3" s="1"/>
  <c r="V19" i="3" s="1" a="1"/>
  <c r="V19" i="3" s="1"/>
  <c r="V20" i="3" s="1" a="1"/>
  <c r="V20" i="3" s="1"/>
  <c r="V21" i="3" s="1" a="1"/>
  <c r="V21" i="3" s="1"/>
  <c r="V22" i="3" s="1" a="1"/>
  <c r="V22" i="3" s="1"/>
  <c r="V23" i="3" s="1" a="1"/>
  <c r="V23" i="3" s="1"/>
  <c r="V24" i="3" s="1" a="1"/>
  <c r="V24" i="3" s="1"/>
  <c r="V25" i="3" s="1" a="1"/>
  <c r="V25" i="3" s="1"/>
  <c r="V26" i="3" s="1" a="1"/>
  <c r="V26" i="3" s="1"/>
  <c r="V27" i="3" s="1" a="1"/>
  <c r="V27" i="3" s="1"/>
  <c r="V28" i="3" s="1" a="1"/>
  <c r="V28" i="3" s="1"/>
  <c r="V29" i="3" s="1" a="1"/>
  <c r="V29" i="3" s="1"/>
  <c r="V30" i="3" s="1" a="1"/>
  <c r="V30" i="3" s="1"/>
  <c r="V31" i="3" s="1" a="1"/>
  <c r="V31" i="3" s="1"/>
  <c r="V32" i="3" s="1" a="1"/>
  <c r="V32" i="3" s="1"/>
  <c r="V33" i="3" s="1" a="1"/>
  <c r="V33" i="3" s="1"/>
  <c r="V34" i="3" s="1" a="1"/>
  <c r="V34" i="3" s="1"/>
  <c r="V35" i="3" s="1" a="1"/>
  <c r="V35" i="3" s="1"/>
  <c r="V36" i="3" s="1" a="1"/>
  <c r="V36" i="3" s="1"/>
  <c r="V37" i="3" s="1" a="1"/>
  <c r="V37" i="3" s="1"/>
  <c r="V38" i="3" s="1" a="1"/>
  <c r="V38" i="3" s="1"/>
  <c r="V39" i="3" s="1" a="1"/>
  <c r="V39" i="3" s="1"/>
  <c r="V40" i="3" s="1" a="1"/>
  <c r="V40" i="3" s="1"/>
  <c r="V41" i="3" s="1" a="1"/>
  <c r="V41" i="3" s="1"/>
  <c r="V42" i="3" s="1" a="1"/>
  <c r="V42" i="3" s="1"/>
  <c r="V43" i="3" s="1" a="1"/>
  <c r="V43" i="3" s="1"/>
  <c r="V44" i="3" s="1" a="1"/>
  <c r="V44" i="3" s="1"/>
  <c r="V45" i="3" s="1" a="1"/>
  <c r="V45" i="3" s="1"/>
  <c r="V46" i="3" s="1" a="1"/>
  <c r="V46" i="3" s="1"/>
  <c r="V47" i="3" s="1" a="1"/>
  <c r="V47" i="3" s="1"/>
  <c r="V48" i="3" s="1" a="1"/>
  <c r="V48" i="3" s="1"/>
  <c r="V49" i="3" s="1" a="1"/>
  <c r="V49" i="3" s="1"/>
  <c r="V50" i="3" s="1" a="1"/>
  <c r="V50" i="3" s="1"/>
  <c r="V51" i="3" s="1" a="1"/>
  <c r="V51" i="3" s="1"/>
  <c r="V52" i="3" s="1" a="1"/>
  <c r="V52" i="3" s="1"/>
  <c r="V53" i="3" s="1" a="1"/>
  <c r="V53" i="3" s="1"/>
  <c r="V54" i="3" s="1" a="1"/>
  <c r="V54" i="3" s="1"/>
  <c r="V55" i="3" s="1" a="1"/>
  <c r="V55" i="3" s="1"/>
  <c r="V56" i="3" s="1" a="1"/>
  <c r="V56" i="3" s="1"/>
  <c r="V57" i="3" s="1" a="1"/>
  <c r="V57" i="3" s="1"/>
  <c r="V58" i="3" s="1" a="1"/>
  <c r="V58" i="3" s="1"/>
  <c r="V59" i="3" s="1" a="1"/>
  <c r="V59" i="3" s="1"/>
  <c r="V60" i="3" s="1" a="1"/>
  <c r="V60" i="3" s="1"/>
  <c r="V61" i="3" s="1" a="1"/>
  <c r="V61" i="3" s="1"/>
  <c r="V62" i="3" s="1" a="1"/>
  <c r="V62" i="3" s="1"/>
  <c r="V63" i="3" s="1" a="1"/>
  <c r="V63" i="3" s="1"/>
  <c r="V64" i="3" s="1" a="1"/>
  <c r="V64" i="3" s="1"/>
  <c r="V65" i="3" s="1" a="1"/>
  <c r="V65" i="3" s="1"/>
  <c r="V66" i="3" s="1" a="1"/>
  <c r="V66" i="3" s="1"/>
  <c r="V67" i="3" s="1" a="1"/>
  <c r="V67" i="3" s="1"/>
  <c r="V68" i="3" s="1" a="1"/>
  <c r="V68" i="3" s="1"/>
  <c r="V69" i="3" s="1" a="1"/>
  <c r="V69" i="3" s="1"/>
  <c r="V70" i="3" s="1" a="1"/>
  <c r="V70" i="3" s="1"/>
  <c r="V71" i="3" s="1" a="1"/>
  <c r="V71" i="3" s="1"/>
  <c r="V72" i="3" s="1" a="1"/>
  <c r="V72" i="3" s="1"/>
  <c r="V73" i="3" s="1" a="1"/>
  <c r="V73" i="3" s="1"/>
  <c r="V74" i="3" s="1" a="1"/>
  <c r="V74" i="3" s="1"/>
  <c r="V75" i="3" s="1" a="1"/>
  <c r="V75" i="3" s="1"/>
  <c r="V76" i="3" s="1" a="1"/>
  <c r="V76" i="3" s="1"/>
  <c r="V77" i="3" s="1" a="1"/>
  <c r="V77" i="3" s="1"/>
  <c r="V78" i="3" s="1" a="1"/>
  <c r="V78" i="3" s="1"/>
  <c r="V79" i="3" s="1" a="1"/>
  <c r="V79" i="3" s="1"/>
  <c r="V80" i="3" s="1" a="1"/>
  <c r="V80" i="3" s="1"/>
  <c r="V81" i="3" s="1" a="1"/>
  <c r="V81" i="3" s="1"/>
  <c r="V82" i="3" s="1" a="1"/>
  <c r="V82" i="3" s="1"/>
  <c r="V83" i="3" s="1" a="1"/>
  <c r="V83" i="3" s="1"/>
  <c r="V84" i="3" s="1" a="1"/>
  <c r="V84" i="3" s="1"/>
  <c r="V85" i="3" s="1" a="1"/>
  <c r="V85" i="3" s="1"/>
  <c r="V86" i="3" s="1" a="1"/>
  <c r="V86" i="3" s="1"/>
  <c r="V87" i="3" s="1" a="1"/>
  <c r="V87" i="3" s="1"/>
  <c r="V88" i="3" s="1" a="1"/>
  <c r="V88" i="3" s="1"/>
  <c r="V89" i="3" s="1" a="1"/>
  <c r="V89" i="3" s="1"/>
  <c r="V90" i="3" s="1" a="1"/>
  <c r="V90" i="3" s="1"/>
  <c r="V91" i="3" s="1" a="1"/>
  <c r="V91" i="3" s="1"/>
  <c r="V92" i="3" s="1" a="1"/>
  <c r="V92" i="3" s="1"/>
  <c r="V93" i="3" s="1" a="1"/>
  <c r="V93" i="3" s="1"/>
  <c r="V94" i="3" s="1" a="1"/>
  <c r="V94" i="3" s="1"/>
  <c r="V95" i="3" s="1" a="1"/>
  <c r="V95" i="3" s="1"/>
  <c r="V96" i="3" s="1" a="1"/>
  <c r="V96" i="3" s="1"/>
  <c r="V97" i="3" s="1" a="1"/>
  <c r="V97" i="3" s="1"/>
  <c r="V98" i="3" s="1" a="1"/>
  <c r="V98" i="3" s="1"/>
  <c r="V99" i="3" s="1" a="1"/>
  <c r="V99" i="3" s="1"/>
  <c r="V100" i="3" s="1" a="1"/>
  <c r="V100" i="3" s="1"/>
  <c r="V101" i="3" s="1" a="1"/>
  <c r="V101" i="3" s="1"/>
  <c r="V102" i="3" s="1" a="1"/>
  <c r="V102" i="3" s="1"/>
  <c r="V103" i="3" s="1" a="1"/>
  <c r="V103" i="3" s="1"/>
  <c r="E1" i="30"/>
  <c r="S6" i="3"/>
  <c r="T6" i="3" s="1" a="1"/>
  <c r="T6" i="3" s="1"/>
  <c r="T7" i="3" s="1" a="1"/>
  <c r="T7" i="3" s="1"/>
  <c r="T8" i="3" s="1" a="1"/>
  <c r="T8" i="3" s="1"/>
  <c r="T9" i="3" s="1" a="1"/>
  <c r="T9" i="3" s="1"/>
  <c r="T10" i="3" s="1" a="1"/>
  <c r="T10" i="3" s="1"/>
  <c r="T11" i="3" s="1" a="1"/>
  <c r="T11" i="3" s="1"/>
  <c r="T12" i="3" s="1" a="1"/>
  <c r="T12" i="3" s="1"/>
  <c r="T13" i="3" s="1" a="1"/>
  <c r="T13" i="3" s="1"/>
  <c r="T14" i="3" s="1" a="1"/>
  <c r="T14" i="3" s="1"/>
  <c r="T15" i="3" s="1" a="1"/>
  <c r="T15" i="3" s="1"/>
  <c r="T16" i="3" s="1" a="1"/>
  <c r="T16" i="3" s="1"/>
  <c r="T17" i="3" s="1" a="1"/>
  <c r="T17" i="3" s="1"/>
  <c r="T18" i="3" s="1" a="1"/>
  <c r="T18" i="3" s="1"/>
  <c r="T19" i="3" s="1" a="1"/>
  <c r="T19" i="3" s="1"/>
  <c r="T20" i="3" s="1" a="1"/>
  <c r="T20" i="3" s="1"/>
  <c r="T21" i="3" s="1" a="1"/>
  <c r="T21" i="3" s="1"/>
  <c r="T22" i="3" s="1" a="1"/>
  <c r="T22" i="3" s="1"/>
  <c r="T23" i="3" s="1" a="1"/>
  <c r="T23" i="3" s="1"/>
  <c r="T24" i="3" s="1" a="1"/>
  <c r="T24" i="3" s="1"/>
  <c r="T25" i="3" s="1" a="1"/>
  <c r="T25" i="3" s="1"/>
  <c r="T26" i="3" s="1" a="1"/>
  <c r="T26" i="3" s="1"/>
  <c r="T27" i="3" s="1" a="1"/>
  <c r="T27" i="3" s="1"/>
  <c r="T28" i="3" s="1" a="1"/>
  <c r="T28" i="3" s="1"/>
  <c r="T29" i="3" s="1" a="1"/>
  <c r="T29" i="3" s="1"/>
  <c r="T30" i="3" s="1" a="1"/>
  <c r="T30" i="3" s="1"/>
  <c r="T31" i="3" s="1" a="1"/>
  <c r="T31" i="3" s="1"/>
  <c r="T32" i="3" s="1" a="1"/>
  <c r="T32" i="3" s="1"/>
  <c r="T33" i="3" s="1" a="1"/>
  <c r="T33" i="3" s="1"/>
  <c r="T34" i="3" s="1" a="1"/>
  <c r="T34" i="3" s="1"/>
  <c r="T35" i="3" s="1" a="1"/>
  <c r="T35" i="3" s="1"/>
  <c r="T36" i="3" s="1" a="1"/>
  <c r="T36" i="3" s="1"/>
  <c r="T37" i="3" s="1" a="1"/>
  <c r="T37" i="3" s="1"/>
  <c r="T38" i="3" s="1" a="1"/>
  <c r="T38" i="3" s="1"/>
  <c r="T39" i="3" s="1" a="1"/>
  <c r="T39" i="3" s="1"/>
  <c r="T40" i="3" s="1" a="1"/>
  <c r="T40" i="3" s="1"/>
  <c r="T41" i="3" s="1" a="1"/>
  <c r="T41" i="3" s="1"/>
  <c r="T42" i="3" s="1" a="1"/>
  <c r="T42" i="3" s="1"/>
  <c r="T43" i="3" s="1" a="1"/>
  <c r="T43" i="3" s="1"/>
  <c r="T44" i="3" s="1" a="1"/>
  <c r="T44" i="3" s="1"/>
  <c r="T45" i="3" s="1" a="1"/>
  <c r="T45" i="3" s="1"/>
  <c r="T46" i="3" s="1" a="1"/>
  <c r="T46" i="3" s="1"/>
  <c r="T47" i="3" s="1" a="1"/>
  <c r="T47" i="3" s="1"/>
  <c r="T48" i="3" s="1" a="1"/>
  <c r="T48" i="3" s="1"/>
  <c r="T49" i="3" s="1" a="1"/>
  <c r="T49" i="3" s="1"/>
  <c r="T50" i="3" s="1" a="1"/>
  <c r="T50" i="3" s="1"/>
  <c r="T51" i="3" s="1" a="1"/>
  <c r="T51" i="3" s="1"/>
  <c r="T52" i="3" s="1" a="1"/>
  <c r="T52" i="3" s="1"/>
  <c r="T53" i="3" s="1" a="1"/>
  <c r="T53" i="3" s="1"/>
  <c r="T54" i="3" s="1" a="1"/>
  <c r="T54" i="3" s="1"/>
  <c r="T55" i="3" s="1" a="1"/>
  <c r="T55" i="3" s="1"/>
  <c r="T56" i="3" s="1" a="1"/>
  <c r="T56" i="3" s="1"/>
  <c r="T57" i="3" s="1" a="1"/>
  <c r="T57" i="3" s="1"/>
  <c r="T58" i="3" s="1" a="1"/>
  <c r="T58" i="3" s="1"/>
  <c r="T59" i="3" s="1" a="1"/>
  <c r="T59" i="3" s="1"/>
  <c r="T60" i="3" s="1" a="1"/>
  <c r="T60" i="3" s="1"/>
  <c r="T61" i="3" s="1" a="1"/>
  <c r="T61" i="3" s="1"/>
  <c r="T62" i="3" s="1" a="1"/>
  <c r="T62" i="3" s="1"/>
  <c r="T63" i="3" s="1" a="1"/>
  <c r="T63" i="3" s="1"/>
  <c r="T64" i="3" s="1" a="1"/>
  <c r="T64" i="3" s="1"/>
  <c r="T65" i="3" s="1" a="1"/>
  <c r="T65" i="3" s="1"/>
  <c r="T66" i="3" s="1" a="1"/>
  <c r="T66" i="3" s="1"/>
  <c r="T67" i="3" s="1" a="1"/>
  <c r="T67" i="3" s="1"/>
  <c r="T68" i="3" s="1" a="1"/>
  <c r="T68" i="3" s="1"/>
  <c r="T69" i="3" s="1" a="1"/>
  <c r="T69" i="3" s="1"/>
  <c r="T70" i="3" s="1" a="1"/>
  <c r="T70" i="3" s="1"/>
  <c r="T71" i="3" s="1" a="1"/>
  <c r="T71" i="3" s="1"/>
  <c r="T72" i="3" s="1" a="1"/>
  <c r="T72" i="3" s="1"/>
  <c r="T73" i="3" s="1" a="1"/>
  <c r="T73" i="3" s="1"/>
  <c r="T74" i="3" s="1" a="1"/>
  <c r="T74" i="3" s="1"/>
  <c r="T75" i="3" s="1" a="1"/>
  <c r="T75" i="3" s="1"/>
  <c r="T76" i="3" s="1" a="1"/>
  <c r="T76" i="3" s="1"/>
  <c r="T77" i="3" s="1" a="1"/>
  <c r="T77" i="3" s="1"/>
  <c r="T78" i="3" s="1" a="1"/>
  <c r="T78" i="3" s="1"/>
  <c r="T79" i="3" s="1" a="1"/>
  <c r="T79" i="3" s="1"/>
  <c r="T80" i="3" s="1" a="1"/>
  <c r="T80" i="3" s="1"/>
  <c r="T81" i="3" s="1" a="1"/>
  <c r="T81" i="3" s="1"/>
  <c r="T82" i="3" s="1" a="1"/>
  <c r="T82" i="3" s="1"/>
  <c r="T83" i="3" s="1" a="1"/>
  <c r="T83" i="3" s="1"/>
  <c r="T84" i="3" s="1" a="1"/>
  <c r="T84" i="3" s="1"/>
  <c r="T85" i="3" s="1" a="1"/>
  <c r="T85" i="3" s="1"/>
  <c r="T86" i="3" s="1" a="1"/>
  <c r="T86" i="3" s="1"/>
  <c r="T87" i="3" s="1" a="1"/>
  <c r="T87" i="3" s="1"/>
  <c r="T88" i="3" s="1" a="1"/>
  <c r="T88" i="3" s="1"/>
  <c r="T89" i="3" s="1" a="1"/>
  <c r="T89" i="3" s="1"/>
  <c r="T90" i="3" s="1" a="1"/>
  <c r="T90" i="3" s="1"/>
  <c r="T91" i="3" s="1" a="1"/>
  <c r="T91" i="3" s="1"/>
  <c r="T92" i="3" s="1" a="1"/>
  <c r="T92" i="3" s="1"/>
  <c r="T93" i="3" s="1" a="1"/>
  <c r="T93" i="3" s="1"/>
  <c r="T94" i="3" s="1" a="1"/>
  <c r="T94" i="3" s="1"/>
  <c r="T95" i="3" s="1" a="1"/>
  <c r="T95" i="3" s="1"/>
  <c r="T96" i="3" s="1" a="1"/>
  <c r="T96" i="3" s="1"/>
  <c r="T97" i="3" s="1" a="1"/>
  <c r="T97" i="3" s="1"/>
  <c r="T98" i="3" s="1" a="1"/>
  <c r="T98" i="3" s="1"/>
  <c r="T99" i="3" s="1" a="1"/>
  <c r="T99" i="3" s="1"/>
  <c r="T100" i="3" s="1" a="1"/>
  <c r="T100" i="3" s="1"/>
  <c r="T101" i="3" s="1" a="1"/>
  <c r="T101" i="3" s="1"/>
  <c r="T102" i="3" s="1" a="1"/>
  <c r="T102" i="3" s="1"/>
  <c r="T103" i="3" s="1" a="1"/>
  <c r="T103" i="3" s="1"/>
  <c r="A48" i="28" a="1"/>
  <c r="A48" i="28" s="1"/>
  <c r="AK3" i="20" a="1"/>
  <c r="AK3" i="20" s="1"/>
  <c r="AN8" i="3" l="1" a="1"/>
  <c r="AN8" i="3" s="1"/>
  <c r="E93" i="34" a="1"/>
  <c r="E93" i="34" s="1"/>
  <c r="O94" i="34"/>
  <c r="H81" i="34" a="1"/>
  <c r="H81" i="34" s="1"/>
  <c r="AG34" i="9" a="1"/>
  <c r="AG34" i="9" s="1"/>
  <c r="AP12" i="20" a="1"/>
  <c r="AP12" i="20" s="1"/>
  <c r="AJ3" i="20" a="1"/>
  <c r="AJ3" i="20" s="1"/>
  <c r="AH23" i="10" a="1"/>
  <c r="AH23" i="10" s="1"/>
  <c r="AG23" i="10" a="1"/>
  <c r="AG23" i="10" s="1"/>
  <c r="AH22" i="10" a="1"/>
  <c r="AH22" i="10" s="1"/>
  <c r="AG22" i="10" a="1"/>
  <c r="AG22" i="10" s="1"/>
  <c r="AH21" i="10" a="1"/>
  <c r="AH21" i="10" s="1"/>
  <c r="AG21" i="10" a="1"/>
  <c r="AG21" i="10" s="1"/>
  <c r="AH20" i="10" a="1"/>
  <c r="AH20" i="10" s="1"/>
  <c r="AG20" i="10" a="1"/>
  <c r="AG20" i="10" s="1"/>
  <c r="AO5" i="17"/>
  <c r="AM5" i="17"/>
  <c r="AK5" i="17"/>
  <c r="L7" i="22"/>
  <c r="M7" i="22" s="1"/>
  <c r="S7" i="22"/>
  <c r="L14" i="22"/>
  <c r="T14" i="22" s="1"/>
  <c r="S14" i="22"/>
  <c r="AC3" i="21"/>
  <c r="AC4" i="21"/>
  <c r="AC5" i="21"/>
  <c r="AC6" i="21"/>
  <c r="AC7" i="21"/>
  <c r="AC8" i="21"/>
  <c r="AC9" i="21"/>
  <c r="AC10" i="21"/>
  <c r="AC11" i="21"/>
  <c r="AC12" i="21"/>
  <c r="AC13" i="21"/>
  <c r="AC14" i="21"/>
  <c r="AC15" i="21"/>
  <c r="AC16" i="21"/>
  <c r="AC17" i="21"/>
  <c r="AC18" i="21"/>
  <c r="AC19" i="21"/>
  <c r="AC20" i="21"/>
  <c r="AC21" i="21"/>
  <c r="AC22" i="21"/>
  <c r="AC23" i="21"/>
  <c r="AC24" i="21"/>
  <c r="AC25" i="21"/>
  <c r="AC26" i="21"/>
  <c r="AC27" i="21"/>
  <c r="AC28" i="21"/>
  <c r="AC29" i="21"/>
  <c r="AC30" i="21"/>
  <c r="AC31" i="21"/>
  <c r="AC32" i="21"/>
  <c r="AA3" i="21"/>
  <c r="AA4" i="21"/>
  <c r="AA5" i="21"/>
  <c r="AA6" i="21"/>
  <c r="AA7" i="21"/>
  <c r="AA8" i="21"/>
  <c r="AA9" i="21"/>
  <c r="AA10" i="21"/>
  <c r="AA11" i="21"/>
  <c r="AA12" i="21"/>
  <c r="AA13" i="21"/>
  <c r="AA14" i="21"/>
  <c r="AA15" i="21"/>
  <c r="AA16" i="21"/>
  <c r="AA17" i="21"/>
  <c r="AA18" i="21"/>
  <c r="AA19" i="21"/>
  <c r="AA20" i="21"/>
  <c r="AA21" i="21"/>
  <c r="AA22" i="21"/>
  <c r="AA23" i="21"/>
  <c r="AA24" i="21"/>
  <c r="AA25" i="21"/>
  <c r="AA26" i="21"/>
  <c r="AA27" i="21"/>
  <c r="AA28" i="21"/>
  <c r="AA29" i="21"/>
  <c r="AA30" i="21"/>
  <c r="AA31" i="21"/>
  <c r="AA32" i="21"/>
  <c r="C11" i="22" a="1"/>
  <c r="B6" i="22" a="1"/>
  <c r="C12" i="22" a="1"/>
  <c r="F11" i="22" a="1"/>
  <c r="D4" i="22" a="1"/>
  <c r="C6" i="22" a="1"/>
  <c r="B13" i="22" a="1"/>
  <c r="B12" i="22" a="1"/>
  <c r="B4" i="22" a="1"/>
  <c r="D6" i="22" a="1"/>
  <c r="D11" i="22" a="1"/>
  <c r="F4" i="22" a="1"/>
  <c r="D12" i="22" a="1"/>
  <c r="B11" i="22" a="1"/>
  <c r="C4" i="22" a="1"/>
  <c r="D13" i="22" a="1"/>
  <c r="C13" i="22" a="1"/>
  <c r="AN9" i="3" l="1" a="1"/>
  <c r="AN9" i="3" s="1"/>
  <c r="N81" i="34"/>
  <c r="H82" i="34" a="1"/>
  <c r="H82" i="34" s="1"/>
  <c r="O95" i="34"/>
  <c r="E94" i="34" a="1"/>
  <c r="E94" i="34" s="1"/>
  <c r="AG35" i="9" a="1"/>
  <c r="AG35" i="9" s="1"/>
  <c r="AP13" i="20" a="1"/>
  <c r="AP13" i="20" s="1"/>
  <c r="A49" i="28" a="1"/>
  <c r="A49" i="28" s="1"/>
  <c r="B13" i="22"/>
  <c r="B6" i="22"/>
  <c r="Q14" i="22"/>
  <c r="N14" i="22"/>
  <c r="P14" i="22"/>
  <c r="M14" i="22"/>
  <c r="O14" i="22"/>
  <c r="D13" i="22"/>
  <c r="C13" i="22"/>
  <c r="D12" i="22"/>
  <c r="C12" i="22"/>
  <c r="B12" i="22"/>
  <c r="D6" i="22"/>
  <c r="C6" i="22"/>
  <c r="T7" i="22"/>
  <c r="Q7" i="22"/>
  <c r="P7" i="22"/>
  <c r="O7" i="22"/>
  <c r="N7" i="22"/>
  <c r="D11" i="22"/>
  <c r="C11" i="22"/>
  <c r="B11" i="22"/>
  <c r="F11" i="22"/>
  <c r="F4" i="22"/>
  <c r="D4" i="22"/>
  <c r="C4" i="22"/>
  <c r="B4" i="22"/>
  <c r="Z4" i="3"/>
  <c r="Z5" i="3"/>
  <c r="Z6" i="3"/>
  <c r="Z7" i="3"/>
  <c r="Z8" i="3"/>
  <c r="Z9" i="3"/>
  <c r="Z10" i="3"/>
  <c r="Z11" i="3"/>
  <c r="Z12" i="3"/>
  <c r="Z13"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8" i="3"/>
  <c r="Z50" i="3"/>
  <c r="Z51" i="3"/>
  <c r="Z52" i="3"/>
  <c r="Z53" i="3"/>
  <c r="Z54" i="3"/>
  <c r="Z55" i="3"/>
  <c r="Z56" i="3"/>
  <c r="AI5" i="17"/>
  <c r="X4" i="3"/>
  <c r="X5" i="3"/>
  <c r="X6" i="3"/>
  <c r="X7" i="3"/>
  <c r="X8" i="3"/>
  <c r="X9" i="3"/>
  <c r="X10" i="3"/>
  <c r="X11" i="3"/>
  <c r="X12" i="3"/>
  <c r="X13"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8" i="3"/>
  <c r="X50" i="3"/>
  <c r="X51" i="3"/>
  <c r="X52" i="3"/>
  <c r="X53" i="3"/>
  <c r="X54" i="3"/>
  <c r="X55" i="3"/>
  <c r="X56" i="3"/>
  <c r="N4" i="3" a="1"/>
  <c r="N4" i="3" s="1"/>
  <c r="AB5" i="3" a="1"/>
  <c r="AB5" i="3" s="1"/>
  <c r="AB8" i="3" a="1"/>
  <c r="AB8" i="3" s="1"/>
  <c r="AB9" i="3" a="1"/>
  <c r="AB9" i="3" s="1"/>
  <c r="AB10" i="3" a="1"/>
  <c r="AB10" i="3" s="1"/>
  <c r="AB11" i="3" a="1"/>
  <c r="AB11" i="3" s="1"/>
  <c r="AB12" i="3" a="1"/>
  <c r="AB12" i="3" s="1"/>
  <c r="AB13" i="3" a="1"/>
  <c r="AB13" i="3" s="1"/>
  <c r="AB16" i="3" a="1"/>
  <c r="AB16" i="3" s="1"/>
  <c r="AB17" i="3" a="1"/>
  <c r="AB17" i="3" s="1"/>
  <c r="AB18" i="3" a="1"/>
  <c r="AB18" i="3" s="1"/>
  <c r="AB19" i="3" a="1"/>
  <c r="AB19" i="3" s="1"/>
  <c r="AB20" i="3" a="1"/>
  <c r="AB20" i="3" s="1"/>
  <c r="AB21" i="3" a="1"/>
  <c r="AB21" i="3" s="1"/>
  <c r="AB22" i="3" a="1"/>
  <c r="AB22" i="3" s="1"/>
  <c r="AB23" i="3" a="1"/>
  <c r="AB23" i="3" s="1"/>
  <c r="AB24" i="3" a="1"/>
  <c r="AB24" i="3" s="1"/>
  <c r="AB25" i="3" a="1"/>
  <c r="AB25" i="3" s="1"/>
  <c r="AB26" i="3" a="1"/>
  <c r="AB26" i="3" s="1"/>
  <c r="AB27" i="3" a="1"/>
  <c r="AB27" i="3" s="1"/>
  <c r="AB28" i="3" a="1"/>
  <c r="AB28" i="3" s="1"/>
  <c r="AB29" i="3" a="1"/>
  <c r="AB29" i="3" s="1"/>
  <c r="AB30" i="3" a="1"/>
  <c r="AB30" i="3" s="1"/>
  <c r="AB31" i="3" a="1"/>
  <c r="AB31" i="3" s="1"/>
  <c r="AB32" i="3" a="1"/>
  <c r="AB32" i="3" s="1"/>
  <c r="AB33" i="3" a="1"/>
  <c r="AB33" i="3" s="1"/>
  <c r="AB34" i="3" a="1"/>
  <c r="AB34" i="3" s="1"/>
  <c r="AB37" i="3" a="1"/>
  <c r="AB37" i="3" s="1"/>
  <c r="AB38" i="3" a="1"/>
  <c r="AB38" i="3" s="1"/>
  <c r="AB39" i="3" a="1"/>
  <c r="AB39" i="3" s="1"/>
  <c r="AB40" i="3" a="1"/>
  <c r="AB40" i="3" s="1"/>
  <c r="AB42" i="3" a="1"/>
  <c r="AB42" i="3" s="1"/>
  <c r="AB44" i="3" a="1"/>
  <c r="AB44" i="3" s="1"/>
  <c r="AB45" i="3" a="1"/>
  <c r="AB45" i="3" s="1"/>
  <c r="AB46" i="3" a="1"/>
  <c r="AB46" i="3" s="1"/>
  <c r="AB48" i="3" a="1"/>
  <c r="AB48" i="3" s="1"/>
  <c r="AB50" i="3" a="1"/>
  <c r="AB50" i="3" s="1"/>
  <c r="AB51" i="3" a="1"/>
  <c r="AB51" i="3" s="1"/>
  <c r="AB52" i="3" a="1"/>
  <c r="AB52" i="3" s="1"/>
  <c r="AB53" i="3" a="1"/>
  <c r="AB53" i="3" s="1"/>
  <c r="AB54" i="3" a="1"/>
  <c r="AB54" i="3" s="1"/>
  <c r="AB56" i="3" a="1"/>
  <c r="AB56" i="3" s="1"/>
  <c r="K32" i="21" a="1"/>
  <c r="K32" i="21" s="1"/>
  <c r="X32" i="21" a="1"/>
  <c r="X32" i="21" s="1"/>
  <c r="S5" i="9"/>
  <c r="S6" i="9"/>
  <c r="S7" i="9"/>
  <c r="S8" i="9"/>
  <c r="S9" i="9"/>
  <c r="S12" i="9"/>
  <c r="S13" i="9"/>
  <c r="S20" i="9"/>
  <c r="S25" i="9"/>
  <c r="S26" i="9"/>
  <c r="AG3" i="20"/>
  <c r="F10" i="22" a="1"/>
  <c r="C5" i="22" a="1"/>
  <c r="D7" i="14" a="1"/>
  <c r="C3" i="22" a="1"/>
  <c r="D3" i="22" a="1"/>
  <c r="C10" i="22" a="1"/>
  <c r="D5" i="22" a="1"/>
  <c r="B3" i="22" a="1"/>
  <c r="B10" i="22" a="1"/>
  <c r="D10" i="22" a="1"/>
  <c r="A7" i="14" a="1"/>
  <c r="B5" i="22" a="1"/>
  <c r="F3" i="22" a="1"/>
  <c r="C7" i="14" a="1"/>
  <c r="AN10" i="3" l="1" a="1"/>
  <c r="AN10" i="3" s="1"/>
  <c r="O96" i="34"/>
  <c r="E95" i="34" a="1"/>
  <c r="E95" i="34" s="1"/>
  <c r="H83" i="34" a="1"/>
  <c r="H83" i="34" s="1"/>
  <c r="N82" i="34"/>
  <c r="AG36" i="9" a="1"/>
  <c r="AG36" i="9" s="1"/>
  <c r="AP14" i="20" a="1"/>
  <c r="AP14" i="20" s="1"/>
  <c r="AB7" i="3" a="1"/>
  <c r="AB7" i="3" s="1"/>
  <c r="S40" i="9"/>
  <c r="T40" i="9" s="1" a="1"/>
  <c r="T40" i="9" s="1"/>
  <c r="S39" i="9"/>
  <c r="T39" i="9" s="1" a="1"/>
  <c r="T39" i="9" s="1"/>
  <c r="S35" i="9"/>
  <c r="T35" i="9" s="1" a="1"/>
  <c r="T35" i="9" s="1"/>
  <c r="AB4" i="3" a="1"/>
  <c r="AB4" i="3" s="1"/>
  <c r="AG23" i="20"/>
  <c r="AB41" i="3" a="1"/>
  <c r="AB41" i="3" s="1"/>
  <c r="S38" i="9"/>
  <c r="T38" i="9" s="1" a="1"/>
  <c r="T38" i="9" s="1"/>
  <c r="AB43" i="3" a="1"/>
  <c r="AB43" i="3" s="1"/>
  <c r="S36" i="9"/>
  <c r="T36" i="9" s="1" a="1"/>
  <c r="T36" i="9" s="1"/>
  <c r="V58" i="20" a="1"/>
  <c r="V58" i="20" s="1"/>
  <c r="S37" i="9"/>
  <c r="T37" i="9" s="1" a="1"/>
  <c r="T37" i="9" s="1"/>
  <c r="AB55" i="3" a="1"/>
  <c r="AB55" i="3" s="1"/>
  <c r="V57" i="20" a="1"/>
  <c r="V57" i="20" s="1"/>
  <c r="AB6" i="3" a="1"/>
  <c r="AB6" i="3" s="1"/>
  <c r="V56" i="20" a="1"/>
  <c r="V56" i="20" s="1"/>
  <c r="V47" i="20" a="1"/>
  <c r="V47" i="20" s="1"/>
  <c r="A50" i="28" a="1"/>
  <c r="A50" i="28" s="1"/>
  <c r="V54" i="20" a="1"/>
  <c r="V54" i="20" s="1"/>
  <c r="V55" i="20" a="1"/>
  <c r="V55" i="20" s="1"/>
  <c r="AG27" i="20"/>
  <c r="V24" i="20" a="1"/>
  <c r="V24" i="20" s="1"/>
  <c r="V35" i="20" a="1"/>
  <c r="V35" i="20" s="1"/>
  <c r="AG30" i="20"/>
  <c r="S33" i="9"/>
  <c r="T33" i="9" s="1" a="1"/>
  <c r="T33" i="9" s="1"/>
  <c r="V25" i="20" a="1"/>
  <c r="V25" i="20" s="1"/>
  <c r="AB35" i="3" a="1"/>
  <c r="AB35" i="3" s="1"/>
  <c r="V45" i="20" a="1"/>
  <c r="V45" i="20" s="1"/>
  <c r="V52" i="20" a="1"/>
  <c r="V52" i="20" s="1"/>
  <c r="V46" i="20" a="1"/>
  <c r="V46" i="20" s="1"/>
  <c r="V53" i="20" a="1"/>
  <c r="V53" i="20" s="1"/>
  <c r="V48" i="20" a="1"/>
  <c r="V48" i="20" s="1"/>
  <c r="AG6" i="20"/>
  <c r="V49" i="20" a="1"/>
  <c r="V49" i="20" s="1"/>
  <c r="V19" i="20" a="1"/>
  <c r="V19" i="20" s="1"/>
  <c r="V50" i="20" a="1"/>
  <c r="V50" i="20" s="1"/>
  <c r="V51" i="20" a="1"/>
  <c r="V51" i="20" s="1"/>
  <c r="AG11" i="20"/>
  <c r="AG13" i="20"/>
  <c r="V41" i="20" a="1"/>
  <c r="V41" i="20" s="1"/>
  <c r="V42" i="20" a="1"/>
  <c r="V42" i="20" s="1"/>
  <c r="V43" i="20" a="1"/>
  <c r="V43" i="20" s="1"/>
  <c r="V44" i="20" a="1"/>
  <c r="V44" i="20" s="1"/>
  <c r="AB36" i="3" a="1"/>
  <c r="AB36" i="3" s="1"/>
  <c r="N5" i="3" a="1"/>
  <c r="N5" i="3" s="1"/>
  <c r="N6" i="3" s="1" a="1"/>
  <c r="N6" i="3" s="1"/>
  <c r="N7" i="3" s="1" a="1"/>
  <c r="N7" i="3" s="1"/>
  <c r="N8" i="3" s="1" a="1"/>
  <c r="N8" i="3" s="1"/>
  <c r="N9" i="3" s="1" a="1"/>
  <c r="N9" i="3" s="1"/>
  <c r="N10" i="3" s="1" a="1"/>
  <c r="N10" i="3" s="1"/>
  <c r="N11" i="3" s="1" a="1"/>
  <c r="N11" i="3" s="1"/>
  <c r="N12" i="3" s="1" a="1"/>
  <c r="N12" i="3" s="1"/>
  <c r="N13" i="3" s="1" a="1"/>
  <c r="N13" i="3" s="1"/>
  <c r="S32" i="9"/>
  <c r="T32" i="9" s="1" a="1"/>
  <c r="T32" i="9" s="1"/>
  <c r="L13" i="22"/>
  <c r="S13" i="22"/>
  <c r="L12" i="22"/>
  <c r="S12" i="22"/>
  <c r="L6" i="22"/>
  <c r="S6" i="22"/>
  <c r="L11" i="22"/>
  <c r="S11" i="22"/>
  <c r="L4" i="22"/>
  <c r="S4" i="22"/>
  <c r="C10" i="22"/>
  <c r="D10" i="22"/>
  <c r="S11" i="9"/>
  <c r="T11" i="9" s="1" a="1"/>
  <c r="T11" i="9" s="1"/>
  <c r="S15" i="9"/>
  <c r="T15" i="9" s="1" a="1"/>
  <c r="T15" i="9" s="1"/>
  <c r="B10" i="22"/>
  <c r="F10" i="22"/>
  <c r="B5" i="22"/>
  <c r="C5" i="22"/>
  <c r="D5" i="22"/>
  <c r="F3" i="22"/>
  <c r="D3" i="22"/>
  <c r="S14" i="9"/>
  <c r="T14" i="9" s="1" a="1"/>
  <c r="T14" i="9" s="1"/>
  <c r="C3" i="22"/>
  <c r="B3" i="22"/>
  <c r="S21" i="9"/>
  <c r="S24" i="9"/>
  <c r="T24" i="9" s="1" a="1"/>
  <c r="T24" i="9" s="1"/>
  <c r="S31" i="9"/>
  <c r="S30" i="9"/>
  <c r="T30" i="9" s="1" a="1"/>
  <c r="T30" i="9" s="1"/>
  <c r="S3" i="9"/>
  <c r="T3" i="9" s="1" a="1"/>
  <c r="T3" i="9" s="1"/>
  <c r="S23" i="9"/>
  <c r="T23" i="9" s="1" a="1"/>
  <c r="T23" i="9" s="1"/>
  <c r="S19" i="9"/>
  <c r="T19" i="9" s="1" a="1"/>
  <c r="T19" i="9" s="1"/>
  <c r="S17" i="9"/>
  <c r="T17" i="9" s="1" a="1"/>
  <c r="T17" i="9" s="1"/>
  <c r="S16" i="9"/>
  <c r="D7" i="14"/>
  <c r="C7" i="14"/>
  <c r="A7" i="14"/>
  <c r="E7" i="14" s="1"/>
  <c r="S4" i="9"/>
  <c r="T4" i="9" s="1" a="1"/>
  <c r="T4" i="9" s="1"/>
  <c r="S22" i="9"/>
  <c r="T22" i="9" s="1" a="1"/>
  <c r="T22" i="9" s="1"/>
  <c r="S18" i="9"/>
  <c r="S10" i="9"/>
  <c r="T10" i="9" s="1" a="1"/>
  <c r="T10" i="9" s="1"/>
  <c r="S29" i="9"/>
  <c r="T29" i="9" s="1" a="1"/>
  <c r="T29" i="9" s="1"/>
  <c r="S28" i="9"/>
  <c r="S27" i="9"/>
  <c r="AE3" i="10"/>
  <c r="AE4" i="10"/>
  <c r="AE5" i="10"/>
  <c r="AE6" i="10"/>
  <c r="AE7" i="10"/>
  <c r="AE8" i="10"/>
  <c r="AE9" i="10"/>
  <c r="AE10" i="10"/>
  <c r="AE11" i="10"/>
  <c r="AE12" i="10"/>
  <c r="AE13" i="10"/>
  <c r="AE14" i="10"/>
  <c r="AE15" i="10"/>
  <c r="AE16" i="10"/>
  <c r="AE17" i="10"/>
  <c r="AE18" i="10"/>
  <c r="AE19" i="10"/>
  <c r="AE20" i="10"/>
  <c r="AE21" i="10"/>
  <c r="AE22" i="10"/>
  <c r="AE23" i="10"/>
  <c r="K31" i="21" a="1"/>
  <c r="K31" i="21" s="1"/>
  <c r="X31" i="21" a="1"/>
  <c r="X31" i="21" s="1"/>
  <c r="E3" i="25"/>
  <c r="R3" i="25" a="1"/>
  <c r="R3" i="25" s="1"/>
  <c r="R4" i="25" s="1" a="1"/>
  <c r="R4" i="25" s="1"/>
  <c r="R5" i="25" s="1" a="1"/>
  <c r="R5" i="25" s="1"/>
  <c r="R6" i="25" s="1" a="1"/>
  <c r="R6" i="25" s="1"/>
  <c r="R7" i="25" s="1" a="1"/>
  <c r="R7" i="25" s="1"/>
  <c r="K9" i="24" a="1"/>
  <c r="A9" i="14" a="1"/>
  <c r="D9" i="14" a="1"/>
  <c r="C9" i="14" a="1"/>
  <c r="I9" i="24" a="1"/>
  <c r="J9" i="24" a="1"/>
  <c r="B9" i="14" a="1"/>
  <c r="AN11" i="3" l="1" a="1"/>
  <c r="AN11" i="3" s="1"/>
  <c r="N83" i="34"/>
  <c r="H84" i="34" a="1"/>
  <c r="H84" i="34" s="1"/>
  <c r="E96" i="34" a="1"/>
  <c r="E96" i="34" s="1"/>
  <c r="O97" i="34"/>
  <c r="AH10" i="20" a="1"/>
  <c r="AH10" i="20" s="1"/>
  <c r="AI10" i="20" s="1" a="1"/>
  <c r="AI10" i="20" s="1"/>
  <c r="AH67" i="20" a="1"/>
  <c r="AH67" i="20" s="1"/>
  <c r="AG37" i="9" a="1"/>
  <c r="AG37" i="9" s="1"/>
  <c r="AP15" i="20" a="1"/>
  <c r="AP15" i="20" s="1"/>
  <c r="AH7" i="20" a="1"/>
  <c r="AH7" i="20" s="1"/>
  <c r="AI7" i="20" s="1" a="1"/>
  <c r="AI7" i="20" s="1"/>
  <c r="AH18" i="20" a="1"/>
  <c r="AH18" i="20" s="1"/>
  <c r="AH11" i="20" a="1"/>
  <c r="AH11" i="20" s="1"/>
  <c r="AH61" i="20" a="1"/>
  <c r="AH61" i="20" s="1"/>
  <c r="AI61" i="20" s="1" a="1"/>
  <c r="AI61" i="20" s="1"/>
  <c r="AH13" i="20" a="1"/>
  <c r="AH13" i="20" s="1"/>
  <c r="AH20" i="20" a="1"/>
  <c r="AH20" i="20" s="1"/>
  <c r="AH6" i="20" a="1"/>
  <c r="AH6" i="20" s="1"/>
  <c r="AH27" i="20" a="1"/>
  <c r="AH27" i="20" s="1"/>
  <c r="AH14" i="20" a="1"/>
  <c r="AH14" i="20" s="1"/>
  <c r="AH23" i="20" a="1"/>
  <c r="AH23" i="20" s="1"/>
  <c r="AH30" i="20" a="1"/>
  <c r="AH30" i="20" s="1"/>
  <c r="AH31" i="20" a="1"/>
  <c r="AH31" i="20" s="1"/>
  <c r="Q26" i="29" a="1"/>
  <c r="Q26" i="29" s="1"/>
  <c r="AL25" i="3" s="1" a="1"/>
  <c r="AL25" i="3" s="1"/>
  <c r="O25" i="3" s="1"/>
  <c r="P25" i="3" s="1" a="1"/>
  <c r="P25" i="3" s="1"/>
  <c r="P26" i="3" s="1" a="1"/>
  <c r="P26" i="3" s="1"/>
  <c r="P27" i="3" s="1" a="1"/>
  <c r="P27" i="3" s="1"/>
  <c r="P28" i="3" s="1" a="1"/>
  <c r="P28" i="3" s="1"/>
  <c r="P29" i="3" s="1" a="1"/>
  <c r="P29" i="3" s="1"/>
  <c r="P30" i="3" s="1" a="1"/>
  <c r="P30" i="3" s="1"/>
  <c r="P31" i="3" s="1" a="1"/>
  <c r="P31" i="3" s="1"/>
  <c r="P32" i="3" s="1" a="1"/>
  <c r="P32" i="3" s="1"/>
  <c r="P33" i="3" s="1" a="1"/>
  <c r="P33" i="3" s="1"/>
  <c r="P34" i="3" s="1" a="1"/>
  <c r="P34" i="3" s="1"/>
  <c r="P35" i="3" s="1" a="1"/>
  <c r="P35" i="3" s="1"/>
  <c r="N14" i="3" a="1"/>
  <c r="N14" i="3" s="1"/>
  <c r="N15" i="3" s="1" a="1"/>
  <c r="N15" i="3" s="1"/>
  <c r="N16" i="3" s="1" a="1"/>
  <c r="N16" i="3" s="1"/>
  <c r="N17" i="3" s="1" a="1"/>
  <c r="N17" i="3" s="1"/>
  <c r="N18" i="3" s="1" a="1"/>
  <c r="N18" i="3" s="1"/>
  <c r="N19" i="3" s="1" a="1"/>
  <c r="N19" i="3" s="1"/>
  <c r="N20" i="3" s="1" a="1"/>
  <c r="N20" i="3" s="1"/>
  <c r="N21" i="3" s="1" a="1"/>
  <c r="N21" i="3" s="1"/>
  <c r="N22" i="3" s="1" a="1"/>
  <c r="N22" i="3" s="1"/>
  <c r="N23" i="3" s="1" a="1"/>
  <c r="N23" i="3" s="1"/>
  <c r="N24" i="3" s="1" a="1"/>
  <c r="N24" i="3" s="1"/>
  <c r="N25" i="3" s="1" a="1"/>
  <c r="N25" i="3" s="1"/>
  <c r="N26" i="3" s="1" a="1"/>
  <c r="N26" i="3" s="1"/>
  <c r="N27" i="3" s="1" a="1"/>
  <c r="N27" i="3" s="1"/>
  <c r="N28" i="3" s="1" a="1"/>
  <c r="N28" i="3" s="1"/>
  <c r="N29" i="3" s="1" a="1"/>
  <c r="N29" i="3" s="1"/>
  <c r="N30" i="3" s="1" a="1"/>
  <c r="N30" i="3" s="1"/>
  <c r="N31" i="3" s="1" a="1"/>
  <c r="N31" i="3" s="1"/>
  <c r="N32" i="3" s="1" a="1"/>
  <c r="N32" i="3" s="1"/>
  <c r="N33" i="3" s="1" a="1"/>
  <c r="N33" i="3" s="1"/>
  <c r="N34" i="3" s="1" a="1"/>
  <c r="N34" i="3" s="1"/>
  <c r="N35" i="3" s="1" a="1"/>
  <c r="N35" i="3" s="1"/>
  <c r="N36" i="3" s="1" a="1"/>
  <c r="N36" i="3" s="1"/>
  <c r="N37" i="3" s="1" a="1"/>
  <c r="N37" i="3" s="1"/>
  <c r="N38" i="3" s="1" a="1"/>
  <c r="N38" i="3" s="1"/>
  <c r="N39" i="3" s="1" a="1"/>
  <c r="N39" i="3" s="1"/>
  <c r="N40" i="3" s="1" a="1"/>
  <c r="N40" i="3" s="1"/>
  <c r="N41" i="3" s="1" a="1"/>
  <c r="N41" i="3" s="1"/>
  <c r="N42" i="3" s="1" a="1"/>
  <c r="N42" i="3" s="1"/>
  <c r="N43" i="3" s="1" a="1"/>
  <c r="N43" i="3" s="1"/>
  <c r="N44" i="3" s="1" a="1"/>
  <c r="N44" i="3" s="1"/>
  <c r="N45" i="3" s="1" a="1"/>
  <c r="N45" i="3" s="1"/>
  <c r="N46" i="3" s="1" a="1"/>
  <c r="N46" i="3" s="1"/>
  <c r="N47" i="3" s="1" a="1"/>
  <c r="N47" i="3" s="1"/>
  <c r="N48" i="3" s="1" a="1"/>
  <c r="N48" i="3" s="1"/>
  <c r="N49" i="3" s="1" a="1"/>
  <c r="N49" i="3" s="1"/>
  <c r="R8" i="25" a="1"/>
  <c r="R8" i="25" s="1"/>
  <c r="R9" i="25" s="1" a="1"/>
  <c r="R9" i="25" s="1"/>
  <c r="R10" i="25" s="1" a="1"/>
  <c r="R10" i="25" s="1"/>
  <c r="R11" i="25" s="1" a="1"/>
  <c r="R11" i="25" s="1"/>
  <c r="R12" i="25" s="1" a="1"/>
  <c r="R12" i="25" s="1"/>
  <c r="R13" i="25" s="1" a="1"/>
  <c r="R13" i="25" s="1"/>
  <c r="R14" i="25" s="1" a="1"/>
  <c r="R14" i="25" s="1"/>
  <c r="R15" i="25" s="1" a="1"/>
  <c r="R15" i="25" s="1"/>
  <c r="R16" i="25" s="1" a="1"/>
  <c r="R16" i="25" s="1"/>
  <c r="R17" i="25" s="1" a="1"/>
  <c r="R17" i="25" s="1"/>
  <c r="R18" i="25" s="1" a="1"/>
  <c r="R18" i="25" s="1"/>
  <c r="R19" i="25" s="1" a="1"/>
  <c r="R19" i="25" s="1"/>
  <c r="R20" i="25" s="1" a="1"/>
  <c r="R20" i="25" s="1"/>
  <c r="R21" i="25" s="1" a="1"/>
  <c r="R21" i="25" s="1"/>
  <c r="T42" i="9" a="1"/>
  <c r="T42" i="9" s="1"/>
  <c r="Q49" i="29" a="1"/>
  <c r="Q49" i="29" s="1"/>
  <c r="AL49" i="3" s="1" a="1"/>
  <c r="AL49" i="3" s="1"/>
  <c r="Q47" i="29" a="1"/>
  <c r="Q47" i="29" s="1"/>
  <c r="AL47" i="3" s="1" a="1"/>
  <c r="AL47" i="3" s="1"/>
  <c r="T41" i="9" a="1"/>
  <c r="T41" i="9" s="1"/>
  <c r="Q37" i="29" a="1"/>
  <c r="Q37" i="29" s="1"/>
  <c r="Q41" i="29" a="1"/>
  <c r="Q41" i="29" s="1"/>
  <c r="AL41" i="3" s="1" a="1"/>
  <c r="AL41" i="3" s="1"/>
  <c r="Q42" i="29" a="1"/>
  <c r="Q42" i="29" s="1"/>
  <c r="Q43" i="29" a="1"/>
  <c r="Q43" i="29" s="1"/>
  <c r="AL43" i="3" s="1" a="1"/>
  <c r="AL43" i="3" s="1"/>
  <c r="Q44" i="29" a="1"/>
  <c r="Q44" i="29" s="1"/>
  <c r="AL44" i="3" s="1" a="1"/>
  <c r="AL44" i="3" s="1"/>
  <c r="Q45" i="29" a="1"/>
  <c r="Q45" i="29" s="1"/>
  <c r="AL45" i="3" s="1" a="1"/>
  <c r="AL45" i="3" s="1"/>
  <c r="Q46" i="29" a="1"/>
  <c r="Q46" i="29" s="1"/>
  <c r="AL46" i="3" s="1" a="1"/>
  <c r="AL46" i="3" s="1"/>
  <c r="Q48" i="29" a="1"/>
  <c r="Q48" i="29" s="1"/>
  <c r="AL48" i="3" s="1" a="1"/>
  <c r="AL48" i="3" s="1"/>
  <c r="Q50" i="29" a="1"/>
  <c r="Q50" i="29" s="1"/>
  <c r="AL50" i="3" s="1" a="1"/>
  <c r="AL50" i="3" s="1"/>
  <c r="Q51" i="29" a="1"/>
  <c r="Q51" i="29" s="1"/>
  <c r="AL51" i="3" s="1" a="1"/>
  <c r="AL51" i="3" s="1"/>
  <c r="Q40" i="29" a="1"/>
  <c r="Q40" i="29" s="1"/>
  <c r="AL40" i="3" s="1" a="1"/>
  <c r="AL40" i="3" s="1"/>
  <c r="Q36" i="29" a="1"/>
  <c r="Q36" i="29" s="1"/>
  <c r="AL36" i="3" s="1" a="1"/>
  <c r="AL36" i="3" s="1"/>
  <c r="Q38" i="29" a="1"/>
  <c r="Q38" i="29" s="1"/>
  <c r="AL38" i="3" s="1" a="1"/>
  <c r="AL38" i="3" s="1"/>
  <c r="Q39" i="29" a="1"/>
  <c r="Q39" i="29" s="1"/>
  <c r="AL39" i="3" s="1" a="1"/>
  <c r="AL39" i="3" s="1"/>
  <c r="T26" i="9" a="1"/>
  <c r="T26" i="9" s="1"/>
  <c r="T8" i="9" a="1"/>
  <c r="T8" i="9" s="1"/>
  <c r="T28" i="9" a="1"/>
  <c r="T28" i="9" s="1"/>
  <c r="T27" i="9" a="1"/>
  <c r="T27" i="9" s="1"/>
  <c r="T31" i="9" a="1"/>
  <c r="T31" i="9" s="1"/>
  <c r="T18" i="9" a="1"/>
  <c r="T18" i="9" s="1"/>
  <c r="T25" i="9" a="1"/>
  <c r="T25" i="9" s="1"/>
  <c r="T16" i="9" a="1"/>
  <c r="T16" i="9" s="1"/>
  <c r="T5" i="9" a="1"/>
  <c r="T5" i="9" s="1"/>
  <c r="T6" i="9" a="1"/>
  <c r="T6" i="9" s="1"/>
  <c r="T9" i="9" a="1"/>
  <c r="T9" i="9" s="1"/>
  <c r="T21" i="9" s="1" a="1"/>
  <c r="T21" i="9" s="1"/>
  <c r="T20" i="9" s="1" a="1"/>
  <c r="T20" i="9" s="1"/>
  <c r="T7" i="9" a="1"/>
  <c r="T7" i="9" s="1"/>
  <c r="V36" i="9"/>
  <c r="V38" i="9"/>
  <c r="A51" i="28" a="1"/>
  <c r="A51" i="28" s="1"/>
  <c r="T13" i="22"/>
  <c r="P13" i="22"/>
  <c r="N13" i="22"/>
  <c r="M13" i="22"/>
  <c r="M12" i="22"/>
  <c r="T12" i="22"/>
  <c r="P12" i="22"/>
  <c r="N12" i="22"/>
  <c r="M6" i="22"/>
  <c r="T6" i="22"/>
  <c r="P6" i="22"/>
  <c r="N6" i="22"/>
  <c r="M11" i="22"/>
  <c r="N11" i="22"/>
  <c r="T11" i="22"/>
  <c r="P11" i="22"/>
  <c r="M4" i="22"/>
  <c r="T4" i="22"/>
  <c r="P4" i="22"/>
  <c r="N4" i="22"/>
  <c r="S10" i="22"/>
  <c r="L10" i="22"/>
  <c r="L5" i="22"/>
  <c r="S5" i="22"/>
  <c r="I7" i="14"/>
  <c r="F7" i="14"/>
  <c r="H7" i="14"/>
  <c r="G7" i="14"/>
  <c r="L3" i="22"/>
  <c r="S3" i="22"/>
  <c r="L7" i="14"/>
  <c r="K9" i="24"/>
  <c r="J9" i="24"/>
  <c r="O9" i="24" s="1"/>
  <c r="I9" i="24"/>
  <c r="D9" i="14"/>
  <c r="A9" i="14"/>
  <c r="C9" i="14"/>
  <c r="B9" i="14"/>
  <c r="I3" i="25" a="1"/>
  <c r="I3" i="25" s="1"/>
  <c r="I4" i="25" a="1"/>
  <c r="I4" i="25" s="1"/>
  <c r="I5" i="25" a="1"/>
  <c r="I5" i="25" s="1"/>
  <c r="I6" i="25" a="1"/>
  <c r="I6" i="25" s="1"/>
  <c r="I7" i="25" a="1"/>
  <c r="I7" i="25" s="1"/>
  <c r="I9" i="25" a="1"/>
  <c r="I9" i="25" s="1"/>
  <c r="I10" i="25" a="1"/>
  <c r="I10" i="25" s="1"/>
  <c r="I11" i="25" a="1"/>
  <c r="I11" i="25" s="1"/>
  <c r="I12" i="25" a="1"/>
  <c r="I12" i="25" s="1"/>
  <c r="I13" i="25" a="1"/>
  <c r="I13" i="25" s="1"/>
  <c r="I14" i="25" a="1"/>
  <c r="I14" i="25" s="1"/>
  <c r="I15" i="25" a="1"/>
  <c r="I15" i="25" s="1"/>
  <c r="I16" i="25" a="1"/>
  <c r="I16" i="25" s="1"/>
  <c r="I17" i="25" a="1"/>
  <c r="I17" i="25" s="1"/>
  <c r="I18" i="25" a="1"/>
  <c r="I18" i="25" s="1"/>
  <c r="I19" i="25" a="1"/>
  <c r="I19" i="25" s="1"/>
  <c r="I20" i="25" a="1"/>
  <c r="I20" i="25" s="1"/>
  <c r="H3" i="25" a="1"/>
  <c r="H3" i="25" s="1"/>
  <c r="H4" i="25" a="1"/>
  <c r="H4" i="25" s="1"/>
  <c r="H5" i="25" a="1"/>
  <c r="H5" i="25" s="1"/>
  <c r="H6" i="25" a="1"/>
  <c r="H6" i="25" s="1"/>
  <c r="H7" i="25" a="1"/>
  <c r="H7" i="25" s="1"/>
  <c r="H9" i="25" a="1"/>
  <c r="H9" i="25" s="1"/>
  <c r="H10" i="25" a="1"/>
  <c r="H10" i="25" s="1"/>
  <c r="H11" i="25" a="1"/>
  <c r="H11" i="25" s="1"/>
  <c r="H12" i="25" a="1"/>
  <c r="H12" i="25" s="1"/>
  <c r="H13" i="25" a="1"/>
  <c r="H13" i="25" s="1"/>
  <c r="H14" i="25" a="1"/>
  <c r="H14" i="25" s="1"/>
  <c r="H15" i="25" a="1"/>
  <c r="H15" i="25" s="1"/>
  <c r="D15" i="25" s="1"/>
  <c r="J15" i="25" s="1"/>
  <c r="H16" i="25" a="1"/>
  <c r="H16" i="25" s="1"/>
  <c r="D16" i="25" s="1"/>
  <c r="J16" i="25" s="1"/>
  <c r="H17" i="25" a="1"/>
  <c r="H17" i="25" s="1"/>
  <c r="D17" i="25" s="1"/>
  <c r="J17" i="25" s="1"/>
  <c r="H18" i="25" a="1"/>
  <c r="H18" i="25" s="1"/>
  <c r="H19" i="25" a="1"/>
  <c r="H19" i="25" s="1"/>
  <c r="H20" i="25" a="1"/>
  <c r="H20" i="25" s="1"/>
  <c r="A4" i="14" a="1"/>
  <c r="Q11" i="22"/>
  <c r="O6" i="22"/>
  <c r="B4" i="14" a="1"/>
  <c r="O4" i="22"/>
  <c r="D4" i="14" a="1"/>
  <c r="Q13" i="22"/>
  <c r="C4" i="14" a="1"/>
  <c r="O11" i="22"/>
  <c r="O12" i="22"/>
  <c r="Q12" i="22"/>
  <c r="Q4" i="22"/>
  <c r="O13" i="22"/>
  <c r="Q6" i="22"/>
  <c r="D4" i="25" l="1"/>
  <c r="J4" i="25" s="1"/>
  <c r="D3" i="25"/>
  <c r="J3" i="25" s="1"/>
  <c r="D6" i="25"/>
  <c r="J6" i="25" s="1"/>
  <c r="D5" i="25"/>
  <c r="J5" i="25" s="1"/>
  <c r="V5" i="25" s="1"/>
  <c r="O18" i="25" a="1"/>
  <c r="O18" i="25" s="1"/>
  <c r="D18" i="25"/>
  <c r="J18" i="25" s="1"/>
  <c r="V18" i="25" s="1"/>
  <c r="O14" i="25" a="1"/>
  <c r="O14" i="25" s="1"/>
  <c r="D14" i="25"/>
  <c r="J14" i="25" s="1"/>
  <c r="V14" i="25" s="1"/>
  <c r="D13" i="25"/>
  <c r="J13" i="25" s="1"/>
  <c r="O12" i="25" a="1"/>
  <c r="O12" i="25" s="1"/>
  <c r="D12" i="25"/>
  <c r="J12" i="25" s="1"/>
  <c r="V12" i="25" s="1"/>
  <c r="O11" i="25" a="1"/>
  <c r="O11" i="25" s="1"/>
  <c r="D11" i="25"/>
  <c r="O10" i="25" a="1"/>
  <c r="O10" i="25" s="1"/>
  <c r="D10" i="25"/>
  <c r="D9" i="25"/>
  <c r="D7" i="25"/>
  <c r="AN12" i="3" a="1"/>
  <c r="AN12" i="3" s="1"/>
  <c r="E97" i="34" a="1"/>
  <c r="E97" i="34" s="1"/>
  <c r="O98" i="34"/>
  <c r="N84" i="34"/>
  <c r="H85" i="34" a="1"/>
  <c r="H85" i="34" s="1"/>
  <c r="AK10" i="20" a="1"/>
  <c r="AK10" i="20" s="1"/>
  <c r="AJ10" i="20" a="1"/>
  <c r="AJ10" i="20" s="1"/>
  <c r="AG38" i="9" a="1"/>
  <c r="AG38" i="9" s="1"/>
  <c r="AP16" i="20" a="1"/>
  <c r="AP16" i="20" s="1"/>
  <c r="AK7" i="20" a="1"/>
  <c r="AK7" i="20" s="1"/>
  <c r="AJ7" i="20" a="1"/>
  <c r="AJ7" i="20" s="1"/>
  <c r="O5" i="25" a="1"/>
  <c r="O5" i="25" s="1"/>
  <c r="O6" i="25" a="1"/>
  <c r="O6" i="25" s="1"/>
  <c r="O41" i="3"/>
  <c r="O39" i="3"/>
  <c r="O47" i="3"/>
  <c r="O36" i="3"/>
  <c r="P36" i="3" s="1" a="1"/>
  <c r="P36" i="3" s="1"/>
  <c r="P37" i="3" s="1" a="1"/>
  <c r="P37" i="3" s="1"/>
  <c r="O40" i="3"/>
  <c r="O38" i="3"/>
  <c r="O51" i="3"/>
  <c r="O48" i="3"/>
  <c r="O50" i="3"/>
  <c r="O49" i="3"/>
  <c r="O46" i="3"/>
  <c r="O45" i="3"/>
  <c r="O44" i="3"/>
  <c r="O43" i="3"/>
  <c r="O7" i="25" a="1"/>
  <c r="O7" i="25" s="1"/>
  <c r="O13" i="25" a="1"/>
  <c r="O13" i="25" s="1"/>
  <c r="N50" i="3" a="1"/>
  <c r="N50" i="3" s="1"/>
  <c r="N51" i="3" s="1" a="1"/>
  <c r="N51" i="3" s="1"/>
  <c r="N52" i="3" s="1" a="1"/>
  <c r="N52" i="3" s="1"/>
  <c r="N53" i="3" s="1" a="1"/>
  <c r="N53" i="3" s="1"/>
  <c r="N54" i="3" s="1" a="1"/>
  <c r="N54" i="3" s="1"/>
  <c r="N55" i="3" s="1" a="1"/>
  <c r="N55" i="3" s="1"/>
  <c r="N56" i="3" s="1" a="1"/>
  <c r="N56" i="3" s="1"/>
  <c r="N57" i="3" s="1" a="1"/>
  <c r="N57" i="3" s="1"/>
  <c r="N58" i="3" s="1" a="1"/>
  <c r="N58" i="3" s="1"/>
  <c r="N59" i="3" s="1" a="1"/>
  <c r="N59" i="3" s="1"/>
  <c r="N60" i="3" s="1" a="1"/>
  <c r="N60" i="3" s="1"/>
  <c r="N61" i="3" s="1" a="1"/>
  <c r="N61" i="3" s="1"/>
  <c r="N62" i="3" s="1" a="1"/>
  <c r="N62" i="3" s="1"/>
  <c r="N63" i="3" s="1" a="1"/>
  <c r="N63" i="3" s="1"/>
  <c r="N64" i="3" s="1" a="1"/>
  <c r="N64" i="3" s="1"/>
  <c r="N65" i="3" s="1" a="1"/>
  <c r="N65" i="3" s="1"/>
  <c r="N66" i="3" s="1" a="1"/>
  <c r="N66" i="3" s="1"/>
  <c r="N67" i="3" s="1" a="1"/>
  <c r="N67" i="3" s="1"/>
  <c r="N68" i="3" s="1" a="1"/>
  <c r="N68" i="3" s="1"/>
  <c r="N69" i="3" s="1" a="1"/>
  <c r="N69" i="3" s="1"/>
  <c r="N70" i="3" s="1" a="1"/>
  <c r="N70" i="3" s="1"/>
  <c r="N71" i="3" s="1" a="1"/>
  <c r="N71" i="3" s="1"/>
  <c r="N72" i="3" s="1" a="1"/>
  <c r="N72" i="3" s="1"/>
  <c r="N73" i="3" s="1" a="1"/>
  <c r="N73" i="3" s="1"/>
  <c r="N74" i="3" s="1" a="1"/>
  <c r="N74" i="3" s="1"/>
  <c r="N75" i="3" s="1" a="1"/>
  <c r="N75" i="3" s="1"/>
  <c r="N76" i="3" s="1" a="1"/>
  <c r="N76" i="3" s="1"/>
  <c r="N77" i="3" s="1" a="1"/>
  <c r="N77" i="3" s="1"/>
  <c r="N78" i="3" s="1" a="1"/>
  <c r="N78" i="3" s="1"/>
  <c r="N79" i="3" s="1" a="1"/>
  <c r="N79" i="3" s="1"/>
  <c r="N80" i="3" s="1" a="1"/>
  <c r="N80" i="3" s="1"/>
  <c r="N81" i="3" s="1" a="1"/>
  <c r="N81" i="3" s="1"/>
  <c r="N82" i="3" s="1" a="1"/>
  <c r="N82" i="3" s="1"/>
  <c r="N83" i="3" s="1" a="1"/>
  <c r="N83" i="3" s="1"/>
  <c r="N84" i="3" s="1" a="1"/>
  <c r="N84" i="3" s="1"/>
  <c r="N85" i="3" s="1" a="1"/>
  <c r="N85" i="3" s="1"/>
  <c r="N86" i="3" s="1" a="1"/>
  <c r="N86" i="3" s="1"/>
  <c r="N87" i="3" s="1" a="1"/>
  <c r="N87" i="3" s="1"/>
  <c r="N88" i="3" s="1" a="1"/>
  <c r="N88" i="3" s="1"/>
  <c r="N89" i="3" s="1" a="1"/>
  <c r="N89" i="3" s="1"/>
  <c r="N90" i="3" s="1" a="1"/>
  <c r="N90" i="3" s="1"/>
  <c r="N91" i="3" s="1" a="1"/>
  <c r="N91" i="3" s="1"/>
  <c r="N92" i="3" s="1" a="1"/>
  <c r="N92" i="3" s="1"/>
  <c r="N93" i="3" s="1" a="1"/>
  <c r="N93" i="3" s="1"/>
  <c r="N94" i="3" s="1" a="1"/>
  <c r="N94" i="3" s="1"/>
  <c r="N95" i="3" s="1" a="1"/>
  <c r="N95" i="3" s="1"/>
  <c r="N96" i="3" s="1" a="1"/>
  <c r="N96" i="3" s="1"/>
  <c r="N97" i="3" s="1" a="1"/>
  <c r="N97" i="3" s="1"/>
  <c r="N98" i="3" s="1" a="1"/>
  <c r="N98" i="3" s="1"/>
  <c r="N99" i="3" s="1" a="1"/>
  <c r="N99" i="3" s="1"/>
  <c r="N100" i="3" s="1" a="1"/>
  <c r="N100" i="3" s="1"/>
  <c r="N101" i="3" s="1" a="1"/>
  <c r="N101" i="3" s="1"/>
  <c r="N102" i="3" s="1" a="1"/>
  <c r="N102" i="3" s="1"/>
  <c r="N103" i="3" s="1" a="1"/>
  <c r="N103" i="3" s="1"/>
  <c r="O17" i="25" a="1"/>
  <c r="O17" i="25" s="1"/>
  <c r="O16" i="25" a="1"/>
  <c r="O16" i="25" s="1"/>
  <c r="O4" i="25" a="1"/>
  <c r="O4" i="25" s="1"/>
  <c r="O3" i="25" a="1"/>
  <c r="O3" i="25" s="1"/>
  <c r="O15" i="25" a="1"/>
  <c r="O15" i="25" s="1"/>
  <c r="O9" i="25" a="1"/>
  <c r="O9" i="25" s="1"/>
  <c r="T34" i="9" a="1"/>
  <c r="T34" i="9" s="1"/>
  <c r="T13" i="9" a="1"/>
  <c r="T13" i="9" s="1"/>
  <c r="T12" i="9" a="1"/>
  <c r="T12" i="9" s="1"/>
  <c r="X38" i="9"/>
  <c r="AD38" i="9" a="1"/>
  <c r="AD38" i="9" s="1"/>
  <c r="AD36" i="9" a="1"/>
  <c r="AD36" i="9" s="1"/>
  <c r="X36" i="9"/>
  <c r="S3" i="25" a="1"/>
  <c r="S3" i="25" s="1"/>
  <c r="S4" i="25" s="1" a="1"/>
  <c r="S4" i="25" s="1"/>
  <c r="S5" i="25" s="1" a="1"/>
  <c r="S5" i="25" s="1"/>
  <c r="S6" i="25" s="1" a="1"/>
  <c r="S6" i="25" s="1"/>
  <c r="L16" i="25"/>
  <c r="M16" i="25" s="1" a="1"/>
  <c r="M16" i="25" s="1"/>
  <c r="U16" i="25" s="1" a="1"/>
  <c r="U16" i="25" s="1"/>
  <c r="L15" i="25"/>
  <c r="M15" i="25" s="1" a="1"/>
  <c r="M15" i="25" s="1"/>
  <c r="U15" i="25" s="1" a="1"/>
  <c r="U15" i="25" s="1"/>
  <c r="L17" i="25"/>
  <c r="M17" i="25" s="1" a="1"/>
  <c r="M17" i="25" s="1"/>
  <c r="U17" i="25" s="1" a="1"/>
  <c r="U17" i="25" s="1"/>
  <c r="L6" i="25"/>
  <c r="M6" i="25" s="1" a="1"/>
  <c r="M6" i="25" s="1"/>
  <c r="U6" i="25" s="1" a="1"/>
  <c r="U6" i="25" s="1"/>
  <c r="L4" i="25"/>
  <c r="M4" i="25" s="1" a="1"/>
  <c r="M4" i="25" s="1"/>
  <c r="U4" i="25" s="1" a="1"/>
  <c r="U4" i="25" s="1"/>
  <c r="A52" i="28" a="1"/>
  <c r="A52" i="28" s="1"/>
  <c r="T10" i="22"/>
  <c r="P10" i="22"/>
  <c r="N10" i="22"/>
  <c r="M10" i="22"/>
  <c r="T3" i="22"/>
  <c r="T5" i="22"/>
  <c r="P5" i="22"/>
  <c r="N5" i="22"/>
  <c r="M5" i="22"/>
  <c r="N3" i="22"/>
  <c r="M3" i="22"/>
  <c r="P3" i="22"/>
  <c r="L9" i="24"/>
  <c r="E9" i="14"/>
  <c r="L9" i="14"/>
  <c r="A4" i="14"/>
  <c r="B4" i="14"/>
  <c r="C4" i="14"/>
  <c r="D4" i="14"/>
  <c r="K7" i="24" a="1"/>
  <c r="J8" i="24" a="1"/>
  <c r="Q5" i="22"/>
  <c r="I7" i="24" a="1"/>
  <c r="O10" i="22"/>
  <c r="K8" i="24" a="1"/>
  <c r="I8" i="24" a="1"/>
  <c r="K15" i="24" a="1"/>
  <c r="J7" i="24" a="1"/>
  <c r="I15" i="24" a="1"/>
  <c r="O3" i="22"/>
  <c r="Q3" i="22"/>
  <c r="O5" i="22"/>
  <c r="Q10" i="22"/>
  <c r="L5" i="25" l="1"/>
  <c r="M5" i="25" s="1" a="1"/>
  <c r="M5" i="25" s="1"/>
  <c r="U5" i="25" s="1" a="1"/>
  <c r="U5" i="25" s="1"/>
  <c r="L14" i="25"/>
  <c r="M14" i="25" s="1" a="1"/>
  <c r="M14" i="25" s="1"/>
  <c r="U14" i="25" s="1" a="1"/>
  <c r="U14" i="25" s="1"/>
  <c r="L13" i="25"/>
  <c r="M13" i="25" s="1" a="1"/>
  <c r="M13" i="25" s="1"/>
  <c r="U13" i="25" s="1" a="1"/>
  <c r="U13" i="25" s="1"/>
  <c r="L12" i="25"/>
  <c r="M12" i="25" s="1" a="1"/>
  <c r="M12" i="25" s="1"/>
  <c r="U12" i="25" s="1" a="1"/>
  <c r="U12" i="25" s="1"/>
  <c r="L9" i="25"/>
  <c r="M9" i="25" s="1" a="1"/>
  <c r="M9" i="25" s="1"/>
  <c r="U9" i="25" s="1" a="1"/>
  <c r="U9" i="25" s="1"/>
  <c r="J9" i="25"/>
  <c r="K22" i="10" s="1" a="1"/>
  <c r="K22" i="10" s="1"/>
  <c r="L10" i="25"/>
  <c r="M10" i="25" s="1" a="1"/>
  <c r="M10" i="25" s="1"/>
  <c r="U10" i="25" s="1" a="1"/>
  <c r="U10" i="25" s="1"/>
  <c r="J10" i="25"/>
  <c r="V10" i="25" s="1"/>
  <c r="L11" i="25"/>
  <c r="M11" i="25" s="1" a="1"/>
  <c r="M11" i="25" s="1"/>
  <c r="U11" i="25" s="1" a="1"/>
  <c r="U11" i="25" s="1"/>
  <c r="J11" i="25"/>
  <c r="V11" i="25" s="1"/>
  <c r="L18" i="25"/>
  <c r="M18" i="25" s="1" a="1"/>
  <c r="M18" i="25" s="1"/>
  <c r="U18" i="25" s="1" a="1"/>
  <c r="U18" i="25" s="1"/>
  <c r="L7" i="25"/>
  <c r="M7" i="25" s="1" a="1"/>
  <c r="M7" i="25" s="1"/>
  <c r="U7" i="25" s="1" a="1"/>
  <c r="U7" i="25" s="1"/>
  <c r="J7" i="25"/>
  <c r="V7" i="25" s="1"/>
  <c r="S7" i="25" a="1"/>
  <c r="S7" i="25" s="1"/>
  <c r="S8" i="25" s="1" a="1"/>
  <c r="S8" i="25" s="1"/>
  <c r="S9" i="25" s="1" a="1"/>
  <c r="S9" i="25" s="1"/>
  <c r="S10" i="25" s="1" a="1"/>
  <c r="S10" i="25" s="1"/>
  <c r="S11" i="25" s="1" a="1"/>
  <c r="S11" i="25" s="1"/>
  <c r="S12" i="25" s="1" a="1"/>
  <c r="S12" i="25" s="1"/>
  <c r="S13" i="25" s="1" a="1"/>
  <c r="S13" i="25" s="1"/>
  <c r="S14" i="25" s="1" a="1"/>
  <c r="S14" i="25" s="1"/>
  <c r="S15" i="25" s="1" a="1"/>
  <c r="S15" i="25" s="1"/>
  <c r="S16" i="25" s="1" a="1"/>
  <c r="S16" i="25" s="1"/>
  <c r="S17" i="25" s="1" a="1"/>
  <c r="S17" i="25" s="1"/>
  <c r="S18" i="25" s="1" a="1"/>
  <c r="S18" i="25" s="1"/>
  <c r="V6" i="25"/>
  <c r="AN13" i="3" a="1"/>
  <c r="AN13" i="3" s="1"/>
  <c r="N85" i="34"/>
  <c r="H86" i="34" a="1"/>
  <c r="H86" i="34" s="1"/>
  <c r="E98" i="34" a="1"/>
  <c r="E98" i="34" s="1"/>
  <c r="O99" i="34"/>
  <c r="AG39" i="9" a="1"/>
  <c r="AG39" i="9" s="1"/>
  <c r="AP17" i="20" a="1"/>
  <c r="AP17" i="20" s="1"/>
  <c r="R10" i="22" a="1"/>
  <c r="R10" i="22" s="1"/>
  <c r="R11" i="22" s="1" a="1"/>
  <c r="R11" i="22" s="1"/>
  <c r="R12" i="22" s="1" a="1"/>
  <c r="R12" i="22" s="1"/>
  <c r="R13" i="22" s="1" a="1"/>
  <c r="R13" i="22" s="1"/>
  <c r="R14" i="22" s="1" a="1"/>
  <c r="R14" i="22" s="1"/>
  <c r="R3" i="22" a="1"/>
  <c r="R3" i="22" s="1"/>
  <c r="R4" i="22" s="1" a="1"/>
  <c r="R4" i="22" s="1"/>
  <c r="R5" i="22" s="1" a="1"/>
  <c r="R5" i="22" s="1"/>
  <c r="R6" i="22" s="1" a="1"/>
  <c r="R6" i="22" s="1"/>
  <c r="R7" i="22" s="1" a="1"/>
  <c r="R7" i="22" s="1"/>
  <c r="P38" i="3" a="1"/>
  <c r="P38" i="3" s="1"/>
  <c r="P39" i="3" s="1" a="1"/>
  <c r="P39" i="3" s="1"/>
  <c r="P40" i="3" s="1" a="1"/>
  <c r="P40" i="3" s="1"/>
  <c r="P41" i="3" s="1" a="1"/>
  <c r="P41" i="3" s="1"/>
  <c r="P42" i="3" s="1" a="1"/>
  <c r="P42" i="3" s="1"/>
  <c r="P43" i="3" s="1" a="1"/>
  <c r="P43" i="3" s="1"/>
  <c r="P44" i="3" s="1" a="1"/>
  <c r="P44" i="3" s="1"/>
  <c r="P45" i="3" s="1" a="1"/>
  <c r="P45" i="3" s="1"/>
  <c r="P46" i="3" s="1" a="1"/>
  <c r="P46" i="3" s="1"/>
  <c r="P47" i="3" s="1" a="1"/>
  <c r="P47" i="3" s="1"/>
  <c r="P48" i="3" s="1" a="1"/>
  <c r="P48" i="3" s="1"/>
  <c r="P49" i="3" s="1" a="1"/>
  <c r="P49" i="3" s="1"/>
  <c r="P50" i="3" s="1" a="1"/>
  <c r="P50" i="3" s="1"/>
  <c r="P51" i="3" s="1" a="1"/>
  <c r="P51" i="3" s="1"/>
  <c r="P52" i="3" s="1" a="1"/>
  <c r="P52" i="3" s="1"/>
  <c r="P53" i="3" s="1" a="1"/>
  <c r="P53" i="3" s="1"/>
  <c r="P54" i="3" s="1" a="1"/>
  <c r="P54" i="3" s="1"/>
  <c r="P55" i="3" s="1" a="1"/>
  <c r="P55" i="3" s="1"/>
  <c r="P56" i="3" s="1" a="1"/>
  <c r="P56" i="3" s="1"/>
  <c r="P57" i="3" s="1" a="1"/>
  <c r="P57" i="3" s="1"/>
  <c r="P58" i="3" s="1" a="1"/>
  <c r="P58" i="3" s="1"/>
  <c r="P59" i="3" s="1" a="1"/>
  <c r="P59" i="3" s="1"/>
  <c r="P60" i="3" s="1" a="1"/>
  <c r="P60" i="3" s="1"/>
  <c r="P61" i="3" s="1" a="1"/>
  <c r="P61" i="3" s="1"/>
  <c r="P62" i="3" s="1" a="1"/>
  <c r="P62" i="3" s="1"/>
  <c r="P63" i="3" s="1" a="1"/>
  <c r="P63" i="3" s="1"/>
  <c r="P64" i="3" s="1" a="1"/>
  <c r="P64" i="3" s="1"/>
  <c r="P65" i="3" s="1" a="1"/>
  <c r="P65" i="3" s="1"/>
  <c r="P66" i="3" s="1" a="1"/>
  <c r="P66" i="3" s="1"/>
  <c r="P67" i="3" s="1" a="1"/>
  <c r="P67" i="3" s="1"/>
  <c r="P68" i="3" s="1" a="1"/>
  <c r="P68" i="3" s="1"/>
  <c r="P69" i="3" s="1" a="1"/>
  <c r="P69" i="3" s="1"/>
  <c r="P70" i="3" s="1" a="1"/>
  <c r="P70" i="3" s="1"/>
  <c r="P71" i="3" s="1" a="1"/>
  <c r="P71" i="3" s="1"/>
  <c r="P72" i="3" s="1" a="1"/>
  <c r="P72" i="3" s="1"/>
  <c r="P73" i="3" s="1" a="1"/>
  <c r="P73" i="3" s="1"/>
  <c r="P74" i="3" s="1" a="1"/>
  <c r="P74" i="3" s="1"/>
  <c r="P75" i="3" s="1" a="1"/>
  <c r="P75" i="3" s="1"/>
  <c r="P76" i="3" s="1" a="1"/>
  <c r="P76" i="3" s="1"/>
  <c r="P77" i="3" s="1" a="1"/>
  <c r="P77" i="3" s="1"/>
  <c r="P78" i="3" s="1" a="1"/>
  <c r="P78" i="3" s="1"/>
  <c r="P79" i="3" s="1" a="1"/>
  <c r="P79" i="3" s="1"/>
  <c r="P80" i="3" s="1" a="1"/>
  <c r="P80" i="3" s="1"/>
  <c r="P81" i="3" s="1" a="1"/>
  <c r="P81" i="3" s="1"/>
  <c r="P82" i="3" s="1" a="1"/>
  <c r="P82" i="3" s="1"/>
  <c r="P83" i="3" s="1" a="1"/>
  <c r="P83" i="3" s="1"/>
  <c r="P84" i="3" s="1" a="1"/>
  <c r="P84" i="3" s="1"/>
  <c r="P85" i="3" s="1" a="1"/>
  <c r="P85" i="3" s="1"/>
  <c r="P86" i="3" s="1" a="1"/>
  <c r="P86" i="3" s="1"/>
  <c r="P87" i="3" s="1" a="1"/>
  <c r="P87" i="3" s="1"/>
  <c r="P88" i="3" s="1" a="1"/>
  <c r="P88" i="3" s="1"/>
  <c r="P89" i="3" s="1" a="1"/>
  <c r="P89" i="3" s="1"/>
  <c r="P90" i="3" s="1" a="1"/>
  <c r="P90" i="3" s="1"/>
  <c r="P91" i="3" s="1" a="1"/>
  <c r="P91" i="3" s="1"/>
  <c r="P92" i="3" s="1" a="1"/>
  <c r="P92" i="3" s="1"/>
  <c r="P93" i="3" s="1" a="1"/>
  <c r="P93" i="3" s="1"/>
  <c r="P94" i="3" s="1" a="1"/>
  <c r="P94" i="3" s="1"/>
  <c r="P95" i="3" s="1" a="1"/>
  <c r="P95" i="3" s="1"/>
  <c r="P96" i="3" s="1" a="1"/>
  <c r="P96" i="3" s="1"/>
  <c r="P97" i="3" s="1" a="1"/>
  <c r="P97" i="3" s="1"/>
  <c r="P98" i="3" s="1" a="1"/>
  <c r="P98" i="3" s="1"/>
  <c r="P99" i="3" s="1" a="1"/>
  <c r="P99" i="3" s="1"/>
  <c r="P100" i="3" s="1" a="1"/>
  <c r="P100" i="3" s="1"/>
  <c r="P101" i="3" s="1" a="1"/>
  <c r="P101" i="3" s="1"/>
  <c r="P102" i="3" s="1" a="1"/>
  <c r="P102" i="3" s="1"/>
  <c r="P103" i="3" s="1" a="1"/>
  <c r="P103" i="3" s="1"/>
  <c r="V13" i="25"/>
  <c r="V15" i="25"/>
  <c r="V16" i="25"/>
  <c r="V4" i="25"/>
  <c r="V17" i="25"/>
  <c r="K7" i="20" a="1"/>
  <c r="K7" i="20" s="1"/>
  <c r="K39" i="10" a="1"/>
  <c r="K39" i="10" s="1"/>
  <c r="B12" i="19"/>
  <c r="L3" i="25"/>
  <c r="T5" i="25"/>
  <c r="T3" i="25"/>
  <c r="K23" i="10" a="1"/>
  <c r="K23" i="10" s="1"/>
  <c r="T15" i="25"/>
  <c r="T9" i="25"/>
  <c r="T10" i="25"/>
  <c r="T11" i="25"/>
  <c r="T12" i="25"/>
  <c r="T13" i="25"/>
  <c r="T14" i="25"/>
  <c r="T16" i="25"/>
  <c r="T17" i="25"/>
  <c r="T18" i="25"/>
  <c r="T6" i="25"/>
  <c r="T7" i="25"/>
  <c r="A54" i="28" a="1"/>
  <c r="A54" i="28" s="1"/>
  <c r="A53" i="28" a="1"/>
  <c r="A53" i="28" s="1"/>
  <c r="B11" i="19"/>
  <c r="B10" i="19"/>
  <c r="H9" i="14"/>
  <c r="I9" i="14"/>
  <c r="G9" i="14"/>
  <c r="F9" i="14"/>
  <c r="E4" i="14"/>
  <c r="L4" i="14"/>
  <c r="J8" i="24"/>
  <c r="O8" i="24" s="1"/>
  <c r="I8" i="24"/>
  <c r="I7" i="24"/>
  <c r="K8" i="24"/>
  <c r="M8" i="24" s="1"/>
  <c r="O15" i="24"/>
  <c r="I15" i="24"/>
  <c r="K15" i="24"/>
  <c r="M15" i="24" s="1"/>
  <c r="J7" i="24"/>
  <c r="O7" i="24" s="1"/>
  <c r="K7" i="24"/>
  <c r="M7" i="24" s="1"/>
  <c r="J5" i="24" a="1"/>
  <c r="I6" i="24" a="1"/>
  <c r="K5" i="24" a="1"/>
  <c r="K6" i="24" a="1"/>
  <c r="I5" i="24" a="1"/>
  <c r="J6" i="24" a="1"/>
  <c r="K26" i="10" l="1" a="1"/>
  <c r="K26" i="10" s="1"/>
  <c r="V9" i="25"/>
  <c r="K40" i="10" a="1"/>
  <c r="K40" i="10" s="1"/>
  <c r="K30" i="10" a="1"/>
  <c r="K30" i="10" s="1"/>
  <c r="K29" i="10" a="1"/>
  <c r="K29" i="10" s="1"/>
  <c r="AN14" i="3" a="1"/>
  <c r="AN14" i="3" s="1"/>
  <c r="AI67" i="20" a="1"/>
  <c r="AI67" i="20" s="1"/>
  <c r="AK67" i="20" s="1" a="1"/>
  <c r="AK67" i="20" s="1"/>
  <c r="AF42" i="10" a="1"/>
  <c r="AF42" i="10" s="1"/>
  <c r="E99" i="34" a="1"/>
  <c r="E99" i="34" s="1"/>
  <c r="O100" i="34"/>
  <c r="H87" i="34" a="1"/>
  <c r="H87" i="34" s="1"/>
  <c r="N86" i="34"/>
  <c r="AG40" i="9" a="1"/>
  <c r="AG40" i="9" s="1"/>
  <c r="AP18" i="20" a="1"/>
  <c r="AP18" i="20" s="1"/>
  <c r="AI18" i="20" a="1"/>
  <c r="AI18" i="20" s="1"/>
  <c r="AK18" i="20" s="1" a="1"/>
  <c r="AK18" i="20" s="1"/>
  <c r="AF44" i="10" a="1"/>
  <c r="AF44" i="10" s="1"/>
  <c r="M3" i="25" a="1"/>
  <c r="M3" i="25" s="1"/>
  <c r="U3" i="25" s="1" a="1"/>
  <c r="U3" i="25" s="1"/>
  <c r="AI31" i="20" a="1"/>
  <c r="AI31" i="20" s="1"/>
  <c r="AI30" i="20" a="1"/>
  <c r="AI30" i="20" s="1"/>
  <c r="AI23" i="20" a="1"/>
  <c r="AI23" i="20" s="1"/>
  <c r="AI14" i="20" a="1"/>
  <c r="AI14" i="20" s="1"/>
  <c r="AI27" i="20" a="1"/>
  <c r="AI27" i="20" s="1"/>
  <c r="AI6" i="20" a="1"/>
  <c r="AI6" i="20" s="1"/>
  <c r="AI20" i="20" a="1"/>
  <c r="AI20" i="20" s="1"/>
  <c r="AI13" i="20" a="1"/>
  <c r="AI13" i="20" s="1"/>
  <c r="AI11" i="20" a="1"/>
  <c r="AI11" i="20" s="1"/>
  <c r="AJ32" i="20" a="1"/>
  <c r="AJ32" i="20" s="1"/>
  <c r="AF41" i="10" a="1"/>
  <c r="AF41" i="10" s="1"/>
  <c r="U42" i="9" a="1"/>
  <c r="U42" i="9" s="1"/>
  <c r="G42" i="9" s="1" a="1"/>
  <c r="G42" i="9" s="1"/>
  <c r="AF38" i="10" a="1"/>
  <c r="AF38" i="10" s="1"/>
  <c r="AH38" i="10" s="1" a="1"/>
  <c r="AH38" i="10" s="1"/>
  <c r="AF36" i="10" a="1"/>
  <c r="AF36" i="10" s="1"/>
  <c r="AG36" i="10" s="1" a="1"/>
  <c r="AG36" i="10" s="1"/>
  <c r="AF10" i="10" a="1"/>
  <c r="AF10" i="10" s="1"/>
  <c r="AF13" i="10" a="1"/>
  <c r="AF13" i="10" s="1"/>
  <c r="AF11" i="10" a="1"/>
  <c r="AF11" i="10" s="1"/>
  <c r="AF4" i="10" a="1"/>
  <c r="AF4" i="10" s="1"/>
  <c r="AF25" i="10" a="1"/>
  <c r="AF25" i="10" s="1"/>
  <c r="AF15" i="10" a="1"/>
  <c r="AF15" i="10" s="1"/>
  <c r="AF12" i="10" a="1"/>
  <c r="AF12" i="10" s="1"/>
  <c r="AF14" i="10" a="1"/>
  <c r="AF14" i="10" s="1"/>
  <c r="AF8" i="10" a="1"/>
  <c r="AF8" i="10" s="1"/>
  <c r="AF16" i="10" a="1"/>
  <c r="AF16" i="10" s="1"/>
  <c r="AF9" i="10" a="1"/>
  <c r="AF9" i="10" s="1"/>
  <c r="AF18" i="10" a="1"/>
  <c r="AF18" i="10" s="1"/>
  <c r="AF17" i="10" a="1"/>
  <c r="AF17" i="10" s="1"/>
  <c r="AF24" i="10" a="1"/>
  <c r="AF24" i="10" s="1"/>
  <c r="AF19" i="10" a="1"/>
  <c r="AF19" i="10" s="1"/>
  <c r="AF3" i="10" a="1"/>
  <c r="AF3" i="10" s="1"/>
  <c r="AF32" i="10" a="1"/>
  <c r="AF32" i="10" s="1"/>
  <c r="AF5" i="10" a="1"/>
  <c r="AF5" i="10" s="1"/>
  <c r="AF6" i="10" a="1"/>
  <c r="AF6" i="10" s="1"/>
  <c r="AF7" i="10" a="1"/>
  <c r="AF7" i="10" s="1"/>
  <c r="AF33" i="10" a="1"/>
  <c r="AF33" i="10" s="1"/>
  <c r="U40" i="9" a="1"/>
  <c r="U40" i="9" s="1"/>
  <c r="U39" i="9" a="1"/>
  <c r="U39" i="9" s="1"/>
  <c r="U37" i="9" a="1"/>
  <c r="U37" i="9" s="1"/>
  <c r="G37" i="9" s="1" a="1"/>
  <c r="G37" i="9" s="1"/>
  <c r="U34" i="9" a="1"/>
  <c r="U34" i="9" s="1"/>
  <c r="G34" i="9" s="1" a="1"/>
  <c r="G34" i="9" s="1"/>
  <c r="U11" i="9" a="1"/>
  <c r="U11" i="9" s="1"/>
  <c r="U33" i="9" a="1"/>
  <c r="U33" i="9" s="1"/>
  <c r="U6" i="9" a="1"/>
  <c r="U6" i="9" s="1"/>
  <c r="U10" i="9" a="1"/>
  <c r="U10" i="9" s="1"/>
  <c r="U13" i="9" a="1"/>
  <c r="U13" i="9" s="1"/>
  <c r="U19" i="9" a="1"/>
  <c r="U19" i="9" s="1"/>
  <c r="U16" i="9" a="1"/>
  <c r="U16" i="9" s="1"/>
  <c r="T4" i="25"/>
  <c r="U43" i="9" s="1" a="1"/>
  <c r="U43" i="9" s="1"/>
  <c r="U5" i="9" a="1"/>
  <c r="U5" i="9" s="1"/>
  <c r="U25" i="9" a="1"/>
  <c r="U25" i="9" s="1"/>
  <c r="U27" i="9" a="1"/>
  <c r="U27" i="9" s="1"/>
  <c r="U28" i="9" a="1"/>
  <c r="U28" i="9" s="1"/>
  <c r="U31" i="9" a="1"/>
  <c r="U31" i="9" s="1"/>
  <c r="U18" i="9" a="1"/>
  <c r="U18" i="9" s="1"/>
  <c r="U20" i="9" a="1"/>
  <c r="U20" i="9" s="1"/>
  <c r="U8" i="9" a="1"/>
  <c r="U8" i="9" s="1"/>
  <c r="U9" i="9" a="1"/>
  <c r="U9" i="9" s="1"/>
  <c r="U12" i="9" a="1"/>
  <c r="U12" i="9" s="1"/>
  <c r="H4" i="14"/>
  <c r="I4" i="14"/>
  <c r="G4" i="14"/>
  <c r="F4" i="14"/>
  <c r="L8" i="24"/>
  <c r="N8" i="24"/>
  <c r="L15" i="24"/>
  <c r="N15" i="24"/>
  <c r="N7" i="24"/>
  <c r="L7" i="24"/>
  <c r="K6" i="24"/>
  <c r="M6" i="24" s="1"/>
  <c r="J6" i="24"/>
  <c r="O6" i="24" s="1"/>
  <c r="I6" i="24"/>
  <c r="K5" i="24"/>
  <c r="M5" i="24" s="1"/>
  <c r="J5" i="24"/>
  <c r="O5" i="24" s="1"/>
  <c r="I5" i="24"/>
  <c r="AN15" i="3" l="1" a="1"/>
  <c r="AN15" i="3" s="1"/>
  <c r="AJ67" i="20" a="1"/>
  <c r="AJ67" i="20" s="1"/>
  <c r="AH42" i="10" a="1"/>
  <c r="AH42" i="10" s="1"/>
  <c r="AG42" i="10" a="1"/>
  <c r="AG42" i="10" s="1"/>
  <c r="E100" i="34" a="1"/>
  <c r="E100" i="34" s="1"/>
  <c r="O101" i="34"/>
  <c r="H88" i="34" a="1"/>
  <c r="H88" i="34" s="1"/>
  <c r="N87" i="34"/>
  <c r="AG41" i="9" a="1"/>
  <c r="AG41" i="9" s="1"/>
  <c r="AP19" i="20" a="1"/>
  <c r="AP19" i="20" s="1"/>
  <c r="AJ18" i="20" a="1"/>
  <c r="AJ18" i="20" s="1"/>
  <c r="AG44" i="10" a="1"/>
  <c r="AG44" i="10" s="1"/>
  <c r="AH44" i="10" a="1"/>
  <c r="AH44" i="10" s="1"/>
  <c r="V3" i="25"/>
  <c r="G43" i="9" a="1"/>
  <c r="G43" i="9" s="1"/>
  <c r="V43" i="9"/>
  <c r="AK14" i="20" a="1"/>
  <c r="AK14" i="20" s="1"/>
  <c r="AJ14" i="20" a="1"/>
  <c r="AJ14" i="20" s="1"/>
  <c r="AK20" i="20" a="1"/>
  <c r="AK20" i="20" s="1"/>
  <c r="AJ20" i="20" a="1"/>
  <c r="AJ20" i="20" s="1"/>
  <c r="AK32" i="20" a="1"/>
  <c r="AK32" i="20" s="1"/>
  <c r="AH41" i="10" a="1"/>
  <c r="AH41" i="10" s="1"/>
  <c r="AG41" i="10" a="1"/>
  <c r="AG41" i="10" s="1"/>
  <c r="V42" i="9"/>
  <c r="X42" i="9" s="1"/>
  <c r="AG38" i="10" a="1"/>
  <c r="AG38" i="10" s="1"/>
  <c r="AJ61" i="20" a="1"/>
  <c r="AJ61" i="20" s="1"/>
  <c r="AK61" i="20" a="1"/>
  <c r="AK61" i="20" s="1"/>
  <c r="AH36" i="10" a="1"/>
  <c r="AH36" i="10" s="1"/>
  <c r="AJ31" i="20" a="1"/>
  <c r="AJ31" i="20" s="1"/>
  <c r="AK31" i="20" a="1"/>
  <c r="AK31" i="20" s="1"/>
  <c r="AK11" i="20" a="1"/>
  <c r="AK11" i="20" s="1"/>
  <c r="AJ11" i="20" a="1"/>
  <c r="AJ11" i="20" s="1"/>
  <c r="AH16" i="10" a="1"/>
  <c r="AH16" i="10" s="1"/>
  <c r="AG16" i="10" a="1"/>
  <c r="AG16" i="10" s="1"/>
  <c r="AK13" i="20" a="1"/>
  <c r="AK13" i="20" s="1"/>
  <c r="AJ13" i="20" a="1"/>
  <c r="AJ13" i="20" s="1"/>
  <c r="AG33" i="10" a="1"/>
  <c r="AG33" i="10" s="1"/>
  <c r="AH33" i="10" a="1"/>
  <c r="AH33" i="10" s="1"/>
  <c r="AH8" i="10" a="1"/>
  <c r="AH8" i="10" s="1"/>
  <c r="AG8" i="10" a="1"/>
  <c r="AG8" i="10" s="1"/>
  <c r="AH14" i="10" a="1"/>
  <c r="AH14" i="10" s="1"/>
  <c r="AG14" i="10" a="1"/>
  <c r="AG14" i="10" s="1"/>
  <c r="AH9" i="10" a="1"/>
  <c r="AH9" i="10" s="1"/>
  <c r="AG9" i="10" a="1"/>
  <c r="AG9" i="10" s="1"/>
  <c r="AG7" i="10" a="1"/>
  <c r="AG7" i="10" s="1"/>
  <c r="AH7" i="10" a="1"/>
  <c r="AH7" i="10" s="1"/>
  <c r="AH6" i="10" a="1"/>
  <c r="AH6" i="10" s="1"/>
  <c r="AG6" i="10" a="1"/>
  <c r="AG6" i="10" s="1"/>
  <c r="AG12" i="10" a="1"/>
  <c r="AG12" i="10" s="1"/>
  <c r="AH12" i="10" a="1"/>
  <c r="AH12" i="10" s="1"/>
  <c r="AJ6" i="20" a="1"/>
  <c r="AJ6" i="20" s="1"/>
  <c r="AK6" i="20" a="1"/>
  <c r="AK6" i="20" s="1"/>
  <c r="AK23" i="20" a="1"/>
  <c r="AK23" i="20" s="1"/>
  <c r="AJ23" i="20" a="1"/>
  <c r="AJ23" i="20" s="1"/>
  <c r="AH5" i="10" a="1"/>
  <c r="AH5" i="10" s="1"/>
  <c r="AG5" i="10" a="1"/>
  <c r="AG5" i="10" s="1"/>
  <c r="AG15" i="10" a="1"/>
  <c r="AG15" i="10" s="1"/>
  <c r="AH15" i="10" a="1"/>
  <c r="AH15" i="10" s="1"/>
  <c r="AJ30" i="20" a="1"/>
  <c r="AJ30" i="20" s="1"/>
  <c r="AK30" i="20" a="1"/>
  <c r="AK30" i="20" s="1"/>
  <c r="AG25" i="10" a="1"/>
  <c r="AG25" i="10" s="1"/>
  <c r="AH25" i="10" a="1"/>
  <c r="AH25" i="10" s="1"/>
  <c r="AG32" i="10" a="1"/>
  <c r="AG32" i="10" s="1"/>
  <c r="AH32" i="10" a="1"/>
  <c r="AH32" i="10" s="1"/>
  <c r="AG3" i="10" a="1"/>
  <c r="AG3" i="10" s="1"/>
  <c r="AH3" i="10" a="1"/>
  <c r="AH3" i="10" s="1"/>
  <c r="AG4" i="10" a="1"/>
  <c r="AG4" i="10" s="1"/>
  <c r="AH4" i="10" a="1"/>
  <c r="AH4" i="10" s="1"/>
  <c r="AG17" i="10" a="1"/>
  <c r="AG17" i="10" s="1"/>
  <c r="AH17" i="10" a="1"/>
  <c r="AH17" i="10" s="1"/>
  <c r="AJ27" i="20" a="1"/>
  <c r="AJ27" i="20" s="1"/>
  <c r="AK27" i="20" a="1"/>
  <c r="AK27" i="20" s="1"/>
  <c r="AH11" i="10" a="1"/>
  <c r="AH11" i="10" s="1"/>
  <c r="AG11" i="10" a="1"/>
  <c r="AG11" i="10" s="1"/>
  <c r="AH19" i="10" a="1"/>
  <c r="AH19" i="10" s="1"/>
  <c r="AG19" i="10" a="1"/>
  <c r="AG19" i="10" s="1"/>
  <c r="AG13" i="10" a="1"/>
  <c r="AG13" i="10" s="1"/>
  <c r="AH13" i="10" a="1"/>
  <c r="AH13" i="10" s="1"/>
  <c r="AG18" i="10" a="1"/>
  <c r="AG18" i="10" s="1"/>
  <c r="AH18" i="10" a="1"/>
  <c r="AH18" i="10" s="1"/>
  <c r="AH24" i="10" a="1"/>
  <c r="AH24" i="10" s="1"/>
  <c r="AG24" i="10" a="1"/>
  <c r="AG24" i="10" s="1"/>
  <c r="AG10" i="10" a="1"/>
  <c r="AG10" i="10" s="1"/>
  <c r="AH10" i="10" a="1"/>
  <c r="AH10" i="10" s="1"/>
  <c r="U7" i="9" a="1"/>
  <c r="U7" i="9" s="1"/>
  <c r="U41" i="9" a="1"/>
  <c r="U41" i="9" s="1"/>
  <c r="G40" i="9" a="1"/>
  <c r="G40" i="9" s="1"/>
  <c r="V40" i="9"/>
  <c r="G39" i="9" a="1"/>
  <c r="G39" i="9" s="1"/>
  <c r="V39" i="9"/>
  <c r="V37" i="9"/>
  <c r="AD37" i="9" s="1" a="1"/>
  <c r="AD37" i="9" s="1"/>
  <c r="U35" i="9" a="1"/>
  <c r="U35" i="9" s="1"/>
  <c r="G35" i="9" s="1" a="1"/>
  <c r="G35" i="9" s="1"/>
  <c r="G33" i="9" a="1"/>
  <c r="G33" i="9" s="1"/>
  <c r="V33" i="9"/>
  <c r="U26" i="9" a="1"/>
  <c r="U26" i="9" s="1"/>
  <c r="U32" i="9" a="1"/>
  <c r="U32" i="9" s="1"/>
  <c r="V32" i="9" s="1"/>
  <c r="A55" i="28" a="1"/>
  <c r="A55" i="28" s="1"/>
  <c r="P8" i="24"/>
  <c r="P15" i="24"/>
  <c r="P7" i="24"/>
  <c r="L6" i="24"/>
  <c r="N6" i="24"/>
  <c r="L5" i="24"/>
  <c r="N5" i="24"/>
  <c r="AN16" i="3" l="1" a="1"/>
  <c r="AN16" i="3" s="1"/>
  <c r="E101" i="34" a="1"/>
  <c r="E101" i="34" s="1"/>
  <c r="O102" i="34"/>
  <c r="N88" i="34"/>
  <c r="H89" i="34" a="1"/>
  <c r="H89" i="34" s="1"/>
  <c r="AG42" i="9" a="1"/>
  <c r="AG42" i="9" s="1"/>
  <c r="AP20" i="20" a="1"/>
  <c r="AP20" i="20" s="1"/>
  <c r="X43" i="9"/>
  <c r="AD43" i="9" a="1"/>
  <c r="AD43" i="9" s="1"/>
  <c r="AA14" i="3"/>
  <c r="AA15" i="3"/>
  <c r="AD42" i="9" a="1"/>
  <c r="AD42" i="9" s="1"/>
  <c r="AA49" i="3"/>
  <c r="A56" i="28" a="1"/>
  <c r="A56" i="28" s="1"/>
  <c r="AA47" i="3"/>
  <c r="AA69" i="3"/>
  <c r="AA77" i="3"/>
  <c r="AA95" i="3"/>
  <c r="AA35" i="3"/>
  <c r="AA37" i="3"/>
  <c r="AA32" i="3"/>
  <c r="AA71" i="3"/>
  <c r="AA41" i="3"/>
  <c r="AA36" i="3"/>
  <c r="AA27" i="3"/>
  <c r="AA101" i="3"/>
  <c r="AA94" i="3"/>
  <c r="AA64" i="3"/>
  <c r="AA19" i="3"/>
  <c r="AA10" i="3"/>
  <c r="AA12" i="3"/>
  <c r="AA68" i="3"/>
  <c r="AA16" i="3"/>
  <c r="AA89" i="3"/>
  <c r="AA86" i="3"/>
  <c r="AA67" i="3"/>
  <c r="AA96" i="3"/>
  <c r="AA53" i="3"/>
  <c r="AA23" i="3"/>
  <c r="AA90" i="3"/>
  <c r="AA103" i="3"/>
  <c r="AA9" i="3"/>
  <c r="AA13" i="3"/>
  <c r="AA43" i="3"/>
  <c r="AA59" i="3"/>
  <c r="AA80" i="3"/>
  <c r="AA55" i="3"/>
  <c r="AA50" i="3"/>
  <c r="AA22" i="3"/>
  <c r="AA57" i="3"/>
  <c r="AA40" i="3"/>
  <c r="AA58" i="3"/>
  <c r="AA45" i="3"/>
  <c r="AA84" i="3"/>
  <c r="AA63" i="3"/>
  <c r="AA34" i="3"/>
  <c r="AA46" i="3"/>
  <c r="AA38" i="3"/>
  <c r="AA52" i="3"/>
  <c r="AA85" i="3"/>
  <c r="AA74" i="3"/>
  <c r="AA98" i="3"/>
  <c r="AA54" i="3"/>
  <c r="AA44" i="3"/>
  <c r="AA56" i="3"/>
  <c r="AA30" i="3"/>
  <c r="AA76" i="3"/>
  <c r="AA21" i="3"/>
  <c r="AA62" i="3"/>
  <c r="AA102" i="3"/>
  <c r="AA70" i="3"/>
  <c r="AA72" i="3"/>
  <c r="AA61" i="3"/>
  <c r="AA65" i="3"/>
  <c r="AA51" i="3"/>
  <c r="AA17" i="3"/>
  <c r="AA26" i="3"/>
  <c r="AA7" i="3"/>
  <c r="AA88" i="3"/>
  <c r="AA93" i="3"/>
  <c r="AA81" i="3"/>
  <c r="AA4" i="3"/>
  <c r="AA39" i="3"/>
  <c r="AA31" i="3"/>
  <c r="AA28" i="3"/>
  <c r="AA5" i="3"/>
  <c r="AA42" i="3"/>
  <c r="AA75" i="3"/>
  <c r="AA99" i="3"/>
  <c r="AA100" i="3"/>
  <c r="AA92" i="3"/>
  <c r="AA79" i="3"/>
  <c r="AA91" i="3"/>
  <c r="AA97" i="3"/>
  <c r="AA24" i="3"/>
  <c r="AA8" i="3"/>
  <c r="AA6" i="3"/>
  <c r="AA33" i="3"/>
  <c r="AA83" i="3"/>
  <c r="AA11" i="3"/>
  <c r="AA73" i="3"/>
  <c r="AA60" i="3"/>
  <c r="AA82" i="3"/>
  <c r="AA29" i="3"/>
  <c r="AA87" i="3"/>
  <c r="AA20" i="3"/>
  <c r="AA78" i="3"/>
  <c r="AA66" i="3"/>
  <c r="AA18" i="3"/>
  <c r="AA25" i="3"/>
  <c r="AA48" i="3"/>
  <c r="G41" i="9" a="1"/>
  <c r="G41" i="9" s="1"/>
  <c r="V41" i="9"/>
  <c r="AD40" i="9" a="1"/>
  <c r="AD40" i="9" s="1"/>
  <c r="X40" i="9"/>
  <c r="AD39" i="9" a="1"/>
  <c r="AD39" i="9" s="1"/>
  <c r="X39" i="9"/>
  <c r="X37" i="9"/>
  <c r="V35" i="9"/>
  <c r="AD35" i="9" s="1" a="1"/>
  <c r="AD35" i="9" s="1"/>
  <c r="AD32" i="9" a="1"/>
  <c r="AD32" i="9" s="1"/>
  <c r="X32" i="9"/>
  <c r="AD33" i="9" a="1"/>
  <c r="AD33" i="9" s="1"/>
  <c r="X33" i="9"/>
  <c r="P6" i="24"/>
  <c r="P5" i="24"/>
  <c r="Q5" i="24" a="1"/>
  <c r="AN17" i="3" l="1" a="1"/>
  <c r="AN17" i="3" s="1"/>
  <c r="E102" i="34" a="1"/>
  <c r="E102" i="34" s="1"/>
  <c r="O103" i="34"/>
  <c r="N89" i="34"/>
  <c r="H90" i="34" a="1"/>
  <c r="H90" i="34" s="1"/>
  <c r="AG43" i="9" a="1"/>
  <c r="AG43" i="9" s="1"/>
  <c r="AP21" i="20" a="1"/>
  <c r="AP21" i="20" s="1"/>
  <c r="X41" i="9"/>
  <c r="AD41" i="9" a="1"/>
  <c r="AD41" i="9" s="1"/>
  <c r="X35" i="9"/>
  <c r="Q5" i="24"/>
  <c r="E5" i="24" s="1" a="1"/>
  <c r="E5" i="24" s="1"/>
  <c r="C5" i="24" a="1"/>
  <c r="Q25" i="24" a="1"/>
  <c r="AN18" i="3" l="1" a="1"/>
  <c r="AN18" i="3" s="1"/>
  <c r="E103" i="34" a="1"/>
  <c r="E103" i="34" s="1"/>
  <c r="O104" i="34"/>
  <c r="N90" i="34"/>
  <c r="H91" i="34" a="1"/>
  <c r="H91" i="34" s="1"/>
  <c r="Q25" i="24"/>
  <c r="E25" i="24" s="1" a="1"/>
  <c r="E25" i="24" s="1"/>
  <c r="AP22" i="20" a="1"/>
  <c r="AP22" i="20" s="1"/>
  <c r="A57" i="28" a="1"/>
  <c r="A57" i="28" s="1"/>
  <c r="C5" i="24"/>
  <c r="C25" i="24" a="1"/>
  <c r="AN19" i="3" l="1" a="1"/>
  <c r="AN19" i="3" s="1"/>
  <c r="E104" i="34" a="1"/>
  <c r="E104" i="34" s="1"/>
  <c r="O105" i="34"/>
  <c r="N91" i="34"/>
  <c r="H92" i="34" a="1"/>
  <c r="H92" i="34" s="1"/>
  <c r="C25" i="24"/>
  <c r="AP23" i="20" a="1"/>
  <c r="AP23" i="20" s="1"/>
  <c r="A59" i="28" a="1"/>
  <c r="A59" i="28" s="1"/>
  <c r="A58" i="28" a="1"/>
  <c r="A58" i="28" s="1"/>
  <c r="A5" i="24"/>
  <c r="D5" i="24"/>
  <c r="AN20" i="3" l="1" a="1"/>
  <c r="AN20" i="3" s="1"/>
  <c r="O106" i="34"/>
  <c r="E105" i="34" a="1"/>
  <c r="E105" i="34" s="1"/>
  <c r="N92" i="34"/>
  <c r="H93" i="34" a="1"/>
  <c r="H93" i="34" s="1"/>
  <c r="A25" i="24"/>
  <c r="AP24" i="20" a="1"/>
  <c r="AP24" i="20" s="1"/>
  <c r="A62" i="28" a="1"/>
  <c r="A62" i="28" s="1"/>
  <c r="K24" i="21" a="1"/>
  <c r="K24" i="21" s="1"/>
  <c r="AM24" i="21" s="1"/>
  <c r="K25" i="21" a="1"/>
  <c r="K25" i="21" s="1"/>
  <c r="AM25" i="21" s="1"/>
  <c r="K26" i="21" a="1"/>
  <c r="K26" i="21" s="1"/>
  <c r="AM26" i="21" s="1"/>
  <c r="K27" i="21" a="1"/>
  <c r="K27" i="21" s="1"/>
  <c r="AM27" i="21" s="1"/>
  <c r="K28" i="21" a="1"/>
  <c r="K28" i="21" s="1"/>
  <c r="AM28" i="21" s="1"/>
  <c r="K29" i="21" a="1"/>
  <c r="K29" i="21" s="1"/>
  <c r="AM29" i="21" s="1"/>
  <c r="K30" i="21" a="1"/>
  <c r="K30" i="21" s="1"/>
  <c r="AM30" i="21" s="1"/>
  <c r="X24" i="21" a="1"/>
  <c r="X24" i="21" s="1"/>
  <c r="X25" i="21" a="1"/>
  <c r="X25" i="21" s="1"/>
  <c r="X26" i="21" a="1"/>
  <c r="X26" i="21" s="1"/>
  <c r="X27" i="21" a="1"/>
  <c r="X27" i="21" s="1"/>
  <c r="X28" i="21" a="1"/>
  <c r="X28" i="21" s="1"/>
  <c r="X29" i="21" a="1"/>
  <c r="X29" i="21" s="1"/>
  <c r="X30" i="21" a="1"/>
  <c r="X30" i="21" s="1"/>
  <c r="D25" i="24"/>
  <c r="I4" i="24" a="1"/>
  <c r="AN21" i="3" l="1" a="1"/>
  <c r="AN21" i="3" s="1"/>
  <c r="E106" i="34" a="1"/>
  <c r="E106" i="34" s="1"/>
  <c r="O107" i="34"/>
  <c r="N93" i="34"/>
  <c r="H94" i="34" a="1"/>
  <c r="H94" i="34" s="1"/>
  <c r="AP25" i="20" a="1"/>
  <c r="AP25" i="20" s="1"/>
  <c r="A60" i="28" a="1"/>
  <c r="A60" i="28" s="1"/>
  <c r="A63" i="28" a="1"/>
  <c r="A63" i="28" s="1"/>
  <c r="A61" i="28" a="1"/>
  <c r="A61" i="28" s="1"/>
  <c r="I4" i="24"/>
  <c r="J4" i="24" a="1"/>
  <c r="J16" i="24" a="1"/>
  <c r="K16" i="24" a="1"/>
  <c r="I16" i="24" a="1"/>
  <c r="K4" i="24" a="1"/>
  <c r="AN22" i="3" l="1" a="1"/>
  <c r="AN22" i="3" s="1"/>
  <c r="E107" i="34" a="1"/>
  <c r="E107" i="34" s="1"/>
  <c r="O108" i="34"/>
  <c r="N94" i="34"/>
  <c r="H95" i="34" a="1"/>
  <c r="H95" i="34" s="1"/>
  <c r="AP26" i="20" a="1"/>
  <c r="AP26" i="20" s="1"/>
  <c r="A64" i="28" a="1"/>
  <c r="A64" i="28" s="1"/>
  <c r="K4" i="24"/>
  <c r="M4" i="24" s="1"/>
  <c r="J4" i="24"/>
  <c r="O4" i="24" s="1"/>
  <c r="K16" i="24"/>
  <c r="I16" i="24"/>
  <c r="J16" i="24"/>
  <c r="O16" i="24" s="1"/>
  <c r="AN23" i="3" l="1" a="1"/>
  <c r="AN23" i="3" s="1"/>
  <c r="E108" i="34" a="1"/>
  <c r="E108" i="34" s="1"/>
  <c r="O109" i="34"/>
  <c r="H96" i="34" a="1"/>
  <c r="H96" i="34" s="1"/>
  <c r="N95" i="34"/>
  <c r="AP27" i="20" a="1"/>
  <c r="AP27" i="20" s="1"/>
  <c r="A65" i="28" a="1"/>
  <c r="A65" i="28" s="1"/>
  <c r="L4" i="24"/>
  <c r="N4" i="24"/>
  <c r="M16" i="24"/>
  <c r="N16" i="24" s="1"/>
  <c r="L16" i="24"/>
  <c r="AN24" i="3" l="1" a="1"/>
  <c r="AN24" i="3" s="1"/>
  <c r="E109" i="34" a="1"/>
  <c r="E109" i="34" s="1"/>
  <c r="O110" i="34"/>
  <c r="H97" i="34" a="1"/>
  <c r="H97" i="34" s="1"/>
  <c r="N96" i="34"/>
  <c r="AP28" i="20" a="1"/>
  <c r="AP28" i="20" s="1"/>
  <c r="A66" i="28" a="1"/>
  <c r="A66" i="28" s="1"/>
  <c r="P4" i="24"/>
  <c r="P16" i="24"/>
  <c r="Q4" i="24" a="1"/>
  <c r="AN25" i="3" l="1" a="1"/>
  <c r="AN25" i="3" s="1"/>
  <c r="E110" i="34" a="1"/>
  <c r="E110" i="34" s="1"/>
  <c r="O111" i="34"/>
  <c r="N97" i="34"/>
  <c r="H98" i="34" a="1"/>
  <c r="H98" i="34" s="1"/>
  <c r="AP29" i="20" a="1"/>
  <c r="AP29" i="20" s="1"/>
  <c r="A67" i="28" a="1"/>
  <c r="A67" i="28" s="1"/>
  <c r="Q4" i="24"/>
  <c r="E4" i="24" s="1" a="1"/>
  <c r="E4" i="24" s="1"/>
  <c r="X3" i="21" a="1"/>
  <c r="X3" i="21" s="1"/>
  <c r="X4" i="21" a="1"/>
  <c r="X4" i="21" s="1"/>
  <c r="X5" i="21" a="1"/>
  <c r="X5" i="21" s="1"/>
  <c r="X6" i="21" a="1"/>
  <c r="X6" i="21" s="1"/>
  <c r="X7" i="21" a="1"/>
  <c r="X7" i="21" s="1"/>
  <c r="X8" i="21" a="1"/>
  <c r="X8" i="21" s="1"/>
  <c r="X9" i="21" a="1"/>
  <c r="X9" i="21" s="1"/>
  <c r="X10" i="21" a="1"/>
  <c r="X10" i="21" s="1"/>
  <c r="X11" i="21" a="1"/>
  <c r="X11" i="21" s="1"/>
  <c r="X12" i="21" a="1"/>
  <c r="X12" i="21" s="1"/>
  <c r="X13" i="21" a="1"/>
  <c r="X13" i="21" s="1"/>
  <c r="X14" i="21" a="1"/>
  <c r="X14" i="21" s="1"/>
  <c r="X15" i="21" a="1"/>
  <c r="X15" i="21" s="1"/>
  <c r="X16" i="21" a="1"/>
  <c r="X16" i="21" s="1"/>
  <c r="X17" i="21" a="1"/>
  <c r="X17" i="21" s="1"/>
  <c r="X18" i="21" a="1"/>
  <c r="X18" i="21" s="1"/>
  <c r="X19" i="21" a="1"/>
  <c r="X19" i="21" s="1"/>
  <c r="X20" i="21" a="1"/>
  <c r="X20" i="21" s="1"/>
  <c r="X21" i="21" a="1"/>
  <c r="X21" i="21" s="1"/>
  <c r="X22" i="21" a="1"/>
  <c r="X22" i="21" s="1"/>
  <c r="X23" i="21" a="1"/>
  <c r="X23" i="21" s="1"/>
  <c r="D4" i="24"/>
  <c r="C4" i="24" a="1"/>
  <c r="AN26" i="3" l="1" a="1"/>
  <c r="AN26" i="3" s="1"/>
  <c r="W65" i="20"/>
  <c r="AD65" i="20" s="1" a="1"/>
  <c r="AD65" i="20" s="1"/>
  <c r="W62" i="20"/>
  <c r="AD62" i="20" s="1" a="1"/>
  <c r="AD62" i="20" s="1"/>
  <c r="W66" i="20"/>
  <c r="AD66" i="20" s="1" a="1"/>
  <c r="AD66" i="20" s="1"/>
  <c r="W63" i="20"/>
  <c r="AD63" i="20" s="1" a="1"/>
  <c r="AD63" i="20" s="1"/>
  <c r="W64" i="20"/>
  <c r="AD64" i="20" s="1" a="1"/>
  <c r="AD64" i="20" s="1"/>
  <c r="W4" i="20"/>
  <c r="AD4" i="20" s="1" a="1"/>
  <c r="AD4" i="20" s="1"/>
  <c r="E111" i="34" a="1"/>
  <c r="E111" i="34" s="1"/>
  <c r="O112" i="34"/>
  <c r="N98" i="34"/>
  <c r="H99" i="34" a="1"/>
  <c r="H99" i="34" s="1"/>
  <c r="W67" i="20"/>
  <c r="AD67" i="20" s="1" a="1"/>
  <c r="AD67" i="20" s="1"/>
  <c r="AP30" i="20" a="1"/>
  <c r="AP30" i="20" s="1"/>
  <c r="W44" i="10"/>
  <c r="AB44" i="10" s="1" a="1"/>
  <c r="AB44" i="10" s="1"/>
  <c r="W43" i="10"/>
  <c r="AB43" i="10" s="1" a="1"/>
  <c r="AB43" i="10" s="1"/>
  <c r="W34" i="20"/>
  <c r="AD34" i="20" s="1" a="1"/>
  <c r="AD34" i="20" s="1"/>
  <c r="W41" i="10"/>
  <c r="AB41" i="10" s="1" a="1"/>
  <c r="AB41" i="10" s="1"/>
  <c r="W40" i="20"/>
  <c r="AD40" i="20" s="1" a="1"/>
  <c r="AD40" i="20" s="1"/>
  <c r="W42" i="10"/>
  <c r="AB42" i="10" s="1" a="1"/>
  <c r="AB42" i="10" s="1"/>
  <c r="W39" i="20"/>
  <c r="AD39" i="20" s="1" a="1"/>
  <c r="AD39" i="20" s="1"/>
  <c r="W37" i="20"/>
  <c r="AD37" i="20" s="1" a="1"/>
  <c r="AD37" i="20" s="1"/>
  <c r="W36" i="20"/>
  <c r="AD36" i="20" s="1" a="1"/>
  <c r="AD36" i="20" s="1"/>
  <c r="W38" i="20"/>
  <c r="AD38" i="20" s="1" a="1"/>
  <c r="AD38" i="20" s="1"/>
  <c r="W40" i="10"/>
  <c r="AB40" i="10" s="1" a="1"/>
  <c r="AB40" i="10" s="1"/>
  <c r="W61" i="20"/>
  <c r="AD61" i="20" s="1" a="1"/>
  <c r="AD61" i="20" s="1"/>
  <c r="W39" i="10"/>
  <c r="AB39" i="10" s="1" a="1"/>
  <c r="AB39" i="10" s="1"/>
  <c r="A68" i="28" a="1"/>
  <c r="A68" i="28" s="1"/>
  <c r="W38" i="10"/>
  <c r="AB38" i="10" s="1" a="1"/>
  <c r="AB38" i="10" s="1"/>
  <c r="W60" i="20"/>
  <c r="AD60" i="20" s="1" a="1"/>
  <c r="AD60" i="20" s="1"/>
  <c r="W37" i="10"/>
  <c r="AB37" i="10" s="1" a="1"/>
  <c r="AB37" i="10" s="1"/>
  <c r="W36" i="10"/>
  <c r="AB36" i="10" s="1" a="1"/>
  <c r="AB36" i="10" s="1"/>
  <c r="W35" i="10"/>
  <c r="AB35" i="10" s="1" a="1"/>
  <c r="AB35" i="10" s="1"/>
  <c r="W59" i="20"/>
  <c r="AD59" i="20" s="1" a="1"/>
  <c r="AD59" i="20" s="1"/>
  <c r="W34" i="10"/>
  <c r="AB34" i="10" s="1" a="1"/>
  <c r="AB34" i="10" s="1"/>
  <c r="W33" i="10"/>
  <c r="AB33" i="10" s="1" a="1"/>
  <c r="AB33" i="10" s="1"/>
  <c r="W32" i="10"/>
  <c r="AB32" i="10" s="1" a="1"/>
  <c r="AB32" i="10" s="1"/>
  <c r="C4" i="24"/>
  <c r="W31" i="10"/>
  <c r="AB31" i="10" s="1" a="1"/>
  <c r="AB31" i="10" s="1"/>
  <c r="W30" i="10"/>
  <c r="AB30" i="10" s="1" a="1"/>
  <c r="AB30" i="10" s="1"/>
  <c r="W29" i="10"/>
  <c r="AB29" i="10" s="1" a="1"/>
  <c r="AB29" i="10" s="1"/>
  <c r="W27" i="10"/>
  <c r="AB27" i="10" s="1" a="1"/>
  <c r="AB27" i="10" s="1"/>
  <c r="W58" i="20"/>
  <c r="AD58" i="20" s="1" a="1"/>
  <c r="AD58" i="20" s="1"/>
  <c r="W28" i="10"/>
  <c r="AB28" i="10" s="1" a="1"/>
  <c r="AB28" i="10" s="1"/>
  <c r="W57" i="20"/>
  <c r="AD57" i="20" s="1" a="1"/>
  <c r="AD57" i="20" s="1"/>
  <c r="W26" i="10"/>
  <c r="AB26" i="10" s="1" a="1"/>
  <c r="AB26" i="10" s="1"/>
  <c r="W25" i="10"/>
  <c r="AB25" i="10" s="1" a="1"/>
  <c r="AB25" i="10" s="1"/>
  <c r="W56" i="20"/>
  <c r="AD56" i="20" s="1" a="1"/>
  <c r="AD56" i="20" s="1"/>
  <c r="W55" i="20"/>
  <c r="AD55" i="20" s="1" a="1"/>
  <c r="AD55" i="20" s="1"/>
  <c r="W54" i="20"/>
  <c r="AD54" i="20" s="1" a="1"/>
  <c r="AD54" i="20" s="1"/>
  <c r="W24" i="10"/>
  <c r="AB24" i="10" s="1" a="1"/>
  <c r="AB24" i="10" s="1"/>
  <c r="W49" i="20"/>
  <c r="AD49" i="20" s="1" a="1"/>
  <c r="AD49" i="20" s="1"/>
  <c r="W15" i="20"/>
  <c r="AD15" i="20" s="1" a="1"/>
  <c r="AD15" i="20" s="1"/>
  <c r="W52" i="20"/>
  <c r="AD52" i="20" s="1" a="1"/>
  <c r="AD52" i="20" s="1"/>
  <c r="W50" i="20"/>
  <c r="AD50" i="20" s="1" a="1"/>
  <c r="AD50" i="20" s="1"/>
  <c r="W16" i="20"/>
  <c r="AD16" i="20" s="1" a="1"/>
  <c r="AD16" i="20" s="1"/>
  <c r="W31" i="20"/>
  <c r="AD31" i="20" s="1" a="1"/>
  <c r="AD31" i="20" s="1"/>
  <c r="W19" i="20"/>
  <c r="AD19" i="20" s="1" a="1"/>
  <c r="AD19" i="20" s="1"/>
  <c r="W53" i="20"/>
  <c r="AD53" i="20" s="1" a="1"/>
  <c r="AD53" i="20" s="1"/>
  <c r="W51" i="20"/>
  <c r="AD51" i="20" s="1" a="1"/>
  <c r="AD51" i="20" s="1"/>
  <c r="W17" i="20"/>
  <c r="AD17" i="20" s="1" a="1"/>
  <c r="AD17" i="20" s="1"/>
  <c r="W18" i="20"/>
  <c r="AD18" i="20" s="1" a="1"/>
  <c r="AD18" i="20" s="1"/>
  <c r="W20" i="20"/>
  <c r="AD20" i="20" s="1" a="1"/>
  <c r="AD20" i="20" s="1"/>
  <c r="W21" i="20"/>
  <c r="AD21" i="20" s="1" a="1"/>
  <c r="AD21" i="20" s="1"/>
  <c r="W6" i="20"/>
  <c r="AD6" i="20" s="1" a="1"/>
  <c r="AD6" i="20" s="1"/>
  <c r="W22" i="20"/>
  <c r="AD22" i="20" s="1" a="1"/>
  <c r="AD22" i="20" s="1"/>
  <c r="W30" i="20"/>
  <c r="AD30" i="20" s="1" a="1"/>
  <c r="AD30" i="20" s="1"/>
  <c r="W7" i="20"/>
  <c r="AD7" i="20" s="1" a="1"/>
  <c r="AD7" i="20" s="1"/>
  <c r="W23" i="20"/>
  <c r="AD23" i="20" s="1" a="1"/>
  <c r="AD23" i="20" s="1"/>
  <c r="W43" i="20"/>
  <c r="AD43" i="20" s="1" a="1"/>
  <c r="AD43" i="20" s="1"/>
  <c r="W8" i="20"/>
  <c r="AD8" i="20" s="1" a="1"/>
  <c r="AD8" i="20" s="1"/>
  <c r="W24" i="20"/>
  <c r="AD24" i="20" s="1" a="1"/>
  <c r="AD24" i="20" s="1"/>
  <c r="W32" i="20"/>
  <c r="AD32" i="20" s="1" a="1"/>
  <c r="AD32" i="20" s="1"/>
  <c r="W44" i="20"/>
  <c r="AD44" i="20" s="1" a="1"/>
  <c r="AD44" i="20" s="1"/>
  <c r="W9" i="20"/>
  <c r="AD9" i="20" s="1" a="1"/>
  <c r="AD9" i="20" s="1"/>
  <c r="W25" i="20"/>
  <c r="AD25" i="20" s="1" a="1"/>
  <c r="AD25" i="20" s="1"/>
  <c r="W33" i="20"/>
  <c r="AD33" i="20" s="1" a="1"/>
  <c r="AD33" i="20" s="1"/>
  <c r="W45" i="20"/>
  <c r="AD45" i="20" s="1" a="1"/>
  <c r="AD45" i="20" s="1"/>
  <c r="W41" i="20"/>
  <c r="AD41" i="20" s="1" a="1"/>
  <c r="AD41" i="20" s="1"/>
  <c r="W10" i="20"/>
  <c r="AD10" i="20" s="1" a="1"/>
  <c r="AD10" i="20" s="1"/>
  <c r="W26" i="20"/>
  <c r="AD26" i="20" s="1" a="1"/>
  <c r="AD26" i="20" s="1"/>
  <c r="W35" i="20"/>
  <c r="AD35" i="20" s="1" a="1"/>
  <c r="AD35" i="20" s="1"/>
  <c r="W46" i="20"/>
  <c r="AD46" i="20" s="1" a="1"/>
  <c r="AD46" i="20" s="1"/>
  <c r="W42" i="20"/>
  <c r="AD42" i="20" s="1" a="1"/>
  <c r="AD42" i="20" s="1"/>
  <c r="W11" i="20"/>
  <c r="AD11" i="20" s="1" a="1"/>
  <c r="AD11" i="20" s="1"/>
  <c r="W27" i="20"/>
  <c r="AD27" i="20" s="1" a="1"/>
  <c r="AD27" i="20" s="1"/>
  <c r="W29" i="20"/>
  <c r="AD29" i="20" s="1" a="1"/>
  <c r="AD29" i="20" s="1"/>
  <c r="W14" i="20"/>
  <c r="AD14" i="20" s="1" a="1"/>
  <c r="AD14" i="20" s="1"/>
  <c r="W47" i="20"/>
  <c r="AD47" i="20" s="1" a="1"/>
  <c r="AD47" i="20" s="1"/>
  <c r="W12" i="20"/>
  <c r="AD12" i="20" s="1" a="1"/>
  <c r="AD12" i="20" s="1"/>
  <c r="W28" i="20"/>
  <c r="AD28" i="20" s="1" a="1"/>
  <c r="AD28" i="20" s="1"/>
  <c r="W5" i="20"/>
  <c r="AD5" i="20" s="1" a="1"/>
  <c r="AD5" i="20" s="1"/>
  <c r="W48" i="20"/>
  <c r="AD48" i="20" s="1" a="1"/>
  <c r="AD48" i="20" s="1"/>
  <c r="W13" i="20"/>
  <c r="AD13" i="20" s="1" a="1"/>
  <c r="AD13" i="20" s="1"/>
  <c r="W23" i="10"/>
  <c r="AB23" i="10" s="1" a="1"/>
  <c r="AB23" i="10" s="1"/>
  <c r="W13" i="10"/>
  <c r="AB13" i="10" s="1" a="1"/>
  <c r="AB13" i="10" s="1"/>
  <c r="W4" i="10"/>
  <c r="AB4" i="10" s="1" a="1"/>
  <c r="AB4" i="10" s="1"/>
  <c r="W3" i="10"/>
  <c r="AB3" i="10" s="1" a="1"/>
  <c r="AB3" i="10" s="1"/>
  <c r="W15" i="10"/>
  <c r="AB15" i="10" s="1" a="1"/>
  <c r="AB15" i="10" s="1"/>
  <c r="W5" i="10"/>
  <c r="AB5" i="10" s="1" a="1"/>
  <c r="AB5" i="10" s="1"/>
  <c r="W16" i="10"/>
  <c r="AB16" i="10" s="1" a="1"/>
  <c r="AB16" i="10" s="1"/>
  <c r="W19" i="10"/>
  <c r="AB19" i="10" s="1" a="1"/>
  <c r="AB19" i="10" s="1"/>
  <c r="W18" i="10"/>
  <c r="AB18" i="10" s="1" a="1"/>
  <c r="AB18" i="10" s="1"/>
  <c r="W17" i="10"/>
  <c r="AB17" i="10" s="1" a="1"/>
  <c r="AB17" i="10" s="1"/>
  <c r="W14" i="10"/>
  <c r="AB14" i="10" s="1" a="1"/>
  <c r="AB14" i="10" s="1"/>
  <c r="W12" i="10"/>
  <c r="AB12" i="10" s="1" a="1"/>
  <c r="AB12" i="10" s="1"/>
  <c r="W3" i="20"/>
  <c r="AD3" i="20" s="1" a="1"/>
  <c r="AD3" i="20" s="1"/>
  <c r="W11" i="10"/>
  <c r="AB11" i="10" s="1" a="1"/>
  <c r="AB11" i="10" s="1"/>
  <c r="W10" i="10"/>
  <c r="AB10" i="10" s="1" a="1"/>
  <c r="AB10" i="10" s="1"/>
  <c r="W9" i="10"/>
  <c r="AB9" i="10" s="1" a="1"/>
  <c r="AB9" i="10" s="1"/>
  <c r="W8" i="10"/>
  <c r="AB8" i="10" s="1" a="1"/>
  <c r="AB8" i="10" s="1"/>
  <c r="W7" i="10"/>
  <c r="AB7" i="10" s="1" a="1"/>
  <c r="AB7" i="10" s="1"/>
  <c r="W22" i="10"/>
  <c r="AB22" i="10" s="1" a="1"/>
  <c r="AB22" i="10" s="1"/>
  <c r="W21" i="10"/>
  <c r="AB21" i="10" s="1" a="1"/>
  <c r="AB21" i="10" s="1"/>
  <c r="W6" i="10"/>
  <c r="AB6" i="10" s="1" a="1"/>
  <c r="AB6" i="10" s="1"/>
  <c r="W20" i="10"/>
  <c r="AB20" i="10" s="1" a="1"/>
  <c r="AB20" i="10" s="1"/>
  <c r="I3" i="20" a="1"/>
  <c r="I3" i="20" s="1"/>
  <c r="K23" i="21" a="1"/>
  <c r="K23" i="21" s="1"/>
  <c r="AM23" i="21" s="1"/>
  <c r="K17" i="21" a="1"/>
  <c r="K17" i="21" s="1"/>
  <c r="AM17" i="21" s="1"/>
  <c r="K18" i="21" a="1"/>
  <c r="K18" i="21" s="1"/>
  <c r="AM18" i="21" s="1"/>
  <c r="K19" i="21" a="1"/>
  <c r="K19" i="21" s="1"/>
  <c r="AM19" i="21" s="1"/>
  <c r="K20" i="21" a="1"/>
  <c r="K20" i="21" s="1"/>
  <c r="AM20" i="21" s="1"/>
  <c r="K21" i="21" a="1"/>
  <c r="K21" i="21" s="1"/>
  <c r="AM21" i="21" s="1"/>
  <c r="K22" i="21" a="1"/>
  <c r="K22" i="21" s="1"/>
  <c r="AM22" i="21" s="1"/>
  <c r="C3" i="19"/>
  <c r="X5" i="17" a="1"/>
  <c r="X5" i="17" s="1"/>
  <c r="C2" i="19"/>
  <c r="G30" i="9" a="1"/>
  <c r="G30" i="9" s="1"/>
  <c r="K3" i="21" a="1"/>
  <c r="K3" i="21" s="1"/>
  <c r="AM3" i="21" s="1"/>
  <c r="AN3" i="21" s="1" a="1"/>
  <c r="AN3" i="21" s="1"/>
  <c r="K4" i="21" a="1"/>
  <c r="K4" i="21" s="1"/>
  <c r="AM4" i="21" s="1"/>
  <c r="K5" i="21" a="1"/>
  <c r="K5" i="21" s="1"/>
  <c r="K6" i="21" a="1"/>
  <c r="K6" i="21" s="1"/>
  <c r="AM6" i="21" s="1"/>
  <c r="K7" i="21" a="1"/>
  <c r="K7" i="21" s="1"/>
  <c r="AM7" i="21" s="1"/>
  <c r="K8" i="21" a="1"/>
  <c r="K8" i="21" s="1"/>
  <c r="AM8" i="21" s="1"/>
  <c r="K9" i="21" a="1"/>
  <c r="K9" i="21" s="1"/>
  <c r="AM9" i="21" s="1"/>
  <c r="K10" i="21" a="1"/>
  <c r="K10" i="21" s="1"/>
  <c r="AM10" i="21" s="1"/>
  <c r="K11" i="21" a="1"/>
  <c r="K11" i="21" s="1"/>
  <c r="AM11" i="21" s="1"/>
  <c r="K12" i="21" a="1"/>
  <c r="K12" i="21" s="1"/>
  <c r="AM12" i="21" s="1"/>
  <c r="K13" i="21" a="1"/>
  <c r="K13" i="21" s="1"/>
  <c r="AM13" i="21" s="1"/>
  <c r="K14" i="21" a="1"/>
  <c r="K14" i="21" s="1"/>
  <c r="AM14" i="21" s="1"/>
  <c r="K15" i="21" a="1"/>
  <c r="K15" i="21" s="1"/>
  <c r="AM15" i="21" s="1"/>
  <c r="K16" i="21" a="1"/>
  <c r="K16" i="21" s="1"/>
  <c r="AM16" i="21" s="1"/>
  <c r="B6" i="19"/>
  <c r="G29" i="9" a="1"/>
  <c r="G29" i="9" s="1"/>
  <c r="G24" i="9" a="1"/>
  <c r="G24" i="9" s="1"/>
  <c r="G23" i="9" a="1"/>
  <c r="G23" i="9" s="1"/>
  <c r="G22" i="9" a="1"/>
  <c r="G22" i="9" s="1"/>
  <c r="G21" i="9" a="1"/>
  <c r="G21" i="9" s="1"/>
  <c r="Q3" i="21" a="1"/>
  <c r="Q3" i="21" s="1"/>
  <c r="Q4" i="21" s="1" a="1"/>
  <c r="Q4" i="21" s="1"/>
  <c r="Q5" i="21" s="1" a="1"/>
  <c r="Q5" i="21" s="1"/>
  <c r="Q6" i="21" s="1" a="1"/>
  <c r="Q6" i="21" s="1"/>
  <c r="Q7" i="21" s="1" a="1"/>
  <c r="Q7" i="21" s="1"/>
  <c r="Q8" i="21" s="1" a="1"/>
  <c r="Q8" i="21" s="1"/>
  <c r="Q9" i="21" s="1" a="1"/>
  <c r="Q9" i="21" s="1"/>
  <c r="Q10" i="21" s="1" a="1"/>
  <c r="Q10" i="21" s="1"/>
  <c r="Q11" i="21" s="1" a="1"/>
  <c r="Q11" i="21" s="1"/>
  <c r="Q12" i="21" s="1" a="1"/>
  <c r="Q12" i="21" s="1"/>
  <c r="Q13" i="21" s="1" a="1"/>
  <c r="Q13" i="21" s="1"/>
  <c r="Q14" i="21" s="1" a="1"/>
  <c r="Q14" i="21" s="1"/>
  <c r="Q15" i="21" s="1" a="1"/>
  <c r="Q15" i="21" s="1"/>
  <c r="Q16" i="21" s="1" a="1"/>
  <c r="Q16" i="21" s="1"/>
  <c r="Q17" i="21" s="1" a="1"/>
  <c r="Q17" i="21" s="1"/>
  <c r="Q18" i="21" s="1" a="1"/>
  <c r="Q18" i="21" s="1"/>
  <c r="Q19" i="21" s="1" a="1"/>
  <c r="Q19" i="21" s="1"/>
  <c r="Q20" i="21" s="1" a="1"/>
  <c r="Q20" i="21" s="1"/>
  <c r="Q21" i="21" s="1" a="1"/>
  <c r="Q21" i="21" s="1"/>
  <c r="Q22" i="21" s="1" a="1"/>
  <c r="Q22" i="21" s="1"/>
  <c r="Q23" i="21" s="1" a="1"/>
  <c r="Q23" i="21" s="1"/>
  <c r="Q24" i="21" s="1" a="1"/>
  <c r="Q24" i="21" s="1"/>
  <c r="Q25" i="21" s="1" a="1"/>
  <c r="Q25" i="21" s="1"/>
  <c r="Q26" i="21" s="1" a="1"/>
  <c r="Q26" i="21" s="1"/>
  <c r="Q27" i="21" s="1" a="1"/>
  <c r="Q27" i="21" s="1"/>
  <c r="Q28" i="21" s="1" a="1"/>
  <c r="Q28" i="21" s="1"/>
  <c r="Q29" i="21" s="1" a="1"/>
  <c r="Q29" i="21" s="1"/>
  <c r="Q30" i="21" s="1" a="1"/>
  <c r="Q30" i="21" s="1"/>
  <c r="Q31" i="21" s="1" a="1"/>
  <c r="Q31" i="21" s="1"/>
  <c r="Q32" i="21" s="1" a="1"/>
  <c r="Q32" i="21" s="1"/>
  <c r="Q33" i="21" s="1" a="1"/>
  <c r="Q33" i="21" s="1"/>
  <c r="Q34" i="21" s="1" a="1"/>
  <c r="Q34" i="21" s="1"/>
  <c r="Q35" i="21" s="1" a="1"/>
  <c r="Q35" i="21" s="1"/>
  <c r="Q36" i="21" s="1" a="1"/>
  <c r="Q36" i="21" s="1"/>
  <c r="Q37" i="21" s="1" a="1"/>
  <c r="Q37" i="21" s="1"/>
  <c r="Q38" i="21" s="1" a="1"/>
  <c r="Q38" i="21" s="1"/>
  <c r="Q39" i="21" s="1" a="1"/>
  <c r="Q39" i="21" s="1"/>
  <c r="Q40" i="21" s="1" a="1"/>
  <c r="Q40" i="21" s="1"/>
  <c r="Q41" i="21" s="1" a="1"/>
  <c r="Q41" i="21" s="1"/>
  <c r="Q42" i="21" s="1" a="1"/>
  <c r="Q42" i="21" s="1"/>
  <c r="Q43" i="21" s="1" a="1"/>
  <c r="Q43" i="21" s="1"/>
  <c r="B5" i="19"/>
  <c r="B4" i="19"/>
  <c r="V3" i="20" a="1"/>
  <c r="V3" i="20" s="1"/>
  <c r="X3" i="20" a="1"/>
  <c r="X3" i="20" s="1"/>
  <c r="X4" i="20" s="1" a="1"/>
  <c r="X4" i="20" s="1"/>
  <c r="B6" i="14" a="1"/>
  <c r="C6" i="14" a="1"/>
  <c r="A6" i="14" a="1"/>
  <c r="D6" i="14" a="1"/>
  <c r="D19" i="25" l="1"/>
  <c r="J19" i="25" s="1"/>
  <c r="D20" i="25"/>
  <c r="J20" i="25" s="1"/>
  <c r="D21" i="25"/>
  <c r="J21" i="25" s="1"/>
  <c r="K56" i="20" s="1" a="1"/>
  <c r="K56" i="20" s="1"/>
  <c r="AN27" i="3" a="1"/>
  <c r="AN27" i="3" s="1"/>
  <c r="AB65" i="20" a="1"/>
  <c r="AB65" i="20" s="1"/>
  <c r="AB64" i="20" a="1"/>
  <c r="AB64" i="20" s="1"/>
  <c r="AB66" i="20" a="1"/>
  <c r="AB66" i="20" s="1"/>
  <c r="AB62" i="20" a="1"/>
  <c r="AB62" i="20" s="1"/>
  <c r="AB63" i="20" a="1"/>
  <c r="AB63" i="20" s="1"/>
  <c r="AL64" i="20" a="1"/>
  <c r="AL64" i="20" s="1"/>
  <c r="AM64" i="20" s="1" a="1"/>
  <c r="AM64" i="20" s="1"/>
  <c r="AL65" i="20" a="1"/>
  <c r="AL65" i="20" s="1"/>
  <c r="AM65" i="20" s="1" a="1"/>
  <c r="AM65" i="20" s="1"/>
  <c r="AL66" i="20" a="1"/>
  <c r="AL66" i="20" s="1"/>
  <c r="AM66" i="20" s="1" a="1"/>
  <c r="AM66" i="20" s="1"/>
  <c r="AL62" i="20" a="1"/>
  <c r="AL62" i="20" s="1"/>
  <c r="AM62" i="20" s="1" a="1"/>
  <c r="AM62" i="20" s="1"/>
  <c r="AL63" i="20" a="1"/>
  <c r="AL63" i="20" s="1"/>
  <c r="AM63" i="20" s="1" a="1"/>
  <c r="AM63" i="20" s="1"/>
  <c r="AB67" i="20" a="1"/>
  <c r="AB67" i="20" s="1"/>
  <c r="AF67" i="20" s="1" a="1"/>
  <c r="AF67" i="20" s="1"/>
  <c r="AB4" i="20" a="1"/>
  <c r="AB4" i="20" s="1"/>
  <c r="AL67" i="20" a="1"/>
  <c r="AL67" i="20" s="1"/>
  <c r="AM67" i="20" s="1" a="1"/>
  <c r="AM67" i="20" s="1"/>
  <c r="AL4" i="20" a="1"/>
  <c r="AL4" i="20" s="1"/>
  <c r="AM4" i="20" s="1" a="1"/>
  <c r="AM4" i="20" s="1"/>
  <c r="E112" i="34" a="1"/>
  <c r="E112" i="34" s="1"/>
  <c r="O113" i="34"/>
  <c r="N99" i="34"/>
  <c r="H100" i="34" a="1"/>
  <c r="H100" i="34" s="1"/>
  <c r="AP31" i="20" a="1"/>
  <c r="AP31" i="20" s="1"/>
  <c r="AN4" i="21" a="1"/>
  <c r="AN4" i="21" s="1"/>
  <c r="AB56" i="20" a="1"/>
  <c r="AB56" i="20" s="1"/>
  <c r="AB49" i="20" a="1"/>
  <c r="AB49" i="20" s="1"/>
  <c r="AB36" i="20" a="1"/>
  <c r="AB36" i="20" s="1"/>
  <c r="AB29" i="20" a="1"/>
  <c r="AB29" i="20" s="1"/>
  <c r="AB22" i="20" a="1"/>
  <c r="AB22" i="20" s="1"/>
  <c r="AB15" i="20" a="1"/>
  <c r="AB15" i="20" s="1"/>
  <c r="AB21" i="20" a="1"/>
  <c r="AB21" i="20" s="1"/>
  <c r="AB27" i="20" a="1"/>
  <c r="AB27" i="20" s="1"/>
  <c r="AB46" i="20" a="1"/>
  <c r="AB46" i="20" s="1"/>
  <c r="AB60" i="20" a="1"/>
  <c r="AB60" i="20" s="1"/>
  <c r="AF60" i="20" s="1" a="1"/>
  <c r="AF60" i="20" s="1"/>
  <c r="AB26" i="20" a="1"/>
  <c r="AB26" i="20" s="1"/>
  <c r="AB40" i="20" a="1"/>
  <c r="AB40" i="20" s="1"/>
  <c r="AF40" i="20" s="1" a="1"/>
  <c r="AF40" i="20" s="1"/>
  <c r="AB41" i="20" a="1"/>
  <c r="AB41" i="20" s="1"/>
  <c r="AB42" i="20" a="1"/>
  <c r="AB42" i="20" s="1"/>
  <c r="AB19" i="20" a="1"/>
  <c r="AB19" i="20" s="1"/>
  <c r="AB59" i="20" a="1"/>
  <c r="AB59" i="20" s="1"/>
  <c r="AB52" i="20" a="1"/>
  <c r="AB52" i="20" s="1"/>
  <c r="AB45" i="20" a="1"/>
  <c r="AB45" i="20" s="1"/>
  <c r="AB39" i="20" a="1"/>
  <c r="AB39" i="20" s="1"/>
  <c r="AB32" i="20" a="1"/>
  <c r="AB32" i="20" s="1"/>
  <c r="AB25" i="20" a="1"/>
  <c r="AB25" i="20" s="1"/>
  <c r="AB18" i="20" a="1"/>
  <c r="AB18" i="20" s="1"/>
  <c r="AB11" i="20" a="1"/>
  <c r="AB11" i="20" s="1"/>
  <c r="AB3" i="20" a="1"/>
  <c r="AB3" i="20" s="1"/>
  <c r="AF3" i="20" s="1" a="1"/>
  <c r="AF3" i="20" s="1"/>
  <c r="AB58" i="20" a="1"/>
  <c r="AB58" i="20" s="1"/>
  <c r="AB51" i="20" a="1"/>
  <c r="AB51" i="20" s="1"/>
  <c r="AB44" i="20" a="1"/>
  <c r="AB44" i="20" s="1"/>
  <c r="AB38" i="20" a="1"/>
  <c r="AB38" i="20" s="1"/>
  <c r="AB31" i="20" a="1"/>
  <c r="AB31" i="20" s="1"/>
  <c r="AF31" i="20" s="1" a="1"/>
  <c r="AF31" i="20" s="1"/>
  <c r="AB24" i="20" a="1"/>
  <c r="AB24" i="20" s="1"/>
  <c r="AB17" i="20" a="1"/>
  <c r="AB17" i="20" s="1"/>
  <c r="AB10" i="20" a="1"/>
  <c r="AB10" i="20" s="1"/>
  <c r="AB57" i="20" a="1"/>
  <c r="AB57" i="20" s="1"/>
  <c r="AB50" i="20" a="1"/>
  <c r="AB50" i="20" s="1"/>
  <c r="AB43" i="20" a="1"/>
  <c r="AB43" i="20" s="1"/>
  <c r="AB37" i="20" a="1"/>
  <c r="AB37" i="20" s="1"/>
  <c r="AB30" i="20" a="1"/>
  <c r="AB30" i="20" s="1"/>
  <c r="AB23" i="20" a="1"/>
  <c r="AB23" i="20" s="1"/>
  <c r="AB16" i="20" a="1"/>
  <c r="AB16" i="20" s="1"/>
  <c r="AB9" i="20" a="1"/>
  <c r="AB9" i="20" s="1"/>
  <c r="AB8" i="20" a="1"/>
  <c r="AB8" i="20" s="1"/>
  <c r="AB55" i="20" a="1"/>
  <c r="AB55" i="20" s="1"/>
  <c r="AB48" i="20" a="1"/>
  <c r="AB48" i="20" s="1"/>
  <c r="AB35" i="20" a="1"/>
  <c r="AB35" i="20" s="1"/>
  <c r="AB28" i="20" a="1"/>
  <c r="AB28" i="20" s="1"/>
  <c r="AB14" i="20" a="1"/>
  <c r="AB14" i="20" s="1"/>
  <c r="AB7" i="20" a="1"/>
  <c r="AB7" i="20" s="1"/>
  <c r="AB61" i="20" a="1"/>
  <c r="AB61" i="20" s="1"/>
  <c r="AB54" i="20" a="1"/>
  <c r="AB54" i="20" s="1"/>
  <c r="AB47" i="20" a="1"/>
  <c r="AB47" i="20" s="1"/>
  <c r="AB34" i="20" a="1"/>
  <c r="AB34" i="20" s="1"/>
  <c r="AF34" i="20" s="1" a="1"/>
  <c r="AF34" i="20" s="1"/>
  <c r="AB20" i="20" a="1"/>
  <c r="AB20" i="20" s="1"/>
  <c r="AB13" i="20" a="1"/>
  <c r="AB13" i="20" s="1"/>
  <c r="AB6" i="20" a="1"/>
  <c r="AB6" i="20" s="1"/>
  <c r="AB53" i="20" a="1"/>
  <c r="AB53" i="20" s="1"/>
  <c r="AB33" i="20" a="1"/>
  <c r="AB33" i="20" s="1"/>
  <c r="AB12" i="20" a="1"/>
  <c r="AB12" i="20" s="1"/>
  <c r="AB5" i="20" a="1"/>
  <c r="AB5" i="20" s="1"/>
  <c r="AI44" i="10" a="1"/>
  <c r="AI44" i="10" s="1"/>
  <c r="AJ44" i="10" s="1" a="1"/>
  <c r="AJ44" i="10" s="1"/>
  <c r="AL34" i="20" a="1"/>
  <c r="AL34" i="20" s="1"/>
  <c r="AM34" i="20" s="1" a="1"/>
  <c r="AM34" i="20" s="1"/>
  <c r="AI42" i="10" a="1"/>
  <c r="AI42" i="10" s="1"/>
  <c r="AJ42" i="10" s="1" a="1"/>
  <c r="AJ42" i="10" s="1"/>
  <c r="AA43" i="9" a="1"/>
  <c r="AA43" i="9" s="1"/>
  <c r="AC43" i="9" a="1"/>
  <c r="AC43" i="9" s="1"/>
  <c r="AL40" i="20" a="1"/>
  <c r="AL40" i="20" s="1"/>
  <c r="AM40" i="20" s="1" a="1"/>
  <c r="AM40" i="20" s="1"/>
  <c r="AI41" i="10" a="1"/>
  <c r="AI41" i="10" s="1"/>
  <c r="AJ41" i="10" s="1" a="1"/>
  <c r="AJ41" i="10" s="1"/>
  <c r="AL38" i="20" a="1"/>
  <c r="AL38" i="20" s="1"/>
  <c r="AM38" i="20" s="1" a="1"/>
  <c r="AM38" i="20" s="1"/>
  <c r="AL39" i="20" a="1"/>
  <c r="AL39" i="20" s="1"/>
  <c r="AM39" i="20" s="1" a="1"/>
  <c r="AM39" i="20" s="1"/>
  <c r="AL36" i="20" a="1"/>
  <c r="AL36" i="20" s="1"/>
  <c r="AM36" i="20" s="1" a="1"/>
  <c r="AM36" i="20" s="1"/>
  <c r="AI40" i="10" a="1"/>
  <c r="AI40" i="10" s="1"/>
  <c r="AJ40" i="10" s="1" a="1"/>
  <c r="AJ40" i="10" s="1"/>
  <c r="AI39" i="10" a="1"/>
  <c r="AI39" i="10" s="1"/>
  <c r="AJ39" i="10" s="1" a="1"/>
  <c r="AJ39" i="10" s="1"/>
  <c r="AI38" i="10" a="1"/>
  <c r="AI38" i="10" s="1"/>
  <c r="AJ38" i="10" s="1" a="1"/>
  <c r="AJ38" i="10" s="1"/>
  <c r="AL61" i="20" a="1"/>
  <c r="AL61" i="20" s="1"/>
  <c r="AM61" i="20" s="1" a="1"/>
  <c r="AM61" i="20" s="1"/>
  <c r="A69" i="28" a="1"/>
  <c r="A69" i="28" s="1"/>
  <c r="AC42" i="9" a="1"/>
  <c r="AC42" i="9" s="1"/>
  <c r="AA42" i="9" a="1"/>
  <c r="AA42" i="9" s="1"/>
  <c r="AI37" i="10" a="1"/>
  <c r="AI37" i="10" s="1"/>
  <c r="AJ37" i="10" s="1" a="1"/>
  <c r="AJ37" i="10" s="1"/>
  <c r="AL60" i="20" a="1"/>
  <c r="AL60" i="20" s="1"/>
  <c r="AM60" i="20" s="1" a="1"/>
  <c r="AM60" i="20" s="1"/>
  <c r="AI35" i="10" a="1"/>
  <c r="AI35" i="10" s="1"/>
  <c r="AJ35" i="10" s="1" a="1"/>
  <c r="AJ35" i="10" s="1"/>
  <c r="AI36" i="10" a="1"/>
  <c r="AI36" i="10" s="1"/>
  <c r="AJ36" i="10" s="1" a="1"/>
  <c r="AJ36" i="10" s="1"/>
  <c r="AI34" i="10" a="1"/>
  <c r="AI34" i="10" s="1"/>
  <c r="AJ34" i="10" s="1" a="1"/>
  <c r="AJ34" i="10" s="1"/>
  <c r="AL59" i="20" a="1"/>
  <c r="AL59" i="20" s="1"/>
  <c r="AM59" i="20" s="1" a="1"/>
  <c r="AM59" i="20" s="1"/>
  <c r="AC41" i="9" a="1"/>
  <c r="AC41" i="9" s="1"/>
  <c r="AA41" i="9" a="1"/>
  <c r="AA41" i="9" s="1"/>
  <c r="AC39" i="9" a="1"/>
  <c r="AC39" i="9" s="1"/>
  <c r="AA39" i="9" a="1"/>
  <c r="AA39" i="9" s="1"/>
  <c r="AA40" i="9" a="1"/>
  <c r="AA40" i="9" s="1"/>
  <c r="AC40" i="9" a="1"/>
  <c r="AC40" i="9" s="1"/>
  <c r="AI33" i="10" a="1"/>
  <c r="AI33" i="10" s="1"/>
  <c r="AJ33" i="10" s="1" a="1"/>
  <c r="AJ33" i="10" s="1"/>
  <c r="AI32" i="10" a="1"/>
  <c r="AI32" i="10" s="1"/>
  <c r="AJ32" i="10" s="1" a="1"/>
  <c r="AJ32" i="10" s="1"/>
  <c r="AC38" i="9" a="1"/>
  <c r="AC38" i="9" s="1"/>
  <c r="AA38" i="9" a="1"/>
  <c r="AA38" i="9" s="1"/>
  <c r="AI30" i="10" a="1"/>
  <c r="AI30" i="10" s="1"/>
  <c r="AJ30" i="10" s="1" a="1"/>
  <c r="AJ30" i="10" s="1"/>
  <c r="AI31" i="10" a="1"/>
  <c r="AI31" i="10" s="1"/>
  <c r="AJ31" i="10" s="1" a="1"/>
  <c r="AJ31" i="10" s="1"/>
  <c r="AI29" i="10" a="1"/>
  <c r="AI29" i="10" s="1"/>
  <c r="AJ29" i="10" s="1" a="1"/>
  <c r="AJ29" i="10" s="1"/>
  <c r="AC37" i="9" a="1"/>
  <c r="AC37" i="9" s="1"/>
  <c r="AA36" i="9" a="1"/>
  <c r="AA36" i="9" s="1"/>
  <c r="AA37" i="9" a="1"/>
  <c r="AA37" i="9" s="1"/>
  <c r="AI27" i="10" a="1"/>
  <c r="AI27" i="10" s="1"/>
  <c r="AJ27" i="10" s="1" a="1"/>
  <c r="AJ27" i="10" s="1"/>
  <c r="AI28" i="10" a="1"/>
  <c r="AI28" i="10" s="1"/>
  <c r="AJ28" i="10" s="1" a="1"/>
  <c r="AJ28" i="10" s="1"/>
  <c r="AC36" i="9" a="1"/>
  <c r="AC36" i="9" s="1"/>
  <c r="AI25" i="10" a="1"/>
  <c r="AI25" i="10" s="1"/>
  <c r="AJ25" i="10" s="1" a="1"/>
  <c r="AJ25" i="10" s="1"/>
  <c r="AL57" i="20" a="1"/>
  <c r="AL57" i="20" s="1"/>
  <c r="AM57" i="20" s="1" a="1"/>
  <c r="AM57" i="20" s="1"/>
  <c r="AC34" i="9" a="1"/>
  <c r="AC34" i="9" s="1"/>
  <c r="AC35" i="9" a="1"/>
  <c r="AC35" i="9" s="1"/>
  <c r="AA35" i="9" a="1"/>
  <c r="AA35" i="9" s="1"/>
  <c r="X5" i="20" a="1"/>
  <c r="X5" i="20" s="1"/>
  <c r="X6" i="20" s="1" a="1"/>
  <c r="X6" i="20" s="1"/>
  <c r="X7" i="20" s="1" a="1"/>
  <c r="X7" i="20" s="1"/>
  <c r="X8" i="20" s="1" a="1"/>
  <c r="X8" i="20" s="1"/>
  <c r="X9" i="20" s="1" a="1"/>
  <c r="X9" i="20" s="1"/>
  <c r="X10" i="20" s="1" a="1"/>
  <c r="X10" i="20" s="1"/>
  <c r="X11" i="20" s="1" a="1"/>
  <c r="X11" i="20" s="1"/>
  <c r="X12" i="20" s="1" a="1"/>
  <c r="X12" i="20" s="1"/>
  <c r="X13" i="20" s="1" a="1"/>
  <c r="X13" i="20" s="1"/>
  <c r="X14" i="20" s="1" a="1"/>
  <c r="X14" i="20" s="1"/>
  <c r="X15" i="20" s="1" a="1"/>
  <c r="X15" i="20" s="1"/>
  <c r="X16" i="20" s="1" a="1"/>
  <c r="X16" i="20" s="1"/>
  <c r="X17" i="20" s="1" a="1"/>
  <c r="X17" i="20" s="1"/>
  <c r="X18" i="20" s="1" a="1"/>
  <c r="X18" i="20" s="1"/>
  <c r="X19" i="20" s="1" a="1"/>
  <c r="X19" i="20" s="1"/>
  <c r="X20" i="20" s="1" a="1"/>
  <c r="X20" i="20" s="1"/>
  <c r="X21" i="20" s="1" a="1"/>
  <c r="X21" i="20" s="1"/>
  <c r="X22" i="20" s="1" a="1"/>
  <c r="X22" i="20" s="1"/>
  <c r="X23" i="20" s="1" a="1"/>
  <c r="X23" i="20" s="1"/>
  <c r="X24" i="20" s="1" a="1"/>
  <c r="X24" i="20" s="1"/>
  <c r="X25" i="20" s="1" a="1"/>
  <c r="X25" i="20" s="1"/>
  <c r="X26" i="20" s="1" a="1"/>
  <c r="X26" i="20" s="1"/>
  <c r="X27" i="20" s="1" a="1"/>
  <c r="X27" i="20" s="1"/>
  <c r="X28" i="20" s="1" a="1"/>
  <c r="X28" i="20" s="1"/>
  <c r="X29" i="20" s="1" a="1"/>
  <c r="X29" i="20" s="1"/>
  <c r="X30" i="20" s="1" a="1"/>
  <c r="X30" i="20" s="1"/>
  <c r="X31" i="20" s="1" a="1"/>
  <c r="X31" i="20" s="1"/>
  <c r="X32" i="20" s="1" a="1"/>
  <c r="X32" i="20" s="1"/>
  <c r="X33" i="20" s="1" a="1"/>
  <c r="X33" i="20" s="1"/>
  <c r="AA34" i="9" a="1"/>
  <c r="AA34" i="9" s="1"/>
  <c r="AL56" i="20" a="1"/>
  <c r="AL56" i="20" s="1"/>
  <c r="AM56" i="20" s="1" a="1"/>
  <c r="AM56" i="20" s="1"/>
  <c r="AI24" i="10" a="1"/>
  <c r="AI24" i="10" s="1"/>
  <c r="AJ24" i="10" s="1" a="1"/>
  <c r="AJ24" i="10" s="1"/>
  <c r="AL55" i="20" a="1"/>
  <c r="AL55" i="20" s="1"/>
  <c r="AM55" i="20" s="1" a="1"/>
  <c r="AM55" i="20" s="1"/>
  <c r="AC33" i="9" a="1"/>
  <c r="AC33" i="9" s="1"/>
  <c r="AA33" i="9" a="1"/>
  <c r="AA33" i="9" s="1"/>
  <c r="AL49" i="20" a="1"/>
  <c r="AL49" i="20" s="1"/>
  <c r="AM49" i="20" s="1" a="1"/>
  <c r="AM49" i="20" s="1"/>
  <c r="AL13" i="20" a="1"/>
  <c r="AL13" i="20" s="1"/>
  <c r="AM13" i="20" s="1" a="1"/>
  <c r="AM13" i="20" s="1"/>
  <c r="AL15" i="20" a="1"/>
  <c r="AL15" i="20" s="1"/>
  <c r="AM15" i="20" s="1" a="1"/>
  <c r="AM15" i="20" s="1"/>
  <c r="AL33" i="20" a="1"/>
  <c r="AL33" i="20" s="1"/>
  <c r="AM33" i="20" s="1" a="1"/>
  <c r="AM33" i="20" s="1"/>
  <c r="AL31" i="20" a="1"/>
  <c r="AL31" i="20" s="1"/>
  <c r="AM31" i="20" s="1" a="1"/>
  <c r="AM31" i="20" s="1"/>
  <c r="AL11" i="20" a="1"/>
  <c r="AL11" i="20" s="1"/>
  <c r="AM11" i="20" s="1" a="1"/>
  <c r="AM11" i="20" s="1"/>
  <c r="AL28" i="20" a="1"/>
  <c r="AL28" i="20" s="1"/>
  <c r="AM28" i="20" s="1" a="1"/>
  <c r="AM28" i="20" s="1"/>
  <c r="AL5" i="20" a="1"/>
  <c r="AL5" i="20" s="1"/>
  <c r="AM5" i="20" s="1" a="1"/>
  <c r="AM5" i="20" s="1"/>
  <c r="AL20" i="20" a="1"/>
  <c r="AL20" i="20" s="1"/>
  <c r="AM20" i="20" s="1" a="1"/>
  <c r="AM20" i="20" s="1"/>
  <c r="AL44" i="20" a="1"/>
  <c r="AL44" i="20" s="1"/>
  <c r="AM44" i="20" s="1" a="1"/>
  <c r="AM44" i="20" s="1"/>
  <c r="AL52" i="20" a="1"/>
  <c r="AL52" i="20" s="1"/>
  <c r="AM52" i="20" s="1" a="1"/>
  <c r="AM52" i="20" s="1"/>
  <c r="AL53" i="20" a="1"/>
  <c r="AL53" i="20" s="1"/>
  <c r="AM53" i="20" s="1" a="1"/>
  <c r="AM53" i="20" s="1"/>
  <c r="AL43" i="20" a="1"/>
  <c r="AL43" i="20" s="1"/>
  <c r="AM43" i="20" s="1" a="1"/>
  <c r="AM43" i="20" s="1"/>
  <c r="AL23" i="20" a="1"/>
  <c r="AL23" i="20" s="1"/>
  <c r="AM23" i="20" s="1" a="1"/>
  <c r="AM23" i="20" s="1"/>
  <c r="AL25" i="20" a="1"/>
  <c r="AL25" i="20" s="1"/>
  <c r="AM25" i="20" s="1" a="1"/>
  <c r="AM25" i="20" s="1"/>
  <c r="AL48" i="20" a="1"/>
  <c r="AL48" i="20" s="1"/>
  <c r="AM48" i="20" s="1" a="1"/>
  <c r="AM48" i="20" s="1"/>
  <c r="AL26" i="20" a="1"/>
  <c r="AL26" i="20" s="1"/>
  <c r="AM26" i="20" s="1" a="1"/>
  <c r="AM26" i="20" s="1"/>
  <c r="AL27" i="20" a="1"/>
  <c r="AL27" i="20" s="1"/>
  <c r="AM27" i="20" s="1" a="1"/>
  <c r="AM27" i="20" s="1"/>
  <c r="AL6" i="20" a="1"/>
  <c r="AL6" i="20" s="1"/>
  <c r="AM6" i="20" s="1" a="1"/>
  <c r="AM6" i="20" s="1"/>
  <c r="AL7" i="20" a="1"/>
  <c r="AL7" i="20" s="1"/>
  <c r="AM7" i="20" s="1" a="1"/>
  <c r="AM7" i="20" s="1"/>
  <c r="AL46" i="20" a="1"/>
  <c r="AL46" i="20" s="1"/>
  <c r="AM46" i="20" s="1" a="1"/>
  <c r="AM46" i="20" s="1"/>
  <c r="AL8" i="20" a="1"/>
  <c r="AL8" i="20" s="1"/>
  <c r="AM8" i="20" s="1" a="1"/>
  <c r="AM8" i="20" s="1"/>
  <c r="AL32" i="20" a="1"/>
  <c r="AL32" i="20" s="1"/>
  <c r="AM32" i="20" s="1" a="1"/>
  <c r="AM32" i="20" s="1"/>
  <c r="AL9" i="20" a="1"/>
  <c r="AL9" i="20" s="1"/>
  <c r="AM9" i="20" s="1" a="1"/>
  <c r="AM9" i="20" s="1"/>
  <c r="AI3" i="10" a="1"/>
  <c r="AI3" i="10" s="1"/>
  <c r="AJ3" i="10" s="1" a="1"/>
  <c r="AJ3" i="10" s="1"/>
  <c r="AI9" i="10" a="1"/>
  <c r="AI9" i="10" s="1"/>
  <c r="AJ9" i="10" s="1" a="1"/>
  <c r="AJ9" i="10" s="1"/>
  <c r="AI11" i="10" a="1"/>
  <c r="AI11" i="10" s="1"/>
  <c r="AJ11" i="10" s="1" a="1"/>
  <c r="AJ11" i="10" s="1"/>
  <c r="AL3" i="20" a="1"/>
  <c r="AL3" i="20" s="1"/>
  <c r="AM3" i="20" s="1" a="1"/>
  <c r="AM3" i="20" s="1"/>
  <c r="AI23" i="10" a="1"/>
  <c r="AI23" i="10" s="1"/>
  <c r="AJ23" i="10" s="1" a="1"/>
  <c r="AJ23" i="10" s="1"/>
  <c r="AI15" i="10" a="1"/>
  <c r="AI15" i="10" s="1"/>
  <c r="AJ15" i="10" s="1" a="1"/>
  <c r="AJ15" i="10" s="1"/>
  <c r="AI4" i="10" a="1"/>
  <c r="AI4" i="10" s="1"/>
  <c r="AJ4" i="10" s="1" a="1"/>
  <c r="AJ4" i="10" s="1"/>
  <c r="AI12" i="10" a="1"/>
  <c r="AI12" i="10" s="1"/>
  <c r="AJ12" i="10" s="1" a="1"/>
  <c r="AJ12" i="10" s="1"/>
  <c r="AI8" i="10" a="1"/>
  <c r="AI8" i="10" s="1"/>
  <c r="AJ8" i="10" s="1" a="1"/>
  <c r="AJ8" i="10" s="1"/>
  <c r="AI5" i="10" a="1"/>
  <c r="AI5" i="10" s="1"/>
  <c r="AJ5" i="10" s="1" a="1"/>
  <c r="AJ5" i="10" s="1"/>
  <c r="AI20" i="10" a="1"/>
  <c r="AI20" i="10" s="1"/>
  <c r="AJ20" i="10" s="1" a="1"/>
  <c r="AJ20" i="10" s="1"/>
  <c r="AI6" i="10" a="1"/>
  <c r="AI6" i="10" s="1"/>
  <c r="AJ6" i="10" s="1" a="1"/>
  <c r="AJ6" i="10" s="1"/>
  <c r="AI21" i="10" a="1"/>
  <c r="AI21" i="10" s="1"/>
  <c r="AJ21" i="10" s="1" a="1"/>
  <c r="AJ21" i="10" s="1"/>
  <c r="AI10" i="10" a="1"/>
  <c r="AI10" i="10" s="1"/>
  <c r="AJ10" i="10" s="1" a="1"/>
  <c r="AJ10" i="10" s="1"/>
  <c r="AI7" i="10" a="1"/>
  <c r="AI7" i="10" s="1"/>
  <c r="AJ7" i="10" s="1" a="1"/>
  <c r="AJ7" i="10" s="1"/>
  <c r="AA31" i="9" a="1"/>
  <c r="AA31" i="9" s="1"/>
  <c r="AC32" i="9" a="1"/>
  <c r="AC32" i="9" s="1"/>
  <c r="AA32" i="9" a="1"/>
  <c r="AA32" i="9" s="1"/>
  <c r="AC31" i="9" a="1"/>
  <c r="AC31" i="9" s="1"/>
  <c r="A4" i="24"/>
  <c r="AA25" i="9" a="1"/>
  <c r="AA25" i="9" s="1"/>
  <c r="AA27" i="9" a="1"/>
  <c r="AA27" i="9" s="1"/>
  <c r="AA28" i="9" a="1"/>
  <c r="AA28" i="9" s="1"/>
  <c r="AA29" i="9" a="1"/>
  <c r="AA29" i="9" s="1"/>
  <c r="AA30" i="9" a="1"/>
  <c r="AA30" i="9" s="1"/>
  <c r="V29" i="9"/>
  <c r="V30" i="9"/>
  <c r="AC30" i="9" a="1"/>
  <c r="AC30" i="9" s="1"/>
  <c r="AC5" i="9" a="1"/>
  <c r="AC5" i="9" s="1"/>
  <c r="AC17" i="9" a="1"/>
  <c r="AC17" i="9" s="1"/>
  <c r="AC16" i="9" a="1"/>
  <c r="AC16" i="9" s="1"/>
  <c r="AC15" i="9" a="1"/>
  <c r="AC15" i="9" s="1"/>
  <c r="AC14" i="9" a="1"/>
  <c r="AC14" i="9" s="1"/>
  <c r="AC13" i="9" a="1"/>
  <c r="AC13" i="9" s="1"/>
  <c r="AC12" i="9" a="1"/>
  <c r="AC12" i="9" s="1"/>
  <c r="AC29" i="9" a="1"/>
  <c r="AC29" i="9" s="1"/>
  <c r="AC28" i="9" a="1"/>
  <c r="AC28" i="9" s="1"/>
  <c r="AC11" i="9" a="1"/>
  <c r="AC11" i="9" s="1"/>
  <c r="AC26" i="9" a="1"/>
  <c r="AC26" i="9" s="1"/>
  <c r="AC10" i="9" a="1"/>
  <c r="AC10" i="9" s="1"/>
  <c r="AC25" i="9" a="1"/>
  <c r="AC25" i="9" s="1"/>
  <c r="AC9" i="9" a="1"/>
  <c r="AC9" i="9" s="1"/>
  <c r="AC27" i="9" a="1"/>
  <c r="AC27" i="9" s="1"/>
  <c r="AC24" i="9" a="1"/>
  <c r="AC24" i="9" s="1"/>
  <c r="AC8" i="9" a="1"/>
  <c r="AC8" i="9" s="1"/>
  <c r="AC23" i="9" a="1"/>
  <c r="AC23" i="9" s="1"/>
  <c r="AC7" i="9" a="1"/>
  <c r="AC7" i="9" s="1"/>
  <c r="AC22" i="9" a="1"/>
  <c r="AC22" i="9" s="1"/>
  <c r="AC6" i="9" a="1"/>
  <c r="AC6" i="9" s="1"/>
  <c r="AC21" i="9" a="1"/>
  <c r="AC21" i="9" s="1"/>
  <c r="AC20" i="9" a="1"/>
  <c r="AC20" i="9" s="1"/>
  <c r="AC4" i="9" a="1"/>
  <c r="AC4" i="9" s="1"/>
  <c r="AC19" i="9" a="1"/>
  <c r="AC19" i="9" s="1"/>
  <c r="AC3" i="9" a="1"/>
  <c r="AC3" i="9" s="1"/>
  <c r="AC18" i="9" a="1"/>
  <c r="AC18" i="9" s="1"/>
  <c r="AA22" i="9" a="1"/>
  <c r="AA22" i="9" s="1"/>
  <c r="AA21" i="9" a="1"/>
  <c r="AA21" i="9" s="1"/>
  <c r="AA24" i="9" a="1"/>
  <c r="AA24" i="9" s="1"/>
  <c r="AA26" i="9" a="1"/>
  <c r="AA26" i="9" s="1"/>
  <c r="AA23" i="9" a="1"/>
  <c r="AA23" i="9" s="1"/>
  <c r="AA11" i="9" a="1"/>
  <c r="AA11" i="9" s="1"/>
  <c r="AA5" i="9" a="1"/>
  <c r="AA5" i="9" s="1"/>
  <c r="AA18" i="9" a="1"/>
  <c r="AA18" i="9" s="1"/>
  <c r="AA17" i="9" a="1"/>
  <c r="AA17" i="9" s="1"/>
  <c r="AA16" i="9" a="1"/>
  <c r="AA16" i="9" s="1"/>
  <c r="AA15" i="9" a="1"/>
  <c r="AA15" i="9" s="1"/>
  <c r="AA14" i="9" a="1"/>
  <c r="AA14" i="9" s="1"/>
  <c r="AA13" i="9" a="1"/>
  <c r="AA13" i="9" s="1"/>
  <c r="AA12" i="9" a="1"/>
  <c r="AA12" i="9" s="1"/>
  <c r="AA10" i="9" a="1"/>
  <c r="AA10" i="9" s="1"/>
  <c r="AA9" i="9" a="1"/>
  <c r="AA9" i="9" s="1"/>
  <c r="AA8" i="9" a="1"/>
  <c r="AA8" i="9" s="1"/>
  <c r="AA7" i="9" a="1"/>
  <c r="AA7" i="9" s="1"/>
  <c r="AA6" i="9" a="1"/>
  <c r="AA6" i="9" s="1"/>
  <c r="AA4" i="9" a="1"/>
  <c r="AA4" i="9" s="1"/>
  <c r="AA20" i="9" a="1"/>
  <c r="AA20" i="9" s="1"/>
  <c r="AA3" i="9" a="1"/>
  <c r="AA3" i="9" s="1"/>
  <c r="AA19" i="9" a="1"/>
  <c r="AA19" i="9" s="1"/>
  <c r="D6" i="14"/>
  <c r="C6" i="14"/>
  <c r="B6" i="14"/>
  <c r="A6" i="14"/>
  <c r="K24" i="20" l="1" a="1"/>
  <c r="K24" i="20" s="1"/>
  <c r="K25" i="20" a="1"/>
  <c r="K25" i="20" s="1"/>
  <c r="K43" i="10" a="1"/>
  <c r="K43" i="10" s="1"/>
  <c r="K35" i="20" a="1"/>
  <c r="K35" i="20" s="1"/>
  <c r="AN28" i="3" a="1"/>
  <c r="AN28" i="3" s="1"/>
  <c r="AF63" i="20" a="1"/>
  <c r="AF63" i="20" s="1"/>
  <c r="AC63" i="20" a="1"/>
  <c r="AC63" i="20" s="1"/>
  <c r="AF62" i="20" a="1"/>
  <c r="AF62" i="20" s="1"/>
  <c r="AC62" i="20" a="1"/>
  <c r="AC62" i="20" s="1"/>
  <c r="AF66" i="20" a="1"/>
  <c r="AF66" i="20" s="1"/>
  <c r="AC66" i="20" a="1"/>
  <c r="AC66" i="20" s="1"/>
  <c r="AF64" i="20" a="1"/>
  <c r="AF64" i="20" s="1"/>
  <c r="AC64" i="20" a="1"/>
  <c r="AC64" i="20" s="1"/>
  <c r="AF65" i="20" a="1"/>
  <c r="AF65" i="20" s="1"/>
  <c r="AC65" i="20" a="1"/>
  <c r="AC65" i="20" s="1"/>
  <c r="AC67" i="20" a="1"/>
  <c r="AC67" i="20" s="1"/>
  <c r="AF4" i="20" a="1"/>
  <c r="AF4" i="20" s="1"/>
  <c r="AC4" i="20" a="1"/>
  <c r="AC4" i="20" s="1"/>
  <c r="E113" i="34" a="1"/>
  <c r="E113" i="34" s="1"/>
  <c r="O114" i="34"/>
  <c r="N100" i="34"/>
  <c r="H101" i="34" a="1"/>
  <c r="H101" i="34" s="1"/>
  <c r="AP32" i="20" a="1"/>
  <c r="AP32" i="20" s="1"/>
  <c r="AC7" i="20" a="1"/>
  <c r="AC7" i="20" s="1"/>
  <c r="AF7" i="20" a="1"/>
  <c r="AF7" i="20" s="1"/>
  <c r="AC57" i="20" a="1"/>
  <c r="AC57" i="20" s="1"/>
  <c r="AF57" i="20" a="1"/>
  <c r="AF57" i="20" s="1"/>
  <c r="AC25" i="20" a="1"/>
  <c r="AC25" i="20" s="1"/>
  <c r="AF25" i="20" a="1"/>
  <c r="AF25" i="20" s="1"/>
  <c r="AC53" i="20" a="1"/>
  <c r="AC53" i="20" s="1"/>
  <c r="AF53" i="20" a="1"/>
  <c r="AF53" i="20" s="1"/>
  <c r="AC8" i="20" a="1"/>
  <c r="AC8" i="20" s="1"/>
  <c r="AF8" i="20" a="1"/>
  <c r="AF8" i="20" s="1"/>
  <c r="AC11" i="20" a="1"/>
  <c r="AC11" i="20" s="1"/>
  <c r="AF11" i="20" a="1"/>
  <c r="AF11" i="20" s="1"/>
  <c r="AC61" i="20" a="1"/>
  <c r="AC61" i="20" s="1"/>
  <c r="AF61" i="20" a="1"/>
  <c r="AF61" i="20" s="1"/>
  <c r="AC14" i="20" a="1"/>
  <c r="AC14" i="20" s="1"/>
  <c r="AF14" i="20" a="1"/>
  <c r="AF14" i="20" s="1"/>
  <c r="AC5" i="20" a="1"/>
  <c r="AC5" i="20" s="1"/>
  <c r="AF5" i="20" a="1"/>
  <c r="AF5" i="20" s="1"/>
  <c r="AC28" i="20" a="1"/>
  <c r="AC28" i="20" s="1"/>
  <c r="AF28" i="20" a="1"/>
  <c r="AF28" i="20" s="1"/>
  <c r="AC10" i="20" a="1"/>
  <c r="AC10" i="20" s="1"/>
  <c r="AF10" i="20" a="1"/>
  <c r="AF10" i="20" s="1"/>
  <c r="AC39" i="20" a="1"/>
  <c r="AC39" i="20" s="1"/>
  <c r="AF39" i="20" a="1"/>
  <c r="AF39" i="20" s="1"/>
  <c r="AC46" i="20" a="1"/>
  <c r="AC46" i="20" s="1"/>
  <c r="AF46" i="20" a="1"/>
  <c r="AF46" i="20" s="1"/>
  <c r="AC55" i="20" a="1"/>
  <c r="AC55" i="20" s="1"/>
  <c r="AF55" i="20" a="1"/>
  <c r="AF55" i="20" s="1"/>
  <c r="AC6" i="20" a="1"/>
  <c r="AC6" i="20" s="1"/>
  <c r="AF6" i="20" a="1"/>
  <c r="AF6" i="20" s="1"/>
  <c r="AC54" i="20" a="1"/>
  <c r="AC54" i="20" s="1"/>
  <c r="AF54" i="20" a="1"/>
  <c r="AF54" i="20" s="1"/>
  <c r="AC18" i="20" a="1"/>
  <c r="AC18" i="20" s="1"/>
  <c r="AF18" i="20" a="1"/>
  <c r="AF18" i="20" s="1"/>
  <c r="AC12" i="20" a="1"/>
  <c r="AC12" i="20" s="1"/>
  <c r="AF12" i="20" a="1"/>
  <c r="AF12" i="20" s="1"/>
  <c r="AC35" i="20" a="1"/>
  <c r="AC35" i="20" s="1"/>
  <c r="AF35" i="20" a="1"/>
  <c r="AF35" i="20" s="1"/>
  <c r="AC17" i="20" a="1"/>
  <c r="AC17" i="20" s="1"/>
  <c r="AF17" i="20" a="1"/>
  <c r="AF17" i="20" s="1"/>
  <c r="AC45" i="20" a="1"/>
  <c r="AC45" i="20" s="1"/>
  <c r="AF45" i="20" a="1"/>
  <c r="AF45" i="20" s="1"/>
  <c r="AC27" i="20" a="1"/>
  <c r="AC27" i="20" s="1"/>
  <c r="AF27" i="20" a="1"/>
  <c r="AF27" i="20" s="1"/>
  <c r="AC38" i="20" a="1"/>
  <c r="AC38" i="20" s="1"/>
  <c r="AF38" i="20" a="1"/>
  <c r="AF38" i="20" s="1"/>
  <c r="AC13" i="20" a="1"/>
  <c r="AC13" i="20" s="1"/>
  <c r="AF13" i="20" a="1"/>
  <c r="AF13" i="20" s="1"/>
  <c r="AC43" i="20" a="1"/>
  <c r="AC43" i="20" s="1"/>
  <c r="AF43" i="20" a="1"/>
  <c r="AF43" i="20" s="1"/>
  <c r="AC50" i="20" a="1"/>
  <c r="AC50" i="20" s="1"/>
  <c r="AF50" i="20" a="1"/>
  <c r="AF50" i="20" s="1"/>
  <c r="AC32" i="20" a="1"/>
  <c r="AC32" i="20" s="1"/>
  <c r="AF32" i="20" a="1"/>
  <c r="AF32" i="20" s="1"/>
  <c r="AC33" i="20" a="1"/>
  <c r="AC33" i="20" s="1"/>
  <c r="AF33" i="20" a="1"/>
  <c r="AF33" i="20" s="1"/>
  <c r="AC48" i="20" a="1"/>
  <c r="AC48" i="20" s="1"/>
  <c r="AF48" i="20" a="1"/>
  <c r="AF48" i="20" s="1"/>
  <c r="AC24" i="20" a="1"/>
  <c r="AC24" i="20" s="1"/>
  <c r="AF24" i="20" a="1"/>
  <c r="AF24" i="20" s="1"/>
  <c r="AC52" i="20" a="1"/>
  <c r="AC52" i="20" s="1"/>
  <c r="AF52" i="20" a="1"/>
  <c r="AF52" i="20" s="1"/>
  <c r="AC21" i="20" a="1"/>
  <c r="AC21" i="20" s="1"/>
  <c r="AF21" i="20" a="1"/>
  <c r="AF21" i="20" s="1"/>
  <c r="AC15" i="20" a="1"/>
  <c r="AC15" i="20" s="1"/>
  <c r="AF15" i="20" a="1"/>
  <c r="AF15" i="20" s="1"/>
  <c r="AC22" i="20" a="1"/>
  <c r="AC22" i="20" s="1"/>
  <c r="AF22" i="20" a="1"/>
  <c r="AF22" i="20" s="1"/>
  <c r="AC44" i="20" a="1"/>
  <c r="AC44" i="20" s="1"/>
  <c r="AF44" i="20" a="1"/>
  <c r="AF44" i="20" s="1"/>
  <c r="AC19" i="20" a="1"/>
  <c r="AC19" i="20" s="1"/>
  <c r="AF19" i="20" a="1"/>
  <c r="AF19" i="20" s="1"/>
  <c r="AC29" i="20" a="1"/>
  <c r="AC29" i="20" s="1"/>
  <c r="AF29" i="20" a="1"/>
  <c r="AF29" i="20" s="1"/>
  <c r="AC42" i="20" a="1"/>
  <c r="AC42" i="20" s="1"/>
  <c r="AF42" i="20" a="1"/>
  <c r="AF42" i="20" s="1"/>
  <c r="AC36" i="20" a="1"/>
  <c r="AC36" i="20" s="1"/>
  <c r="AF36" i="20" a="1"/>
  <c r="AF36" i="20" s="1"/>
  <c r="AC41" i="20" a="1"/>
  <c r="AC41" i="20" s="1"/>
  <c r="AF41" i="20" a="1"/>
  <c r="AF41" i="20" s="1"/>
  <c r="AC30" i="20" a="1"/>
  <c r="AC30" i="20" s="1"/>
  <c r="AF30" i="20" a="1"/>
  <c r="AF30" i="20" s="1"/>
  <c r="AC49" i="20" a="1"/>
  <c r="AC49" i="20" s="1"/>
  <c r="AF49" i="20" a="1"/>
  <c r="AF49" i="20" s="1"/>
  <c r="AC59" i="20" a="1"/>
  <c r="AC59" i="20" s="1"/>
  <c r="AF59" i="20" a="1"/>
  <c r="AF59" i="20" s="1"/>
  <c r="AC9" i="20" a="1"/>
  <c r="AC9" i="20" s="1"/>
  <c r="AF9" i="20" a="1"/>
  <c r="AF9" i="20" s="1"/>
  <c r="AC16" i="20" a="1"/>
  <c r="AC16" i="20" s="1"/>
  <c r="AF16" i="20" a="1"/>
  <c r="AF16" i="20" s="1"/>
  <c r="AC51" i="20" a="1"/>
  <c r="AC51" i="20" s="1"/>
  <c r="AF51" i="20" a="1"/>
  <c r="AF51" i="20" s="1"/>
  <c r="AC20" i="20" a="1"/>
  <c r="AC20" i="20" s="1"/>
  <c r="AF20" i="20" a="1"/>
  <c r="AF20" i="20" s="1"/>
  <c r="AC23" i="20" a="1"/>
  <c r="AC23" i="20" s="1"/>
  <c r="AF23" i="20" a="1"/>
  <c r="AF23" i="20" s="1"/>
  <c r="AC58" i="20" a="1"/>
  <c r="AC58" i="20" s="1"/>
  <c r="AF58" i="20" a="1"/>
  <c r="AF58" i="20" s="1"/>
  <c r="AC47" i="20" a="1"/>
  <c r="AC47" i="20" s="1"/>
  <c r="AF47" i="20" a="1"/>
  <c r="AF47" i="20" s="1"/>
  <c r="AC37" i="20" a="1"/>
  <c r="AC37" i="20" s="1"/>
  <c r="AF37" i="20" a="1"/>
  <c r="AF37" i="20" s="1"/>
  <c r="AC56" i="20" a="1"/>
  <c r="AC56" i="20" s="1"/>
  <c r="AF56" i="20" a="1"/>
  <c r="AF56" i="20" s="1"/>
  <c r="AC26" i="20" a="1"/>
  <c r="AC26" i="20" s="1"/>
  <c r="AF26" i="20" a="1"/>
  <c r="AF26" i="20" s="1"/>
  <c r="AC3" i="20" a="1"/>
  <c r="AC3" i="20" s="1"/>
  <c r="AE3" i="20" a="1"/>
  <c r="AE3" i="20" s="1"/>
  <c r="AC60" i="20" a="1"/>
  <c r="AC60" i="20" s="1"/>
  <c r="AI43" i="21" a="1"/>
  <c r="AI43" i="21" s="1"/>
  <c r="AC31" i="20" a="1"/>
  <c r="AC31" i="20" s="1"/>
  <c r="AC34" i="20" a="1"/>
  <c r="AC34" i="20" s="1"/>
  <c r="AC40" i="20" a="1"/>
  <c r="AC40" i="20" s="1"/>
  <c r="X34" i="20" a="1"/>
  <c r="X34" i="20" s="1"/>
  <c r="X35" i="20" s="1" a="1"/>
  <c r="X35" i="20" s="1"/>
  <c r="X36" i="20" s="1" a="1"/>
  <c r="X36" i="20" s="1"/>
  <c r="X37" i="20" s="1" a="1"/>
  <c r="X37" i="20" s="1"/>
  <c r="X38" i="20" s="1" a="1"/>
  <c r="X38" i="20" s="1"/>
  <c r="X39" i="20" s="1" a="1"/>
  <c r="X39" i="20" s="1"/>
  <c r="X40" i="20" s="1" a="1"/>
  <c r="X40" i="20" s="1"/>
  <c r="X41" i="20" s="1" a="1"/>
  <c r="X41" i="20" s="1"/>
  <c r="X42" i="20" s="1" a="1"/>
  <c r="X42" i="20" s="1"/>
  <c r="AD30" i="9" a="1"/>
  <c r="AD30" i="9" s="1"/>
  <c r="X30" i="9"/>
  <c r="AD29" i="9" a="1"/>
  <c r="AD29" i="9" s="1"/>
  <c r="X29" i="9"/>
  <c r="L20" i="25"/>
  <c r="M20" i="25" s="1" a="1"/>
  <c r="M20" i="25" s="1"/>
  <c r="L21" i="25"/>
  <c r="M21" i="25" s="1" a="1"/>
  <c r="M21" i="25" s="1"/>
  <c r="E6" i="14"/>
  <c r="L6" i="14"/>
  <c r="L11" i="14"/>
  <c r="L12" i="14"/>
  <c r="L13" i="14"/>
  <c r="L14" i="14"/>
  <c r="L15" i="14"/>
  <c r="C20" i="14" a="1"/>
  <c r="C20" i="14" s="1"/>
  <c r="Z3" i="9" a="1"/>
  <c r="Z3" i="9" s="1"/>
  <c r="H3" i="13" a="1"/>
  <c r="H3" i="13" s="1"/>
  <c r="H4" i="13" s="1" a="1"/>
  <c r="H4" i="13" s="1"/>
  <c r="H5" i="13" s="1" a="1"/>
  <c r="H5" i="13" s="1"/>
  <c r="H6" i="13" s="1" a="1"/>
  <c r="H6" i="13" s="1"/>
  <c r="H7" i="13" s="1" a="1"/>
  <c r="H7" i="13" s="1"/>
  <c r="H8" i="13" s="1" a="1"/>
  <c r="H8" i="13" s="1"/>
  <c r="H9" i="13" s="1" a="1"/>
  <c r="H9" i="13" s="1"/>
  <c r="H10" i="13" s="1" a="1"/>
  <c r="H10" i="13" s="1"/>
  <c r="H11" i="13" s="1" a="1"/>
  <c r="H11" i="13" s="1"/>
  <c r="H12" i="13" s="1" a="1"/>
  <c r="H12" i="13" s="1"/>
  <c r="H13" i="13" s="1" a="1"/>
  <c r="H13" i="13" s="1"/>
  <c r="H14" i="13" s="1" a="1"/>
  <c r="H14" i="13" s="1"/>
  <c r="H15" i="13" s="1" a="1"/>
  <c r="H15" i="13" s="1"/>
  <c r="H16" i="13" s="1" a="1"/>
  <c r="H16" i="13" s="1"/>
  <c r="H17" i="13" s="1" a="1"/>
  <c r="H17" i="13" s="1"/>
  <c r="H18" i="13" s="1" a="1"/>
  <c r="H18" i="13" s="1"/>
  <c r="H19" i="13" s="1" a="1"/>
  <c r="H19" i="13" s="1"/>
  <c r="H20" i="13" s="1" a="1"/>
  <c r="H20" i="13" s="1"/>
  <c r="E11" i="14"/>
  <c r="E12" i="14"/>
  <c r="E13" i="14"/>
  <c r="E14" i="14"/>
  <c r="E15" i="14"/>
  <c r="X3" i="10" a="1"/>
  <c r="X3" i="10" s="1"/>
  <c r="AJ3" i="4"/>
  <c r="AK3" i="4"/>
  <c r="AL3" i="4"/>
  <c r="AM3" i="4"/>
  <c r="AI3" i="4"/>
  <c r="AH5" i="4"/>
  <c r="AH6" i="4"/>
  <c r="AH7" i="4"/>
  <c r="AH8" i="4"/>
  <c r="AH4" i="4"/>
  <c r="AB4" i="4" a="1"/>
  <c r="AB4" i="4" s="1"/>
  <c r="B10" i="14" a="1"/>
  <c r="D10" i="14" a="1"/>
  <c r="A5" i="14" a="1"/>
  <c r="B5" i="14" a="1"/>
  <c r="C10" i="14" a="1"/>
  <c r="C8" i="14" a="1"/>
  <c r="D5" i="14" a="1"/>
  <c r="C5" i="14" a="1"/>
  <c r="D8" i="14" a="1"/>
  <c r="B8" i="14" a="1"/>
  <c r="A8" i="14" a="1"/>
  <c r="A10" i="14" a="1"/>
  <c r="AN29" i="3" l="1" a="1"/>
  <c r="AN29" i="3" s="1"/>
  <c r="AE4" i="20" a="1"/>
  <c r="AE4" i="20" s="1"/>
  <c r="AE5" i="20" s="1" a="1"/>
  <c r="AE5" i="20" s="1"/>
  <c r="AE6" i="20" s="1" a="1"/>
  <c r="AE6" i="20" s="1"/>
  <c r="AE7" i="20" s="1" a="1"/>
  <c r="AE7" i="20" s="1"/>
  <c r="AE8" i="20" s="1" a="1"/>
  <c r="AE8" i="20" s="1"/>
  <c r="AE9" i="20" s="1" a="1"/>
  <c r="AE9" i="20" s="1"/>
  <c r="AE10" i="20" s="1" a="1"/>
  <c r="AE10" i="20" s="1"/>
  <c r="AE11" i="20" s="1" a="1"/>
  <c r="AE11" i="20" s="1"/>
  <c r="AE12" i="20" s="1" a="1"/>
  <c r="AE12" i="20" s="1"/>
  <c r="AE13" i="20" s="1" a="1"/>
  <c r="AE13" i="20" s="1"/>
  <c r="AE14" i="20" s="1" a="1"/>
  <c r="AE14" i="20" s="1"/>
  <c r="AE15" i="20" s="1" a="1"/>
  <c r="AE15" i="20" s="1"/>
  <c r="AE16" i="20" s="1" a="1"/>
  <c r="AE16" i="20" s="1"/>
  <c r="AE17" i="20" s="1" a="1"/>
  <c r="AE17" i="20" s="1"/>
  <c r="AE18" i="20" s="1" a="1"/>
  <c r="AE18" i="20" s="1"/>
  <c r="AE19" i="20" s="1" a="1"/>
  <c r="AE19" i="20" s="1"/>
  <c r="AE20" i="20" s="1" a="1"/>
  <c r="AE20" i="20" s="1"/>
  <c r="AE21" i="20" s="1" a="1"/>
  <c r="AE21" i="20" s="1"/>
  <c r="AE22" i="20" s="1" a="1"/>
  <c r="AE22" i="20" s="1"/>
  <c r="AE23" i="20" s="1" a="1"/>
  <c r="AE23" i="20" s="1"/>
  <c r="AE24" i="20" s="1" a="1"/>
  <c r="AE24" i="20" s="1"/>
  <c r="AE25" i="20" s="1" a="1"/>
  <c r="AE25" i="20" s="1"/>
  <c r="AE26" i="20" s="1" a="1"/>
  <c r="AE26" i="20" s="1"/>
  <c r="AE27" i="20" s="1" a="1"/>
  <c r="AE27" i="20" s="1"/>
  <c r="AE28" i="20" s="1" a="1"/>
  <c r="AE28" i="20" s="1"/>
  <c r="AE29" i="20" s="1" a="1"/>
  <c r="AE29" i="20" s="1"/>
  <c r="AE30" i="20" s="1" a="1"/>
  <c r="AE30" i="20" s="1"/>
  <c r="AE31" i="20" s="1" a="1"/>
  <c r="AE31" i="20" s="1"/>
  <c r="AE32" i="20" s="1" a="1"/>
  <c r="AE32" i="20" s="1"/>
  <c r="AE33" i="20" s="1" a="1"/>
  <c r="AE33" i="20" s="1"/>
  <c r="AE34" i="20" s="1" a="1"/>
  <c r="AE34" i="20" s="1"/>
  <c r="AE35" i="20" s="1" a="1"/>
  <c r="AE35" i="20" s="1"/>
  <c r="AE36" i="20" s="1" a="1"/>
  <c r="AE36" i="20" s="1"/>
  <c r="AE37" i="20" s="1" a="1"/>
  <c r="AE37" i="20" s="1"/>
  <c r="AE38" i="20" s="1" a="1"/>
  <c r="AE38" i="20" s="1"/>
  <c r="AE39" i="20" s="1" a="1"/>
  <c r="AE39" i="20" s="1"/>
  <c r="AE40" i="20" s="1" a="1"/>
  <c r="AE40" i="20" s="1"/>
  <c r="AE41" i="20" s="1" a="1"/>
  <c r="AE41" i="20" s="1"/>
  <c r="AE42" i="20" s="1" a="1"/>
  <c r="AE42" i="20" s="1"/>
  <c r="AE43" i="20" s="1" a="1"/>
  <c r="AE43" i="20" s="1"/>
  <c r="AE44" i="20" s="1" a="1"/>
  <c r="AE44" i="20" s="1"/>
  <c r="AE45" i="20" s="1" a="1"/>
  <c r="AE45" i="20" s="1"/>
  <c r="AE46" i="20" s="1" a="1"/>
  <c r="AE46" i="20" s="1"/>
  <c r="AE47" i="20" s="1" a="1"/>
  <c r="AE47" i="20" s="1"/>
  <c r="AE48" i="20" s="1" a="1"/>
  <c r="AE48" i="20" s="1"/>
  <c r="AE49" i="20" s="1" a="1"/>
  <c r="AE49" i="20" s="1"/>
  <c r="AE50" i="20" s="1" a="1"/>
  <c r="AE50" i="20" s="1"/>
  <c r="AE51" i="20" s="1" a="1"/>
  <c r="AE51" i="20" s="1"/>
  <c r="AE52" i="20" s="1" a="1"/>
  <c r="AE52" i="20" s="1"/>
  <c r="AE53" i="20" s="1" a="1"/>
  <c r="AE53" i="20" s="1"/>
  <c r="AE54" i="20" s="1" a="1"/>
  <c r="AE54" i="20" s="1"/>
  <c r="AE55" i="20" s="1" a="1"/>
  <c r="AE55" i="20" s="1"/>
  <c r="AE56" i="20" s="1" a="1"/>
  <c r="AE56" i="20" s="1"/>
  <c r="AE57" i="20" s="1" a="1"/>
  <c r="AE57" i="20" s="1"/>
  <c r="AE58" i="20" s="1" a="1"/>
  <c r="AE58" i="20" s="1"/>
  <c r="AE59" i="20" s="1" a="1"/>
  <c r="AE59" i="20" s="1"/>
  <c r="AE60" i="20" s="1" a="1"/>
  <c r="AE60" i="20" s="1"/>
  <c r="AE61" i="20" s="1" a="1"/>
  <c r="AE61" i="20" s="1"/>
  <c r="E114" i="34" a="1"/>
  <c r="E114" i="34" s="1"/>
  <c r="O115" i="34"/>
  <c r="N101" i="34"/>
  <c r="H102" i="34" a="1"/>
  <c r="H102" i="34" s="1"/>
  <c r="AP33" i="20" a="1"/>
  <c r="AP33" i="20" s="1"/>
  <c r="L19" i="25"/>
  <c r="M19" i="25" s="1" a="1"/>
  <c r="M19" i="25" s="1"/>
  <c r="U19" i="25" s="1" a="1"/>
  <c r="U19" i="25" s="1"/>
  <c r="S19" i="25" a="1"/>
  <c r="S19" i="25" s="1"/>
  <c r="S20" i="25" s="1" a="1"/>
  <c r="S20" i="25" s="1"/>
  <c r="S21" i="25" s="1" a="1"/>
  <c r="S21" i="25" s="1"/>
  <c r="U21" i="25" a="1"/>
  <c r="U21" i="25" s="1"/>
  <c r="V21" i="25"/>
  <c r="U20" i="25" a="1"/>
  <c r="U20" i="25" s="1"/>
  <c r="V20" i="25"/>
  <c r="A70" i="28" a="1"/>
  <c r="A70" i="28" s="1"/>
  <c r="T19" i="25"/>
  <c r="AB5" i="4" a="1"/>
  <c r="AB5" i="4" s="1"/>
  <c r="AC5" i="4" s="1"/>
  <c r="AC4" i="4"/>
  <c r="T21" i="25"/>
  <c r="T20" i="25"/>
  <c r="G15" i="14"/>
  <c r="I15" i="14"/>
  <c r="H15" i="14"/>
  <c r="F15" i="14"/>
  <c r="G14" i="14"/>
  <c r="I14" i="14"/>
  <c r="H14" i="14"/>
  <c r="F14" i="14"/>
  <c r="J13" i="14"/>
  <c r="G13" i="14"/>
  <c r="I13" i="14"/>
  <c r="H13" i="14"/>
  <c r="F13" i="14"/>
  <c r="I12" i="14"/>
  <c r="G12" i="14"/>
  <c r="H12" i="14"/>
  <c r="F12" i="14"/>
  <c r="H11" i="14"/>
  <c r="F11" i="14"/>
  <c r="G11" i="14"/>
  <c r="I11" i="14"/>
  <c r="H6" i="14"/>
  <c r="I6" i="14"/>
  <c r="G6" i="14"/>
  <c r="F6" i="14"/>
  <c r="Z4" i="9" a="1"/>
  <c r="Z4" i="9" s="1"/>
  <c r="D10" i="14"/>
  <c r="C10" i="14"/>
  <c r="B10" i="14"/>
  <c r="A10" i="14"/>
  <c r="D20" i="14"/>
  <c r="J15" i="14"/>
  <c r="J14" i="14"/>
  <c r="D8" i="14"/>
  <c r="C8" i="14"/>
  <c r="B8" i="14"/>
  <c r="L3" i="14"/>
  <c r="D5" i="14"/>
  <c r="C5" i="14"/>
  <c r="B5" i="14"/>
  <c r="A5" i="14"/>
  <c r="L5" i="14" s="1"/>
  <c r="A8" i="14"/>
  <c r="L8" i="14" s="1"/>
  <c r="J11" i="14"/>
  <c r="AN30" i="3" l="1" a="1"/>
  <c r="AN30" i="3" s="1"/>
  <c r="AE62" i="20" a="1"/>
  <c r="AE62" i="20" s="1"/>
  <c r="AE63" i="20" s="1" a="1"/>
  <c r="AE63" i="20" s="1"/>
  <c r="AE64" i="20" s="1" a="1"/>
  <c r="AE64" i="20" s="1"/>
  <c r="AE65" i="20" s="1" a="1"/>
  <c r="AE65" i="20" s="1"/>
  <c r="AE66" i="20" s="1" a="1"/>
  <c r="AE66" i="20" s="1"/>
  <c r="AE67" i="20" s="1" a="1"/>
  <c r="AE67" i="20" s="1"/>
  <c r="N102" i="34"/>
  <c r="H103" i="34" a="1"/>
  <c r="H103" i="34" s="1"/>
  <c r="E115" i="34" a="1"/>
  <c r="E115" i="34" s="1"/>
  <c r="AP34" i="20" a="1"/>
  <c r="AP34" i="20" s="1"/>
  <c r="X43" i="20" a="1"/>
  <c r="X43" i="20" s="1"/>
  <c r="X44" i="20" s="1" a="1"/>
  <c r="X44" i="20" s="1"/>
  <c r="X45" i="20" s="1" a="1"/>
  <c r="X45" i="20" s="1"/>
  <c r="X46" i="20" s="1" a="1"/>
  <c r="X46" i="20" s="1"/>
  <c r="X47" i="20" s="1" a="1"/>
  <c r="X47" i="20" s="1"/>
  <c r="X48" i="20" s="1" a="1"/>
  <c r="X48" i="20" s="1"/>
  <c r="X49" i="20" s="1" a="1"/>
  <c r="X49" i="20" s="1"/>
  <c r="X50" i="20" s="1" a="1"/>
  <c r="X50" i="20" s="1"/>
  <c r="X51" i="20" s="1" a="1"/>
  <c r="X51" i="20" s="1"/>
  <c r="X52" i="20" s="1" a="1"/>
  <c r="X52" i="20" s="1"/>
  <c r="X53" i="20" s="1" a="1"/>
  <c r="X53" i="20" s="1"/>
  <c r="X54" i="20" s="1" a="1"/>
  <c r="X54" i="20" s="1"/>
  <c r="X55" i="20" s="1" a="1"/>
  <c r="X55" i="20" s="1"/>
  <c r="X56" i="20" s="1" a="1"/>
  <c r="X56" i="20" s="1"/>
  <c r="X57" i="20" s="1" a="1"/>
  <c r="X57" i="20" s="1"/>
  <c r="X58" i="20" s="1" a="1"/>
  <c r="X58" i="20" s="1"/>
  <c r="X59" i="20" s="1" a="1"/>
  <c r="X59" i="20" s="1"/>
  <c r="X60" i="20" s="1" a="1"/>
  <c r="X60" i="20" s="1"/>
  <c r="X61" i="20" s="1" a="1"/>
  <c r="X61" i="20" s="1"/>
  <c r="V19" i="25"/>
  <c r="A71" i="28" a="1"/>
  <c r="A71" i="28" s="1"/>
  <c r="G11" i="13"/>
  <c r="AB6" i="4" a="1"/>
  <c r="AB6" i="4" s="1"/>
  <c r="AC6" i="4" s="1"/>
  <c r="Z5" i="9" a="1"/>
  <c r="Z5" i="9" s="1"/>
  <c r="E10" i="14"/>
  <c r="L10" i="14"/>
  <c r="E3" i="14"/>
  <c r="E8" i="14"/>
  <c r="E5" i="14"/>
  <c r="AN31" i="3" l="1" a="1"/>
  <c r="AN31" i="3" s="1"/>
  <c r="X62" i="20" a="1"/>
  <c r="X62" i="20" s="1"/>
  <c r="X63" i="20" s="1" a="1"/>
  <c r="X63" i="20" s="1"/>
  <c r="X64" i="20" s="1" a="1"/>
  <c r="X64" i="20" s="1"/>
  <c r="X65" i="20" s="1" a="1"/>
  <c r="X65" i="20" s="1"/>
  <c r="X66" i="20" s="1" a="1"/>
  <c r="X66" i="20" s="1"/>
  <c r="X67" i="20" s="1" a="1"/>
  <c r="X67" i="20" s="1"/>
  <c r="N103" i="34"/>
  <c r="H104" i="34" a="1"/>
  <c r="H104" i="34" s="1"/>
  <c r="AP35" i="20" a="1"/>
  <c r="AP35" i="20" s="1"/>
  <c r="G9" i="13"/>
  <c r="D9" i="13" s="1" a="1"/>
  <c r="D9" i="13" s="1"/>
  <c r="A72" i="28" a="1"/>
  <c r="A72" i="28" s="1"/>
  <c r="G3" i="13"/>
  <c r="C3" i="13" s="1" a="1"/>
  <c r="C3" i="13" s="1"/>
  <c r="G6" i="13"/>
  <c r="G7" i="13"/>
  <c r="G5" i="13"/>
  <c r="G4" i="13"/>
  <c r="G8" i="13"/>
  <c r="G12" i="13"/>
  <c r="A12" i="13" s="1" a="1"/>
  <c r="A12" i="13" s="1"/>
  <c r="G15" i="13"/>
  <c r="D15" i="13" s="1" a="1"/>
  <c r="D15" i="13" s="1"/>
  <c r="G10" i="13"/>
  <c r="G13" i="13"/>
  <c r="D13" i="13" s="1" a="1"/>
  <c r="D13" i="13" s="1"/>
  <c r="G20" i="13"/>
  <c r="D20" i="13" s="1" a="1"/>
  <c r="D20" i="13" s="1"/>
  <c r="G19" i="13"/>
  <c r="D19" i="13" s="1" a="1"/>
  <c r="D19" i="13" s="1"/>
  <c r="G16" i="13"/>
  <c r="D16" i="13" s="1" a="1"/>
  <c r="D16" i="13" s="1"/>
  <c r="G14" i="13"/>
  <c r="C14" i="13" s="1" a="1"/>
  <c r="C14" i="13" s="1"/>
  <c r="G17" i="13"/>
  <c r="B17" i="13" s="1" a="1"/>
  <c r="B17" i="13" s="1"/>
  <c r="G18" i="13"/>
  <c r="D18" i="13" s="1" a="1"/>
  <c r="D18" i="13" s="1"/>
  <c r="AB7" i="4" a="1"/>
  <c r="AB7" i="4" s="1"/>
  <c r="D11" i="13" a="1"/>
  <c r="D11" i="13" s="1"/>
  <c r="C11" i="13" a="1"/>
  <c r="C11" i="13" s="1"/>
  <c r="B11" i="13" a="1"/>
  <c r="B11" i="13" s="1"/>
  <c r="A11" i="13" a="1"/>
  <c r="A11" i="13" s="1"/>
  <c r="H5" i="14"/>
  <c r="I5" i="14"/>
  <c r="H8" i="14"/>
  <c r="I8" i="14"/>
  <c r="H10" i="14"/>
  <c r="I10" i="14"/>
  <c r="H3" i="14"/>
  <c r="I3" i="14"/>
  <c r="G5" i="14"/>
  <c r="F5" i="14"/>
  <c r="G8" i="14"/>
  <c r="F8" i="14"/>
  <c r="G3" i="14"/>
  <c r="F3" i="14"/>
  <c r="G10" i="14"/>
  <c r="F10" i="14"/>
  <c r="Z6" i="9" a="1"/>
  <c r="Z6" i="9" s="1"/>
  <c r="J3" i="14"/>
  <c r="J8" i="14"/>
  <c r="AN32" i="3" l="1" a="1"/>
  <c r="AN32" i="3" s="1"/>
  <c r="N104" i="34"/>
  <c r="H105" i="34" a="1"/>
  <c r="H105" i="34" s="1"/>
  <c r="AP36" i="20" a="1"/>
  <c r="AP36" i="20" s="1"/>
  <c r="K3" i="14" a="1"/>
  <c r="K3" i="14" s="1"/>
  <c r="A9" i="13" a="1"/>
  <c r="A9" i="13" s="1"/>
  <c r="C9" i="13" a="1"/>
  <c r="C9" i="13" s="1"/>
  <c r="B9" i="13" a="1"/>
  <c r="B9" i="13" s="1"/>
  <c r="A75" i="28" a="1"/>
  <c r="A75" i="28" s="1"/>
  <c r="A3" i="13" a="1"/>
  <c r="A3" i="13" s="1"/>
  <c r="F3" i="13" s="1" a="1"/>
  <c r="F3" i="13" s="1"/>
  <c r="B3" i="13" a="1"/>
  <c r="B3" i="13" s="1"/>
  <c r="A8" i="13" a="1"/>
  <c r="A8" i="13" s="1"/>
  <c r="C8" i="13" a="1"/>
  <c r="C8" i="13" s="1"/>
  <c r="B8" i="13" a="1"/>
  <c r="B8" i="13" s="1"/>
  <c r="B4" i="13" a="1"/>
  <c r="B4" i="13" s="1"/>
  <c r="A4" i="13" a="1"/>
  <c r="A4" i="13" s="1"/>
  <c r="C4" i="13" a="1"/>
  <c r="C4" i="13" s="1"/>
  <c r="A5" i="13" a="1"/>
  <c r="A5" i="13" s="1"/>
  <c r="B5" i="13" a="1"/>
  <c r="B5" i="13" s="1"/>
  <c r="C5" i="13" a="1"/>
  <c r="C5" i="13" s="1"/>
  <c r="A7" i="13" a="1"/>
  <c r="A7" i="13" s="1"/>
  <c r="B7" i="13" a="1"/>
  <c r="B7" i="13" s="1"/>
  <c r="C7" i="13" a="1"/>
  <c r="C7" i="13" s="1"/>
  <c r="B6" i="13" a="1"/>
  <c r="B6" i="13" s="1"/>
  <c r="A6" i="13" a="1"/>
  <c r="A6" i="13" s="1"/>
  <c r="C6" i="13" a="1"/>
  <c r="C6" i="13" s="1"/>
  <c r="B13" i="13" a="1"/>
  <c r="B13" i="13" s="1"/>
  <c r="C13" i="13" a="1"/>
  <c r="C13" i="13" s="1"/>
  <c r="A13" i="13" a="1"/>
  <c r="A13" i="13" s="1"/>
  <c r="C15" i="13" a="1"/>
  <c r="C15" i="13" s="1"/>
  <c r="C10" i="13" a="1"/>
  <c r="C10" i="13" s="1"/>
  <c r="A10" i="13" a="1"/>
  <c r="A10" i="13" s="1"/>
  <c r="B20" i="13" a="1"/>
  <c r="B20" i="13" s="1"/>
  <c r="C20" i="13" a="1"/>
  <c r="C20" i="13" s="1"/>
  <c r="B10" i="13" a="1"/>
  <c r="B10" i="13" s="1"/>
  <c r="B15" i="13" a="1"/>
  <c r="B15" i="13" s="1"/>
  <c r="A14" i="13" a="1"/>
  <c r="A14" i="13" s="1"/>
  <c r="A15" i="13" a="1"/>
  <c r="A15" i="13" s="1"/>
  <c r="C16" i="13" a="1"/>
  <c r="C16" i="13" s="1"/>
  <c r="C12" i="13" a="1"/>
  <c r="C12" i="13" s="1"/>
  <c r="D12" i="13" a="1"/>
  <c r="D12" i="13" s="1"/>
  <c r="B12" i="13" a="1"/>
  <c r="B12" i="13" s="1"/>
  <c r="A20" i="13" a="1"/>
  <c r="A20" i="13" s="1"/>
  <c r="D14" i="13" a="1"/>
  <c r="D14" i="13" s="1"/>
  <c r="C17" i="13" a="1"/>
  <c r="C17" i="13" s="1"/>
  <c r="D17" i="13" a="1"/>
  <c r="D17" i="13" s="1"/>
  <c r="A16" i="13" a="1"/>
  <c r="A16" i="13" s="1"/>
  <c r="B16" i="13" a="1"/>
  <c r="B16" i="13" s="1"/>
  <c r="C19" i="13" a="1"/>
  <c r="C19" i="13" s="1"/>
  <c r="A19" i="13" a="1"/>
  <c r="A19" i="13" s="1"/>
  <c r="B19" i="13" a="1"/>
  <c r="B19" i="13" s="1"/>
  <c r="B14" i="13" a="1"/>
  <c r="B14" i="13" s="1"/>
  <c r="A17" i="13" a="1"/>
  <c r="A17" i="13" s="1"/>
  <c r="B18" i="13" a="1"/>
  <c r="B18" i="13" s="1"/>
  <c r="A18" i="13" a="1"/>
  <c r="A18" i="13" s="1"/>
  <c r="C18" i="13" a="1"/>
  <c r="C18" i="13" s="1"/>
  <c r="AB8" i="4" a="1"/>
  <c r="AB8" i="4" s="1"/>
  <c r="AC8" i="4" s="1"/>
  <c r="AC7" i="4"/>
  <c r="Z7" i="9" a="1"/>
  <c r="Z7" i="9" s="1"/>
  <c r="AN33" i="3" l="1" a="1"/>
  <c r="AN33" i="3" s="1"/>
  <c r="H106" i="34" a="1"/>
  <c r="H106" i="34" s="1"/>
  <c r="N105" i="34"/>
  <c r="AP37" i="20" a="1"/>
  <c r="AP37" i="20" s="1"/>
  <c r="F4" i="13" a="1"/>
  <c r="F4" i="13" s="1"/>
  <c r="F5" i="13" s="1" a="1"/>
  <c r="F5" i="13" s="1"/>
  <c r="F6" i="13" s="1" a="1"/>
  <c r="F6" i="13" s="1"/>
  <c r="F7" i="13" s="1" a="1"/>
  <c r="F7" i="13" s="1"/>
  <c r="F8" i="13" s="1" a="1"/>
  <c r="F8" i="13" s="1"/>
  <c r="F9" i="13" s="1" a="1"/>
  <c r="F9" i="13" s="1"/>
  <c r="F10" i="13" s="1" a="1"/>
  <c r="F10" i="13" s="1"/>
  <c r="F11" i="13" s="1" a="1"/>
  <c r="F11" i="13" s="1"/>
  <c r="F12" i="13" s="1" a="1"/>
  <c r="F12" i="13" s="1"/>
  <c r="F13" i="13" s="1" a="1"/>
  <c r="F13" i="13" s="1"/>
  <c r="F14" i="13" s="1" a="1"/>
  <c r="F14" i="13" s="1"/>
  <c r="F15" i="13" s="1" a="1"/>
  <c r="F15" i="13" s="1"/>
  <c r="F16" i="13" s="1" a="1"/>
  <c r="F16" i="13" s="1"/>
  <c r="F17" i="13" s="1" a="1"/>
  <c r="F17" i="13" s="1"/>
  <c r="F18" i="13" s="1" a="1"/>
  <c r="F18" i="13" s="1"/>
  <c r="F19" i="13" s="1" a="1"/>
  <c r="F19" i="13" s="1"/>
  <c r="F20" i="13" s="1" a="1"/>
  <c r="F20" i="13" s="1"/>
  <c r="A74" i="28" a="1"/>
  <c r="A74" i="28" s="1"/>
  <c r="A73" i="28" a="1"/>
  <c r="A73" i="28" s="1"/>
  <c r="AB9" i="4" a="1"/>
  <c r="AB9" i="4" s="1"/>
  <c r="Z8" i="9" a="1"/>
  <c r="Z8" i="9" s="1"/>
  <c r="AN34" i="3" l="1" a="1"/>
  <c r="AN34" i="3" s="1"/>
  <c r="H107" i="34" a="1"/>
  <c r="H107" i="34" s="1"/>
  <c r="N106" i="34"/>
  <c r="O116" i="34"/>
  <c r="AP38" i="20" a="1"/>
  <c r="AP38" i="20" s="1"/>
  <c r="AB10" i="4" a="1"/>
  <c r="AB10" i="4" s="1"/>
  <c r="AC9" i="4"/>
  <c r="Z9" i="9" a="1"/>
  <c r="Z9" i="9" s="1"/>
  <c r="AN35" i="3" l="1" a="1"/>
  <c r="AN35" i="3" s="1"/>
  <c r="E116" i="34" a="1"/>
  <c r="E116" i="34" s="1"/>
  <c r="O117" i="34"/>
  <c r="N107" i="34"/>
  <c r="H108" i="34" a="1"/>
  <c r="H108" i="34" s="1"/>
  <c r="AP39" i="20" a="1"/>
  <c r="AP39" i="20" s="1"/>
  <c r="AB11" i="4" a="1"/>
  <c r="AB11" i="4" s="1"/>
  <c r="AC10" i="4"/>
  <c r="Z10" i="9" a="1"/>
  <c r="Z10" i="9" s="1"/>
  <c r="AN36" i="3" l="1" a="1"/>
  <c r="AN36" i="3" s="1"/>
  <c r="N108" i="34"/>
  <c r="H109" i="34" a="1"/>
  <c r="H109" i="34" s="1"/>
  <c r="E117" i="34" a="1"/>
  <c r="E117" i="34" s="1"/>
  <c r="O118" i="34"/>
  <c r="AP40" i="20" a="1"/>
  <c r="AP40" i="20" s="1"/>
  <c r="A76" i="28" a="1"/>
  <c r="A76" i="28" s="1"/>
  <c r="AB12" i="4" a="1"/>
  <c r="AB12" i="4" s="1"/>
  <c r="AC11" i="4"/>
  <c r="Z11" i="9" a="1"/>
  <c r="Z11" i="9" s="1"/>
  <c r="AN37" i="3" l="1" a="1"/>
  <c r="AN37" i="3" s="1"/>
  <c r="E118" i="34" a="1"/>
  <c r="E118" i="34" s="1"/>
  <c r="O119" i="34"/>
  <c r="H110" i="34" a="1"/>
  <c r="H110" i="34" s="1"/>
  <c r="N109" i="34"/>
  <c r="AP41" i="20" a="1"/>
  <c r="AP41" i="20" s="1"/>
  <c r="A77" i="28" a="1"/>
  <c r="A77" i="28" s="1"/>
  <c r="AB13" i="4" a="1"/>
  <c r="AB13" i="4" s="1"/>
  <c r="AC13" i="4" s="1"/>
  <c r="AC12" i="4"/>
  <c r="Z12" i="9" a="1"/>
  <c r="Z12" i="9" s="1"/>
  <c r="G3" i="9" a="1"/>
  <c r="G3" i="9" s="1"/>
  <c r="G4" i="9" a="1"/>
  <c r="G4" i="9" s="1"/>
  <c r="G14" i="9" a="1"/>
  <c r="G14" i="9" s="1"/>
  <c r="G15" i="9" a="1"/>
  <c r="G15" i="9" s="1"/>
  <c r="G17" i="9" a="1"/>
  <c r="G17" i="9" s="1"/>
  <c r="AN38" i="3" l="1" a="1"/>
  <c r="AN38" i="3" s="1"/>
  <c r="N110" i="34"/>
  <c r="H111" i="34" a="1"/>
  <c r="H111" i="34" s="1"/>
  <c r="E119" i="34" a="1"/>
  <c r="E119" i="34" s="1"/>
  <c r="O120" i="34"/>
  <c r="AP42" i="20" a="1"/>
  <c r="AP42" i="20" s="1"/>
  <c r="A78" i="28" a="1"/>
  <c r="A78" i="28" s="1"/>
  <c r="AB14" i="4" a="1"/>
  <c r="AB14" i="4" s="1"/>
  <c r="AC14" i="4" s="1"/>
  <c r="Z13" i="9" a="1"/>
  <c r="Z13" i="9" s="1"/>
  <c r="X4" i="10" a="1"/>
  <c r="X4" i="10" s="1"/>
  <c r="X5" i="10" s="1" a="1"/>
  <c r="X5" i="10" s="1"/>
  <c r="X6" i="10" s="1" a="1"/>
  <c r="X6" i="10" s="1"/>
  <c r="X7" i="10" s="1" a="1"/>
  <c r="X7" i="10" s="1"/>
  <c r="X8" i="10" s="1" a="1"/>
  <c r="X8" i="10" s="1"/>
  <c r="X9" i="10" s="1" a="1"/>
  <c r="X9" i="10" s="1"/>
  <c r="X10" i="10" s="1" a="1"/>
  <c r="X10" i="10" s="1"/>
  <c r="X11" i="10" s="1" a="1"/>
  <c r="X11" i="10" s="1"/>
  <c r="X12" i="10" s="1" a="1"/>
  <c r="X12" i="10" s="1"/>
  <c r="X13" i="10" s="1" a="1"/>
  <c r="X13" i="10" s="1"/>
  <c r="J3" i="12"/>
  <c r="J6" i="14"/>
  <c r="AN39" i="3" l="1" a="1"/>
  <c r="AN39" i="3" s="1"/>
  <c r="O121" i="34"/>
  <c r="E120" i="34" a="1"/>
  <c r="E120" i="34" s="1"/>
  <c r="N111" i="34"/>
  <c r="H112" i="34" a="1"/>
  <c r="H112" i="34" s="1"/>
  <c r="A79" i="28" a="1"/>
  <c r="A79" i="28" s="1"/>
  <c r="V3" i="9"/>
  <c r="W3" i="9" s="1" a="1"/>
  <c r="W3" i="9" s="1"/>
  <c r="AB15" i="4" a="1"/>
  <c r="AB15" i="4" s="1"/>
  <c r="AC15" i="4" s="1"/>
  <c r="Z14" i="9" a="1"/>
  <c r="Z14" i="9" s="1"/>
  <c r="V11" i="9"/>
  <c r="V10" i="9"/>
  <c r="V24" i="9"/>
  <c r="V23" i="9"/>
  <c r="V14" i="9"/>
  <c r="V19" i="9"/>
  <c r="V4" i="9"/>
  <c r="X4" i="9" s="1"/>
  <c r="V17" i="9"/>
  <c r="V15" i="9"/>
  <c r="X14" i="10" a="1"/>
  <c r="X14" i="10" s="1"/>
  <c r="X15" i="10" s="1" a="1"/>
  <c r="X15" i="10" s="1"/>
  <c r="X16" i="10" s="1" a="1"/>
  <c r="X16" i="10" s="1"/>
  <c r="X17" i="10" s="1" a="1"/>
  <c r="X17" i="10" s="1"/>
  <c r="X18" i="10" s="1" a="1"/>
  <c r="X18" i="10" s="1"/>
  <c r="X19" i="10" s="1" a="1"/>
  <c r="X19" i="10" s="1"/>
  <c r="X20" i="10" s="1" a="1"/>
  <c r="X20" i="10" s="1"/>
  <c r="X21" i="10" s="1" a="1"/>
  <c r="X21" i="10" s="1"/>
  <c r="X22" i="10" s="1" a="1"/>
  <c r="X22" i="10" s="1"/>
  <c r="X23" i="10" s="1" a="1"/>
  <c r="X23" i="10" s="1"/>
  <c r="X24" i="10" s="1" a="1"/>
  <c r="X24" i="10" s="1"/>
  <c r="X25" i="10" s="1" a="1"/>
  <c r="X25" i="10" s="1"/>
  <c r="X26" i="10" s="1" a="1"/>
  <c r="X26" i="10" s="1"/>
  <c r="X27" i="10" s="1" a="1"/>
  <c r="X27" i="10" s="1"/>
  <c r="X28" i="10" s="1" a="1"/>
  <c r="X28" i="10" s="1"/>
  <c r="X29" i="10" s="1" a="1"/>
  <c r="X29" i="10" s="1"/>
  <c r="X30" i="10" s="1" a="1"/>
  <c r="X30" i="10" s="1"/>
  <c r="X31" i="10" s="1" a="1"/>
  <c r="X31" i="10" s="1"/>
  <c r="X32" i="10" s="1" a="1"/>
  <c r="X32" i="10" s="1"/>
  <c r="X33" i="10" s="1" a="1"/>
  <c r="X33" i="10" s="1"/>
  <c r="X34" i="10" s="1" a="1"/>
  <c r="X34" i="10" s="1"/>
  <c r="X35" i="10" s="1" a="1"/>
  <c r="X35" i="10" s="1"/>
  <c r="X36" i="10" s="1" a="1"/>
  <c r="X36" i="10" s="1"/>
  <c r="X37" i="10" s="1" a="1"/>
  <c r="X37" i="10" s="1"/>
  <c r="X38" i="10" s="1" a="1"/>
  <c r="X38" i="10" s="1"/>
  <c r="X39" i="10" s="1" a="1"/>
  <c r="X39" i="10" s="1"/>
  <c r="X40" i="10" s="1" a="1"/>
  <c r="X40" i="10" s="1"/>
  <c r="X41" i="10" s="1" a="1"/>
  <c r="X41" i="10" s="1"/>
  <c r="X42" i="10" s="1" a="1"/>
  <c r="X42" i="10" s="1"/>
  <c r="X43" i="10" s="1" a="1"/>
  <c r="X43" i="10" s="1"/>
  <c r="X44" i="10" s="1" a="1"/>
  <c r="X44" i="10" s="1"/>
  <c r="AN40" i="3" l="1" a="1"/>
  <c r="AN40" i="3" s="1"/>
  <c r="N112" i="34"/>
  <c r="H113" i="34" a="1"/>
  <c r="H113" i="34" s="1"/>
  <c r="O122" i="34"/>
  <c r="E121" i="34" a="1"/>
  <c r="E121" i="34" s="1"/>
  <c r="AP43" i="20" a="1"/>
  <c r="AP43" i="20" s="1"/>
  <c r="W4" i="9" a="1"/>
  <c r="W4" i="9" s="1"/>
  <c r="X3" i="9"/>
  <c r="A80" i="28" a="1"/>
  <c r="A80" i="28" s="1"/>
  <c r="V6" i="9"/>
  <c r="V8" i="9"/>
  <c r="V27" i="9"/>
  <c r="V18" i="9"/>
  <c r="AD3" i="9" a="1"/>
  <c r="AD3" i="9" s="1"/>
  <c r="V16" i="9"/>
  <c r="AD16" i="9" s="1" a="1"/>
  <c r="AD16" i="9" s="1"/>
  <c r="AD11" i="9" a="1"/>
  <c r="AD11" i="9" s="1"/>
  <c r="X11" i="9"/>
  <c r="AD23" i="9" a="1"/>
  <c r="AD23" i="9" s="1"/>
  <c r="X23" i="9"/>
  <c r="AD19" i="9" a="1"/>
  <c r="AD19" i="9" s="1"/>
  <c r="X19" i="9"/>
  <c r="AD24" i="9" a="1"/>
  <c r="AD24" i="9" s="1"/>
  <c r="X24" i="9"/>
  <c r="AD15" i="9" a="1"/>
  <c r="AD15" i="9" s="1"/>
  <c r="X15" i="9"/>
  <c r="AD14" i="9" a="1"/>
  <c r="AD14" i="9" s="1"/>
  <c r="X14" i="9"/>
  <c r="AD10" i="9" a="1"/>
  <c r="AD10" i="9" s="1"/>
  <c r="X10" i="9"/>
  <c r="AD17" i="9" a="1"/>
  <c r="AD17" i="9" s="1"/>
  <c r="X17" i="9"/>
  <c r="AB16" i="4" a="1"/>
  <c r="AB16" i="4" s="1"/>
  <c r="AC16" i="4" s="1"/>
  <c r="AD4" i="9" a="1"/>
  <c r="AD4" i="9" s="1"/>
  <c r="V22" i="9"/>
  <c r="R4" i="21"/>
  <c r="R3" i="21"/>
  <c r="V7" i="9"/>
  <c r="Z15" i="9" a="1"/>
  <c r="Z15" i="9" s="1"/>
  <c r="V28" i="9"/>
  <c r="AN41" i="3" l="1" a="1"/>
  <c r="AN41" i="3" s="1"/>
  <c r="E122" i="34" a="1"/>
  <c r="E122" i="34" s="1"/>
  <c r="O123" i="34"/>
  <c r="H114" i="34" a="1"/>
  <c r="H114" i="34" s="1"/>
  <c r="N113" i="34"/>
  <c r="AP44" i="20" a="1"/>
  <c r="AP44" i="20" s="1"/>
  <c r="A81" i="28" a="1"/>
  <c r="A81" i="28" s="1"/>
  <c r="V13" i="9"/>
  <c r="V12" i="9"/>
  <c r="X12" i="9" s="1"/>
  <c r="V5" i="9"/>
  <c r="W5" i="9" s="1" a="1"/>
  <c r="W5" i="9" s="1"/>
  <c r="W6" i="9" s="1" a="1"/>
  <c r="W6" i="9" s="1"/>
  <c r="W7" i="9" s="1" a="1"/>
  <c r="W7" i="9" s="1"/>
  <c r="W8" i="9" s="1" a="1"/>
  <c r="W8" i="9" s="1"/>
  <c r="V9" i="9"/>
  <c r="AD9" i="9" s="1" a="1"/>
  <c r="AD9" i="9" s="1"/>
  <c r="X16" i="9"/>
  <c r="AD28" i="9" a="1"/>
  <c r="AD28" i="9" s="1"/>
  <c r="X28" i="9"/>
  <c r="AD22" i="9" a="1"/>
  <c r="AD22" i="9" s="1"/>
  <c r="X22" i="9"/>
  <c r="AD27" i="9" a="1"/>
  <c r="AD27" i="9" s="1"/>
  <c r="X27" i="9"/>
  <c r="AD6" i="9" a="1"/>
  <c r="AD6" i="9" s="1"/>
  <c r="X6" i="9"/>
  <c r="AD18" i="9" a="1"/>
  <c r="AD18" i="9" s="1"/>
  <c r="X18" i="9"/>
  <c r="AD7" i="9" a="1"/>
  <c r="AD7" i="9" s="1"/>
  <c r="X7" i="9"/>
  <c r="AD8" i="9" a="1"/>
  <c r="AD8" i="9" s="1"/>
  <c r="X8" i="9"/>
  <c r="AB17" i="4" a="1"/>
  <c r="AB17" i="4" s="1"/>
  <c r="AC17" i="4" s="1"/>
  <c r="V26" i="9"/>
  <c r="V31" i="9"/>
  <c r="V25" i="9"/>
  <c r="Z16" i="9" a="1"/>
  <c r="Z16" i="9" s="1"/>
  <c r="G11" i="9" a="1"/>
  <c r="G11" i="9" s="1"/>
  <c r="AN42" i="3" l="1" a="1"/>
  <c r="AN42" i="3" s="1"/>
  <c r="N114" i="34"/>
  <c r="H115" i="34" a="1"/>
  <c r="H115" i="34" s="1"/>
  <c r="E123" i="34" a="1"/>
  <c r="E123" i="34" s="1"/>
  <c r="O124" i="34"/>
  <c r="AP45" i="20" a="1"/>
  <c r="AP45" i="20" s="1"/>
  <c r="W9" i="9" a="1"/>
  <c r="W9" i="9" s="1"/>
  <c r="W10" i="9" s="1" a="1"/>
  <c r="W10" i="9" s="1"/>
  <c r="W11" i="9" s="1" a="1"/>
  <c r="W11" i="9" s="1"/>
  <c r="W12" i="9" s="1" a="1"/>
  <c r="W12" i="9" s="1"/>
  <c r="W13" i="9" s="1" a="1"/>
  <c r="W13" i="9" s="1"/>
  <c r="W14" i="9" s="1" a="1"/>
  <c r="W14" i="9" s="1"/>
  <c r="W15" i="9" s="1" a="1"/>
  <c r="W15" i="9" s="1"/>
  <c r="W16" i="9" s="1" a="1"/>
  <c r="W16" i="9" s="1"/>
  <c r="W17" i="9" s="1" a="1"/>
  <c r="W17" i="9" s="1"/>
  <c r="W18" i="9" s="1" a="1"/>
  <c r="W18" i="9" s="1"/>
  <c r="W19" i="9" s="1" a="1"/>
  <c r="W19" i="9" s="1"/>
  <c r="X5" i="9"/>
  <c r="A82" i="28" a="1"/>
  <c r="A82" i="28" s="1"/>
  <c r="AD5" i="9" a="1"/>
  <c r="AD5" i="9" s="1"/>
  <c r="X9" i="9"/>
  <c r="V21" i="9"/>
  <c r="AD13" i="9" a="1"/>
  <c r="AD13" i="9" s="1"/>
  <c r="X13" i="9"/>
  <c r="AD31" i="9" a="1"/>
  <c r="AD31" i="9" s="1"/>
  <c r="X31" i="9"/>
  <c r="AD25" i="9" a="1"/>
  <c r="AD25" i="9" s="1"/>
  <c r="X25" i="9"/>
  <c r="AD26" i="9" a="1"/>
  <c r="AD26" i="9" s="1"/>
  <c r="X26" i="9"/>
  <c r="AB18" i="4" a="1"/>
  <c r="AB18" i="4" s="1"/>
  <c r="AC18" i="4" s="1"/>
  <c r="AD12" i="9" a="1"/>
  <c r="AD12" i="9" s="1"/>
  <c r="G31" i="9" a="1"/>
  <c r="G31" i="9" s="1"/>
  <c r="R6" i="21"/>
  <c r="R5" i="21"/>
  <c r="Z17" i="9" a="1"/>
  <c r="Z17" i="9" s="1"/>
  <c r="G20" i="9" a="1"/>
  <c r="G20" i="9" s="1"/>
  <c r="G27" i="9" a="1"/>
  <c r="G27" i="9" s="1"/>
  <c r="G28" i="9" a="1"/>
  <c r="G28" i="9" s="1"/>
  <c r="G25" i="9" a="1"/>
  <c r="G25" i="9" s="1"/>
  <c r="G19" i="9" a="1"/>
  <c r="G19" i="9" s="1"/>
  <c r="G5" i="9" a="1"/>
  <c r="G5" i="9" s="1"/>
  <c r="G9" i="9" a="1"/>
  <c r="G9" i="9" s="1"/>
  <c r="G8" i="9" a="1"/>
  <c r="G8" i="9" s="1"/>
  <c r="G12" i="9" a="1"/>
  <c r="G12" i="9" s="1"/>
  <c r="G18" i="9" a="1"/>
  <c r="G18" i="9" s="1"/>
  <c r="D8" i="13" a="1"/>
  <c r="D8" i="13" s="1"/>
  <c r="AN43" i="3" l="1" a="1"/>
  <c r="AN43" i="3" s="1"/>
  <c r="E124" i="34" a="1"/>
  <c r="E124" i="34" s="1"/>
  <c r="O125" i="34"/>
  <c r="N115" i="34"/>
  <c r="AP46" i="20" a="1"/>
  <c r="AP46" i="20" s="1"/>
  <c r="A83" i="28" a="1"/>
  <c r="A83" i="28" s="1"/>
  <c r="V20" i="9"/>
  <c r="W20" i="9" s="1" a="1"/>
  <c r="W20" i="9" s="1"/>
  <c r="W21" i="9" s="1" a="1"/>
  <c r="W21" i="9" s="1"/>
  <c r="W22" i="9" s="1" a="1"/>
  <c r="W22" i="9" s="1"/>
  <c r="W23" i="9" s="1" a="1"/>
  <c r="W23" i="9" s="1"/>
  <c r="W24" i="9" s="1" a="1"/>
  <c r="W24" i="9" s="1"/>
  <c r="W25" i="9" s="1" a="1"/>
  <c r="W25" i="9" s="1"/>
  <c r="W26" i="9" s="1" a="1"/>
  <c r="W26" i="9" s="1"/>
  <c r="W27" i="9" s="1" a="1"/>
  <c r="W27" i="9" s="1"/>
  <c r="W28" i="9" s="1" a="1"/>
  <c r="W28" i="9" s="1"/>
  <c r="W29" i="9" s="1" a="1"/>
  <c r="W29" i="9" s="1"/>
  <c r="W30" i="9" s="1" a="1"/>
  <c r="W30" i="9" s="1"/>
  <c r="W31" i="9" s="1" a="1"/>
  <c r="W31" i="9" s="1"/>
  <c r="W32" i="9" s="1" a="1"/>
  <c r="W32" i="9" s="1"/>
  <c r="W33" i="9" s="1" a="1"/>
  <c r="W33" i="9" s="1"/>
  <c r="V34" i="9"/>
  <c r="X21" i="9"/>
  <c r="AD21" i="9" a="1"/>
  <c r="AD21" i="9" s="1"/>
  <c r="AB19" i="4" a="1"/>
  <c r="AB19" i="4" s="1"/>
  <c r="AC19" i="4" s="1"/>
  <c r="G7" i="9" a="1"/>
  <c r="G7" i="9" s="1"/>
  <c r="G32" i="9" a="1"/>
  <c r="G32" i="9" s="1"/>
  <c r="R7" i="21"/>
  <c r="G10" i="9" a="1"/>
  <c r="G10" i="9" s="1"/>
  <c r="G6" i="9" a="1"/>
  <c r="G6" i="9" s="1"/>
  <c r="G16" i="9" a="1"/>
  <c r="G16" i="9" s="1"/>
  <c r="G26" i="9" a="1"/>
  <c r="G26" i="9" s="1"/>
  <c r="Z18" i="9" a="1"/>
  <c r="Z18" i="9" s="1"/>
  <c r="G13" i="9" a="1"/>
  <c r="G13" i="9" s="1"/>
  <c r="D10" i="13" a="1"/>
  <c r="D10" i="13" s="1"/>
  <c r="D7" i="13" a="1"/>
  <c r="D7" i="13" s="1"/>
  <c r="J5" i="14"/>
  <c r="AN44" i="3" l="1" a="1"/>
  <c r="AN44" i="3" s="1"/>
  <c r="E125" i="34" a="1"/>
  <c r="E125" i="34" s="1"/>
  <c r="O126" i="34"/>
  <c r="W34" i="9" a="1"/>
  <c r="W34" i="9" s="1"/>
  <c r="W35" i="9" s="1" a="1"/>
  <c r="W35" i="9" s="1"/>
  <c r="W36" i="9" s="1" a="1"/>
  <c r="W36" i="9" s="1"/>
  <c r="W37" i="9" s="1" a="1"/>
  <c r="W37" i="9" s="1"/>
  <c r="W38" i="9" s="1" a="1"/>
  <c r="W38" i="9" s="1"/>
  <c r="W39" i="9" s="1" a="1"/>
  <c r="W39" i="9" s="1"/>
  <c r="W40" i="9" s="1" a="1"/>
  <c r="W40" i="9" s="1"/>
  <c r="W41" i="9" s="1" a="1"/>
  <c r="W41" i="9" s="1"/>
  <c r="W42" i="9" s="1" a="1"/>
  <c r="W42" i="9" s="1"/>
  <c r="W43" i="9" s="1" a="1"/>
  <c r="W43" i="9" s="1"/>
  <c r="AP47" i="20" a="1"/>
  <c r="AP47" i="20" s="1"/>
  <c r="A84" i="28" a="1"/>
  <c r="A84" i="28" s="1"/>
  <c r="AD34" i="9" a="1"/>
  <c r="AD34" i="9" s="1"/>
  <c r="X34" i="9"/>
  <c r="AD20" i="9" a="1"/>
  <c r="AD20" i="9" s="1"/>
  <c r="X20" i="9"/>
  <c r="AB20" i="4" a="1"/>
  <c r="AB20" i="4" s="1"/>
  <c r="AC20" i="4" s="1"/>
  <c r="Z19" i="9" a="1"/>
  <c r="Z19" i="9" s="1"/>
  <c r="AN45" i="3" l="1" a="1"/>
  <c r="AN45" i="3" s="1"/>
  <c r="AE43" i="9"/>
  <c r="E126" i="34" a="1"/>
  <c r="E126" i="34" s="1"/>
  <c r="O127" i="34"/>
  <c r="AP48" i="20" a="1"/>
  <c r="AP48" i="20" s="1"/>
  <c r="AE42" i="9"/>
  <c r="AE38" i="9"/>
  <c r="AE41" i="9"/>
  <c r="AE39" i="9"/>
  <c r="AE40" i="9"/>
  <c r="AE5" i="9"/>
  <c r="Y5" i="21" s="1" a="1"/>
  <c r="Y5" i="21" s="1"/>
  <c r="AE12" i="9"/>
  <c r="AE13" i="9"/>
  <c r="AE6" i="9"/>
  <c r="Y6" i="21" s="1" a="1"/>
  <c r="Y6" i="21" s="1"/>
  <c r="AE9" i="9"/>
  <c r="AE3" i="9"/>
  <c r="AE7" i="9"/>
  <c r="Y7" i="21" s="1" a="1"/>
  <c r="Y7" i="21" s="1"/>
  <c r="AK7" i="21" s="1"/>
  <c r="AE8" i="9"/>
  <c r="AE16" i="9"/>
  <c r="AE36" i="9"/>
  <c r="AE4" i="9"/>
  <c r="Y4" i="21" s="1" a="1"/>
  <c r="Y4" i="21" s="1"/>
  <c r="AE17" i="9"/>
  <c r="AE10" i="9"/>
  <c r="AE29" i="9"/>
  <c r="AE30" i="9"/>
  <c r="AE18" i="9"/>
  <c r="AE19" i="9"/>
  <c r="B13" i="19"/>
  <c r="AE31" i="9"/>
  <c r="AE20" i="9"/>
  <c r="AE26" i="9"/>
  <c r="AE27" i="9"/>
  <c r="AE22" i="9"/>
  <c r="AE15" i="9"/>
  <c r="AE37" i="9"/>
  <c r="AE11" i="9"/>
  <c r="AE34" i="9"/>
  <c r="AE33" i="9"/>
  <c r="AE14" i="9"/>
  <c r="AE35" i="9"/>
  <c r="AE21" i="9"/>
  <c r="AE32" i="9"/>
  <c r="AE25" i="9"/>
  <c r="AE23" i="9"/>
  <c r="AE24" i="9"/>
  <c r="AE28" i="9"/>
  <c r="AB21" i="4" a="1"/>
  <c r="AB21" i="4" s="1"/>
  <c r="AC21" i="4" s="1"/>
  <c r="D6" i="13" a="1"/>
  <c r="D6" i="13" s="1"/>
  <c r="D5" i="13" a="1"/>
  <c r="D5" i="13" s="1"/>
  <c r="R9" i="21"/>
  <c r="R8" i="21"/>
  <c r="Z20" i="9" a="1"/>
  <c r="Z20" i="9" s="1"/>
  <c r="AN46" i="3" l="1" a="1"/>
  <c r="AN46" i="3" s="1"/>
  <c r="E127" i="34" a="1"/>
  <c r="E127" i="34" s="1"/>
  <c r="O128" i="34"/>
  <c r="AP49" i="20" a="1"/>
  <c r="AP49" i="20" s="1"/>
  <c r="Y9" i="21" a="1"/>
  <c r="Y9" i="21" s="1"/>
  <c r="AK9" i="21" s="1"/>
  <c r="Y3" i="21" a="1"/>
  <c r="Y3" i="21" s="1"/>
  <c r="A85" i="28" a="1"/>
  <c r="A85" i="28" s="1"/>
  <c r="A86" i="28" a="1"/>
  <c r="A86" i="28" s="1"/>
  <c r="Y8" i="21" a="1"/>
  <c r="Y8" i="21" s="1"/>
  <c r="AK8" i="21" s="1"/>
  <c r="AB22" i="4" a="1"/>
  <c r="AB22" i="4" s="1"/>
  <c r="AC22" i="4" s="1"/>
  <c r="D4" i="13" a="1"/>
  <c r="D4" i="13" s="1"/>
  <c r="D3" i="13" a="1"/>
  <c r="D3" i="13" s="1"/>
  <c r="Z21" i="9" a="1"/>
  <c r="Z21" i="9" s="1"/>
  <c r="Q23" i="24" a="1"/>
  <c r="AN47" i="3" l="1" a="1"/>
  <c r="AN47" i="3" s="1"/>
  <c r="E128" i="34" a="1"/>
  <c r="E128" i="34" s="1"/>
  <c r="O129" i="34"/>
  <c r="H116" i="34" a="1"/>
  <c r="H116" i="34" s="1"/>
  <c r="AP50" i="20" a="1"/>
  <c r="AP50" i="20" s="1"/>
  <c r="Q23" i="24"/>
  <c r="E23" i="24" s="1" a="1"/>
  <c r="E23" i="24" s="1"/>
  <c r="A87" i="28" a="1"/>
  <c r="A87" i="28" s="1"/>
  <c r="A88" i="28" a="1"/>
  <c r="A88" i="28" s="1"/>
  <c r="AB23" i="4" a="1"/>
  <c r="AB23" i="4" s="1"/>
  <c r="AC23" i="4" s="1"/>
  <c r="R11" i="21"/>
  <c r="Y11" i="21" s="1" a="1"/>
  <c r="Y11" i="21" s="1"/>
  <c r="AK11" i="21" s="1"/>
  <c r="R10" i="21"/>
  <c r="Y10" i="21" s="1" a="1"/>
  <c r="Y10" i="21" s="1"/>
  <c r="AK10" i="21" s="1"/>
  <c r="Z22" i="9" a="1"/>
  <c r="Z22" i="9" s="1"/>
  <c r="C23" i="24" a="1"/>
  <c r="AN48" i="3" l="1" a="1"/>
  <c r="AN48" i="3" s="1"/>
  <c r="H117" i="34" a="1"/>
  <c r="H117" i="34" s="1"/>
  <c r="N116" i="34"/>
  <c r="E129" i="34" a="1"/>
  <c r="E129" i="34" s="1"/>
  <c r="O130" i="34"/>
  <c r="AP51" i="20" a="1"/>
  <c r="AP51" i="20" s="1"/>
  <c r="C23" i="24"/>
  <c r="A89" i="28" a="1"/>
  <c r="A89" i="28" s="1"/>
  <c r="AB24" i="4" a="1"/>
  <c r="AB24" i="4" s="1"/>
  <c r="Z23" i="9" a="1"/>
  <c r="Z23" i="9" s="1"/>
  <c r="A3" i="21" a="1"/>
  <c r="A3" i="21" s="1"/>
  <c r="A4" i="21" a="1"/>
  <c r="A4" i="21" s="1"/>
  <c r="A11" i="21" a="1"/>
  <c r="A11" i="21" s="1"/>
  <c r="A7" i="21" a="1"/>
  <c r="A7" i="21" s="1"/>
  <c r="A6" i="21" a="1"/>
  <c r="A6" i="21" s="1"/>
  <c r="A8" i="21" a="1"/>
  <c r="A8" i="21" s="1"/>
  <c r="A10" i="21" a="1"/>
  <c r="A10" i="21" s="1"/>
  <c r="A5" i="21" a="1"/>
  <c r="A5" i="21" s="1"/>
  <c r="A9" i="21" a="1"/>
  <c r="A9" i="21" s="1"/>
  <c r="V5" i="17" a="1"/>
  <c r="V5" i="17" s="1"/>
  <c r="AN49" i="3" l="1" a="1"/>
  <c r="AN49" i="3" s="1"/>
  <c r="P3" i="21" a="1"/>
  <c r="P3" i="21" s="1"/>
  <c r="P4" i="21" s="1" a="1"/>
  <c r="P4" i="21" s="1"/>
  <c r="P5" i="21" s="1" a="1"/>
  <c r="P5" i="21" s="1"/>
  <c r="P6" i="21" s="1" a="1"/>
  <c r="P6" i="21" s="1"/>
  <c r="P7" i="21" s="1" a="1"/>
  <c r="P7" i="21" s="1"/>
  <c r="P8" i="21" s="1" a="1"/>
  <c r="P8" i="21" s="1"/>
  <c r="P9" i="21" s="1" a="1"/>
  <c r="P9" i="21" s="1"/>
  <c r="P10" i="21" s="1" a="1"/>
  <c r="P10" i="21" s="1"/>
  <c r="P11" i="21" s="1" a="1"/>
  <c r="P11" i="21" s="1"/>
  <c r="E130" i="34" a="1"/>
  <c r="E130" i="34" s="1"/>
  <c r="O131" i="34"/>
  <c r="N117" i="34"/>
  <c r="H118" i="34" a="1"/>
  <c r="H118" i="34" s="1"/>
  <c r="AP52" i="20" a="1"/>
  <c r="AP52" i="20" s="1"/>
  <c r="A23" i="24"/>
  <c r="AG6" i="21" a="1"/>
  <c r="AG6" i="21" s="1"/>
  <c r="AG4" i="21" a="1"/>
  <c r="AG4" i="21" s="1"/>
  <c r="AG5" i="21" a="1"/>
  <c r="AG5" i="21" s="1"/>
  <c r="AG8" i="21" a="1"/>
  <c r="AG8" i="21" s="1"/>
  <c r="AG7" i="21" a="1"/>
  <c r="AG7" i="21" s="1"/>
  <c r="AG9" i="21" a="1"/>
  <c r="AG9" i="21" s="1"/>
  <c r="AG10" i="21" a="1"/>
  <c r="AG10" i="21" s="1"/>
  <c r="AG11" i="21" a="1"/>
  <c r="AG11" i="21" s="1"/>
  <c r="AG3" i="21" a="1"/>
  <c r="AG3" i="21" s="1"/>
  <c r="AL58" i="20" a="1"/>
  <c r="AL58" i="20" s="1"/>
  <c r="AM58" i="20" s="1" a="1"/>
  <c r="AM58" i="20" s="1"/>
  <c r="R34" i="21"/>
  <c r="Y34" i="21" s="1" a="1"/>
  <c r="Y34" i="21" s="1"/>
  <c r="AK34" i="21" s="1"/>
  <c r="AB25" i="4" a="1"/>
  <c r="AB25" i="4" s="1"/>
  <c r="AC24" i="4"/>
  <c r="AL24" i="20" a="1"/>
  <c r="AL24" i="20" s="1"/>
  <c r="AM24" i="20" s="1" a="1"/>
  <c r="AM24" i="20" s="1"/>
  <c r="F9" i="21" a="1"/>
  <c r="F9" i="21" s="1"/>
  <c r="F5" i="21" a="1"/>
  <c r="F5" i="21" s="1"/>
  <c r="F4" i="21" a="1"/>
  <c r="F4" i="21" s="1"/>
  <c r="F11" i="21" a="1"/>
  <c r="F11" i="21" s="1"/>
  <c r="R32" i="21"/>
  <c r="Y32" i="21" s="1" a="1"/>
  <c r="Y32" i="21" s="1"/>
  <c r="R33" i="21"/>
  <c r="Y33" i="21" s="1" a="1"/>
  <c r="Y33" i="21" s="1"/>
  <c r="AK33" i="21" s="1"/>
  <c r="F10" i="21" a="1"/>
  <c r="F10" i="21" s="1"/>
  <c r="F7" i="21" a="1"/>
  <c r="F7" i="21" s="1"/>
  <c r="F8" i="21" a="1"/>
  <c r="F8" i="21" s="1"/>
  <c r="AL16" i="20" a="1"/>
  <c r="AL16" i="20" s="1"/>
  <c r="AM16" i="20" s="1" a="1"/>
  <c r="AM16" i="20" s="1"/>
  <c r="F6" i="21" a="1"/>
  <c r="F6" i="21" s="1"/>
  <c r="AI13" i="10" a="1"/>
  <c r="AI13" i="10" s="1"/>
  <c r="AJ13" i="10" s="1" a="1"/>
  <c r="AJ13" i="10" s="1"/>
  <c r="F3" i="21" a="1"/>
  <c r="F3" i="21" s="1"/>
  <c r="AL42" i="20" a="1"/>
  <c r="AL42" i="20" s="1"/>
  <c r="AM42" i="20" s="1" a="1"/>
  <c r="AM42" i="20" s="1"/>
  <c r="R12" i="21"/>
  <c r="Y12" i="21" s="1" a="1"/>
  <c r="Y12" i="21" s="1"/>
  <c r="AK12" i="21" s="1"/>
  <c r="R17" i="21"/>
  <c r="Y17" i="21" s="1" a="1"/>
  <c r="Y17" i="21" s="1"/>
  <c r="R26" i="21"/>
  <c r="Y26" i="21" s="1" a="1"/>
  <c r="Y26" i="21" s="1"/>
  <c r="AK26" i="21" s="1"/>
  <c r="R31" i="21"/>
  <c r="Y31" i="21" s="1" a="1"/>
  <c r="Y31" i="21" s="1"/>
  <c r="R28" i="21"/>
  <c r="Y28" i="21" s="1" a="1"/>
  <c r="Y28" i="21" s="1"/>
  <c r="R24" i="21"/>
  <c r="Y24" i="21" s="1" a="1"/>
  <c r="Y24" i="21" s="1"/>
  <c r="R27" i="21"/>
  <c r="Y27" i="21" s="1" a="1"/>
  <c r="Y27" i="21" s="1"/>
  <c r="R20" i="21"/>
  <c r="Y20" i="21" s="1" a="1"/>
  <c r="Y20" i="21" s="1"/>
  <c r="R15" i="21"/>
  <c r="Y15" i="21" s="1" a="1"/>
  <c r="Y15" i="21" s="1"/>
  <c r="AK15" i="21" s="1"/>
  <c r="R25" i="21"/>
  <c r="Y25" i="21" s="1" a="1"/>
  <c r="Y25" i="21" s="1"/>
  <c r="R19" i="21"/>
  <c r="Y19" i="21" s="1" a="1"/>
  <c r="Y19" i="21" s="1"/>
  <c r="R14" i="21"/>
  <c r="Y14" i="21" s="1" a="1"/>
  <c r="Y14" i="21" s="1"/>
  <c r="AK14" i="21" s="1"/>
  <c r="R30" i="21"/>
  <c r="Y30" i="21" s="1" a="1"/>
  <c r="Y30" i="21" s="1"/>
  <c r="R18" i="21"/>
  <c r="Y18" i="21" s="1" a="1"/>
  <c r="Y18" i="21" s="1"/>
  <c r="R16" i="21"/>
  <c r="Y16" i="21" s="1" a="1"/>
  <c r="Y16" i="21" s="1"/>
  <c r="R13" i="21"/>
  <c r="Y13" i="21" s="1" a="1"/>
  <c r="Y13" i="21" s="1"/>
  <c r="R23" i="21"/>
  <c r="Y23" i="21" s="1" a="1"/>
  <c r="Y23" i="21" s="1"/>
  <c r="AK23" i="21" s="1"/>
  <c r="R29" i="21"/>
  <c r="Y29" i="21" s="1" a="1"/>
  <c r="Y29" i="21" s="1"/>
  <c r="AK29" i="21" s="1"/>
  <c r="R22" i="21"/>
  <c r="Y22" i="21" s="1" a="1"/>
  <c r="Y22" i="21" s="1"/>
  <c r="AK22" i="21" s="1"/>
  <c r="R21" i="21"/>
  <c r="Y21" i="21" s="1" a="1"/>
  <c r="Y21" i="21" s="1"/>
  <c r="AK21" i="21" s="1"/>
  <c r="Z24" i="9" a="1"/>
  <c r="Z24" i="9" s="1"/>
  <c r="B3" i="21" a="1"/>
  <c r="B3" i="21" s="1"/>
  <c r="AK3" i="21" s="1"/>
  <c r="AL3" i="21" s="1" a="1"/>
  <c r="AL3" i="21" s="1"/>
  <c r="B4" i="21" a="1"/>
  <c r="B4" i="21" s="1"/>
  <c r="AK4" i="21" s="1"/>
  <c r="B8" i="21" a="1"/>
  <c r="B8" i="21" s="1"/>
  <c r="B6" i="21" a="1"/>
  <c r="B6" i="21" s="1"/>
  <c r="AK6" i="21" s="1"/>
  <c r="B9" i="21" a="1"/>
  <c r="B9" i="21" s="1"/>
  <c r="B5" i="21" a="1"/>
  <c r="B5" i="21" s="1"/>
  <c r="AK5" i="21" s="1"/>
  <c r="B10" i="21" a="1"/>
  <c r="B10" i="21" s="1"/>
  <c r="B7" i="21" a="1"/>
  <c r="B7" i="21" s="1"/>
  <c r="B11" i="21" a="1"/>
  <c r="B11" i="21" s="1"/>
  <c r="D23" i="24"/>
  <c r="AN50" i="3" l="1" a="1"/>
  <c r="AN50" i="3" s="1"/>
  <c r="AL4" i="21" a="1"/>
  <c r="AL4" i="21" s="1"/>
  <c r="AL5" i="21" s="1" a="1"/>
  <c r="AL5" i="21" s="1"/>
  <c r="AL6" i="21" s="1" a="1"/>
  <c r="AL6" i="21" s="1"/>
  <c r="AL7" i="21" s="1" a="1"/>
  <c r="AL7" i="21" s="1"/>
  <c r="AL8" i="21" s="1" a="1"/>
  <c r="AL8" i="21" s="1"/>
  <c r="AL9" i="21" s="1" a="1"/>
  <c r="AL9" i="21" s="1"/>
  <c r="AL10" i="21" s="1" a="1"/>
  <c r="AL10" i="21" s="1"/>
  <c r="AL11" i="21" s="1" a="1"/>
  <c r="AL11" i="21" s="1"/>
  <c r="AL12" i="21" s="1" a="1"/>
  <c r="AL12" i="21" s="1"/>
  <c r="N118" i="34"/>
  <c r="H119" i="34" a="1"/>
  <c r="H119" i="34" s="1"/>
  <c r="E131" i="34" a="1"/>
  <c r="E131" i="34" s="1"/>
  <c r="O132" i="34"/>
  <c r="AM5" i="21"/>
  <c r="AN5" i="21" s="1" a="1"/>
  <c r="AN5" i="21" s="1"/>
  <c r="AN6" i="21" s="1" a="1"/>
  <c r="AN6" i="21" s="1"/>
  <c r="AN7" i="21" s="1" a="1"/>
  <c r="AN7" i="21" s="1"/>
  <c r="AN8" i="21" s="1" a="1"/>
  <c r="AN8" i="21" s="1"/>
  <c r="AN9" i="21" s="1" a="1"/>
  <c r="AN9" i="21" s="1"/>
  <c r="AN10" i="21" s="1" a="1"/>
  <c r="AN10" i="21" s="1"/>
  <c r="AN11" i="21" s="1" a="1"/>
  <c r="AN11" i="21" s="1"/>
  <c r="AN12" i="21" s="1" a="1"/>
  <c r="AN12" i="21" s="1"/>
  <c r="AN13" i="21" s="1" a="1"/>
  <c r="AN13" i="21" s="1"/>
  <c r="AN14" i="21" s="1" a="1"/>
  <c r="AN14" i="21" s="1"/>
  <c r="AN15" i="21" s="1" a="1"/>
  <c r="AN15" i="21" s="1"/>
  <c r="AN16" i="21" s="1" a="1"/>
  <c r="AN16" i="21" s="1"/>
  <c r="AN17" i="21" s="1" a="1"/>
  <c r="AN17" i="21" s="1"/>
  <c r="AN18" i="21" s="1" a="1"/>
  <c r="AN18" i="21" s="1"/>
  <c r="AN19" i="21" s="1" a="1"/>
  <c r="AN19" i="21" s="1"/>
  <c r="AN20" i="21" s="1" a="1"/>
  <c r="AN20" i="21" s="1"/>
  <c r="AN21" i="21" s="1" a="1"/>
  <c r="AN21" i="21" s="1"/>
  <c r="AN22" i="21" s="1" a="1"/>
  <c r="AN22" i="21" s="1"/>
  <c r="AN23" i="21" s="1" a="1"/>
  <c r="AN23" i="21" s="1"/>
  <c r="AN24" i="21" s="1" a="1"/>
  <c r="AN24" i="21" s="1"/>
  <c r="AN25" i="21" s="1" a="1"/>
  <c r="AN25" i="21" s="1"/>
  <c r="AN26" i="21" s="1" a="1"/>
  <c r="AN26" i="21" s="1"/>
  <c r="AN27" i="21" s="1" a="1"/>
  <c r="AN27" i="21" s="1"/>
  <c r="AN28" i="21" s="1" a="1"/>
  <c r="AN28" i="21" s="1"/>
  <c r="AN29" i="21" s="1" a="1"/>
  <c r="AN29" i="21" s="1"/>
  <c r="AN30" i="21" s="1" a="1"/>
  <c r="AN30" i="21" s="1"/>
  <c r="AP53" i="20" a="1"/>
  <c r="AP53" i="20" s="1"/>
  <c r="A90" i="28" a="1"/>
  <c r="A90" i="28" s="1"/>
  <c r="A91" i="28" a="1"/>
  <c r="A91" i="28" s="1"/>
  <c r="A92" i="28" a="1"/>
  <c r="A92" i="28" s="1"/>
  <c r="R35" i="21"/>
  <c r="B35" i="21" s="1" a="1"/>
  <c r="B35" i="21" s="1"/>
  <c r="B34" i="21" a="1"/>
  <c r="B34" i="21" s="1"/>
  <c r="A34" i="21" a="1"/>
  <c r="A34" i="21" s="1"/>
  <c r="AB26" i="4" a="1"/>
  <c r="AB26" i="4" s="1"/>
  <c r="AC25" i="4"/>
  <c r="B16" i="21" a="1"/>
  <c r="B16" i="21" s="1"/>
  <c r="B15" i="21" a="1"/>
  <c r="B15" i="21" s="1"/>
  <c r="A32" i="21" a="1"/>
  <c r="A32" i="21" s="1"/>
  <c r="AK32" i="21" s="1"/>
  <c r="A26" i="21" a="1"/>
  <c r="A26" i="21" s="1"/>
  <c r="B17" i="21" a="1"/>
  <c r="B17" i="21" s="1"/>
  <c r="B13" i="21" a="1"/>
  <c r="B13" i="21" s="1"/>
  <c r="B32" i="21" a="1"/>
  <c r="B32" i="21" s="1"/>
  <c r="A12" i="21" a="1"/>
  <c r="A12" i="21" s="1"/>
  <c r="P12" i="21" s="1" a="1"/>
  <c r="P12" i="21" s="1"/>
  <c r="A33" i="21" a="1"/>
  <c r="A33" i="21" s="1"/>
  <c r="B33" i="21" a="1"/>
  <c r="B33" i="21" s="1"/>
  <c r="B12" i="21" a="1"/>
  <c r="B12" i="21" s="1"/>
  <c r="A17" i="21" a="1"/>
  <c r="A17" i="21" s="1"/>
  <c r="B26" i="21" a="1"/>
  <c r="B26" i="21" s="1"/>
  <c r="AL30" i="20" a="1"/>
  <c r="AL30" i="20" s="1"/>
  <c r="AM30" i="20" s="1" a="1"/>
  <c r="AM30" i="20" s="1"/>
  <c r="A31" i="21" a="1"/>
  <c r="A31" i="21" s="1"/>
  <c r="B31" i="21" a="1"/>
  <c r="B31" i="21" s="1"/>
  <c r="B30" i="21" a="1"/>
  <c r="B30" i="21" s="1"/>
  <c r="A30" i="21" a="1"/>
  <c r="A30" i="21" s="1"/>
  <c r="B20" i="21" a="1"/>
  <c r="B20" i="21" s="1"/>
  <c r="A20" i="21" a="1"/>
  <c r="A20" i="21" s="1"/>
  <c r="A19" i="21" a="1"/>
  <c r="A19" i="21" s="1"/>
  <c r="B19" i="21" a="1"/>
  <c r="B19" i="21" s="1"/>
  <c r="A27" i="21" a="1"/>
  <c r="A27" i="21" s="1"/>
  <c r="B27" i="21" a="1"/>
  <c r="B27" i="21" s="1"/>
  <c r="A24" i="21" a="1"/>
  <c r="A24" i="21" s="1"/>
  <c r="B24" i="21" a="1"/>
  <c r="B24" i="21" s="1"/>
  <c r="A22" i="21" a="1"/>
  <c r="A22" i="21" s="1"/>
  <c r="B22" i="21" a="1"/>
  <c r="B22" i="21" s="1"/>
  <c r="B21" i="21" a="1"/>
  <c r="B21" i="21" s="1"/>
  <c r="A21" i="21" a="1"/>
  <c r="A21" i="21" s="1"/>
  <c r="A29" i="21" a="1"/>
  <c r="A29" i="21" s="1"/>
  <c r="B29" i="21" a="1"/>
  <c r="B29" i="21" s="1"/>
  <c r="B18" i="21" a="1"/>
  <c r="B18" i="21" s="1"/>
  <c r="A18" i="21" a="1"/>
  <c r="A18" i="21" s="1"/>
  <c r="A14" i="21" a="1"/>
  <c r="A14" i="21" s="1"/>
  <c r="A25" i="21" a="1"/>
  <c r="A25" i="21" s="1"/>
  <c r="B25" i="21" a="1"/>
  <c r="B25" i="21" s="1"/>
  <c r="B14" i="21" a="1"/>
  <c r="B14" i="21" s="1"/>
  <c r="B23" i="21" a="1"/>
  <c r="B23" i="21" s="1"/>
  <c r="A23" i="21" a="1"/>
  <c r="A23" i="21" s="1"/>
  <c r="B28" i="21" a="1"/>
  <c r="B28" i="21" s="1"/>
  <c r="A28" i="21" a="1"/>
  <c r="A28" i="21" s="1"/>
  <c r="AK28" i="21" s="1"/>
  <c r="A15" i="21" a="1"/>
  <c r="A15" i="21" s="1"/>
  <c r="A13" i="21" a="1"/>
  <c r="A13" i="21" s="1"/>
  <c r="A16" i="21" a="1"/>
  <c r="A16" i="21" s="1"/>
  <c r="AK16" i="21" s="1"/>
  <c r="Z25" i="9" a="1"/>
  <c r="Z25" i="9" s="1"/>
  <c r="AN51" i="3" l="1" a="1"/>
  <c r="AN51" i="3" s="1"/>
  <c r="AK27" i="21"/>
  <c r="AK25" i="21"/>
  <c r="AK19" i="21"/>
  <c r="AK18" i="21"/>
  <c r="AK30" i="21"/>
  <c r="AK13" i="21"/>
  <c r="AL13" i="21" s="1" a="1"/>
  <c r="AL13" i="21" s="1"/>
  <c r="AL14" i="21" s="1" a="1"/>
  <c r="AL14" i="21" s="1"/>
  <c r="AL15" i="21" s="1" a="1"/>
  <c r="AL15" i="21" s="1"/>
  <c r="AL16" i="21" s="1" a="1"/>
  <c r="AL16" i="21" s="1"/>
  <c r="AK24" i="21"/>
  <c r="AK31" i="21"/>
  <c r="E132" i="34" a="1"/>
  <c r="E132" i="34" s="1"/>
  <c r="O133" i="34"/>
  <c r="H120" i="34" a="1"/>
  <c r="H120" i="34" s="1"/>
  <c r="N119" i="34"/>
  <c r="AP54" i="20" a="1"/>
  <c r="AP54" i="20" s="1"/>
  <c r="AC26" i="4"/>
  <c r="B16" i="19"/>
  <c r="P13" i="21" a="1"/>
  <c r="P13" i="21" s="1"/>
  <c r="P14" i="21" s="1" a="1"/>
  <c r="P14" i="21" s="1"/>
  <c r="P15" i="21" s="1" a="1"/>
  <c r="P15" i="21" s="1"/>
  <c r="P16" i="21" s="1" a="1"/>
  <c r="P16" i="21" s="1"/>
  <c r="P17" i="21" s="1" a="1"/>
  <c r="P17" i="21" s="1"/>
  <c r="P18" i="21" s="1" a="1"/>
  <c r="P18" i="21" s="1"/>
  <c r="P19" i="21" s="1" a="1"/>
  <c r="P19" i="21" s="1"/>
  <c r="P20" i="21" s="1" a="1"/>
  <c r="P20" i="21" s="1"/>
  <c r="P21" i="21" s="1" a="1"/>
  <c r="P21" i="21" s="1"/>
  <c r="P22" i="21" s="1" a="1"/>
  <c r="P22" i="21" s="1"/>
  <c r="P23" i="21" s="1" a="1"/>
  <c r="P23" i="21" s="1"/>
  <c r="P24" i="21" s="1" a="1"/>
  <c r="P24" i="21" s="1"/>
  <c r="P25" i="21" s="1" a="1"/>
  <c r="P25" i="21" s="1"/>
  <c r="P26" i="21" s="1" a="1"/>
  <c r="P26" i="21" s="1"/>
  <c r="P27" i="21" s="1" a="1"/>
  <c r="P27" i="21" s="1"/>
  <c r="P28" i="21" s="1" a="1"/>
  <c r="P28" i="21" s="1"/>
  <c r="P29" i="21" s="1" a="1"/>
  <c r="P29" i="21" s="1"/>
  <c r="P30" i="21" s="1" a="1"/>
  <c r="P30" i="21" s="1"/>
  <c r="P31" i="21" s="1" a="1"/>
  <c r="P31" i="21" s="1"/>
  <c r="P32" i="21" s="1" a="1"/>
  <c r="P32" i="21" s="1"/>
  <c r="P33" i="21" s="1" a="1"/>
  <c r="P33" i="21" s="1"/>
  <c r="P34" i="21" s="1" a="1"/>
  <c r="P34" i="21" s="1"/>
  <c r="AL21" i="20" a="1"/>
  <c r="AL21" i="20" s="1"/>
  <c r="AM21" i="20" s="1" a="1"/>
  <c r="AM21" i="20" s="1"/>
  <c r="AI43" i="10" a="1"/>
  <c r="AI43" i="10" s="1"/>
  <c r="AJ43" i="10" s="1" a="1"/>
  <c r="AJ43" i="10" s="1"/>
  <c r="AL37" i="20" a="1"/>
  <c r="AL37" i="20" s="1"/>
  <c r="AM37" i="20" s="1" a="1"/>
  <c r="AM37" i="20" s="1"/>
  <c r="AM32" i="21"/>
  <c r="AM31" i="21"/>
  <c r="AN31" i="21" s="1" a="1"/>
  <c r="AN31" i="21" s="1"/>
  <c r="AK20" i="21"/>
  <c r="AK17" i="21"/>
  <c r="AG13" i="21" a="1"/>
  <c r="AG13" i="21" s="1"/>
  <c r="AG28" i="21" a="1"/>
  <c r="AG28" i="21" s="1"/>
  <c r="AG18" i="21" a="1"/>
  <c r="AG18" i="21" s="1"/>
  <c r="AG19" i="21" a="1"/>
  <c r="AG19" i="21" s="1"/>
  <c r="AG20" i="21" a="1"/>
  <c r="AG20" i="21" s="1"/>
  <c r="AG31" i="21" a="1"/>
  <c r="AG31" i="21" s="1"/>
  <c r="A35" i="21" a="1"/>
  <c r="A35" i="21" s="1"/>
  <c r="AG16" i="21" a="1"/>
  <c r="AG16" i="21" s="1"/>
  <c r="AG23" i="21" a="1"/>
  <c r="AG23" i="21" s="1"/>
  <c r="AL47" i="20" a="1"/>
  <c r="AL47" i="20" s="1"/>
  <c r="AM47" i="20" s="1" a="1"/>
  <c r="AM47" i="20" s="1"/>
  <c r="AG25" i="21" a="1"/>
  <c r="AG25" i="21" s="1"/>
  <c r="AG21" i="21" a="1"/>
  <c r="AG21" i="21" s="1"/>
  <c r="AG30" i="21" a="1"/>
  <c r="AG30" i="21" s="1"/>
  <c r="AG12" i="21" a="1"/>
  <c r="AG12" i="21" s="1"/>
  <c r="AG32" i="21" a="1"/>
  <c r="AG32" i="21" s="1"/>
  <c r="AG15" i="21" a="1"/>
  <c r="AG15" i="21" s="1"/>
  <c r="AG14" i="21" a="1"/>
  <c r="AG14" i="21" s="1"/>
  <c r="AG29" i="21" a="1"/>
  <c r="AG29" i="21" s="1"/>
  <c r="AG22" i="21" a="1"/>
  <c r="AG22" i="21" s="1"/>
  <c r="AG24" i="21" a="1"/>
  <c r="AG24" i="21" s="1"/>
  <c r="AG27" i="21" a="1"/>
  <c r="AG27" i="21" s="1"/>
  <c r="AG17" i="21" a="1"/>
  <c r="AG17" i="21" s="1"/>
  <c r="AG33" i="21" a="1"/>
  <c r="AG33" i="21" s="1"/>
  <c r="AG26" i="21" a="1"/>
  <c r="AG26" i="21" s="1"/>
  <c r="F34" i="21" a="1"/>
  <c r="F34" i="21" s="1"/>
  <c r="AG34" i="21" a="1"/>
  <c r="AG34" i="21" s="1"/>
  <c r="A93" i="28" a="1"/>
  <c r="A93" i="28" s="1"/>
  <c r="Y35" i="21" a="1"/>
  <c r="Y35" i="21" s="1"/>
  <c r="R36" i="21"/>
  <c r="B36" i="21" s="1" a="1"/>
  <c r="B36" i="21" s="1"/>
  <c r="F26" i="21" a="1"/>
  <c r="F26" i="21" s="1"/>
  <c r="F32" i="21" a="1"/>
  <c r="F32" i="21" s="1"/>
  <c r="F12" i="21" a="1"/>
  <c r="F12" i="21" s="1"/>
  <c r="AL35" i="20" a="1"/>
  <c r="AL35" i="20" s="1"/>
  <c r="AM35" i="20" s="1" a="1"/>
  <c r="AM35" i="20" s="1"/>
  <c r="AL41" i="20" a="1"/>
  <c r="AL41" i="20" s="1"/>
  <c r="AM41" i="20" s="1" a="1"/>
  <c r="AM41" i="20" s="1"/>
  <c r="AL45" i="20" a="1"/>
  <c r="AL45" i="20" s="1"/>
  <c r="AM45" i="20" s="1" a="1"/>
  <c r="AM45" i="20" s="1"/>
  <c r="AL19" i="20" a="1"/>
  <c r="AL19" i="20" s="1"/>
  <c r="AM19" i="20" s="1" a="1"/>
  <c r="AM19" i="20" s="1"/>
  <c r="AL51" i="20" a="1"/>
  <c r="AL51" i="20" s="1"/>
  <c r="AM51" i="20" s="1" a="1"/>
  <c r="AM51" i="20" s="1"/>
  <c r="AL54" i="20" a="1"/>
  <c r="AL54" i="20" s="1"/>
  <c r="AM54" i="20" s="1" a="1"/>
  <c r="AM54" i="20" s="1"/>
  <c r="F16" i="21" a="1"/>
  <c r="F16" i="21" s="1"/>
  <c r="AI22" i="10" a="1"/>
  <c r="AI22" i="10" s="1"/>
  <c r="AJ22" i="10" s="1" a="1"/>
  <c r="AJ22" i="10" s="1"/>
  <c r="F24" i="21" a="1"/>
  <c r="F24" i="21" s="1"/>
  <c r="F14" i="21" a="1"/>
  <c r="F14" i="21" s="1"/>
  <c r="F17" i="21" a="1"/>
  <c r="F17" i="21" s="1"/>
  <c r="AL18" i="20" a="1"/>
  <c r="AL18" i="20" s="1"/>
  <c r="AM18" i="20" s="1" a="1"/>
  <c r="AM18" i="20" s="1"/>
  <c r="F13" i="21" a="1"/>
  <c r="F13" i="21" s="1"/>
  <c r="F18" i="21" a="1"/>
  <c r="F18" i="21" s="1"/>
  <c r="F27" i="21" a="1"/>
  <c r="F27" i="21" s="1"/>
  <c r="F31" i="21" a="1"/>
  <c r="F31" i="21" s="1"/>
  <c r="F22" i="21" a="1"/>
  <c r="F22" i="21" s="1"/>
  <c r="F15" i="21" a="1"/>
  <c r="F15" i="21" s="1"/>
  <c r="AL10" i="20" a="1"/>
  <c r="AL10" i="20" s="1"/>
  <c r="AM10" i="20" s="1" a="1"/>
  <c r="AM10" i="20" s="1"/>
  <c r="F19" i="21" a="1"/>
  <c r="F19" i="21" s="1"/>
  <c r="F28" i="21" a="1"/>
  <c r="F28" i="21" s="1"/>
  <c r="AI17" i="10" a="1"/>
  <c r="AI17" i="10" s="1"/>
  <c r="AJ17" i="10" s="1" a="1"/>
  <c r="AJ17" i="10" s="1"/>
  <c r="F29" i="21" a="1"/>
  <c r="F29" i="21" s="1"/>
  <c r="AL29" i="20" a="1"/>
  <c r="AL29" i="20" s="1"/>
  <c r="AM29" i="20" s="1" a="1"/>
  <c r="AM29" i="20" s="1"/>
  <c r="F20" i="21" a="1"/>
  <c r="F20" i="21" s="1"/>
  <c r="F21" i="21" a="1"/>
  <c r="F21" i="21" s="1"/>
  <c r="AI16" i="10" a="1"/>
  <c r="AI16" i="10" s="1"/>
  <c r="AJ16" i="10" s="1" a="1"/>
  <c r="AJ16" i="10" s="1"/>
  <c r="F23" i="21" a="1"/>
  <c r="F23" i="21" s="1"/>
  <c r="AI14" i="10" a="1"/>
  <c r="AI14" i="10" s="1"/>
  <c r="AJ14" i="10" s="1" a="1"/>
  <c r="AJ14" i="10" s="1"/>
  <c r="F30" i="21" a="1"/>
  <c r="F30" i="21" s="1"/>
  <c r="F33" i="21" a="1"/>
  <c r="F33" i="21" s="1"/>
  <c r="AL12" i="20" a="1"/>
  <c r="AL12" i="20" s="1"/>
  <c r="AM12" i="20" s="1" a="1"/>
  <c r="AM12" i="20" s="1"/>
  <c r="F25" i="21" a="1"/>
  <c r="F25" i="21" s="1"/>
  <c r="AL14" i="20" a="1"/>
  <c r="AL14" i="20" s="1"/>
  <c r="AM14" i="20" s="1" a="1"/>
  <c r="AM14" i="20" s="1"/>
  <c r="AL22" i="20" a="1"/>
  <c r="AL22" i="20" s="1"/>
  <c r="AM22" i="20" s="1" a="1"/>
  <c r="AM22" i="20" s="1"/>
  <c r="AL17" i="20" a="1"/>
  <c r="AL17" i="20" s="1"/>
  <c r="AM17" i="20" s="1" a="1"/>
  <c r="AM17" i="20" s="1"/>
  <c r="Z26" i="9" a="1"/>
  <c r="Z26" i="9" s="1"/>
  <c r="AN52" i="3" l="1" a="1"/>
  <c r="AN52" i="3" s="1"/>
  <c r="Z65" i="20" a="1"/>
  <c r="Z65" i="20" s="1"/>
  <c r="Q65" i="20" s="1"/>
  <c r="Z64" i="20" a="1"/>
  <c r="Z64" i="20" s="1"/>
  <c r="Q64" i="20" s="1"/>
  <c r="Z66" i="20" a="1"/>
  <c r="Z66" i="20" s="1"/>
  <c r="Q66" i="20" s="1"/>
  <c r="Z62" i="20" a="1"/>
  <c r="Z62" i="20" s="1"/>
  <c r="Q62" i="20" s="1"/>
  <c r="Z63" i="20" a="1"/>
  <c r="Z63" i="20" s="1"/>
  <c r="Q63" i="20" s="1"/>
  <c r="AK35" i="21"/>
  <c r="Z67" i="20" a="1"/>
  <c r="Z67" i="20" s="1"/>
  <c r="Q67" i="20" s="1"/>
  <c r="Z4" i="20" a="1"/>
  <c r="Z4" i="20" s="1"/>
  <c r="Q4" i="20" s="1"/>
  <c r="H121" i="34" a="1"/>
  <c r="H121" i="34" s="1"/>
  <c r="N120" i="34"/>
  <c r="E133" i="34" a="1"/>
  <c r="E133" i="34" s="1"/>
  <c r="O134" i="34"/>
  <c r="AL17" i="21" a="1"/>
  <c r="AL17" i="21" s="1"/>
  <c r="AL18" i="21" s="1" a="1"/>
  <c r="AL18" i="21" s="1"/>
  <c r="AL19" i="21" s="1" a="1"/>
  <c r="AL19" i="21" s="1"/>
  <c r="AL20" i="21" s="1" a="1"/>
  <c r="AL20" i="21" s="1"/>
  <c r="AL21" i="21" s="1" a="1"/>
  <c r="AL21" i="21" s="1"/>
  <c r="AL22" i="21" s="1" a="1"/>
  <c r="AL22" i="21" s="1"/>
  <c r="AL23" i="21" s="1" a="1"/>
  <c r="AL23" i="21" s="1"/>
  <c r="AL24" i="21" s="1" a="1"/>
  <c r="AL24" i="21" s="1"/>
  <c r="AL25" i="21" s="1" a="1"/>
  <c r="AL25" i="21" s="1"/>
  <c r="AL26" i="21" s="1" a="1"/>
  <c r="AL26" i="21" s="1"/>
  <c r="AL27" i="21" s="1" a="1"/>
  <c r="AL27" i="21" s="1"/>
  <c r="AL28" i="21" s="1" a="1"/>
  <c r="AL28" i="21" s="1"/>
  <c r="AL29" i="21" s="1" a="1"/>
  <c r="AL29" i="21" s="1"/>
  <c r="AL30" i="21" s="1" a="1"/>
  <c r="AL30" i="21" s="1"/>
  <c r="AL31" i="21" s="1" a="1"/>
  <c r="AL31" i="21" s="1"/>
  <c r="AL32" i="21" s="1" a="1"/>
  <c r="AL32" i="21" s="1"/>
  <c r="AL33" i="21" s="1" a="1"/>
  <c r="AL33" i="21" s="1"/>
  <c r="AL34" i="21" s="1" a="1"/>
  <c r="AL34" i="21" s="1"/>
  <c r="AL35" i="21" s="1" a="1"/>
  <c r="AL35" i="21" s="1"/>
  <c r="AP55" i="20" a="1"/>
  <c r="AP55" i="20" s="1"/>
  <c r="Z3" i="20" a="1"/>
  <c r="Z3" i="20" s="1"/>
  <c r="Q3" i="20" s="1"/>
  <c r="Z16" i="20" a="1"/>
  <c r="Z16" i="20" s="1"/>
  <c r="Q16" i="20" s="1"/>
  <c r="Z28" i="20" a="1"/>
  <c r="Z28" i="20" s="1"/>
  <c r="Q28" i="20" s="1"/>
  <c r="Z37" i="20" a="1"/>
  <c r="Z37" i="20" s="1"/>
  <c r="Q37" i="20" s="1"/>
  <c r="Z5" i="20" a="1"/>
  <c r="Z5" i="20" s="1"/>
  <c r="Q5" i="20" s="1"/>
  <c r="Z17" i="20" a="1"/>
  <c r="Z17" i="20" s="1"/>
  <c r="Q17" i="20" s="1"/>
  <c r="Z29" i="20" a="1"/>
  <c r="Z29" i="20" s="1"/>
  <c r="Q29" i="20" s="1"/>
  <c r="Z48" i="20" a="1"/>
  <c r="Z48" i="20" s="1"/>
  <c r="Q48" i="20" s="1"/>
  <c r="Z58" i="20" a="1"/>
  <c r="Z58" i="20" s="1"/>
  <c r="Q58" i="20" s="1"/>
  <c r="AA15" i="10" a="1"/>
  <c r="AA15" i="10" s="1"/>
  <c r="Q15" i="10" s="1"/>
  <c r="AA29" i="10" a="1"/>
  <c r="AA29" i="10" s="1"/>
  <c r="Q29" i="10" s="1"/>
  <c r="AA42" i="10" a="1"/>
  <c r="AA42" i="10" s="1"/>
  <c r="Q42" i="10" s="1"/>
  <c r="Y14" i="9" a="1"/>
  <c r="Y14" i="9" s="1"/>
  <c r="M14" i="9" s="1"/>
  <c r="Y28" i="9" a="1"/>
  <c r="Y28" i="9" s="1"/>
  <c r="M28" i="9" s="1"/>
  <c r="Y42" i="9" a="1"/>
  <c r="Y42" i="9" s="1"/>
  <c r="M42" i="9" s="1"/>
  <c r="Z59" i="20" a="1"/>
  <c r="Z59" i="20" s="1"/>
  <c r="Q59" i="20" s="1"/>
  <c r="AA4" i="10" a="1"/>
  <c r="AA4" i="10" s="1"/>
  <c r="Q4" i="10" s="1"/>
  <c r="AA31" i="10" a="1"/>
  <c r="AA31" i="10" s="1"/>
  <c r="Q31" i="10" s="1"/>
  <c r="AA44" i="10" a="1"/>
  <c r="AA44" i="10" s="1"/>
  <c r="Q44" i="10" s="1"/>
  <c r="Z50" i="20" a="1"/>
  <c r="Z50" i="20" s="1"/>
  <c r="Q50" i="20" s="1"/>
  <c r="AA5" i="10" a="1"/>
  <c r="AA5" i="10" s="1"/>
  <c r="Q5" i="10" s="1"/>
  <c r="Z6" i="20" a="1"/>
  <c r="Z6" i="20" s="1"/>
  <c r="Q6" i="20" s="1"/>
  <c r="Z38" i="20" a="1"/>
  <c r="Z38" i="20" s="1"/>
  <c r="Q38" i="20" s="1"/>
  <c r="AA3" i="10" a="1"/>
  <c r="AA3" i="10" s="1"/>
  <c r="Q3" i="10" s="1"/>
  <c r="AA16" i="10" a="1"/>
  <c r="AA16" i="10" s="1"/>
  <c r="Q16" i="10" s="1"/>
  <c r="AA30" i="10" a="1"/>
  <c r="AA30" i="10" s="1"/>
  <c r="Q30" i="10" s="1"/>
  <c r="AA43" i="10" a="1"/>
  <c r="AA43" i="10" s="1"/>
  <c r="Q43" i="10" s="1"/>
  <c r="Y15" i="9" a="1"/>
  <c r="Y15" i="9" s="1"/>
  <c r="M15" i="9" s="1"/>
  <c r="Y29" i="9" a="1"/>
  <c r="Y29" i="9" s="1"/>
  <c r="M29" i="9" s="1"/>
  <c r="Y43" i="9" a="1"/>
  <c r="Y43" i="9" s="1"/>
  <c r="M43" i="9" s="1"/>
  <c r="AA17" i="10" a="1"/>
  <c r="AA17" i="10" s="1"/>
  <c r="Q17" i="10" s="1"/>
  <c r="Y16" i="9" a="1"/>
  <c r="Y16" i="9" s="1"/>
  <c r="M16" i="9" s="1"/>
  <c r="AA36" i="10" a="1"/>
  <c r="AA36" i="10" s="1"/>
  <c r="Q36" i="10" s="1"/>
  <c r="Z7" i="20" a="1"/>
  <c r="Z7" i="20" s="1"/>
  <c r="Q7" i="20" s="1"/>
  <c r="Z18" i="20" a="1"/>
  <c r="Z18" i="20" s="1"/>
  <c r="Q18" i="20" s="1"/>
  <c r="Z30" i="20" a="1"/>
  <c r="Z30" i="20" s="1"/>
  <c r="Q30" i="20" s="1"/>
  <c r="Z39" i="20" a="1"/>
  <c r="Z39" i="20" s="1"/>
  <c r="Q39" i="20" s="1"/>
  <c r="Z49" i="20" a="1"/>
  <c r="Z49" i="20" s="1"/>
  <c r="Q49" i="20" s="1"/>
  <c r="Y30" i="9" a="1"/>
  <c r="Y30" i="9" s="1"/>
  <c r="M30" i="9" s="1"/>
  <c r="Z19" i="20" a="1"/>
  <c r="Z19" i="20" s="1"/>
  <c r="Q19" i="20" s="1"/>
  <c r="Z40" i="20" a="1"/>
  <c r="Z40" i="20" s="1"/>
  <c r="Q40" i="20" s="1"/>
  <c r="Z60" i="20" a="1"/>
  <c r="Z60" i="20" s="1"/>
  <c r="Q60" i="20" s="1"/>
  <c r="Y3" i="9" a="1"/>
  <c r="Y3" i="9" s="1"/>
  <c r="M3" i="9" s="1"/>
  <c r="Y35" i="9" a="1"/>
  <c r="Y35" i="9" s="1"/>
  <c r="M35" i="9" s="1"/>
  <c r="Z8" i="20" a="1"/>
  <c r="Z8" i="20" s="1"/>
  <c r="Q8" i="20" s="1"/>
  <c r="Z9" i="20" a="1"/>
  <c r="Z9" i="20" s="1"/>
  <c r="Q9" i="20" s="1"/>
  <c r="Z20" i="20" a="1"/>
  <c r="Z20" i="20" s="1"/>
  <c r="Q20" i="20" s="1"/>
  <c r="Z31" i="20" a="1"/>
  <c r="Z31" i="20" s="1"/>
  <c r="Q31" i="20" s="1"/>
  <c r="Z41" i="20" a="1"/>
  <c r="Z41" i="20" s="1"/>
  <c r="Q41" i="20" s="1"/>
  <c r="Z61" i="20" a="1"/>
  <c r="Z61" i="20" s="1"/>
  <c r="Q61" i="20" s="1"/>
  <c r="AA6" i="10" a="1"/>
  <c r="AA6" i="10" s="1"/>
  <c r="Q6" i="10" s="1"/>
  <c r="AA19" i="10" a="1"/>
  <c r="AA19" i="10" s="1"/>
  <c r="Q19" i="10" s="1"/>
  <c r="AA32" i="10" a="1"/>
  <c r="AA32" i="10" s="1"/>
  <c r="Q32" i="10" s="1"/>
  <c r="Y4" i="9" a="1"/>
  <c r="Y4" i="9" s="1"/>
  <c r="M4" i="9" s="1"/>
  <c r="Y18" i="9" a="1"/>
  <c r="Y18" i="9" s="1"/>
  <c r="M18" i="9" s="1"/>
  <c r="Y32" i="9" a="1"/>
  <c r="Y32" i="9" s="1"/>
  <c r="M32" i="9" s="1"/>
  <c r="Y33" i="9" a="1"/>
  <c r="Y33" i="9" s="1"/>
  <c r="M33" i="9" s="1"/>
  <c r="Z21" i="20" a="1"/>
  <c r="Z21" i="20" s="1"/>
  <c r="Q21" i="20" s="1"/>
  <c r="Z42" i="20" a="1"/>
  <c r="Z42" i="20" s="1"/>
  <c r="Q42" i="20" s="1"/>
  <c r="Z51" i="20" a="1"/>
  <c r="Z51" i="20" s="1"/>
  <c r="Q51" i="20" s="1"/>
  <c r="AA7" i="10" a="1"/>
  <c r="AA7" i="10" s="1"/>
  <c r="Q7" i="10" s="1"/>
  <c r="AA20" i="10" a="1"/>
  <c r="AA20" i="10" s="1"/>
  <c r="Q20" i="10" s="1"/>
  <c r="AA33" i="10" a="1"/>
  <c r="AA33" i="10" s="1"/>
  <c r="Q33" i="10" s="1"/>
  <c r="Y5" i="9" a="1"/>
  <c r="Y5" i="9" s="1"/>
  <c r="M5" i="9" s="1"/>
  <c r="Y19" i="9" a="1"/>
  <c r="Y19" i="9" s="1"/>
  <c r="M19" i="9" s="1"/>
  <c r="AA22" i="10" a="1"/>
  <c r="AA22" i="10" s="1"/>
  <c r="Q22" i="10" s="1"/>
  <c r="Z10" i="20" a="1"/>
  <c r="Z10" i="20" s="1"/>
  <c r="Q10" i="20" s="1"/>
  <c r="Z22" i="20" a="1"/>
  <c r="Z22" i="20" s="1"/>
  <c r="Q22" i="20" s="1"/>
  <c r="Z32" i="20" a="1"/>
  <c r="Z32" i="20" s="1"/>
  <c r="Q32" i="20" s="1"/>
  <c r="AA8" i="10" a="1"/>
  <c r="AA8" i="10" s="1"/>
  <c r="Q8" i="10" s="1"/>
  <c r="AA21" i="10" a="1"/>
  <c r="AA21" i="10" s="1"/>
  <c r="Q21" i="10" s="1"/>
  <c r="AA34" i="10" a="1"/>
  <c r="AA34" i="10" s="1"/>
  <c r="Q34" i="10" s="1"/>
  <c r="Y6" i="9" a="1"/>
  <c r="Y6" i="9" s="1"/>
  <c r="M6" i="9" s="1"/>
  <c r="Y20" i="9" a="1"/>
  <c r="Y20" i="9" s="1"/>
  <c r="M20" i="9" s="1"/>
  <c r="Y34" i="9" a="1"/>
  <c r="Y34" i="9" s="1"/>
  <c r="M34" i="9" s="1"/>
  <c r="Z23" i="20" a="1"/>
  <c r="Z23" i="20" s="1"/>
  <c r="Q23" i="20" s="1"/>
  <c r="Z33" i="20" a="1"/>
  <c r="Z33" i="20" s="1"/>
  <c r="Q33" i="20" s="1"/>
  <c r="Z52" i="20" a="1"/>
  <c r="Z52" i="20" s="1"/>
  <c r="Q52" i="20" s="1"/>
  <c r="AA9" i="10" a="1"/>
  <c r="AA9" i="10" s="1"/>
  <c r="Q9" i="10" s="1"/>
  <c r="Y22" i="9" a="1"/>
  <c r="Y22" i="9" s="1"/>
  <c r="M22" i="9" s="1"/>
  <c r="Z11" i="20" a="1"/>
  <c r="Z11" i="20" s="1"/>
  <c r="Q11" i="20" s="1"/>
  <c r="Z12" i="20" a="1"/>
  <c r="Z12" i="20" s="1"/>
  <c r="Q12" i="20" s="1"/>
  <c r="Z24" i="20" a="1"/>
  <c r="Z24" i="20" s="1"/>
  <c r="Q24" i="20" s="1"/>
  <c r="Z34" i="20" a="1"/>
  <c r="Z34" i="20" s="1"/>
  <c r="Q34" i="20" s="1"/>
  <c r="Z43" i="20" a="1"/>
  <c r="Z43" i="20" s="1"/>
  <c r="Q43" i="20" s="1"/>
  <c r="Z53" i="20" a="1"/>
  <c r="Z53" i="20" s="1"/>
  <c r="Q53" i="20" s="1"/>
  <c r="AA23" i="10" a="1"/>
  <c r="AA23" i="10" s="1"/>
  <c r="Q23" i="10" s="1"/>
  <c r="Y8" i="9" a="1"/>
  <c r="Y8" i="9" s="1"/>
  <c r="M8" i="9" s="1"/>
  <c r="Z13" i="20" a="1"/>
  <c r="Z13" i="20" s="1"/>
  <c r="Q13" i="20" s="1"/>
  <c r="Z35" i="20" a="1"/>
  <c r="Z35" i="20" s="1"/>
  <c r="Q35" i="20" s="1"/>
  <c r="Z54" i="20" a="1"/>
  <c r="Z54" i="20" s="1"/>
  <c r="Q54" i="20" s="1"/>
  <c r="AA10" i="10" a="1"/>
  <c r="AA10" i="10" s="1"/>
  <c r="Q10" i="10" s="1"/>
  <c r="AA24" i="10" a="1"/>
  <c r="AA24" i="10" s="1"/>
  <c r="Q24" i="10" s="1"/>
  <c r="AA37" i="10" a="1"/>
  <c r="AA37" i="10" s="1"/>
  <c r="Q37" i="10" s="1"/>
  <c r="Y9" i="9" a="1"/>
  <c r="Y9" i="9" s="1"/>
  <c r="M9" i="9" s="1"/>
  <c r="Y23" i="9" a="1"/>
  <c r="Y23" i="9" s="1"/>
  <c r="M23" i="9" s="1"/>
  <c r="Y37" i="9" a="1"/>
  <c r="Y37" i="9" s="1"/>
  <c r="M37" i="9" s="1"/>
  <c r="Y17" i="9" a="1"/>
  <c r="Y17" i="9" s="1"/>
  <c r="M17" i="9" s="1"/>
  <c r="Y36" i="9" a="1"/>
  <c r="Y36" i="9" s="1"/>
  <c r="M36" i="9" s="1"/>
  <c r="Z14" i="20" a="1"/>
  <c r="Z14" i="20" s="1"/>
  <c r="Q14" i="20" s="1"/>
  <c r="Z25" i="20" a="1"/>
  <c r="Z25" i="20" s="1"/>
  <c r="Q25" i="20" s="1"/>
  <c r="Z44" i="20" a="1"/>
  <c r="Z44" i="20" s="1"/>
  <c r="Q44" i="20" s="1"/>
  <c r="Z55" i="20" a="1"/>
  <c r="Z55" i="20" s="1"/>
  <c r="Q55" i="20" s="1"/>
  <c r="AA11" i="10" a="1"/>
  <c r="AA11" i="10" s="1"/>
  <c r="Q11" i="10" s="1"/>
  <c r="AA25" i="10" a="1"/>
  <c r="AA25" i="10" s="1"/>
  <c r="Q25" i="10" s="1"/>
  <c r="AA38" i="10" a="1"/>
  <c r="AA38" i="10" s="1"/>
  <c r="Q38" i="10" s="1"/>
  <c r="Y10" i="9" a="1"/>
  <c r="Y10" i="9" s="1"/>
  <c r="M10" i="9" s="1"/>
  <c r="Y24" i="9" a="1"/>
  <c r="Y24" i="9" s="1"/>
  <c r="M24" i="9" s="1"/>
  <c r="Y38" i="9" a="1"/>
  <c r="Y38" i="9" s="1"/>
  <c r="M38" i="9" s="1"/>
  <c r="Y41" i="9" a="1"/>
  <c r="Y41" i="9" s="1"/>
  <c r="M41" i="9" s="1"/>
  <c r="Y31" i="9" a="1"/>
  <c r="Y31" i="9" s="1"/>
  <c r="M31" i="9" s="1"/>
  <c r="AA35" i="10" a="1"/>
  <c r="AA35" i="10" s="1"/>
  <c r="Q35" i="10" s="1"/>
  <c r="Z26" i="20" a="1"/>
  <c r="Z26" i="20" s="1"/>
  <c r="Q26" i="20" s="1"/>
  <c r="Z36" i="20" a="1"/>
  <c r="Z36" i="20" s="1"/>
  <c r="Q36" i="20" s="1"/>
  <c r="Z45" i="20" a="1"/>
  <c r="Z45" i="20" s="1"/>
  <c r="Q45" i="20" s="1"/>
  <c r="Z56" i="20" a="1"/>
  <c r="Z56" i="20" s="1"/>
  <c r="Q56" i="20" s="1"/>
  <c r="AA12" i="10" a="1"/>
  <c r="AA12" i="10" s="1"/>
  <c r="Q12" i="10" s="1"/>
  <c r="AA26" i="10" a="1"/>
  <c r="AA26" i="10" s="1"/>
  <c r="Q26" i="10" s="1"/>
  <c r="AA39" i="10" a="1"/>
  <c r="AA39" i="10" s="1"/>
  <c r="Q39" i="10" s="1"/>
  <c r="Y11" i="9" a="1"/>
  <c r="Y11" i="9" s="1"/>
  <c r="M11" i="9" s="1"/>
  <c r="Y25" i="9" a="1"/>
  <c r="Y25" i="9" s="1"/>
  <c r="M25" i="9" s="1"/>
  <c r="Y39" i="9" a="1"/>
  <c r="Y39" i="9" s="1"/>
  <c r="M39" i="9" s="1"/>
  <c r="Y40" i="9" a="1"/>
  <c r="Y40" i="9" s="1"/>
  <c r="M40" i="9" s="1"/>
  <c r="AA28" i="10" a="1"/>
  <c r="AA28" i="10" s="1"/>
  <c r="Q28" i="10" s="1"/>
  <c r="Y13" i="9" a="1"/>
  <c r="Y13" i="9" s="1"/>
  <c r="M13" i="9" s="1"/>
  <c r="AA18" i="10" a="1"/>
  <c r="AA18" i="10" s="1"/>
  <c r="Q18" i="10" s="1"/>
  <c r="Y21" i="9" a="1"/>
  <c r="Y21" i="9" s="1"/>
  <c r="M21" i="9" s="1"/>
  <c r="Z15" i="20" a="1"/>
  <c r="Z15" i="20" s="1"/>
  <c r="Q15" i="20" s="1"/>
  <c r="Z27" i="20" a="1"/>
  <c r="Z27" i="20" s="1"/>
  <c r="Q27" i="20" s="1"/>
  <c r="Z46" i="20" a="1"/>
  <c r="Z46" i="20" s="1"/>
  <c r="Q46" i="20" s="1"/>
  <c r="Z57" i="20" a="1"/>
  <c r="Z57" i="20" s="1"/>
  <c r="Q57" i="20" s="1"/>
  <c r="AA13" i="10" a="1"/>
  <c r="AA13" i="10" s="1"/>
  <c r="Q13" i="10" s="1"/>
  <c r="AA27" i="10" a="1"/>
  <c r="AA27" i="10" s="1"/>
  <c r="Q27" i="10" s="1"/>
  <c r="AA40" i="10" a="1"/>
  <c r="AA40" i="10" s="1"/>
  <c r="Q40" i="10" s="1"/>
  <c r="Y12" i="9" a="1"/>
  <c r="Y12" i="9" s="1"/>
  <c r="M12" i="9" s="1"/>
  <c r="Y26" i="9" a="1"/>
  <c r="Y26" i="9" s="1"/>
  <c r="M26" i="9" s="1"/>
  <c r="Z47" i="20" a="1"/>
  <c r="Z47" i="20" s="1"/>
  <c r="Q47" i="20" s="1"/>
  <c r="AA14" i="10" a="1"/>
  <c r="AA14" i="10" s="1"/>
  <c r="Q14" i="10" s="1"/>
  <c r="AA41" i="10" a="1"/>
  <c r="AA41" i="10" s="1"/>
  <c r="Q41" i="10" s="1"/>
  <c r="Y27" i="9" a="1"/>
  <c r="Y27" i="9" s="1"/>
  <c r="M27" i="9" s="1"/>
  <c r="Y7" i="9" a="1"/>
  <c r="Y7" i="9" s="1"/>
  <c r="M7" i="9" s="1"/>
  <c r="AN32" i="21" a="1"/>
  <c r="AN32" i="21" s="1"/>
  <c r="AN33" i="21" s="1" a="1"/>
  <c r="AN33" i="21" s="1"/>
  <c r="AN34" i="21" s="1" a="1"/>
  <c r="AN34" i="21" s="1"/>
  <c r="AN35" i="21" s="1" a="1"/>
  <c r="AN35" i="21" s="1"/>
  <c r="AN36" i="21" s="1" a="1"/>
  <c r="AN36" i="21" s="1"/>
  <c r="AN37" i="21" s="1" a="1"/>
  <c r="AN37" i="21" s="1"/>
  <c r="AN38" i="21" s="1" a="1"/>
  <c r="AN38" i="21" s="1"/>
  <c r="AN39" i="21" s="1" a="1"/>
  <c r="AN39" i="21" s="1"/>
  <c r="AN40" i="21" s="1" a="1"/>
  <c r="AN40" i="21" s="1"/>
  <c r="AN41" i="21" s="1" a="1"/>
  <c r="AN41" i="21" s="1"/>
  <c r="AN42" i="21" s="1" a="1"/>
  <c r="AN42" i="21" s="1"/>
  <c r="AN43" i="21" s="1" a="1"/>
  <c r="AN43" i="21" s="1"/>
  <c r="AI26" i="10" a="1"/>
  <c r="AI26" i="10" s="1"/>
  <c r="AJ26" i="10" s="1" a="1"/>
  <c r="AJ26" i="10" s="1"/>
  <c r="P35" i="21" a="1"/>
  <c r="P35" i="21" s="1"/>
  <c r="F35" i="21" a="1"/>
  <c r="F35" i="21" s="1"/>
  <c r="AG35" i="21" a="1"/>
  <c r="AG35" i="21" s="1"/>
  <c r="R43" i="21"/>
  <c r="R41" i="21"/>
  <c r="B41" i="21" s="1" a="1"/>
  <c r="B41" i="21" s="1"/>
  <c r="A94" i="28" a="1"/>
  <c r="A94" i="28" s="1"/>
  <c r="R39" i="21"/>
  <c r="A39" i="21" s="1" a="1"/>
  <c r="A39" i="21" s="1"/>
  <c r="R40" i="21"/>
  <c r="Y36" i="21" a="1"/>
  <c r="Y36" i="21" s="1"/>
  <c r="A36" i="21" a="1"/>
  <c r="A36" i="21" s="1"/>
  <c r="R37" i="21"/>
  <c r="A37" i="21" s="1" a="1"/>
  <c r="A37" i="21" s="1"/>
  <c r="R38" i="21"/>
  <c r="Z27" i="9" a="1"/>
  <c r="Z27" i="9" s="1"/>
  <c r="AN53" i="3" l="1" a="1"/>
  <c r="AN53" i="3" s="1"/>
  <c r="E134" i="34" a="1"/>
  <c r="E134" i="34" s="1"/>
  <c r="O135" i="34"/>
  <c r="H122" i="34" a="1"/>
  <c r="H122" i="34" s="1"/>
  <c r="N121" i="34"/>
  <c r="AP56" i="20" a="1"/>
  <c r="AP56" i="20" s="1"/>
  <c r="P36" i="21" a="1"/>
  <c r="P36" i="21" s="1"/>
  <c r="P37" i="21" s="1" a="1"/>
  <c r="P37" i="21" s="1"/>
  <c r="A43" i="21" a="1"/>
  <c r="A43" i="21" s="1"/>
  <c r="B43" i="21" a="1"/>
  <c r="B43" i="21" s="1"/>
  <c r="Y43" i="21" a="1"/>
  <c r="Y43" i="21" s="1"/>
  <c r="AK43" i="21" s="1"/>
  <c r="R42" i="21"/>
  <c r="B42" i="21" s="1" a="1"/>
  <c r="B42" i="21" s="1"/>
  <c r="A41" i="21" a="1"/>
  <c r="A41" i="21" s="1"/>
  <c r="Y41" i="21" a="1"/>
  <c r="Y41" i="21" s="1"/>
  <c r="AK41" i="21" s="1"/>
  <c r="AK36" i="21"/>
  <c r="AL36" i="21" s="1" a="1"/>
  <c r="AL36" i="21" s="1"/>
  <c r="AG37" i="21" a="1"/>
  <c r="AG37" i="21" s="1"/>
  <c r="AG36" i="21" a="1"/>
  <c r="AG36" i="21" s="1"/>
  <c r="AG39" i="21" a="1"/>
  <c r="AG39" i="21" s="1"/>
  <c r="A95" i="28" a="1"/>
  <c r="A95" i="28" s="1"/>
  <c r="Y39" i="21" a="1"/>
  <c r="Y39" i="21" s="1"/>
  <c r="B39" i="21" a="1"/>
  <c r="B39" i="21" s="1"/>
  <c r="A40" i="21" a="1"/>
  <c r="A40" i="21" s="1"/>
  <c r="B40" i="21" a="1"/>
  <c r="B40" i="21" s="1"/>
  <c r="Y40" i="21" a="1"/>
  <c r="Y40" i="21" s="1"/>
  <c r="F39" i="21" a="1"/>
  <c r="F39" i="21" s="1"/>
  <c r="AI18" i="10" a="1"/>
  <c r="AI18" i="10" s="1"/>
  <c r="AJ18" i="10" s="1" a="1"/>
  <c r="AJ18" i="10" s="1"/>
  <c r="F36" i="21" a="1"/>
  <c r="F36" i="21" s="1"/>
  <c r="Y37" i="21" a="1"/>
  <c r="Y37" i="21" s="1"/>
  <c r="AK37" i="21" s="1"/>
  <c r="B37" i="21" a="1"/>
  <c r="B37" i="21" s="1"/>
  <c r="A38" i="21" a="1"/>
  <c r="A38" i="21" s="1"/>
  <c r="B38" i="21" a="1"/>
  <c r="B38" i="21" s="1"/>
  <c r="Y38" i="21" a="1"/>
  <c r="Y38" i="21" s="1"/>
  <c r="F37" i="21" a="1"/>
  <c r="F37" i="21" s="1"/>
  <c r="Z28" i="9" a="1"/>
  <c r="Z28" i="9" s="1"/>
  <c r="AN54" i="3" l="1" a="1"/>
  <c r="AN54" i="3" s="1"/>
  <c r="AK39" i="21"/>
  <c r="AK40" i="21"/>
  <c r="H123" i="34" a="1"/>
  <c r="H123" i="34" s="1"/>
  <c r="N122" i="34"/>
  <c r="E135" i="34" a="1"/>
  <c r="E135" i="34" s="1"/>
  <c r="O136" i="34"/>
  <c r="AP57" i="20" a="1"/>
  <c r="AP57" i="20" s="1"/>
  <c r="P38" i="21" a="1"/>
  <c r="P38" i="21" s="1"/>
  <c r="P39" i="21" s="1" a="1"/>
  <c r="P39" i="21" s="1"/>
  <c r="P40" i="21" s="1" a="1"/>
  <c r="P40" i="21" s="1"/>
  <c r="P41" i="21" s="1" a="1"/>
  <c r="P41" i="21" s="1"/>
  <c r="AL37" i="21" a="1"/>
  <c r="AL37" i="21" s="1"/>
  <c r="F41" i="21" a="1"/>
  <c r="F41" i="21" s="1"/>
  <c r="AG41" i="21" a="1"/>
  <c r="AG41" i="21" s="1"/>
  <c r="AG43" i="21" a="1"/>
  <c r="AG43" i="21" s="1"/>
  <c r="F43" i="21" a="1"/>
  <c r="F43" i="21" s="1"/>
  <c r="Y42" i="21" a="1"/>
  <c r="Y42" i="21" s="1"/>
  <c r="AK42" i="21" s="1"/>
  <c r="A42" i="21" a="1"/>
  <c r="A42" i="21" s="1"/>
  <c r="AK38" i="21"/>
  <c r="AG38" i="21" a="1"/>
  <c r="AG38" i="21" s="1"/>
  <c r="AG40" i="21" a="1"/>
  <c r="AG40" i="21" s="1"/>
  <c r="A96" i="28" a="1"/>
  <c r="A96" i="28" s="1"/>
  <c r="AI19" i="10" a="1"/>
  <c r="AI19" i="10" s="1"/>
  <c r="AJ19" i="10" s="1" a="1"/>
  <c r="AJ19" i="10" s="1"/>
  <c r="F40" i="21" a="1"/>
  <c r="F40" i="21" s="1"/>
  <c r="F38" i="21" a="1"/>
  <c r="F38" i="21" s="1"/>
  <c r="AL50" i="20" a="1"/>
  <c r="AL50" i="20" s="1"/>
  <c r="AM50" i="20" s="1" a="1"/>
  <c r="AM50" i="20" s="1"/>
  <c r="Z29" i="9" a="1"/>
  <c r="Z29" i="9" s="1"/>
  <c r="AN55" i="3" l="1" a="1"/>
  <c r="AN55" i="3" s="1"/>
  <c r="E136" i="34" a="1"/>
  <c r="E136" i="34" s="1"/>
  <c r="O137" i="34"/>
  <c r="H124" i="34" a="1"/>
  <c r="H124" i="34" s="1"/>
  <c r="N123" i="34"/>
  <c r="AP58" i="20" a="1"/>
  <c r="AP58" i="20" s="1"/>
  <c r="AL38" i="21" a="1"/>
  <c r="AL38" i="21" s="1"/>
  <c r="AL39" i="21" s="1" a="1"/>
  <c r="AL39" i="21" s="1"/>
  <c r="AL40" i="21" s="1" a="1"/>
  <c r="AL40" i="21" s="1"/>
  <c r="AL41" i="21" s="1" a="1"/>
  <c r="AL41" i="21" s="1"/>
  <c r="AL42" i="21" s="1" a="1"/>
  <c r="AL42" i="21" s="1"/>
  <c r="AL43" i="21" s="1" a="1"/>
  <c r="AL43" i="21" s="1"/>
  <c r="F42" i="21" a="1"/>
  <c r="F42" i="21" s="1"/>
  <c r="P42" i="21" a="1"/>
  <c r="P42" i="21" s="1"/>
  <c r="P43" i="21" s="1" a="1"/>
  <c r="P43" i="21" s="1"/>
  <c r="AG42" i="21" a="1"/>
  <c r="AG42" i="21" s="1"/>
  <c r="A97" i="28" a="1"/>
  <c r="A97" i="28" s="1"/>
  <c r="Z30" i="9" a="1"/>
  <c r="Z30" i="9" s="1"/>
  <c r="Z31" i="9" s="1" a="1"/>
  <c r="Z31" i="9" s="1"/>
  <c r="Z32" i="9" s="1" a="1"/>
  <c r="Z32" i="9" s="1"/>
  <c r="Z33" i="9" s="1" a="1"/>
  <c r="Z33" i="9" s="1"/>
  <c r="Z34" i="9" s="1" a="1"/>
  <c r="Z34" i="9" s="1"/>
  <c r="Z35" i="9" s="1" a="1"/>
  <c r="Z35" i="9" s="1"/>
  <c r="Z36" i="9" s="1" a="1"/>
  <c r="Z36" i="9" s="1"/>
  <c r="Z37" i="9" s="1" a="1"/>
  <c r="Z37" i="9" s="1"/>
  <c r="Z38" i="9" s="1" a="1"/>
  <c r="Z38" i="9" s="1"/>
  <c r="Z39" i="9" s="1" a="1"/>
  <c r="Z39" i="9" s="1"/>
  <c r="Z40" i="9" s="1" a="1"/>
  <c r="Z40" i="9" s="1"/>
  <c r="Z41" i="9" s="1" a="1"/>
  <c r="Z41" i="9" s="1"/>
  <c r="Z42" i="9" s="1" a="1"/>
  <c r="Z42" i="9" s="1"/>
  <c r="Z43" i="9" s="1" a="1"/>
  <c r="Z43" i="9" s="1"/>
  <c r="J4" i="14"/>
  <c r="AN56" i="3" l="1" a="1"/>
  <c r="AN56" i="3" s="1"/>
  <c r="N124" i="34"/>
  <c r="H125" i="34" a="1"/>
  <c r="H125" i="34" s="1"/>
  <c r="E137" i="34" a="1"/>
  <c r="E137" i="34" s="1"/>
  <c r="O138" i="34"/>
  <c r="AP59" i="20" a="1"/>
  <c r="AP59" i="20" s="1"/>
  <c r="K4" i="14" a="1"/>
  <c r="K4" i="14" s="1"/>
  <c r="K5" i="14" s="1" a="1"/>
  <c r="K5" i="14" s="1"/>
  <c r="K6" i="14" s="1" a="1"/>
  <c r="K6" i="14" s="1"/>
  <c r="A98" i="28" a="1"/>
  <c r="A98" i="28" s="1"/>
  <c r="AN57" i="3" l="1" a="1"/>
  <c r="AN57" i="3" s="1"/>
  <c r="E138" i="34" a="1"/>
  <c r="E138" i="34" s="1"/>
  <c r="O139" i="34"/>
  <c r="N125" i="34"/>
  <c r="H126" i="34" a="1"/>
  <c r="H126" i="34" s="1"/>
  <c r="AP60" i="20" a="1"/>
  <c r="AP60" i="20" s="1"/>
  <c r="A99" i="28" a="1"/>
  <c r="A99" i="28" s="1"/>
  <c r="AN58" i="3" l="1" a="1"/>
  <c r="AN58" i="3" s="1"/>
  <c r="H127" i="34" a="1"/>
  <c r="H127" i="34" s="1"/>
  <c r="N126" i="34"/>
  <c r="E139" i="34" a="1"/>
  <c r="E139" i="34" s="1"/>
  <c r="O140" i="34"/>
  <c r="AP61" i="20" a="1"/>
  <c r="AP61" i="20" s="1"/>
  <c r="A100" i="28" a="1"/>
  <c r="A100" i="28" s="1"/>
  <c r="AN59" i="3" l="1" a="1"/>
  <c r="AN59" i="3" s="1"/>
  <c r="AP62" i="20" a="1"/>
  <c r="AP62" i="20" s="1"/>
  <c r="AP63" i="20" s="1" a="1"/>
  <c r="AP63" i="20" s="1"/>
  <c r="AP64" i="20" s="1" a="1"/>
  <c r="AP64" i="20" s="1"/>
  <c r="AP65" i="20" s="1" a="1"/>
  <c r="AP65" i="20" s="1"/>
  <c r="AP66" i="20" s="1" a="1"/>
  <c r="AP66" i="20" s="1"/>
  <c r="AP67" i="20" s="1" a="1"/>
  <c r="AP67" i="20" s="1"/>
  <c r="E140" i="34" a="1"/>
  <c r="E140" i="34" s="1"/>
  <c r="O141" i="34"/>
  <c r="N127" i="34"/>
  <c r="H128" i="34" a="1"/>
  <c r="H128" i="34" s="1"/>
  <c r="A101" i="28" a="1"/>
  <c r="A101" i="28" s="1"/>
  <c r="AN60" i="3" l="1" a="1"/>
  <c r="AN60" i="3" s="1"/>
  <c r="H129" i="34" a="1"/>
  <c r="H129" i="34" s="1"/>
  <c r="N128" i="34"/>
  <c r="E141" i="34" a="1"/>
  <c r="E141" i="34" s="1"/>
  <c r="O142" i="34"/>
  <c r="A102" i="28" a="1"/>
  <c r="A102" i="28" s="1"/>
  <c r="AN61" i="3" l="1" a="1"/>
  <c r="AN61" i="3" s="1"/>
  <c r="E142" i="34" a="1"/>
  <c r="E142" i="34" s="1"/>
  <c r="O143" i="34"/>
  <c r="N129" i="34"/>
  <c r="H130" i="34" a="1"/>
  <c r="H130" i="34" s="1"/>
  <c r="A103" i="28" a="1"/>
  <c r="A103" i="28" s="1"/>
  <c r="AN62" i="3" l="1" a="1"/>
  <c r="AN62" i="3" s="1"/>
  <c r="H131" i="34" a="1"/>
  <c r="H131" i="34" s="1"/>
  <c r="N130" i="34"/>
  <c r="E143" i="34" a="1"/>
  <c r="E143" i="34" s="1"/>
  <c r="O144" i="34"/>
  <c r="Q18" i="24" a="1"/>
  <c r="AN63" i="3" l="1" a="1"/>
  <c r="AN63" i="3" s="1"/>
  <c r="E144" i="34" a="1"/>
  <c r="E144" i="34" s="1"/>
  <c r="O145" i="34"/>
  <c r="H132" i="34" a="1"/>
  <c r="H132" i="34" s="1"/>
  <c r="N131" i="34"/>
  <c r="Q18" i="24"/>
  <c r="E18" i="24" s="1" a="1"/>
  <c r="E18" i="24" s="1"/>
  <c r="A104" i="28" a="1"/>
  <c r="A104" i="28" s="1"/>
  <c r="A105" i="28" a="1"/>
  <c r="A105" i="28" s="1"/>
  <c r="C18" i="24" a="1"/>
  <c r="AN64" i="3" l="1" a="1"/>
  <c r="AN64" i="3" s="1"/>
  <c r="N132" i="34"/>
  <c r="H133" i="34" a="1"/>
  <c r="H133" i="34" s="1"/>
  <c r="E145" i="34" a="1"/>
  <c r="E145" i="34" s="1"/>
  <c r="O146" i="34"/>
  <c r="A107" i="28" a="1"/>
  <c r="A107" i="28" s="1"/>
  <c r="A108" i="28" a="1"/>
  <c r="A108" i="28" s="1"/>
  <c r="C18" i="24"/>
  <c r="AN65" i="3" l="1" a="1"/>
  <c r="AN65" i="3" s="1"/>
  <c r="E146" i="34" a="1"/>
  <c r="E146" i="34" s="1"/>
  <c r="O147" i="34"/>
  <c r="H134" i="34" a="1"/>
  <c r="H134" i="34" s="1"/>
  <c r="N133" i="34"/>
  <c r="A18" i="24"/>
  <c r="D18" i="24"/>
  <c r="AN66" i="3" l="1" a="1"/>
  <c r="AN66" i="3" s="1"/>
  <c r="H135" i="34" a="1"/>
  <c r="H135" i="34" s="1"/>
  <c r="N134" i="34"/>
  <c r="E147" i="34" a="1"/>
  <c r="E147" i="34" s="1"/>
  <c r="O148" i="34"/>
  <c r="A109" i="28" a="1"/>
  <c r="A109" i="28" s="1"/>
  <c r="A110" i="28" a="1"/>
  <c r="A110" i="28" s="1"/>
  <c r="A112" i="28" a="1"/>
  <c r="A112" i="28" s="1"/>
  <c r="A111" i="28" a="1"/>
  <c r="A111" i="28" s="1"/>
  <c r="Q27" i="24" a="1"/>
  <c r="Q26" i="24" a="1"/>
  <c r="AN67" i="3" l="1" a="1"/>
  <c r="AN67" i="3" s="1"/>
  <c r="E148" i="34" a="1"/>
  <c r="E148" i="34" s="1"/>
  <c r="O149" i="34"/>
  <c r="N135" i="34"/>
  <c r="H136" i="34" a="1"/>
  <c r="H136" i="34" s="1"/>
  <c r="Q27" i="24"/>
  <c r="E27" i="24" s="1" a="1"/>
  <c r="E27" i="24" s="1"/>
  <c r="Q26" i="24"/>
  <c r="E26" i="24" s="1" a="1"/>
  <c r="E26" i="24" s="1"/>
  <c r="A113" i="28" a="1"/>
  <c r="A113" i="28" s="1"/>
  <c r="C26" i="24" a="1"/>
  <c r="C27" i="24" a="1"/>
  <c r="AN68" i="3" l="1" a="1"/>
  <c r="AN68" i="3" s="1"/>
  <c r="N136" i="34"/>
  <c r="H137" i="34" a="1"/>
  <c r="H137" i="34" s="1"/>
  <c r="E149" i="34" a="1"/>
  <c r="E149" i="34" s="1"/>
  <c r="O150" i="34"/>
  <c r="C27" i="24"/>
  <c r="C26" i="24"/>
  <c r="A116" i="28" a="1"/>
  <c r="A116" i="28" s="1"/>
  <c r="AN69" i="3" l="1" a="1"/>
  <c r="AN69" i="3" s="1"/>
  <c r="E150" i="34" a="1"/>
  <c r="E150" i="34" s="1"/>
  <c r="O151" i="34"/>
  <c r="H138" i="34" a="1"/>
  <c r="H138" i="34" s="1"/>
  <c r="N137" i="34"/>
  <c r="A27" i="24"/>
  <c r="A26" i="24"/>
  <c r="A117" i="28" a="1"/>
  <c r="A117" i="28" s="1"/>
  <c r="A114" i="28" a="1"/>
  <c r="A114" i="28" s="1"/>
  <c r="D27" i="24"/>
  <c r="D26" i="24"/>
  <c r="AN70" i="3" l="1" a="1"/>
  <c r="AN70" i="3" s="1"/>
  <c r="N138" i="34"/>
  <c r="H139" i="34" a="1"/>
  <c r="H139" i="34" s="1"/>
  <c r="E151" i="34" a="1"/>
  <c r="E151" i="34" s="1"/>
  <c r="O152" i="34"/>
  <c r="A118" i="28" a="1"/>
  <c r="A118" i="28" s="1"/>
  <c r="AN71" i="3" l="1" a="1"/>
  <c r="AN71" i="3" s="1"/>
  <c r="E152" i="34" a="1"/>
  <c r="E152" i="34" s="1"/>
  <c r="O153" i="34"/>
  <c r="N139" i="34"/>
  <c r="H140" i="34" a="1"/>
  <c r="H140" i="34" s="1"/>
  <c r="A119" i="28" a="1"/>
  <c r="A119" i="28" s="1"/>
  <c r="AN72" i="3" l="1" a="1"/>
  <c r="AN72" i="3" s="1"/>
  <c r="H141" i="34" a="1"/>
  <c r="H141" i="34" s="1"/>
  <c r="N140" i="34"/>
  <c r="E153" i="34" a="1"/>
  <c r="E153" i="34" s="1"/>
  <c r="O154" i="34"/>
  <c r="A120" i="28" a="1"/>
  <c r="A120" i="28" s="1"/>
  <c r="AN73" i="3" l="1" a="1"/>
  <c r="AN73" i="3" s="1"/>
  <c r="E154" i="34" a="1"/>
  <c r="E154" i="34" s="1"/>
  <c r="O155" i="34"/>
  <c r="N141" i="34"/>
  <c r="H142" i="34" a="1"/>
  <c r="H142" i="34" s="1"/>
  <c r="A122" i="28" a="1"/>
  <c r="A122" i="28" s="1"/>
  <c r="AN74" i="3" l="1" a="1"/>
  <c r="AN74" i="3" s="1"/>
  <c r="H143" i="34" a="1"/>
  <c r="H143" i="34" s="1"/>
  <c r="N142" i="34"/>
  <c r="E155" i="34" a="1"/>
  <c r="E155" i="34" s="1"/>
  <c r="O156" i="34"/>
  <c r="A121" i="28" a="1"/>
  <c r="A121" i="28" s="1"/>
  <c r="A123" i="28" a="1"/>
  <c r="A123" i="28" s="1"/>
  <c r="AN75" i="3" l="1" a="1"/>
  <c r="AN75" i="3" s="1"/>
  <c r="E156" i="34" a="1"/>
  <c r="E156" i="34" s="1"/>
  <c r="O157" i="34"/>
  <c r="H144" i="34" a="1"/>
  <c r="H144" i="34" s="1"/>
  <c r="N143" i="34"/>
  <c r="A124" i="28" a="1"/>
  <c r="A124" i="28" s="1"/>
  <c r="AN76" i="3" l="1" a="1"/>
  <c r="AN76" i="3" s="1"/>
  <c r="H145" i="34" a="1"/>
  <c r="H145" i="34" s="1"/>
  <c r="N144" i="34"/>
  <c r="E157" i="34" a="1"/>
  <c r="E157" i="34" s="1"/>
  <c r="O158" i="34"/>
  <c r="AN77" i="3" l="1" a="1"/>
  <c r="AN77" i="3" s="1"/>
  <c r="E158" i="34" a="1"/>
  <c r="E158" i="34" s="1"/>
  <c r="O159" i="34"/>
  <c r="N145" i="34"/>
  <c r="H146" i="34" a="1"/>
  <c r="H146" i="34" s="1"/>
  <c r="A125" i="28" a="1"/>
  <c r="A125" i="28" s="1"/>
  <c r="A126" i="28" a="1"/>
  <c r="A126" i="28" s="1"/>
  <c r="AN78" i="3" l="1" a="1"/>
  <c r="AN78" i="3" s="1"/>
  <c r="N146" i="34"/>
  <c r="H147" i="34" a="1"/>
  <c r="H147" i="34" s="1"/>
  <c r="E159" i="34" a="1"/>
  <c r="E159" i="34" s="1"/>
  <c r="O160" i="34"/>
  <c r="A127" i="28" a="1"/>
  <c r="A127" i="28" s="1"/>
  <c r="J7" i="14"/>
  <c r="AN79" i="3" l="1" a="1"/>
  <c r="AN79" i="3" s="1"/>
  <c r="E160" i="34" a="1"/>
  <c r="E160" i="34" s="1"/>
  <c r="O161" i="34"/>
  <c r="H148" i="34" a="1"/>
  <c r="H148" i="34" s="1"/>
  <c r="N147" i="34"/>
  <c r="K7" i="14" a="1"/>
  <c r="K7" i="14" s="1"/>
  <c r="K8" i="14" s="1" a="1"/>
  <c r="K8" i="14" s="1"/>
  <c r="P3" i="12"/>
  <c r="L3" i="12" s="1" a="1"/>
  <c r="L3" i="12" s="1"/>
  <c r="B7" i="19"/>
  <c r="A129" i="28" a="1"/>
  <c r="A129" i="28" s="1"/>
  <c r="AN80" i="3" l="1" a="1"/>
  <c r="AN80" i="3" s="1"/>
  <c r="N148" i="34"/>
  <c r="H149" i="34" a="1"/>
  <c r="H149" i="34" s="1"/>
  <c r="E161" i="34" a="1"/>
  <c r="E161" i="34" s="1"/>
  <c r="O162" i="34"/>
  <c r="M3" i="12" a="1"/>
  <c r="M3" i="12" s="1"/>
  <c r="Q3" i="12" a="1"/>
  <c r="Q3" i="12" s="1"/>
  <c r="K3" i="12" s="1"/>
  <c r="E3" i="12" s="1" a="1"/>
  <c r="E3" i="12" s="1"/>
  <c r="R3" i="12" a="1"/>
  <c r="R3" i="12" s="1"/>
  <c r="S3" i="12" s="1"/>
  <c r="I4" i="12" s="1" a="1"/>
  <c r="I4" i="12" s="1"/>
  <c r="A130" i="28" a="1"/>
  <c r="A130" i="28" s="1"/>
  <c r="AN81" i="3" l="1" a="1"/>
  <c r="AN81" i="3" s="1"/>
  <c r="E162" i="34" a="1"/>
  <c r="E162" i="34" s="1"/>
  <c r="O163" i="34"/>
  <c r="H150" i="34" a="1"/>
  <c r="H150" i="34" s="1"/>
  <c r="N149" i="34"/>
  <c r="W3" i="12" a="1"/>
  <c r="W3" i="12" s="1"/>
  <c r="Y3" i="12" a="1"/>
  <c r="Y3" i="12" s="1"/>
  <c r="B3" i="12" a="1"/>
  <c r="B3" i="12" s="1"/>
  <c r="A3" i="12" s="1" a="1"/>
  <c r="A3" i="12" s="1"/>
  <c r="T3" i="12" a="1"/>
  <c r="T3" i="12" s="1"/>
  <c r="C3" i="12" a="1"/>
  <c r="C3" i="12" s="1"/>
  <c r="AS3" i="12"/>
  <c r="P4" i="12"/>
  <c r="M4" i="12" s="1" a="1"/>
  <c r="M4" i="12" s="1"/>
  <c r="AD3" i="12"/>
  <c r="A131" i="28" a="1"/>
  <c r="A131" i="28" s="1"/>
  <c r="AN82" i="3" l="1" a="1"/>
  <c r="AN82" i="3" s="1"/>
  <c r="H151" i="34" a="1"/>
  <c r="H151" i="34" s="1"/>
  <c r="N150" i="34"/>
  <c r="E163" i="34" a="1"/>
  <c r="E163" i="34" s="1"/>
  <c r="O164" i="34"/>
  <c r="H3" i="12" a="1"/>
  <c r="H3" i="12" s="1"/>
  <c r="X3" i="12" a="1"/>
  <c r="X3" i="12" s="1"/>
  <c r="B6" i="32"/>
  <c r="AV3" i="12"/>
  <c r="AW3" i="12" s="1" a="1"/>
  <c r="AW3" i="12" s="1"/>
  <c r="D3" i="12"/>
  <c r="T4" i="12" a="1"/>
  <c r="T4" i="12" s="1"/>
  <c r="C4" i="12" a="1"/>
  <c r="C4" i="12" s="1"/>
  <c r="J4" i="12"/>
  <c r="R4" i="12" a="1"/>
  <c r="R4" i="12" s="1"/>
  <c r="L4" i="12" a="1"/>
  <c r="L4" i="12" s="1"/>
  <c r="Q4" i="12" a="1"/>
  <c r="Q4" i="12" s="1"/>
  <c r="F3" i="12"/>
  <c r="A132" i="28" a="1"/>
  <c r="A132" i="28" s="1"/>
  <c r="AN83" i="3" l="1" a="1"/>
  <c r="AN83" i="3" s="1"/>
  <c r="E164" i="34" a="1"/>
  <c r="E164" i="34" s="1"/>
  <c r="O165" i="34"/>
  <c r="N151" i="34"/>
  <c r="H152" i="34" a="1"/>
  <c r="H152" i="34" s="1"/>
  <c r="AC6" i="32"/>
  <c r="U6" i="32" a="1"/>
  <c r="U6" i="32" s="1"/>
  <c r="G3" i="12"/>
  <c r="Z3" i="12" s="1" a="1"/>
  <c r="Z3" i="12" s="1"/>
  <c r="D4" i="12"/>
  <c r="K4" i="12"/>
  <c r="E4" i="12" s="1" a="1"/>
  <c r="E4" i="12" s="1"/>
  <c r="S4" i="12"/>
  <c r="I5" i="12" s="1" a="1"/>
  <c r="I5" i="12" s="1"/>
  <c r="J5" i="12" s="1"/>
  <c r="A134" i="28" a="1"/>
  <c r="A134" i="28" s="1"/>
  <c r="AN84" i="3" l="1" a="1"/>
  <c r="AN84" i="3" s="1"/>
  <c r="H153" i="34" a="1"/>
  <c r="H153" i="34" s="1"/>
  <c r="N152" i="34"/>
  <c r="E165" i="34" a="1"/>
  <c r="E165" i="34" s="1"/>
  <c r="O166" i="34"/>
  <c r="W4" i="12" a="1"/>
  <c r="W4" i="12" s="1"/>
  <c r="Y4" i="12" a="1"/>
  <c r="Y4" i="12" s="1"/>
  <c r="P5" i="12"/>
  <c r="R5" i="12" s="1" a="1"/>
  <c r="R5" i="12" s="1"/>
  <c r="S5" i="12" s="1"/>
  <c r="I6" i="12" s="1" a="1"/>
  <c r="I6" i="12" s="1"/>
  <c r="AD4" i="12"/>
  <c r="B4" i="12" a="1"/>
  <c r="B4" i="12" s="1"/>
  <c r="A4" i="12" s="1" a="1"/>
  <c r="A4" i="12" s="1"/>
  <c r="AS4" i="12"/>
  <c r="A135" i="28" a="1"/>
  <c r="A135" i="28" s="1"/>
  <c r="AN85" i="3" l="1" a="1"/>
  <c r="AN85" i="3" s="1"/>
  <c r="E166" i="34" a="1"/>
  <c r="E166" i="34" s="1"/>
  <c r="O167" i="34"/>
  <c r="N153" i="34"/>
  <c r="H154" i="34" a="1"/>
  <c r="H154" i="34" s="1"/>
  <c r="AT3" i="12"/>
  <c r="AU3" i="12" s="1" a="1"/>
  <c r="AU3" i="12" s="1"/>
  <c r="L5" i="12" a="1"/>
  <c r="L5" i="12" s="1"/>
  <c r="H4" i="12" a="1"/>
  <c r="H4" i="12" s="1"/>
  <c r="M5" i="12" a="1"/>
  <c r="M5" i="12" s="1"/>
  <c r="C5" i="12" s="1" a="1"/>
  <c r="C5" i="12" s="1"/>
  <c r="Q5" i="12" a="1"/>
  <c r="Q5" i="12" s="1"/>
  <c r="K5" i="12" s="1"/>
  <c r="E5" i="12" s="1" a="1"/>
  <c r="E5" i="12" s="1"/>
  <c r="AV4" i="12"/>
  <c r="AW4" i="12" s="1" a="1"/>
  <c r="AW4" i="12" s="1"/>
  <c r="X4" i="12" a="1"/>
  <c r="X4" i="12" s="1"/>
  <c r="F4" i="12"/>
  <c r="G4" i="12" s="1"/>
  <c r="Z4" i="12" s="1" a="1"/>
  <c r="Z4" i="12" s="1"/>
  <c r="AS5" i="12"/>
  <c r="A136" i="28" a="1"/>
  <c r="A136" i="28" s="1"/>
  <c r="AN86" i="3" l="1" a="1"/>
  <c r="AN86" i="3" s="1"/>
  <c r="N154" i="34"/>
  <c r="H155" i="34" a="1"/>
  <c r="H155" i="34" s="1"/>
  <c r="E167" i="34" a="1"/>
  <c r="E167" i="34" s="1"/>
  <c r="O168" i="34"/>
  <c r="T5" i="12" a="1"/>
  <c r="T5" i="12" s="1"/>
  <c r="D5" i="12" s="1"/>
  <c r="W5" i="12" a="1"/>
  <c r="W5" i="12" s="1"/>
  <c r="B5" i="12" a="1"/>
  <c r="B5" i="12" s="1"/>
  <c r="A5" i="12" s="1" a="1"/>
  <c r="A5" i="12" s="1"/>
  <c r="Y5" i="12" a="1"/>
  <c r="Y5" i="12" s="1"/>
  <c r="AD5" i="12"/>
  <c r="AT4" i="12"/>
  <c r="AU4" i="12" s="1" a="1"/>
  <c r="AU4" i="12" s="1"/>
  <c r="P6" i="12"/>
  <c r="J6" i="12"/>
  <c r="A137" i="28" a="1"/>
  <c r="A137" i="28" s="1"/>
  <c r="AN87" i="3" l="1" a="1"/>
  <c r="AN87" i="3" s="1"/>
  <c r="E168" i="34" a="1"/>
  <c r="E168" i="34" s="1"/>
  <c r="O169" i="34"/>
  <c r="N155" i="34"/>
  <c r="H156" i="34" a="1"/>
  <c r="H156" i="34" s="1"/>
  <c r="AV5" i="12"/>
  <c r="AW5" i="12" s="1" a="1"/>
  <c r="AW5" i="12" s="1"/>
  <c r="F5" i="12"/>
  <c r="G5" i="12" s="1"/>
  <c r="Z5" i="12" s="1" a="1"/>
  <c r="Z5" i="12" s="1"/>
  <c r="X5" i="12" a="1"/>
  <c r="X5" i="12" s="1"/>
  <c r="H5" i="12" a="1"/>
  <c r="H5" i="12" s="1"/>
  <c r="Q6" i="12" a="1"/>
  <c r="Q6" i="12" s="1"/>
  <c r="K6" i="12" s="1"/>
  <c r="E6" i="12" s="1" a="1"/>
  <c r="E6" i="12" s="1"/>
  <c r="M6" i="12" a="1"/>
  <c r="M6" i="12" s="1"/>
  <c r="R6" i="12" a="1"/>
  <c r="R6" i="12" s="1"/>
  <c r="S6" i="12" s="1"/>
  <c r="I7" i="12" s="1" a="1"/>
  <c r="I7" i="12" s="1"/>
  <c r="L6" i="12" a="1"/>
  <c r="L6" i="12" s="1"/>
  <c r="A138" i="28" a="1"/>
  <c r="A138" i="28" s="1"/>
  <c r="AN88" i="3" l="1" a="1"/>
  <c r="AN88" i="3" s="1"/>
  <c r="H157" i="34" a="1"/>
  <c r="H157" i="34" s="1"/>
  <c r="N156" i="34"/>
  <c r="E169" i="34" a="1"/>
  <c r="E169" i="34" s="1"/>
  <c r="O170" i="34"/>
  <c r="W6" i="12" a="1"/>
  <c r="W6" i="12" s="1"/>
  <c r="Y6" i="12" a="1"/>
  <c r="Y6" i="12" s="1"/>
  <c r="T6" i="12" a="1"/>
  <c r="T6" i="12" s="1"/>
  <c r="C6" i="12" a="1"/>
  <c r="C6" i="12" s="1"/>
  <c r="B6" i="12" a="1"/>
  <c r="B6" i="12" s="1"/>
  <c r="A6" i="12" s="1" a="1"/>
  <c r="A6" i="12" s="1"/>
  <c r="AS6" i="12"/>
  <c r="AD6" i="12"/>
  <c r="B14" i="19"/>
  <c r="A139" i="28" a="1"/>
  <c r="A139" i="28" s="1"/>
  <c r="Q11" i="24" a="1"/>
  <c r="AN89" i="3" l="1" a="1"/>
  <c r="AN89" i="3" s="1"/>
  <c r="E170" i="34" a="1"/>
  <c r="E170" i="34" s="1"/>
  <c r="O171" i="34"/>
  <c r="H158" i="34" a="1"/>
  <c r="H158" i="34" s="1"/>
  <c r="N157" i="34"/>
  <c r="H6" i="12" a="1"/>
  <c r="H6" i="12" s="1"/>
  <c r="D6" i="12"/>
  <c r="X6" i="12" a="1"/>
  <c r="X6" i="12" s="1"/>
  <c r="AV6" i="12"/>
  <c r="AW6" i="12" s="1" a="1"/>
  <c r="AW6" i="12" s="1"/>
  <c r="F6" i="12"/>
  <c r="P7" i="12"/>
  <c r="J7" i="12"/>
  <c r="AT5" i="12"/>
  <c r="AU5" i="12" s="1" a="1"/>
  <c r="AU5" i="12" s="1"/>
  <c r="Q11" i="24"/>
  <c r="E11" i="24" s="1" a="1"/>
  <c r="E11" i="24" s="1"/>
  <c r="A140" i="28" a="1"/>
  <c r="A140" i="28" s="1"/>
  <c r="C11" i="24" a="1"/>
  <c r="AN90" i="3" l="1" a="1"/>
  <c r="AN90" i="3" s="1"/>
  <c r="H159" i="34" a="1"/>
  <c r="H159" i="34" s="1"/>
  <c r="N158" i="34"/>
  <c r="E171" i="34" a="1"/>
  <c r="E171" i="34" s="1"/>
  <c r="O172" i="34"/>
  <c r="G6" i="12"/>
  <c r="Z6" i="12" s="1" a="1"/>
  <c r="Z6" i="12" s="1"/>
  <c r="Q7" i="12" a="1"/>
  <c r="Q7" i="12" s="1"/>
  <c r="K7" i="12" s="1"/>
  <c r="E7" i="12" s="1" a="1"/>
  <c r="E7" i="12" s="1"/>
  <c r="M7" i="12" a="1"/>
  <c r="M7" i="12" s="1"/>
  <c r="L7" i="12" a="1"/>
  <c r="L7" i="12" s="1"/>
  <c r="R7" i="12" a="1"/>
  <c r="R7" i="12" s="1"/>
  <c r="S7" i="12" s="1"/>
  <c r="I8" i="12" s="1" a="1"/>
  <c r="I8" i="12" s="1"/>
  <c r="C11" i="24"/>
  <c r="A141" i="28" a="1"/>
  <c r="A141" i="28" s="1"/>
  <c r="Q8" i="24" a="1"/>
  <c r="Q7" i="24" a="1"/>
  <c r="AN91" i="3" l="1" a="1"/>
  <c r="AN91" i="3" s="1"/>
  <c r="E172" i="34" a="1"/>
  <c r="E172" i="34" s="1"/>
  <c r="O173" i="34"/>
  <c r="N159" i="34"/>
  <c r="H160" i="34" a="1"/>
  <c r="H160" i="34" s="1"/>
  <c r="W7" i="12" a="1"/>
  <c r="W7" i="12" s="1"/>
  <c r="Y7" i="12" a="1"/>
  <c r="Y7" i="12" s="1"/>
  <c r="T7" i="12" a="1"/>
  <c r="T7" i="12" s="1"/>
  <c r="C7" i="12" a="1"/>
  <c r="C7" i="12" s="1"/>
  <c r="B7" i="12" a="1"/>
  <c r="B7" i="12" s="1"/>
  <c r="A7" i="12" s="1" a="1"/>
  <c r="A7" i="12" s="1"/>
  <c r="AS7" i="12"/>
  <c r="AD7" i="12"/>
  <c r="A11" i="24"/>
  <c r="A142" i="28" a="1"/>
  <c r="A142" i="28" s="1"/>
  <c r="Q8" i="24"/>
  <c r="E8" i="24" s="1" a="1"/>
  <c r="E8" i="24" s="1"/>
  <c r="Q7" i="24"/>
  <c r="E7" i="24" s="1" a="1"/>
  <c r="E7" i="24" s="1"/>
  <c r="D11" i="24"/>
  <c r="C8" i="24" a="1"/>
  <c r="C7" i="24" a="1"/>
  <c r="AN92" i="3" l="1" a="1"/>
  <c r="AN92" i="3" s="1"/>
  <c r="N160" i="34"/>
  <c r="H161" i="34" a="1"/>
  <c r="H161" i="34" s="1"/>
  <c r="E173" i="34" a="1"/>
  <c r="E173" i="34" s="1"/>
  <c r="O174" i="34"/>
  <c r="H7" i="12" a="1"/>
  <c r="H7" i="12" s="1"/>
  <c r="D7" i="12"/>
  <c r="X7" i="12" a="1"/>
  <c r="X7" i="12" s="1"/>
  <c r="AV7" i="12"/>
  <c r="AW7" i="12" s="1" a="1"/>
  <c r="AW7" i="12" s="1"/>
  <c r="F7" i="12"/>
  <c r="AT6" i="12"/>
  <c r="AU6" i="12" s="1" a="1"/>
  <c r="AU6" i="12" s="1"/>
  <c r="P8" i="12"/>
  <c r="J8" i="12"/>
  <c r="A143" i="28" a="1"/>
  <c r="A143" i="28" s="1"/>
  <c r="C7" i="24"/>
  <c r="C8" i="24"/>
  <c r="AN93" i="3" l="1" a="1"/>
  <c r="AN93" i="3" s="1"/>
  <c r="E174" i="34" a="1"/>
  <c r="E174" i="34" s="1"/>
  <c r="O175" i="34"/>
  <c r="O176" i="34" s="1"/>
  <c r="E176" i="34" s="1" a="1"/>
  <c r="E176" i="34" s="1"/>
  <c r="H162" i="34" a="1"/>
  <c r="H162" i="34" s="1"/>
  <c r="N161" i="34"/>
  <c r="G7" i="12"/>
  <c r="Z7" i="12" s="1" a="1"/>
  <c r="Z7" i="12" s="1"/>
  <c r="M8" i="12" a="1"/>
  <c r="M8" i="12" s="1"/>
  <c r="R8" i="12" a="1"/>
  <c r="R8" i="12" s="1"/>
  <c r="S8" i="12" s="1"/>
  <c r="I9" i="12" s="1" a="1"/>
  <c r="I9" i="12" s="1"/>
  <c r="L8" i="12" a="1"/>
  <c r="L8" i="12" s="1"/>
  <c r="Q8" i="12" a="1"/>
  <c r="Q8" i="12" s="1"/>
  <c r="K8" i="12" s="1"/>
  <c r="E8" i="12" s="1" a="1"/>
  <c r="E8" i="12" s="1"/>
  <c r="A144" i="28" a="1"/>
  <c r="A144" i="28" s="1"/>
  <c r="A8" i="24"/>
  <c r="A7" i="24"/>
  <c r="D8" i="24"/>
  <c r="D7" i="24"/>
  <c r="Q6" i="24" a="1"/>
  <c r="AN94" i="3" l="1" a="1"/>
  <c r="AN94" i="3" s="1"/>
  <c r="N162" i="34"/>
  <c r="H163" i="34" a="1"/>
  <c r="H163" i="34" s="1"/>
  <c r="E175" i="34" a="1"/>
  <c r="E175" i="34" s="1"/>
  <c r="O177" i="34"/>
  <c r="W8" i="12" a="1"/>
  <c r="W8" i="12" s="1"/>
  <c r="Y8" i="12" a="1"/>
  <c r="Y8" i="12" s="1"/>
  <c r="T8" i="12" a="1"/>
  <c r="T8" i="12" s="1"/>
  <c r="C8" i="12" a="1"/>
  <c r="C8" i="12" s="1"/>
  <c r="B8" i="12" a="1"/>
  <c r="B8" i="12" s="1"/>
  <c r="A8" i="12" s="1" a="1"/>
  <c r="A8" i="12" s="1"/>
  <c r="AD8" i="12"/>
  <c r="AS8" i="12"/>
  <c r="A145" i="28" a="1"/>
  <c r="A145" i="28" s="1"/>
  <c r="Q6" i="24"/>
  <c r="E6" i="24" s="1" a="1"/>
  <c r="E6" i="24" s="1"/>
  <c r="C6" i="24" a="1"/>
  <c r="AN95" i="3" l="1" a="1"/>
  <c r="AN95" i="3" s="1"/>
  <c r="E177" i="34" a="1"/>
  <c r="E177" i="34" s="1"/>
  <c r="H164" i="34" a="1"/>
  <c r="H164" i="34" s="1"/>
  <c r="N163" i="34"/>
  <c r="H8" i="12" a="1"/>
  <c r="H8" i="12" s="1"/>
  <c r="D8" i="12"/>
  <c r="X8" i="12" a="1"/>
  <c r="X8" i="12" s="1"/>
  <c r="AV8" i="12"/>
  <c r="AW8" i="12" s="1" a="1"/>
  <c r="AW8" i="12" s="1"/>
  <c r="J9" i="12"/>
  <c r="P9" i="12"/>
  <c r="AT7" i="12"/>
  <c r="AU7" i="12" s="1" a="1"/>
  <c r="AU7" i="12" s="1"/>
  <c r="F8" i="12"/>
  <c r="A146" i="28" a="1"/>
  <c r="A146" i="28" s="1"/>
  <c r="C6" i="24"/>
  <c r="D6" i="24"/>
  <c r="AN96" i="3" l="1" a="1"/>
  <c r="AN96" i="3" s="1"/>
  <c r="H165" i="34" a="1"/>
  <c r="H165" i="34" s="1"/>
  <c r="N164" i="34"/>
  <c r="O178" i="34"/>
  <c r="G8" i="12"/>
  <c r="Z8" i="12" s="1" a="1"/>
  <c r="Z8" i="12" s="1"/>
  <c r="Q9" i="12" a="1"/>
  <c r="Q9" i="12" s="1"/>
  <c r="K9" i="12" s="1"/>
  <c r="E9" i="12" s="1" a="1"/>
  <c r="E9" i="12" s="1"/>
  <c r="R9" i="12" a="1"/>
  <c r="R9" i="12" s="1"/>
  <c r="S9" i="12" s="1"/>
  <c r="I10" i="12" s="1" a="1"/>
  <c r="I10" i="12" s="1"/>
  <c r="L9" i="12" a="1"/>
  <c r="L9" i="12" s="1"/>
  <c r="M9" i="12" a="1"/>
  <c r="M9" i="12" s="1"/>
  <c r="A147" i="28" a="1"/>
  <c r="A147" i="28" s="1"/>
  <c r="A6" i="24"/>
  <c r="AN97" i="3" l="1" a="1"/>
  <c r="AN97" i="3" s="1"/>
  <c r="E178" i="34" a="1"/>
  <c r="E178" i="34" s="1"/>
  <c r="O179" i="34"/>
  <c r="H166" i="34" a="1"/>
  <c r="H166" i="34" s="1"/>
  <c r="N165" i="34"/>
  <c r="W9" i="12" a="1"/>
  <c r="W9" i="12" s="1"/>
  <c r="Y9" i="12" a="1"/>
  <c r="Y9" i="12" s="1"/>
  <c r="T9" i="12" a="1"/>
  <c r="T9" i="12" s="1"/>
  <c r="C9" i="12" a="1"/>
  <c r="C9" i="12" s="1"/>
  <c r="B9" i="12" a="1"/>
  <c r="B9" i="12" s="1"/>
  <c r="A9" i="12" s="1" a="1"/>
  <c r="A9" i="12" s="1"/>
  <c r="AS9" i="12"/>
  <c r="AD9" i="12"/>
  <c r="A148" i="28" a="1"/>
  <c r="A148" i="28" s="1"/>
  <c r="AN98" i="3" l="1" a="1"/>
  <c r="AN98" i="3" s="1"/>
  <c r="H167" i="34" a="1"/>
  <c r="H167" i="34" s="1"/>
  <c r="N166" i="34"/>
  <c r="E179" i="34" a="1"/>
  <c r="E179" i="34" s="1"/>
  <c r="O180" i="34"/>
  <c r="H9" i="12" a="1"/>
  <c r="H9" i="12" s="1"/>
  <c r="D9" i="12"/>
  <c r="AV9" i="12"/>
  <c r="AW9" i="12" s="1" a="1"/>
  <c r="AW9" i="12" s="1"/>
  <c r="X9" i="12" a="1"/>
  <c r="X9" i="12" s="1"/>
  <c r="F9" i="12"/>
  <c r="AT8" i="12"/>
  <c r="AU8" i="12" s="1" a="1"/>
  <c r="AU8" i="12" s="1"/>
  <c r="J10" i="12"/>
  <c r="P10" i="12"/>
  <c r="A149" i="28" a="1"/>
  <c r="A149" i="28" s="1"/>
  <c r="AN99" i="3" l="1" a="1"/>
  <c r="AN99" i="3" s="1"/>
  <c r="E180" i="34" a="1"/>
  <c r="E180" i="34" s="1"/>
  <c r="O181" i="34"/>
  <c r="N167" i="34"/>
  <c r="H168" i="34" a="1"/>
  <c r="H168" i="34" s="1"/>
  <c r="G9" i="12"/>
  <c r="Z9" i="12" s="1" a="1"/>
  <c r="Z9" i="12" s="1"/>
  <c r="L10" i="12" a="1"/>
  <c r="L10" i="12" s="1"/>
  <c r="Q10" i="12" a="1"/>
  <c r="Q10" i="12" s="1"/>
  <c r="K10" i="12" s="1"/>
  <c r="E10" i="12" s="1" a="1"/>
  <c r="E10" i="12" s="1"/>
  <c r="M10" i="12" a="1"/>
  <c r="M10" i="12" s="1"/>
  <c r="R10" i="12" a="1"/>
  <c r="R10" i="12" s="1"/>
  <c r="S10" i="12" s="1"/>
  <c r="I11" i="12" s="1" a="1"/>
  <c r="I11" i="12" s="1"/>
  <c r="A150" i="28" a="1"/>
  <c r="A150" i="28" s="1"/>
  <c r="AN100" i="3" l="1" a="1"/>
  <c r="AN100" i="3" s="1"/>
  <c r="N168" i="34"/>
  <c r="H169" i="34" a="1"/>
  <c r="H169" i="34" s="1"/>
  <c r="E181" i="34" a="1"/>
  <c r="E181" i="34" s="1"/>
  <c r="O182" i="34"/>
  <c r="W10" i="12" a="1"/>
  <c r="W10" i="12" s="1"/>
  <c r="Y10" i="12" a="1"/>
  <c r="Y10" i="12" s="1"/>
  <c r="T10" i="12" a="1"/>
  <c r="T10" i="12" s="1"/>
  <c r="C10" i="12" a="1"/>
  <c r="C10" i="12" s="1"/>
  <c r="B10" i="12" a="1"/>
  <c r="B10" i="12" s="1"/>
  <c r="A10" i="12" s="1" a="1"/>
  <c r="A10" i="12" s="1"/>
  <c r="AS10" i="12"/>
  <c r="AD10" i="12"/>
  <c r="AN101" i="3" l="1" a="1"/>
  <c r="AN101" i="3" s="1"/>
  <c r="E182" i="34" a="1"/>
  <c r="E182" i="34" s="1"/>
  <c r="O183" i="34"/>
  <c r="N169" i="34"/>
  <c r="H170" i="34" a="1"/>
  <c r="H170" i="34" s="1"/>
  <c r="H10" i="12" a="1"/>
  <c r="H10" i="12" s="1"/>
  <c r="F10" i="12"/>
  <c r="D10" i="12"/>
  <c r="X10" i="12" a="1"/>
  <c r="X10" i="12" s="1"/>
  <c r="AV10" i="12"/>
  <c r="AW10" i="12" s="1" a="1"/>
  <c r="AW10" i="12" s="1"/>
  <c r="AT9" i="12"/>
  <c r="AU9" i="12" s="1" a="1"/>
  <c r="AU9" i="12" s="1"/>
  <c r="P11" i="12"/>
  <c r="J11" i="12"/>
  <c r="A151" i="28" a="1"/>
  <c r="A151" i="28" s="1"/>
  <c r="A152" i="28" a="1"/>
  <c r="A152" i="28" s="1"/>
  <c r="AN102" i="3" l="1" a="1"/>
  <c r="AN102" i="3" s="1"/>
  <c r="N170" i="34"/>
  <c r="H171" i="34" a="1"/>
  <c r="H171" i="34" s="1"/>
  <c r="E183" i="34" a="1"/>
  <c r="E183" i="34" s="1"/>
  <c r="O184" i="34"/>
  <c r="G10" i="12"/>
  <c r="Z10" i="12" s="1" a="1"/>
  <c r="Z10" i="12" s="1"/>
  <c r="L11" i="12" a="1"/>
  <c r="L11" i="12" s="1"/>
  <c r="M11" i="12" a="1"/>
  <c r="M11" i="12" s="1"/>
  <c r="R11" i="12" a="1"/>
  <c r="R11" i="12" s="1"/>
  <c r="S11" i="12" s="1"/>
  <c r="I12" i="12" s="1" a="1"/>
  <c r="I12" i="12" s="1"/>
  <c r="Q11" i="12" a="1"/>
  <c r="Q11" i="12" s="1"/>
  <c r="K11" i="12" s="1"/>
  <c r="E11" i="12" s="1" a="1"/>
  <c r="E11" i="12" s="1"/>
  <c r="A153" i="28" a="1"/>
  <c r="A153" i="28" s="1"/>
  <c r="AN103" i="3" l="1" a="1"/>
  <c r="AN103" i="3" s="1"/>
  <c r="E184" i="34" a="1"/>
  <c r="E184" i="34" s="1"/>
  <c r="O185" i="34"/>
  <c r="H172" i="34" a="1"/>
  <c r="H172" i="34" s="1"/>
  <c r="N171" i="34"/>
  <c r="W11" i="12" a="1"/>
  <c r="W11" i="12" s="1"/>
  <c r="Y11" i="12" a="1"/>
  <c r="Y11" i="12" s="1"/>
  <c r="T11" i="12" a="1"/>
  <c r="T11" i="12" s="1"/>
  <c r="C11" i="12" a="1"/>
  <c r="C11" i="12" s="1"/>
  <c r="B11" i="12" a="1"/>
  <c r="B11" i="12" s="1"/>
  <c r="A11" i="12" s="1" a="1"/>
  <c r="A11" i="12" s="1"/>
  <c r="AD11" i="12"/>
  <c r="AS11" i="12"/>
  <c r="A155" i="28" a="1"/>
  <c r="A155" i="28" s="1"/>
  <c r="A154" i="28" a="1"/>
  <c r="A154" i="28" s="1"/>
  <c r="E3" i="30" a="1"/>
  <c r="Q20" i="24" a="1"/>
  <c r="Q21" i="24" a="1"/>
  <c r="E2" i="30" a="1"/>
  <c r="C7" i="30" a="1"/>
  <c r="Q20" i="24" l="1"/>
  <c r="E20" i="24" s="1" a="1"/>
  <c r="E20" i="24" s="1"/>
  <c r="Q21" i="24"/>
  <c r="E21" i="24" s="1" a="1"/>
  <c r="E21" i="24" s="1"/>
  <c r="H173" i="34" a="1"/>
  <c r="H173" i="34" s="1"/>
  <c r="N172" i="34"/>
  <c r="E185" i="34" a="1"/>
  <c r="E185" i="34" s="1"/>
  <c r="O186" i="34"/>
  <c r="H11" i="12" a="1"/>
  <c r="H11" i="12" s="1"/>
  <c r="F11" i="12"/>
  <c r="D11" i="12"/>
  <c r="C7" i="30"/>
  <c r="X11" i="12" a="1"/>
  <c r="X11" i="12" s="1"/>
  <c r="AV11" i="12"/>
  <c r="AW11" i="12" s="1" a="1"/>
  <c r="AW11" i="12" s="1"/>
  <c r="AT10" i="12"/>
  <c r="AU10" i="12" s="1" a="1"/>
  <c r="AU10" i="12" s="1"/>
  <c r="J12" i="12"/>
  <c r="P12" i="12"/>
  <c r="E3" i="30"/>
  <c r="E2" i="30"/>
  <c r="C21" i="24" a="1"/>
  <c r="C20" i="24" a="1"/>
  <c r="C21" i="24" l="1"/>
  <c r="C20" i="24"/>
  <c r="E186" i="34" a="1"/>
  <c r="E186" i="34" s="1"/>
  <c r="O187" i="34"/>
  <c r="H174" i="34" a="1"/>
  <c r="H174" i="34" s="1"/>
  <c r="N173" i="34"/>
  <c r="G11" i="12"/>
  <c r="Z11" i="12" s="1" a="1"/>
  <c r="Z11" i="12" s="1"/>
  <c r="A156" i="28" a="1"/>
  <c r="A156" i="28" s="1"/>
  <c r="A157" i="28" a="1"/>
  <c r="A157" i="28" s="1"/>
  <c r="L12" i="12" a="1"/>
  <c r="L12" i="12" s="1"/>
  <c r="M12" i="12" a="1"/>
  <c r="M12" i="12" s="1"/>
  <c r="R12" i="12" a="1"/>
  <c r="R12" i="12" s="1"/>
  <c r="S12" i="12" s="1"/>
  <c r="I13" i="12" s="1" a="1"/>
  <c r="I13" i="12" s="1"/>
  <c r="Q12" i="12" a="1"/>
  <c r="Q12" i="12" s="1"/>
  <c r="K12" i="12" s="1"/>
  <c r="E12" i="12" s="1" a="1"/>
  <c r="E12" i="12" s="1"/>
  <c r="D21" i="24" l="1"/>
  <c r="A21" i="24"/>
  <c r="A20" i="24"/>
  <c r="N174" i="34"/>
  <c r="H175" i="34" a="1"/>
  <c r="H175" i="34" s="1"/>
  <c r="H176" i="34" s="1" a="1"/>
  <c r="H176" i="34" s="1"/>
  <c r="N176" i="34" s="1"/>
  <c r="E187" i="34" a="1"/>
  <c r="E187" i="34" s="1"/>
  <c r="O188" i="34"/>
  <c r="W12" i="12" a="1"/>
  <c r="W12" i="12" s="1"/>
  <c r="Y12" i="12" a="1"/>
  <c r="Y12" i="12" s="1"/>
  <c r="T12" i="12" a="1"/>
  <c r="T12" i="12" s="1"/>
  <c r="C12" i="12" a="1"/>
  <c r="C12" i="12" s="1"/>
  <c r="B12" i="12" a="1"/>
  <c r="B12" i="12" s="1"/>
  <c r="A12" i="12" s="1" a="1"/>
  <c r="A12" i="12" s="1"/>
  <c r="AS12" i="12"/>
  <c r="AD12" i="12"/>
  <c r="D20" i="24"/>
  <c r="E188" i="34" l="1" a="1"/>
  <c r="E188" i="34" s="1"/>
  <c r="O189" i="34"/>
  <c r="O190" i="34" s="1"/>
  <c r="E190" i="34" s="1" a="1"/>
  <c r="E190" i="34" s="1"/>
  <c r="H177" i="34" a="1"/>
  <c r="H177" i="34" s="1"/>
  <c r="N175" i="34"/>
  <c r="H12" i="12" a="1"/>
  <c r="H12" i="12" s="1"/>
  <c r="F12" i="12"/>
  <c r="D12" i="12"/>
  <c r="X12" i="12" a="1"/>
  <c r="X12" i="12" s="1"/>
  <c r="AV12" i="12"/>
  <c r="AW12" i="12" s="1" a="1"/>
  <c r="AW12" i="12" s="1"/>
  <c r="AT11" i="12"/>
  <c r="AU11" i="12" s="1" a="1"/>
  <c r="AU11" i="12" s="1"/>
  <c r="P13" i="12"/>
  <c r="J13" i="12"/>
  <c r="N177" i="34" l="1"/>
  <c r="E189" i="34" a="1"/>
  <c r="E189" i="34" s="1"/>
  <c r="G12" i="12"/>
  <c r="Z12" i="12" s="1" a="1"/>
  <c r="Z12" i="12" s="1"/>
  <c r="L13" i="12" a="1"/>
  <c r="L13" i="12" s="1"/>
  <c r="Q13" i="12" a="1"/>
  <c r="Q13" i="12" s="1"/>
  <c r="K13" i="12" s="1"/>
  <c r="E13" i="12" s="1" a="1"/>
  <c r="E13" i="12" s="1"/>
  <c r="M13" i="12" a="1"/>
  <c r="M13" i="12" s="1"/>
  <c r="R13" i="12" a="1"/>
  <c r="R13" i="12" s="1"/>
  <c r="S13" i="12" s="1"/>
  <c r="I14" i="12" s="1" a="1"/>
  <c r="I14" i="12" s="1"/>
  <c r="A158" i="28" a="1"/>
  <c r="A158" i="28" s="1"/>
  <c r="O191" i="34" l="1"/>
  <c r="H178" i="34" a="1"/>
  <c r="H178" i="34" s="1"/>
  <c r="W13" i="12" a="1"/>
  <c r="W13" i="12" s="1"/>
  <c r="Y13" i="12" a="1"/>
  <c r="Y13" i="12" s="1"/>
  <c r="T13" i="12" a="1"/>
  <c r="T13" i="12" s="1"/>
  <c r="C13" i="12" a="1"/>
  <c r="C13" i="12" s="1"/>
  <c r="B13" i="12" a="1"/>
  <c r="B13" i="12" s="1"/>
  <c r="A13" i="12" s="1" a="1"/>
  <c r="A13" i="12" s="1"/>
  <c r="AD13" i="12"/>
  <c r="AS13" i="12"/>
  <c r="A159" i="28" a="1"/>
  <c r="A159" i="28" s="1"/>
  <c r="H179" i="34" l="1" a="1"/>
  <c r="H179" i="34" s="1"/>
  <c r="N178" i="34"/>
  <c r="E191" i="34" a="1"/>
  <c r="E191" i="34" s="1"/>
  <c r="O192" i="34"/>
  <c r="H13" i="12" a="1"/>
  <c r="H13" i="12" s="1"/>
  <c r="F13" i="12"/>
  <c r="D13" i="12"/>
  <c r="AV13" i="12"/>
  <c r="AW13" i="12" s="1" a="1"/>
  <c r="AW13" i="12" s="1"/>
  <c r="X13" i="12" a="1"/>
  <c r="X13" i="12" s="1"/>
  <c r="P14" i="12"/>
  <c r="J14" i="12"/>
  <c r="AT12" i="12"/>
  <c r="AU12" i="12" s="1" a="1"/>
  <c r="AU12" i="12" s="1"/>
  <c r="A160" i="28" a="1"/>
  <c r="A160" i="28" s="1"/>
  <c r="E192" i="34" l="1" a="1"/>
  <c r="E192" i="34" s="1"/>
  <c r="H180" i="34" a="1"/>
  <c r="H180" i="34" s="1"/>
  <c r="N179" i="34"/>
  <c r="G13" i="12"/>
  <c r="Z13" i="12" s="1" a="1"/>
  <c r="Z13" i="12" s="1"/>
  <c r="R14" i="12" a="1"/>
  <c r="R14" i="12" s="1"/>
  <c r="S14" i="12" s="1"/>
  <c r="I15" i="12" s="1" a="1"/>
  <c r="I15" i="12" s="1"/>
  <c r="Q14" i="12" a="1"/>
  <c r="Q14" i="12" s="1"/>
  <c r="K14" i="12" s="1"/>
  <c r="E14" i="12" s="1" a="1"/>
  <c r="E14" i="12" s="1"/>
  <c r="L14" i="12" a="1"/>
  <c r="L14" i="12" s="1"/>
  <c r="M14" i="12" a="1"/>
  <c r="M14" i="12" s="1"/>
  <c r="A161" i="28" a="1"/>
  <c r="A161" i="28" s="1"/>
  <c r="J10" i="14"/>
  <c r="H181" i="34" l="1" a="1"/>
  <c r="H181" i="34" s="1"/>
  <c r="N180" i="34"/>
  <c r="W14" i="12" a="1"/>
  <c r="W14" i="12" s="1"/>
  <c r="Y14" i="12" a="1"/>
  <c r="Y14" i="12" s="1"/>
  <c r="T14" i="12" a="1"/>
  <c r="T14" i="12" s="1"/>
  <c r="C14" i="12" a="1"/>
  <c r="C14" i="12" s="1"/>
  <c r="B14" i="12" a="1"/>
  <c r="B14" i="12" s="1"/>
  <c r="A14" i="12" s="1" a="1"/>
  <c r="A14" i="12" s="1"/>
  <c r="AD14" i="12"/>
  <c r="AS14" i="12"/>
  <c r="B3" i="19"/>
  <c r="N181" i="34" l="1"/>
  <c r="H182" i="34" a="1"/>
  <c r="H182" i="34" s="1"/>
  <c r="H14" i="12" a="1"/>
  <c r="H14" i="12" s="1"/>
  <c r="F14" i="12"/>
  <c r="D14" i="12"/>
  <c r="AV14" i="12"/>
  <c r="AW14" i="12" s="1" a="1"/>
  <c r="AW14" i="12" s="1"/>
  <c r="X14" i="12" a="1"/>
  <c r="X14" i="12" s="1"/>
  <c r="AT13" i="12"/>
  <c r="AU13" i="12" s="1" a="1"/>
  <c r="AU13" i="12" s="1"/>
  <c r="J15" i="12"/>
  <c r="P15" i="12"/>
  <c r="A163" i="28" a="1"/>
  <c r="A163" i="28" s="1"/>
  <c r="A162" i="28" a="1"/>
  <c r="A162" i="28" s="1"/>
  <c r="A164" i="28" a="1"/>
  <c r="A164" i="28" s="1"/>
  <c r="H183" i="34" l="1" a="1"/>
  <c r="H183" i="34" s="1"/>
  <c r="N182" i="34"/>
  <c r="G14" i="12"/>
  <c r="Z14" i="12" s="1" a="1"/>
  <c r="Z14" i="12" s="1"/>
  <c r="Q15" i="12" a="1"/>
  <c r="Q15" i="12" s="1"/>
  <c r="K15" i="12" s="1"/>
  <c r="E15" i="12" s="1" a="1"/>
  <c r="E15" i="12" s="1"/>
  <c r="R15" i="12" a="1"/>
  <c r="R15" i="12" s="1"/>
  <c r="S15" i="12" s="1"/>
  <c r="I16" i="12" s="1" a="1"/>
  <c r="I16" i="12" s="1"/>
  <c r="L15" i="12" a="1"/>
  <c r="L15" i="12" s="1"/>
  <c r="M15" i="12" a="1"/>
  <c r="M15" i="12" s="1"/>
  <c r="A165" i="28" a="1"/>
  <c r="A165" i="28" s="1"/>
  <c r="N183" i="34" l="1"/>
  <c r="H184" i="34" a="1"/>
  <c r="H184" i="34" s="1"/>
  <c r="W15" i="12" a="1"/>
  <c r="W15" i="12" s="1"/>
  <c r="Y15" i="12" a="1"/>
  <c r="Y15" i="12" s="1"/>
  <c r="T15" i="12" a="1"/>
  <c r="T15" i="12" s="1"/>
  <c r="C15" i="12" a="1"/>
  <c r="C15" i="12" s="1"/>
  <c r="B15" i="12" a="1"/>
  <c r="B15" i="12" s="1"/>
  <c r="A15" i="12" s="1" a="1"/>
  <c r="A15" i="12" s="1"/>
  <c r="AS15" i="12"/>
  <c r="AD15" i="12"/>
  <c r="A166" i="28" a="1"/>
  <c r="A166" i="28" s="1"/>
  <c r="H185" i="34" l="1" a="1"/>
  <c r="H185" i="34" s="1"/>
  <c r="N184" i="34"/>
  <c r="H15" i="12" a="1"/>
  <c r="H15" i="12" s="1"/>
  <c r="D15" i="12"/>
  <c r="AV15" i="12"/>
  <c r="AW15" i="12" s="1" a="1"/>
  <c r="AW15" i="12" s="1"/>
  <c r="X15" i="12" a="1"/>
  <c r="X15" i="12" s="1"/>
  <c r="F15" i="12"/>
  <c r="P16" i="12"/>
  <c r="J16" i="12"/>
  <c r="AT14" i="12"/>
  <c r="AU14" i="12" s="1" a="1"/>
  <c r="AU14" i="12" s="1"/>
  <c r="A167" i="28" a="1"/>
  <c r="A167" i="28" s="1"/>
  <c r="N185" i="34" l="1"/>
  <c r="H186" i="34" a="1"/>
  <c r="H186" i="34" s="1"/>
  <c r="G15" i="12"/>
  <c r="Z15" i="12" s="1" a="1"/>
  <c r="Z15" i="12" s="1"/>
  <c r="L16" i="12" a="1"/>
  <c r="L16" i="12" s="1"/>
  <c r="M16" i="12" a="1"/>
  <c r="M16" i="12" s="1"/>
  <c r="Q16" i="12" a="1"/>
  <c r="Q16" i="12" s="1"/>
  <c r="K16" i="12" s="1"/>
  <c r="E16" i="12" s="1" a="1"/>
  <c r="E16" i="12" s="1"/>
  <c r="R16" i="12" a="1"/>
  <c r="R16" i="12" s="1"/>
  <c r="S16" i="12" s="1"/>
  <c r="I17" i="12" s="1" a="1"/>
  <c r="I17" i="12" s="1"/>
  <c r="A168" i="28" a="1"/>
  <c r="A168" i="28" s="1"/>
  <c r="A169" i="28" a="1"/>
  <c r="A169" i="28" s="1"/>
  <c r="H187" i="34" l="1" a="1"/>
  <c r="H187" i="34" s="1"/>
  <c r="N186" i="34"/>
  <c r="W16" i="12" a="1"/>
  <c r="W16" i="12" s="1"/>
  <c r="Y16" i="12" a="1"/>
  <c r="Y16" i="12" s="1"/>
  <c r="T16" i="12" a="1"/>
  <c r="T16" i="12" s="1"/>
  <c r="C16" i="12" a="1"/>
  <c r="C16" i="12" s="1"/>
  <c r="B16" i="12" a="1"/>
  <c r="B16" i="12" s="1"/>
  <c r="A16" i="12" s="1" a="1"/>
  <c r="A16" i="12" s="1"/>
  <c r="AS16" i="12"/>
  <c r="AD16" i="12"/>
  <c r="A170" i="28" a="1"/>
  <c r="A170" i="28" s="1"/>
  <c r="A171" i="28" a="1"/>
  <c r="A171" i="28" s="1"/>
  <c r="N187" i="34" l="1"/>
  <c r="H188" i="34" a="1"/>
  <c r="H188" i="34" s="1"/>
  <c r="H16" i="12" a="1"/>
  <c r="H16" i="12" s="1"/>
  <c r="F16" i="12"/>
  <c r="D16" i="12"/>
  <c r="AV16" i="12"/>
  <c r="AW16" i="12" s="1" a="1"/>
  <c r="AW16" i="12" s="1"/>
  <c r="X16" i="12" a="1"/>
  <c r="X16" i="12" s="1"/>
  <c r="J17" i="12"/>
  <c r="P17" i="12"/>
  <c r="AT15" i="12"/>
  <c r="AU15" i="12" s="1" a="1"/>
  <c r="AU15" i="12" s="1"/>
  <c r="A172" i="28" a="1"/>
  <c r="A172" i="28" s="1"/>
  <c r="N188" i="34" l="1"/>
  <c r="H189" i="34" a="1"/>
  <c r="H189" i="34" s="1"/>
  <c r="H190" i="34" s="1" a="1"/>
  <c r="H190" i="34" s="1"/>
  <c r="N190" i="34" s="1"/>
  <c r="G16" i="12"/>
  <c r="Z16" i="12" s="1" a="1"/>
  <c r="Z16" i="12" s="1"/>
  <c r="Q17" i="12" a="1"/>
  <c r="Q17" i="12" s="1"/>
  <c r="K17" i="12" s="1"/>
  <c r="E17" i="12" s="1" a="1"/>
  <c r="E17" i="12" s="1"/>
  <c r="R17" i="12" a="1"/>
  <c r="R17" i="12" s="1"/>
  <c r="S17" i="12" s="1"/>
  <c r="I18" i="12" s="1" a="1"/>
  <c r="I18" i="12" s="1"/>
  <c r="L17" i="12" a="1"/>
  <c r="L17" i="12" s="1"/>
  <c r="M17" i="12" a="1"/>
  <c r="M17" i="12" s="1"/>
  <c r="A173" i="28" a="1"/>
  <c r="A173" i="28" s="1"/>
  <c r="N189" i="34" l="1"/>
  <c r="W17" i="12" a="1"/>
  <c r="W17" i="12" s="1"/>
  <c r="Y17" i="12" a="1"/>
  <c r="Y17" i="12" s="1"/>
  <c r="T17" i="12" a="1"/>
  <c r="T17" i="12" s="1"/>
  <c r="C17" i="12" a="1"/>
  <c r="C17" i="12" s="1"/>
  <c r="B17" i="12" a="1"/>
  <c r="B17" i="12" s="1"/>
  <c r="A17" i="12" s="1" a="1"/>
  <c r="A17" i="12" s="1"/>
  <c r="AS17" i="12"/>
  <c r="AD17" i="12"/>
  <c r="A174" i="28" a="1"/>
  <c r="A174" i="28" s="1"/>
  <c r="H191" i="34" l="1" a="1"/>
  <c r="H191" i="34" s="1"/>
  <c r="H17" i="12" a="1"/>
  <c r="H17" i="12" s="1"/>
  <c r="D17" i="12"/>
  <c r="AV17" i="12"/>
  <c r="AW17" i="12" s="1" a="1"/>
  <c r="AW17" i="12" s="1"/>
  <c r="X17" i="12" a="1"/>
  <c r="X17" i="12" s="1"/>
  <c r="P18" i="12"/>
  <c r="J18" i="12"/>
  <c r="AT16" i="12"/>
  <c r="AU16" i="12" s="1" a="1"/>
  <c r="AU16" i="12" s="1"/>
  <c r="F17" i="12"/>
  <c r="H192" i="34" l="1" a="1"/>
  <c r="H192" i="34" s="1"/>
  <c r="N191" i="34"/>
  <c r="G17" i="12"/>
  <c r="Z17" i="12" s="1" a="1"/>
  <c r="Z17" i="12" s="1"/>
  <c r="A175" i="28" a="1"/>
  <c r="A175" i="28" s="1"/>
  <c r="A176" i="28" a="1"/>
  <c r="A176" i="28" s="1"/>
  <c r="M18" i="12" a="1"/>
  <c r="M18" i="12" s="1"/>
  <c r="Q18" i="12" a="1"/>
  <c r="Q18" i="12" s="1"/>
  <c r="K18" i="12" s="1"/>
  <c r="E18" i="12" s="1" a="1"/>
  <c r="E18" i="12" s="1"/>
  <c r="R18" i="12" a="1"/>
  <c r="R18" i="12" s="1"/>
  <c r="S18" i="12" s="1"/>
  <c r="I19" i="12" s="1" a="1"/>
  <c r="I19" i="12" s="1"/>
  <c r="L18" i="12" a="1"/>
  <c r="L18" i="12" s="1"/>
  <c r="N192" i="34" l="1"/>
  <c r="W18" i="12" a="1"/>
  <c r="W18" i="12" s="1"/>
  <c r="Y18" i="12" a="1"/>
  <c r="Y18" i="12" s="1"/>
  <c r="T18" i="12" a="1"/>
  <c r="T18" i="12" s="1"/>
  <c r="C18" i="12" a="1"/>
  <c r="C18" i="12" s="1"/>
  <c r="A177" i="28" a="1"/>
  <c r="A177" i="28" s="1"/>
  <c r="B18" i="12" a="1"/>
  <c r="B18" i="12" s="1"/>
  <c r="A18" i="12" s="1" a="1"/>
  <c r="A18" i="12" s="1"/>
  <c r="AS18" i="12"/>
  <c r="AD18" i="12"/>
  <c r="H18" i="12" l="1" a="1"/>
  <c r="H18" i="12" s="1"/>
  <c r="D18" i="12"/>
  <c r="A180" i="28" a="1"/>
  <c r="A180" i="28" s="1"/>
  <c r="AV18" i="12"/>
  <c r="AW18" i="12" s="1" a="1"/>
  <c r="AW18" i="12" s="1"/>
  <c r="X18" i="12" a="1"/>
  <c r="X18" i="12" s="1"/>
  <c r="F18" i="12"/>
  <c r="AT17" i="12"/>
  <c r="AU17" i="12" s="1" a="1"/>
  <c r="AU17" i="12" s="1"/>
  <c r="P19" i="12"/>
  <c r="J19" i="12"/>
  <c r="G18" i="12" l="1"/>
  <c r="Z18" i="12" s="1" a="1"/>
  <c r="Z18" i="12" s="1"/>
  <c r="A178" i="28" a="1"/>
  <c r="A178" i="28" s="1"/>
  <c r="A179" i="28" a="1"/>
  <c r="A179" i="28" s="1"/>
  <c r="R19" i="12" a="1"/>
  <c r="R19" i="12" s="1"/>
  <c r="S19" i="12" s="1"/>
  <c r="I20" i="12" s="1" a="1"/>
  <c r="I20" i="12" s="1"/>
  <c r="M19" i="12" a="1"/>
  <c r="M19" i="12" s="1"/>
  <c r="L19" i="12" a="1"/>
  <c r="L19" i="12" s="1"/>
  <c r="Q19" i="12" a="1"/>
  <c r="Q19" i="12" s="1"/>
  <c r="K19" i="12" s="1"/>
  <c r="E19" i="12" s="1" a="1"/>
  <c r="E19" i="12" s="1"/>
  <c r="A181" i="28" a="1"/>
  <c r="A181" i="28" s="1"/>
  <c r="W19" i="12" l="1" a="1"/>
  <c r="W19" i="12" s="1"/>
  <c r="Y19" i="12" a="1"/>
  <c r="Y19" i="12" s="1"/>
  <c r="T19" i="12" a="1"/>
  <c r="T19" i="12" s="1"/>
  <c r="C19" i="12" a="1"/>
  <c r="C19" i="12" s="1"/>
  <c r="B19" i="12" a="1"/>
  <c r="B19" i="12" s="1"/>
  <c r="A19" i="12" s="1" a="1"/>
  <c r="A19" i="12" s="1"/>
  <c r="AD19" i="12"/>
  <c r="AS19" i="12"/>
  <c r="A182" i="28" a="1"/>
  <c r="A182" i="28" s="1"/>
  <c r="H19" i="12" l="1" a="1"/>
  <c r="H19" i="12" s="1"/>
  <c r="D19" i="12"/>
  <c r="AV19" i="12"/>
  <c r="AW19" i="12" s="1" a="1"/>
  <c r="AW19" i="12" s="1"/>
  <c r="X19" i="12" a="1"/>
  <c r="X19" i="12" s="1"/>
  <c r="AT18" i="12"/>
  <c r="AU18" i="12" s="1" a="1"/>
  <c r="AU18" i="12" s="1"/>
  <c r="F19" i="12"/>
  <c r="P20" i="12"/>
  <c r="J20" i="12"/>
  <c r="A183" i="28" a="1"/>
  <c r="A183" i="28" s="1"/>
  <c r="G19" i="12" l="1"/>
  <c r="Z19" i="12" s="1" a="1"/>
  <c r="Z19" i="12" s="1"/>
  <c r="L20" i="12" a="1"/>
  <c r="L20" i="12" s="1"/>
  <c r="R20" i="12" a="1"/>
  <c r="R20" i="12" s="1"/>
  <c r="S20" i="12" s="1"/>
  <c r="I21" i="12" s="1" a="1"/>
  <c r="I21" i="12" s="1"/>
  <c r="M20" i="12" a="1"/>
  <c r="M20" i="12" s="1"/>
  <c r="Q20" i="12" a="1"/>
  <c r="Q20" i="12" s="1"/>
  <c r="K20" i="12" s="1"/>
  <c r="E20" i="12" s="1" a="1"/>
  <c r="E20" i="12" s="1"/>
  <c r="W20" i="12" l="1" a="1"/>
  <c r="W20" i="12" s="1"/>
  <c r="Y20" i="12" a="1"/>
  <c r="Y20" i="12" s="1"/>
  <c r="T20" i="12" a="1"/>
  <c r="T20" i="12" s="1"/>
  <c r="C20" i="12" a="1"/>
  <c r="C20" i="12" s="1"/>
  <c r="B20" i="12" a="1"/>
  <c r="B20" i="12" s="1"/>
  <c r="A20" i="12" s="1" a="1"/>
  <c r="A20" i="12" s="1"/>
  <c r="AS20" i="12"/>
  <c r="AD20" i="12"/>
  <c r="A184" i="28" a="1"/>
  <c r="A184" i="28" s="1"/>
  <c r="A185" i="28" a="1"/>
  <c r="A185" i="28" s="1"/>
  <c r="H20" i="12" l="1" a="1"/>
  <c r="H20" i="12" s="1"/>
  <c r="D20" i="12"/>
  <c r="X20" i="12" a="1"/>
  <c r="X20" i="12" s="1"/>
  <c r="AV20" i="12"/>
  <c r="AW20" i="12" s="1" a="1"/>
  <c r="AW20" i="12" s="1"/>
  <c r="F20" i="12"/>
  <c r="P21" i="12"/>
  <c r="J21" i="12"/>
  <c r="AT19" i="12"/>
  <c r="AU19" i="12" s="1" a="1"/>
  <c r="AU19" i="12" s="1"/>
  <c r="A186" i="28" a="1"/>
  <c r="A186" i="28" s="1"/>
  <c r="G20" i="12" l="1"/>
  <c r="Z20" i="12" s="1" a="1"/>
  <c r="Z20" i="12" s="1"/>
  <c r="M21" i="12" a="1"/>
  <c r="M21" i="12" s="1"/>
  <c r="R21" i="12" a="1"/>
  <c r="R21" i="12" s="1"/>
  <c r="S21" i="12" s="1"/>
  <c r="I22" i="12" s="1" a="1"/>
  <c r="I22" i="12" s="1"/>
  <c r="Q21" i="12" a="1"/>
  <c r="Q21" i="12" s="1"/>
  <c r="K21" i="12" s="1"/>
  <c r="E21" i="12" s="1" a="1"/>
  <c r="E21" i="12" s="1"/>
  <c r="L21" i="12" a="1"/>
  <c r="L21" i="12" s="1"/>
  <c r="A187" i="28" a="1"/>
  <c r="A187" i="28" s="1"/>
  <c r="A188" i="28" a="1"/>
  <c r="A188" i="28" s="1"/>
  <c r="W21" i="12" l="1" a="1"/>
  <c r="W21" i="12" s="1"/>
  <c r="Y21" i="12" a="1"/>
  <c r="Y21" i="12" s="1"/>
  <c r="T21" i="12" a="1"/>
  <c r="T21" i="12" s="1"/>
  <c r="C21" i="12" a="1"/>
  <c r="C21" i="12" s="1"/>
  <c r="B21" i="12" a="1"/>
  <c r="B21" i="12" s="1"/>
  <c r="A21" i="12" s="1" a="1"/>
  <c r="A21" i="12" s="1"/>
  <c r="AD21" i="12"/>
  <c r="AS21" i="12"/>
  <c r="A189" i="28" a="1"/>
  <c r="A189" i="28" s="1"/>
  <c r="A190" i="28" a="1"/>
  <c r="A190" i="28" s="1"/>
  <c r="H21" i="12" l="1" a="1"/>
  <c r="H21" i="12" s="1"/>
  <c r="D21" i="12"/>
  <c r="AV21" i="12"/>
  <c r="AW21" i="12" s="1" a="1"/>
  <c r="AW21" i="12" s="1"/>
  <c r="X21" i="12" a="1"/>
  <c r="X21" i="12" s="1"/>
  <c r="F21" i="12"/>
  <c r="J22" i="12"/>
  <c r="P22" i="12"/>
  <c r="AT20" i="12"/>
  <c r="AU20" i="12" s="1" a="1"/>
  <c r="AU20" i="12" s="1"/>
  <c r="A191" i="28" a="1"/>
  <c r="A191" i="28" s="1"/>
  <c r="G21" i="12" l="1"/>
  <c r="Z21" i="12" s="1" a="1"/>
  <c r="Z21" i="12" s="1"/>
  <c r="L22" i="12" a="1"/>
  <c r="L22" i="12" s="1"/>
  <c r="M22" i="12" a="1"/>
  <c r="M22" i="12" s="1"/>
  <c r="R22" i="12" a="1"/>
  <c r="R22" i="12" s="1"/>
  <c r="S22" i="12" s="1"/>
  <c r="I23" i="12" s="1" a="1"/>
  <c r="I23" i="12" s="1"/>
  <c r="Q22" i="12" a="1"/>
  <c r="Q22" i="12" s="1"/>
  <c r="K22" i="12" s="1"/>
  <c r="E22" i="12" s="1" a="1"/>
  <c r="E22" i="12" s="1"/>
  <c r="W22" i="12" l="1" a="1"/>
  <c r="W22" i="12" s="1"/>
  <c r="Y22" i="12" a="1"/>
  <c r="Y22" i="12" s="1"/>
  <c r="T22" i="12" a="1"/>
  <c r="T22" i="12" s="1"/>
  <c r="C22" i="12" a="1"/>
  <c r="C22" i="12" s="1"/>
  <c r="B22" i="12" a="1"/>
  <c r="B22" i="12" s="1"/>
  <c r="A22" i="12" s="1" a="1"/>
  <c r="A22" i="12" s="1"/>
  <c r="AD22" i="12"/>
  <c r="AS22" i="12"/>
  <c r="A195" i="28" a="1"/>
  <c r="A195" i="28" s="1"/>
  <c r="A192" i="28" a="1"/>
  <c r="A192" i="28" s="1"/>
  <c r="H22" i="12" l="1" a="1"/>
  <c r="H22" i="12" s="1"/>
  <c r="D22" i="12"/>
  <c r="X22" i="12" a="1"/>
  <c r="X22" i="12" s="1"/>
  <c r="AV22" i="12"/>
  <c r="AW22" i="12" s="1" a="1"/>
  <c r="AW22" i="12" s="1"/>
  <c r="AT21" i="12"/>
  <c r="AU21" i="12" s="1" a="1"/>
  <c r="AU21" i="12" s="1"/>
  <c r="P23" i="12"/>
  <c r="J23" i="12"/>
  <c r="F22" i="12"/>
  <c r="A194" i="28" a="1"/>
  <c r="A194" i="28" s="1"/>
  <c r="A193" i="28" a="1"/>
  <c r="A193" i="28" s="1"/>
  <c r="J9" i="14"/>
  <c r="K9" i="14" l="1" a="1"/>
  <c r="K9" i="14" s="1"/>
  <c r="K10" i="14" s="1" a="1"/>
  <c r="K10" i="14" s="1"/>
  <c r="K11" i="14" s="1" a="1"/>
  <c r="K11" i="14" s="1"/>
  <c r="G22" i="12"/>
  <c r="Z22" i="12" s="1" a="1"/>
  <c r="Z22" i="12" s="1"/>
  <c r="M23" i="12" a="1"/>
  <c r="M23" i="12" s="1"/>
  <c r="R23" i="12" a="1"/>
  <c r="R23" i="12" s="1"/>
  <c r="S23" i="12" s="1"/>
  <c r="I24" i="12" s="1" a="1"/>
  <c r="I24" i="12" s="1"/>
  <c r="Q23" i="12" a="1"/>
  <c r="Q23" i="12" s="1"/>
  <c r="K23" i="12" s="1"/>
  <c r="E23" i="12" s="1" a="1"/>
  <c r="E23" i="12" s="1"/>
  <c r="L23" i="12" a="1"/>
  <c r="L23" i="12" s="1"/>
  <c r="A196" i="28" a="1"/>
  <c r="A196" i="28" s="1"/>
  <c r="A197" i="28" a="1"/>
  <c r="A197" i="28" s="1"/>
  <c r="W23" i="12" l="1" a="1"/>
  <c r="W23" i="12" s="1"/>
  <c r="Y23" i="12" a="1"/>
  <c r="Y23" i="12" s="1"/>
  <c r="T23" i="12" a="1"/>
  <c r="T23" i="12" s="1"/>
  <c r="C23" i="12" a="1"/>
  <c r="C23" i="12" s="1"/>
  <c r="B23" i="12" a="1"/>
  <c r="B23" i="12" s="1"/>
  <c r="A23" i="12" s="1" a="1"/>
  <c r="A23" i="12" s="1"/>
  <c r="AD23" i="12"/>
  <c r="AS23" i="12"/>
  <c r="A198" i="28" a="1"/>
  <c r="A198" i="28" s="1"/>
  <c r="A199" i="28" a="1"/>
  <c r="A199" i="28" s="1"/>
  <c r="H23" i="12" l="1" a="1"/>
  <c r="H23" i="12" s="1"/>
  <c r="F23" i="12"/>
  <c r="D23" i="12"/>
  <c r="X23" i="12" a="1"/>
  <c r="X23" i="12" s="1"/>
  <c r="AV23" i="12"/>
  <c r="AW23" i="12" s="1" a="1"/>
  <c r="AW23" i="12" s="1"/>
  <c r="AT22" i="12"/>
  <c r="AU22" i="12" s="1" a="1"/>
  <c r="AU22" i="12" s="1"/>
  <c r="J24" i="12"/>
  <c r="P24" i="12"/>
  <c r="A200" i="28" a="1"/>
  <c r="A200" i="28" s="1"/>
  <c r="G23" i="12" l="1"/>
  <c r="Z23" i="12" s="1" a="1"/>
  <c r="Z23" i="12" s="1"/>
  <c r="M24" i="12" a="1"/>
  <c r="M24" i="12" s="1"/>
  <c r="Q24" i="12" a="1"/>
  <c r="Q24" i="12" s="1"/>
  <c r="K24" i="12" s="1"/>
  <c r="E24" i="12" s="1" a="1"/>
  <c r="E24" i="12" s="1"/>
  <c r="L24" i="12" a="1"/>
  <c r="L24" i="12" s="1"/>
  <c r="R24" i="12" a="1"/>
  <c r="R24" i="12" s="1"/>
  <c r="S24" i="12" s="1"/>
  <c r="I25" i="12" s="1" a="1"/>
  <c r="I25" i="12" s="1"/>
  <c r="A201" i="28" a="1"/>
  <c r="A201" i="28" s="1"/>
  <c r="W24" i="12" l="1" a="1"/>
  <c r="W24" i="12" s="1"/>
  <c r="Y24" i="12" a="1"/>
  <c r="Y24" i="12" s="1"/>
  <c r="T24" i="12" a="1"/>
  <c r="T24" i="12" s="1"/>
  <c r="C24" i="12" a="1"/>
  <c r="C24" i="12" s="1"/>
  <c r="B24" i="12" a="1"/>
  <c r="B24" i="12" s="1"/>
  <c r="A24" i="12" s="1" a="1"/>
  <c r="A24" i="12" s="1"/>
  <c r="AS24" i="12"/>
  <c r="AD24" i="12"/>
  <c r="A202" i="28" a="1"/>
  <c r="A202" i="28" s="1"/>
  <c r="H24" i="12" l="1" a="1"/>
  <c r="H24" i="12" s="1"/>
  <c r="F24" i="12"/>
  <c r="D24" i="12"/>
  <c r="AV24" i="12"/>
  <c r="AW24" i="12" s="1" a="1"/>
  <c r="AW24" i="12" s="1"/>
  <c r="X24" i="12" a="1"/>
  <c r="X24" i="12" s="1"/>
  <c r="AT23" i="12"/>
  <c r="AU23" i="12" s="1" a="1"/>
  <c r="AU23" i="12" s="1"/>
  <c r="P25" i="12"/>
  <c r="J25" i="12"/>
  <c r="A203" i="28" a="1"/>
  <c r="A203" i="28" s="1"/>
  <c r="G24" i="12" l="1"/>
  <c r="Z24" i="12" s="1" a="1"/>
  <c r="Z24" i="12" s="1"/>
  <c r="L25" i="12" a="1"/>
  <c r="L25" i="12" s="1"/>
  <c r="Q25" i="12" a="1"/>
  <c r="Q25" i="12" s="1"/>
  <c r="K25" i="12" s="1"/>
  <c r="E25" i="12" s="1" a="1"/>
  <c r="E25" i="12" s="1"/>
  <c r="M25" i="12" a="1"/>
  <c r="M25" i="12" s="1"/>
  <c r="R25" i="12" a="1"/>
  <c r="R25" i="12" s="1"/>
  <c r="S25" i="12" s="1"/>
  <c r="I26" i="12" s="1" a="1"/>
  <c r="I26" i="12" s="1"/>
  <c r="A204" i="28" a="1"/>
  <c r="A204" i="28" s="1"/>
  <c r="A205" i="28" a="1"/>
  <c r="A205" i="28" s="1"/>
  <c r="W25" i="12" l="1" a="1"/>
  <c r="W25" i="12" s="1"/>
  <c r="Y25" i="12" a="1"/>
  <c r="Y25" i="12" s="1"/>
  <c r="T25" i="12" a="1"/>
  <c r="T25" i="12" s="1"/>
  <c r="C25" i="12" a="1"/>
  <c r="C25" i="12" s="1"/>
  <c r="B25" i="12" a="1"/>
  <c r="B25" i="12" s="1"/>
  <c r="A25" i="12" s="1" a="1"/>
  <c r="A25" i="12" s="1"/>
  <c r="AD25" i="12"/>
  <c r="AS25" i="12"/>
  <c r="A206" i="28" a="1"/>
  <c r="A206" i="28" s="1"/>
  <c r="H25" i="12" l="1" a="1"/>
  <c r="H25" i="12" s="1"/>
  <c r="D25" i="12"/>
  <c r="AV25" i="12"/>
  <c r="AW25" i="12" s="1" a="1"/>
  <c r="AW25" i="12" s="1"/>
  <c r="X25" i="12" a="1"/>
  <c r="X25" i="12" s="1"/>
  <c r="P26" i="12"/>
  <c r="J26" i="12"/>
  <c r="AT24" i="12"/>
  <c r="AU24" i="12" s="1" a="1"/>
  <c r="AU24" i="12" s="1"/>
  <c r="F25" i="12"/>
  <c r="A207" i="28" a="1"/>
  <c r="A207" i="28" s="1"/>
  <c r="G25" i="12" l="1"/>
  <c r="Z25" i="12" s="1" a="1"/>
  <c r="Z25" i="12" s="1"/>
  <c r="L26" i="12" a="1"/>
  <c r="L26" i="12" s="1"/>
  <c r="M26" i="12" a="1"/>
  <c r="M26" i="12" s="1"/>
  <c r="R26" i="12" a="1"/>
  <c r="R26" i="12" s="1"/>
  <c r="S26" i="12" s="1"/>
  <c r="I27" i="12" s="1" a="1"/>
  <c r="I27" i="12" s="1"/>
  <c r="Q26" i="12" a="1"/>
  <c r="Q26" i="12" s="1"/>
  <c r="K26" i="12" s="1"/>
  <c r="E26" i="12" s="1" a="1"/>
  <c r="E26" i="12" s="1"/>
  <c r="A208" i="28" a="1"/>
  <c r="A208" i="28" s="1"/>
  <c r="W26" i="12" l="1" a="1"/>
  <c r="W26" i="12" s="1"/>
  <c r="Y26" i="12" a="1"/>
  <c r="Y26" i="12" s="1"/>
  <c r="T26" i="12" a="1"/>
  <c r="T26" i="12" s="1"/>
  <c r="C26" i="12" a="1"/>
  <c r="C26" i="12" s="1"/>
  <c r="B26" i="12" a="1"/>
  <c r="B26" i="12" s="1"/>
  <c r="A26" i="12" s="1" a="1"/>
  <c r="A26" i="12" s="1"/>
  <c r="AD26" i="12"/>
  <c r="AS26" i="12"/>
  <c r="A209" i="28" a="1"/>
  <c r="A209" i="28" s="1"/>
  <c r="H26" i="12" l="1" a="1"/>
  <c r="H26" i="12" s="1"/>
  <c r="D26" i="12"/>
  <c r="AV26" i="12"/>
  <c r="AW26" i="12" s="1" a="1"/>
  <c r="AW26" i="12" s="1"/>
  <c r="X26" i="12" a="1"/>
  <c r="X26" i="12" s="1"/>
  <c r="F26" i="12"/>
  <c r="AT25" i="12"/>
  <c r="AU25" i="12" s="1" a="1"/>
  <c r="AU25" i="12" s="1"/>
  <c r="P27" i="12"/>
  <c r="J27" i="12"/>
  <c r="A210" i="28" a="1"/>
  <c r="A210" i="28" s="1"/>
  <c r="G26" i="12" l="1"/>
  <c r="Z26" i="12" s="1" a="1"/>
  <c r="Z26" i="12" s="1"/>
  <c r="L27" i="12" a="1"/>
  <c r="L27" i="12" s="1"/>
  <c r="Q27" i="12" a="1"/>
  <c r="Q27" i="12" s="1"/>
  <c r="K27" i="12" s="1"/>
  <c r="E27" i="12" s="1" a="1"/>
  <c r="E27" i="12" s="1"/>
  <c r="M27" i="12" a="1"/>
  <c r="M27" i="12" s="1"/>
  <c r="R27" i="12" a="1"/>
  <c r="R27" i="12" s="1"/>
  <c r="S27" i="12" s="1"/>
  <c r="I28" i="12" s="1" a="1"/>
  <c r="I28" i="12" s="1"/>
  <c r="A211" i="28" a="1"/>
  <c r="A211" i="28" s="1"/>
  <c r="W27" i="12" l="1" a="1"/>
  <c r="W27" i="12" s="1"/>
  <c r="Y27" i="12" a="1"/>
  <c r="Y27" i="12" s="1"/>
  <c r="T27" i="12" a="1"/>
  <c r="T27" i="12" s="1"/>
  <c r="C27" i="12" a="1"/>
  <c r="C27" i="12" s="1"/>
  <c r="B27" i="12" a="1"/>
  <c r="B27" i="12" s="1"/>
  <c r="A27" i="12" s="1" a="1"/>
  <c r="A27" i="12" s="1"/>
  <c r="AS27" i="12"/>
  <c r="AD27" i="12"/>
  <c r="A212" i="28" a="1"/>
  <c r="A212" i="28" s="1"/>
  <c r="H27" i="12" l="1" a="1"/>
  <c r="H27" i="12" s="1"/>
  <c r="D27" i="12"/>
  <c r="X27" i="12" a="1"/>
  <c r="X27" i="12" s="1"/>
  <c r="AV27" i="12"/>
  <c r="AW27" i="12" s="1" a="1"/>
  <c r="AW27" i="12" s="1"/>
  <c r="F27" i="12"/>
  <c r="J28" i="12"/>
  <c r="P28" i="12"/>
  <c r="AT26" i="12"/>
  <c r="AU26" i="12" s="1" a="1"/>
  <c r="AU26" i="12" s="1"/>
  <c r="A213" i="28" a="1"/>
  <c r="A213" i="28" s="1"/>
  <c r="G27" i="12" l="1"/>
  <c r="Z27" i="12" s="1" a="1"/>
  <c r="Z27" i="12" s="1"/>
  <c r="L28" i="12" a="1"/>
  <c r="L28" i="12" s="1"/>
  <c r="Q28" i="12" a="1"/>
  <c r="Q28" i="12" s="1"/>
  <c r="K28" i="12" s="1"/>
  <c r="E28" i="12" s="1" a="1"/>
  <c r="E28" i="12" s="1"/>
  <c r="M28" i="12" a="1"/>
  <c r="M28" i="12" s="1"/>
  <c r="R28" i="12" a="1"/>
  <c r="R28" i="12" s="1"/>
  <c r="S28" i="12" s="1"/>
  <c r="I29" i="12" s="1" a="1"/>
  <c r="I29" i="12" s="1"/>
  <c r="A214" i="28" a="1"/>
  <c r="A214" i="28" s="1"/>
  <c r="W28" i="12" l="1" a="1"/>
  <c r="W28" i="12" s="1"/>
  <c r="Y28" i="12" a="1"/>
  <c r="Y28" i="12" s="1"/>
  <c r="T28" i="12" a="1"/>
  <c r="T28" i="12" s="1"/>
  <c r="C28" i="12" a="1"/>
  <c r="C28" i="12" s="1"/>
  <c r="B28" i="12" a="1"/>
  <c r="B28" i="12" s="1"/>
  <c r="A28" i="12" s="1" a="1"/>
  <c r="A28" i="12" s="1"/>
  <c r="AD28" i="12"/>
  <c r="AS28" i="12"/>
  <c r="A215" i="28" a="1"/>
  <c r="A215" i="28" s="1"/>
  <c r="H28" i="12" l="1" a="1"/>
  <c r="H28" i="12" s="1"/>
  <c r="D28" i="12"/>
  <c r="AV28" i="12"/>
  <c r="AW28" i="12" s="1" a="1"/>
  <c r="AW28" i="12" s="1"/>
  <c r="X28" i="12" a="1"/>
  <c r="X28" i="12" s="1"/>
  <c r="AT27" i="12"/>
  <c r="AU27" i="12" s="1" a="1"/>
  <c r="AU27" i="12" s="1"/>
  <c r="J29" i="12"/>
  <c r="P29" i="12"/>
  <c r="F28" i="12"/>
  <c r="A216" i="28" a="1"/>
  <c r="A216" i="28" s="1"/>
  <c r="G28" i="12" l="1"/>
  <c r="Z28" i="12" s="1" a="1"/>
  <c r="Z28" i="12" s="1"/>
  <c r="M29" i="12" a="1"/>
  <c r="M29" i="12" s="1"/>
  <c r="L29" i="12" a="1"/>
  <c r="L29" i="12" s="1"/>
  <c r="Q29" i="12" a="1"/>
  <c r="Q29" i="12" s="1"/>
  <c r="K29" i="12" s="1"/>
  <c r="E29" i="12" s="1" a="1"/>
  <c r="E29" i="12" s="1"/>
  <c r="R29" i="12" a="1"/>
  <c r="R29" i="12" s="1"/>
  <c r="S29" i="12" s="1"/>
  <c r="I30" i="12" s="1" a="1"/>
  <c r="I30" i="12" s="1"/>
  <c r="A217" i="28" a="1"/>
  <c r="A217" i="28" s="1"/>
  <c r="M9" i="24"/>
  <c r="W29" i="12" l="1" a="1"/>
  <c r="W29" i="12" s="1"/>
  <c r="Y29" i="12" a="1"/>
  <c r="Y29" i="12" s="1"/>
  <c r="T29" i="12" a="1"/>
  <c r="T29" i="12" s="1"/>
  <c r="C29" i="12" a="1"/>
  <c r="C29" i="12" s="1"/>
  <c r="B29" i="12" a="1"/>
  <c r="B29" i="12" s="1"/>
  <c r="A29" i="12" s="1" a="1"/>
  <c r="A29" i="12" s="1"/>
  <c r="AS29" i="12"/>
  <c r="AD29" i="12"/>
  <c r="N9" i="24"/>
  <c r="P9" i="24"/>
  <c r="H29" i="12" l="1" a="1"/>
  <c r="H29" i="12" s="1"/>
  <c r="D29" i="12"/>
  <c r="X29" i="12" a="1"/>
  <c r="X29" i="12" s="1"/>
  <c r="AV29" i="12"/>
  <c r="AW29" i="12" s="1" a="1"/>
  <c r="AW29" i="12" s="1"/>
  <c r="F29" i="12"/>
  <c r="AT28" i="12"/>
  <c r="AU28" i="12" s="1" a="1"/>
  <c r="AU28" i="12" s="1"/>
  <c r="J30" i="12"/>
  <c r="P30" i="12"/>
  <c r="A218" i="28" a="1"/>
  <c r="A218" i="28" s="1"/>
  <c r="A219" i="28" a="1"/>
  <c r="A219" i="28" s="1"/>
  <c r="G29" i="12" l="1"/>
  <c r="Z29" i="12" s="1" a="1"/>
  <c r="Z29" i="12" s="1"/>
  <c r="M30" i="12" a="1"/>
  <c r="M30" i="12" s="1"/>
  <c r="R30" i="12" a="1"/>
  <c r="R30" i="12" s="1"/>
  <c r="S30" i="12" s="1"/>
  <c r="I31" i="12" s="1" a="1"/>
  <c r="I31" i="12" s="1"/>
  <c r="L30" i="12" a="1"/>
  <c r="L30" i="12" s="1"/>
  <c r="Q30" i="12" a="1"/>
  <c r="Q30" i="12" s="1"/>
  <c r="K30" i="12" s="1"/>
  <c r="E30" i="12" s="1" a="1"/>
  <c r="E30" i="12" s="1"/>
  <c r="A223" i="28" a="1"/>
  <c r="A223" i="28" s="1"/>
  <c r="W30" i="12" l="1" a="1"/>
  <c r="W30" i="12" s="1"/>
  <c r="Y30" i="12" a="1"/>
  <c r="Y30" i="12" s="1"/>
  <c r="T30" i="12" a="1"/>
  <c r="T30" i="12" s="1"/>
  <c r="C30" i="12" a="1"/>
  <c r="C30" i="12" s="1"/>
  <c r="B30" i="12" a="1"/>
  <c r="B30" i="12" s="1"/>
  <c r="A30" i="12" s="1" a="1"/>
  <c r="A30" i="12" s="1"/>
  <c r="AD30" i="12"/>
  <c r="AS30" i="12"/>
  <c r="A224" i="28" a="1"/>
  <c r="A224" i="28" s="1"/>
  <c r="H30" i="12" l="1" a="1"/>
  <c r="H30" i="12" s="1"/>
  <c r="D30" i="12"/>
  <c r="AV30" i="12"/>
  <c r="AW30" i="12" s="1" a="1"/>
  <c r="AW30" i="12" s="1"/>
  <c r="X30" i="12" a="1"/>
  <c r="X30" i="12" s="1"/>
  <c r="P31" i="12"/>
  <c r="J31" i="12"/>
  <c r="AT29" i="12"/>
  <c r="AU29" i="12" s="1" a="1"/>
  <c r="AU29" i="12" s="1"/>
  <c r="F30" i="12"/>
  <c r="A226" i="28" a="1"/>
  <c r="A226" i="28" s="1"/>
  <c r="A225" i="28" a="1"/>
  <c r="A225" i="28" s="1"/>
  <c r="G30" i="12" l="1"/>
  <c r="Z30" i="12" s="1" a="1"/>
  <c r="Z30" i="12" s="1"/>
  <c r="L31" i="12" a="1"/>
  <c r="L31" i="12" s="1"/>
  <c r="Q31" i="12" a="1"/>
  <c r="Q31" i="12" s="1"/>
  <c r="K31" i="12" s="1"/>
  <c r="E31" i="12" s="1" a="1"/>
  <c r="E31" i="12" s="1"/>
  <c r="M31" i="12" a="1"/>
  <c r="M31" i="12" s="1"/>
  <c r="R31" i="12" a="1"/>
  <c r="R31" i="12" s="1"/>
  <c r="S31" i="12" s="1"/>
  <c r="I32" i="12" s="1" a="1"/>
  <c r="I32" i="12" s="1"/>
  <c r="A227" i="28" a="1"/>
  <c r="A227" i="28" s="1"/>
  <c r="W31" i="12" l="1" a="1"/>
  <c r="W31" i="12" s="1"/>
  <c r="Y31" i="12" a="1"/>
  <c r="Y31" i="12" s="1"/>
  <c r="T31" i="12" a="1"/>
  <c r="T31" i="12" s="1"/>
  <c r="C31" i="12" a="1"/>
  <c r="C31" i="12" s="1"/>
  <c r="B31" i="12" a="1"/>
  <c r="B31" i="12" s="1"/>
  <c r="A31" i="12" s="1" a="1"/>
  <c r="A31" i="12" s="1"/>
  <c r="AD31" i="12"/>
  <c r="AS31" i="12"/>
  <c r="A228" i="28" a="1"/>
  <c r="A228" i="28" s="1"/>
  <c r="H31" i="12" l="1" a="1"/>
  <c r="H31" i="12" s="1"/>
  <c r="D31" i="12"/>
  <c r="X31" i="12" a="1"/>
  <c r="X31" i="12" s="1"/>
  <c r="AV31" i="12"/>
  <c r="AW31" i="12" s="1" a="1"/>
  <c r="AW31" i="12" s="1"/>
  <c r="AT30" i="12"/>
  <c r="AU30" i="12" s="1" a="1"/>
  <c r="AU30" i="12" s="1"/>
  <c r="P32" i="12"/>
  <c r="J32" i="12"/>
  <c r="F31" i="12"/>
  <c r="G31" i="12" l="1"/>
  <c r="Z31" i="12" s="1" a="1"/>
  <c r="Z31" i="12" s="1"/>
  <c r="R32" i="12" a="1"/>
  <c r="R32" i="12" s="1"/>
  <c r="S32" i="12" s="1"/>
  <c r="I33" i="12" s="1" a="1"/>
  <c r="I33" i="12" s="1"/>
  <c r="L32" i="12" a="1"/>
  <c r="L32" i="12" s="1"/>
  <c r="Q32" i="12" a="1"/>
  <c r="Q32" i="12" s="1"/>
  <c r="K32" i="12" s="1"/>
  <c r="E32" i="12" s="1" a="1"/>
  <c r="E32" i="12" s="1"/>
  <c r="M32" i="12" a="1"/>
  <c r="M32" i="12" s="1"/>
  <c r="A229" i="28" a="1"/>
  <c r="A229" i="28" s="1"/>
  <c r="W32" i="12" l="1" a="1"/>
  <c r="W32" i="12" s="1"/>
  <c r="Y32" i="12" a="1"/>
  <c r="Y32" i="12" s="1"/>
  <c r="T32" i="12" a="1"/>
  <c r="T32" i="12" s="1"/>
  <c r="C32" i="12" a="1"/>
  <c r="C32" i="12" s="1"/>
  <c r="B32" i="12" a="1"/>
  <c r="B32" i="12" s="1"/>
  <c r="A32" i="12" s="1" a="1"/>
  <c r="A32" i="12" s="1"/>
  <c r="AD32" i="12"/>
  <c r="AS32" i="12"/>
  <c r="A230" i="28" a="1"/>
  <c r="A230" i="28" s="1"/>
  <c r="H32" i="12" l="1" a="1"/>
  <c r="H32" i="12" s="1"/>
  <c r="D32" i="12"/>
  <c r="X32" i="12" a="1"/>
  <c r="X32" i="12" s="1"/>
  <c r="AV32" i="12"/>
  <c r="AW32" i="12" s="1" a="1"/>
  <c r="AW32" i="12" s="1"/>
  <c r="AT31" i="12"/>
  <c r="AU31" i="12" s="1" a="1"/>
  <c r="AU31" i="12" s="1"/>
  <c r="F32" i="12"/>
  <c r="P33" i="12"/>
  <c r="J33" i="12"/>
  <c r="A231" i="28" a="1"/>
  <c r="A231" i="28" s="1"/>
  <c r="G32" i="12" l="1"/>
  <c r="Z32" i="12" s="1" a="1"/>
  <c r="Z32" i="12" s="1"/>
  <c r="M33" i="12" a="1"/>
  <c r="M33" i="12" s="1"/>
  <c r="L33" i="12" a="1"/>
  <c r="L33" i="12" s="1"/>
  <c r="Q33" i="12" a="1"/>
  <c r="Q33" i="12" s="1"/>
  <c r="K33" i="12" s="1"/>
  <c r="E33" i="12" s="1" a="1"/>
  <c r="E33" i="12" s="1"/>
  <c r="R33" i="12" a="1"/>
  <c r="R33" i="12" s="1"/>
  <c r="S33" i="12" s="1"/>
  <c r="I34" i="12" s="1" a="1"/>
  <c r="I34" i="12" s="1"/>
  <c r="A233" i="28" a="1"/>
  <c r="A233" i="28" s="1"/>
  <c r="A232" i="28" a="1"/>
  <c r="A232" i="28" s="1"/>
  <c r="A234" i="28" a="1"/>
  <c r="A234" i="28" s="1"/>
  <c r="W33" i="12" l="1" a="1"/>
  <c r="W33" i="12" s="1"/>
  <c r="Y33" i="12" a="1"/>
  <c r="Y33" i="12" s="1"/>
  <c r="T33" i="12" a="1"/>
  <c r="T33" i="12" s="1"/>
  <c r="C33" i="12" a="1"/>
  <c r="C33" i="12" s="1"/>
  <c r="B33" i="12" a="1"/>
  <c r="B33" i="12" s="1"/>
  <c r="A33" i="12" s="1" a="1"/>
  <c r="A33" i="12" s="1"/>
  <c r="AD33" i="12"/>
  <c r="AS33" i="12"/>
  <c r="A235" i="28" a="1"/>
  <c r="A235" i="28" s="1"/>
  <c r="H33" i="12" l="1" a="1"/>
  <c r="H33" i="12" s="1"/>
  <c r="D33" i="12"/>
  <c r="AV33" i="12"/>
  <c r="AW33" i="12" s="1" a="1"/>
  <c r="AW33" i="12" s="1"/>
  <c r="X33" i="12" a="1"/>
  <c r="X33" i="12" s="1"/>
  <c r="F33" i="12"/>
  <c r="J34" i="12"/>
  <c r="P34" i="12"/>
  <c r="AT32" i="12"/>
  <c r="AU32" i="12" s="1" a="1"/>
  <c r="AU32" i="12" s="1"/>
  <c r="A236" i="28" a="1"/>
  <c r="A236" i="28" s="1"/>
  <c r="G33" i="12" l="1"/>
  <c r="Z33" i="12" s="1" a="1"/>
  <c r="Z33" i="12" s="1"/>
  <c r="L34" i="12" a="1"/>
  <c r="L34" i="12" s="1"/>
  <c r="Q34" i="12" a="1"/>
  <c r="Q34" i="12" s="1"/>
  <c r="K34" i="12" s="1"/>
  <c r="E34" i="12" s="1" a="1"/>
  <c r="E34" i="12" s="1"/>
  <c r="M34" i="12" a="1"/>
  <c r="M34" i="12" s="1"/>
  <c r="R34" i="12" a="1"/>
  <c r="R34" i="12" s="1"/>
  <c r="S34" i="12" s="1"/>
  <c r="I35" i="12" s="1" a="1"/>
  <c r="I35" i="12" s="1"/>
  <c r="A237" i="28" a="1"/>
  <c r="A237" i="28" s="1"/>
  <c r="W34" i="12" l="1" a="1"/>
  <c r="W34" i="12" s="1"/>
  <c r="Y34" i="12" a="1"/>
  <c r="Y34" i="12" s="1"/>
  <c r="T34" i="12" a="1"/>
  <c r="T34" i="12" s="1"/>
  <c r="C34" i="12" a="1"/>
  <c r="C34" i="12" s="1"/>
  <c r="B34" i="12" a="1"/>
  <c r="B34" i="12" s="1"/>
  <c r="A34" i="12" s="1" a="1"/>
  <c r="A34" i="12" s="1"/>
  <c r="AS34" i="12"/>
  <c r="AD34" i="12"/>
  <c r="A239" i="28" a="1"/>
  <c r="A239" i="28" s="1"/>
  <c r="A238" i="28" a="1"/>
  <c r="A238" i="28" s="1"/>
  <c r="H34" i="12" l="1" a="1"/>
  <c r="H34" i="12" s="1"/>
  <c r="D34" i="12"/>
  <c r="AV34" i="12"/>
  <c r="AW34" i="12" s="1" a="1"/>
  <c r="AW34" i="12" s="1"/>
  <c r="X34" i="12" a="1"/>
  <c r="X34" i="12" s="1"/>
  <c r="F34" i="12"/>
  <c r="P35" i="12"/>
  <c r="J35" i="12"/>
  <c r="AT33" i="12"/>
  <c r="AU33" i="12" s="1" a="1"/>
  <c r="AU33" i="12" s="1"/>
  <c r="G34" i="12" l="1"/>
  <c r="Z34" i="12" s="1" a="1"/>
  <c r="Z34" i="12" s="1"/>
  <c r="Q35" i="12" a="1"/>
  <c r="Q35" i="12" s="1"/>
  <c r="K35" i="12" s="1"/>
  <c r="E35" i="12" s="1" a="1"/>
  <c r="E35" i="12" s="1"/>
  <c r="R35" i="12" a="1"/>
  <c r="R35" i="12" s="1"/>
  <c r="S35" i="12" s="1"/>
  <c r="I36" i="12" s="1" a="1"/>
  <c r="I36" i="12" s="1"/>
  <c r="L35" i="12" a="1"/>
  <c r="L35" i="12" s="1"/>
  <c r="M35" i="12" a="1"/>
  <c r="M35" i="12" s="1"/>
  <c r="A240" i="28" a="1"/>
  <c r="A240" i="28" s="1"/>
  <c r="W35" i="12" l="1" a="1"/>
  <c r="W35" i="12" s="1"/>
  <c r="Y35" i="12" a="1"/>
  <c r="Y35" i="12" s="1"/>
  <c r="T35" i="12" a="1"/>
  <c r="T35" i="12" s="1"/>
  <c r="C35" i="12" a="1"/>
  <c r="C35" i="12" s="1"/>
  <c r="B35" i="12" a="1"/>
  <c r="B35" i="12" s="1"/>
  <c r="A35" i="12" s="1" a="1"/>
  <c r="A35" i="12" s="1"/>
  <c r="AS35" i="12"/>
  <c r="AD35" i="12"/>
  <c r="A241" i="28" a="1"/>
  <c r="A241" i="28" s="1"/>
  <c r="H35" i="12" l="1" a="1"/>
  <c r="H35" i="12" s="1"/>
  <c r="F35" i="12"/>
  <c r="D35" i="12"/>
  <c r="X35" i="12" a="1"/>
  <c r="X35" i="12" s="1"/>
  <c r="AV35" i="12"/>
  <c r="AW35" i="12" s="1" a="1"/>
  <c r="AW35" i="12" s="1"/>
  <c r="P36" i="12"/>
  <c r="J36" i="12"/>
  <c r="AT34" i="12"/>
  <c r="AU34" i="12" s="1" a="1"/>
  <c r="AU34" i="12" s="1"/>
  <c r="A242" i="28" a="1"/>
  <c r="A242" i="28" s="1"/>
  <c r="G35" i="12" l="1"/>
  <c r="Z35" i="12" s="1" a="1"/>
  <c r="Z35" i="12" s="1"/>
  <c r="M36" i="12" a="1"/>
  <c r="M36" i="12" s="1"/>
  <c r="R36" i="12" a="1"/>
  <c r="R36" i="12" s="1"/>
  <c r="S36" i="12" s="1"/>
  <c r="I37" i="12" s="1" a="1"/>
  <c r="I37" i="12" s="1"/>
  <c r="L36" i="12" a="1"/>
  <c r="L36" i="12" s="1"/>
  <c r="Q36" i="12" a="1"/>
  <c r="Q36" i="12" s="1"/>
  <c r="K36" i="12" s="1"/>
  <c r="E36" i="12" s="1" a="1"/>
  <c r="E36" i="12" s="1"/>
  <c r="A243" i="28" a="1"/>
  <c r="A243" i="28" s="1"/>
  <c r="W36" i="12" l="1" a="1"/>
  <c r="W36" i="12" s="1"/>
  <c r="Y36" i="12" a="1"/>
  <c r="Y36" i="12" s="1"/>
  <c r="T36" i="12" a="1"/>
  <c r="T36" i="12" s="1"/>
  <c r="C36" i="12" a="1"/>
  <c r="C36" i="12" s="1"/>
  <c r="B36" i="12" a="1"/>
  <c r="B36" i="12" s="1"/>
  <c r="A36" i="12" s="1" a="1"/>
  <c r="A36" i="12" s="1"/>
  <c r="AD36" i="12"/>
  <c r="AS36" i="12"/>
  <c r="A244" i="28" a="1"/>
  <c r="A244" i="28" s="1"/>
  <c r="H36" i="12" l="1" a="1"/>
  <c r="H36" i="12" s="1"/>
  <c r="D36" i="12"/>
  <c r="AV36" i="12"/>
  <c r="AW36" i="12" s="1" a="1"/>
  <c r="AW36" i="12" s="1"/>
  <c r="X36" i="12" a="1"/>
  <c r="X36" i="12" s="1"/>
  <c r="P37" i="12"/>
  <c r="J37" i="12"/>
  <c r="F36" i="12"/>
  <c r="AT35" i="12"/>
  <c r="AU35" i="12" s="1" a="1"/>
  <c r="AU35" i="12" s="1"/>
  <c r="A245" i="28" a="1"/>
  <c r="A245" i="28" s="1"/>
  <c r="G36" i="12" l="1"/>
  <c r="Z36" i="12" s="1" a="1"/>
  <c r="Z36" i="12" s="1"/>
  <c r="L37" i="12" a="1"/>
  <c r="L37" i="12" s="1"/>
  <c r="Q37" i="12" a="1"/>
  <c r="Q37" i="12" s="1"/>
  <c r="K37" i="12" s="1"/>
  <c r="E37" i="12" s="1" a="1"/>
  <c r="E37" i="12" s="1"/>
  <c r="M37" i="12" a="1"/>
  <c r="M37" i="12" s="1"/>
  <c r="R37" i="12" a="1"/>
  <c r="R37" i="12" s="1"/>
  <c r="S37" i="12" s="1"/>
  <c r="I38" i="12" s="1" a="1"/>
  <c r="I38" i="12" s="1"/>
  <c r="A246" i="28" a="1"/>
  <c r="A246" i="28" s="1"/>
  <c r="W37" i="12" l="1" a="1"/>
  <c r="W37" i="12" s="1"/>
  <c r="Y37" i="12" a="1"/>
  <c r="Y37" i="12" s="1"/>
  <c r="T37" i="12" a="1"/>
  <c r="T37" i="12" s="1"/>
  <c r="C37" i="12" a="1"/>
  <c r="C37" i="12" s="1"/>
  <c r="B37" i="12" a="1"/>
  <c r="B37" i="12" s="1"/>
  <c r="A37" i="12" s="1" a="1"/>
  <c r="A37" i="12" s="1"/>
  <c r="AD37" i="12"/>
  <c r="AS37" i="12"/>
  <c r="A247" i="28" a="1"/>
  <c r="A247" i="28" s="1"/>
  <c r="H37" i="12" l="1" a="1"/>
  <c r="H37" i="12" s="1"/>
  <c r="D37" i="12"/>
  <c r="AV37" i="12"/>
  <c r="AW37" i="12" s="1" a="1"/>
  <c r="AW37" i="12" s="1"/>
  <c r="X37" i="12" a="1"/>
  <c r="X37" i="12" s="1"/>
  <c r="F37" i="12"/>
  <c r="P38" i="12"/>
  <c r="J38" i="12"/>
  <c r="AT36" i="12"/>
  <c r="AU36" i="12" s="1" a="1"/>
  <c r="AU36" i="12" s="1"/>
  <c r="A248" i="28" a="1"/>
  <c r="A248" i="28" s="1"/>
  <c r="G37" i="12" l="1"/>
  <c r="Z37" i="12" s="1" a="1"/>
  <c r="Z37" i="12" s="1"/>
  <c r="Q38" i="12" a="1"/>
  <c r="Q38" i="12" s="1"/>
  <c r="K38" i="12" s="1"/>
  <c r="E38" i="12" s="1" a="1"/>
  <c r="E38" i="12" s="1"/>
  <c r="R38" i="12" a="1"/>
  <c r="R38" i="12" s="1"/>
  <c r="S38" i="12" s="1"/>
  <c r="I39" i="12" s="1" a="1"/>
  <c r="I39" i="12" s="1"/>
  <c r="M38" i="12" a="1"/>
  <c r="M38" i="12" s="1"/>
  <c r="L38" i="12" a="1"/>
  <c r="L38" i="12" s="1"/>
  <c r="A249" i="28" a="1"/>
  <c r="A249" i="28" s="1"/>
  <c r="W38" i="12" l="1" a="1"/>
  <c r="W38" i="12" s="1"/>
  <c r="Y38" i="12" a="1"/>
  <c r="Y38" i="12" s="1"/>
  <c r="T38" i="12" a="1"/>
  <c r="T38" i="12" s="1"/>
  <c r="C38" i="12" a="1"/>
  <c r="C38" i="12" s="1"/>
  <c r="B38" i="12" a="1"/>
  <c r="B38" i="12" s="1"/>
  <c r="A38" i="12" s="1" a="1"/>
  <c r="A38" i="12" s="1"/>
  <c r="AS38" i="12"/>
  <c r="AD38" i="12"/>
  <c r="A251" i="28" a="1"/>
  <c r="A251" i="28" s="1"/>
  <c r="A250" i="28" a="1"/>
  <c r="A250" i="28" s="1"/>
  <c r="H38" i="12" l="1" a="1"/>
  <c r="H38" i="12" s="1"/>
  <c r="D38" i="12"/>
  <c r="AV38" i="12"/>
  <c r="AW38" i="12" s="1" a="1"/>
  <c r="AW38" i="12" s="1"/>
  <c r="X38" i="12" a="1"/>
  <c r="X38" i="12" s="1"/>
  <c r="AT37" i="12"/>
  <c r="AU37" i="12" s="1" a="1"/>
  <c r="AU37" i="12" s="1"/>
  <c r="J39" i="12"/>
  <c r="P39" i="12"/>
  <c r="F38" i="12"/>
  <c r="G38" i="12" l="1"/>
  <c r="Z38" i="12" s="1" a="1"/>
  <c r="Z38" i="12" s="1"/>
  <c r="M39" i="12" a="1"/>
  <c r="M39" i="12" s="1"/>
  <c r="L39" i="12" a="1"/>
  <c r="L39" i="12" s="1"/>
  <c r="R39" i="12" a="1"/>
  <c r="R39" i="12" s="1"/>
  <c r="S39" i="12" s="1"/>
  <c r="I40" i="12" s="1" a="1"/>
  <c r="I40" i="12" s="1"/>
  <c r="Q39" i="12" a="1"/>
  <c r="Q39" i="12" s="1"/>
  <c r="K39" i="12" s="1"/>
  <c r="E39" i="12" s="1" a="1"/>
  <c r="E39" i="12" s="1"/>
  <c r="W39" i="12" l="1" a="1"/>
  <c r="W39" i="12" s="1"/>
  <c r="Y39" i="12" a="1"/>
  <c r="Y39" i="12" s="1"/>
  <c r="T39" i="12" a="1"/>
  <c r="T39" i="12" s="1"/>
  <c r="C39" i="12" a="1"/>
  <c r="C39" i="12" s="1"/>
  <c r="B39" i="12" a="1"/>
  <c r="B39" i="12" s="1"/>
  <c r="A39" i="12" s="1" a="1"/>
  <c r="A39" i="12" s="1"/>
  <c r="AS39" i="12"/>
  <c r="AD39" i="12"/>
  <c r="H39" i="12" l="1" a="1"/>
  <c r="H39" i="12" s="1"/>
  <c r="D39" i="12"/>
  <c r="AV39" i="12"/>
  <c r="AW39" i="12" s="1" a="1"/>
  <c r="AW39" i="12" s="1"/>
  <c r="X39" i="12" a="1"/>
  <c r="X39" i="12" s="1"/>
  <c r="F39" i="12"/>
  <c r="P40" i="12"/>
  <c r="J40" i="12"/>
  <c r="AT38" i="12"/>
  <c r="AU38" i="12" s="1" a="1"/>
  <c r="AU38" i="12" s="1"/>
  <c r="G39" i="12" l="1"/>
  <c r="Z39" i="12" s="1" a="1"/>
  <c r="Z39" i="12" s="1"/>
  <c r="L40" i="12" a="1"/>
  <c r="L40" i="12" s="1"/>
  <c r="R40" i="12" a="1"/>
  <c r="R40" i="12" s="1"/>
  <c r="S40" i="12" s="1"/>
  <c r="I41" i="12" s="1" a="1"/>
  <c r="I41" i="12" s="1"/>
  <c r="Q40" i="12" a="1"/>
  <c r="Q40" i="12" s="1"/>
  <c r="K40" i="12" s="1"/>
  <c r="E40" i="12" s="1" a="1"/>
  <c r="E40" i="12" s="1"/>
  <c r="M40" i="12" a="1"/>
  <c r="M40" i="12" s="1"/>
  <c r="W40" i="12" l="1" a="1"/>
  <c r="W40" i="12" s="1"/>
  <c r="Y40" i="12" a="1"/>
  <c r="Y40" i="12" s="1"/>
  <c r="T40" i="12" a="1"/>
  <c r="T40" i="12" s="1"/>
  <c r="C40" i="12" a="1"/>
  <c r="C40" i="12" s="1"/>
  <c r="B40" i="12" a="1"/>
  <c r="B40" i="12" s="1"/>
  <c r="A40" i="12" s="1" a="1"/>
  <c r="A40" i="12" s="1"/>
  <c r="AS40" i="12"/>
  <c r="AD40" i="12"/>
  <c r="H40" i="12" l="1" a="1"/>
  <c r="H40" i="12" s="1"/>
  <c r="D40" i="12"/>
  <c r="X40" i="12" a="1"/>
  <c r="X40" i="12" s="1"/>
  <c r="AV40" i="12"/>
  <c r="AW40" i="12" s="1" a="1"/>
  <c r="AW40" i="12" s="1"/>
  <c r="F40" i="12"/>
  <c r="P41" i="12"/>
  <c r="J41" i="12"/>
  <c r="AT39" i="12"/>
  <c r="AU39" i="12" s="1" a="1"/>
  <c r="AU39" i="12" s="1"/>
  <c r="G40" i="12" l="1"/>
  <c r="Z40" i="12" s="1" a="1"/>
  <c r="Z40" i="12" s="1"/>
  <c r="R41" i="12" a="1"/>
  <c r="R41" i="12" s="1"/>
  <c r="S41" i="12" s="1"/>
  <c r="I42" i="12" s="1" a="1"/>
  <c r="I42" i="12" s="1"/>
  <c r="Q41" i="12" a="1"/>
  <c r="Q41" i="12" s="1"/>
  <c r="K41" i="12" s="1"/>
  <c r="E41" i="12" s="1" a="1"/>
  <c r="E41" i="12" s="1"/>
  <c r="L41" i="12" a="1"/>
  <c r="L41" i="12" s="1"/>
  <c r="M41" i="12" a="1"/>
  <c r="M41" i="12" s="1"/>
  <c r="W41" i="12" l="1" a="1"/>
  <c r="W41" i="12" s="1"/>
  <c r="Y41" i="12" a="1"/>
  <c r="Y41" i="12" s="1"/>
  <c r="T41" i="12" a="1"/>
  <c r="T41" i="12" s="1"/>
  <c r="C41" i="12" a="1"/>
  <c r="C41" i="12" s="1"/>
  <c r="B41" i="12" a="1"/>
  <c r="B41" i="12" s="1"/>
  <c r="A41" i="12" s="1" a="1"/>
  <c r="A41" i="12" s="1"/>
  <c r="AD41" i="12"/>
  <c r="AS41" i="12"/>
  <c r="A252" i="28" a="1"/>
  <c r="A252" i="28" s="1"/>
  <c r="H41" i="12" l="1" a="1"/>
  <c r="H41" i="12" s="1"/>
  <c r="D41" i="12"/>
  <c r="AV41" i="12"/>
  <c r="AW41" i="12" s="1" a="1"/>
  <c r="AW41" i="12" s="1"/>
  <c r="X41" i="12" a="1"/>
  <c r="X41" i="12" s="1"/>
  <c r="F41" i="12"/>
  <c r="P42" i="12"/>
  <c r="J42" i="12"/>
  <c r="AT40" i="12"/>
  <c r="AU40" i="12" s="1" a="1"/>
  <c r="AU40" i="12" s="1"/>
  <c r="A253" i="28" a="1"/>
  <c r="A253" i="28" s="1"/>
  <c r="G41" i="12" l="1"/>
  <c r="Z41" i="12" s="1" a="1"/>
  <c r="Z41" i="12" s="1"/>
  <c r="M42" i="12" a="1"/>
  <c r="M42" i="12" s="1"/>
  <c r="L42" i="12" a="1"/>
  <c r="L42" i="12" s="1"/>
  <c r="Q42" i="12" a="1"/>
  <c r="Q42" i="12" s="1"/>
  <c r="K42" i="12" s="1"/>
  <c r="E42" i="12" s="1" a="1"/>
  <c r="E42" i="12" s="1"/>
  <c r="R42" i="12" a="1"/>
  <c r="R42" i="12" s="1"/>
  <c r="S42" i="12" s="1"/>
  <c r="I43" i="12" s="1" a="1"/>
  <c r="I43" i="12" s="1"/>
  <c r="A254" i="28" a="1"/>
  <c r="A254" i="28" s="1"/>
  <c r="W42" i="12" l="1" a="1"/>
  <c r="W42" i="12" s="1"/>
  <c r="Y42" i="12" a="1"/>
  <c r="Y42" i="12" s="1"/>
  <c r="T42" i="12" a="1"/>
  <c r="T42" i="12" s="1"/>
  <c r="C42" i="12" a="1"/>
  <c r="C42" i="12" s="1"/>
  <c r="B42" i="12" a="1"/>
  <c r="B42" i="12" s="1"/>
  <c r="A42" i="12" s="1" a="1"/>
  <c r="A42" i="12" s="1"/>
  <c r="AS42" i="12"/>
  <c r="AD42" i="12"/>
  <c r="A255" i="28" a="1"/>
  <c r="A255" i="28" s="1"/>
  <c r="H42" i="12" l="1" a="1"/>
  <c r="H42" i="12" s="1"/>
  <c r="F42" i="12"/>
  <c r="D42" i="12"/>
  <c r="AV42" i="12"/>
  <c r="AW42" i="12" s="1" a="1"/>
  <c r="AW42" i="12" s="1"/>
  <c r="X42" i="12" a="1"/>
  <c r="X42" i="12" s="1"/>
  <c r="AT41" i="12"/>
  <c r="AU41" i="12" s="1" a="1"/>
  <c r="AU41" i="12" s="1"/>
  <c r="J43" i="12"/>
  <c r="P43" i="12"/>
  <c r="A256" i="28" a="1"/>
  <c r="A256" i="28" s="1"/>
  <c r="G42" i="12" l="1"/>
  <c r="Z42" i="12" s="1" a="1"/>
  <c r="Z42" i="12" s="1"/>
  <c r="R43" i="12" a="1"/>
  <c r="R43" i="12" s="1"/>
  <c r="S43" i="12" s="1"/>
  <c r="I44" i="12" s="1" a="1"/>
  <c r="I44" i="12" s="1"/>
  <c r="Q43" i="12" a="1"/>
  <c r="Q43" i="12" s="1"/>
  <c r="K43" i="12" s="1"/>
  <c r="E43" i="12" s="1" a="1"/>
  <c r="E43" i="12" s="1"/>
  <c r="M43" i="12" a="1"/>
  <c r="M43" i="12" s="1"/>
  <c r="L43" i="12" a="1"/>
  <c r="L43" i="12" s="1"/>
  <c r="A257" i="28" a="1"/>
  <c r="A257" i="28" s="1"/>
  <c r="W43" i="12" l="1" a="1"/>
  <c r="W43" i="12" s="1"/>
  <c r="Y43" i="12" a="1"/>
  <c r="Y43" i="12" s="1"/>
  <c r="T43" i="12" a="1"/>
  <c r="T43" i="12" s="1"/>
  <c r="C43" i="12" a="1"/>
  <c r="C43" i="12" s="1"/>
  <c r="B43" i="12" a="1"/>
  <c r="B43" i="12" s="1"/>
  <c r="A43" i="12" s="1" a="1"/>
  <c r="A43" i="12" s="1"/>
  <c r="AD43" i="12"/>
  <c r="AS43" i="12"/>
  <c r="A258" i="28" a="1"/>
  <c r="A258" i="28" s="1"/>
  <c r="H43" i="12" l="1" a="1"/>
  <c r="H43" i="12" s="1"/>
  <c r="D43" i="12"/>
  <c r="AV43" i="12"/>
  <c r="AW43" i="12" s="1" a="1"/>
  <c r="AW43" i="12" s="1"/>
  <c r="X43" i="12" a="1"/>
  <c r="X43" i="12" s="1"/>
  <c r="AT42" i="12"/>
  <c r="AU42" i="12" s="1" a="1"/>
  <c r="AU42" i="12" s="1"/>
  <c r="F43" i="12"/>
  <c r="P44" i="12"/>
  <c r="J44" i="12"/>
  <c r="A259" i="28" a="1"/>
  <c r="A259" i="28" s="1"/>
  <c r="G43" i="12" l="1"/>
  <c r="Z43" i="12" s="1" a="1"/>
  <c r="Z43" i="12" s="1"/>
  <c r="Q44" i="12" a="1"/>
  <c r="Q44" i="12" s="1"/>
  <c r="K44" i="12" s="1"/>
  <c r="E44" i="12" s="1" a="1"/>
  <c r="E44" i="12" s="1"/>
  <c r="M44" i="12" a="1"/>
  <c r="M44" i="12" s="1"/>
  <c r="L44" i="12" a="1"/>
  <c r="L44" i="12" s="1"/>
  <c r="R44" i="12" a="1"/>
  <c r="R44" i="12" s="1"/>
  <c r="S44" i="12" s="1"/>
  <c r="I45" i="12" s="1" a="1"/>
  <c r="I45" i="12" s="1"/>
  <c r="A260" i="28" a="1"/>
  <c r="A260" i="28" s="1"/>
  <c r="W44" i="12" l="1" a="1"/>
  <c r="W44" i="12" s="1"/>
  <c r="Y44" i="12" a="1"/>
  <c r="Y44" i="12" s="1"/>
  <c r="T44" i="12" a="1"/>
  <c r="T44" i="12" s="1"/>
  <c r="C44" i="12" a="1"/>
  <c r="C44" i="12" s="1"/>
  <c r="B44" i="12" a="1"/>
  <c r="B44" i="12" s="1"/>
  <c r="A44" i="12" s="1" a="1"/>
  <c r="A44" i="12" s="1"/>
  <c r="AS44" i="12"/>
  <c r="AD44" i="12"/>
  <c r="A261" i="28" a="1"/>
  <c r="A261" i="28" s="1"/>
  <c r="H44" i="12" l="1" a="1"/>
  <c r="H44" i="12" s="1"/>
  <c r="D44" i="12"/>
  <c r="AV44" i="12"/>
  <c r="AW44" i="12" s="1" a="1"/>
  <c r="AW44" i="12" s="1"/>
  <c r="X44" i="12" a="1"/>
  <c r="X44" i="12" s="1"/>
  <c r="F44" i="12"/>
  <c r="P45" i="12"/>
  <c r="J45" i="12"/>
  <c r="AT43" i="12"/>
  <c r="AU43" i="12" s="1" a="1"/>
  <c r="AU43" i="12" s="1"/>
  <c r="A263" i="28" a="1"/>
  <c r="A263" i="28" s="1"/>
  <c r="G44" i="12" l="1"/>
  <c r="Z44" i="12" s="1" a="1"/>
  <c r="Z44" i="12" s="1"/>
  <c r="Q45" i="12" a="1"/>
  <c r="Q45" i="12" s="1"/>
  <c r="K45" i="12" s="1"/>
  <c r="E45" i="12" s="1" a="1"/>
  <c r="E45" i="12" s="1"/>
  <c r="L45" i="12" a="1"/>
  <c r="L45" i="12" s="1"/>
  <c r="R45" i="12" a="1"/>
  <c r="R45" i="12" s="1"/>
  <c r="S45" i="12" s="1"/>
  <c r="I46" i="12" s="1" a="1"/>
  <c r="I46" i="12" s="1"/>
  <c r="M45" i="12" a="1"/>
  <c r="M45" i="12" s="1"/>
  <c r="A262" i="28" a="1"/>
  <c r="A262" i="28" s="1"/>
  <c r="W45" i="12" l="1" a="1"/>
  <c r="W45" i="12" s="1"/>
  <c r="Y45" i="12" a="1"/>
  <c r="Y45" i="12" s="1"/>
  <c r="T45" i="12" a="1"/>
  <c r="T45" i="12" s="1"/>
  <c r="C45" i="12" a="1"/>
  <c r="C45" i="12" s="1"/>
  <c r="B45" i="12" a="1"/>
  <c r="B45" i="12" s="1"/>
  <c r="A45" i="12" s="1" a="1"/>
  <c r="A45" i="12" s="1"/>
  <c r="AS45" i="12"/>
  <c r="AD45" i="12"/>
  <c r="H45" i="12" l="1" a="1"/>
  <c r="H45" i="12" s="1"/>
  <c r="D45" i="12"/>
  <c r="AV45" i="12"/>
  <c r="AW45" i="12" s="1" a="1"/>
  <c r="AW45" i="12" s="1"/>
  <c r="X45" i="12" a="1"/>
  <c r="X45" i="12" s="1"/>
  <c r="F45" i="12"/>
  <c r="AT44" i="12"/>
  <c r="AU44" i="12" s="1" a="1"/>
  <c r="AU44" i="12" s="1"/>
  <c r="J46" i="12"/>
  <c r="P46" i="12"/>
  <c r="G45" i="12" l="1"/>
  <c r="Z45" i="12" s="1" a="1"/>
  <c r="Z45" i="12" s="1"/>
  <c r="L46" i="12" a="1"/>
  <c r="L46" i="12" s="1"/>
  <c r="R46" i="12" a="1"/>
  <c r="R46" i="12" s="1"/>
  <c r="S46" i="12" s="1"/>
  <c r="I47" i="12" s="1" a="1"/>
  <c r="I47" i="12" s="1"/>
  <c r="Q46" i="12" a="1"/>
  <c r="Q46" i="12" s="1"/>
  <c r="K46" i="12" s="1"/>
  <c r="E46" i="12" s="1" a="1"/>
  <c r="E46" i="12" s="1"/>
  <c r="M46" i="12" a="1"/>
  <c r="M46" i="12" s="1"/>
  <c r="W46" i="12" l="1" a="1"/>
  <c r="W46" i="12" s="1"/>
  <c r="Y46" i="12" a="1"/>
  <c r="Y46" i="12" s="1"/>
  <c r="T46" i="12" a="1"/>
  <c r="T46" i="12" s="1"/>
  <c r="C46" i="12" a="1"/>
  <c r="C46" i="12" s="1"/>
  <c r="B46" i="12" a="1"/>
  <c r="B46" i="12" s="1"/>
  <c r="A46" i="12" s="1" a="1"/>
  <c r="A46" i="12" s="1"/>
  <c r="AS46" i="12"/>
  <c r="AD46" i="12"/>
  <c r="H46" i="12" l="1" a="1"/>
  <c r="H46" i="12" s="1"/>
  <c r="D46" i="12"/>
  <c r="X46" i="12" a="1"/>
  <c r="X46" i="12" s="1"/>
  <c r="AV46" i="12"/>
  <c r="AW46" i="12" s="1" a="1"/>
  <c r="AW46" i="12" s="1"/>
  <c r="F46" i="12"/>
  <c r="P47" i="12"/>
  <c r="J47" i="12"/>
  <c r="AT45" i="12"/>
  <c r="AU45" i="12" s="1" a="1"/>
  <c r="AU45" i="12" s="1"/>
  <c r="G46" i="12" l="1"/>
  <c r="Z46" i="12" s="1" a="1"/>
  <c r="Z46" i="12" s="1"/>
  <c r="Q47" i="12" a="1"/>
  <c r="Q47" i="12" s="1"/>
  <c r="K47" i="12" s="1"/>
  <c r="E47" i="12" s="1" a="1"/>
  <c r="E47" i="12" s="1"/>
  <c r="R47" i="12" a="1"/>
  <c r="R47" i="12" s="1"/>
  <c r="S47" i="12" s="1"/>
  <c r="I48" i="12" s="1" a="1"/>
  <c r="I48" i="12" s="1"/>
  <c r="M47" i="12" a="1"/>
  <c r="M47" i="12" s="1"/>
  <c r="L47" i="12" a="1"/>
  <c r="L47" i="12" s="1"/>
  <c r="W47" i="12" l="1" a="1"/>
  <c r="W47" i="12" s="1"/>
  <c r="Y47" i="12" a="1"/>
  <c r="Y47" i="12" s="1"/>
  <c r="T47" i="12" a="1"/>
  <c r="T47" i="12" s="1"/>
  <c r="C47" i="12" a="1"/>
  <c r="C47" i="12" s="1"/>
  <c r="B47" i="12" a="1"/>
  <c r="B47" i="12" s="1"/>
  <c r="A47" i="12" s="1" a="1"/>
  <c r="A47" i="12" s="1"/>
  <c r="AS47" i="12"/>
  <c r="AD47" i="12"/>
  <c r="H47" i="12" l="1" a="1"/>
  <c r="H47" i="12" s="1"/>
  <c r="D47" i="12"/>
  <c r="AV47" i="12"/>
  <c r="AW47" i="12" s="1" a="1"/>
  <c r="AW47" i="12" s="1"/>
  <c r="X47" i="12" a="1"/>
  <c r="X47" i="12" s="1"/>
  <c r="AT46" i="12"/>
  <c r="AU46" i="12" s="1" a="1"/>
  <c r="AU46" i="12" s="1"/>
  <c r="J48" i="12"/>
  <c r="P48" i="12"/>
  <c r="F47" i="12"/>
  <c r="G47" i="12" l="1"/>
  <c r="Z47" i="12" s="1" a="1"/>
  <c r="Z47" i="12" s="1"/>
  <c r="Q48" i="12" a="1"/>
  <c r="Q48" i="12" s="1"/>
  <c r="K48" i="12" s="1"/>
  <c r="E48" i="12" s="1" a="1"/>
  <c r="E48" i="12" s="1"/>
  <c r="L48" i="12" a="1"/>
  <c r="L48" i="12" s="1"/>
  <c r="R48" i="12" a="1"/>
  <c r="R48" i="12" s="1"/>
  <c r="S48" i="12" s="1"/>
  <c r="I49" i="12" s="1" a="1"/>
  <c r="I49" i="12" s="1"/>
  <c r="M48" i="12" a="1"/>
  <c r="M48" i="12" s="1"/>
  <c r="W48" i="12" l="1" a="1"/>
  <c r="W48" i="12" s="1"/>
  <c r="Y48" i="12" a="1"/>
  <c r="Y48" i="12" s="1"/>
  <c r="T48" i="12" a="1"/>
  <c r="T48" i="12" s="1"/>
  <c r="C48" i="12" a="1"/>
  <c r="C48" i="12" s="1"/>
  <c r="B48" i="12" a="1"/>
  <c r="B48" i="12" s="1"/>
  <c r="A48" i="12" s="1" a="1"/>
  <c r="A48" i="12" s="1"/>
  <c r="AS48" i="12"/>
  <c r="AD48" i="12"/>
  <c r="H48" i="12" l="1" a="1"/>
  <c r="H48" i="12" s="1"/>
  <c r="D48" i="12"/>
  <c r="X48" i="12" a="1"/>
  <c r="X48" i="12" s="1"/>
  <c r="AV48" i="12"/>
  <c r="AW48" i="12" s="1" a="1"/>
  <c r="AW48" i="12" s="1"/>
  <c r="F48" i="12"/>
  <c r="AT47" i="12"/>
  <c r="AU47" i="12" s="1" a="1"/>
  <c r="AU47" i="12" s="1"/>
  <c r="P49" i="12"/>
  <c r="J49" i="12"/>
  <c r="G48" i="12" l="1"/>
  <c r="Z48" i="12" s="1" a="1"/>
  <c r="Z48" i="12" s="1"/>
  <c r="Q49" i="12" a="1"/>
  <c r="Q49" i="12" s="1"/>
  <c r="K49" i="12" s="1"/>
  <c r="E49" i="12" s="1" a="1"/>
  <c r="E49" i="12" s="1"/>
  <c r="M49" i="12" a="1"/>
  <c r="M49" i="12" s="1"/>
  <c r="R49" i="12" a="1"/>
  <c r="R49" i="12" s="1"/>
  <c r="S49" i="12" s="1"/>
  <c r="I50" i="12" s="1" a="1"/>
  <c r="I50" i="12" s="1"/>
  <c r="L49" i="12" a="1"/>
  <c r="L49" i="12" s="1"/>
  <c r="W49" i="12" l="1" a="1"/>
  <c r="W49" i="12" s="1"/>
  <c r="Y49" i="12" a="1"/>
  <c r="Y49" i="12" s="1"/>
  <c r="T49" i="12" a="1"/>
  <c r="T49" i="12" s="1"/>
  <c r="C49" i="12" a="1"/>
  <c r="C49" i="12" s="1"/>
  <c r="B49" i="12" a="1"/>
  <c r="B49" i="12" s="1"/>
  <c r="A49" i="12" s="1" a="1"/>
  <c r="A49" i="12" s="1"/>
  <c r="AS49" i="12"/>
  <c r="AD49" i="12"/>
  <c r="H49" i="12" l="1" a="1"/>
  <c r="H49" i="12" s="1"/>
  <c r="D49" i="12"/>
  <c r="AV49" i="12"/>
  <c r="AW49" i="12" s="1" a="1"/>
  <c r="AW49" i="12" s="1"/>
  <c r="X49" i="12" a="1"/>
  <c r="X49" i="12" s="1"/>
  <c r="AT48" i="12"/>
  <c r="AU48" i="12" s="1" a="1"/>
  <c r="AU48" i="12" s="1"/>
  <c r="F49" i="12"/>
  <c r="P50" i="12"/>
  <c r="J50" i="12"/>
  <c r="G49" i="12" l="1"/>
  <c r="Z49" i="12" s="1" a="1"/>
  <c r="Z49" i="12" s="1"/>
  <c r="M50" i="12" a="1"/>
  <c r="M50" i="12" s="1"/>
  <c r="R50" i="12" a="1"/>
  <c r="R50" i="12" s="1"/>
  <c r="S50" i="12" s="1"/>
  <c r="I51" i="12" s="1" a="1"/>
  <c r="I51" i="12" s="1"/>
  <c r="Q50" i="12" a="1"/>
  <c r="Q50" i="12" s="1"/>
  <c r="K50" i="12" s="1"/>
  <c r="E50" i="12" s="1" a="1"/>
  <c r="E50" i="12" s="1"/>
  <c r="L50" i="12" a="1"/>
  <c r="L50" i="12" s="1"/>
  <c r="W50" i="12" l="1" a="1"/>
  <c r="W50" i="12" s="1"/>
  <c r="Y50" i="12" a="1"/>
  <c r="Y50" i="12" s="1"/>
  <c r="T50" i="12" a="1"/>
  <c r="T50" i="12" s="1"/>
  <c r="C50" i="12" a="1"/>
  <c r="C50" i="12" s="1"/>
  <c r="B50" i="12" a="1"/>
  <c r="B50" i="12" s="1"/>
  <c r="A50" i="12" s="1" a="1"/>
  <c r="A50" i="12" s="1"/>
  <c r="AD50" i="12"/>
  <c r="AS50" i="12"/>
  <c r="H50" i="12" l="1" a="1"/>
  <c r="H50" i="12" s="1"/>
  <c r="D50" i="12"/>
  <c r="X50" i="12" a="1"/>
  <c r="X50" i="12" s="1"/>
  <c r="AV50" i="12"/>
  <c r="AW50" i="12" s="1" a="1"/>
  <c r="AW50" i="12" s="1"/>
  <c r="F50" i="12"/>
  <c r="J51" i="12"/>
  <c r="P51" i="12"/>
  <c r="AT49" i="12"/>
  <c r="AU49" i="12" s="1" a="1"/>
  <c r="AU49" i="12" s="1"/>
  <c r="G50" i="12" l="1"/>
  <c r="Z50" i="12" s="1" a="1"/>
  <c r="Z50" i="12" s="1"/>
  <c r="M51" i="12" a="1"/>
  <c r="M51" i="12" s="1"/>
  <c r="L51" i="12" a="1"/>
  <c r="L51" i="12" s="1"/>
  <c r="R51" i="12" a="1"/>
  <c r="R51" i="12" s="1"/>
  <c r="S51" i="12" s="1"/>
  <c r="I52" i="12" s="1" a="1"/>
  <c r="I52" i="12" s="1"/>
  <c r="Q51" i="12" a="1"/>
  <c r="Q51" i="12" s="1"/>
  <c r="K51" i="12" s="1"/>
  <c r="E51" i="12" s="1" a="1"/>
  <c r="E51" i="12" s="1"/>
  <c r="W51" i="12" l="1" a="1"/>
  <c r="W51" i="12" s="1"/>
  <c r="Y51" i="12" a="1"/>
  <c r="Y51" i="12" s="1"/>
  <c r="T51" i="12" a="1"/>
  <c r="T51" i="12" s="1"/>
  <c r="C51" i="12" a="1"/>
  <c r="C51" i="12" s="1"/>
  <c r="B51" i="12" a="1"/>
  <c r="B51" i="12" s="1"/>
  <c r="A51" i="12" s="1" a="1"/>
  <c r="A51" i="12" s="1"/>
  <c r="AS51" i="12"/>
  <c r="AD51" i="12"/>
  <c r="H51" i="12" l="1" a="1"/>
  <c r="H51" i="12" s="1"/>
  <c r="D51" i="12"/>
  <c r="AV51" i="12"/>
  <c r="AW51" i="12" s="1" a="1"/>
  <c r="AW51" i="12" s="1"/>
  <c r="X51" i="12" a="1"/>
  <c r="X51" i="12" s="1"/>
  <c r="F51" i="12"/>
  <c r="AT50" i="12"/>
  <c r="AU50" i="12" s="1" a="1"/>
  <c r="AU50" i="12" s="1"/>
  <c r="J52" i="12"/>
  <c r="P52" i="12"/>
  <c r="G51" i="12" l="1"/>
  <c r="Z51" i="12" s="1" a="1"/>
  <c r="Z51" i="12" s="1"/>
  <c r="M52" i="12" a="1"/>
  <c r="M52" i="12" s="1"/>
  <c r="L52" i="12" a="1"/>
  <c r="L52" i="12" s="1"/>
  <c r="R52" i="12" a="1"/>
  <c r="R52" i="12" s="1"/>
  <c r="S52" i="12" s="1"/>
  <c r="I53" i="12" s="1" a="1"/>
  <c r="I53" i="12" s="1"/>
  <c r="Q52" i="12" a="1"/>
  <c r="Q52" i="12" s="1"/>
  <c r="K52" i="12" s="1"/>
  <c r="E52" i="12" s="1" a="1"/>
  <c r="E52" i="12" s="1"/>
  <c r="W52" i="12" l="1" a="1"/>
  <c r="W52" i="12" s="1"/>
  <c r="Y52" i="12" a="1"/>
  <c r="Y52" i="12" s="1"/>
  <c r="T52" i="12" a="1"/>
  <c r="T52" i="12" s="1"/>
  <c r="C52" i="12" a="1"/>
  <c r="C52" i="12" s="1"/>
  <c r="B52" i="12" a="1"/>
  <c r="B52" i="12" s="1"/>
  <c r="A52" i="12" s="1" a="1"/>
  <c r="A52" i="12" s="1"/>
  <c r="AS52" i="12"/>
  <c r="AD52" i="12"/>
  <c r="H52" i="12" l="1" a="1"/>
  <c r="H52" i="12" s="1"/>
  <c r="D52" i="12"/>
  <c r="X52" i="12" a="1"/>
  <c r="X52" i="12" s="1"/>
  <c r="AV52" i="12"/>
  <c r="AW52" i="12" s="1" a="1"/>
  <c r="AW52" i="12" s="1"/>
  <c r="F52" i="12"/>
  <c r="P53" i="12"/>
  <c r="J53" i="12"/>
  <c r="AT51" i="12"/>
  <c r="AU51" i="12" s="1" a="1"/>
  <c r="AU51" i="12" s="1"/>
  <c r="G52" i="12" l="1"/>
  <c r="Z52" i="12" s="1" a="1"/>
  <c r="Z52" i="12" s="1"/>
  <c r="M53" i="12" a="1"/>
  <c r="M53" i="12" s="1"/>
  <c r="R53" i="12" a="1"/>
  <c r="R53" i="12" s="1"/>
  <c r="S53" i="12" s="1"/>
  <c r="I54" i="12" s="1" a="1"/>
  <c r="I54" i="12" s="1"/>
  <c r="Q53" i="12" a="1"/>
  <c r="Q53" i="12" s="1"/>
  <c r="K53" i="12" s="1"/>
  <c r="E53" i="12" s="1" a="1"/>
  <c r="E53" i="12" s="1"/>
  <c r="L53" i="12" a="1"/>
  <c r="L53" i="12" s="1"/>
  <c r="W53" i="12" l="1" a="1"/>
  <c r="W53" i="12" s="1"/>
  <c r="Y53" i="12" a="1"/>
  <c r="Y53" i="12" s="1"/>
  <c r="T53" i="12" a="1"/>
  <c r="T53" i="12" s="1"/>
  <c r="C53" i="12" a="1"/>
  <c r="C53" i="12" s="1"/>
  <c r="B53" i="12" a="1"/>
  <c r="B53" i="12" s="1"/>
  <c r="A53" i="12" s="1" a="1"/>
  <c r="A53" i="12" s="1"/>
  <c r="AD53" i="12"/>
  <c r="AS53" i="12"/>
  <c r="H53" i="12" l="1" a="1"/>
  <c r="H53" i="12" s="1"/>
  <c r="D53" i="12"/>
  <c r="AV53" i="12"/>
  <c r="AW53" i="12" s="1" a="1"/>
  <c r="AW53" i="12" s="1"/>
  <c r="X53" i="12" a="1"/>
  <c r="X53" i="12" s="1"/>
  <c r="J54" i="12"/>
  <c r="P54" i="12"/>
  <c r="AT52" i="12"/>
  <c r="AU52" i="12" s="1" a="1"/>
  <c r="AU52" i="12" s="1"/>
  <c r="F53" i="12"/>
  <c r="G53" i="12" l="1"/>
  <c r="Z53" i="12" s="1" a="1"/>
  <c r="Z53" i="12" s="1"/>
  <c r="M54" i="12" a="1"/>
  <c r="M54" i="12" s="1"/>
  <c r="L54" i="12" a="1"/>
  <c r="L54" i="12" s="1"/>
  <c r="R54" i="12" a="1"/>
  <c r="R54" i="12" s="1"/>
  <c r="S54" i="12" s="1"/>
  <c r="I55" i="12" s="1" a="1"/>
  <c r="I55" i="12" s="1"/>
  <c r="Q54" i="12" a="1"/>
  <c r="Q54" i="12" s="1"/>
  <c r="K54" i="12" s="1"/>
  <c r="E54" i="12" s="1" a="1"/>
  <c r="E54" i="12" s="1"/>
  <c r="W54" i="12" l="1" a="1"/>
  <c r="W54" i="12" s="1"/>
  <c r="Y54" i="12" a="1"/>
  <c r="Y54" i="12" s="1"/>
  <c r="T54" i="12" a="1"/>
  <c r="T54" i="12" s="1"/>
  <c r="C54" i="12" a="1"/>
  <c r="C54" i="12" s="1"/>
  <c r="B54" i="12" a="1"/>
  <c r="B54" i="12" s="1"/>
  <c r="A54" i="12" s="1" a="1"/>
  <c r="A54" i="12" s="1"/>
  <c r="AD54" i="12"/>
  <c r="AS54" i="12"/>
  <c r="H54" i="12" l="1" a="1"/>
  <c r="H54" i="12" s="1"/>
  <c r="F54" i="12"/>
  <c r="D54" i="12"/>
  <c r="AV54" i="12"/>
  <c r="AW54" i="12" s="1" a="1"/>
  <c r="AW54" i="12" s="1"/>
  <c r="X54" i="12" a="1"/>
  <c r="X54" i="12" s="1"/>
  <c r="J55" i="12"/>
  <c r="P55" i="12"/>
  <c r="AT53" i="12"/>
  <c r="AU53" i="12" s="1" a="1"/>
  <c r="AU53" i="12" s="1"/>
  <c r="G54" i="12" l="1"/>
  <c r="Z54" i="12" s="1" a="1"/>
  <c r="Z54" i="12" s="1"/>
  <c r="L55" i="12" a="1"/>
  <c r="L55" i="12" s="1"/>
  <c r="R55" i="12" a="1"/>
  <c r="R55" i="12" s="1"/>
  <c r="S55" i="12" s="1"/>
  <c r="I56" i="12" s="1" a="1"/>
  <c r="I56" i="12" s="1"/>
  <c r="M55" i="12" a="1"/>
  <c r="M55" i="12" s="1"/>
  <c r="Q55" i="12" a="1"/>
  <c r="Q55" i="12" s="1"/>
  <c r="K55" i="12" s="1"/>
  <c r="E55" i="12" s="1" a="1"/>
  <c r="E55" i="12" s="1"/>
  <c r="W55" i="12" l="1" a="1"/>
  <c r="W55" i="12" s="1"/>
  <c r="Y55" i="12" a="1"/>
  <c r="Y55" i="12" s="1"/>
  <c r="T55" i="12" a="1"/>
  <c r="T55" i="12" s="1"/>
  <c r="C55" i="12" a="1"/>
  <c r="C55" i="12" s="1"/>
  <c r="B55" i="12" a="1"/>
  <c r="B55" i="12" s="1"/>
  <c r="A55" i="12" s="1" a="1"/>
  <c r="A55" i="12" s="1"/>
  <c r="AS55" i="12"/>
  <c r="AD55" i="12"/>
  <c r="H55" i="12" l="1" a="1"/>
  <c r="H55" i="12" s="1"/>
  <c r="D55" i="12"/>
  <c r="X55" i="12" a="1"/>
  <c r="X55" i="12" s="1"/>
  <c r="AV55" i="12"/>
  <c r="AW55" i="12" s="1" a="1"/>
  <c r="AW55" i="12" s="1"/>
  <c r="AT54" i="12"/>
  <c r="AU54" i="12" s="1" a="1"/>
  <c r="AU54" i="12" s="1"/>
  <c r="F55" i="12"/>
  <c r="J56" i="12"/>
  <c r="P56" i="12"/>
  <c r="G55" i="12" l="1"/>
  <c r="Z55" i="12" s="1" a="1"/>
  <c r="Z55" i="12" s="1"/>
  <c r="R56" i="12" a="1"/>
  <c r="R56" i="12" s="1"/>
  <c r="S56" i="12" s="1"/>
  <c r="I57" i="12" s="1" a="1"/>
  <c r="I57" i="12" s="1"/>
  <c r="Q56" i="12" a="1"/>
  <c r="Q56" i="12" s="1"/>
  <c r="K56" i="12" s="1"/>
  <c r="E56" i="12" s="1" a="1"/>
  <c r="E56" i="12" s="1"/>
  <c r="M56" i="12" a="1"/>
  <c r="M56" i="12" s="1"/>
  <c r="L56" i="12" a="1"/>
  <c r="L56" i="12" s="1"/>
  <c r="W56" i="12" l="1" a="1"/>
  <c r="W56" i="12" s="1"/>
  <c r="Y56" i="12" a="1"/>
  <c r="Y56" i="12" s="1"/>
  <c r="T56" i="12" a="1"/>
  <c r="T56" i="12" s="1"/>
  <c r="C56" i="12" a="1"/>
  <c r="C56" i="12" s="1"/>
  <c r="B56" i="12" a="1"/>
  <c r="B56" i="12" s="1"/>
  <c r="A56" i="12" s="1" a="1"/>
  <c r="A56" i="12" s="1"/>
  <c r="AD56" i="12"/>
  <c r="AS56" i="12"/>
  <c r="H56" i="12" l="1" a="1"/>
  <c r="H56" i="12" s="1"/>
  <c r="D56" i="12"/>
  <c r="X56" i="12" a="1"/>
  <c r="X56" i="12" s="1"/>
  <c r="AV56" i="12"/>
  <c r="AW56" i="12" s="1" a="1"/>
  <c r="AW56" i="12" s="1"/>
  <c r="P57" i="12"/>
  <c r="J57" i="12"/>
  <c r="F56" i="12"/>
  <c r="AT55" i="12"/>
  <c r="AU55" i="12" s="1" a="1"/>
  <c r="AU55" i="12" s="1"/>
  <c r="G56" i="12" l="1"/>
  <c r="Z56" i="12" s="1" a="1"/>
  <c r="Z56" i="12" s="1"/>
  <c r="M57" i="12" a="1"/>
  <c r="M57" i="12" s="1"/>
  <c r="L57" i="12" a="1"/>
  <c r="L57" i="12" s="1"/>
  <c r="R57" i="12" a="1"/>
  <c r="R57" i="12" s="1"/>
  <c r="S57" i="12" s="1"/>
  <c r="I58" i="12" s="1" a="1"/>
  <c r="I58" i="12" s="1"/>
  <c r="Q57" i="12" a="1"/>
  <c r="Q57" i="12" s="1"/>
  <c r="K57" i="12" s="1"/>
  <c r="E57" i="12" s="1" a="1"/>
  <c r="E57" i="12" s="1"/>
  <c r="W57" i="12" l="1" a="1"/>
  <c r="W57" i="12" s="1"/>
  <c r="Y57" i="12" a="1"/>
  <c r="Y57" i="12" s="1"/>
  <c r="T57" i="12" a="1"/>
  <c r="T57" i="12" s="1"/>
  <c r="C57" i="12" a="1"/>
  <c r="C57" i="12" s="1"/>
  <c r="B57" i="12" a="1"/>
  <c r="B57" i="12" s="1"/>
  <c r="A57" i="12" s="1" a="1"/>
  <c r="A57" i="12" s="1"/>
  <c r="AS57" i="12"/>
  <c r="AD57" i="12"/>
  <c r="H57" i="12" l="1" a="1"/>
  <c r="H57" i="12" s="1"/>
  <c r="D57" i="12"/>
  <c r="X57" i="12" a="1"/>
  <c r="X57" i="12" s="1"/>
  <c r="AV57" i="12"/>
  <c r="AW57" i="12" s="1" a="1"/>
  <c r="AW57" i="12" s="1"/>
  <c r="J58" i="12"/>
  <c r="P58" i="12"/>
  <c r="F57" i="12"/>
  <c r="AT56" i="12"/>
  <c r="AU56" i="12" s="1" a="1"/>
  <c r="AU56" i="12" s="1"/>
  <c r="G57" i="12" l="1"/>
  <c r="Z57" i="12" s="1" a="1"/>
  <c r="Z57" i="12" s="1"/>
  <c r="L58" i="12" a="1"/>
  <c r="L58" i="12" s="1"/>
  <c r="R58" i="12" a="1"/>
  <c r="R58" i="12" s="1"/>
  <c r="S58" i="12" s="1"/>
  <c r="I59" i="12" s="1" a="1"/>
  <c r="I59" i="12" s="1"/>
  <c r="Q58" i="12" a="1"/>
  <c r="Q58" i="12" s="1"/>
  <c r="K58" i="12" s="1"/>
  <c r="E58" i="12" s="1" a="1"/>
  <c r="E58" i="12" s="1"/>
  <c r="M58" i="12" a="1"/>
  <c r="M58" i="12" s="1"/>
  <c r="W58" i="12" l="1" a="1"/>
  <c r="W58" i="12" s="1"/>
  <c r="Y58" i="12" a="1"/>
  <c r="Y58" i="12" s="1"/>
  <c r="T58" i="12" a="1"/>
  <c r="T58" i="12" s="1"/>
  <c r="C58" i="12" a="1"/>
  <c r="C58" i="12" s="1"/>
  <c r="B58" i="12" a="1"/>
  <c r="B58" i="12" s="1"/>
  <c r="A58" i="12" s="1" a="1"/>
  <c r="A58" i="12" s="1"/>
  <c r="AS58" i="12"/>
  <c r="AD58" i="12"/>
  <c r="H58" i="12" l="1" a="1"/>
  <c r="H58" i="12" s="1"/>
  <c r="D58" i="12"/>
  <c r="X58" i="12" a="1"/>
  <c r="X58" i="12" s="1"/>
  <c r="AV58" i="12"/>
  <c r="AW58" i="12" s="1" a="1"/>
  <c r="AW58" i="12" s="1"/>
  <c r="F58" i="12"/>
  <c r="P59" i="12"/>
  <c r="J59" i="12"/>
  <c r="AT57" i="12"/>
  <c r="AU57" i="12" s="1" a="1"/>
  <c r="AU57" i="12" s="1"/>
  <c r="G58" i="12" l="1"/>
  <c r="Z58" i="12" s="1" a="1"/>
  <c r="Z58" i="12" s="1"/>
  <c r="Q59" i="12" a="1"/>
  <c r="Q59" i="12" s="1"/>
  <c r="K59" i="12" s="1"/>
  <c r="E59" i="12" s="1" a="1"/>
  <c r="E59" i="12" s="1"/>
  <c r="L59" i="12" a="1"/>
  <c r="L59" i="12" s="1"/>
  <c r="M59" i="12" a="1"/>
  <c r="M59" i="12" s="1"/>
  <c r="R59" i="12" a="1"/>
  <c r="R59" i="12" s="1"/>
  <c r="S59" i="12" s="1"/>
  <c r="I60" i="12" s="1" a="1"/>
  <c r="I60" i="12" s="1"/>
  <c r="W59" i="12" l="1" a="1"/>
  <c r="W59" i="12" s="1"/>
  <c r="Y59" i="12" a="1"/>
  <c r="Y59" i="12" s="1"/>
  <c r="T59" i="12" a="1"/>
  <c r="T59" i="12" s="1"/>
  <c r="C59" i="12" a="1"/>
  <c r="C59" i="12" s="1"/>
  <c r="B59" i="12" a="1"/>
  <c r="B59" i="12" s="1"/>
  <c r="A59" i="12" s="1" a="1"/>
  <c r="A59" i="12" s="1"/>
  <c r="AS59" i="12"/>
  <c r="AD59" i="12"/>
  <c r="J12" i="14"/>
  <c r="K12" i="14" l="1" a="1"/>
  <c r="K12" i="14" s="1"/>
  <c r="K13" i="14" s="1" a="1"/>
  <c r="K13" i="14" s="1"/>
  <c r="K14" i="14" s="1" a="1"/>
  <c r="K14" i="14" s="1"/>
  <c r="K15" i="14" s="1" a="1"/>
  <c r="K15" i="14" s="1"/>
  <c r="H59" i="12" a="1"/>
  <c r="H59" i="12" s="1"/>
  <c r="D59" i="12"/>
  <c r="X59" i="12" a="1"/>
  <c r="X59" i="12" s="1"/>
  <c r="AV59" i="12"/>
  <c r="AW59" i="12" s="1" a="1"/>
  <c r="AW59" i="12" s="1"/>
  <c r="F59" i="12"/>
  <c r="AT58" i="12"/>
  <c r="AU58" i="12" s="1" a="1"/>
  <c r="AU58" i="12" s="1"/>
  <c r="P60" i="12"/>
  <c r="J60" i="12"/>
  <c r="F20" i="14" l="1"/>
  <c r="E20" i="14" s="1" a="1"/>
  <c r="E20" i="14" s="1"/>
  <c r="C21" i="14" s="1" a="1"/>
  <c r="C21" i="14" s="1"/>
  <c r="G59" i="12"/>
  <c r="Z59" i="12" s="1" a="1"/>
  <c r="Z59" i="12" s="1"/>
  <c r="L60" i="12" a="1"/>
  <c r="L60" i="12" s="1"/>
  <c r="Q60" i="12" a="1"/>
  <c r="Q60" i="12" s="1"/>
  <c r="K60" i="12" s="1"/>
  <c r="E60" i="12" s="1" a="1"/>
  <c r="E60" i="12" s="1"/>
  <c r="M60" i="12" a="1"/>
  <c r="M60" i="12" s="1"/>
  <c r="R60" i="12" a="1"/>
  <c r="R60" i="12" s="1"/>
  <c r="S60" i="12" s="1"/>
  <c r="I61" i="12" s="1" a="1"/>
  <c r="I61" i="12" s="1"/>
  <c r="W60" i="12" l="1" a="1"/>
  <c r="W60" i="12" s="1"/>
  <c r="Y60" i="12" a="1"/>
  <c r="Y60" i="12" s="1"/>
  <c r="T60" i="12" a="1"/>
  <c r="T60" i="12" s="1"/>
  <c r="C60" i="12" a="1"/>
  <c r="C60" i="12" s="1"/>
  <c r="B60" i="12" a="1"/>
  <c r="B60" i="12" s="1"/>
  <c r="A60" i="12" s="1" a="1"/>
  <c r="A60" i="12" s="1"/>
  <c r="AD60" i="12"/>
  <c r="AS60" i="12"/>
  <c r="D21" i="14"/>
  <c r="F21" i="14"/>
  <c r="G20" i="14" a="1"/>
  <c r="G21" i="14" a="1"/>
  <c r="G20" i="14" l="1"/>
  <c r="I20" i="14" s="1" a="1"/>
  <c r="I20" i="14" s="1"/>
  <c r="B20" i="14" s="1" a="1"/>
  <c r="B20" i="14" s="1"/>
  <c r="H60" i="12" a="1"/>
  <c r="H60" i="12" s="1"/>
  <c r="D60" i="12"/>
  <c r="AV60" i="12"/>
  <c r="AW60" i="12" s="1" a="1"/>
  <c r="AW60" i="12" s="1"/>
  <c r="X60" i="12" a="1"/>
  <c r="X60" i="12" s="1"/>
  <c r="P61" i="12"/>
  <c r="J61" i="12"/>
  <c r="AT59" i="12"/>
  <c r="AU59" i="12" s="1" a="1"/>
  <c r="AU59" i="12" s="1"/>
  <c r="F60" i="12"/>
  <c r="G21" i="14"/>
  <c r="I21" i="14" s="1" a="1"/>
  <c r="E21" i="14" a="1"/>
  <c r="E21" i="14" s="1"/>
  <c r="C22" i="14" s="1" a="1"/>
  <c r="C22" i="14" s="1"/>
  <c r="G60" i="12" l="1"/>
  <c r="Z60" i="12" s="1" a="1"/>
  <c r="Z60" i="12" s="1"/>
  <c r="Q61" i="12" a="1"/>
  <c r="Q61" i="12" s="1"/>
  <c r="K61" i="12" s="1"/>
  <c r="E61" i="12" s="1" a="1"/>
  <c r="E61" i="12" s="1"/>
  <c r="M61" i="12" a="1"/>
  <c r="M61" i="12" s="1"/>
  <c r="L61" i="12" a="1"/>
  <c r="L61" i="12" s="1"/>
  <c r="R61" i="12" a="1"/>
  <c r="R61" i="12" s="1"/>
  <c r="S61" i="12" s="1"/>
  <c r="I62" i="12" s="1" a="1"/>
  <c r="I62" i="12" s="1"/>
  <c r="I21" i="14"/>
  <c r="B21" i="14" s="1" a="1"/>
  <c r="B21" i="14" s="1"/>
  <c r="D22" i="14"/>
  <c r="F22" i="14"/>
  <c r="G22" i="14" a="1"/>
  <c r="W61" i="12" l="1" a="1"/>
  <c r="W61" i="12" s="1"/>
  <c r="Y61" i="12" a="1"/>
  <c r="Y61" i="12" s="1"/>
  <c r="T61" i="12" a="1"/>
  <c r="T61" i="12" s="1"/>
  <c r="C61" i="12" a="1"/>
  <c r="C61" i="12" s="1"/>
  <c r="B61" i="12" a="1"/>
  <c r="B61" i="12" s="1"/>
  <c r="A61" i="12" s="1" a="1"/>
  <c r="A61" i="12" s="1"/>
  <c r="AS61" i="12"/>
  <c r="AD61" i="12"/>
  <c r="G22" i="14"/>
  <c r="I22" i="14" s="1" a="1"/>
  <c r="E22" i="14" a="1"/>
  <c r="E22" i="14" s="1"/>
  <c r="C23" i="14" s="1" a="1"/>
  <c r="C23" i="14" s="1"/>
  <c r="H61" i="12" l="1" a="1"/>
  <c r="H61" i="12" s="1"/>
  <c r="D61" i="12"/>
  <c r="X61" i="12" a="1"/>
  <c r="X61" i="12" s="1"/>
  <c r="AV61" i="12"/>
  <c r="AW61" i="12" s="1" a="1"/>
  <c r="AW61" i="12" s="1"/>
  <c r="F61" i="12"/>
  <c r="J62" i="12"/>
  <c r="P62" i="12"/>
  <c r="AT60" i="12"/>
  <c r="AU60" i="12" s="1" a="1"/>
  <c r="AU60" i="12" s="1"/>
  <c r="I22" i="14"/>
  <c r="B22" i="14" s="1" a="1"/>
  <c r="B22" i="14" s="1"/>
  <c r="D23" i="14"/>
  <c r="F23" i="14"/>
  <c r="G23" i="14" a="1"/>
  <c r="G61" i="12" l="1"/>
  <c r="Z61" i="12" s="1" a="1"/>
  <c r="Z61" i="12" s="1"/>
  <c r="Q62" i="12" a="1"/>
  <c r="Q62" i="12" s="1"/>
  <c r="K62" i="12" s="1"/>
  <c r="E62" i="12" s="1" a="1"/>
  <c r="E62" i="12" s="1"/>
  <c r="M62" i="12" a="1"/>
  <c r="M62" i="12" s="1"/>
  <c r="L62" i="12" a="1"/>
  <c r="L62" i="12" s="1"/>
  <c r="R62" i="12" a="1"/>
  <c r="R62" i="12" s="1"/>
  <c r="S62" i="12" s="1"/>
  <c r="I63" i="12" s="1" a="1"/>
  <c r="I63" i="12" s="1"/>
  <c r="G23" i="14"/>
  <c r="I23" i="14" s="1" a="1"/>
  <c r="E23" i="14" a="1"/>
  <c r="E23" i="14" s="1"/>
  <c r="C24" i="14" s="1" a="1"/>
  <c r="C24" i="14" s="1"/>
  <c r="W62" i="12" l="1" a="1"/>
  <c r="W62" i="12" s="1"/>
  <c r="Y62" i="12" a="1"/>
  <c r="Y62" i="12" s="1"/>
  <c r="T62" i="12" a="1"/>
  <c r="T62" i="12" s="1"/>
  <c r="C62" i="12" a="1"/>
  <c r="C62" i="12" s="1"/>
  <c r="B62" i="12" a="1"/>
  <c r="B62" i="12" s="1"/>
  <c r="A62" i="12" s="1" a="1"/>
  <c r="A62" i="12" s="1"/>
  <c r="AS62" i="12"/>
  <c r="AD62" i="12"/>
  <c r="I23" i="14"/>
  <c r="B23" i="14" s="1" a="1"/>
  <c r="B23" i="14" s="1"/>
  <c r="F24" i="14"/>
  <c r="D24" i="14"/>
  <c r="G24" i="14" a="1"/>
  <c r="H62" i="12" l="1" a="1"/>
  <c r="H62" i="12" s="1"/>
  <c r="D62" i="12"/>
  <c r="X62" i="12" a="1"/>
  <c r="X62" i="12" s="1"/>
  <c r="AV62" i="12"/>
  <c r="AW62" i="12" s="1" a="1"/>
  <c r="AW62" i="12" s="1"/>
  <c r="F62" i="12"/>
  <c r="AT61" i="12"/>
  <c r="AU61" i="12" s="1" a="1"/>
  <c r="AU61" i="12" s="1"/>
  <c r="J63" i="12"/>
  <c r="P63" i="12"/>
  <c r="G24" i="14"/>
  <c r="I24" i="14" s="1" a="1"/>
  <c r="E24" i="14" a="1"/>
  <c r="E24" i="14" s="1"/>
  <c r="C25" i="14" s="1" a="1"/>
  <c r="C25" i="14" s="1"/>
  <c r="G62" i="12" l="1"/>
  <c r="Z62" i="12" s="1" a="1"/>
  <c r="Z62" i="12" s="1"/>
  <c r="Q63" i="12" a="1"/>
  <c r="Q63" i="12" s="1"/>
  <c r="K63" i="12" s="1"/>
  <c r="E63" i="12" s="1" a="1"/>
  <c r="E63" i="12" s="1"/>
  <c r="M63" i="12" a="1"/>
  <c r="M63" i="12" s="1"/>
  <c r="R63" i="12" a="1"/>
  <c r="R63" i="12" s="1"/>
  <c r="S63" i="12" s="1"/>
  <c r="I64" i="12" s="1" a="1"/>
  <c r="I64" i="12" s="1"/>
  <c r="L63" i="12" a="1"/>
  <c r="L63" i="12" s="1"/>
  <c r="I24" i="14"/>
  <c r="B24" i="14" s="1" a="1"/>
  <c r="B24" i="14" s="1"/>
  <c r="F25" i="14"/>
  <c r="D25" i="14"/>
  <c r="G25" i="14" a="1"/>
  <c r="W63" i="12" l="1" a="1"/>
  <c r="W63" i="12" s="1"/>
  <c r="Y63" i="12" a="1"/>
  <c r="Y63" i="12" s="1"/>
  <c r="T63" i="12" a="1"/>
  <c r="T63" i="12" s="1"/>
  <c r="C63" i="12" a="1"/>
  <c r="C63" i="12" s="1"/>
  <c r="B63" i="12" a="1"/>
  <c r="B63" i="12" s="1"/>
  <c r="A63" i="12" s="1" a="1"/>
  <c r="A63" i="12" s="1"/>
  <c r="AS63" i="12"/>
  <c r="AD63" i="12"/>
  <c r="G25" i="14"/>
  <c r="I25" i="14" s="1" a="1"/>
  <c r="E25" i="14" a="1"/>
  <c r="E25" i="14" s="1"/>
  <c r="C26" i="14" s="1" a="1"/>
  <c r="C26" i="14" s="1"/>
  <c r="H63" i="12" l="1" a="1"/>
  <c r="H63" i="12" s="1"/>
  <c r="D63" i="12"/>
  <c r="X63" i="12" a="1"/>
  <c r="X63" i="12" s="1"/>
  <c r="AV63" i="12"/>
  <c r="AW63" i="12" s="1" a="1"/>
  <c r="AW63" i="12" s="1"/>
  <c r="F63" i="12"/>
  <c r="J64" i="12"/>
  <c r="P64" i="12"/>
  <c r="AT62" i="12"/>
  <c r="AU62" i="12" s="1" a="1"/>
  <c r="AU62" i="12" s="1"/>
  <c r="I25" i="14"/>
  <c r="B25" i="14" s="1" a="1"/>
  <c r="B25" i="14" s="1"/>
  <c r="F26" i="14"/>
  <c r="D26" i="14"/>
  <c r="G26" i="14" a="1"/>
  <c r="G63" i="12" l="1"/>
  <c r="Z63" i="12" s="1" a="1"/>
  <c r="Z63" i="12" s="1"/>
  <c r="L64" i="12" a="1"/>
  <c r="L64" i="12" s="1"/>
  <c r="Q64" i="12" a="1"/>
  <c r="Q64" i="12" s="1"/>
  <c r="K64" i="12" s="1"/>
  <c r="E64" i="12" s="1" a="1"/>
  <c r="E64" i="12" s="1"/>
  <c r="M64" i="12" a="1"/>
  <c r="M64" i="12" s="1"/>
  <c r="R64" i="12" a="1"/>
  <c r="R64" i="12" s="1"/>
  <c r="S64" i="12" s="1"/>
  <c r="I65" i="12" s="1" a="1"/>
  <c r="I65" i="12" s="1"/>
  <c r="G26" i="14"/>
  <c r="I26" i="14" s="1" a="1"/>
  <c r="E26" i="14" a="1"/>
  <c r="E26" i="14" s="1"/>
  <c r="C27" i="14" s="1" a="1"/>
  <c r="C27" i="14" s="1"/>
  <c r="W64" i="12" l="1" a="1"/>
  <c r="W64" i="12" s="1"/>
  <c r="Y64" i="12" a="1"/>
  <c r="Y64" i="12" s="1"/>
  <c r="T64" i="12" a="1"/>
  <c r="T64" i="12" s="1"/>
  <c r="C64" i="12" a="1"/>
  <c r="C64" i="12" s="1"/>
  <c r="B64" i="12" a="1"/>
  <c r="B64" i="12" s="1"/>
  <c r="A64" i="12" s="1" a="1"/>
  <c r="A64" i="12" s="1"/>
  <c r="AS64" i="12"/>
  <c r="AD64" i="12"/>
  <c r="I26" i="14"/>
  <c r="B26" i="14" s="1" a="1"/>
  <c r="B26" i="14" s="1"/>
  <c r="D27" i="14"/>
  <c r="F27" i="14"/>
  <c r="G27" i="14" a="1"/>
  <c r="D64" i="12" l="1"/>
  <c r="H64" i="12" a="1"/>
  <c r="H64" i="12" s="1"/>
  <c r="X64" i="12" a="1"/>
  <c r="X64" i="12" s="1"/>
  <c r="AV64" i="12"/>
  <c r="AW64" i="12" s="1" a="1"/>
  <c r="AW64" i="12" s="1"/>
  <c r="F64" i="12"/>
  <c r="P65" i="12"/>
  <c r="J65" i="12"/>
  <c r="AT63" i="12"/>
  <c r="AU63" i="12" s="1" a="1"/>
  <c r="AU63" i="12" s="1"/>
  <c r="G27" i="14"/>
  <c r="I27" i="14" s="1" a="1"/>
  <c r="E27" i="14" a="1"/>
  <c r="E27" i="14" s="1"/>
  <c r="C28" i="14" s="1" a="1"/>
  <c r="C28" i="14" s="1"/>
  <c r="G64" i="12" l="1"/>
  <c r="Z64" i="12" s="1" a="1"/>
  <c r="Z64" i="12" s="1"/>
  <c r="Q65" i="12" a="1"/>
  <c r="Q65" i="12" s="1"/>
  <c r="K65" i="12" s="1"/>
  <c r="E65" i="12" s="1" a="1"/>
  <c r="E65" i="12" s="1"/>
  <c r="L65" i="12" a="1"/>
  <c r="L65" i="12" s="1"/>
  <c r="M65" i="12" a="1"/>
  <c r="M65" i="12" s="1"/>
  <c r="R65" i="12" a="1"/>
  <c r="R65" i="12" s="1"/>
  <c r="S65" i="12" s="1"/>
  <c r="I66" i="12" s="1" a="1"/>
  <c r="I66" i="12" s="1"/>
  <c r="I27" i="14"/>
  <c r="B27" i="14" s="1" a="1"/>
  <c r="B27" i="14" s="1"/>
  <c r="D28" i="14"/>
  <c r="F28" i="14"/>
  <c r="G28" i="14" a="1"/>
  <c r="W65" i="12" l="1" a="1"/>
  <c r="W65" i="12" s="1"/>
  <c r="Y65" i="12" a="1"/>
  <c r="Y65" i="12" s="1"/>
  <c r="T65" i="12" a="1"/>
  <c r="T65" i="12" s="1"/>
  <c r="C65" i="12" a="1"/>
  <c r="C65" i="12" s="1"/>
  <c r="B65" i="12" a="1"/>
  <c r="B65" i="12" s="1"/>
  <c r="A65" i="12" s="1" a="1"/>
  <c r="A65" i="12" s="1"/>
  <c r="AS65" i="12"/>
  <c r="AD65" i="12"/>
  <c r="G28" i="14"/>
  <c r="I28" i="14" s="1" a="1"/>
  <c r="E28" i="14" a="1"/>
  <c r="E28" i="14" s="1"/>
  <c r="C29" i="14" s="1" a="1"/>
  <c r="C29" i="14" s="1"/>
  <c r="D65" i="12" l="1"/>
  <c r="H65" i="12" a="1"/>
  <c r="H65" i="12" s="1"/>
  <c r="X65" i="12" a="1"/>
  <c r="X65" i="12" s="1"/>
  <c r="AV65" i="12"/>
  <c r="AW65" i="12" s="1" a="1"/>
  <c r="AW65" i="12" s="1"/>
  <c r="F65" i="12"/>
  <c r="AT64" i="12"/>
  <c r="AU64" i="12" s="1" a="1"/>
  <c r="AU64" i="12" s="1"/>
  <c r="J66" i="12"/>
  <c r="P66" i="12"/>
  <c r="I28" i="14"/>
  <c r="B28" i="14" s="1" a="1"/>
  <c r="B28" i="14" s="1"/>
  <c r="D29" i="14"/>
  <c r="F29" i="14"/>
  <c r="G29" i="14" a="1"/>
  <c r="G65" i="12" l="1"/>
  <c r="Z65" i="12" s="1" a="1"/>
  <c r="Z65" i="12" s="1"/>
  <c r="M66" i="12" a="1"/>
  <c r="M66" i="12" s="1"/>
  <c r="L66" i="12" a="1"/>
  <c r="L66" i="12" s="1"/>
  <c r="Q66" i="12" a="1"/>
  <c r="Q66" i="12" s="1"/>
  <c r="K66" i="12" s="1"/>
  <c r="E66" i="12" s="1" a="1"/>
  <c r="E66" i="12" s="1"/>
  <c r="R66" i="12" a="1"/>
  <c r="R66" i="12" s="1"/>
  <c r="S66" i="12" s="1"/>
  <c r="I67" i="12" s="1" a="1"/>
  <c r="I67" i="12" s="1"/>
  <c r="G29" i="14"/>
  <c r="I29" i="14" s="1" a="1"/>
  <c r="E29" i="14" a="1"/>
  <c r="E29" i="14" s="1"/>
  <c r="C30" i="14" s="1" a="1"/>
  <c r="C30" i="14" s="1"/>
  <c r="W66" i="12" l="1" a="1"/>
  <c r="W66" i="12" s="1"/>
  <c r="Y66" i="12" a="1"/>
  <c r="Y66" i="12" s="1"/>
  <c r="T66" i="12" a="1"/>
  <c r="T66" i="12" s="1"/>
  <c r="C66" i="12" a="1"/>
  <c r="C66" i="12" s="1"/>
  <c r="B66" i="12" a="1"/>
  <c r="B66" i="12" s="1"/>
  <c r="A66" i="12" s="1" a="1"/>
  <c r="A66" i="12" s="1"/>
  <c r="AD66" i="12"/>
  <c r="AS66" i="12"/>
  <c r="I29" i="14"/>
  <c r="B29" i="14" s="1" a="1"/>
  <c r="B29" i="14" s="1"/>
  <c r="D30" i="14"/>
  <c r="F30" i="14"/>
  <c r="G30" i="14" a="1"/>
  <c r="H66" i="12" l="1" a="1"/>
  <c r="H66" i="12" s="1"/>
  <c r="D66" i="12"/>
  <c r="AV66" i="12"/>
  <c r="AW66" i="12" s="1" a="1"/>
  <c r="AW66" i="12" s="1"/>
  <c r="X66" i="12" a="1"/>
  <c r="X66" i="12" s="1"/>
  <c r="J67" i="12"/>
  <c r="P67" i="12"/>
  <c r="AT65" i="12"/>
  <c r="AU65" i="12" s="1" a="1"/>
  <c r="AU65" i="12" s="1"/>
  <c r="F66" i="12"/>
  <c r="G30" i="14"/>
  <c r="I30" i="14" s="1" a="1"/>
  <c r="E30" i="14" a="1"/>
  <c r="E30" i="14" s="1"/>
  <c r="C31" i="14" s="1" a="1"/>
  <c r="C31" i="14" s="1"/>
  <c r="G66" i="12" l="1"/>
  <c r="Z66" i="12" s="1" a="1"/>
  <c r="Z66" i="12" s="1"/>
  <c r="L67" i="12" a="1"/>
  <c r="L67" i="12" s="1"/>
  <c r="Q67" i="12" a="1"/>
  <c r="Q67" i="12" s="1"/>
  <c r="K67" i="12" s="1"/>
  <c r="E67" i="12" s="1" a="1"/>
  <c r="E67" i="12" s="1"/>
  <c r="M67" i="12" a="1"/>
  <c r="M67" i="12" s="1"/>
  <c r="R67" i="12" a="1"/>
  <c r="R67" i="12" s="1"/>
  <c r="S67" i="12" s="1"/>
  <c r="I68" i="12" s="1" a="1"/>
  <c r="I68" i="12" s="1"/>
  <c r="I30" i="14"/>
  <c r="B30" i="14" s="1" a="1"/>
  <c r="B30" i="14" s="1"/>
  <c r="F31" i="14"/>
  <c r="D31" i="14"/>
  <c r="G31" i="14" a="1"/>
  <c r="W67" i="12" l="1" a="1"/>
  <c r="W67" i="12" s="1"/>
  <c r="Y67" i="12" a="1"/>
  <c r="Y67" i="12" s="1"/>
  <c r="T67" i="12" a="1"/>
  <c r="T67" i="12" s="1"/>
  <c r="C67" i="12" a="1"/>
  <c r="C67" i="12" s="1"/>
  <c r="B67" i="12" a="1"/>
  <c r="B67" i="12" s="1"/>
  <c r="A67" i="12" s="1" a="1"/>
  <c r="A67" i="12" s="1"/>
  <c r="AS67" i="12"/>
  <c r="AD67" i="12"/>
  <c r="G31" i="14"/>
  <c r="I31" i="14" s="1" a="1"/>
  <c r="E31" i="14" a="1"/>
  <c r="E31" i="14" s="1"/>
  <c r="C32" i="14" s="1" a="1"/>
  <c r="C32" i="14" s="1"/>
  <c r="H67" i="12" l="1" a="1"/>
  <c r="H67" i="12" s="1"/>
  <c r="D67" i="12"/>
  <c r="AV67" i="12"/>
  <c r="AW67" i="12" s="1" a="1"/>
  <c r="AW67" i="12" s="1"/>
  <c r="X67" i="12" a="1"/>
  <c r="X67" i="12" s="1"/>
  <c r="F67" i="12"/>
  <c r="P68" i="12"/>
  <c r="J68" i="12"/>
  <c r="AT66" i="12"/>
  <c r="AU66" i="12" s="1" a="1"/>
  <c r="AU66" i="12" s="1"/>
  <c r="I31" i="14"/>
  <c r="B31" i="14" s="1" a="1"/>
  <c r="B31" i="14" s="1"/>
  <c r="F32" i="14"/>
  <c r="D32" i="14"/>
  <c r="G32" i="14" a="1"/>
  <c r="G67" i="12" l="1"/>
  <c r="Z67" i="12" s="1" a="1"/>
  <c r="Z67" i="12" s="1"/>
  <c r="M68" i="12" a="1"/>
  <c r="M68" i="12" s="1"/>
  <c r="L68" i="12" a="1"/>
  <c r="L68" i="12" s="1"/>
  <c r="Q68" i="12" a="1"/>
  <c r="Q68" i="12" s="1"/>
  <c r="K68" i="12" s="1"/>
  <c r="E68" i="12" s="1" a="1"/>
  <c r="E68" i="12" s="1"/>
  <c r="R68" i="12" a="1"/>
  <c r="R68" i="12" s="1"/>
  <c r="S68" i="12" s="1"/>
  <c r="I69" i="12" s="1" a="1"/>
  <c r="I69" i="12" s="1"/>
  <c r="G32" i="14"/>
  <c r="I32" i="14" s="1" a="1"/>
  <c r="E32" i="14" a="1"/>
  <c r="E32" i="14" s="1"/>
  <c r="C33" i="14" s="1" a="1"/>
  <c r="C33" i="14" s="1"/>
  <c r="W68" i="12" l="1" a="1"/>
  <c r="W68" i="12" s="1"/>
  <c r="Y68" i="12" a="1"/>
  <c r="Y68" i="12" s="1"/>
  <c r="T68" i="12" a="1"/>
  <c r="T68" i="12" s="1"/>
  <c r="C68" i="12" a="1"/>
  <c r="C68" i="12" s="1"/>
  <c r="B68" i="12" a="1"/>
  <c r="B68" i="12" s="1"/>
  <c r="A68" i="12" s="1" a="1"/>
  <c r="A68" i="12" s="1"/>
  <c r="AD68" i="12"/>
  <c r="AS68" i="12"/>
  <c r="I32" i="14"/>
  <c r="B32" i="14" s="1" a="1"/>
  <c r="B32" i="14" s="1"/>
  <c r="F33" i="14"/>
  <c r="D33" i="14"/>
  <c r="G33" i="14" a="1"/>
  <c r="H68" i="12" l="1" a="1"/>
  <c r="H68" i="12" s="1"/>
  <c r="D68" i="12"/>
  <c r="X68" i="12" a="1"/>
  <c r="X68" i="12" s="1"/>
  <c r="AV68" i="12"/>
  <c r="AW68" i="12" s="1" a="1"/>
  <c r="AW68" i="12" s="1"/>
  <c r="AT67" i="12"/>
  <c r="AU67" i="12" s="1" a="1"/>
  <c r="AU67" i="12" s="1"/>
  <c r="J69" i="12"/>
  <c r="P69" i="12"/>
  <c r="F68" i="12"/>
  <c r="G33" i="14"/>
  <c r="I33" i="14" s="1" a="1"/>
  <c r="E33" i="14" a="1"/>
  <c r="E33" i="14" s="1"/>
  <c r="C34" i="14" s="1" a="1"/>
  <c r="C34" i="14" s="1"/>
  <c r="G68" i="12" l="1"/>
  <c r="Z68" i="12" s="1" a="1"/>
  <c r="Z68" i="12" s="1"/>
  <c r="Q69" i="12" a="1"/>
  <c r="Q69" i="12" s="1"/>
  <c r="K69" i="12" s="1"/>
  <c r="E69" i="12" s="1" a="1"/>
  <c r="E69" i="12" s="1"/>
  <c r="M69" i="12" a="1"/>
  <c r="M69" i="12" s="1"/>
  <c r="L69" i="12" a="1"/>
  <c r="L69" i="12" s="1"/>
  <c r="R69" i="12" a="1"/>
  <c r="R69" i="12" s="1"/>
  <c r="S69" i="12" s="1"/>
  <c r="I70" i="12" s="1" a="1"/>
  <c r="I70" i="12" s="1"/>
  <c r="I33" i="14"/>
  <c r="B33" i="14" s="1" a="1"/>
  <c r="B33" i="14" s="1"/>
  <c r="F34" i="14"/>
  <c r="D34" i="14"/>
  <c r="G34" i="14" a="1"/>
  <c r="W69" i="12" l="1" a="1"/>
  <c r="W69" i="12" s="1"/>
  <c r="Y69" i="12" a="1"/>
  <c r="Y69" i="12" s="1"/>
  <c r="T69" i="12" a="1"/>
  <c r="T69" i="12" s="1"/>
  <c r="C69" i="12" a="1"/>
  <c r="C69" i="12" s="1"/>
  <c r="B69" i="12" a="1"/>
  <c r="B69" i="12" s="1"/>
  <c r="A69" i="12" s="1" a="1"/>
  <c r="A69" i="12" s="1"/>
  <c r="AS69" i="12"/>
  <c r="AD69" i="12"/>
  <c r="G34" i="14"/>
  <c r="I34" i="14" s="1" a="1"/>
  <c r="E34" i="14" a="1"/>
  <c r="E34" i="14" s="1"/>
  <c r="C35" i="14" s="1" a="1"/>
  <c r="C35" i="14" s="1"/>
  <c r="D69" i="12" l="1"/>
  <c r="H69" i="12" a="1"/>
  <c r="H69" i="12" s="1"/>
  <c r="X69" i="12" a="1"/>
  <c r="X69" i="12" s="1"/>
  <c r="AV69" i="12"/>
  <c r="AW69" i="12" s="1" a="1"/>
  <c r="AW69" i="12" s="1"/>
  <c r="F69" i="12"/>
  <c r="AT68" i="12"/>
  <c r="AU68" i="12" s="1" a="1"/>
  <c r="AU68" i="12" s="1"/>
  <c r="J70" i="12"/>
  <c r="P70" i="12"/>
  <c r="I34" i="14"/>
  <c r="B34" i="14" s="1" a="1"/>
  <c r="B34" i="14" s="1"/>
  <c r="D35" i="14"/>
  <c r="F35" i="14"/>
  <c r="G35" i="14" a="1"/>
  <c r="G69" i="12" l="1"/>
  <c r="Z69" i="12" s="1" a="1"/>
  <c r="Z69" i="12" s="1"/>
  <c r="M70" i="12" a="1"/>
  <c r="M70" i="12" s="1"/>
  <c r="R70" i="12" a="1"/>
  <c r="R70" i="12" s="1"/>
  <c r="S70" i="12" s="1"/>
  <c r="I71" i="12" s="1" a="1"/>
  <c r="I71" i="12" s="1"/>
  <c r="L70" i="12" a="1"/>
  <c r="L70" i="12" s="1"/>
  <c r="Q70" i="12" a="1"/>
  <c r="Q70" i="12" s="1"/>
  <c r="K70" i="12" s="1"/>
  <c r="E70" i="12" s="1" a="1"/>
  <c r="E70" i="12" s="1"/>
  <c r="G35" i="14"/>
  <c r="I35" i="14" s="1" a="1"/>
  <c r="E35" i="14" a="1"/>
  <c r="E35" i="14" s="1"/>
  <c r="C36" i="14" s="1" a="1"/>
  <c r="C36" i="14" s="1"/>
  <c r="W70" i="12" l="1" a="1"/>
  <c r="W70" i="12" s="1"/>
  <c r="Y70" i="12" a="1"/>
  <c r="Y70" i="12" s="1"/>
  <c r="T70" i="12" a="1"/>
  <c r="T70" i="12" s="1"/>
  <c r="D70" i="12" s="1"/>
  <c r="C70" i="12" a="1"/>
  <c r="C70" i="12" s="1"/>
  <c r="B70" i="12" a="1"/>
  <c r="B70" i="12" s="1"/>
  <c r="A70" i="12" s="1" a="1"/>
  <c r="A70" i="12" s="1"/>
  <c r="AD70" i="12"/>
  <c r="AS70" i="12"/>
  <c r="I35" i="14"/>
  <c r="B35" i="14" s="1" a="1"/>
  <c r="B35" i="14" s="1"/>
  <c r="F36" i="14"/>
  <c r="D36" i="14"/>
  <c r="G36" i="14" a="1"/>
  <c r="H70" i="12" l="1" a="1"/>
  <c r="H70" i="12" s="1"/>
  <c r="AV70" i="12"/>
  <c r="AW70" i="12" s="1" a="1"/>
  <c r="AW70" i="12" s="1"/>
  <c r="X70" i="12" a="1"/>
  <c r="X70" i="12" s="1"/>
  <c r="F70" i="12"/>
  <c r="G70" i="12" s="1"/>
  <c r="Z70" i="12" s="1" a="1"/>
  <c r="Z70" i="12" s="1"/>
  <c r="P71" i="12"/>
  <c r="J71" i="12"/>
  <c r="AT69" i="12"/>
  <c r="AU69" i="12" s="1" a="1"/>
  <c r="AU69" i="12" s="1"/>
  <c r="G36" i="14"/>
  <c r="I36" i="14" s="1" a="1"/>
  <c r="E36" i="14" a="1"/>
  <c r="E36" i="14" s="1"/>
  <c r="C37" i="14" s="1" a="1"/>
  <c r="C37" i="14" s="1"/>
  <c r="R71" i="12" l="1" a="1"/>
  <c r="R71" i="12" s="1"/>
  <c r="S71" i="12" s="1"/>
  <c r="I72" i="12" s="1" a="1"/>
  <c r="I72" i="12" s="1"/>
  <c r="M71" i="12" a="1"/>
  <c r="M71" i="12" s="1"/>
  <c r="Q71" i="12" a="1"/>
  <c r="Q71" i="12" s="1"/>
  <c r="K71" i="12" s="1"/>
  <c r="E71" i="12" s="1" a="1"/>
  <c r="E71" i="12" s="1"/>
  <c r="L71" i="12" a="1"/>
  <c r="L71" i="12" s="1"/>
  <c r="I36" i="14"/>
  <c r="B36" i="14" s="1" a="1"/>
  <c r="B36" i="14" s="1"/>
  <c r="F37" i="14"/>
  <c r="D37" i="14"/>
  <c r="G37" i="14" a="1"/>
  <c r="W71" i="12" l="1" a="1"/>
  <c r="W71" i="12" s="1"/>
  <c r="Y71" i="12" a="1"/>
  <c r="Y71" i="12" s="1"/>
  <c r="T71" i="12" a="1"/>
  <c r="T71" i="12" s="1"/>
  <c r="D71" i="12" s="1"/>
  <c r="C71" i="12" a="1"/>
  <c r="C71" i="12" s="1"/>
  <c r="B71" i="12" a="1"/>
  <c r="B71" i="12" s="1"/>
  <c r="A71" i="12" s="1" a="1"/>
  <c r="A71" i="12" s="1"/>
  <c r="AD71" i="12"/>
  <c r="AS71" i="12"/>
  <c r="G37" i="14"/>
  <c r="I37" i="14" s="1" a="1"/>
  <c r="E37" i="14" a="1"/>
  <c r="E37" i="14" s="1"/>
  <c r="C38" i="14" s="1" a="1"/>
  <c r="C38" i="14" s="1"/>
  <c r="H71" i="12" l="1" a="1"/>
  <c r="H71" i="12" s="1"/>
  <c r="AV71" i="12"/>
  <c r="AW71" i="12" s="1" a="1"/>
  <c r="AW71" i="12" s="1"/>
  <c r="X71" i="12" a="1"/>
  <c r="X71" i="12" s="1"/>
  <c r="F71" i="12"/>
  <c r="G71" i="12" s="1"/>
  <c r="Z71" i="12" s="1" a="1"/>
  <c r="Z71" i="12" s="1"/>
  <c r="AT70" i="12"/>
  <c r="AU70" i="12" s="1" a="1"/>
  <c r="AU70" i="12" s="1"/>
  <c r="P72" i="12"/>
  <c r="J72" i="12"/>
  <c r="I37" i="14"/>
  <c r="B37" i="14" s="1" a="1"/>
  <c r="B37" i="14" s="1"/>
  <c r="F38" i="14"/>
  <c r="D38" i="14"/>
  <c r="G38" i="14" a="1"/>
  <c r="L72" i="12" l="1" a="1"/>
  <c r="L72" i="12" s="1"/>
  <c r="M72" i="12" a="1"/>
  <c r="M72" i="12" s="1"/>
  <c r="Q72" i="12" a="1"/>
  <c r="Q72" i="12" s="1"/>
  <c r="K72" i="12" s="1"/>
  <c r="E72" i="12" s="1" a="1"/>
  <c r="E72" i="12" s="1"/>
  <c r="R72" i="12" a="1"/>
  <c r="R72" i="12" s="1"/>
  <c r="S72" i="12" s="1"/>
  <c r="I73" i="12" s="1" a="1"/>
  <c r="I73" i="12" s="1"/>
  <c r="G38" i="14"/>
  <c r="I38" i="14" s="1" a="1"/>
  <c r="E38" i="14" a="1"/>
  <c r="E38" i="14" s="1"/>
  <c r="C39" i="14" s="1" a="1"/>
  <c r="C39" i="14" s="1"/>
  <c r="W72" i="12" l="1" a="1"/>
  <c r="W72" i="12" s="1"/>
  <c r="Y72" i="12" a="1"/>
  <c r="Y72" i="12" s="1"/>
  <c r="T72" i="12" a="1"/>
  <c r="T72" i="12" s="1"/>
  <c r="D72" i="12" s="1"/>
  <c r="C72" i="12" a="1"/>
  <c r="C72" i="12" s="1"/>
  <c r="B72" i="12" a="1"/>
  <c r="B72" i="12" s="1"/>
  <c r="A72" i="12" s="1" a="1"/>
  <c r="A72" i="12" s="1"/>
  <c r="AS72" i="12"/>
  <c r="AD72" i="12"/>
  <c r="I38" i="14"/>
  <c r="B38" i="14" s="1" a="1"/>
  <c r="B38" i="14" s="1"/>
  <c r="D39" i="14"/>
  <c r="F39" i="14"/>
  <c r="H36" i="14" a="1"/>
  <c r="H33" i="14" a="1"/>
  <c r="H35" i="14" a="1"/>
  <c r="H34" i="14" a="1"/>
  <c r="H38" i="14" a="1"/>
  <c r="H37" i="14" a="1"/>
  <c r="H32" i="14" a="1"/>
  <c r="H31" i="14" a="1"/>
  <c r="H30" i="14" a="1"/>
  <c r="H29" i="14" a="1"/>
  <c r="H26" i="14" a="1"/>
  <c r="H27" i="14" a="1"/>
  <c r="H28" i="14" a="1"/>
  <c r="H25" i="14" a="1"/>
  <c r="H24" i="14" a="1"/>
  <c r="H23" i="14" a="1"/>
  <c r="H22" i="14" a="1"/>
  <c r="H21" i="14" a="1"/>
  <c r="H20" i="14" a="1"/>
  <c r="G39" i="14" a="1"/>
  <c r="H72" i="12" l="1" a="1"/>
  <c r="H72" i="12" s="1"/>
  <c r="AV72" i="12"/>
  <c r="AW72" i="12" s="1" a="1"/>
  <c r="AW72" i="12" s="1"/>
  <c r="X72" i="12" a="1"/>
  <c r="X72" i="12" s="1"/>
  <c r="F72" i="12"/>
  <c r="G72" i="12" s="1"/>
  <c r="Z72" i="12" s="1" a="1"/>
  <c r="Z72" i="12" s="1"/>
  <c r="J73" i="12"/>
  <c r="P73" i="12"/>
  <c r="AT71" i="12"/>
  <c r="AU71" i="12" s="1" a="1"/>
  <c r="AU71" i="12" s="1"/>
  <c r="G39" i="14"/>
  <c r="E39" i="14" a="1"/>
  <c r="E39" i="14" s="1"/>
  <c r="C40" i="14" s="1" a="1"/>
  <c r="C40" i="14" s="1"/>
  <c r="H35" i="14"/>
  <c r="A35" i="14" s="1" a="1"/>
  <c r="A35" i="14" s="1"/>
  <c r="H36" i="14"/>
  <c r="A36" i="14" s="1" a="1"/>
  <c r="A36" i="14" s="1"/>
  <c r="H37" i="14"/>
  <c r="A37" i="14" s="1" a="1"/>
  <c r="A37" i="14" s="1"/>
  <c r="H38" i="14"/>
  <c r="A38" i="14" s="1" a="1"/>
  <c r="A38" i="14" s="1"/>
  <c r="H20" i="14"/>
  <c r="A20" i="14" s="1" a="1"/>
  <c r="A20" i="14" s="1"/>
  <c r="H21" i="14"/>
  <c r="A21" i="14" s="1" a="1"/>
  <c r="A21" i="14" s="1"/>
  <c r="H22" i="14"/>
  <c r="A22" i="14" s="1" a="1"/>
  <c r="A22" i="14" s="1"/>
  <c r="H23" i="14"/>
  <c r="A23" i="14" s="1" a="1"/>
  <c r="A23" i="14" s="1"/>
  <c r="H24" i="14"/>
  <c r="A24" i="14" s="1" a="1"/>
  <c r="A24" i="14" s="1"/>
  <c r="H25" i="14"/>
  <c r="A25" i="14" s="1" a="1"/>
  <c r="A25" i="14" s="1"/>
  <c r="H26" i="14"/>
  <c r="A26" i="14" s="1" a="1"/>
  <c r="A26" i="14" s="1"/>
  <c r="H27" i="14"/>
  <c r="A27" i="14" s="1" a="1"/>
  <c r="A27" i="14" s="1"/>
  <c r="H28" i="14"/>
  <c r="A28" i="14" s="1" a="1"/>
  <c r="A28" i="14" s="1"/>
  <c r="H29" i="14"/>
  <c r="A29" i="14" s="1" a="1"/>
  <c r="A29" i="14" s="1"/>
  <c r="H30" i="14"/>
  <c r="A30" i="14" s="1" a="1"/>
  <c r="A30" i="14" s="1"/>
  <c r="H31" i="14"/>
  <c r="A31" i="14" s="1" a="1"/>
  <c r="A31" i="14" s="1"/>
  <c r="H32" i="14"/>
  <c r="A32" i="14" s="1" a="1"/>
  <c r="A32" i="14" s="1"/>
  <c r="H33" i="14"/>
  <c r="A33" i="14" s="1" a="1"/>
  <c r="A33" i="14" s="1"/>
  <c r="H34" i="14"/>
  <c r="A34" i="14" s="1" a="1"/>
  <c r="A34" i="14" s="1"/>
  <c r="L73" i="12" l="1" a="1"/>
  <c r="L73" i="12" s="1"/>
  <c r="M73" i="12" a="1"/>
  <c r="M73" i="12" s="1"/>
  <c r="Q73" i="12" a="1"/>
  <c r="Q73" i="12" s="1"/>
  <c r="K73" i="12" s="1"/>
  <c r="E73" i="12" s="1" a="1"/>
  <c r="E73" i="12" s="1"/>
  <c r="R73" i="12" a="1"/>
  <c r="R73" i="12" s="1"/>
  <c r="S73" i="12" s="1"/>
  <c r="I74" i="12" s="1" a="1"/>
  <c r="I74" i="12" s="1"/>
  <c r="F40" i="14"/>
  <c r="D40" i="14"/>
  <c r="H39" i="14" a="1"/>
  <c r="I39" i="14" a="1"/>
  <c r="G40" i="14" a="1"/>
  <c r="W73" i="12" l="1" a="1"/>
  <c r="W73" i="12" s="1"/>
  <c r="Y73" i="12" a="1"/>
  <c r="Y73" i="12" s="1"/>
  <c r="T73" i="12" a="1"/>
  <c r="T73" i="12" s="1"/>
  <c r="D73" i="12" s="1"/>
  <c r="C73" i="12" a="1"/>
  <c r="C73" i="12" s="1"/>
  <c r="B73" i="12" a="1"/>
  <c r="B73" i="12" s="1"/>
  <c r="A73" i="12" s="1" a="1"/>
  <c r="A73" i="12" s="1"/>
  <c r="AS73" i="12"/>
  <c r="AD73" i="12"/>
  <c r="I39" i="14"/>
  <c r="B39" i="14" s="1" a="1"/>
  <c r="B39" i="14" s="1"/>
  <c r="H39" i="14"/>
  <c r="A39" i="14" s="1" a="1"/>
  <c r="A39" i="14" s="1"/>
  <c r="G40" i="14"/>
  <c r="E40" i="14" a="1"/>
  <c r="E40" i="14" s="1"/>
  <c r="C41" i="14" s="1" a="1"/>
  <c r="C41" i="14" s="1"/>
  <c r="H73" i="12" l="1" a="1"/>
  <c r="H73" i="12" s="1"/>
  <c r="X73" i="12" a="1"/>
  <c r="X73" i="12" s="1"/>
  <c r="AV73" i="12"/>
  <c r="AW73" i="12" s="1" a="1"/>
  <c r="AW73" i="12" s="1"/>
  <c r="F73" i="12"/>
  <c r="G73" i="12" s="1"/>
  <c r="Z73" i="12" s="1" a="1"/>
  <c r="Z73" i="12" s="1"/>
  <c r="P74" i="12"/>
  <c r="J74" i="12"/>
  <c r="AT72" i="12"/>
  <c r="AU72" i="12" s="1" a="1"/>
  <c r="AU72" i="12" s="1"/>
  <c r="D41" i="14"/>
  <c r="F41" i="14"/>
  <c r="H40" i="14" a="1"/>
  <c r="I40" i="14" a="1"/>
  <c r="G41" i="14" a="1"/>
  <c r="L74" i="12" l="1" a="1"/>
  <c r="L74" i="12" s="1"/>
  <c r="R74" i="12" a="1"/>
  <c r="R74" i="12" s="1"/>
  <c r="S74" i="12" s="1"/>
  <c r="I75" i="12" s="1" a="1"/>
  <c r="I75" i="12" s="1"/>
  <c r="Q74" i="12" a="1"/>
  <c r="Q74" i="12" s="1"/>
  <c r="K74" i="12" s="1"/>
  <c r="E74" i="12" s="1" a="1"/>
  <c r="E74" i="12" s="1"/>
  <c r="M74" i="12" a="1"/>
  <c r="M74" i="12" s="1"/>
  <c r="H40" i="14"/>
  <c r="A40" i="14" s="1" a="1"/>
  <c r="A40" i="14" s="1"/>
  <c r="I40" i="14"/>
  <c r="B40" i="14" s="1" a="1"/>
  <c r="B40" i="14" s="1"/>
  <c r="G41" i="14"/>
  <c r="E41" i="14" a="1"/>
  <c r="E41" i="14" s="1"/>
  <c r="C42" i="14" s="1" a="1"/>
  <c r="C42" i="14" s="1"/>
  <c r="W74" i="12" l="1" a="1"/>
  <c r="W74" i="12" s="1"/>
  <c r="Y74" i="12" a="1"/>
  <c r="Y74" i="12" s="1"/>
  <c r="T74" i="12" a="1"/>
  <c r="T74" i="12" s="1"/>
  <c r="D74" i="12" s="1"/>
  <c r="C74" i="12" a="1"/>
  <c r="C74" i="12" s="1"/>
  <c r="B74" i="12" a="1"/>
  <c r="B74" i="12" s="1"/>
  <c r="A74" i="12" s="1" a="1"/>
  <c r="A74" i="12" s="1"/>
  <c r="AD74" i="12"/>
  <c r="AS74" i="12"/>
  <c r="D42" i="14"/>
  <c r="F42" i="14"/>
  <c r="H41" i="14" a="1"/>
  <c r="I41" i="14" a="1"/>
  <c r="G42" i="14" a="1"/>
  <c r="H74" i="12" l="1" a="1"/>
  <c r="H74" i="12" s="1"/>
  <c r="X74" i="12" a="1"/>
  <c r="X74" i="12" s="1"/>
  <c r="AV74" i="12"/>
  <c r="AW74" i="12" s="1" a="1"/>
  <c r="AW74" i="12" s="1"/>
  <c r="AT73" i="12"/>
  <c r="AU73" i="12" s="1" a="1"/>
  <c r="AU73" i="12" s="1"/>
  <c r="J75" i="12"/>
  <c r="P75" i="12"/>
  <c r="F74" i="12"/>
  <c r="G74" i="12" s="1"/>
  <c r="Z74" i="12" s="1" a="1"/>
  <c r="Z74" i="12" s="1"/>
  <c r="H41" i="14"/>
  <c r="A41" i="14" s="1" a="1"/>
  <c r="A41" i="14" s="1"/>
  <c r="I41" i="14"/>
  <c r="B41" i="14" s="1" a="1"/>
  <c r="B41" i="14" s="1"/>
  <c r="G42" i="14"/>
  <c r="E42" i="14" a="1"/>
  <c r="E42" i="14" s="1"/>
  <c r="C43" i="14" s="1" a="1"/>
  <c r="C43" i="14" s="1"/>
  <c r="Q75" i="12" l="1" a="1"/>
  <c r="Q75" i="12" s="1"/>
  <c r="K75" i="12" s="1"/>
  <c r="E75" i="12" s="1" a="1"/>
  <c r="E75" i="12" s="1"/>
  <c r="R75" i="12" a="1"/>
  <c r="R75" i="12" s="1"/>
  <c r="S75" i="12" s="1"/>
  <c r="I76" i="12" s="1" a="1"/>
  <c r="I76" i="12" s="1"/>
  <c r="L75" i="12" a="1"/>
  <c r="L75" i="12" s="1"/>
  <c r="M75" i="12" a="1"/>
  <c r="M75" i="12" s="1"/>
  <c r="D43" i="14"/>
  <c r="F43" i="14"/>
  <c r="I42" i="14" a="1"/>
  <c r="H42" i="14" a="1"/>
  <c r="G43" i="14" a="1"/>
  <c r="W75" i="12" l="1" a="1"/>
  <c r="W75" i="12" s="1"/>
  <c r="Y75" i="12" a="1"/>
  <c r="Y75" i="12" s="1"/>
  <c r="T75" i="12" a="1"/>
  <c r="T75" i="12" s="1"/>
  <c r="C75" i="12" a="1"/>
  <c r="C75" i="12" s="1"/>
  <c r="B75" i="12" a="1"/>
  <c r="B75" i="12" s="1"/>
  <c r="A75" i="12" s="1" a="1"/>
  <c r="A75" i="12" s="1"/>
  <c r="AS75" i="12"/>
  <c r="AD75" i="12"/>
  <c r="H42" i="14"/>
  <c r="A42" i="14" s="1" a="1"/>
  <c r="A42" i="14" s="1"/>
  <c r="I42" i="14"/>
  <c r="B42" i="14" s="1" a="1"/>
  <c r="B42" i="14" s="1"/>
  <c r="G43" i="14"/>
  <c r="E43" i="14" a="1"/>
  <c r="E43" i="14" s="1"/>
  <c r="C44" i="14" s="1" a="1"/>
  <c r="C44" i="14" s="1"/>
  <c r="D75" i="12" l="1"/>
  <c r="H75" i="12" a="1"/>
  <c r="H75" i="12" s="1"/>
  <c r="AV75" i="12"/>
  <c r="AW75" i="12" s="1" a="1"/>
  <c r="AW75" i="12" s="1"/>
  <c r="X75" i="12" a="1"/>
  <c r="X75" i="12" s="1"/>
  <c r="F75" i="12"/>
  <c r="AT74" i="12"/>
  <c r="AU74" i="12" s="1" a="1"/>
  <c r="AU74" i="12" s="1"/>
  <c r="P76" i="12"/>
  <c r="J76" i="12"/>
  <c r="D44" i="14"/>
  <c r="F44" i="14"/>
  <c r="H43" i="14" a="1"/>
  <c r="I43" i="14" a="1"/>
  <c r="G44" i="14" a="1"/>
  <c r="G75" i="12" l="1"/>
  <c r="Z75" i="12" s="1" a="1"/>
  <c r="Z75" i="12" s="1"/>
  <c r="L76" i="12" a="1"/>
  <c r="L76" i="12" s="1"/>
  <c r="R76" i="12" a="1"/>
  <c r="R76" i="12" s="1"/>
  <c r="S76" i="12" s="1"/>
  <c r="I77" i="12" s="1" a="1"/>
  <c r="I77" i="12" s="1"/>
  <c r="Q76" i="12" a="1"/>
  <c r="Q76" i="12" s="1"/>
  <c r="K76" i="12" s="1"/>
  <c r="E76" i="12" s="1" a="1"/>
  <c r="E76" i="12" s="1"/>
  <c r="M76" i="12" a="1"/>
  <c r="M76" i="12" s="1"/>
  <c r="H43" i="14"/>
  <c r="A43" i="14" s="1" a="1"/>
  <c r="A43" i="14" s="1"/>
  <c r="I43" i="14"/>
  <c r="B43" i="14" s="1" a="1"/>
  <c r="B43" i="14" s="1"/>
  <c r="G44" i="14"/>
  <c r="E44" i="14" a="1"/>
  <c r="E44" i="14" s="1"/>
  <c r="C45" i="14" s="1" a="1"/>
  <c r="C45" i="14" s="1"/>
  <c r="W76" i="12" l="1" a="1"/>
  <c r="W76" i="12" s="1"/>
  <c r="Y76" i="12" a="1"/>
  <c r="Y76" i="12" s="1"/>
  <c r="T76" i="12" a="1"/>
  <c r="T76" i="12" s="1"/>
  <c r="C76" i="12" a="1"/>
  <c r="C76" i="12" s="1"/>
  <c r="B76" i="12" a="1"/>
  <c r="B76" i="12" s="1"/>
  <c r="A76" i="12" s="1" a="1"/>
  <c r="A76" i="12" s="1"/>
  <c r="AD76" i="12"/>
  <c r="AS76" i="12"/>
  <c r="D45" i="14"/>
  <c r="F45" i="14"/>
  <c r="I44" i="14" a="1"/>
  <c r="H44" i="14" a="1"/>
  <c r="G45" i="14" a="1"/>
  <c r="D76" i="12" l="1"/>
  <c r="H76" i="12" a="1"/>
  <c r="H76" i="12" s="1"/>
  <c r="AV76" i="12"/>
  <c r="AW76" i="12" s="1" a="1"/>
  <c r="AW76" i="12" s="1"/>
  <c r="X76" i="12" a="1"/>
  <c r="X76" i="12" s="1"/>
  <c r="J77" i="12"/>
  <c r="P77" i="12"/>
  <c r="AT75" i="12"/>
  <c r="AU75" i="12" s="1" a="1"/>
  <c r="AU75" i="12" s="1"/>
  <c r="F76" i="12"/>
  <c r="H44" i="14"/>
  <c r="A44" i="14" s="1" a="1"/>
  <c r="A44" i="14" s="1"/>
  <c r="I44" i="14"/>
  <c r="B44" i="14" s="1" a="1"/>
  <c r="B44" i="14" s="1"/>
  <c r="G45" i="14"/>
  <c r="E45" i="14" a="1"/>
  <c r="E45" i="14" s="1"/>
  <c r="C46" i="14" s="1" a="1"/>
  <c r="C46" i="14" s="1"/>
  <c r="G76" i="12" l="1"/>
  <c r="Z76" i="12" s="1" a="1"/>
  <c r="Z76" i="12" s="1"/>
  <c r="Q77" i="12" a="1"/>
  <c r="Q77" i="12" s="1"/>
  <c r="K77" i="12" s="1"/>
  <c r="E77" i="12" s="1" a="1"/>
  <c r="E77" i="12" s="1"/>
  <c r="M77" i="12" a="1"/>
  <c r="M77" i="12" s="1"/>
  <c r="L77" i="12" a="1"/>
  <c r="L77" i="12" s="1"/>
  <c r="R77" i="12" a="1"/>
  <c r="R77" i="12" s="1"/>
  <c r="S77" i="12" s="1"/>
  <c r="D46" i="14"/>
  <c r="F46" i="14"/>
  <c r="I45" i="14" a="1"/>
  <c r="H45" i="14" a="1"/>
  <c r="G46" i="14" a="1"/>
  <c r="AS77" i="12" l="1"/>
  <c r="AT76" i="12" s="1"/>
  <c r="AU76" i="12" s="1" a="1"/>
  <c r="AU76" i="12" s="1"/>
  <c r="I78" i="12" a="1"/>
  <c r="I78" i="12" s="1"/>
  <c r="B77" i="12" a="1"/>
  <c r="B77" i="12" s="1"/>
  <c r="A77" i="12" s="1" a="1"/>
  <c r="A77" i="12" s="1"/>
  <c r="H77" i="12" s="1" a="1"/>
  <c r="H77" i="12" s="1"/>
  <c r="W77" i="12" a="1"/>
  <c r="W77" i="12" s="1"/>
  <c r="Y77" i="12" a="1"/>
  <c r="Y77" i="12" s="1"/>
  <c r="T77" i="12" a="1"/>
  <c r="T77" i="12" s="1"/>
  <c r="D77" i="12" s="1"/>
  <c r="C77" i="12" a="1"/>
  <c r="C77" i="12" s="1"/>
  <c r="AD77" i="12"/>
  <c r="H45" i="14"/>
  <c r="A45" i="14" s="1" a="1"/>
  <c r="A45" i="14" s="1"/>
  <c r="I45" i="14"/>
  <c r="B45" i="14" s="1" a="1"/>
  <c r="B45" i="14" s="1"/>
  <c r="G46" i="14"/>
  <c r="E46" i="14" a="1"/>
  <c r="E46" i="14" s="1"/>
  <c r="C47" i="14" s="1" a="1"/>
  <c r="C47" i="14" s="1"/>
  <c r="X77" i="12" l="1" a="1"/>
  <c r="X77" i="12" s="1"/>
  <c r="J78" i="12"/>
  <c r="P78" i="12"/>
  <c r="AV77" i="12"/>
  <c r="AW77" i="12" s="1" a="1"/>
  <c r="AW77" i="12" s="1"/>
  <c r="D47" i="14"/>
  <c r="F47" i="14"/>
  <c r="H46" i="14" a="1"/>
  <c r="I46" i="14" a="1"/>
  <c r="G47" i="14" a="1"/>
  <c r="R78" i="12" l="1" a="1"/>
  <c r="R78" i="12" s="1"/>
  <c r="S78" i="12" s="1"/>
  <c r="L78" i="12" a="1"/>
  <c r="L78" i="12" s="1"/>
  <c r="M78" i="12" a="1"/>
  <c r="M78" i="12" s="1"/>
  <c r="Q78" i="12" a="1"/>
  <c r="Q78" i="12" s="1"/>
  <c r="K78" i="12" s="1"/>
  <c r="F77" i="12"/>
  <c r="G77" i="12" s="1"/>
  <c r="Z77" i="12" s="1" a="1"/>
  <c r="Z77" i="12" s="1"/>
  <c r="I46" i="14"/>
  <c r="B46" i="14" s="1" a="1"/>
  <c r="B46" i="14" s="1"/>
  <c r="H46" i="14"/>
  <c r="A46" i="14" s="1" a="1"/>
  <c r="A46" i="14" s="1"/>
  <c r="G47" i="14"/>
  <c r="E47" i="14" a="1"/>
  <c r="E47" i="14" s="1"/>
  <c r="C48" i="14" s="1" a="1"/>
  <c r="C48" i="14" s="1"/>
  <c r="B78" i="12" l="1" a="1"/>
  <c r="B78" i="12" s="1"/>
  <c r="A78" i="12" s="1" a="1"/>
  <c r="A78" i="12" s="1"/>
  <c r="AS78" i="12"/>
  <c r="I79" i="12" a="1"/>
  <c r="I79" i="12" s="1"/>
  <c r="E78" i="12" a="1"/>
  <c r="E78" i="12" s="1"/>
  <c r="AD78" i="12"/>
  <c r="Y78" i="12" a="1"/>
  <c r="Y78" i="12" s="1"/>
  <c r="W78" i="12" a="1"/>
  <c r="W78" i="12" s="1"/>
  <c r="T78" i="12" a="1"/>
  <c r="T78" i="12" s="1"/>
  <c r="D78" i="12" s="1"/>
  <c r="C78" i="12" a="1"/>
  <c r="C78" i="12" s="1"/>
  <c r="I47" i="14" a="1"/>
  <c r="I47" i="14" s="1"/>
  <c r="B47" i="14" s="1" a="1"/>
  <c r="B47" i="14" s="1"/>
  <c r="H47" i="14" a="1"/>
  <c r="H47" i="14" s="1"/>
  <c r="A47" i="14" s="1" a="1"/>
  <c r="A47" i="14" s="1"/>
  <c r="F48" i="14"/>
  <c r="D48" i="14"/>
  <c r="G48" i="14" a="1"/>
  <c r="AV78" i="12" l="1"/>
  <c r="AW78" i="12" s="1" a="1"/>
  <c r="AW78" i="12" s="1"/>
  <c r="F78" i="12"/>
  <c r="G78" i="12" s="1"/>
  <c r="Z78" i="12" s="1" a="1"/>
  <c r="Z78" i="12" s="1"/>
  <c r="X78" i="12" a="1"/>
  <c r="X78" i="12" s="1"/>
  <c r="H78" i="12" a="1"/>
  <c r="H78" i="12" s="1"/>
  <c r="J79" i="12"/>
  <c r="P79" i="12"/>
  <c r="AT77" i="12"/>
  <c r="AU77" i="12" s="1" a="1"/>
  <c r="AU77" i="12" s="1"/>
  <c r="G48" i="14"/>
  <c r="E48" i="14" a="1"/>
  <c r="E48" i="14" s="1"/>
  <c r="C49" i="14" s="1" a="1"/>
  <c r="C49" i="14" s="1"/>
  <c r="Q79" i="12" l="1" a="1"/>
  <c r="Q79" i="12" s="1"/>
  <c r="K79" i="12" s="1"/>
  <c r="M79" i="12" a="1"/>
  <c r="M79" i="12" s="1"/>
  <c r="R79" i="12" a="1"/>
  <c r="R79" i="12" s="1"/>
  <c r="S79" i="12" s="1"/>
  <c r="L79" i="12" a="1"/>
  <c r="L79" i="12" s="1"/>
  <c r="F49" i="14"/>
  <c r="D49" i="14"/>
  <c r="I48" i="14" a="1"/>
  <c r="I48" i="14" s="1"/>
  <c r="B48" i="14" s="1" a="1"/>
  <c r="B48" i="14" s="1"/>
  <c r="H48" i="14" a="1"/>
  <c r="H48" i="14" s="1"/>
  <c r="A48" i="14" s="1" a="1"/>
  <c r="A48" i="14" s="1"/>
  <c r="G49" i="14" a="1"/>
  <c r="B79" i="12" l="1" a="1"/>
  <c r="B79" i="12" s="1"/>
  <c r="A79" i="12" s="1" a="1"/>
  <c r="A79" i="12" s="1"/>
  <c r="AS79" i="12"/>
  <c r="I80" i="12" a="1"/>
  <c r="I80" i="12" s="1"/>
  <c r="T79" i="12" a="1"/>
  <c r="T79" i="12" s="1"/>
  <c r="D79" i="12" s="1"/>
  <c r="C79" i="12" a="1"/>
  <c r="C79" i="12" s="1"/>
  <c r="AD79" i="12"/>
  <c r="Y79" i="12" a="1"/>
  <c r="Y79" i="12" s="1"/>
  <c r="E79" i="12" a="1"/>
  <c r="E79" i="12" s="1"/>
  <c r="W79" i="12" a="1"/>
  <c r="W79" i="12" s="1"/>
  <c r="G49" i="14"/>
  <c r="E49" i="14" a="1"/>
  <c r="E49" i="14" s="1"/>
  <c r="C50" i="14" s="1" a="1"/>
  <c r="C50" i="14" s="1"/>
  <c r="AV79" i="12" l="1"/>
  <c r="AW79" i="12" s="1" a="1"/>
  <c r="AW79" i="12" s="1"/>
  <c r="F79" i="12"/>
  <c r="G79" i="12" s="1"/>
  <c r="Z79" i="12" s="1" a="1"/>
  <c r="Z79" i="12" s="1"/>
  <c r="X79" i="12" a="1"/>
  <c r="X79" i="12" s="1"/>
  <c r="H79" i="12" a="1"/>
  <c r="H79" i="12" s="1"/>
  <c r="J80" i="12"/>
  <c r="P80" i="12"/>
  <c r="AT78" i="12"/>
  <c r="AU78" i="12" s="1" a="1"/>
  <c r="AU78" i="12" s="1"/>
  <c r="F50" i="14"/>
  <c r="D50" i="14"/>
  <c r="I49" i="14" a="1"/>
  <c r="I49" i="14" s="1"/>
  <c r="B49" i="14" s="1" a="1"/>
  <c r="B49" i="14" s="1"/>
  <c r="H49" i="14" a="1"/>
  <c r="H49" i="14" s="1"/>
  <c r="A49" i="14" s="1" a="1"/>
  <c r="A49" i="14" s="1"/>
  <c r="G50" i="14" a="1"/>
  <c r="R80" i="12" l="1" a="1"/>
  <c r="R80" i="12" s="1"/>
  <c r="S80" i="12" s="1"/>
  <c r="L80" i="12" a="1"/>
  <c r="L80" i="12" s="1"/>
  <c r="M80" i="12" a="1"/>
  <c r="M80" i="12" s="1"/>
  <c r="Q80" i="12" a="1"/>
  <c r="Q80" i="12" s="1"/>
  <c r="K80" i="12" s="1"/>
  <c r="AM11" i="12" a="1"/>
  <c r="AM11" i="12" s="1"/>
  <c r="G50" i="14"/>
  <c r="E50" i="14" a="1"/>
  <c r="E50" i="14" s="1"/>
  <c r="C51" i="14" s="1" a="1"/>
  <c r="C51" i="14" s="1"/>
  <c r="I81" i="12" l="1" a="1"/>
  <c r="I81" i="12" s="1"/>
  <c r="AS80" i="12"/>
  <c r="E80" i="12" a="1"/>
  <c r="E80" i="12" s="1"/>
  <c r="AD80" i="12"/>
  <c r="Y80" i="12" a="1"/>
  <c r="Y80" i="12" s="1"/>
  <c r="W80" i="12" a="1"/>
  <c r="W80" i="12" s="1"/>
  <c r="C80" i="12" a="1"/>
  <c r="C80" i="12" s="1"/>
  <c r="T80" i="12" a="1"/>
  <c r="T80" i="12" s="1"/>
  <c r="D80" i="12" s="1"/>
  <c r="B80" i="12" a="1"/>
  <c r="B80" i="12" s="1"/>
  <c r="A80" i="12" s="1" a="1"/>
  <c r="A80" i="12" s="1"/>
  <c r="F51" i="14"/>
  <c r="D51" i="14"/>
  <c r="H50" i="14" a="1"/>
  <c r="H50" i="14" s="1"/>
  <c r="A50" i="14" s="1" a="1"/>
  <c r="A50" i="14" s="1"/>
  <c r="I50" i="14" a="1"/>
  <c r="I50" i="14" s="1"/>
  <c r="B50" i="14" s="1" a="1"/>
  <c r="B50" i="14" s="1"/>
  <c r="G51" i="14" a="1"/>
  <c r="F80" i="12" l="1"/>
  <c r="G80" i="12" s="1"/>
  <c r="Z80" i="12" s="1" a="1"/>
  <c r="Z80" i="12" s="1"/>
  <c r="H80" i="12" a="1"/>
  <c r="H80" i="12" s="1"/>
  <c r="AV80" i="12"/>
  <c r="AW80" i="12" s="1" a="1"/>
  <c r="AW80" i="12" s="1"/>
  <c r="X80" i="12" a="1"/>
  <c r="X80" i="12" s="1"/>
  <c r="AT79" i="12"/>
  <c r="AU79" i="12" s="1" a="1"/>
  <c r="AU79" i="12" s="1"/>
  <c r="J81" i="12"/>
  <c r="P81" i="12"/>
  <c r="AN11" i="12"/>
  <c r="G51" i="14"/>
  <c r="E51" i="14" a="1"/>
  <c r="E51" i="14" s="1"/>
  <c r="C52" i="14" s="1" a="1"/>
  <c r="C52" i="14" s="1"/>
  <c r="M81" i="12" l="1" a="1"/>
  <c r="M81" i="12" s="1"/>
  <c r="Q81" i="12" a="1"/>
  <c r="Q81" i="12" s="1"/>
  <c r="K81" i="12" s="1"/>
  <c r="R81" i="12" a="1"/>
  <c r="R81" i="12" s="1"/>
  <c r="S81" i="12" s="1"/>
  <c r="L81" i="12" a="1"/>
  <c r="L81" i="12" s="1"/>
  <c r="F52" i="14"/>
  <c r="D52" i="14"/>
  <c r="H51" i="14" a="1"/>
  <c r="H51" i="14" s="1"/>
  <c r="A51" i="14" s="1" a="1"/>
  <c r="A51" i="14" s="1"/>
  <c r="I51" i="14" a="1"/>
  <c r="I51" i="14" s="1"/>
  <c r="B51" i="14" s="1" a="1"/>
  <c r="B51" i="14" s="1"/>
  <c r="G52" i="14" a="1"/>
  <c r="B81" i="12" l="1" a="1"/>
  <c r="B81" i="12" s="1"/>
  <c r="A81" i="12" s="1" a="1"/>
  <c r="A81" i="12" s="1"/>
  <c r="I82" i="12" a="1"/>
  <c r="I82" i="12" s="1"/>
  <c r="AS81" i="12"/>
  <c r="AD81" i="12"/>
  <c r="Y81" i="12" a="1"/>
  <c r="Y81" i="12" s="1"/>
  <c r="E81" i="12" a="1"/>
  <c r="E81" i="12" s="1"/>
  <c r="W81" i="12" a="1"/>
  <c r="W81" i="12" s="1"/>
  <c r="C81" i="12" a="1"/>
  <c r="C81" i="12" s="1"/>
  <c r="T81" i="12" a="1"/>
  <c r="T81" i="12" s="1"/>
  <c r="D81" i="12" s="1"/>
  <c r="G52" i="14"/>
  <c r="E52" i="14" a="1"/>
  <c r="E52" i="14" s="1"/>
  <c r="X81" i="12" l="1" a="1"/>
  <c r="X81" i="12" s="1"/>
  <c r="F81" i="12"/>
  <c r="G81" i="12" s="1"/>
  <c r="Z81" i="12" s="1" a="1"/>
  <c r="Z81" i="12" s="1"/>
  <c r="H81" i="12" a="1"/>
  <c r="H81" i="12" s="1"/>
  <c r="AV81" i="12"/>
  <c r="AW81" i="12" s="1" a="1"/>
  <c r="AW81" i="12" s="1"/>
  <c r="AT80" i="12"/>
  <c r="AU80" i="12" s="1" a="1"/>
  <c r="AU80" i="12" s="1"/>
  <c r="P82" i="12"/>
  <c r="J82" i="12"/>
  <c r="B52" i="14" a="1"/>
  <c r="B52" i="14" s="1"/>
  <c r="A52" i="14" a="1"/>
  <c r="A52" i="14" s="1"/>
  <c r="C53" i="14" a="1"/>
  <c r="C53" i="14" s="1"/>
  <c r="H52" i="14" a="1"/>
  <c r="H52" i="14" s="1"/>
  <c r="I52" i="14" a="1"/>
  <c r="I52" i="14" s="1"/>
  <c r="R82" i="12" l="1" a="1"/>
  <c r="R82" i="12" s="1"/>
  <c r="S82" i="12" s="1"/>
  <c r="M82" i="12" a="1"/>
  <c r="M82" i="12" s="1"/>
  <c r="Q82" i="12" a="1"/>
  <c r="Q82" i="12" s="1"/>
  <c r="K82" i="12" s="1"/>
  <c r="L82" i="12" a="1"/>
  <c r="L82" i="12" s="1"/>
  <c r="D53" i="14"/>
  <c r="F53" i="14"/>
  <c r="G53" i="14" a="1"/>
  <c r="I83" i="12" l="1" a="1"/>
  <c r="I83" i="12" s="1"/>
  <c r="AS82" i="12"/>
  <c r="B82" i="12" a="1"/>
  <c r="B82" i="12" s="1"/>
  <c r="A82" i="12" s="1" a="1"/>
  <c r="A82" i="12" s="1"/>
  <c r="W82" i="12" a="1"/>
  <c r="W82" i="12" s="1"/>
  <c r="AD82" i="12"/>
  <c r="E82" i="12" a="1"/>
  <c r="E82" i="12" s="1"/>
  <c r="Y82" i="12" a="1"/>
  <c r="Y82" i="12" s="1"/>
  <c r="C82" i="12" a="1"/>
  <c r="C82" i="12" s="1"/>
  <c r="T82" i="12" a="1"/>
  <c r="T82" i="12" s="1"/>
  <c r="D82" i="12" s="1"/>
  <c r="G53" i="14"/>
  <c r="E53" i="14" a="1"/>
  <c r="E53" i="14" s="1"/>
  <c r="H82" i="12" l="1" a="1"/>
  <c r="H82" i="12" s="1"/>
  <c r="AV82" i="12"/>
  <c r="AW82" i="12" s="1" a="1"/>
  <c r="AW82" i="12" s="1"/>
  <c r="F82" i="12"/>
  <c r="G82" i="12" s="1"/>
  <c r="Z82" i="12" s="1" a="1"/>
  <c r="Z82" i="12" s="1"/>
  <c r="X82" i="12" a="1"/>
  <c r="X82" i="12" s="1"/>
  <c r="AT81" i="12"/>
  <c r="AU81" i="12" s="1" a="1"/>
  <c r="AU81" i="12" s="1"/>
  <c r="P83" i="12"/>
  <c r="J83" i="12"/>
  <c r="B53" i="14" a="1"/>
  <c r="B53" i="14" s="1"/>
  <c r="A53" i="14" a="1"/>
  <c r="A53" i="14" s="1"/>
  <c r="C54" i="14" a="1"/>
  <c r="C54" i="14" s="1"/>
  <c r="H53" i="14" a="1"/>
  <c r="H53" i="14" s="1"/>
  <c r="I53" i="14" a="1"/>
  <c r="I53" i="14" s="1"/>
  <c r="L83" i="12" l="1" a="1"/>
  <c r="L83" i="12" s="1"/>
  <c r="R83" i="12" a="1"/>
  <c r="R83" i="12" s="1"/>
  <c r="S83" i="12" s="1"/>
  <c r="M83" i="12" a="1"/>
  <c r="M83" i="12" s="1"/>
  <c r="Q83" i="12" a="1"/>
  <c r="Q83" i="12" s="1"/>
  <c r="K83" i="12" s="1"/>
  <c r="D54" i="14"/>
  <c r="F54" i="14"/>
  <c r="G54" i="14" a="1"/>
  <c r="AS83" i="12" l="1"/>
  <c r="I84" i="12" a="1"/>
  <c r="I84" i="12" s="1"/>
  <c r="AD83" i="12"/>
  <c r="W83" i="12" a="1"/>
  <c r="W83" i="12" s="1"/>
  <c r="E83" i="12" a="1"/>
  <c r="E83" i="12" s="1"/>
  <c r="Y83" i="12" a="1"/>
  <c r="Y83" i="12" s="1"/>
  <c r="B83" i="12" a="1"/>
  <c r="B83" i="12" s="1"/>
  <c r="A83" i="12" s="1" a="1"/>
  <c r="A83" i="12" s="1"/>
  <c r="T83" i="12" a="1"/>
  <c r="T83" i="12" s="1"/>
  <c r="D83" i="12" s="1"/>
  <c r="C83" i="12" a="1"/>
  <c r="C83" i="12" s="1"/>
  <c r="G54" i="14"/>
  <c r="E54" i="14" a="1"/>
  <c r="E54" i="14" s="1"/>
  <c r="AT82" i="12" l="1"/>
  <c r="AU82" i="12" s="1" a="1"/>
  <c r="AU82" i="12" s="1"/>
  <c r="J84" i="12"/>
  <c r="P84" i="12"/>
  <c r="F83" i="12"/>
  <c r="G83" i="12" s="1"/>
  <c r="Z83" i="12" s="1" a="1"/>
  <c r="Z83" i="12" s="1"/>
  <c r="AV83" i="12"/>
  <c r="AW83" i="12" s="1" a="1"/>
  <c r="AW83" i="12" s="1"/>
  <c r="H83" i="12" a="1"/>
  <c r="H83" i="12" s="1"/>
  <c r="X83" i="12" a="1"/>
  <c r="X83" i="12" s="1"/>
  <c r="A54" i="14" a="1"/>
  <c r="A54" i="14" s="1"/>
  <c r="B54" i="14" a="1"/>
  <c r="B54" i="14" s="1"/>
  <c r="C55" i="14" a="1"/>
  <c r="C55" i="14" s="1"/>
  <c r="H54" i="14" a="1"/>
  <c r="H54" i="14" s="1"/>
  <c r="I54" i="14" a="1"/>
  <c r="I54" i="14" s="1"/>
  <c r="L84" i="12" l="1" a="1"/>
  <c r="L84" i="12" s="1"/>
  <c r="M84" i="12" a="1"/>
  <c r="M84" i="12" s="1"/>
  <c r="Q84" i="12" a="1"/>
  <c r="Q84" i="12" s="1"/>
  <c r="K84" i="12" s="1"/>
  <c r="R84" i="12" a="1"/>
  <c r="R84" i="12" s="1"/>
  <c r="S84" i="12" s="1"/>
  <c r="F55" i="14"/>
  <c r="D55" i="14"/>
  <c r="G55" i="14" a="1"/>
  <c r="B84" i="12" l="1" a="1"/>
  <c r="B84" i="12" s="1"/>
  <c r="A84" i="12" s="1" a="1"/>
  <c r="A84" i="12" s="1"/>
  <c r="I85" i="12" a="1"/>
  <c r="I85" i="12" s="1"/>
  <c r="AS84" i="12"/>
  <c r="E84" i="12" a="1"/>
  <c r="E84" i="12" s="1"/>
  <c r="AD84" i="12"/>
  <c r="W84" i="12" a="1"/>
  <c r="W84" i="12" s="1"/>
  <c r="Y84" i="12" a="1"/>
  <c r="Y84" i="12" s="1"/>
  <c r="C84" i="12" a="1"/>
  <c r="C84" i="12" s="1"/>
  <c r="T84" i="12" a="1"/>
  <c r="T84" i="12" s="1"/>
  <c r="D84" i="12" s="1"/>
  <c r="G55" i="14"/>
  <c r="E55" i="14" a="1"/>
  <c r="E55" i="14" s="1"/>
  <c r="AV84" i="12" l="1"/>
  <c r="AW84" i="12" s="1" a="1"/>
  <c r="AW84" i="12" s="1"/>
  <c r="F84" i="12"/>
  <c r="G84" i="12" s="1"/>
  <c r="Z84" i="12" s="1" a="1"/>
  <c r="Z84" i="12" s="1"/>
  <c r="H84" i="12" a="1"/>
  <c r="H84" i="12" s="1"/>
  <c r="X84" i="12" a="1"/>
  <c r="X84" i="12" s="1"/>
  <c r="AT83" i="12"/>
  <c r="AU83" i="12" s="1" a="1"/>
  <c r="AU83" i="12" s="1"/>
  <c r="J85" i="12"/>
  <c r="P85" i="12"/>
  <c r="A55" i="14" a="1"/>
  <c r="A55" i="14" s="1"/>
  <c r="B55" i="14" a="1"/>
  <c r="B55" i="14" s="1"/>
  <c r="C56" i="14" a="1"/>
  <c r="C56" i="14" s="1"/>
  <c r="H55" i="14" a="1"/>
  <c r="H55" i="14" s="1"/>
  <c r="I55" i="14" a="1"/>
  <c r="I55" i="14" s="1"/>
  <c r="L85" i="12" l="1" a="1"/>
  <c r="L85" i="12" s="1"/>
  <c r="M85" i="12" a="1"/>
  <c r="M85" i="12" s="1"/>
  <c r="Q85" i="12" a="1"/>
  <c r="Q85" i="12" s="1"/>
  <c r="K85" i="12" s="1"/>
  <c r="R85" i="12" a="1"/>
  <c r="R85" i="12" s="1"/>
  <c r="S85" i="12" s="1"/>
  <c r="D56" i="14"/>
  <c r="F56" i="14"/>
  <c r="G56" i="14" a="1"/>
  <c r="B85" i="12" l="1" a="1"/>
  <c r="B85" i="12" s="1"/>
  <c r="A85" i="12" s="1" a="1"/>
  <c r="A85" i="12" s="1"/>
  <c r="I86" i="12" a="1"/>
  <c r="I86" i="12" s="1"/>
  <c r="AS85" i="12"/>
  <c r="E85" i="12" a="1"/>
  <c r="E85" i="12" s="1"/>
  <c r="AD85" i="12"/>
  <c r="Y85" i="12" a="1"/>
  <c r="Y85" i="12" s="1"/>
  <c r="W85" i="12" a="1"/>
  <c r="W85" i="12" s="1"/>
  <c r="C85" i="12" a="1"/>
  <c r="C85" i="12" s="1"/>
  <c r="T85" i="12" a="1"/>
  <c r="T85" i="12" s="1"/>
  <c r="D85" i="12" s="1"/>
  <c r="G56" i="14"/>
  <c r="E56" i="14" a="1"/>
  <c r="E56" i="14" s="1"/>
  <c r="X85" i="12" l="1" a="1"/>
  <c r="X85" i="12" s="1"/>
  <c r="AV85" i="12"/>
  <c r="AW85" i="12" s="1" a="1"/>
  <c r="AW85" i="12" s="1"/>
  <c r="F85" i="12"/>
  <c r="G85" i="12" s="1"/>
  <c r="Z85" i="12" s="1" a="1"/>
  <c r="Z85" i="12" s="1"/>
  <c r="H85" i="12" a="1"/>
  <c r="H85" i="12" s="1"/>
  <c r="AT84" i="12"/>
  <c r="AU84" i="12" s="1" a="1"/>
  <c r="AU84" i="12" s="1"/>
  <c r="J86" i="12"/>
  <c r="P86" i="12"/>
  <c r="A56" i="14" a="1"/>
  <c r="A56" i="14" s="1"/>
  <c r="B56" i="14" a="1"/>
  <c r="B56" i="14" s="1"/>
  <c r="C57" i="14" a="1"/>
  <c r="C57" i="14" s="1"/>
  <c r="I56" i="14" a="1"/>
  <c r="I56" i="14" s="1"/>
  <c r="H56" i="14" a="1"/>
  <c r="H56" i="14" s="1"/>
  <c r="L86" i="12" l="1" a="1"/>
  <c r="L86" i="12" s="1"/>
  <c r="M86" i="12" a="1"/>
  <c r="M86" i="12" s="1"/>
  <c r="Q86" i="12" a="1"/>
  <c r="Q86" i="12" s="1"/>
  <c r="K86" i="12" s="1"/>
  <c r="R86" i="12" a="1"/>
  <c r="R86" i="12" s="1"/>
  <c r="S86" i="12" s="1"/>
  <c r="F57" i="14"/>
  <c r="D57" i="14"/>
  <c r="G57" i="14" a="1"/>
  <c r="B86" i="12" l="1" a="1"/>
  <c r="B86" i="12" s="1"/>
  <c r="A86" i="12" s="1" a="1"/>
  <c r="A86" i="12" s="1"/>
  <c r="I87" i="12" a="1"/>
  <c r="I87" i="12" s="1"/>
  <c r="AS86" i="12"/>
  <c r="E86" i="12" a="1"/>
  <c r="E86" i="12" s="1"/>
  <c r="W86" i="12" a="1"/>
  <c r="W86" i="12" s="1"/>
  <c r="Y86" i="12" a="1"/>
  <c r="Y86" i="12" s="1"/>
  <c r="AD86" i="12"/>
  <c r="C86" i="12" a="1"/>
  <c r="C86" i="12" s="1"/>
  <c r="T86" i="12" a="1"/>
  <c r="T86" i="12" s="1"/>
  <c r="D86" i="12" s="1"/>
  <c r="AM27" i="12" a="1"/>
  <c r="AM27" i="12" s="1"/>
  <c r="AN27" i="12" s="1"/>
  <c r="G57" i="14"/>
  <c r="E57" i="14" a="1"/>
  <c r="E57" i="14" s="1"/>
  <c r="AV86" i="12" l="1"/>
  <c r="AW86" i="12" s="1" a="1"/>
  <c r="AW86" i="12" s="1"/>
  <c r="H86" i="12" a="1"/>
  <c r="H86" i="12" s="1"/>
  <c r="F86" i="12"/>
  <c r="G86" i="12" s="1"/>
  <c r="Z86" i="12" s="1" a="1"/>
  <c r="Z86" i="12" s="1"/>
  <c r="X86" i="12" a="1"/>
  <c r="X86" i="12" s="1"/>
  <c r="AT85" i="12"/>
  <c r="AU85" i="12" s="1" a="1"/>
  <c r="AU85" i="12" s="1"/>
  <c r="P87" i="12"/>
  <c r="J87" i="12"/>
  <c r="B57" i="14" a="1"/>
  <c r="B57" i="14" s="1"/>
  <c r="A57" i="14" a="1"/>
  <c r="A57" i="14" s="1"/>
  <c r="C58" i="14" a="1"/>
  <c r="C58" i="14" s="1"/>
  <c r="H57" i="14" a="1"/>
  <c r="H57" i="14" s="1"/>
  <c r="I57" i="14" a="1"/>
  <c r="I57" i="14" s="1"/>
  <c r="L87" i="12" l="1" a="1"/>
  <c r="L87" i="12" s="1"/>
  <c r="M87" i="12" a="1"/>
  <c r="M87" i="12" s="1"/>
  <c r="Q87" i="12" a="1"/>
  <c r="Q87" i="12" s="1"/>
  <c r="K87" i="12" s="1"/>
  <c r="R87" i="12" a="1"/>
  <c r="R87" i="12" s="1"/>
  <c r="S87" i="12" s="1"/>
  <c r="D58" i="14"/>
  <c r="F58" i="14"/>
  <c r="G58" i="14" a="1"/>
  <c r="B87" i="12" l="1" a="1"/>
  <c r="B87" i="12" s="1"/>
  <c r="A87" i="12" s="1" a="1"/>
  <c r="A87" i="12" s="1"/>
  <c r="AS87" i="12"/>
  <c r="I88" i="12" a="1"/>
  <c r="I88" i="12" s="1"/>
  <c r="W87" i="12" a="1"/>
  <c r="W87" i="12" s="1"/>
  <c r="E87" i="12" a="1"/>
  <c r="E87" i="12" s="1"/>
  <c r="Y87" i="12" a="1"/>
  <c r="Y87" i="12" s="1"/>
  <c r="AD87" i="12"/>
  <c r="T87" i="12" a="1"/>
  <c r="T87" i="12" s="1"/>
  <c r="D87" i="12" s="1"/>
  <c r="C87" i="12" a="1"/>
  <c r="C87" i="12" s="1"/>
  <c r="G58" i="14"/>
  <c r="E58" i="14" a="1"/>
  <c r="E58" i="14" s="1"/>
  <c r="X87" i="12" l="1" a="1"/>
  <c r="X87" i="12" s="1"/>
  <c r="AV87" i="12"/>
  <c r="AW87" i="12" s="1" a="1"/>
  <c r="AW87" i="12" s="1"/>
  <c r="F87" i="12"/>
  <c r="G87" i="12" s="1"/>
  <c r="Z87" i="12" s="1" a="1"/>
  <c r="Z87" i="12" s="1"/>
  <c r="H87" i="12" a="1"/>
  <c r="H87" i="12" s="1"/>
  <c r="J88" i="12"/>
  <c r="P88" i="12"/>
  <c r="AT86" i="12"/>
  <c r="AU86" i="12" s="1" a="1"/>
  <c r="AU86" i="12" s="1"/>
  <c r="B58" i="14" a="1"/>
  <c r="B58" i="14" s="1"/>
  <c r="A58" i="14" a="1"/>
  <c r="A58" i="14" s="1"/>
  <c r="C59" i="14" a="1"/>
  <c r="C59" i="14" s="1"/>
  <c r="I58" i="14" a="1"/>
  <c r="I58" i="14" s="1"/>
  <c r="H58" i="14" a="1"/>
  <c r="H58" i="14" s="1"/>
  <c r="R88" i="12" l="1" a="1"/>
  <c r="R88" i="12" s="1"/>
  <c r="S88" i="12" s="1"/>
  <c r="Q88" i="12" a="1"/>
  <c r="Q88" i="12" s="1"/>
  <c r="K88" i="12" s="1"/>
  <c r="L88" i="12" a="1"/>
  <c r="L88" i="12" s="1"/>
  <c r="M88" i="12" a="1"/>
  <c r="M88" i="12" s="1"/>
  <c r="D59" i="14"/>
  <c r="F59" i="14"/>
  <c r="G59" i="14" a="1"/>
  <c r="B88" i="12" l="1" a="1"/>
  <c r="B88" i="12" s="1"/>
  <c r="A88" i="12" s="1" a="1"/>
  <c r="A88" i="12" s="1"/>
  <c r="C88" i="12" a="1"/>
  <c r="C88" i="12" s="1"/>
  <c r="T88" i="12" a="1"/>
  <c r="T88" i="12" s="1"/>
  <c r="D88" i="12" s="1"/>
  <c r="AS88" i="12"/>
  <c r="I89" i="12" a="1"/>
  <c r="I89" i="12" s="1"/>
  <c r="Y88" i="12" a="1"/>
  <c r="Y88" i="12" s="1"/>
  <c r="E88" i="12" a="1"/>
  <c r="E88" i="12" s="1"/>
  <c r="W88" i="12" a="1"/>
  <c r="W88" i="12" s="1"/>
  <c r="AD88" i="12"/>
  <c r="G59" i="14"/>
  <c r="E59" i="14" a="1"/>
  <c r="E59" i="14" s="1"/>
  <c r="AV88" i="12" l="1"/>
  <c r="AW88" i="12" s="1" a="1"/>
  <c r="AW88" i="12" s="1"/>
  <c r="X88" i="12" a="1"/>
  <c r="X88" i="12" s="1"/>
  <c r="F88" i="12"/>
  <c r="G88" i="12" s="1"/>
  <c r="Z88" i="12" s="1" a="1"/>
  <c r="Z88" i="12" s="1"/>
  <c r="H88" i="12" a="1"/>
  <c r="H88" i="12" s="1"/>
  <c r="J89" i="12"/>
  <c r="P89" i="12"/>
  <c r="AT87" i="12"/>
  <c r="AU87" i="12" s="1" a="1"/>
  <c r="AU87" i="12" s="1"/>
  <c r="B59" i="14" a="1"/>
  <c r="B59" i="14" s="1"/>
  <c r="A59" i="14" a="1"/>
  <c r="A59" i="14" s="1"/>
  <c r="C60" i="14" a="1"/>
  <c r="C60" i="14" s="1"/>
  <c r="H59" i="14" a="1"/>
  <c r="H59" i="14" s="1"/>
  <c r="I59" i="14" a="1"/>
  <c r="I59" i="14" s="1"/>
  <c r="Q89" i="12" l="1" a="1"/>
  <c r="Q89" i="12" s="1"/>
  <c r="K89" i="12" s="1"/>
  <c r="M89" i="12" a="1"/>
  <c r="M89" i="12" s="1"/>
  <c r="R89" i="12" a="1"/>
  <c r="R89" i="12" s="1"/>
  <c r="S89" i="12" s="1"/>
  <c r="L89" i="12" a="1"/>
  <c r="L89" i="12" s="1"/>
  <c r="F60" i="14"/>
  <c r="D60" i="14"/>
  <c r="G60" i="14" a="1"/>
  <c r="B89" i="12" l="1" a="1"/>
  <c r="B89" i="12" s="1"/>
  <c r="A89" i="12" s="1" a="1"/>
  <c r="A89" i="12" s="1"/>
  <c r="AS89" i="12"/>
  <c r="I90" i="12" a="1"/>
  <c r="I90" i="12" s="1"/>
  <c r="C89" i="12" a="1"/>
  <c r="C89" i="12" s="1"/>
  <c r="T89" i="12" a="1"/>
  <c r="T89" i="12" s="1"/>
  <c r="D89" i="12" s="1"/>
  <c r="AD89" i="12"/>
  <c r="E89" i="12" a="1"/>
  <c r="E89" i="12" s="1"/>
  <c r="W89" i="12" a="1"/>
  <c r="W89" i="12" s="1"/>
  <c r="Y89" i="12" a="1"/>
  <c r="Y89" i="12" s="1"/>
  <c r="G60" i="14"/>
  <c r="E60" i="14" a="1"/>
  <c r="E60" i="14" s="1"/>
  <c r="F89" i="12" l="1"/>
  <c r="G89" i="12" s="1"/>
  <c r="Z89" i="12" s="1" a="1"/>
  <c r="Z89" i="12" s="1"/>
  <c r="AV89" i="12"/>
  <c r="AW89" i="12" s="1" a="1"/>
  <c r="AW89" i="12" s="1"/>
  <c r="X89" i="12" a="1"/>
  <c r="X89" i="12" s="1"/>
  <c r="H89" i="12" a="1"/>
  <c r="H89" i="12" s="1"/>
  <c r="P90" i="12"/>
  <c r="J90" i="12"/>
  <c r="AT88" i="12"/>
  <c r="AU88" i="12" s="1" a="1"/>
  <c r="AU88" i="12" s="1"/>
  <c r="B60" i="14" a="1"/>
  <c r="B60" i="14" s="1"/>
  <c r="A60" i="14" a="1"/>
  <c r="A60" i="14" s="1"/>
  <c r="C61" i="14" a="1"/>
  <c r="C61" i="14" s="1"/>
  <c r="H60" i="14" a="1"/>
  <c r="H60" i="14" s="1"/>
  <c r="I60" i="14" a="1"/>
  <c r="I60" i="14" s="1"/>
  <c r="L90" i="12" l="1" a="1"/>
  <c r="L90" i="12" s="1"/>
  <c r="Q90" i="12" a="1"/>
  <c r="Q90" i="12" s="1"/>
  <c r="K90" i="12" s="1"/>
  <c r="M90" i="12" a="1"/>
  <c r="M90" i="12" s="1"/>
  <c r="R90" i="12" a="1"/>
  <c r="R90" i="12" s="1"/>
  <c r="S90" i="12" s="1"/>
  <c r="F61" i="14"/>
  <c r="D61" i="14"/>
  <c r="G61" i="14" a="1"/>
  <c r="B90" i="12" l="1" a="1"/>
  <c r="B90" i="12" s="1"/>
  <c r="A90" i="12" s="1" a="1"/>
  <c r="A90" i="12" s="1"/>
  <c r="C90" i="12" a="1"/>
  <c r="C90" i="12" s="1"/>
  <c r="T90" i="12" a="1"/>
  <c r="T90" i="12" s="1"/>
  <c r="D90" i="12" s="1"/>
  <c r="Y90" i="12" a="1"/>
  <c r="Y90" i="12" s="1"/>
  <c r="W90" i="12" a="1"/>
  <c r="W90" i="12" s="1"/>
  <c r="E90" i="12" a="1"/>
  <c r="E90" i="12" s="1"/>
  <c r="AD90" i="12"/>
  <c r="AS90" i="12"/>
  <c r="I91" i="12" a="1"/>
  <c r="I91" i="12" s="1"/>
  <c r="G61" i="14"/>
  <c r="E61" i="14" a="1"/>
  <c r="E61" i="14" s="1"/>
  <c r="X90" i="12" l="1" a="1"/>
  <c r="X90" i="12" s="1"/>
  <c r="AV90" i="12"/>
  <c r="AW90" i="12" s="1" a="1"/>
  <c r="AW90" i="12" s="1"/>
  <c r="F90" i="12"/>
  <c r="G90" i="12" s="1"/>
  <c r="Z90" i="12" s="1" a="1"/>
  <c r="Z90" i="12" s="1"/>
  <c r="H90" i="12" a="1"/>
  <c r="H90" i="12" s="1"/>
  <c r="P91" i="12"/>
  <c r="J91" i="12"/>
  <c r="AT89" i="12"/>
  <c r="AU89" i="12" s="1" a="1"/>
  <c r="AU89" i="12" s="1"/>
  <c r="A61" i="14" a="1"/>
  <c r="A61" i="14" s="1"/>
  <c r="B61" i="14" a="1"/>
  <c r="B61" i="14" s="1"/>
  <c r="C62" i="14" a="1"/>
  <c r="C62" i="14" s="1"/>
  <c r="I61" i="14" a="1"/>
  <c r="I61" i="14" s="1"/>
  <c r="H61" i="14" a="1"/>
  <c r="H61" i="14" s="1"/>
  <c r="L91" i="12" l="1" a="1"/>
  <c r="L91" i="12" s="1"/>
  <c r="M91" i="12" a="1"/>
  <c r="M91" i="12" s="1"/>
  <c r="Q91" i="12" a="1"/>
  <c r="Q91" i="12" s="1"/>
  <c r="K91" i="12" s="1"/>
  <c r="R91" i="12" a="1"/>
  <c r="R91" i="12" s="1"/>
  <c r="S91" i="12" s="1"/>
  <c r="F62" i="14"/>
  <c r="D62" i="14"/>
  <c r="G62" i="14" a="1"/>
  <c r="B91" i="12" l="1" a="1"/>
  <c r="B91" i="12" s="1"/>
  <c r="A91" i="12" s="1" a="1"/>
  <c r="A91" i="12" s="1"/>
  <c r="I92" i="12" a="1"/>
  <c r="I92" i="12" s="1"/>
  <c r="AS91" i="12"/>
  <c r="E91" i="12" a="1"/>
  <c r="E91" i="12" s="1"/>
  <c r="W91" i="12" a="1"/>
  <c r="W91" i="12" s="1"/>
  <c r="Y91" i="12" a="1"/>
  <c r="Y91" i="12" s="1"/>
  <c r="AD91" i="12"/>
  <c r="C91" i="12" a="1"/>
  <c r="C91" i="12" s="1"/>
  <c r="T91" i="12" a="1"/>
  <c r="T91" i="12" s="1"/>
  <c r="D91" i="12" s="1"/>
  <c r="G62" i="14"/>
  <c r="E62" i="14" a="1"/>
  <c r="E62" i="14" s="1"/>
  <c r="AV91" i="12" l="1"/>
  <c r="AW91" i="12" s="1" a="1"/>
  <c r="AW91" i="12" s="1"/>
  <c r="F91" i="12"/>
  <c r="G91" i="12" s="1"/>
  <c r="Z91" i="12" s="1" a="1"/>
  <c r="Z91" i="12" s="1"/>
  <c r="H91" i="12" a="1"/>
  <c r="H91" i="12" s="1"/>
  <c r="X91" i="12" a="1"/>
  <c r="X91" i="12" s="1"/>
  <c r="AT90" i="12"/>
  <c r="AU90" i="12" s="1" a="1"/>
  <c r="AU90" i="12" s="1"/>
  <c r="P92" i="12"/>
  <c r="J92" i="12"/>
  <c r="B62" i="14" a="1"/>
  <c r="B62" i="14" s="1"/>
  <c r="A62" i="14" a="1"/>
  <c r="A62" i="14" s="1"/>
  <c r="C63" i="14" a="1"/>
  <c r="C63" i="14" s="1"/>
  <c r="H62" i="14" a="1"/>
  <c r="H62" i="14" s="1"/>
  <c r="I62" i="14" a="1"/>
  <c r="I62" i="14" s="1"/>
  <c r="L92" i="12" l="1" a="1"/>
  <c r="L92" i="12" s="1"/>
  <c r="M92" i="12" a="1"/>
  <c r="M92" i="12" s="1"/>
  <c r="Q92" i="12" a="1"/>
  <c r="Q92" i="12" s="1"/>
  <c r="K92" i="12" s="1"/>
  <c r="R92" i="12" a="1"/>
  <c r="R92" i="12" s="1"/>
  <c r="S92" i="12" s="1"/>
  <c r="F63" i="14"/>
  <c r="D63" i="14"/>
  <c r="G63" i="14" a="1"/>
  <c r="B92" i="12" l="1" a="1"/>
  <c r="B92" i="12" s="1"/>
  <c r="A92" i="12" s="1" a="1"/>
  <c r="A92" i="12" s="1"/>
  <c r="AS92" i="12"/>
  <c r="I93" i="12" a="1"/>
  <c r="I93" i="12" s="1"/>
  <c r="E92" i="12" a="1"/>
  <c r="E92" i="12" s="1"/>
  <c r="AD92" i="12"/>
  <c r="Y92" i="12" a="1"/>
  <c r="Y92" i="12" s="1"/>
  <c r="W92" i="12" a="1"/>
  <c r="W92" i="12" s="1"/>
  <c r="C92" i="12" a="1"/>
  <c r="C92" i="12" s="1"/>
  <c r="T92" i="12" a="1"/>
  <c r="T92" i="12" s="1"/>
  <c r="D92" i="12" s="1"/>
  <c r="G63" i="14"/>
  <c r="E63" i="14" a="1"/>
  <c r="E63" i="14" s="1"/>
  <c r="F92" i="12" l="1"/>
  <c r="G92" i="12" s="1"/>
  <c r="Z92" i="12" s="1" a="1"/>
  <c r="Z92" i="12" s="1"/>
  <c r="AV92" i="12"/>
  <c r="AW92" i="12" s="1" a="1"/>
  <c r="AW92" i="12" s="1"/>
  <c r="H92" i="12" a="1"/>
  <c r="H92" i="12" s="1"/>
  <c r="X92" i="12" a="1"/>
  <c r="X92" i="12" s="1"/>
  <c r="P93" i="12"/>
  <c r="J93" i="12"/>
  <c r="AT91" i="12"/>
  <c r="AU91" i="12" s="1" a="1"/>
  <c r="AU91" i="12" s="1"/>
  <c r="B63" i="14" a="1"/>
  <c r="B63" i="14" s="1"/>
  <c r="A63" i="14" a="1"/>
  <c r="A63" i="14" s="1"/>
  <c r="C64" i="14" a="1"/>
  <c r="C64" i="14" s="1"/>
  <c r="I63" i="14" a="1"/>
  <c r="I63" i="14" s="1"/>
  <c r="H63" i="14" a="1"/>
  <c r="H63" i="14" s="1"/>
  <c r="L93" i="12" l="1" a="1"/>
  <c r="L93" i="12" s="1"/>
  <c r="M93" i="12" a="1"/>
  <c r="M93" i="12" s="1"/>
  <c r="Q93" i="12" a="1"/>
  <c r="Q93" i="12" s="1"/>
  <c r="K93" i="12" s="1"/>
  <c r="R93" i="12" a="1"/>
  <c r="R93" i="12" s="1"/>
  <c r="S93" i="12" s="1"/>
  <c r="F64" i="14"/>
  <c r="D64" i="14"/>
  <c r="G64" i="14" a="1"/>
  <c r="B93" i="12" l="1" a="1"/>
  <c r="B93" i="12" s="1"/>
  <c r="A93" i="12" s="1" a="1"/>
  <c r="A93" i="12" s="1"/>
  <c r="AV93" i="12" s="1"/>
  <c r="AW93" i="12" s="1" a="1"/>
  <c r="AW93" i="12" s="1"/>
  <c r="AS93" i="12"/>
  <c r="I94" i="12" a="1"/>
  <c r="I94" i="12" s="1"/>
  <c r="E93" i="12" a="1"/>
  <c r="E93" i="12" s="1"/>
  <c r="W93" i="12" a="1"/>
  <c r="W93" i="12" s="1"/>
  <c r="Y93" i="12" a="1"/>
  <c r="Y93" i="12" s="1"/>
  <c r="AD93" i="12"/>
  <c r="C93" i="12" a="1"/>
  <c r="C93" i="12" s="1"/>
  <c r="T93" i="12" a="1"/>
  <c r="T93" i="12" s="1"/>
  <c r="D93" i="12" s="1"/>
  <c r="G64" i="14"/>
  <c r="E64" i="14" a="1"/>
  <c r="E64" i="14" s="1"/>
  <c r="F93" i="12" l="1"/>
  <c r="G93" i="12" s="1"/>
  <c r="Z93" i="12" s="1" a="1"/>
  <c r="Z93" i="12" s="1"/>
  <c r="H93" i="12" a="1"/>
  <c r="H93" i="12" s="1"/>
  <c r="X93" i="12" a="1"/>
  <c r="X93" i="12" s="1"/>
  <c r="P94" i="12"/>
  <c r="J94" i="12"/>
  <c r="AT92" i="12"/>
  <c r="AU92" i="12" s="1" a="1"/>
  <c r="AU92" i="12" s="1"/>
  <c r="A64" i="14" a="1"/>
  <c r="A64" i="14" s="1"/>
  <c r="B64" i="14" a="1"/>
  <c r="B64" i="14" s="1"/>
  <c r="C65" i="14" a="1"/>
  <c r="C65" i="14" s="1"/>
  <c r="I64" i="14" a="1"/>
  <c r="I64" i="14" s="1"/>
  <c r="H64" i="14" a="1"/>
  <c r="H64" i="14" s="1"/>
  <c r="L94" i="12" l="1" a="1"/>
  <c r="L94" i="12" s="1"/>
  <c r="B94" i="12" s="1" a="1"/>
  <c r="B94" i="12" s="1"/>
  <c r="A94" i="12" s="1" a="1"/>
  <c r="A94" i="12" s="1"/>
  <c r="R94" i="12" a="1"/>
  <c r="R94" i="12" s="1"/>
  <c r="S94" i="12" s="1"/>
  <c r="M94" i="12" a="1"/>
  <c r="M94" i="12" s="1"/>
  <c r="Q94" i="12" a="1"/>
  <c r="Q94" i="12" s="1"/>
  <c r="K94" i="12" s="1"/>
  <c r="F65" i="14"/>
  <c r="D65" i="14"/>
  <c r="G65" i="14" a="1"/>
  <c r="AS94" i="12" l="1"/>
  <c r="I95" i="12" a="1"/>
  <c r="I95" i="12" s="1"/>
  <c r="AB94" i="12" a="1"/>
  <c r="AB94" i="12" s="1"/>
  <c r="AC94" i="12" s="1"/>
  <c r="Y94" i="12" a="1"/>
  <c r="Y94" i="12" s="1"/>
  <c r="AM94" i="12" a="1"/>
  <c r="AM94" i="12" s="1"/>
  <c r="AN94" i="12" s="1"/>
  <c r="AD94" i="12"/>
  <c r="E94" i="12" a="1"/>
  <c r="E94" i="12" s="1"/>
  <c r="W94" i="12" a="1"/>
  <c r="W94" i="12" s="1"/>
  <c r="O94" i="12" a="1"/>
  <c r="O94" i="12" s="1"/>
  <c r="U94" i="12" s="1" a="1"/>
  <c r="U94" i="12" s="1"/>
  <c r="V94" i="12" s="1"/>
  <c r="T94" i="12" a="1"/>
  <c r="T94" i="12" s="1"/>
  <c r="D94" i="12" s="1"/>
  <c r="C94" i="12" a="1"/>
  <c r="C94" i="12" s="1"/>
  <c r="AJ94" i="12" a="1"/>
  <c r="AJ94" i="12" s="1"/>
  <c r="AK94" i="12" s="1" a="1"/>
  <c r="AK94" i="12" s="1"/>
  <c r="AL94" i="12" s="1"/>
  <c r="H94" i="12" a="1"/>
  <c r="H94" i="12" s="1"/>
  <c r="F94" i="12"/>
  <c r="AV94" i="12"/>
  <c r="AW94" i="12" s="1" a="1"/>
  <c r="AW94" i="12" s="1"/>
  <c r="X94" i="12" a="1"/>
  <c r="X94" i="12" s="1"/>
  <c r="G65" i="14"/>
  <c r="E65" i="14" a="1"/>
  <c r="E65" i="14" s="1"/>
  <c r="G94" i="12" l="1"/>
  <c r="Z94" i="12" s="1" a="1"/>
  <c r="Z94" i="12" s="1"/>
  <c r="AE94" i="12" a="1"/>
  <c r="AE94" i="12" s="1"/>
  <c r="AF94" i="12" s="1"/>
  <c r="AG94" i="12" s="1" a="1"/>
  <c r="AG94" i="12" s="1"/>
  <c r="J95" i="12"/>
  <c r="P95" i="12"/>
  <c r="AT93" i="12"/>
  <c r="AU93" i="12" s="1" a="1"/>
  <c r="AU93" i="12" s="1"/>
  <c r="B65" i="14" a="1"/>
  <c r="B65" i="14" s="1"/>
  <c r="A65" i="14" a="1"/>
  <c r="A65" i="14" s="1"/>
  <c r="C66" i="14" a="1"/>
  <c r="C66" i="14" s="1"/>
  <c r="I65" i="14" a="1"/>
  <c r="I65" i="14" s="1"/>
  <c r="H65" i="14" a="1"/>
  <c r="H65" i="14" s="1"/>
  <c r="Q14" i="24" a="1"/>
  <c r="M95" i="12" l="1" a="1"/>
  <c r="M95" i="12" s="1"/>
  <c r="Q95" i="12" a="1"/>
  <c r="Q95" i="12" s="1"/>
  <c r="K95" i="12" s="1"/>
  <c r="L95" i="12" a="1"/>
  <c r="L95" i="12" s="1"/>
  <c r="B95" i="12" s="1" a="1"/>
  <c r="B95" i="12" s="1"/>
  <c r="A95" i="12" s="1" a="1"/>
  <c r="A95" i="12" s="1"/>
  <c r="R95" i="12" a="1"/>
  <c r="R95" i="12" s="1"/>
  <c r="S95" i="12" s="1"/>
  <c r="F66" i="14"/>
  <c r="D66" i="14"/>
  <c r="Q14" i="24"/>
  <c r="E14" i="24" s="1" a="1"/>
  <c r="E14" i="24" s="1"/>
  <c r="C14" i="24" a="1"/>
  <c r="G66" i="14" a="1"/>
  <c r="AS95" i="12" l="1"/>
  <c r="I96" i="12" a="1"/>
  <c r="I96" i="12" s="1"/>
  <c r="AV95" i="12"/>
  <c r="AW95" i="12" s="1" a="1"/>
  <c r="AW95" i="12" s="1"/>
  <c r="H95" i="12" a="1"/>
  <c r="H95" i="12" s="1"/>
  <c r="F95" i="12"/>
  <c r="X95" i="12" a="1"/>
  <c r="X95" i="12" s="1"/>
  <c r="E95" i="12" a="1"/>
  <c r="E95" i="12" s="1"/>
  <c r="Y95" i="12" a="1"/>
  <c r="Y95" i="12" s="1"/>
  <c r="AD95" i="12"/>
  <c r="AB95" i="12" a="1"/>
  <c r="AB95" i="12" s="1"/>
  <c r="AC95" i="12" s="1"/>
  <c r="AM95" i="12" a="1"/>
  <c r="AM95" i="12" s="1"/>
  <c r="AN95" i="12" s="1"/>
  <c r="W95" i="12" a="1"/>
  <c r="W95" i="12" s="1"/>
  <c r="C95" i="12" a="1"/>
  <c r="C95" i="12" s="1"/>
  <c r="T95" i="12" a="1"/>
  <c r="T95" i="12" s="1"/>
  <c r="D95" i="12" s="1"/>
  <c r="O95" i="12" a="1"/>
  <c r="O95" i="12" s="1"/>
  <c r="U95" i="12" s="1" a="1"/>
  <c r="U95" i="12" s="1"/>
  <c r="V95" i="12" s="1"/>
  <c r="AJ95" i="12" a="1"/>
  <c r="AJ95" i="12" s="1"/>
  <c r="AK95" i="12" s="1" a="1"/>
  <c r="AK95" i="12" s="1"/>
  <c r="AL95" i="12" s="1"/>
  <c r="G66" i="14"/>
  <c r="E66" i="14" a="1"/>
  <c r="E66" i="14" s="1"/>
  <c r="C14" i="24"/>
  <c r="D14" i="24"/>
  <c r="AE95" i="12" l="1" a="1"/>
  <c r="AE95" i="12" s="1"/>
  <c r="AF95" i="12" s="1"/>
  <c r="AG95" i="12" s="1" a="1"/>
  <c r="AG95" i="12" s="1"/>
  <c r="G95" i="12"/>
  <c r="Z95" i="12" s="1" a="1"/>
  <c r="Z95" i="12" s="1"/>
  <c r="J96" i="12"/>
  <c r="P96" i="12"/>
  <c r="AT94" i="12"/>
  <c r="AU94" i="12" s="1" a="1"/>
  <c r="AU94" i="12" s="1"/>
  <c r="A66" i="14" a="1"/>
  <c r="A66" i="14" s="1"/>
  <c r="B66" i="14" a="1"/>
  <c r="B66" i="14" s="1"/>
  <c r="C67" i="14" a="1"/>
  <c r="C67" i="14" s="1"/>
  <c r="I66" i="14" a="1"/>
  <c r="I66" i="14" s="1"/>
  <c r="H66" i="14" a="1"/>
  <c r="H66" i="14" s="1"/>
  <c r="A14" i="24"/>
  <c r="R96" i="12" l="1" a="1"/>
  <c r="R96" i="12" s="1"/>
  <c r="S96" i="12" s="1"/>
  <c r="L96" i="12" a="1"/>
  <c r="L96" i="12" s="1"/>
  <c r="B96" i="12" s="1" a="1"/>
  <c r="B96" i="12" s="1"/>
  <c r="A96" i="12" s="1" a="1"/>
  <c r="A96" i="12" s="1"/>
  <c r="M96" i="12" a="1"/>
  <c r="M96" i="12" s="1"/>
  <c r="Q96" i="12" a="1"/>
  <c r="Q96" i="12" s="1"/>
  <c r="K96" i="12" s="1"/>
  <c r="F67" i="14"/>
  <c r="D67" i="14"/>
  <c r="G67" i="14" a="1"/>
  <c r="AS96" i="12" l="1"/>
  <c r="I97" i="12" a="1"/>
  <c r="I97" i="12" s="1"/>
  <c r="Y96" i="12" a="1"/>
  <c r="Y96" i="12" s="1"/>
  <c r="AM96" i="12" a="1"/>
  <c r="AM96" i="12" s="1"/>
  <c r="AN96" i="12" s="1"/>
  <c r="AB96" i="12" a="1"/>
  <c r="AB96" i="12" s="1"/>
  <c r="AC96" i="12" s="1"/>
  <c r="E96" i="12" a="1"/>
  <c r="E96" i="12" s="1"/>
  <c r="W96" i="12" a="1"/>
  <c r="W96" i="12" s="1"/>
  <c r="AD96" i="12"/>
  <c r="T96" i="12" a="1"/>
  <c r="T96" i="12" s="1"/>
  <c r="D96" i="12" s="1"/>
  <c r="C96" i="12" a="1"/>
  <c r="C96" i="12" s="1"/>
  <c r="O96" i="12" a="1"/>
  <c r="O96" i="12" s="1"/>
  <c r="U96" i="12" s="1" a="1"/>
  <c r="U96" i="12" s="1"/>
  <c r="V96" i="12" s="1"/>
  <c r="AJ96" i="12" a="1"/>
  <c r="AJ96" i="12" s="1"/>
  <c r="AK96" i="12" s="1" a="1"/>
  <c r="AK96" i="12" s="1"/>
  <c r="AL96" i="12" s="1"/>
  <c r="AV96" i="12"/>
  <c r="AW96" i="12" s="1" a="1"/>
  <c r="AW96" i="12" s="1"/>
  <c r="H96" i="12" a="1"/>
  <c r="H96" i="12" s="1"/>
  <c r="F96" i="12"/>
  <c r="X96" i="12" a="1"/>
  <c r="X96" i="12" s="1"/>
  <c r="G67" i="14"/>
  <c r="E67" i="14" a="1"/>
  <c r="E67" i="14" s="1"/>
  <c r="G96" i="12" l="1"/>
  <c r="Z96" i="12" s="1" a="1"/>
  <c r="Z96" i="12" s="1"/>
  <c r="AE96" i="12" a="1"/>
  <c r="AE96" i="12" s="1"/>
  <c r="AF96" i="12" s="1"/>
  <c r="AG96" i="12" s="1" a="1"/>
  <c r="AG96" i="12" s="1"/>
  <c r="P97" i="12"/>
  <c r="J97" i="12"/>
  <c r="AT95" i="12"/>
  <c r="AU95" i="12" s="1" a="1"/>
  <c r="AU95" i="12" s="1"/>
  <c r="B67" i="14" a="1"/>
  <c r="B67" i="14" s="1"/>
  <c r="A67" i="14" a="1"/>
  <c r="A67" i="14" s="1"/>
  <c r="C68" i="14" a="1"/>
  <c r="C68" i="14" s="1"/>
  <c r="I67" i="14" a="1"/>
  <c r="I67" i="14" s="1"/>
  <c r="H67" i="14" a="1"/>
  <c r="H67" i="14" s="1"/>
  <c r="L97" i="12" l="1" a="1"/>
  <c r="L97" i="12" s="1"/>
  <c r="B97" i="12" s="1" a="1"/>
  <c r="B97" i="12" s="1"/>
  <c r="A97" i="12" s="1" a="1"/>
  <c r="A97" i="12" s="1"/>
  <c r="R97" i="12" a="1"/>
  <c r="R97" i="12" s="1"/>
  <c r="S97" i="12" s="1"/>
  <c r="M97" i="12" a="1"/>
  <c r="M97" i="12" s="1"/>
  <c r="Q97" i="12" a="1"/>
  <c r="Q97" i="12" s="1"/>
  <c r="K97" i="12" s="1"/>
  <c r="D68" i="14"/>
  <c r="F68" i="14"/>
  <c r="G68" i="14" a="1"/>
  <c r="AS97" i="12" l="1"/>
  <c r="AT96" i="12" s="1"/>
  <c r="AU96" i="12" s="1" a="1"/>
  <c r="AU96" i="12" s="1"/>
  <c r="I98" i="12" a="1"/>
  <c r="I98" i="12" s="1"/>
  <c r="E97" i="12" a="1"/>
  <c r="E97" i="12" s="1"/>
  <c r="W97" i="12" a="1"/>
  <c r="W97" i="12" s="1"/>
  <c r="AB97" i="12" a="1"/>
  <c r="AB97" i="12" s="1"/>
  <c r="AC97" i="12" s="1"/>
  <c r="AM97" i="12" a="1"/>
  <c r="AM97" i="12" s="1"/>
  <c r="AN97" i="12" s="1"/>
  <c r="AD97" i="12"/>
  <c r="Y97" i="12" a="1"/>
  <c r="Y97" i="12" s="1"/>
  <c r="O97" i="12" a="1"/>
  <c r="O97" i="12" s="1"/>
  <c r="U97" i="12" s="1" a="1"/>
  <c r="U97" i="12" s="1"/>
  <c r="V97" i="12" s="1"/>
  <c r="T97" i="12" a="1"/>
  <c r="T97" i="12" s="1"/>
  <c r="D97" i="12" s="1"/>
  <c r="AJ97" i="12" a="1"/>
  <c r="AJ97" i="12" s="1"/>
  <c r="AK97" i="12" s="1" a="1"/>
  <c r="AK97" i="12" s="1"/>
  <c r="AL97" i="12" s="1"/>
  <c r="C97" i="12" a="1"/>
  <c r="C97" i="12" s="1"/>
  <c r="H97" i="12" a="1"/>
  <c r="H97" i="12" s="1"/>
  <c r="F97" i="12"/>
  <c r="AV97" i="12"/>
  <c r="AW97" i="12" s="1" a="1"/>
  <c r="AW97" i="12" s="1"/>
  <c r="X97" i="12" a="1"/>
  <c r="X97" i="12" s="1"/>
  <c r="G68" i="14"/>
  <c r="E68" i="14" a="1"/>
  <c r="E68" i="14" s="1"/>
  <c r="J98" i="12" l="1"/>
  <c r="P98" i="12"/>
  <c r="AE97" i="12" a="1"/>
  <c r="AE97" i="12" s="1"/>
  <c r="AF97" i="12" s="1"/>
  <c r="AG97" i="12" s="1" a="1"/>
  <c r="AG97" i="12" s="1"/>
  <c r="G97" i="12"/>
  <c r="Z97" i="12" s="1" a="1"/>
  <c r="Z97" i="12" s="1"/>
  <c r="A68" i="14" a="1"/>
  <c r="A68" i="14" s="1"/>
  <c r="B68" i="14" a="1"/>
  <c r="B68" i="14" s="1"/>
  <c r="H68" i="14" a="1"/>
  <c r="H68" i="14" s="1"/>
  <c r="I68" i="14" a="1"/>
  <c r="I68" i="14" s="1"/>
  <c r="AI3" i="21" a="1"/>
  <c r="AI3" i="21" s="1"/>
  <c r="AJ3" i="21" s="1" a="1"/>
  <c r="AJ3" i="21" s="1"/>
  <c r="AI42" i="21" a="1"/>
  <c r="AI42" i="21" s="1"/>
  <c r="AI41" i="21" a="1"/>
  <c r="AI41" i="21" s="1"/>
  <c r="AI40" i="21" a="1"/>
  <c r="AI40" i="21" s="1"/>
  <c r="AI39" i="21" a="1"/>
  <c r="AI39" i="21" s="1"/>
  <c r="AI38" i="21" a="1"/>
  <c r="AI38" i="21" s="1"/>
  <c r="AI37" i="21" a="1"/>
  <c r="AI37" i="21" s="1"/>
  <c r="AI36" i="21" a="1"/>
  <c r="AI36" i="21" s="1"/>
  <c r="AI35" i="21" a="1"/>
  <c r="AI35" i="21" s="1"/>
  <c r="AI34" i="21" a="1"/>
  <c r="AI34" i="21" s="1"/>
  <c r="AI33" i="21" a="1"/>
  <c r="AI33" i="21" s="1"/>
  <c r="AI32" i="21" a="1"/>
  <c r="AI32" i="21" s="1"/>
  <c r="AI31" i="21" a="1"/>
  <c r="AI31" i="21" s="1"/>
  <c r="AI30" i="21" a="1"/>
  <c r="AI30" i="21" s="1"/>
  <c r="R98" i="12" l="1" a="1"/>
  <c r="R98" i="12" s="1"/>
  <c r="S98" i="12" s="1"/>
  <c r="M98" i="12" a="1"/>
  <c r="M98" i="12" s="1"/>
  <c r="Q98" i="12" a="1"/>
  <c r="Q98" i="12" s="1"/>
  <c r="K98" i="12" s="1"/>
  <c r="L98" i="12" a="1"/>
  <c r="L98" i="12" s="1"/>
  <c r="B98" i="12" s="1" a="1"/>
  <c r="B98" i="12" s="1"/>
  <c r="A98" i="12" s="1" a="1"/>
  <c r="A98" i="12" s="1"/>
  <c r="AI29" i="21" a="1"/>
  <c r="AI29" i="21" s="1"/>
  <c r="AI28" i="21" a="1"/>
  <c r="AI28" i="21" s="1"/>
  <c r="AI27" i="21" a="1"/>
  <c r="AI27" i="21" s="1"/>
  <c r="AI26" i="21" a="1"/>
  <c r="AI26" i="21" s="1"/>
  <c r="AS98" i="12" l="1"/>
  <c r="I99" i="12" a="1"/>
  <c r="I99" i="12" s="1"/>
  <c r="AV98" i="12"/>
  <c r="AW98" i="12" s="1" a="1"/>
  <c r="AW98" i="12" s="1"/>
  <c r="F98" i="12"/>
  <c r="H98" i="12" a="1"/>
  <c r="H98" i="12" s="1"/>
  <c r="X98" i="12" a="1"/>
  <c r="X98" i="12" s="1"/>
  <c r="E98" i="12" a="1"/>
  <c r="E98" i="12" s="1"/>
  <c r="AD98" i="12"/>
  <c r="Y98" i="12" a="1"/>
  <c r="Y98" i="12" s="1"/>
  <c r="W98" i="12" a="1"/>
  <c r="W98" i="12" s="1"/>
  <c r="AM98" i="12" a="1"/>
  <c r="AM98" i="12" s="1"/>
  <c r="AN98" i="12" s="1"/>
  <c r="AB98" i="12" a="1"/>
  <c r="AB98" i="12" s="1"/>
  <c r="AC98" i="12" s="1"/>
  <c r="T98" i="12" a="1"/>
  <c r="T98" i="12" s="1"/>
  <c r="D98" i="12" s="1"/>
  <c r="AJ98" i="12" a="1"/>
  <c r="AJ98" i="12" s="1"/>
  <c r="AK98" i="12" s="1" a="1"/>
  <c r="AK98" i="12" s="1"/>
  <c r="AL98" i="12" s="1"/>
  <c r="C98" i="12" a="1"/>
  <c r="C98" i="12" s="1"/>
  <c r="O98" i="12" a="1"/>
  <c r="O98" i="12" s="1"/>
  <c r="U98" i="12" s="1" a="1"/>
  <c r="U98" i="12" s="1"/>
  <c r="V98" i="12" s="1"/>
  <c r="AI25" i="21" a="1"/>
  <c r="AI25" i="21" s="1"/>
  <c r="AI24" i="21" a="1"/>
  <c r="AI24" i="21" s="1"/>
  <c r="G98" i="12" l="1"/>
  <c r="Z98" i="12" s="1" a="1"/>
  <c r="Z98" i="12" s="1"/>
  <c r="AE98" i="12" a="1"/>
  <c r="AE98" i="12" s="1"/>
  <c r="AF98" i="12" s="1"/>
  <c r="AG98" i="12" s="1" a="1"/>
  <c r="AG98" i="12" s="1"/>
  <c r="J99" i="12"/>
  <c r="P99" i="12"/>
  <c r="AT97" i="12"/>
  <c r="AU97" i="12" s="1" a="1"/>
  <c r="AU97" i="12" s="1"/>
  <c r="AI23" i="21" a="1"/>
  <c r="AI23" i="21" s="1"/>
  <c r="AI22" i="21" a="1"/>
  <c r="AI22" i="21" s="1"/>
  <c r="AI21" i="21" a="1"/>
  <c r="AI21" i="21" s="1"/>
  <c r="AI20" i="21" a="1"/>
  <c r="AI20" i="21" s="1"/>
  <c r="AI19" i="21" a="1"/>
  <c r="AI19" i="21" s="1"/>
  <c r="R99" i="12" l="1" a="1"/>
  <c r="R99" i="12" s="1"/>
  <c r="S99" i="12" s="1"/>
  <c r="M99" i="12" a="1"/>
  <c r="M99" i="12" s="1"/>
  <c r="Q99" i="12" a="1"/>
  <c r="Q99" i="12" s="1"/>
  <c r="K99" i="12" s="1"/>
  <c r="L99" i="12" a="1"/>
  <c r="L99" i="12" s="1"/>
  <c r="B99" i="12" s="1" a="1"/>
  <c r="B99" i="12" s="1"/>
  <c r="A99" i="12" s="1" a="1"/>
  <c r="A99" i="12" s="1"/>
  <c r="AI18" i="21" a="1"/>
  <c r="AI18" i="21" s="1"/>
  <c r="I100" i="12" l="1" a="1"/>
  <c r="I100" i="12" s="1"/>
  <c r="AS99" i="12"/>
  <c r="F99" i="12"/>
  <c r="H99" i="12" a="1"/>
  <c r="H99" i="12" s="1"/>
  <c r="AV99" i="12"/>
  <c r="AW99" i="12" s="1" a="1"/>
  <c r="AW99" i="12" s="1"/>
  <c r="X99" i="12" a="1"/>
  <c r="X99" i="12" s="1"/>
  <c r="AB99" i="12" a="1"/>
  <c r="AB99" i="12" s="1"/>
  <c r="AC99" i="12" s="1"/>
  <c r="AD99" i="12"/>
  <c r="E99" i="12" a="1"/>
  <c r="E99" i="12" s="1"/>
  <c r="Y99" i="12" a="1"/>
  <c r="Y99" i="12" s="1"/>
  <c r="W99" i="12" a="1"/>
  <c r="W99" i="12" s="1"/>
  <c r="AM99" i="12" a="1"/>
  <c r="AM99" i="12" s="1"/>
  <c r="AN99" i="12" s="1"/>
  <c r="C99" i="12" a="1"/>
  <c r="C99" i="12" s="1"/>
  <c r="O99" i="12" a="1"/>
  <c r="O99" i="12" s="1"/>
  <c r="U99" i="12" s="1" a="1"/>
  <c r="U99" i="12" s="1"/>
  <c r="V99" i="12" s="1"/>
  <c r="T99" i="12" a="1"/>
  <c r="T99" i="12" s="1"/>
  <c r="D99" i="12" s="1"/>
  <c r="AJ99" i="12" a="1"/>
  <c r="AJ99" i="12" s="1"/>
  <c r="AK99" i="12" s="1" a="1"/>
  <c r="AK99" i="12" s="1"/>
  <c r="AL99" i="12" s="1"/>
  <c r="AI17" i="21" a="1"/>
  <c r="AI17" i="21" s="1"/>
  <c r="AI16" i="21" a="1"/>
  <c r="AI16" i="21" s="1"/>
  <c r="AI15" i="21" a="1"/>
  <c r="AI15" i="21" s="1"/>
  <c r="AI14" i="21" a="1"/>
  <c r="AI14" i="21" s="1"/>
  <c r="G99" i="12" l="1"/>
  <c r="Z99" i="12" s="1" a="1"/>
  <c r="Z99" i="12" s="1"/>
  <c r="AE99" i="12" a="1"/>
  <c r="AE99" i="12" s="1"/>
  <c r="AF99" i="12" s="1"/>
  <c r="AG99" i="12" s="1" a="1"/>
  <c r="AG99" i="12" s="1"/>
  <c r="AT98" i="12"/>
  <c r="AU98" i="12" s="1" a="1"/>
  <c r="AU98" i="12" s="1"/>
  <c r="P100" i="12"/>
  <c r="J100" i="12"/>
  <c r="AI13" i="21" a="1"/>
  <c r="AI13" i="21" s="1"/>
  <c r="AI7" i="21" a="1"/>
  <c r="AI7" i="21" s="1"/>
  <c r="AI8" i="21" a="1"/>
  <c r="AI8" i="21" s="1"/>
  <c r="AI9" i="21" a="1"/>
  <c r="AI9" i="21" s="1"/>
  <c r="AI10" i="21" a="1"/>
  <c r="AI10" i="21" s="1"/>
  <c r="AI11" i="21" a="1"/>
  <c r="AI11" i="21" s="1"/>
  <c r="AI12" i="21" a="1"/>
  <c r="AI12" i="21" s="1"/>
  <c r="AI6" i="21" a="1"/>
  <c r="AI6" i="21" s="1"/>
  <c r="AI5" i="21" a="1"/>
  <c r="AI5" i="21" s="1"/>
  <c r="AI4" i="21" a="1"/>
  <c r="AI4" i="21" s="1"/>
  <c r="AJ4" i="21" s="1" a="1"/>
  <c r="AJ4" i="21" s="1"/>
  <c r="R100" i="12" l="1" a="1"/>
  <c r="R100" i="12" s="1"/>
  <c r="S100" i="12" s="1"/>
  <c r="Q100" i="12" a="1"/>
  <c r="Q100" i="12" s="1"/>
  <c r="K100" i="12" s="1"/>
  <c r="M100" i="12" a="1"/>
  <c r="M100" i="12" s="1"/>
  <c r="L100" i="12" a="1"/>
  <c r="L100" i="12" s="1"/>
  <c r="AJ5" i="21" a="1"/>
  <c r="AJ5" i="21" s="1"/>
  <c r="AJ6" i="21" s="1" a="1"/>
  <c r="AJ6" i="21" s="1"/>
  <c r="AJ7" i="21" s="1" a="1"/>
  <c r="AJ7" i="21" s="1"/>
  <c r="AJ8" i="21" s="1" a="1"/>
  <c r="AJ8" i="21" s="1"/>
  <c r="AJ9" i="21" s="1" a="1"/>
  <c r="AJ9" i="21" s="1"/>
  <c r="AJ10" i="21" s="1" a="1"/>
  <c r="AJ10" i="21" s="1"/>
  <c r="AJ11" i="21" s="1" a="1"/>
  <c r="AJ11" i="21" s="1"/>
  <c r="AJ12" i="21" s="1" a="1"/>
  <c r="AJ12" i="21" s="1"/>
  <c r="AJ13" i="21" s="1" a="1"/>
  <c r="AJ13" i="21" s="1"/>
  <c r="AJ14" i="21" s="1" a="1"/>
  <c r="AJ14" i="21" s="1"/>
  <c r="AJ15" i="21" s="1" a="1"/>
  <c r="AJ15" i="21" s="1"/>
  <c r="AJ16" i="21" s="1" a="1"/>
  <c r="AJ16" i="21" s="1"/>
  <c r="AJ17" i="21" s="1" a="1"/>
  <c r="AJ17" i="21" s="1"/>
  <c r="AJ18" i="21" s="1" a="1"/>
  <c r="AJ18" i="21" s="1"/>
  <c r="AJ19" i="21" s="1" a="1"/>
  <c r="AJ19" i="21" s="1"/>
  <c r="AJ20" i="21" s="1" a="1"/>
  <c r="AJ20" i="21" s="1"/>
  <c r="AJ21" i="21" s="1" a="1"/>
  <c r="AJ21" i="21" s="1"/>
  <c r="AJ22" i="21" s="1" a="1"/>
  <c r="AJ22" i="21" s="1"/>
  <c r="AJ23" i="21" s="1" a="1"/>
  <c r="AJ23" i="21" s="1"/>
  <c r="AJ24" i="21" s="1" a="1"/>
  <c r="AJ24" i="21" s="1"/>
  <c r="AJ25" i="21" s="1" a="1"/>
  <c r="AJ25" i="21" s="1"/>
  <c r="AJ26" i="21" s="1" a="1"/>
  <c r="AJ26" i="21" s="1"/>
  <c r="AJ27" i="21" s="1" a="1"/>
  <c r="AJ27" i="21" s="1"/>
  <c r="AJ28" i="21" s="1" a="1"/>
  <c r="AJ28" i="21" s="1"/>
  <c r="AJ29" i="21" s="1" a="1"/>
  <c r="AJ29" i="21" s="1"/>
  <c r="AJ30" i="21" s="1" a="1"/>
  <c r="AJ30" i="21" s="1"/>
  <c r="AJ31" i="21" s="1" a="1"/>
  <c r="AJ31" i="21" s="1"/>
  <c r="AJ32" i="21" s="1" a="1"/>
  <c r="AJ32" i="21" s="1"/>
  <c r="AJ33" i="21" s="1" a="1"/>
  <c r="AJ33" i="21" s="1"/>
  <c r="AJ34" i="21" s="1" a="1"/>
  <c r="AJ34" i="21" s="1"/>
  <c r="AJ35" i="21" s="1" a="1"/>
  <c r="AJ35" i="21" s="1"/>
  <c r="AJ36" i="21" s="1" a="1"/>
  <c r="AJ36" i="21" s="1"/>
  <c r="AJ37" i="21" s="1" a="1"/>
  <c r="AJ37" i="21" s="1"/>
  <c r="AJ38" i="21" s="1" a="1"/>
  <c r="AJ38" i="21" s="1"/>
  <c r="AJ39" i="21" s="1" a="1"/>
  <c r="AJ39" i="21" s="1"/>
  <c r="AJ40" i="21" s="1" a="1"/>
  <c r="AJ40" i="21" s="1"/>
  <c r="AJ41" i="21" s="1" a="1"/>
  <c r="AJ41" i="21" s="1"/>
  <c r="AJ42" i="21" s="1" a="1"/>
  <c r="AJ42" i="21" s="1"/>
  <c r="AJ43" i="21" s="1" a="1"/>
  <c r="AJ43" i="21" s="1"/>
  <c r="V44" i="10"/>
  <c r="AS100" i="12" l="1"/>
  <c r="AZ2" i="12" s="1"/>
  <c r="I101" i="12" a="1"/>
  <c r="I101" i="12" s="1"/>
  <c r="B100" i="12" a="1"/>
  <c r="B100" i="12" s="1"/>
  <c r="A100" i="12" s="1" a="1"/>
  <c r="A100" i="12" s="1"/>
  <c r="F100" i="12" s="1"/>
  <c r="C100" i="12" a="1"/>
  <c r="C100" i="12" s="1"/>
  <c r="O100" i="12" a="1"/>
  <c r="O100" i="12" s="1"/>
  <c r="U100" i="12" s="1" a="1"/>
  <c r="U100" i="12" s="1"/>
  <c r="V100" i="12" s="1"/>
  <c r="T100" i="12" a="1"/>
  <c r="T100" i="12" s="1"/>
  <c r="D100" i="12" s="1"/>
  <c r="AJ100" i="12" a="1"/>
  <c r="AJ100" i="12" s="1"/>
  <c r="AK100" i="12" s="1" a="1"/>
  <c r="AK100" i="12" s="1"/>
  <c r="AL100" i="12" s="1"/>
  <c r="W100" i="12" a="1"/>
  <c r="W100" i="12" s="1"/>
  <c r="AM100" i="12" a="1"/>
  <c r="AM100" i="12" s="1"/>
  <c r="AN100" i="12" s="1"/>
  <c r="AB100" i="12" a="1"/>
  <c r="AB100" i="12" s="1"/>
  <c r="AC100" i="12" s="1"/>
  <c r="AD100" i="12"/>
  <c r="E100" i="12" a="1"/>
  <c r="E100" i="12" s="1"/>
  <c r="Y100" i="12" a="1"/>
  <c r="Y100" i="12" s="1"/>
  <c r="Y44" i="10" a="1"/>
  <c r="Y44" i="10" s="1"/>
  <c r="AD44" i="10" a="1"/>
  <c r="AD44" i="10" s="1"/>
  <c r="V43" i="10"/>
  <c r="V27" i="10"/>
  <c r="V29" i="10"/>
  <c r="V23" i="10"/>
  <c r="V11" i="10"/>
  <c r="V39" i="10"/>
  <c r="V14" i="10"/>
  <c r="V7" i="10"/>
  <c r="V37" i="10"/>
  <c r="V15" i="10"/>
  <c r="V13" i="10"/>
  <c r="V34" i="10"/>
  <c r="V38" i="10"/>
  <c r="V24" i="10"/>
  <c r="V21" i="10"/>
  <c r="V28" i="10"/>
  <c r="V35" i="10"/>
  <c r="V31" i="10"/>
  <c r="V10" i="10"/>
  <c r="V32" i="10"/>
  <c r="V25" i="10"/>
  <c r="V9" i="10"/>
  <c r="V12" i="10"/>
  <c r="V3" i="10"/>
  <c r="AC3" i="10" s="1" a="1"/>
  <c r="AC3" i="10" s="1"/>
  <c r="V17" i="10"/>
  <c r="V30" i="10"/>
  <c r="V42" i="10"/>
  <c r="V16" i="10"/>
  <c r="V5" i="10"/>
  <c r="V4" i="10"/>
  <c r="V18" i="10"/>
  <c r="V40" i="10"/>
  <c r="V41" i="10"/>
  <c r="V20" i="10"/>
  <c r="V33" i="10"/>
  <c r="V26" i="10"/>
  <c r="V36" i="10"/>
  <c r="V6" i="10"/>
  <c r="V22" i="10"/>
  <c r="V19" i="10"/>
  <c r="V8" i="10"/>
  <c r="AT99" i="12" l="1"/>
  <c r="AU99" i="12" s="1" a="1"/>
  <c r="AU99" i="12" s="1"/>
  <c r="X100" i="12" a="1"/>
  <c r="X100" i="12" s="1"/>
  <c r="H100" i="12" a="1"/>
  <c r="H100" i="12" s="1"/>
  <c r="AV100" i="12"/>
  <c r="AW100" i="12" s="1" a="1"/>
  <c r="AW100" i="12" s="1"/>
  <c r="J101" i="12"/>
  <c r="P101" i="12"/>
  <c r="AE100" i="12" a="1"/>
  <c r="AE100" i="12" s="1"/>
  <c r="AF100" i="12" s="1"/>
  <c r="AG100" i="12" s="1" a="1"/>
  <c r="AG100" i="12" s="1"/>
  <c r="G100" i="12"/>
  <c r="Z100" i="12" s="1" a="1"/>
  <c r="Z100" i="12" s="1"/>
  <c r="AC4" i="10" a="1"/>
  <c r="AC4" i="10" s="1"/>
  <c r="AC5" i="10" s="1" a="1"/>
  <c r="AC5" i="10" s="1"/>
  <c r="AC6" i="10" s="1" a="1"/>
  <c r="AC6" i="10" s="1"/>
  <c r="AC7" i="10" s="1" a="1"/>
  <c r="AC7" i="10" s="1"/>
  <c r="AC8" i="10" s="1" a="1"/>
  <c r="AC8" i="10" s="1"/>
  <c r="AC9" i="10" s="1" a="1"/>
  <c r="AC9" i="10" s="1"/>
  <c r="AC10" i="10" s="1" a="1"/>
  <c r="AC10" i="10" s="1"/>
  <c r="AC11" i="10" s="1" a="1"/>
  <c r="AC11" i="10" s="1"/>
  <c r="AC12" i="10" s="1" a="1"/>
  <c r="AC12" i="10" s="1"/>
  <c r="AC13" i="10" s="1" a="1"/>
  <c r="AC13" i="10" s="1"/>
  <c r="AC14" i="10" s="1" a="1"/>
  <c r="AC14" i="10" s="1"/>
  <c r="AC15" i="10" s="1" a="1"/>
  <c r="AC15" i="10" s="1"/>
  <c r="AC16" i="10" s="1" a="1"/>
  <c r="AC16" i="10" s="1"/>
  <c r="AC17" i="10" s="1" a="1"/>
  <c r="AC17" i="10" s="1"/>
  <c r="AC18" i="10" s="1" a="1"/>
  <c r="AC18" i="10" s="1"/>
  <c r="AC19" i="10" s="1" a="1"/>
  <c r="AC19" i="10" s="1"/>
  <c r="AC20" i="10" s="1" a="1"/>
  <c r="AC20" i="10" s="1"/>
  <c r="AC21" i="10" s="1" a="1"/>
  <c r="AC21" i="10" s="1"/>
  <c r="AC22" i="10" s="1" a="1"/>
  <c r="AC22" i="10" s="1"/>
  <c r="AC23" i="10" s="1" a="1"/>
  <c r="AC23" i="10" s="1"/>
  <c r="AC24" i="10" s="1" a="1"/>
  <c r="AC24" i="10" s="1"/>
  <c r="AC25" i="10" s="1" a="1"/>
  <c r="AC25" i="10" s="1"/>
  <c r="AC26" i="10" s="1" a="1"/>
  <c r="AC26" i="10" s="1"/>
  <c r="AC27" i="10" s="1" a="1"/>
  <c r="AC27" i="10" s="1"/>
  <c r="AC28" i="10" s="1" a="1"/>
  <c r="AC28" i="10" s="1"/>
  <c r="AC29" i="10" s="1" a="1"/>
  <c r="AC29" i="10" s="1"/>
  <c r="AC30" i="10" s="1" a="1"/>
  <c r="AC30" i="10" s="1"/>
  <c r="AC31" i="10" s="1" a="1"/>
  <c r="AC31" i="10" s="1"/>
  <c r="AC32" i="10" s="1" a="1"/>
  <c r="AC32" i="10" s="1"/>
  <c r="AC33" i="10" s="1" a="1"/>
  <c r="AC33" i="10" s="1"/>
  <c r="AC34" i="10" s="1" a="1"/>
  <c r="AC34" i="10" s="1"/>
  <c r="AC35" i="10" s="1" a="1"/>
  <c r="AC35" i="10" s="1"/>
  <c r="AC36" i="10" s="1" a="1"/>
  <c r="AC36" i="10" s="1"/>
  <c r="AC37" i="10" s="1" a="1"/>
  <c r="AC37" i="10" s="1"/>
  <c r="AC38" i="10" s="1" a="1"/>
  <c r="AC38" i="10" s="1"/>
  <c r="AC39" i="10" s="1" a="1"/>
  <c r="AC39" i="10" s="1"/>
  <c r="AC40" i="10" s="1" a="1"/>
  <c r="AC40" i="10" s="1"/>
  <c r="AC41" i="10" s="1" a="1"/>
  <c r="AC41" i="10" s="1"/>
  <c r="AC42" i="10" s="1" a="1"/>
  <c r="AC42" i="10" s="1"/>
  <c r="AC43" i="10" s="1" a="1"/>
  <c r="AC43" i="10" s="1"/>
  <c r="AC44" i="10" s="1" a="1"/>
  <c r="AC44" i="10" s="1"/>
  <c r="Y43" i="10" a="1"/>
  <c r="Y43" i="10" s="1"/>
  <c r="AD43" i="10" a="1"/>
  <c r="AD43" i="10" s="1"/>
  <c r="Y40" i="10" a="1"/>
  <c r="Y40" i="10" s="1"/>
  <c r="AD40" i="10" a="1"/>
  <c r="AD40" i="10" s="1"/>
  <c r="Y21" i="10" a="1"/>
  <c r="Y21" i="10" s="1"/>
  <c r="AD21" i="10" a="1"/>
  <c r="AD21" i="10" s="1"/>
  <c r="AD3" i="10" a="1"/>
  <c r="AD3" i="10" s="1"/>
  <c r="Y3" i="10" a="1"/>
  <c r="Y3" i="10" s="1"/>
  <c r="Y6" i="10" a="1"/>
  <c r="Y6" i="10" s="1"/>
  <c r="AD6" i="10" a="1"/>
  <c r="AD6" i="10" s="1"/>
  <c r="Y17" i="10" a="1"/>
  <c r="Y17" i="10" s="1"/>
  <c r="AD17" i="10" a="1"/>
  <c r="AD17" i="10" s="1"/>
  <c r="AD24" i="10" a="1"/>
  <c r="AD24" i="10" s="1"/>
  <c r="Y24" i="10" a="1"/>
  <c r="Y24" i="10" s="1"/>
  <c r="Y38" i="10" a="1"/>
  <c r="Y38" i="10" s="1"/>
  <c r="AD38" i="10" a="1"/>
  <c r="AD38" i="10" s="1"/>
  <c r="AD18" i="10" a="1"/>
  <c r="AD18" i="10" s="1"/>
  <c r="Y18" i="10" a="1"/>
  <c r="Y18" i="10" s="1"/>
  <c r="Y12" i="10" a="1"/>
  <c r="Y12" i="10" s="1"/>
  <c r="AD12" i="10" a="1"/>
  <c r="AD12" i="10" s="1"/>
  <c r="Y34" i="10" a="1"/>
  <c r="Y34" i="10" s="1"/>
  <c r="AD34" i="10" a="1"/>
  <c r="AD34" i="10" s="1"/>
  <c r="AD9" i="10" a="1"/>
  <c r="AD9" i="10" s="1"/>
  <c r="Y9" i="10" a="1"/>
  <c r="Y9" i="10" s="1"/>
  <c r="AD13" i="10" a="1"/>
  <c r="AD13" i="10" s="1"/>
  <c r="Y13" i="10" a="1"/>
  <c r="Y13" i="10" s="1"/>
  <c r="Y25" i="10" a="1"/>
  <c r="Y25" i="10" s="1"/>
  <c r="AD25" i="10" a="1"/>
  <c r="AD25" i="10" s="1"/>
  <c r="Y15" i="10" a="1"/>
  <c r="Y15" i="10" s="1"/>
  <c r="AD15" i="10" a="1"/>
  <c r="AD15" i="10" s="1"/>
  <c r="AD32" i="10" a="1"/>
  <c r="AD32" i="10" s="1"/>
  <c r="Y32" i="10" a="1"/>
  <c r="Y32" i="10" s="1"/>
  <c r="AD37" i="10" a="1"/>
  <c r="AD37" i="10" s="1"/>
  <c r="Y37" i="10" a="1"/>
  <c r="Y37" i="10" s="1"/>
  <c r="Y5" i="10" a="1"/>
  <c r="Y5" i="10" s="1"/>
  <c r="AD5" i="10" a="1"/>
  <c r="AD5" i="10" s="1"/>
  <c r="Y10" i="10" a="1"/>
  <c r="Y10" i="10" s="1"/>
  <c r="AD10" i="10" a="1"/>
  <c r="AD10" i="10" s="1"/>
  <c r="Y7" i="10" a="1"/>
  <c r="Y7" i="10" s="1"/>
  <c r="AD7" i="10" a="1"/>
  <c r="AD7" i="10" s="1"/>
  <c r="Y16" i="10" a="1"/>
  <c r="Y16" i="10" s="1"/>
  <c r="AD16" i="10" a="1"/>
  <c r="AD16" i="10" s="1"/>
  <c r="Y14" i="10" a="1"/>
  <c r="Y14" i="10" s="1"/>
  <c r="AD14" i="10" a="1"/>
  <c r="AD14" i="10" s="1"/>
  <c r="Y33" i="10" a="1"/>
  <c r="Y33" i="10" s="1"/>
  <c r="AD33" i="10" a="1"/>
  <c r="AD33" i="10" s="1"/>
  <c r="Y42" i="10" a="1"/>
  <c r="Y42" i="10" s="1"/>
  <c r="AD42" i="10" a="1"/>
  <c r="AD42" i="10" s="1"/>
  <c r="Y39" i="10" a="1"/>
  <c r="Y39" i="10" s="1"/>
  <c r="AD39" i="10" a="1"/>
  <c r="AD39" i="10" s="1"/>
  <c r="AD4" i="10" a="1"/>
  <c r="AD4" i="10" s="1"/>
  <c r="Y4" i="10" a="1"/>
  <c r="Y4" i="10" s="1"/>
  <c r="AD26" i="10" a="1"/>
  <c r="AD26" i="10" s="1"/>
  <c r="Y26" i="10" a="1"/>
  <c r="Y26" i="10" s="1"/>
  <c r="Y22" i="10" a="1"/>
  <c r="Y22" i="10" s="1"/>
  <c r="AD22" i="10" a="1"/>
  <c r="AD22" i="10" s="1"/>
  <c r="Y20" i="10" a="1"/>
  <c r="Y20" i="10" s="1"/>
  <c r="AD20" i="10" a="1"/>
  <c r="AD20" i="10" s="1"/>
  <c r="AD11" i="10" a="1"/>
  <c r="AD11" i="10" s="1"/>
  <c r="Y11" i="10" a="1"/>
  <c r="Y11" i="10" s="1"/>
  <c r="Y19" i="10" a="1"/>
  <c r="Y19" i="10" s="1"/>
  <c r="AD19" i="10" a="1"/>
  <c r="AD19" i="10" s="1"/>
  <c r="Y41" i="10" a="1"/>
  <c r="Y41" i="10" s="1"/>
  <c r="AD41" i="10" a="1"/>
  <c r="AD41" i="10" s="1"/>
  <c r="AD31" i="10" a="1"/>
  <c r="AD31" i="10" s="1"/>
  <c r="Y31" i="10" a="1"/>
  <c r="Y31" i="10" s="1"/>
  <c r="AD23" i="10" a="1"/>
  <c r="AD23" i="10" s="1"/>
  <c r="Y23" i="10" a="1"/>
  <c r="Y23" i="10" s="1"/>
  <c r="AD36" i="10" a="1"/>
  <c r="AD36" i="10" s="1"/>
  <c r="Y36" i="10" a="1"/>
  <c r="Y36" i="10" s="1"/>
  <c r="Y30" i="10" a="1"/>
  <c r="Y30" i="10" s="1"/>
  <c r="AD30" i="10" a="1"/>
  <c r="AD30" i="10" s="1"/>
  <c r="Y35" i="10" a="1"/>
  <c r="Y35" i="10" s="1"/>
  <c r="AD35" i="10" a="1"/>
  <c r="AD35" i="10" s="1"/>
  <c r="Y29" i="10" a="1"/>
  <c r="Y29" i="10" s="1"/>
  <c r="AD29" i="10" a="1"/>
  <c r="AD29" i="10" s="1"/>
  <c r="AD8" i="10" a="1"/>
  <c r="AD8" i="10" s="1"/>
  <c r="Y8" i="10" a="1"/>
  <c r="Y8" i="10" s="1"/>
  <c r="Y28" i="10" a="1"/>
  <c r="Y28" i="10" s="1"/>
  <c r="AD28" i="10" a="1"/>
  <c r="AD28" i="10" s="1"/>
  <c r="AD27" i="10" a="1"/>
  <c r="AD27" i="10" s="1"/>
  <c r="Y27" i="10" a="1"/>
  <c r="Y27" i="10" s="1"/>
  <c r="R101" i="12" l="1" a="1"/>
  <c r="R101" i="12" s="1"/>
  <c r="S101" i="12" s="1"/>
  <c r="L101" i="12" a="1"/>
  <c r="L101" i="12" s="1"/>
  <c r="B101" i="12" s="1" a="1"/>
  <c r="B101" i="12" s="1"/>
  <c r="A101" i="12" s="1" a="1"/>
  <c r="A101" i="12" s="1"/>
  <c r="M101" i="12" a="1"/>
  <c r="M101" i="12" s="1"/>
  <c r="Q101" i="12" a="1"/>
  <c r="Q101" i="12" s="1"/>
  <c r="K101" i="12" s="1"/>
  <c r="AB43" i="9" a="1"/>
  <c r="AB43" i="9" s="1"/>
  <c r="G43" i="21" s="1" a="1"/>
  <c r="G43" i="21" s="1"/>
  <c r="AB38" i="9" a="1"/>
  <c r="AB38" i="9" s="1"/>
  <c r="G38" i="21" s="1" a="1"/>
  <c r="G38" i="21" s="1"/>
  <c r="AB40" i="9" a="1"/>
  <c r="AB40" i="9" s="1"/>
  <c r="G40" i="21" s="1" a="1"/>
  <c r="G40" i="21" s="1"/>
  <c r="AB42" i="9" a="1"/>
  <c r="AB42" i="9" s="1"/>
  <c r="G42" i="21" s="1" a="1"/>
  <c r="G42" i="21" s="1"/>
  <c r="AB37" i="9" a="1"/>
  <c r="AB37" i="9" s="1"/>
  <c r="G37" i="21" s="1" a="1"/>
  <c r="G37" i="21" s="1"/>
  <c r="AB36" i="9" a="1"/>
  <c r="AB36" i="9" s="1"/>
  <c r="G36" i="21" s="1" a="1"/>
  <c r="G36" i="21" s="1"/>
  <c r="AB41" i="9" a="1"/>
  <c r="AB41" i="9" s="1"/>
  <c r="G41" i="21" s="1" a="1"/>
  <c r="G41" i="21" s="1"/>
  <c r="AB39" i="9" a="1"/>
  <c r="AB39" i="9" s="1"/>
  <c r="G39" i="21" s="1" a="1"/>
  <c r="G39" i="21" s="1"/>
  <c r="AB32" i="9" a="1"/>
  <c r="AB32" i="9" s="1"/>
  <c r="G32" i="21" s="1" a="1"/>
  <c r="G32" i="21" s="1"/>
  <c r="AB16" i="9" a="1"/>
  <c r="AB16" i="9" s="1"/>
  <c r="G16" i="21" s="1" a="1"/>
  <c r="G16" i="21" s="1"/>
  <c r="AB18" i="9" a="1"/>
  <c r="AB18" i="9" s="1"/>
  <c r="G18" i="21" s="1" a="1"/>
  <c r="G18" i="21" s="1"/>
  <c r="AB24" i="9" a="1"/>
  <c r="AB24" i="9" s="1"/>
  <c r="G24" i="21" s="1" a="1"/>
  <c r="G24" i="21" s="1"/>
  <c r="AB30" i="9" a="1"/>
  <c r="AB30" i="9" s="1"/>
  <c r="G30" i="21" s="1" a="1"/>
  <c r="G30" i="21" s="1"/>
  <c r="AB26" i="9" a="1"/>
  <c r="AB26" i="9" s="1"/>
  <c r="G26" i="21" s="1" a="1"/>
  <c r="G26" i="21" s="1"/>
  <c r="AB31" i="9" a="1"/>
  <c r="AB31" i="9" s="1"/>
  <c r="G31" i="21" s="1" a="1"/>
  <c r="G31" i="21" s="1"/>
  <c r="AB14" i="9" a="1"/>
  <c r="AB14" i="9" s="1"/>
  <c r="G14" i="21" s="1" a="1"/>
  <c r="G14" i="21" s="1"/>
  <c r="AB20" i="9" a="1"/>
  <c r="AB20" i="9" s="1"/>
  <c r="G20" i="21" s="1" a="1"/>
  <c r="G20" i="21" s="1"/>
  <c r="AB21" i="9" a="1"/>
  <c r="AB21" i="9" s="1"/>
  <c r="G21" i="21" s="1" a="1"/>
  <c r="G21" i="21" s="1"/>
  <c r="AB29" i="9" a="1"/>
  <c r="AB29" i="9" s="1"/>
  <c r="G29" i="21" s="1" a="1"/>
  <c r="G29" i="21" s="1"/>
  <c r="AB12" i="9" a="1"/>
  <c r="AB12" i="9" s="1"/>
  <c r="G12" i="21" s="1" a="1"/>
  <c r="G12" i="21" s="1"/>
  <c r="AB15" i="9" a="1"/>
  <c r="AB15" i="9" s="1"/>
  <c r="G15" i="21" s="1" a="1"/>
  <c r="G15" i="21" s="1"/>
  <c r="AB28" i="9" a="1"/>
  <c r="AB28" i="9" s="1"/>
  <c r="G28" i="21" s="1" a="1"/>
  <c r="G28" i="21" s="1"/>
  <c r="AB17" i="9" a="1"/>
  <c r="AB17" i="9" s="1"/>
  <c r="G17" i="21" s="1" a="1"/>
  <c r="G17" i="21" s="1"/>
  <c r="AB33" i="9" a="1"/>
  <c r="AB33" i="9" s="1"/>
  <c r="G33" i="21" s="1" a="1"/>
  <c r="G33" i="21" s="1"/>
  <c r="AB27" i="9" a="1"/>
  <c r="AB27" i="9" s="1"/>
  <c r="G27" i="21" s="1" a="1"/>
  <c r="G27" i="21" s="1"/>
  <c r="AB25" i="9" a="1"/>
  <c r="AB25" i="9" s="1"/>
  <c r="G25" i="21" s="1" a="1"/>
  <c r="G25" i="21" s="1"/>
  <c r="AB19" i="9" a="1"/>
  <c r="AB19" i="9" s="1"/>
  <c r="G19" i="21" s="1" a="1"/>
  <c r="G19" i="21" s="1"/>
  <c r="AB23" i="9" a="1"/>
  <c r="AB23" i="9" s="1"/>
  <c r="G23" i="21" s="1" a="1"/>
  <c r="G23" i="21" s="1"/>
  <c r="AB34" i="9" a="1"/>
  <c r="AB34" i="9" s="1"/>
  <c r="G34" i="21" s="1" a="1"/>
  <c r="G34" i="21" s="1"/>
  <c r="AB13" i="9" a="1"/>
  <c r="AB13" i="9" s="1"/>
  <c r="G13" i="21" s="1" a="1"/>
  <c r="G13" i="21" s="1"/>
  <c r="AB22" i="9" a="1"/>
  <c r="AB22" i="9" s="1"/>
  <c r="G22" i="21" s="1" a="1"/>
  <c r="G22" i="21" s="1"/>
  <c r="AB35" i="9" a="1"/>
  <c r="AB35" i="9" s="1"/>
  <c r="G35" i="21" s="1" a="1"/>
  <c r="G35" i="21" s="1"/>
  <c r="AB11" i="9" a="1"/>
  <c r="AB11" i="9" s="1"/>
  <c r="G11" i="21" s="1" a="1"/>
  <c r="G11" i="21" s="1"/>
  <c r="AB5" i="9" a="1"/>
  <c r="AB5" i="9" s="1"/>
  <c r="G5" i="21" s="1" a="1"/>
  <c r="G5" i="21" s="1"/>
  <c r="AB3" i="9" a="1"/>
  <c r="AB3" i="9" s="1"/>
  <c r="G3" i="21" s="1" a="1"/>
  <c r="G3" i="21" s="1"/>
  <c r="AB4" i="9" a="1"/>
  <c r="AB4" i="9" s="1"/>
  <c r="G4" i="21" s="1" a="1"/>
  <c r="G4" i="21" s="1"/>
  <c r="AB8" i="9" a="1"/>
  <c r="AB8" i="9" s="1"/>
  <c r="G8" i="21" s="1" a="1"/>
  <c r="G8" i="21" s="1"/>
  <c r="AB9" i="9" a="1"/>
  <c r="AB9" i="9" s="1"/>
  <c r="G9" i="21" s="1" a="1"/>
  <c r="G9" i="21" s="1"/>
  <c r="AB7" i="9" a="1"/>
  <c r="AB7" i="9" s="1"/>
  <c r="G7" i="21" s="1" a="1"/>
  <c r="G7" i="21" s="1"/>
  <c r="AB10" i="9" a="1"/>
  <c r="AB10" i="9" s="1"/>
  <c r="G10" i="21" s="1" a="1"/>
  <c r="G10" i="21" s="1"/>
  <c r="AB6" i="9" a="1"/>
  <c r="AB6" i="9" s="1"/>
  <c r="G6" i="21" s="1" a="1"/>
  <c r="G6" i="21" s="1"/>
  <c r="C7" i="27" a="1"/>
  <c r="C7" i="27" s="1"/>
  <c r="D7" i="27" s="1" a="1"/>
  <c r="D7" i="27" s="1"/>
  <c r="C9" i="27" a="1"/>
  <c r="C9" i="27" s="1"/>
  <c r="D9" i="27" s="1" a="1"/>
  <c r="D9" i="27" s="1"/>
  <c r="C6" i="27" a="1"/>
  <c r="C6" i="27" s="1"/>
  <c r="D6" i="27" s="1" a="1"/>
  <c r="D6" i="27" s="1"/>
  <c r="C4" i="27" a="1"/>
  <c r="C4" i="27" s="1"/>
  <c r="D4" i="27" s="1" a="1"/>
  <c r="D4" i="27" s="1"/>
  <c r="C15" i="27" a="1"/>
  <c r="C15" i="27" s="1"/>
  <c r="D15" i="27" s="1" a="1"/>
  <c r="D15" i="27" s="1"/>
  <c r="C8" i="27" a="1"/>
  <c r="C8" i="27" s="1"/>
  <c r="D8" i="27" s="1" a="1"/>
  <c r="D8" i="27" s="1"/>
  <c r="C3" i="27" a="1"/>
  <c r="C3" i="27" s="1"/>
  <c r="D3" i="27" s="1" a="1"/>
  <c r="D3" i="27" s="1"/>
  <c r="C12" i="27" a="1"/>
  <c r="C12" i="27" s="1"/>
  <c r="D12" i="27" s="1" a="1"/>
  <c r="D12" i="27" s="1"/>
  <c r="C10" i="27" a="1"/>
  <c r="C10" i="27" s="1"/>
  <c r="D10" i="27" s="1" a="1"/>
  <c r="D10" i="27" s="1"/>
  <c r="C13" i="27" a="1"/>
  <c r="C13" i="27" s="1"/>
  <c r="D13" i="27" s="1" a="1"/>
  <c r="D13" i="27" s="1"/>
  <c r="C11" i="27" a="1"/>
  <c r="C11" i="27" s="1"/>
  <c r="D11" i="27" s="1" a="1"/>
  <c r="D11" i="27" s="1"/>
  <c r="C5" i="27" a="1"/>
  <c r="C5" i="27" s="1"/>
  <c r="D5" i="27" s="1" a="1"/>
  <c r="D5" i="27" s="1"/>
  <c r="C14" i="27" a="1"/>
  <c r="C14" i="27" s="1"/>
  <c r="D14" i="27" s="1" a="1"/>
  <c r="D14" i="27" s="1"/>
  <c r="I102" i="12" l="1" a="1"/>
  <c r="I102" i="12" s="1"/>
  <c r="AS101" i="12"/>
  <c r="E101" i="12" a="1"/>
  <c r="E101" i="12" s="1"/>
  <c r="AD101" i="12"/>
  <c r="W101" i="12" a="1"/>
  <c r="W101" i="12" s="1"/>
  <c r="AM101" i="12" a="1"/>
  <c r="AM101" i="12" s="1"/>
  <c r="AN101" i="12" s="1"/>
  <c r="AB101" i="12" a="1"/>
  <c r="AB101" i="12" s="1"/>
  <c r="AC101" i="12" s="1"/>
  <c r="Y101" i="12" a="1"/>
  <c r="Y101" i="12" s="1"/>
  <c r="C101" i="12" a="1"/>
  <c r="C101" i="12" s="1"/>
  <c r="O101" i="12" a="1"/>
  <c r="O101" i="12" s="1"/>
  <c r="U101" i="12" s="1" a="1"/>
  <c r="U101" i="12" s="1"/>
  <c r="V101" i="12" s="1"/>
  <c r="T101" i="12" a="1"/>
  <c r="T101" i="12" s="1"/>
  <c r="D101" i="12" s="1"/>
  <c r="AJ101" i="12" a="1"/>
  <c r="AJ101" i="12" s="1"/>
  <c r="AK101" i="12" s="1" a="1"/>
  <c r="AK101" i="12" s="1"/>
  <c r="AL101" i="12" s="1"/>
  <c r="AV101" i="12"/>
  <c r="AW101" i="12" s="1" a="1"/>
  <c r="AW101" i="12" s="1"/>
  <c r="F101" i="12"/>
  <c r="H101" i="12" a="1"/>
  <c r="H101" i="12" s="1"/>
  <c r="X101" i="12" a="1"/>
  <c r="X101" i="12" s="1"/>
  <c r="H43" i="21" a="1"/>
  <c r="H43" i="21" s="1"/>
  <c r="AE43" i="21" s="1" a="1"/>
  <c r="AE43" i="21" s="1"/>
  <c r="B8" i="19"/>
  <c r="H10" i="21" a="1"/>
  <c r="H10" i="21" s="1"/>
  <c r="I10" i="21" s="1" a="1"/>
  <c r="I10" i="21" s="1"/>
  <c r="H25" i="21" a="1"/>
  <c r="H25" i="21" s="1"/>
  <c r="AE25" i="21" s="1" a="1"/>
  <c r="AE25" i="21" s="1"/>
  <c r="H24" i="21" a="1"/>
  <c r="H24" i="21" s="1"/>
  <c r="AE24" i="21" s="1" a="1"/>
  <c r="AE24" i="21" s="1"/>
  <c r="H23" i="21" a="1"/>
  <c r="H23" i="21" s="1"/>
  <c r="AE23" i="21" s="1" a="1"/>
  <c r="AE23" i="21" s="1"/>
  <c r="H6" i="21" a="1"/>
  <c r="H6" i="21" s="1"/>
  <c r="AE6" i="21" s="1" a="1"/>
  <c r="AE6" i="21" s="1"/>
  <c r="H7" i="21" a="1"/>
  <c r="H7" i="21" s="1"/>
  <c r="AE7" i="21" s="1" a="1"/>
  <c r="AE7" i="21" s="1"/>
  <c r="H27" i="21" a="1"/>
  <c r="H27" i="21" s="1"/>
  <c r="AE27" i="21" s="1" a="1"/>
  <c r="AE27" i="21" s="1"/>
  <c r="H18" i="21" a="1"/>
  <c r="H18" i="21" s="1"/>
  <c r="I18" i="21" s="1" a="1"/>
  <c r="I18" i="21" s="1"/>
  <c r="H9" i="21" a="1"/>
  <c r="H9" i="21" s="1"/>
  <c r="I9" i="21" s="1" a="1"/>
  <c r="I9" i="21" s="1"/>
  <c r="H33" i="21" a="1"/>
  <c r="H33" i="21" s="1"/>
  <c r="I33" i="21" s="1" a="1"/>
  <c r="I33" i="21" s="1"/>
  <c r="H16" i="21" a="1"/>
  <c r="H16" i="21" s="1"/>
  <c r="AE16" i="21" s="1" a="1"/>
  <c r="AE16" i="21" s="1"/>
  <c r="H8" i="21" a="1"/>
  <c r="H8" i="21" s="1"/>
  <c r="AE8" i="21" s="1" a="1"/>
  <c r="AE8" i="21" s="1"/>
  <c r="H17" i="21" a="1"/>
  <c r="H17" i="21" s="1"/>
  <c r="AE17" i="21" s="1" a="1"/>
  <c r="AE17" i="21" s="1"/>
  <c r="H32" i="21" a="1"/>
  <c r="H32" i="21" s="1"/>
  <c r="AE32" i="21" s="1" a="1"/>
  <c r="AE32" i="21" s="1"/>
  <c r="H26" i="21" a="1"/>
  <c r="H26" i="21" s="1"/>
  <c r="I26" i="21" s="1" a="1"/>
  <c r="I26" i="21" s="1"/>
  <c r="H19" i="21" a="1"/>
  <c r="H19" i="21" s="1"/>
  <c r="AE19" i="21" s="1" a="1"/>
  <c r="AE19" i="21" s="1"/>
  <c r="H4" i="21" a="1"/>
  <c r="H4" i="21" s="1"/>
  <c r="AE4" i="21" s="1" a="1"/>
  <c r="AE4" i="21" s="1"/>
  <c r="H28" i="21" a="1"/>
  <c r="H28" i="21" s="1"/>
  <c r="AE28" i="21" s="1" a="1"/>
  <c r="AE28" i="21" s="1"/>
  <c r="H39" i="21" a="1"/>
  <c r="H39" i="21" s="1"/>
  <c r="AE39" i="21" s="1" a="1"/>
  <c r="AE39" i="21" s="1"/>
  <c r="H3" i="21" a="1"/>
  <c r="H3" i="21" s="1"/>
  <c r="AE3" i="21" s="1" a="1"/>
  <c r="AE3" i="21" s="1"/>
  <c r="AF3" i="21" s="1" a="1"/>
  <c r="AF3" i="21" s="1"/>
  <c r="H15" i="21" a="1"/>
  <c r="H15" i="21" s="1"/>
  <c r="AE15" i="21" s="1" a="1"/>
  <c r="AE15" i="21" s="1"/>
  <c r="H41" i="21" a="1"/>
  <c r="H41" i="21" s="1"/>
  <c r="I41" i="21" s="1" a="1"/>
  <c r="I41" i="21" s="1"/>
  <c r="H30" i="21" a="1"/>
  <c r="H30" i="21" s="1"/>
  <c r="I30" i="21" s="1" a="1"/>
  <c r="I30" i="21" s="1"/>
  <c r="H12" i="21" a="1"/>
  <c r="H12" i="21" s="1"/>
  <c r="I12" i="21" s="1" a="1"/>
  <c r="I12" i="21" s="1"/>
  <c r="H11" i="21" a="1"/>
  <c r="H11" i="21" s="1"/>
  <c r="AE11" i="21" s="1" a="1"/>
  <c r="AE11" i="21" s="1"/>
  <c r="H29" i="21" a="1"/>
  <c r="H29" i="21" s="1"/>
  <c r="AE29" i="21" s="1" a="1"/>
  <c r="AE29" i="21" s="1"/>
  <c r="H37" i="21" a="1"/>
  <c r="H37" i="21" s="1"/>
  <c r="AE37" i="21" s="1" a="1"/>
  <c r="AE37" i="21" s="1"/>
  <c r="H5" i="21" a="1"/>
  <c r="H5" i="21" s="1"/>
  <c r="AE5" i="21" s="1" a="1"/>
  <c r="AE5" i="21" s="1"/>
  <c r="H36" i="21" a="1"/>
  <c r="H36" i="21" s="1"/>
  <c r="AE36" i="21" s="1" a="1"/>
  <c r="AE36" i="21" s="1"/>
  <c r="H21" i="21" a="1"/>
  <c r="H21" i="21" s="1"/>
  <c r="AE21" i="21" s="1" a="1"/>
  <c r="AE21" i="21" s="1"/>
  <c r="H42" i="21" a="1"/>
  <c r="H42" i="21" s="1"/>
  <c r="AE42" i="21" s="1" a="1"/>
  <c r="AE42" i="21" s="1"/>
  <c r="H35" i="21" a="1"/>
  <c r="H35" i="21" s="1"/>
  <c r="AE35" i="21" s="1" a="1"/>
  <c r="AE35" i="21" s="1"/>
  <c r="H22" i="21" a="1"/>
  <c r="H22" i="21" s="1"/>
  <c r="AE22" i="21" s="1" a="1"/>
  <c r="AE22" i="21" s="1"/>
  <c r="H20" i="21" a="1"/>
  <c r="H20" i="21" s="1"/>
  <c r="AE20" i="21" s="1" a="1"/>
  <c r="AE20" i="21" s="1"/>
  <c r="H40" i="21" a="1"/>
  <c r="H40" i="21" s="1"/>
  <c r="AE40" i="21" s="1" a="1"/>
  <c r="AE40" i="21" s="1"/>
  <c r="H13" i="21" a="1"/>
  <c r="H13" i="21" s="1"/>
  <c r="I13" i="21" s="1" a="1"/>
  <c r="I13" i="21" s="1"/>
  <c r="H14" i="21" a="1"/>
  <c r="H14" i="21" s="1"/>
  <c r="I14" i="21" s="1" a="1"/>
  <c r="I14" i="21" s="1"/>
  <c r="H38" i="21" a="1"/>
  <c r="H38" i="21" s="1"/>
  <c r="I38" i="21" s="1" a="1"/>
  <c r="I38" i="21" s="1"/>
  <c r="H34" i="21" a="1"/>
  <c r="H34" i="21" s="1"/>
  <c r="AE34" i="21" s="1" a="1"/>
  <c r="AE34" i="21" s="1"/>
  <c r="H31" i="21" a="1"/>
  <c r="H31" i="21" s="1"/>
  <c r="I31" i="21" s="1" a="1"/>
  <c r="I31" i="21" s="1"/>
  <c r="AE101" i="12" l="1" a="1"/>
  <c r="AE101" i="12" s="1"/>
  <c r="AF101" i="12" s="1"/>
  <c r="AG101" i="12" s="1" a="1"/>
  <c r="AG101" i="12" s="1"/>
  <c r="G101" i="12"/>
  <c r="Z101" i="12" s="1" a="1"/>
  <c r="Z101" i="12" s="1"/>
  <c r="AT100" i="12"/>
  <c r="AU100" i="12" s="1" a="1"/>
  <c r="AU100" i="12" s="1"/>
  <c r="J102" i="12"/>
  <c r="P102" i="12"/>
  <c r="AF4" i="21" a="1"/>
  <c r="AF4" i="21" s="1"/>
  <c r="AF5" i="21" s="1" a="1"/>
  <c r="AF5" i="21" s="1"/>
  <c r="AF6" i="21" s="1" a="1"/>
  <c r="AF6" i="21" s="1"/>
  <c r="AF7" i="21" s="1" a="1"/>
  <c r="AF7" i="21" s="1"/>
  <c r="AF8" i="21" s="1" a="1"/>
  <c r="AF8" i="21" s="1"/>
  <c r="M88" i="22"/>
  <c r="M100" i="22"/>
  <c r="M89" i="22"/>
  <c r="M90" i="22"/>
  <c r="M91" i="22"/>
  <c r="M98" i="22"/>
  <c r="M93" i="22"/>
  <c r="M94" i="22"/>
  <c r="M92" i="22"/>
  <c r="M87" i="22"/>
  <c r="M95" i="22"/>
  <c r="M99" i="22"/>
  <c r="M101" i="22"/>
  <c r="M97" i="22"/>
  <c r="M96" i="22"/>
  <c r="B9" i="19"/>
  <c r="O86" i="22" s="1"/>
  <c r="I43" i="21" a="1"/>
  <c r="I43" i="21" s="1"/>
  <c r="M75" i="22"/>
  <c r="N75" i="22" s="1"/>
  <c r="M64" i="22"/>
  <c r="N64" i="22" s="1"/>
  <c r="M50" i="22"/>
  <c r="N50" i="22" s="1"/>
  <c r="M65" i="22"/>
  <c r="N65" i="22" s="1"/>
  <c r="AE26" i="21" a="1"/>
  <c r="AE26" i="21" s="1"/>
  <c r="M58" i="22"/>
  <c r="M29" i="22"/>
  <c r="M24" i="22"/>
  <c r="N24" i="22" s="1"/>
  <c r="M39" i="22"/>
  <c r="N39" i="22" s="1"/>
  <c r="M67" i="22"/>
  <c r="M74" i="22"/>
  <c r="N74" i="22" s="1"/>
  <c r="M86" i="22"/>
  <c r="N86" i="22" s="1"/>
  <c r="M40" i="22"/>
  <c r="N40" i="22" s="1"/>
  <c r="M41" i="22"/>
  <c r="N41" i="22" s="1"/>
  <c r="M78" i="22"/>
  <c r="N78" i="22" s="1"/>
  <c r="M66" i="22"/>
  <c r="M36" i="22"/>
  <c r="M84" i="22"/>
  <c r="N84" i="22" s="1"/>
  <c r="M26" i="22"/>
  <c r="N26" i="22" s="1"/>
  <c r="M80" i="22"/>
  <c r="N80" i="22" s="1"/>
  <c r="AE12" i="21" a="1"/>
  <c r="AE12" i="21" s="1"/>
  <c r="M27" i="22"/>
  <c r="N27" i="22" s="1"/>
  <c r="M83" i="22"/>
  <c r="M37" i="22"/>
  <c r="M28" i="22"/>
  <c r="M30" i="22"/>
  <c r="N30" i="22" s="1"/>
  <c r="M31" i="22"/>
  <c r="N31" i="22" s="1"/>
  <c r="M47" i="22"/>
  <c r="M18" i="22"/>
  <c r="N18" i="22" s="1"/>
  <c r="A18" i="22" s="1"/>
  <c r="M60" i="22"/>
  <c r="N60" i="22" s="1"/>
  <c r="M42" i="22"/>
  <c r="N42" i="22" s="1"/>
  <c r="M72" i="22"/>
  <c r="N72" i="22" s="1"/>
  <c r="M32" i="22"/>
  <c r="N32" i="22" s="1"/>
  <c r="M63" i="22"/>
  <c r="N63" i="22" s="1"/>
  <c r="M59" i="22"/>
  <c r="N59" i="22" s="1"/>
  <c r="M52" i="22"/>
  <c r="N52" i="22" s="1"/>
  <c r="M21" i="22"/>
  <c r="M77" i="22"/>
  <c r="N77" i="22" s="1"/>
  <c r="M61" i="22"/>
  <c r="N61" i="22" s="1"/>
  <c r="M43" i="22"/>
  <c r="N43" i="22" s="1"/>
  <c r="M53" i="22"/>
  <c r="N53" i="22" s="1"/>
  <c r="M68" i="22"/>
  <c r="M76" i="22"/>
  <c r="N76" i="22" s="1"/>
  <c r="M56" i="22"/>
  <c r="N56" i="22" s="1"/>
  <c r="M62" i="22"/>
  <c r="N62" i="22" s="1"/>
  <c r="M25" i="22"/>
  <c r="N25" i="22" s="1"/>
  <c r="M57" i="22"/>
  <c r="N57" i="22" s="1"/>
  <c r="M49" i="22"/>
  <c r="N49" i="22" s="1"/>
  <c r="M71" i="22"/>
  <c r="M48" i="22"/>
  <c r="N48" i="22" s="1"/>
  <c r="M51" i="22"/>
  <c r="N51" i="22" s="1"/>
  <c r="M79" i="22"/>
  <c r="M33" i="22"/>
  <c r="N33" i="22" s="1"/>
  <c r="M82" i="22"/>
  <c r="N82" i="22" s="1"/>
  <c r="M85" i="22"/>
  <c r="N85" i="22" s="1"/>
  <c r="M70" i="22"/>
  <c r="N70" i="22" s="1"/>
  <c r="M45" i="22"/>
  <c r="N45" i="22" s="1"/>
  <c r="M44" i="22"/>
  <c r="N44" i="22" s="1"/>
  <c r="M34" i="22"/>
  <c r="M54" i="22"/>
  <c r="M19" i="22"/>
  <c r="M23" i="22"/>
  <c r="M38" i="22"/>
  <c r="N38" i="22" s="1"/>
  <c r="M20" i="22"/>
  <c r="N20" i="22" s="1"/>
  <c r="A20" i="22" s="1"/>
  <c r="M73" i="22"/>
  <c r="N73" i="22" s="1"/>
  <c r="M22" i="22"/>
  <c r="N22" i="22" s="1"/>
  <c r="M81" i="22"/>
  <c r="N81" i="22" s="1"/>
  <c r="M55" i="22"/>
  <c r="M35" i="22"/>
  <c r="N35" i="22" s="1"/>
  <c r="M46" i="22"/>
  <c r="N46" i="22" s="1"/>
  <c r="M69" i="22"/>
  <c r="N69" i="22" s="1"/>
  <c r="AE13" i="21" a="1"/>
  <c r="AE13" i="21" s="1"/>
  <c r="AE30" i="21" a="1"/>
  <c r="AE30" i="21" s="1"/>
  <c r="AE41" i="21" a="1"/>
  <c r="AE41" i="21" s="1"/>
  <c r="I6" i="21" a="1"/>
  <c r="I6" i="21" s="1"/>
  <c r="I3" i="21" a="1"/>
  <c r="I3" i="21" s="1"/>
  <c r="I11" i="21" a="1"/>
  <c r="I11" i="21" s="1"/>
  <c r="I20" i="21" a="1"/>
  <c r="I20" i="21" s="1"/>
  <c r="I22" i="21" a="1"/>
  <c r="I22" i="21" s="1"/>
  <c r="I8" i="21" a="1"/>
  <c r="I8" i="21" s="1"/>
  <c r="I34" i="21" a="1"/>
  <c r="I34" i="21" s="1"/>
  <c r="AE14" i="21" a="1"/>
  <c r="AE14" i="21" s="1"/>
  <c r="I21" i="21" a="1"/>
  <c r="I21" i="21" s="1"/>
  <c r="I4" i="21" a="1"/>
  <c r="I4" i="21" s="1"/>
  <c r="I36" i="21" a="1"/>
  <c r="I36" i="21" s="1"/>
  <c r="AE9" i="21" a="1"/>
  <c r="AE9" i="21" s="1"/>
  <c r="I40" i="21" a="1"/>
  <c r="I40" i="21" s="1"/>
  <c r="AE18" i="21" a="1"/>
  <c r="AE18" i="21" s="1"/>
  <c r="I37" i="21" a="1"/>
  <c r="I37" i="21" s="1"/>
  <c r="I15" i="21" a="1"/>
  <c r="I15" i="21" s="1"/>
  <c r="I32" i="21" a="1"/>
  <c r="I32" i="21" s="1"/>
  <c r="I29" i="21" a="1"/>
  <c r="I29" i="21" s="1"/>
  <c r="I16" i="21" a="1"/>
  <c r="I16" i="21" s="1"/>
  <c r="I35" i="21" a="1"/>
  <c r="I35" i="21" s="1"/>
  <c r="I28" i="21" a="1"/>
  <c r="I28" i="21" s="1"/>
  <c r="AE10" i="21" a="1"/>
  <c r="AE10" i="21" s="1"/>
  <c r="I39" i="21" a="1"/>
  <c r="I39" i="21" s="1"/>
  <c r="I5" i="21" a="1"/>
  <c r="I5" i="21" s="1"/>
  <c r="AE38" i="21" a="1"/>
  <c r="AE38" i="21" s="1"/>
  <c r="AE33" i="21" a="1"/>
  <c r="AE33" i="21" s="1"/>
  <c r="I23" i="21" a="1"/>
  <c r="I23" i="21" s="1"/>
  <c r="I17" i="21" a="1"/>
  <c r="I17" i="21" s="1"/>
  <c r="I42" i="21" a="1"/>
  <c r="I42" i="21" s="1"/>
  <c r="I24" i="21" a="1"/>
  <c r="I24" i="21" s="1"/>
  <c r="AE31" i="21" a="1"/>
  <c r="AE31" i="21" s="1"/>
  <c r="I19" i="21" a="1"/>
  <c r="I19" i="21" s="1"/>
  <c r="I27" i="21" a="1"/>
  <c r="I27" i="21" s="1"/>
  <c r="I25" i="21" a="1"/>
  <c r="I25" i="21" s="1"/>
  <c r="I7" i="21" a="1"/>
  <c r="I7" i="21" s="1"/>
  <c r="A35" i="22" l="1"/>
  <c r="G35" i="22" s="1" a="1"/>
  <c r="G35" i="22" s="1"/>
  <c r="A25" i="22"/>
  <c r="A24" i="22"/>
  <c r="AT24" i="22" s="1" a="1"/>
  <c r="AT24" i="22" s="1"/>
  <c r="R102" i="12" a="1"/>
  <c r="R102" i="12" s="1"/>
  <c r="S102" i="12" s="1"/>
  <c r="AS102" i="12" s="1"/>
  <c r="L102" i="12" a="1"/>
  <c r="L102" i="12" s="1"/>
  <c r="B102" i="12" s="1" a="1"/>
  <c r="B102" i="12" s="1"/>
  <c r="A102" i="12" s="1" a="1"/>
  <c r="A102" i="12" s="1"/>
  <c r="M102" i="12" a="1"/>
  <c r="M102" i="12" s="1"/>
  <c r="Q102" i="12" a="1"/>
  <c r="Q102" i="12" s="1"/>
  <c r="K102" i="12" s="1"/>
  <c r="AT20" i="22" a="1"/>
  <c r="AT20" i="22" s="1"/>
  <c r="AT18" i="22" a="1"/>
  <c r="AT18" i="22" s="1"/>
  <c r="AB39" i="12" a="1"/>
  <c r="AB39" i="12" s="1"/>
  <c r="AC39" i="12" s="1"/>
  <c r="AB25" i="12" a="1"/>
  <c r="AB25" i="12" s="1"/>
  <c r="AC25" i="12" s="1"/>
  <c r="AB17" i="12" a="1"/>
  <c r="AB17" i="12" s="1"/>
  <c r="AC17" i="12" s="1"/>
  <c r="AB43" i="12" a="1"/>
  <c r="AB43" i="12" s="1"/>
  <c r="AC43" i="12" s="1"/>
  <c r="AB38" i="12" a="1"/>
  <c r="AB38" i="12" s="1"/>
  <c r="AC38" i="12" s="1"/>
  <c r="AB20" i="12" a="1"/>
  <c r="AB20" i="12" s="1"/>
  <c r="AC20" i="12" s="1"/>
  <c r="AB72" i="12" a="1"/>
  <c r="AB72" i="12" s="1"/>
  <c r="AC72" i="12" s="1"/>
  <c r="AE72" i="12" s="1" a="1"/>
  <c r="AE72" i="12" s="1"/>
  <c r="AB45" i="12" a="1"/>
  <c r="AB45" i="12" s="1"/>
  <c r="AC45" i="12" s="1"/>
  <c r="AB64" i="12" a="1"/>
  <c r="AB64" i="12" s="1"/>
  <c r="AC64" i="12" s="1"/>
  <c r="AB52" i="12" a="1"/>
  <c r="AB52" i="12" s="1"/>
  <c r="AC52" i="12" s="1"/>
  <c r="AB11" i="12" a="1"/>
  <c r="AB11" i="12" s="1"/>
  <c r="AC11" i="12" s="1"/>
  <c r="AB56" i="12" a="1"/>
  <c r="AB56" i="12" s="1"/>
  <c r="AC56" i="12" s="1"/>
  <c r="AB21" i="12" a="1"/>
  <c r="AB21" i="12" s="1"/>
  <c r="AC21" i="12" s="1"/>
  <c r="AB41" i="12" a="1"/>
  <c r="AB41" i="12" s="1"/>
  <c r="AC41" i="12" s="1"/>
  <c r="AB18" i="12" a="1"/>
  <c r="AB18" i="12" s="1"/>
  <c r="AC18" i="12" s="1"/>
  <c r="AB54" i="12" a="1"/>
  <c r="AB54" i="12" s="1"/>
  <c r="AC54" i="12" s="1"/>
  <c r="AB50" i="12" a="1"/>
  <c r="AB50" i="12" s="1"/>
  <c r="AC50" i="12" s="1"/>
  <c r="AB26" i="12" a="1"/>
  <c r="AB26" i="12" s="1"/>
  <c r="AC26" i="12" s="1"/>
  <c r="AB29" i="12" a="1"/>
  <c r="AB29" i="12" s="1"/>
  <c r="AC29" i="12" s="1"/>
  <c r="AB24" i="12" a="1"/>
  <c r="AB24" i="12" s="1"/>
  <c r="AC24" i="12" s="1"/>
  <c r="AB13" i="12" a="1"/>
  <c r="AB13" i="12" s="1"/>
  <c r="AC13" i="12" s="1"/>
  <c r="AB37" i="12" a="1"/>
  <c r="AB37" i="12" s="1"/>
  <c r="AC37" i="12" s="1"/>
  <c r="AB61" i="12" a="1"/>
  <c r="AB61" i="12" s="1"/>
  <c r="AC61" i="12" s="1"/>
  <c r="AB53" i="12" a="1"/>
  <c r="AB53" i="12" s="1"/>
  <c r="AC53" i="12" s="1"/>
  <c r="AB76" i="12" a="1"/>
  <c r="AB76" i="12" s="1"/>
  <c r="AC76" i="12" s="1"/>
  <c r="AB55" i="12" a="1"/>
  <c r="AB55" i="12" s="1"/>
  <c r="AC55" i="12" s="1"/>
  <c r="AB73" i="12" a="1"/>
  <c r="AB73" i="12" s="1"/>
  <c r="AC73" i="12" s="1"/>
  <c r="AW5" i="17" a="1"/>
  <c r="AW5" i="17" s="1"/>
  <c r="AP5" i="17" a="1"/>
  <c r="AP5" i="17" s="1"/>
  <c r="AB71" i="12" a="1"/>
  <c r="AB71" i="12" s="1"/>
  <c r="AC71" i="12" s="1"/>
  <c r="AB19" i="12" a="1"/>
  <c r="AB19" i="12" s="1"/>
  <c r="AC19" i="12" s="1"/>
  <c r="AB14" i="12" a="1"/>
  <c r="AB14" i="12" s="1"/>
  <c r="AC14" i="12" s="1"/>
  <c r="AB27" i="12" a="1"/>
  <c r="AB27" i="12" s="1"/>
  <c r="AC27" i="12" s="1"/>
  <c r="AB34" i="12" a="1"/>
  <c r="AB34" i="12" s="1"/>
  <c r="AC34" i="12" s="1"/>
  <c r="AB63" i="12" a="1"/>
  <c r="AB63" i="12" s="1"/>
  <c r="AC63" i="12" s="1"/>
  <c r="AB59" i="12" a="1"/>
  <c r="AB59" i="12" s="1"/>
  <c r="AC59" i="12" s="1"/>
  <c r="AB67" i="12" a="1"/>
  <c r="AB67" i="12" s="1"/>
  <c r="AC67" i="12" s="1"/>
  <c r="AB22" i="12" a="1"/>
  <c r="AB22" i="12" s="1"/>
  <c r="AC22" i="12" s="1"/>
  <c r="AB35" i="12" a="1"/>
  <c r="AB35" i="12" s="1"/>
  <c r="AC35" i="12" s="1"/>
  <c r="AB62" i="12" a="1"/>
  <c r="AB62" i="12" s="1"/>
  <c r="AC62" i="12" s="1"/>
  <c r="AB47" i="12" a="1"/>
  <c r="AB47" i="12" s="1"/>
  <c r="AC47" i="12" s="1"/>
  <c r="AB70" i="12" a="1"/>
  <c r="AB70" i="12" s="1"/>
  <c r="AC70" i="12" s="1"/>
  <c r="AB16" i="12" a="1"/>
  <c r="AB16" i="12" s="1"/>
  <c r="AC16" i="12" s="1"/>
  <c r="AB44" i="12" a="1"/>
  <c r="AB44" i="12" s="1"/>
  <c r="AC44" i="12" s="1"/>
  <c r="AB79" i="12" a="1"/>
  <c r="AB79" i="12" s="1"/>
  <c r="AC79" i="12" s="1"/>
  <c r="AE79" i="12" s="1" a="1"/>
  <c r="AE79" i="12" s="1"/>
  <c r="AB82" i="12" a="1"/>
  <c r="AB82" i="12" s="1"/>
  <c r="AC82" i="12" s="1"/>
  <c r="AE82" i="12" s="1" a="1"/>
  <c r="AE82" i="12" s="1"/>
  <c r="AB68" i="12" a="1"/>
  <c r="AB68" i="12" s="1"/>
  <c r="AC68" i="12" s="1"/>
  <c r="AB58" i="12" a="1"/>
  <c r="AB58" i="12" s="1"/>
  <c r="AC58" i="12" s="1"/>
  <c r="AB23" i="12" a="1"/>
  <c r="AB23" i="12" s="1"/>
  <c r="AC23" i="12" s="1"/>
  <c r="AB60" i="12" a="1"/>
  <c r="AB60" i="12" s="1"/>
  <c r="AC60" i="12" s="1"/>
  <c r="AB48" i="12" a="1"/>
  <c r="AB48" i="12" s="1"/>
  <c r="AC48" i="12" s="1"/>
  <c r="AB7" i="12" a="1"/>
  <c r="AB7" i="12" s="1"/>
  <c r="AC7" i="12" s="1"/>
  <c r="AB75" i="12" a="1"/>
  <c r="AB75" i="12" s="1"/>
  <c r="AC75" i="12" s="1"/>
  <c r="AB77" i="12" a="1"/>
  <c r="AB77" i="12" s="1"/>
  <c r="AC77" i="12" s="1"/>
  <c r="AE77" i="12" s="1" a="1"/>
  <c r="AE77" i="12" s="1"/>
  <c r="AB83" i="12" a="1"/>
  <c r="AB83" i="12" s="1"/>
  <c r="AC83" i="12" s="1"/>
  <c r="AE83" i="12" s="1" a="1"/>
  <c r="AE83" i="12" s="1"/>
  <c r="AB28" i="12" a="1"/>
  <c r="AB28" i="12" s="1"/>
  <c r="AC28" i="12" s="1"/>
  <c r="AB46" i="12" a="1"/>
  <c r="AB46" i="12" s="1"/>
  <c r="AC46" i="12" s="1"/>
  <c r="AB30" i="12" a="1"/>
  <c r="AB30" i="12" s="1"/>
  <c r="AC30" i="12" s="1"/>
  <c r="AB81" i="12" a="1"/>
  <c r="AB81" i="12" s="1"/>
  <c r="AC81" i="12" s="1"/>
  <c r="AE81" i="12" s="1" a="1"/>
  <c r="AE81" i="12" s="1"/>
  <c r="AB8" i="12" a="1"/>
  <c r="AB8" i="12" s="1"/>
  <c r="AC8" i="12" s="1"/>
  <c r="AB12" i="12" a="1"/>
  <c r="AB12" i="12" s="1"/>
  <c r="AC12" i="12" s="1"/>
  <c r="AB49" i="12" a="1"/>
  <c r="AB49" i="12" s="1"/>
  <c r="AC49" i="12" s="1"/>
  <c r="AB33" i="12" a="1"/>
  <c r="AB33" i="12" s="1"/>
  <c r="AC33" i="12" s="1"/>
  <c r="AB66" i="12" a="1"/>
  <c r="AB66" i="12" s="1"/>
  <c r="AC66" i="12" s="1"/>
  <c r="AB10" i="12" a="1"/>
  <c r="AB10" i="12" s="1"/>
  <c r="AC10" i="12" s="1"/>
  <c r="AB32" i="12" a="1"/>
  <c r="AB32" i="12" s="1"/>
  <c r="AC32" i="12" s="1"/>
  <c r="AB80" i="12" a="1"/>
  <c r="AB80" i="12" s="1"/>
  <c r="AC80" i="12" s="1"/>
  <c r="AE80" i="12" s="1" a="1"/>
  <c r="AE80" i="12" s="1"/>
  <c r="AB78" i="12" a="1"/>
  <c r="AB78" i="12" s="1"/>
  <c r="AC78" i="12" s="1"/>
  <c r="AE78" i="12" s="1" a="1"/>
  <c r="AE78" i="12" s="1"/>
  <c r="AB57" i="12" a="1"/>
  <c r="AB57" i="12" s="1"/>
  <c r="AC57" i="12" s="1"/>
  <c r="AB15" i="12" a="1"/>
  <c r="AB15" i="12" s="1"/>
  <c r="AC15" i="12" s="1"/>
  <c r="AB65" i="12" a="1"/>
  <c r="AB65" i="12" s="1"/>
  <c r="AC65" i="12" s="1"/>
  <c r="AB74" i="12" a="1"/>
  <c r="AB74" i="12" s="1"/>
  <c r="AC74" i="12" s="1"/>
  <c r="AB69" i="12" a="1"/>
  <c r="AB69" i="12" s="1"/>
  <c r="AC69" i="12" s="1"/>
  <c r="AB9" i="12" a="1"/>
  <c r="AB9" i="12" s="1"/>
  <c r="AC9" i="12" s="1"/>
  <c r="AB36" i="12" a="1"/>
  <c r="AB36" i="12" s="1"/>
  <c r="AC36" i="12" s="1"/>
  <c r="AB42" i="12" a="1"/>
  <c r="AB42" i="12" s="1"/>
  <c r="AC42" i="12" s="1"/>
  <c r="AB31" i="12" a="1"/>
  <c r="AB31" i="12" s="1"/>
  <c r="AC31" i="12" s="1"/>
  <c r="AB40" i="12" a="1"/>
  <c r="AB40" i="12" s="1"/>
  <c r="AC40" i="12" s="1"/>
  <c r="AB51" i="12" a="1"/>
  <c r="AB51" i="12" s="1"/>
  <c r="AC51" i="12" s="1"/>
  <c r="G20" i="22" a="1"/>
  <c r="G20" i="22" s="1"/>
  <c r="G18" i="22" a="1"/>
  <c r="G18" i="22" s="1"/>
  <c r="L18" i="22" a="1"/>
  <c r="L18" i="22" s="1"/>
  <c r="AF9" i="21" a="1"/>
  <c r="AF9" i="21" s="1"/>
  <c r="AF10" i="21" s="1" a="1"/>
  <c r="AF10" i="21" s="1"/>
  <c r="AF11" i="21" s="1" a="1"/>
  <c r="AF11" i="21" s="1"/>
  <c r="AF12" i="21" s="1" a="1"/>
  <c r="AF12" i="21" s="1"/>
  <c r="AF13" i="21" s="1" a="1"/>
  <c r="AF13" i="21" s="1"/>
  <c r="AF14" i="21" s="1" a="1"/>
  <c r="AF14" i="21" s="1"/>
  <c r="AF15" i="21" s="1" a="1"/>
  <c r="AF15" i="21" s="1"/>
  <c r="AF16" i="21" s="1" a="1"/>
  <c r="AF16" i="21" s="1"/>
  <c r="AF17" i="21" s="1" a="1"/>
  <c r="AF17" i="21" s="1"/>
  <c r="AF18" i="21" s="1" a="1"/>
  <c r="AF18" i="21" s="1"/>
  <c r="AF19" i="21" s="1" a="1"/>
  <c r="AF19" i="21" s="1"/>
  <c r="AF20" i="21" s="1" a="1"/>
  <c r="AF20" i="21" s="1"/>
  <c r="AF21" i="21" s="1" a="1"/>
  <c r="AF21" i="21" s="1"/>
  <c r="AF22" i="21" s="1" a="1"/>
  <c r="AF22" i="21" s="1"/>
  <c r="AF23" i="21" s="1" a="1"/>
  <c r="AF23" i="21" s="1"/>
  <c r="AF24" i="21" s="1" a="1"/>
  <c r="AF24" i="21" s="1"/>
  <c r="AF25" i="21" s="1" a="1"/>
  <c r="AF25" i="21" s="1"/>
  <c r="AF26" i="21" s="1" a="1"/>
  <c r="AF26" i="21" s="1"/>
  <c r="AF27" i="21" s="1" a="1"/>
  <c r="AF27" i="21" s="1"/>
  <c r="AF28" i="21" s="1" a="1"/>
  <c r="AF28" i="21" s="1"/>
  <c r="AF29" i="21" s="1" a="1"/>
  <c r="AF29" i="21" s="1"/>
  <c r="AF30" i="21" s="1" a="1"/>
  <c r="AF30" i="21" s="1"/>
  <c r="AF31" i="21" s="1" a="1"/>
  <c r="AF31" i="21" s="1"/>
  <c r="AF32" i="21" s="1" a="1"/>
  <c r="AF32" i="21" s="1"/>
  <c r="AF33" i="21" s="1" a="1"/>
  <c r="AF33" i="21" s="1"/>
  <c r="AF34" i="21" s="1" a="1"/>
  <c r="AF34" i="21" s="1"/>
  <c r="AF35" i="21" s="1" a="1"/>
  <c r="AF35" i="21" s="1"/>
  <c r="AF36" i="21" s="1" a="1"/>
  <c r="AF36" i="21" s="1"/>
  <c r="AF37" i="21" s="1" a="1"/>
  <c r="AF37" i="21" s="1"/>
  <c r="AF38" i="21" s="1" a="1"/>
  <c r="AF38" i="21" s="1"/>
  <c r="AF39" i="21" s="1" a="1"/>
  <c r="AF39" i="21" s="1"/>
  <c r="AF40" i="21" s="1" a="1"/>
  <c r="AF40" i="21" s="1"/>
  <c r="AF41" i="21" s="1" a="1"/>
  <c r="AF41" i="21" s="1"/>
  <c r="AF42" i="21" s="1" a="1"/>
  <c r="AF42" i="21" s="1"/>
  <c r="AF43" i="21" s="1" a="1"/>
  <c r="AF43" i="21" s="1"/>
  <c r="O97" i="22"/>
  <c r="O95" i="22"/>
  <c r="O94" i="22"/>
  <c r="O96" i="22"/>
  <c r="O87" i="22"/>
  <c r="O99" i="22"/>
  <c r="O93" i="22"/>
  <c r="O90" i="22"/>
  <c r="O89" i="22"/>
  <c r="O92" i="22"/>
  <c r="O88" i="22"/>
  <c r="O91" i="22"/>
  <c r="O101" i="22"/>
  <c r="O98" i="22"/>
  <c r="O100" i="22"/>
  <c r="N96" i="22"/>
  <c r="A96" i="22" s="1"/>
  <c r="N97" i="22"/>
  <c r="A97" i="22" s="1"/>
  <c r="N101" i="22"/>
  <c r="A101" i="22" s="1"/>
  <c r="N99" i="22"/>
  <c r="A99" i="22" s="1"/>
  <c r="N95" i="22"/>
  <c r="A95" i="22" s="1"/>
  <c r="N87" i="22"/>
  <c r="N92" i="22"/>
  <c r="A92" i="22" s="1"/>
  <c r="N94" i="22"/>
  <c r="A94" i="22" s="1"/>
  <c r="N93" i="22"/>
  <c r="A93" i="22" s="1"/>
  <c r="N98" i="22"/>
  <c r="A98" i="22" s="1"/>
  <c r="N91" i="22"/>
  <c r="A91" i="22" s="1"/>
  <c r="N90" i="22"/>
  <c r="A90" i="22" s="1"/>
  <c r="N89" i="22"/>
  <c r="N100" i="22"/>
  <c r="A100" i="22" s="1"/>
  <c r="N88" i="22"/>
  <c r="O19" i="22"/>
  <c r="O43" i="22"/>
  <c r="O31" i="22"/>
  <c r="O73" i="22"/>
  <c r="A80" i="22"/>
  <c r="A60" i="22"/>
  <c r="O20" i="22"/>
  <c r="O76" i="22"/>
  <c r="O24" i="22"/>
  <c r="O63" i="22"/>
  <c r="O70" i="22"/>
  <c r="O84" i="22"/>
  <c r="O39" i="22"/>
  <c r="O23" i="22"/>
  <c r="O72" i="22"/>
  <c r="O74" i="22"/>
  <c r="O65" i="22"/>
  <c r="A77" i="22"/>
  <c r="O40" i="22"/>
  <c r="O34" i="22"/>
  <c r="O59" i="22"/>
  <c r="O56" i="22"/>
  <c r="A57" i="22"/>
  <c r="O48" i="22"/>
  <c r="O80" i="22"/>
  <c r="O75" i="22"/>
  <c r="O60" i="22"/>
  <c r="O46" i="22"/>
  <c r="O61" i="22"/>
  <c r="O37" i="22"/>
  <c r="A56" i="22"/>
  <c r="O45" i="22"/>
  <c r="O30" i="22"/>
  <c r="A51" i="22"/>
  <c r="O67" i="22"/>
  <c r="O64" i="22"/>
  <c r="O81" i="22"/>
  <c r="O44" i="22"/>
  <c r="O32" i="22"/>
  <c r="A53" i="22"/>
  <c r="O41" i="22"/>
  <c r="O57" i="22"/>
  <c r="A65" i="22"/>
  <c r="O71" i="22"/>
  <c r="A46" i="22"/>
  <c r="A48" i="22"/>
  <c r="O78" i="22"/>
  <c r="A52" i="22"/>
  <c r="O28" i="22"/>
  <c r="O66" i="22"/>
  <c r="O26" i="22"/>
  <c r="O82" i="22"/>
  <c r="A76" i="22"/>
  <c r="A59" i="22"/>
  <c r="O69" i="22"/>
  <c r="O62" i="22"/>
  <c r="O53" i="22"/>
  <c r="O35" i="22"/>
  <c r="O85" i="22"/>
  <c r="A49" i="22"/>
  <c r="O52" i="22"/>
  <c r="O22" i="22"/>
  <c r="B15" i="19"/>
  <c r="A74" i="22"/>
  <c r="O68" i="22"/>
  <c r="O83" i="22"/>
  <c r="O49" i="22"/>
  <c r="O79" i="22"/>
  <c r="O77" i="22"/>
  <c r="O47" i="22"/>
  <c r="O25" i="22"/>
  <c r="O21" i="22"/>
  <c r="O58" i="22"/>
  <c r="O36" i="22"/>
  <c r="O18" i="22"/>
  <c r="O50" i="22"/>
  <c r="O54" i="22"/>
  <c r="O29" i="22"/>
  <c r="A50" i="22"/>
  <c r="A45" i="22"/>
  <c r="O42" i="22"/>
  <c r="A72" i="22"/>
  <c r="O27" i="22"/>
  <c r="A75" i="22"/>
  <c r="O38" i="22"/>
  <c r="A73" i="22"/>
  <c r="O33" i="22"/>
  <c r="O51" i="22"/>
  <c r="A78" i="22"/>
  <c r="O55" i="22"/>
  <c r="N28" i="22"/>
  <c r="N54" i="22"/>
  <c r="A54" i="22" s="1"/>
  <c r="N36" i="22"/>
  <c r="A36" i="22" s="1"/>
  <c r="N79" i="22"/>
  <c r="A79" i="22" s="1"/>
  <c r="N34" i="22"/>
  <c r="A34" i="22" s="1"/>
  <c r="N21" i="22"/>
  <c r="A21" i="22" s="1"/>
  <c r="N23" i="22"/>
  <c r="N66" i="22"/>
  <c r="A66" i="22" s="1"/>
  <c r="N55" i="22"/>
  <c r="A55" i="22" s="1"/>
  <c r="N19" i="22"/>
  <c r="A19" i="22" s="1"/>
  <c r="N67" i="22"/>
  <c r="A67" i="22" s="1"/>
  <c r="N47" i="22"/>
  <c r="A47" i="22" s="1"/>
  <c r="N29" i="22"/>
  <c r="N37" i="22"/>
  <c r="N68" i="22"/>
  <c r="N71" i="22"/>
  <c r="A71" i="22" s="1"/>
  <c r="N83" i="22"/>
  <c r="N58" i="22"/>
  <c r="A58" i="22" s="1"/>
  <c r="C18" i="22" a="1"/>
  <c r="C18" i="22" s="1"/>
  <c r="K18" i="22" a="1"/>
  <c r="K18" i="22" s="1"/>
  <c r="AG18" i="22" a="1"/>
  <c r="AG18" i="22" s="1"/>
  <c r="AE18" i="22" a="1"/>
  <c r="AE18" i="22" s="1"/>
  <c r="K20" i="22" a="1"/>
  <c r="K20" i="22" s="1"/>
  <c r="C20" i="22" a="1"/>
  <c r="C20" i="22" s="1"/>
  <c r="AG20" i="22" a="1"/>
  <c r="AG20" i="22" s="1"/>
  <c r="AE20" i="22" a="1"/>
  <c r="AE20" i="22" s="1"/>
  <c r="C35" i="22" l="1" a="1"/>
  <c r="C35" i="22" s="1"/>
  <c r="AE35" i="22" a="1"/>
  <c r="AE35" i="22" s="1"/>
  <c r="AG35" i="22" a="1"/>
  <c r="AG35" i="22" s="1"/>
  <c r="K35" i="22" a="1"/>
  <c r="K35" i="22" s="1"/>
  <c r="G25" i="22" a="1"/>
  <c r="G25" i="22" s="1"/>
  <c r="AT35" i="22" a="1"/>
  <c r="AT35" i="22" s="1"/>
  <c r="AE25" i="22" a="1"/>
  <c r="AE25" i="22" s="1"/>
  <c r="AG25" i="22" a="1"/>
  <c r="AG25" i="22" s="1"/>
  <c r="K25" i="22" a="1"/>
  <c r="K25" i="22" s="1"/>
  <c r="K24" i="22" a="1"/>
  <c r="K24" i="22" s="1"/>
  <c r="C25" i="22" a="1"/>
  <c r="C25" i="22" s="1"/>
  <c r="AG24" i="22" a="1"/>
  <c r="AG24" i="22" s="1"/>
  <c r="C24" i="22" a="1"/>
  <c r="C24" i="22" s="1"/>
  <c r="AT25" i="22" a="1"/>
  <c r="AT25" i="22" s="1"/>
  <c r="AE24" i="22" a="1"/>
  <c r="AE24" i="22" s="1"/>
  <c r="G24" i="22" a="1"/>
  <c r="G24" i="22" s="1"/>
  <c r="O102" i="12" a="1"/>
  <c r="O102" i="12" s="1"/>
  <c r="U102" i="12" s="1" a="1"/>
  <c r="U102" i="12" s="1"/>
  <c r="V102" i="12" s="1"/>
  <c r="C102" i="12" a="1"/>
  <c r="C102" i="12" s="1"/>
  <c r="T102" i="12" a="1"/>
  <c r="T102" i="12" s="1"/>
  <c r="D102" i="12" s="1"/>
  <c r="AJ102" i="12" a="1"/>
  <c r="AJ102" i="12" s="1"/>
  <c r="AK102" i="12" s="1" a="1"/>
  <c r="AK102" i="12" s="1"/>
  <c r="AL102" i="12" s="1"/>
  <c r="AV102" i="12"/>
  <c r="AW102" i="12" s="1" a="1"/>
  <c r="AW102" i="12" s="1"/>
  <c r="F102" i="12"/>
  <c r="H102" i="12" a="1"/>
  <c r="H102" i="12" s="1"/>
  <c r="AR5" i="17" a="1"/>
  <c r="AR5" i="17" s="1"/>
  <c r="AS5" i="17" s="1" a="1"/>
  <c r="AS5" i="17" s="1"/>
  <c r="A5" i="17" a="1"/>
  <c r="A5" i="17" s="1"/>
  <c r="W5" i="17"/>
  <c r="K5" i="17" s="1" a="1"/>
  <c r="K5" i="17" s="1"/>
  <c r="X102" i="12" a="1"/>
  <c r="X102" i="12" s="1"/>
  <c r="AT102" i="12"/>
  <c r="AT101" i="12"/>
  <c r="AU101" i="12" s="1" a="1"/>
  <c r="AU101" i="12" s="1"/>
  <c r="E102" i="12" a="1"/>
  <c r="E102" i="12" s="1"/>
  <c r="W102" i="12" a="1"/>
  <c r="W102" i="12" s="1"/>
  <c r="AM102" i="12" a="1"/>
  <c r="AM102" i="12" s="1"/>
  <c r="AN102" i="12" s="1"/>
  <c r="AB102" i="12" a="1"/>
  <c r="AB102" i="12" s="1"/>
  <c r="AC102" i="12" s="1"/>
  <c r="AD102" i="12"/>
  <c r="Y102" i="12" a="1"/>
  <c r="Y102" i="12" s="1"/>
  <c r="AT58" i="22" a="1"/>
  <c r="AT58" i="22" s="1"/>
  <c r="AT45" i="22" a="1"/>
  <c r="AT45" i="22" s="1"/>
  <c r="AT21" i="22" a="1"/>
  <c r="AT21" i="22" s="1"/>
  <c r="AT72" i="22" a="1"/>
  <c r="AT72" i="22" s="1"/>
  <c r="AN72" i="22" s="1" a="1"/>
  <c r="AN72" i="22" s="1"/>
  <c r="AO72" i="22" s="1" a="1"/>
  <c r="AO72" i="22" s="1"/>
  <c r="I72" i="22" s="1"/>
  <c r="AT59" i="22" a="1"/>
  <c r="AT59" i="22" s="1"/>
  <c r="AT34" i="22" a="1"/>
  <c r="AT34" i="22" s="1"/>
  <c r="AT52" i="22" a="1"/>
  <c r="AT52" i="22" s="1"/>
  <c r="AT76" i="22" a="1"/>
  <c r="AT76" i="22" s="1"/>
  <c r="AN76" i="22" s="1" a="1"/>
  <c r="AN76" i="22" s="1"/>
  <c r="AO76" i="22" s="1" a="1"/>
  <c r="AO76" i="22" s="1"/>
  <c r="I76" i="22" s="1"/>
  <c r="AT71" i="22" a="1"/>
  <c r="AT71" i="22" s="1"/>
  <c r="AN71" i="22" s="1" a="1"/>
  <c r="AN71" i="22" s="1"/>
  <c r="AO71" i="22" s="1" a="1"/>
  <c r="AO71" i="22" s="1"/>
  <c r="I71" i="22" s="1"/>
  <c r="AT54" i="22" a="1"/>
  <c r="AT54" i="22" s="1"/>
  <c r="AT74" i="22" a="1"/>
  <c r="AT74" i="22" s="1"/>
  <c r="AT57" i="22" a="1"/>
  <c r="AT57" i="22" s="1"/>
  <c r="AT47" i="22" a="1"/>
  <c r="AT47" i="22" s="1"/>
  <c r="AT49" i="22" a="1"/>
  <c r="AT49" i="22" s="1"/>
  <c r="AT48" i="22" a="1"/>
  <c r="AT48" i="22" s="1"/>
  <c r="AT60" i="22" a="1"/>
  <c r="AT60" i="22" s="1"/>
  <c r="AT67" i="22" a="1"/>
  <c r="AT67" i="22" s="1"/>
  <c r="AT80" i="22" a="1"/>
  <c r="AT80" i="22" s="1"/>
  <c r="AN80" i="22" s="1" a="1"/>
  <c r="AN80" i="22" s="1"/>
  <c r="AO80" i="22" s="1" a="1"/>
  <c r="AO80" i="22" s="1"/>
  <c r="I80" i="22" s="1"/>
  <c r="AT36" i="22" a="1"/>
  <c r="AT36" i="22" s="1"/>
  <c r="AT51" i="22" a="1"/>
  <c r="AT51" i="22" s="1"/>
  <c r="AT19" i="22" a="1"/>
  <c r="AT19" i="22" s="1"/>
  <c r="AT46" i="22" a="1"/>
  <c r="AT46" i="22" s="1"/>
  <c r="AT56" i="22" a="1"/>
  <c r="AT56" i="22" s="1"/>
  <c r="AT77" i="22" a="1"/>
  <c r="AT77" i="22" s="1"/>
  <c r="AN77" i="22" s="1" a="1"/>
  <c r="AN77" i="22" s="1"/>
  <c r="AO77" i="22" s="1" a="1"/>
  <c r="AO77" i="22" s="1"/>
  <c r="I77" i="22" s="1"/>
  <c r="AT53" i="22" a="1"/>
  <c r="AT53" i="22" s="1"/>
  <c r="AT50" i="22" a="1"/>
  <c r="AT50" i="22" s="1"/>
  <c r="AT55" i="22" a="1"/>
  <c r="AT55" i="22" s="1"/>
  <c r="AT66" i="22" a="1"/>
  <c r="AT66" i="22" s="1"/>
  <c r="AT75" i="22" a="1"/>
  <c r="AT75" i="22" s="1"/>
  <c r="AN75" i="22" s="1" a="1"/>
  <c r="AN75" i="22" s="1"/>
  <c r="AO75" i="22" s="1" a="1"/>
  <c r="AO75" i="22" s="1"/>
  <c r="I75" i="22" s="1"/>
  <c r="AT65" i="22" a="1"/>
  <c r="AT65" i="22" s="1"/>
  <c r="AT79" i="22" a="1"/>
  <c r="AT79" i="22" s="1"/>
  <c r="AN79" i="22" s="1" a="1"/>
  <c r="AN79" i="22" s="1"/>
  <c r="AO79" i="22" s="1" a="1"/>
  <c r="AO79" i="22" s="1"/>
  <c r="I79" i="22" s="1"/>
  <c r="AE66" i="12" a="1"/>
  <c r="AE66" i="12" s="1"/>
  <c r="AE74" i="12" a="1"/>
  <c r="AE74" i="12" s="1"/>
  <c r="AE75" i="12" a="1"/>
  <c r="AE75" i="12" s="1"/>
  <c r="AE22" i="12" a="1"/>
  <c r="AE22" i="12" s="1"/>
  <c r="AE13" i="12" a="1"/>
  <c r="AE13" i="12" s="1"/>
  <c r="AE20" i="12" a="1"/>
  <c r="AE20" i="12" s="1"/>
  <c r="AE31" i="12" a="1"/>
  <c r="AE31" i="12" s="1"/>
  <c r="AE9" i="12" a="1"/>
  <c r="AE9" i="12" s="1"/>
  <c r="AE32" i="12" a="1"/>
  <c r="AE32" i="12" s="1"/>
  <c r="AE8" i="12" a="1"/>
  <c r="AE8" i="12" s="1"/>
  <c r="AE30" i="12" a="1"/>
  <c r="AE30" i="12" s="1"/>
  <c r="AE76" i="12" a="1"/>
  <c r="AE76" i="12" s="1"/>
  <c r="AE56" i="12" a="1"/>
  <c r="AE56" i="12" s="1"/>
  <c r="AE17" i="12" a="1"/>
  <c r="AE17" i="12" s="1"/>
  <c r="AE49" i="12" a="1"/>
  <c r="AE49" i="12" s="1"/>
  <c r="AE14" i="12" a="1"/>
  <c r="AE14" i="12" s="1"/>
  <c r="AE18" i="12" a="1"/>
  <c r="AE18" i="12" s="1"/>
  <c r="AE33" i="12" a="1"/>
  <c r="AE33" i="12" s="1"/>
  <c r="AE23" i="12" a="1"/>
  <c r="AE23" i="12" s="1"/>
  <c r="AE34" i="12" a="1"/>
  <c r="AE34" i="12" s="1"/>
  <c r="AE73" i="12" a="1"/>
  <c r="AE73" i="12" s="1"/>
  <c r="AE26" i="12" a="1"/>
  <c r="AE26" i="12" s="1"/>
  <c r="AE25" i="12" a="1"/>
  <c r="AE25" i="12" s="1"/>
  <c r="AE57" i="12" a="1"/>
  <c r="AE57" i="12" s="1"/>
  <c r="AE64" i="12" a="1"/>
  <c r="AE64" i="12" s="1"/>
  <c r="AE48" i="12" a="1"/>
  <c r="AE48" i="12" s="1"/>
  <c r="AE7" i="12" a="1"/>
  <c r="AE7" i="12" s="1"/>
  <c r="AE62" i="12" a="1"/>
  <c r="AE62" i="12" s="1"/>
  <c r="AE67" i="12" a="1"/>
  <c r="AE67" i="12" s="1"/>
  <c r="W6" i="32" a="1"/>
  <c r="W6" i="32" s="1"/>
  <c r="Z6" i="32" s="1" a="1"/>
  <c r="Z6" i="32" s="1"/>
  <c r="AH101" i="12" s="1" a="1"/>
  <c r="AH101" i="12" s="1"/>
  <c r="AI101" i="12" s="1" a="1"/>
  <c r="AI101" i="12" s="1"/>
  <c r="AE51" i="12" a="1"/>
  <c r="AE51" i="12" s="1"/>
  <c r="AE69" i="12" a="1"/>
  <c r="AE69" i="12" s="1"/>
  <c r="AE65" i="12" a="1"/>
  <c r="AE65" i="12" s="1"/>
  <c r="AE58" i="12" a="1"/>
  <c r="AE58" i="12" s="1"/>
  <c r="AE19" i="12" a="1"/>
  <c r="AE19" i="12" s="1"/>
  <c r="AE11" i="12" a="1"/>
  <c r="AE11" i="12" s="1"/>
  <c r="AE46" i="12" a="1"/>
  <c r="AE46" i="12" s="1"/>
  <c r="AE70" i="12" a="1"/>
  <c r="AE70" i="12" s="1"/>
  <c r="AE24" i="12" a="1"/>
  <c r="AE24" i="12" s="1"/>
  <c r="AE50" i="12" a="1"/>
  <c r="AE50" i="12" s="1"/>
  <c r="AE41" i="12" a="1"/>
  <c r="AE41" i="12" s="1"/>
  <c r="AE42" i="12" a="1"/>
  <c r="AE42" i="12" s="1"/>
  <c r="AE44" i="12" a="1"/>
  <c r="AE44" i="12" s="1"/>
  <c r="AE59" i="12" a="1"/>
  <c r="AE59" i="12" s="1"/>
  <c r="AE55" i="12" a="1"/>
  <c r="AE55" i="12" s="1"/>
  <c r="AE61" i="12" a="1"/>
  <c r="AE61" i="12" s="1"/>
  <c r="AE45" i="12" a="1"/>
  <c r="AE45" i="12" s="1"/>
  <c r="AE38" i="12" a="1"/>
  <c r="AE38" i="12" s="1"/>
  <c r="AE10" i="12" a="1"/>
  <c r="AE10" i="12" s="1"/>
  <c r="AE35" i="12" a="1"/>
  <c r="AE35" i="12" s="1"/>
  <c r="AE52" i="12" a="1"/>
  <c r="AE52" i="12" s="1"/>
  <c r="AE43" i="12" a="1"/>
  <c r="AE43" i="12" s="1"/>
  <c r="AE39" i="12" a="1"/>
  <c r="AE39" i="12" s="1"/>
  <c r="AE47" i="12" a="1"/>
  <c r="AE47" i="12" s="1"/>
  <c r="AE54" i="12" a="1"/>
  <c r="AE54" i="12" s="1"/>
  <c r="AE53" i="12" a="1"/>
  <c r="AE53" i="12" s="1"/>
  <c r="AE36" i="12" a="1"/>
  <c r="AE36" i="12" s="1"/>
  <c r="AE12" i="12" a="1"/>
  <c r="AE12" i="12" s="1"/>
  <c r="AE28" i="12" a="1"/>
  <c r="AE28" i="12" s="1"/>
  <c r="AE60" i="12" a="1"/>
  <c r="AE60" i="12" s="1"/>
  <c r="AE68" i="12" a="1"/>
  <c r="AE68" i="12" s="1"/>
  <c r="AE27" i="12" a="1"/>
  <c r="AE27" i="12" s="1"/>
  <c r="AE71" i="12" a="1"/>
  <c r="AE71" i="12" s="1"/>
  <c r="AE37" i="12" a="1"/>
  <c r="AE37" i="12" s="1"/>
  <c r="AE40" i="12" a="1"/>
  <c r="AE40" i="12" s="1"/>
  <c r="AE15" i="12" a="1"/>
  <c r="AE15" i="12" s="1"/>
  <c r="AE16" i="12" a="1"/>
  <c r="AE16" i="12" s="1"/>
  <c r="AE63" i="12" a="1"/>
  <c r="AE63" i="12" s="1"/>
  <c r="AE29" i="12" a="1"/>
  <c r="AE29" i="12" s="1"/>
  <c r="AE21" i="12" a="1"/>
  <c r="AE21" i="12" s="1"/>
  <c r="B90" i="22" a="1"/>
  <c r="B90" i="22" s="1"/>
  <c r="AT90" i="22" a="1"/>
  <c r="AT90" i="22" s="1"/>
  <c r="AN90" i="22" s="1" a="1"/>
  <c r="AN90" i="22" s="1"/>
  <c r="B91" i="22" a="1"/>
  <c r="B91" i="22" s="1"/>
  <c r="AT91" i="22" a="1"/>
  <c r="AT91" i="22" s="1"/>
  <c r="AN91" i="22" s="1" a="1"/>
  <c r="AN91" i="22" s="1"/>
  <c r="B98" i="22" a="1"/>
  <c r="B98" i="22" s="1"/>
  <c r="AT98" i="22" a="1"/>
  <c r="AT98" i="22" s="1"/>
  <c r="AN98" i="22" s="1" a="1"/>
  <c r="AN98" i="22" s="1"/>
  <c r="B93" i="22" a="1"/>
  <c r="B93" i="22" s="1"/>
  <c r="AT93" i="22" a="1"/>
  <c r="AT93" i="22" s="1"/>
  <c r="AN93" i="22" s="1" a="1"/>
  <c r="AN93" i="22" s="1"/>
  <c r="B78" i="22" a="1"/>
  <c r="B78" i="22" s="1"/>
  <c r="AT78" i="22" a="1"/>
  <c r="AT78" i="22" s="1"/>
  <c r="AN78" i="22" s="1" a="1"/>
  <c r="AN78" i="22" s="1"/>
  <c r="B94" i="22" a="1"/>
  <c r="B94" i="22" s="1"/>
  <c r="AT94" i="22" a="1"/>
  <c r="AT94" i="22" s="1"/>
  <c r="AN94" i="22" s="1" a="1"/>
  <c r="AN94" i="22" s="1"/>
  <c r="B92" i="22" a="1"/>
  <c r="B92" i="22" s="1"/>
  <c r="AT92" i="22" a="1"/>
  <c r="AT92" i="22" s="1"/>
  <c r="AN92" i="22" s="1" a="1"/>
  <c r="AN92" i="22" s="1"/>
  <c r="B100" i="22" a="1"/>
  <c r="B100" i="22" s="1"/>
  <c r="AT100" i="22" a="1"/>
  <c r="AT100" i="22" s="1"/>
  <c r="AN100" i="22" s="1" a="1"/>
  <c r="AN100" i="22" s="1"/>
  <c r="B73" i="22" a="1"/>
  <c r="B73" i="22" s="1"/>
  <c r="AT73" i="22" a="1"/>
  <c r="AT73" i="22" s="1"/>
  <c r="AN73" i="22" s="1" a="1"/>
  <c r="AN73" i="22" s="1"/>
  <c r="B95" i="22" a="1"/>
  <c r="B95" i="22" s="1"/>
  <c r="AT95" i="22" a="1"/>
  <c r="AT95" i="22" s="1"/>
  <c r="AP95" i="22" s="1" a="1"/>
  <c r="AP95" i="22" s="1"/>
  <c r="J95" i="22" s="1"/>
  <c r="B99" i="22" a="1"/>
  <c r="B99" i="22" s="1"/>
  <c r="AT99" i="22" a="1"/>
  <c r="AT99" i="22" s="1"/>
  <c r="AN99" i="22" s="1" a="1"/>
  <c r="AN99" i="22" s="1"/>
  <c r="B101" i="22" a="1"/>
  <c r="B101" i="22" s="1"/>
  <c r="AT101" i="22" a="1"/>
  <c r="AT101" i="22" s="1"/>
  <c r="AN101" i="22" s="1" a="1"/>
  <c r="AN101" i="22" s="1"/>
  <c r="B97" i="22" a="1"/>
  <c r="B97" i="22" s="1"/>
  <c r="AT97" i="22" a="1"/>
  <c r="AT97" i="22" s="1"/>
  <c r="AN97" i="22" s="1" a="1"/>
  <c r="AN97" i="22" s="1"/>
  <c r="B96" i="22" a="1"/>
  <c r="B96" i="22" s="1"/>
  <c r="AT96" i="22" a="1"/>
  <c r="AT96" i="22" s="1"/>
  <c r="AP96" i="22" s="1" a="1"/>
  <c r="AP96" i="22" s="1"/>
  <c r="J96" i="22" s="1"/>
  <c r="AQ25" i="22" a="1"/>
  <c r="AQ25" i="22" s="1"/>
  <c r="AR25" i="22" a="1"/>
  <c r="AR25" i="22" s="1"/>
  <c r="AQ65" i="22" a="1"/>
  <c r="AQ65" i="22" s="1"/>
  <c r="AR65" i="22" a="1"/>
  <c r="AR65" i="22" s="1"/>
  <c r="AQ54" i="22" a="1"/>
  <c r="AQ54" i="22" s="1"/>
  <c r="AR54" i="22" a="1"/>
  <c r="AR54" i="22" s="1"/>
  <c r="AQ28" i="22" a="1"/>
  <c r="AQ28" i="22" s="1"/>
  <c r="AR28" i="22" a="1"/>
  <c r="AR28" i="22" s="1"/>
  <c r="AQ64" i="22" a="1"/>
  <c r="AQ64" i="22" s="1"/>
  <c r="AR64" i="22" a="1"/>
  <c r="AR64" i="22" s="1"/>
  <c r="AQ24" i="22" a="1"/>
  <c r="AQ24" i="22" s="1"/>
  <c r="AR24" i="22" a="1"/>
  <c r="AR24" i="22" s="1"/>
  <c r="AQ55" i="22" a="1"/>
  <c r="AQ55" i="22" s="1"/>
  <c r="AR55" i="22" a="1"/>
  <c r="AR55" i="22" s="1"/>
  <c r="AQ50" i="22" a="1"/>
  <c r="AQ50" i="22" s="1"/>
  <c r="AR50" i="22" a="1"/>
  <c r="AR50" i="22" s="1"/>
  <c r="AQ67" i="22" a="1"/>
  <c r="AQ67" i="22" s="1"/>
  <c r="AR67" i="22" a="1"/>
  <c r="AR67" i="22" s="1"/>
  <c r="AQ56" i="22" a="1"/>
  <c r="AQ56" i="22" s="1"/>
  <c r="AR56" i="22" a="1"/>
  <c r="AR56" i="22" s="1"/>
  <c r="AQ76" i="22" a="1"/>
  <c r="AQ76" i="22" s="1"/>
  <c r="AR76" i="22" a="1"/>
  <c r="AR76" i="22" s="1"/>
  <c r="AQ92" i="22" a="1"/>
  <c r="AQ92" i="22" s="1"/>
  <c r="AR92" i="22" a="1"/>
  <c r="AR92" i="22" s="1"/>
  <c r="AQ53" i="22" a="1"/>
  <c r="AQ53" i="22" s="1"/>
  <c r="AR53" i="22" a="1"/>
  <c r="AR53" i="22" s="1"/>
  <c r="AQ62" i="22" a="1"/>
  <c r="AQ62" i="22" s="1"/>
  <c r="AR62" i="22" a="1"/>
  <c r="AR62" i="22" s="1"/>
  <c r="AQ81" i="22" a="1"/>
  <c r="AQ81" i="22" s="1"/>
  <c r="AR81" i="22" a="1"/>
  <c r="AR81" i="22" s="1"/>
  <c r="AQ63" i="22" a="1"/>
  <c r="AQ63" i="22" s="1"/>
  <c r="AR63" i="22" a="1"/>
  <c r="AR63" i="22" s="1"/>
  <c r="AQ18" i="22" a="1"/>
  <c r="AQ18" i="22" s="1"/>
  <c r="AR18" i="22" a="1"/>
  <c r="AR18" i="22" s="1"/>
  <c r="AQ78" i="22" a="1"/>
  <c r="AQ78" i="22" s="1"/>
  <c r="AR78" i="22" a="1"/>
  <c r="AR78" i="22" s="1"/>
  <c r="AQ59" i="22" a="1"/>
  <c r="AQ59" i="22" s="1"/>
  <c r="AR59" i="22" a="1"/>
  <c r="AR59" i="22" s="1"/>
  <c r="AQ51" i="22" a="1"/>
  <c r="AQ51" i="22" s="1"/>
  <c r="AR51" i="22" a="1"/>
  <c r="AR51" i="22" s="1"/>
  <c r="AQ36" i="22" a="1"/>
  <c r="AQ36" i="22" s="1"/>
  <c r="AR36" i="22" a="1"/>
  <c r="AR36" i="22" s="1"/>
  <c r="AQ34" i="22" a="1"/>
  <c r="AQ34" i="22" s="1"/>
  <c r="AR34" i="22" a="1"/>
  <c r="AR34" i="22" s="1"/>
  <c r="AQ90" i="22" a="1"/>
  <c r="AQ90" i="22" s="1"/>
  <c r="AR90" i="22" a="1"/>
  <c r="AR90" i="22" s="1"/>
  <c r="AQ61" i="22" a="1"/>
  <c r="AQ61" i="22" s="1"/>
  <c r="AR61" i="22" a="1"/>
  <c r="AR61" i="22" s="1"/>
  <c r="AQ66" i="22" a="1"/>
  <c r="AQ66" i="22" s="1"/>
  <c r="AR66" i="22" a="1"/>
  <c r="AR66" i="22" s="1"/>
  <c r="AQ52" i="22" a="1"/>
  <c r="AQ52" i="22" s="1"/>
  <c r="AR52" i="22" a="1"/>
  <c r="AR52" i="22" s="1"/>
  <c r="AQ20" i="22" a="1"/>
  <c r="AQ20" i="22" s="1"/>
  <c r="AR20" i="22" a="1"/>
  <c r="AR20" i="22" s="1"/>
  <c r="AQ58" i="22" a="1"/>
  <c r="AQ58" i="22" s="1"/>
  <c r="AR58" i="22" a="1"/>
  <c r="AR58" i="22" s="1"/>
  <c r="AQ45" i="22" a="1"/>
  <c r="AQ45" i="22" s="1"/>
  <c r="AR45" i="22" a="1"/>
  <c r="AR45" i="22" s="1"/>
  <c r="AQ93" i="22" a="1"/>
  <c r="AQ93" i="22" s="1"/>
  <c r="AR93" i="22" a="1"/>
  <c r="AR93" i="22" s="1"/>
  <c r="AQ49" i="22" a="1"/>
  <c r="AQ49" i="22" s="1"/>
  <c r="AR49" i="22" a="1"/>
  <c r="AR49" i="22" s="1"/>
  <c r="AQ48" i="22" a="1"/>
  <c r="AQ48" i="22" s="1"/>
  <c r="AR48" i="22" a="1"/>
  <c r="AR48" i="22" s="1"/>
  <c r="AQ91" i="22" a="1"/>
  <c r="AQ91" i="22" s="1"/>
  <c r="AR91" i="22" a="1"/>
  <c r="AR91" i="22" s="1"/>
  <c r="AQ21" i="22" a="1"/>
  <c r="AQ21" i="22" s="1"/>
  <c r="AR21" i="22" a="1"/>
  <c r="AR21" i="22" s="1"/>
  <c r="AQ35" i="22" a="1"/>
  <c r="AQ35" i="22" s="1"/>
  <c r="AR35" i="22" a="1"/>
  <c r="AR35" i="22" s="1"/>
  <c r="AQ73" i="22" a="1"/>
  <c r="AQ73" i="22" s="1"/>
  <c r="AR73" i="22" a="1"/>
  <c r="AR73" i="22" s="1"/>
  <c r="AQ99" i="22" a="1"/>
  <c r="AQ99" i="22" s="1"/>
  <c r="AR99" i="22" a="1"/>
  <c r="AR99" i="22" s="1"/>
  <c r="AQ71" i="22" a="1"/>
  <c r="AQ71" i="22" s="1"/>
  <c r="AR71" i="22" a="1"/>
  <c r="AR71" i="22" s="1"/>
  <c r="AQ74" i="22" a="1"/>
  <c r="AQ74" i="22" s="1"/>
  <c r="AR74" i="22" a="1"/>
  <c r="AR74" i="22" s="1"/>
  <c r="AQ27" i="22" a="1"/>
  <c r="AQ27" i="22" s="1"/>
  <c r="AR27" i="22" a="1"/>
  <c r="AR27" i="22" s="1"/>
  <c r="AQ77" i="22" a="1"/>
  <c r="AQ77" i="22" s="1"/>
  <c r="AR77" i="22" a="1"/>
  <c r="AR77" i="22" s="1"/>
  <c r="AQ57" i="22" a="1"/>
  <c r="AQ57" i="22" s="1"/>
  <c r="AR57" i="22" a="1"/>
  <c r="AR57" i="22" s="1"/>
  <c r="AQ46" i="22" a="1"/>
  <c r="AQ46" i="22" s="1"/>
  <c r="AR46" i="22" a="1"/>
  <c r="AR46" i="22" s="1"/>
  <c r="AQ72" i="22" a="1"/>
  <c r="AQ72" i="22" s="1"/>
  <c r="AR72" i="22" a="1"/>
  <c r="AR72" i="22" s="1"/>
  <c r="AQ19" i="22" a="1"/>
  <c r="AQ19" i="22" s="1"/>
  <c r="AR19" i="22" a="1"/>
  <c r="AR19" i="22" s="1"/>
  <c r="AQ94" i="22" a="1"/>
  <c r="AQ94" i="22" s="1"/>
  <c r="AR94" i="22" a="1"/>
  <c r="AR94" i="22" s="1"/>
  <c r="AQ79" i="22" a="1"/>
  <c r="AQ79" i="22" s="1"/>
  <c r="AR79" i="22" a="1"/>
  <c r="AR79" i="22" s="1"/>
  <c r="AQ95" i="22" a="1"/>
  <c r="AQ95" i="22" s="1"/>
  <c r="AR95" i="22" a="1"/>
  <c r="AR95" i="22" s="1"/>
  <c r="AQ100" i="22" a="1"/>
  <c r="AQ100" i="22" s="1"/>
  <c r="AR100" i="22" a="1"/>
  <c r="AR100" i="22" s="1"/>
  <c r="AQ97" i="22" a="1"/>
  <c r="AQ97" i="22" s="1"/>
  <c r="AR97" i="22" a="1"/>
  <c r="AR97" i="22" s="1"/>
  <c r="AQ82" i="22" a="1"/>
  <c r="AQ82" i="22" s="1"/>
  <c r="AR82" i="22" a="1"/>
  <c r="AR82" i="22" s="1"/>
  <c r="AQ75" i="22" a="1"/>
  <c r="AQ75" i="22" s="1"/>
  <c r="AR75" i="22" a="1"/>
  <c r="AR75" i="22" s="1"/>
  <c r="AQ98" i="22" a="1"/>
  <c r="AQ98" i="22" s="1"/>
  <c r="AR98" i="22" a="1"/>
  <c r="AR98" i="22" s="1"/>
  <c r="AQ47" i="22" a="1"/>
  <c r="AQ47" i="22" s="1"/>
  <c r="AR47" i="22" a="1"/>
  <c r="AR47" i="22" s="1"/>
  <c r="AQ96" i="22" a="1"/>
  <c r="AQ96" i="22" s="1"/>
  <c r="AR96" i="22" a="1"/>
  <c r="AR96" i="22" s="1"/>
  <c r="AQ60" i="22" a="1"/>
  <c r="AQ60" i="22" s="1"/>
  <c r="AR60" i="22" a="1"/>
  <c r="AR60" i="22" s="1"/>
  <c r="AQ26" i="22" a="1"/>
  <c r="AQ26" i="22" s="1"/>
  <c r="AR26" i="22" a="1"/>
  <c r="AR26" i="22" s="1"/>
  <c r="AQ44" i="22" a="1"/>
  <c r="AQ44" i="22" s="1"/>
  <c r="AR44" i="22" a="1"/>
  <c r="AR44" i="22" s="1"/>
  <c r="AQ80" i="22" a="1"/>
  <c r="AQ80" i="22" s="1"/>
  <c r="AR80" i="22" a="1"/>
  <c r="AR80" i="22" s="1"/>
  <c r="AQ101" i="22" a="1"/>
  <c r="AQ101" i="22" s="1"/>
  <c r="AR101" i="22" a="1"/>
  <c r="AR101" i="22" s="1"/>
  <c r="AS28" i="22" a="1"/>
  <c r="AS28" i="22" s="1"/>
  <c r="AS24" i="22" a="1"/>
  <c r="AS24" i="22" s="1"/>
  <c r="AS50" i="22" a="1"/>
  <c r="AS50" i="22" s="1"/>
  <c r="AS67" i="22" a="1"/>
  <c r="AS67" i="22" s="1"/>
  <c r="AS92" i="22" a="1"/>
  <c r="AS92" i="22" s="1"/>
  <c r="AS51" i="22" a="1"/>
  <c r="AS51" i="22" s="1"/>
  <c r="AS36" i="22" a="1"/>
  <c r="AS36" i="22" s="1"/>
  <c r="AS34" i="22" a="1"/>
  <c r="AS34" i="22" s="1"/>
  <c r="AS90" i="22" a="1"/>
  <c r="AS90" i="22" s="1"/>
  <c r="AS59" i="22" a="1"/>
  <c r="AS59" i="22" s="1"/>
  <c r="AS58" i="22" a="1"/>
  <c r="AS58" i="22" s="1"/>
  <c r="AS45" i="22" a="1"/>
  <c r="AS45" i="22" s="1"/>
  <c r="AS93" i="22" a="1"/>
  <c r="AS93" i="22" s="1"/>
  <c r="AS56" i="22" a="1"/>
  <c r="AS56" i="22" s="1"/>
  <c r="AS76" i="22" a="1"/>
  <c r="AS76" i="22" s="1"/>
  <c r="AS18" i="22" a="1"/>
  <c r="AS18" i="22" s="1"/>
  <c r="AS20" i="22" a="1"/>
  <c r="AS20" i="22" s="1"/>
  <c r="AS21" i="22" a="1"/>
  <c r="AS21" i="22" s="1"/>
  <c r="AS35" i="22" a="1"/>
  <c r="AS35" i="22" s="1"/>
  <c r="AS73" i="22" a="1"/>
  <c r="AS73" i="22" s="1"/>
  <c r="AS99" i="22" a="1"/>
  <c r="AS99" i="22" s="1"/>
  <c r="AS25" i="22" a="1"/>
  <c r="AS25" i="22" s="1"/>
  <c r="AS53" i="22" a="1"/>
  <c r="AS53" i="22" s="1"/>
  <c r="AS71" i="22" a="1"/>
  <c r="AS71" i="22" s="1"/>
  <c r="AS65" i="22" a="1"/>
  <c r="AS65" i="22" s="1"/>
  <c r="AS100" i="22" a="1"/>
  <c r="AS100" i="22" s="1"/>
  <c r="AS47" i="22" a="1"/>
  <c r="AS47" i="22" s="1"/>
  <c r="AS62" i="22" a="1"/>
  <c r="AS62" i="22" s="1"/>
  <c r="AS61" i="22" a="1"/>
  <c r="AS61" i="22" s="1"/>
  <c r="AS74" i="22" a="1"/>
  <c r="AS74" i="22" s="1"/>
  <c r="AS96" i="22" a="1"/>
  <c r="AS96" i="22" s="1"/>
  <c r="AS54" i="22" a="1"/>
  <c r="AS54" i="22" s="1"/>
  <c r="AS64" i="22" a="1"/>
  <c r="AS64" i="22" s="1"/>
  <c r="AS27" i="22" a="1"/>
  <c r="AS27" i="22" s="1"/>
  <c r="AS77" i="22" a="1"/>
  <c r="AS77" i="22" s="1"/>
  <c r="AS57" i="22" a="1"/>
  <c r="AS57" i="22" s="1"/>
  <c r="AS46" i="22" a="1"/>
  <c r="AS46" i="22" s="1"/>
  <c r="AS72" i="22" a="1"/>
  <c r="AS72" i="22" s="1"/>
  <c r="AS19" i="22" a="1"/>
  <c r="AS19" i="22" s="1"/>
  <c r="AS94" i="22" a="1"/>
  <c r="AS94" i="22" s="1"/>
  <c r="AS49" i="22" a="1"/>
  <c r="AS49" i="22" s="1"/>
  <c r="AS60" i="22" a="1"/>
  <c r="AS60" i="22" s="1"/>
  <c r="AS97" i="22" a="1"/>
  <c r="AS97" i="22" s="1"/>
  <c r="AS55" i="22" a="1"/>
  <c r="AS55" i="22" s="1"/>
  <c r="AS52" i="22" a="1"/>
  <c r="AS52" i="22" s="1"/>
  <c r="AS78" i="22" a="1"/>
  <c r="AS78" i="22" s="1"/>
  <c r="AS79" i="22" a="1"/>
  <c r="AS79" i="22" s="1"/>
  <c r="AS95" i="22" a="1"/>
  <c r="AS95" i="22" s="1"/>
  <c r="AS82" i="22" a="1"/>
  <c r="AS82" i="22" s="1"/>
  <c r="AS75" i="22" a="1"/>
  <c r="AS75" i="22" s="1"/>
  <c r="AS98" i="22" a="1"/>
  <c r="AS98" i="22" s="1"/>
  <c r="AS26" i="22" a="1"/>
  <c r="AS26" i="22" s="1"/>
  <c r="AS44" i="22" a="1"/>
  <c r="AS44" i="22" s="1"/>
  <c r="AS80" i="22" a="1"/>
  <c r="AS80" i="22" s="1"/>
  <c r="AS101" i="22" a="1"/>
  <c r="AS101" i="22" s="1"/>
  <c r="AS66" i="22" a="1"/>
  <c r="AS66" i="22" s="1"/>
  <c r="AS81" i="22" a="1"/>
  <c r="AS81" i="22" s="1"/>
  <c r="AS48" i="22" a="1"/>
  <c r="AS48" i="22" s="1"/>
  <c r="AS63" i="22" a="1"/>
  <c r="AS63" i="22" s="1"/>
  <c r="AS91" i="22" a="1"/>
  <c r="AS91" i="22" s="1"/>
  <c r="B45" i="22" a="1"/>
  <c r="B45" i="22" s="1"/>
  <c r="B58" i="22" a="1"/>
  <c r="B58" i="22" s="1"/>
  <c r="B24" i="22" a="1"/>
  <c r="B24" i="22" s="1"/>
  <c r="B18" i="22" a="1"/>
  <c r="B18" i="22" s="1"/>
  <c r="B35" i="22" a="1"/>
  <c r="B35" i="22" s="1"/>
  <c r="B25" i="22" a="1"/>
  <c r="B25" i="22" s="1"/>
  <c r="B20" i="22" a="1"/>
  <c r="B20" i="22" s="1"/>
  <c r="B49" i="22" a="1"/>
  <c r="B49" i="22" s="1"/>
  <c r="B60" i="22" a="1"/>
  <c r="B60" i="22" s="1"/>
  <c r="B66" i="22" a="1"/>
  <c r="B66" i="22" s="1"/>
  <c r="B75" i="22" a="1"/>
  <c r="B75" i="22" s="1"/>
  <c r="B21" i="22" a="1"/>
  <c r="B21" i="22" s="1"/>
  <c r="B47" i="22" a="1"/>
  <c r="B47" i="22" s="1"/>
  <c r="B48" i="22" a="1"/>
  <c r="B48" i="22" s="1"/>
  <c r="B59" i="22" a="1"/>
  <c r="B59" i="22" s="1"/>
  <c r="B57" i="22" a="1"/>
  <c r="B57" i="22" s="1"/>
  <c r="B52" i="22" a="1"/>
  <c r="B52" i="22" s="1"/>
  <c r="B55" i="22" a="1"/>
  <c r="B55" i="22" s="1"/>
  <c r="B72" i="22" a="1"/>
  <c r="B72" i="22" s="1"/>
  <c r="B34" i="22" a="1"/>
  <c r="B34" i="22" s="1"/>
  <c r="B76" i="22" a="1"/>
  <c r="B76" i="22" s="1"/>
  <c r="B53" i="22" a="1"/>
  <c r="B53" i="22" s="1"/>
  <c r="B79" i="22" a="1"/>
  <c r="B79" i="22" s="1"/>
  <c r="B36" i="22" a="1"/>
  <c r="B36" i="22" s="1"/>
  <c r="B50" i="22" a="1"/>
  <c r="B50" i="22" s="1"/>
  <c r="B65" i="22" a="1"/>
  <c r="B65" i="22" s="1"/>
  <c r="B71" i="22" a="1"/>
  <c r="B71" i="22" s="1"/>
  <c r="B54" i="22" a="1"/>
  <c r="B54" i="22" s="1"/>
  <c r="B74" i="22" a="1"/>
  <c r="B74" i="22" s="1"/>
  <c r="B51" i="22" a="1"/>
  <c r="B51" i="22" s="1"/>
  <c r="B67" i="22" a="1"/>
  <c r="B67" i="22" s="1"/>
  <c r="B80" i="22" a="1"/>
  <c r="B80" i="22" s="1"/>
  <c r="B19" i="22" a="1"/>
  <c r="B19" i="22" s="1"/>
  <c r="B46" i="22" a="1"/>
  <c r="B46" i="22" s="1"/>
  <c r="B56" i="22" a="1"/>
  <c r="B56" i="22" s="1"/>
  <c r="B77" i="22" a="1"/>
  <c r="B77" i="22" s="1"/>
  <c r="Y49" i="22" a="1"/>
  <c r="Y49" i="22" s="1"/>
  <c r="P60" i="22" a="1"/>
  <c r="P60" i="22" s="1"/>
  <c r="P100" i="22" a="1"/>
  <c r="P100" i="22" s="1"/>
  <c r="Q97" i="22" a="1"/>
  <c r="Q97" i="22" s="1"/>
  <c r="R97" i="22" s="1" a="1"/>
  <c r="R97" i="22" s="1"/>
  <c r="S97" i="22" s="1" a="1"/>
  <c r="S97" i="22" s="1"/>
  <c r="P46" i="22" a="1"/>
  <c r="P46" i="22" s="1"/>
  <c r="Q75" i="22" a="1"/>
  <c r="Q75" i="22" s="1"/>
  <c r="R75" i="22" s="1" a="1"/>
  <c r="R75" i="22" s="1"/>
  <c r="T75" i="22" s="1" a="1"/>
  <c r="T75" i="22" s="1"/>
  <c r="AB98" i="22" a="1"/>
  <c r="AB98" i="22" s="1"/>
  <c r="X80" i="22" a="1"/>
  <c r="X80" i="22" s="1"/>
  <c r="W101" i="22"/>
  <c r="P79" i="22" a="1"/>
  <c r="P79" i="22" s="1"/>
  <c r="P95" i="22" a="1"/>
  <c r="P95" i="22" s="1"/>
  <c r="Y66" i="22" a="1"/>
  <c r="Y66" i="22" s="1"/>
  <c r="AA48" i="22" a="1"/>
  <c r="AA48" i="22" s="1"/>
  <c r="Y91" i="22" a="1"/>
  <c r="Y91" i="22" s="1"/>
  <c r="Q19" i="22" a="1"/>
  <c r="Q19" i="22" s="1"/>
  <c r="R19" i="22" s="1" a="1"/>
  <c r="R19" i="22" s="1"/>
  <c r="T19" i="22" s="1" a="1"/>
  <c r="T19" i="22" s="1"/>
  <c r="Q54" i="22" a="1"/>
  <c r="Q54" i="22" s="1"/>
  <c r="R54" i="22" s="1" a="1"/>
  <c r="R54" i="22" s="1"/>
  <c r="T54" i="22" s="1" a="1"/>
  <c r="T54" i="22" s="1"/>
  <c r="AA24" i="22" a="1"/>
  <c r="AA24" i="22" s="1"/>
  <c r="AJ50" i="22" a="1"/>
  <c r="AJ50" i="22" s="1"/>
  <c r="Z67" i="22"/>
  <c r="AF18" i="22" a="1"/>
  <c r="AF18" i="22" s="1"/>
  <c r="AB52" i="22" a="1"/>
  <c r="AB52" i="22" s="1"/>
  <c r="V78" i="22"/>
  <c r="Q59" i="22" a="1"/>
  <c r="Q59" i="22" s="1"/>
  <c r="R59" i="22" s="1" a="1"/>
  <c r="R59" i="22" s="1"/>
  <c r="S59" i="22" s="1" a="1"/>
  <c r="S59" i="22" s="1"/>
  <c r="Q20" i="22" a="1"/>
  <c r="Q20" i="22" s="1"/>
  <c r="R20" i="22" s="1" a="1"/>
  <c r="R20" i="22" s="1"/>
  <c r="T20" i="22" s="1" a="1"/>
  <c r="T20" i="22" s="1"/>
  <c r="Y77" i="22" a="1"/>
  <c r="Y77" i="22" s="1"/>
  <c r="P72" i="22" a="1"/>
  <c r="P72" i="22" s="1"/>
  <c r="P94" i="22" a="1"/>
  <c r="P94" i="22" s="1"/>
  <c r="AF56" i="22" a="1"/>
  <c r="AF56" i="22" s="1"/>
  <c r="Q92" i="22" a="1"/>
  <c r="Q92" i="22" s="1"/>
  <c r="R92" i="22" s="1" a="1"/>
  <c r="R92" i="22" s="1"/>
  <c r="T92" i="22" s="1" a="1"/>
  <c r="T92" i="22" s="1"/>
  <c r="AB51" i="22" a="1"/>
  <c r="AB51" i="22" s="1"/>
  <c r="AA36" i="22" a="1"/>
  <c r="AA36" i="22" s="1"/>
  <c r="Q34" i="22" a="1"/>
  <c r="Q34" i="22" s="1"/>
  <c r="R34" i="22" s="1" a="1"/>
  <c r="R34" i="22" s="1"/>
  <c r="T34" i="22" s="1" a="1"/>
  <c r="T34" i="22" s="1"/>
  <c r="V90" i="22"/>
  <c r="V58" i="22"/>
  <c r="AB45" i="22" a="1"/>
  <c r="AB45" i="22" s="1"/>
  <c r="P93" i="22" a="1"/>
  <c r="P93" i="22" s="1"/>
  <c r="V21" i="22"/>
  <c r="Q35" i="22" a="1"/>
  <c r="Q35" i="22" s="1"/>
  <c r="R35" i="22" s="1" a="1"/>
  <c r="R35" i="22" s="1"/>
  <c r="S35" i="22" s="1" a="1"/>
  <c r="S35" i="22" s="1"/>
  <c r="P73" i="22" a="1"/>
  <c r="P73" i="22" s="1"/>
  <c r="W99" i="22"/>
  <c r="AA57" i="22" a="1"/>
  <c r="AA57" i="22" s="1"/>
  <c r="Z55" i="22"/>
  <c r="AB76" i="22" a="1"/>
  <c r="AB76" i="22" s="1"/>
  <c r="Q25" i="22" a="1"/>
  <c r="Q25" i="22" s="1"/>
  <c r="R25" i="22" s="1" a="1"/>
  <c r="R25" i="22" s="1"/>
  <c r="S25" i="22" s="1" a="1"/>
  <c r="S25" i="22" s="1"/>
  <c r="AB53" i="22" a="1"/>
  <c r="AB53" i="22" s="1"/>
  <c r="AF71" i="22" a="1"/>
  <c r="AF71" i="22" s="1"/>
  <c r="Y65" i="22" a="1"/>
  <c r="Y65" i="22" s="1"/>
  <c r="Y47" i="22" a="1"/>
  <c r="Y47" i="22" s="1"/>
  <c r="P61" i="22" a="1"/>
  <c r="P61" i="22" s="1"/>
  <c r="Z61" i="22" s="1"/>
  <c r="P74" i="22" a="1"/>
  <c r="P74" i="22" s="1"/>
  <c r="Z96" i="22"/>
  <c r="G47" i="22" a="1"/>
  <c r="G47" i="22" s="1"/>
  <c r="G49" i="22" a="1"/>
  <c r="G49" i="22" s="1"/>
  <c r="G48" i="22" a="1"/>
  <c r="G48" i="22" s="1"/>
  <c r="G60" i="22" a="1"/>
  <c r="G60" i="22" s="1"/>
  <c r="G67" i="22" a="1"/>
  <c r="G67" i="22" s="1"/>
  <c r="G80" i="22" a="1"/>
  <c r="G80" i="22" s="1"/>
  <c r="G58" i="22" a="1"/>
  <c r="G58" i="22" s="1"/>
  <c r="G45" i="22" a="1"/>
  <c r="G45" i="22" s="1"/>
  <c r="G51" i="22" a="1"/>
  <c r="G51" i="22" s="1"/>
  <c r="G19" i="22" a="1"/>
  <c r="G19" i="22" s="1"/>
  <c r="L19" i="22" a="1"/>
  <c r="L19" i="22" s="1"/>
  <c r="L20" i="22" s="1" a="1"/>
  <c r="L20" i="22" s="1"/>
  <c r="L21" i="22" s="1" a="1"/>
  <c r="L21" i="22" s="1"/>
  <c r="G73" i="22" a="1"/>
  <c r="G73" i="22" s="1"/>
  <c r="G46" i="22" a="1"/>
  <c r="G46" i="22" s="1"/>
  <c r="G56" i="22" a="1"/>
  <c r="G56" i="22" s="1"/>
  <c r="G77" i="22" a="1"/>
  <c r="G77" i="22" s="1"/>
  <c r="G55" i="22" a="1"/>
  <c r="G55" i="22" s="1"/>
  <c r="G75" i="22" a="1"/>
  <c r="G75" i="22" s="1"/>
  <c r="G21" i="22" a="1"/>
  <c r="G21" i="22" s="1"/>
  <c r="G72" i="22" a="1"/>
  <c r="G72" i="22" s="1"/>
  <c r="G59" i="22" a="1"/>
  <c r="G59" i="22" s="1"/>
  <c r="G78" i="22" a="1"/>
  <c r="G78" i="22" s="1"/>
  <c r="G66" i="22" a="1"/>
  <c r="G66" i="22" s="1"/>
  <c r="G65" i="22" a="1"/>
  <c r="G65" i="22" s="1"/>
  <c r="G34" i="22" a="1"/>
  <c r="G34" i="22" s="1"/>
  <c r="G76" i="22" a="1"/>
  <c r="G76" i="22" s="1"/>
  <c r="G53" i="22" a="1"/>
  <c r="G53" i="22" s="1"/>
  <c r="G36" i="22" a="1"/>
  <c r="G36" i="22" s="1"/>
  <c r="G50" i="22" a="1"/>
  <c r="G50" i="22" s="1"/>
  <c r="G71" i="22" a="1"/>
  <c r="G71" i="22" s="1"/>
  <c r="G54" i="22" a="1"/>
  <c r="G54" i="22" s="1"/>
  <c r="G74" i="22" a="1"/>
  <c r="G74" i="22" s="1"/>
  <c r="G79" i="22" a="1"/>
  <c r="G79" i="22" s="1"/>
  <c r="G57" i="22" a="1"/>
  <c r="G57" i="22" s="1"/>
  <c r="G52" i="22" a="1"/>
  <c r="G52" i="22" s="1"/>
  <c r="AD91" i="22" a="1"/>
  <c r="AD91" i="22" s="1"/>
  <c r="V100" i="22"/>
  <c r="AJ100" i="22" a="1"/>
  <c r="AJ100" i="22" s="1"/>
  <c r="Q100" i="22" a="1"/>
  <c r="Q100" i="22" s="1"/>
  <c r="R100" i="22" s="1" a="1"/>
  <c r="R100" i="22" s="1"/>
  <c r="S100" i="22" s="1" a="1"/>
  <c r="S100" i="22" s="1"/>
  <c r="Y100" i="22" a="1"/>
  <c r="Y100" i="22" s="1"/>
  <c r="AD95" i="22" a="1"/>
  <c r="AD95" i="22" s="1"/>
  <c r="P97" i="22" a="1"/>
  <c r="P97" i="22" s="1"/>
  <c r="AJ97" i="22" a="1"/>
  <c r="AJ97" i="22" s="1"/>
  <c r="Z97" i="22"/>
  <c r="AF100" i="22" a="1"/>
  <c r="AF100" i="22" s="1"/>
  <c r="Y94" i="22" a="1"/>
  <c r="Y94" i="22" s="1"/>
  <c r="X94" i="22" a="1"/>
  <c r="X94" i="22" s="1"/>
  <c r="V97" i="22"/>
  <c r="X100" i="22" a="1"/>
  <c r="X100" i="22" s="1"/>
  <c r="X90" i="22" a="1"/>
  <c r="X90" i="22" s="1"/>
  <c r="AD90" i="22" a="1"/>
  <c r="AD90" i="22" s="1"/>
  <c r="Q90" i="22" a="1"/>
  <c r="Q90" i="22" s="1"/>
  <c r="R90" i="22" s="1" a="1"/>
  <c r="R90" i="22" s="1"/>
  <c r="S90" i="22" s="1" a="1"/>
  <c r="S90" i="22" s="1"/>
  <c r="AA90" i="22" a="1"/>
  <c r="AA90" i="22" s="1"/>
  <c r="AJ90" i="22" a="1"/>
  <c r="AJ90" i="22" s="1"/>
  <c r="AB90" i="22" a="1"/>
  <c r="AB90" i="22" s="1"/>
  <c r="AJ99" i="22" a="1"/>
  <c r="AJ99" i="22" s="1"/>
  <c r="V92" i="22"/>
  <c r="AB92" i="22" a="1"/>
  <c r="AB92" i="22" s="1"/>
  <c r="AB95" i="22" a="1"/>
  <c r="AB95" i="22" s="1"/>
  <c r="X95" i="22" a="1"/>
  <c r="X95" i="22" s="1"/>
  <c r="Q95" i="22" a="1"/>
  <c r="Q95" i="22" s="1"/>
  <c r="R95" i="22" s="1" a="1"/>
  <c r="R95" i="22" s="1"/>
  <c r="S95" i="22" s="1" a="1"/>
  <c r="S95" i="22" s="1"/>
  <c r="AF90" i="22" a="1"/>
  <c r="AF90" i="22" s="1"/>
  <c r="Y90" i="22" a="1"/>
  <c r="Y90" i="22" s="1"/>
  <c r="P91" i="22" a="1"/>
  <c r="P91" i="22" s="1"/>
  <c r="Z91" i="22"/>
  <c r="AJ92" i="22" a="1"/>
  <c r="AJ92" i="22" s="1"/>
  <c r="Y92" i="22" a="1"/>
  <c r="Y92" i="22" s="1"/>
  <c r="Z90" i="22"/>
  <c r="X92" i="22" a="1"/>
  <c r="X92" i="22" s="1"/>
  <c r="P90" i="22" a="1"/>
  <c r="P90" i="22" s="1"/>
  <c r="AF92" i="22" a="1"/>
  <c r="AF92" i="22" s="1"/>
  <c r="W90" i="22"/>
  <c r="P99" i="22" a="1"/>
  <c r="P99" i="22" s="1"/>
  <c r="Z95" i="22"/>
  <c r="Y99" i="22" a="1"/>
  <c r="Y99" i="22" s="1"/>
  <c r="AA95" i="22" a="1"/>
  <c r="AA95" i="22" s="1"/>
  <c r="AA94" i="22" a="1"/>
  <c r="AA94" i="22" s="1"/>
  <c r="Y95" i="22" a="1"/>
  <c r="Y95" i="22" s="1"/>
  <c r="AJ94" i="22" a="1"/>
  <c r="AJ94" i="22" s="1"/>
  <c r="AD94" i="22" a="1"/>
  <c r="AD94" i="22" s="1"/>
  <c r="W94" i="22"/>
  <c r="AF95" i="22" a="1"/>
  <c r="AF95" i="22" s="1"/>
  <c r="AB94" i="22" a="1"/>
  <c r="AB94" i="22" s="1"/>
  <c r="Z94" i="22"/>
  <c r="V94" i="22"/>
  <c r="Q94" i="22" a="1"/>
  <c r="Q94" i="22" s="1"/>
  <c r="R94" i="22" s="1" a="1"/>
  <c r="R94" i="22" s="1"/>
  <c r="T94" i="22" s="1" a="1"/>
  <c r="T94" i="22" s="1"/>
  <c r="AF94" i="22" a="1"/>
  <c r="AF94" i="22" s="1"/>
  <c r="W100" i="22"/>
  <c r="X99" i="22" a="1"/>
  <c r="X99" i="22" s="1"/>
  <c r="W97" i="22"/>
  <c r="AB100" i="22" a="1"/>
  <c r="AB100" i="22" s="1"/>
  <c r="Z99" i="22"/>
  <c r="AA97" i="22" a="1"/>
  <c r="AA97" i="22" s="1"/>
  <c r="AA100" i="22" a="1"/>
  <c r="AA100" i="22" s="1"/>
  <c r="AA99" i="22" a="1"/>
  <c r="AA99" i="22" s="1"/>
  <c r="V95" i="22"/>
  <c r="X97" i="22" a="1"/>
  <c r="X97" i="22" s="1"/>
  <c r="Z100" i="22"/>
  <c r="AB99" i="22" a="1"/>
  <c r="AB99" i="22" s="1"/>
  <c r="W95" i="22"/>
  <c r="Y97" i="22" a="1"/>
  <c r="Y97" i="22" s="1"/>
  <c r="Q99" i="22" a="1"/>
  <c r="Q99" i="22" s="1"/>
  <c r="R99" i="22" s="1" a="1"/>
  <c r="R99" i="22" s="1"/>
  <c r="S99" i="22" s="1" a="1"/>
  <c r="S99" i="22" s="1"/>
  <c r="AJ95" i="22" a="1"/>
  <c r="AJ95" i="22" s="1"/>
  <c r="AB97" i="22" a="1"/>
  <c r="AB97" i="22" s="1"/>
  <c r="AD100" i="22" a="1"/>
  <c r="AD100" i="22" s="1"/>
  <c r="AA96" i="22" a="1"/>
  <c r="AA96" i="22" s="1"/>
  <c r="AA101" i="22" a="1"/>
  <c r="AA101" i="22" s="1"/>
  <c r="Z92" i="22"/>
  <c r="P96" i="22" a="1"/>
  <c r="P96" i="22" s="1"/>
  <c r="AD92" i="22" a="1"/>
  <c r="AD92" i="22" s="1"/>
  <c r="AB101" i="22" a="1"/>
  <c r="AB101" i="22" s="1"/>
  <c r="P92" i="22" a="1"/>
  <c r="P92" i="22" s="1"/>
  <c r="X96" i="22" a="1"/>
  <c r="X96" i="22" s="1"/>
  <c r="X91" i="22" a="1"/>
  <c r="X91" i="22" s="1"/>
  <c r="AD99" i="22" a="1"/>
  <c r="AD99" i="22" s="1"/>
  <c r="W91" i="22"/>
  <c r="W92" i="22"/>
  <c r="V99" i="22"/>
  <c r="AJ91" i="22" a="1"/>
  <c r="AJ91" i="22" s="1"/>
  <c r="AA92" i="22" a="1"/>
  <c r="AA92" i="22" s="1"/>
  <c r="AF99" i="22" a="1"/>
  <c r="AF99" i="22" s="1"/>
  <c r="AA91" i="22" a="1"/>
  <c r="AA91" i="22" s="1"/>
  <c r="V101" i="22"/>
  <c r="W96" i="22"/>
  <c r="AD93" i="22" a="1"/>
  <c r="AD93" i="22" s="1"/>
  <c r="AJ101" i="22" a="1"/>
  <c r="AJ101" i="22" s="1"/>
  <c r="AA93" i="22" a="1"/>
  <c r="AA93" i="22" s="1"/>
  <c r="AB96" i="22" a="1"/>
  <c r="AB96" i="22" s="1"/>
  <c r="Q101" i="22" a="1"/>
  <c r="Q101" i="22" s="1"/>
  <c r="R101" i="22" s="1" a="1"/>
  <c r="R101" i="22" s="1"/>
  <c r="T101" i="22" s="1" a="1"/>
  <c r="T101" i="22" s="1"/>
  <c r="V91" i="22"/>
  <c r="AF93" i="22" a="1"/>
  <c r="AF93" i="22" s="1"/>
  <c r="Q96" i="22" a="1"/>
  <c r="Q96" i="22" s="1"/>
  <c r="R96" i="22" s="1" a="1"/>
  <c r="R96" i="22" s="1"/>
  <c r="S96" i="22" s="1" a="1"/>
  <c r="S96" i="22" s="1"/>
  <c r="Y98" i="22" a="1"/>
  <c r="Y98" i="22" s="1"/>
  <c r="Y101" i="22" a="1"/>
  <c r="Y101" i="22" s="1"/>
  <c r="Y96" i="22" a="1"/>
  <c r="Y96" i="22" s="1"/>
  <c r="V98" i="22"/>
  <c r="Z101" i="22"/>
  <c r="AB91" i="22" a="1"/>
  <c r="AB91" i="22" s="1"/>
  <c r="AF96" i="22" a="1"/>
  <c r="AF96" i="22" s="1"/>
  <c r="AJ98" i="22" a="1"/>
  <c r="AJ98" i="22" s="1"/>
  <c r="AF101" i="22" a="1"/>
  <c r="AF101" i="22" s="1"/>
  <c r="Z98" i="22"/>
  <c r="P101" i="22" a="1"/>
  <c r="P101" i="22" s="1"/>
  <c r="V96" i="22"/>
  <c r="AA98" i="22" a="1"/>
  <c r="AA98" i="22" s="1"/>
  <c r="X101" i="22" a="1"/>
  <c r="X101" i="22" s="1"/>
  <c r="AD101" i="22" a="1"/>
  <c r="AD101" i="22" s="1"/>
  <c r="AF91" i="22" a="1"/>
  <c r="AF91" i="22" s="1"/>
  <c r="AJ96" i="22" a="1"/>
  <c r="AJ96" i="22" s="1"/>
  <c r="AF97" i="22" a="1"/>
  <c r="AF97" i="22" s="1"/>
  <c r="AD97" i="22" a="1"/>
  <c r="AD97" i="22" s="1"/>
  <c r="Q91" i="22" a="1"/>
  <c r="Q91" i="22" s="1"/>
  <c r="R91" i="22" s="1" a="1"/>
  <c r="R91" i="22" s="1"/>
  <c r="S91" i="22" s="1" a="1"/>
  <c r="S91" i="22" s="1"/>
  <c r="AD96" i="22" a="1"/>
  <c r="AD96" i="22" s="1"/>
  <c r="X93" i="22" a="1"/>
  <c r="X93" i="22" s="1"/>
  <c r="Z93" i="22"/>
  <c r="AD98" i="22" a="1"/>
  <c r="AD98" i="22" s="1"/>
  <c r="AJ93" i="22" a="1"/>
  <c r="AJ93" i="22" s="1"/>
  <c r="AB93" i="22" a="1"/>
  <c r="AB93" i="22" s="1"/>
  <c r="X98" i="22" a="1"/>
  <c r="X98" i="22" s="1"/>
  <c r="V93" i="22"/>
  <c r="W98" i="22"/>
  <c r="Q93" i="22" a="1"/>
  <c r="Q93" i="22" s="1"/>
  <c r="R93" i="22" s="1" a="1"/>
  <c r="R93" i="22" s="1"/>
  <c r="S93" i="22" s="1" a="1"/>
  <c r="S93" i="22" s="1"/>
  <c r="AF98" i="22" a="1"/>
  <c r="AF98" i="22" s="1"/>
  <c r="Y93" i="22" a="1"/>
  <c r="Y93" i="22" s="1"/>
  <c r="Q98" i="22" a="1"/>
  <c r="Q98" i="22" s="1"/>
  <c r="R98" i="22" s="1" a="1"/>
  <c r="R98" i="22" s="1"/>
  <c r="S98" i="22" s="1" a="1"/>
  <c r="S98" i="22" s="1"/>
  <c r="W93" i="22"/>
  <c r="P98" i="22" a="1"/>
  <c r="P98" i="22" s="1"/>
  <c r="AK80" i="22"/>
  <c r="AK89" i="22"/>
  <c r="AK90" i="22"/>
  <c r="AK91" i="22"/>
  <c r="AK93" i="22"/>
  <c r="AK92" i="22"/>
  <c r="AK94" i="22"/>
  <c r="AK87" i="22"/>
  <c r="AK88" i="22"/>
  <c r="AK95" i="22"/>
  <c r="AK96" i="22"/>
  <c r="AK97" i="22"/>
  <c r="AK98" i="22"/>
  <c r="AK99" i="22"/>
  <c r="AK100" i="22"/>
  <c r="AK101" i="22"/>
  <c r="G100" i="22" a="1"/>
  <c r="G100" i="22" s="1"/>
  <c r="C100" i="22" a="1"/>
  <c r="C100" i="22" s="1"/>
  <c r="AG100" i="22" a="1"/>
  <c r="AG100" i="22" s="1"/>
  <c r="AE100" i="22" a="1"/>
  <c r="AE100" i="22" s="1"/>
  <c r="AI100" i="22" a="1"/>
  <c r="AI100" i="22" s="1"/>
  <c r="K100" i="22" a="1"/>
  <c r="K100" i="22" s="1"/>
  <c r="AC100" i="22" a="1"/>
  <c r="AC100" i="22" s="1"/>
  <c r="F100" i="22"/>
  <c r="AI90" i="22" a="1"/>
  <c r="AI90" i="22" s="1"/>
  <c r="K90" i="22" a="1"/>
  <c r="K90" i="22" s="1"/>
  <c r="AC90" i="22" a="1"/>
  <c r="AC90" i="22" s="1"/>
  <c r="AG90" i="22" a="1"/>
  <c r="AG90" i="22" s="1"/>
  <c r="G90" i="22" a="1"/>
  <c r="G90" i="22" s="1"/>
  <c r="F90" i="22"/>
  <c r="C90" i="22" a="1"/>
  <c r="C90" i="22" s="1"/>
  <c r="AE90" i="22" a="1"/>
  <c r="AE90" i="22" s="1"/>
  <c r="G91" i="22" a="1"/>
  <c r="G91" i="22" s="1"/>
  <c r="AI91" i="22" a="1"/>
  <c r="AI91" i="22" s="1"/>
  <c r="K91" i="22" a="1"/>
  <c r="K91" i="22" s="1"/>
  <c r="AC91" i="22" a="1"/>
  <c r="AC91" i="22" s="1"/>
  <c r="AE91" i="22" a="1"/>
  <c r="AE91" i="22" s="1"/>
  <c r="F91" i="22"/>
  <c r="AG91" i="22" a="1"/>
  <c r="AG91" i="22" s="1"/>
  <c r="C91" i="22" a="1"/>
  <c r="C91" i="22" s="1"/>
  <c r="G98" i="22" a="1"/>
  <c r="G98" i="22" s="1"/>
  <c r="AI98" i="22" a="1"/>
  <c r="AI98" i="22" s="1"/>
  <c r="K98" i="22" a="1"/>
  <c r="K98" i="22" s="1"/>
  <c r="AC98" i="22" a="1"/>
  <c r="AC98" i="22" s="1"/>
  <c r="AE98" i="22" a="1"/>
  <c r="AE98" i="22" s="1"/>
  <c r="AG98" i="22" a="1"/>
  <c r="AG98" i="22" s="1"/>
  <c r="C98" i="22" a="1"/>
  <c r="C98" i="22" s="1"/>
  <c r="F98" i="22"/>
  <c r="C93" i="22" a="1"/>
  <c r="C93" i="22" s="1"/>
  <c r="AG93" i="22" a="1"/>
  <c r="AG93" i="22" s="1"/>
  <c r="G93" i="22" a="1"/>
  <c r="G93" i="22" s="1"/>
  <c r="AC93" i="22" a="1"/>
  <c r="AC93" i="22" s="1"/>
  <c r="AI93" i="22" a="1"/>
  <c r="AI93" i="22" s="1"/>
  <c r="K93" i="22" a="1"/>
  <c r="K93" i="22" s="1"/>
  <c r="F93" i="22"/>
  <c r="AE93" i="22" a="1"/>
  <c r="AE93" i="22" s="1"/>
  <c r="AE94" i="22" a="1"/>
  <c r="AE94" i="22" s="1"/>
  <c r="AG94" i="22" a="1"/>
  <c r="AG94" i="22" s="1"/>
  <c r="C94" i="22" a="1"/>
  <c r="C94" i="22" s="1"/>
  <c r="G94" i="22" a="1"/>
  <c r="G94" i="22" s="1"/>
  <c r="AI94" i="22" a="1"/>
  <c r="AI94" i="22" s="1"/>
  <c r="AC94" i="22" a="1"/>
  <c r="AC94" i="22" s="1"/>
  <c r="K94" i="22" a="1"/>
  <c r="K94" i="22" s="1"/>
  <c r="F94" i="22"/>
  <c r="AG92" i="22" a="1"/>
  <c r="AG92" i="22" s="1"/>
  <c r="AI92" i="22" a="1"/>
  <c r="AI92" i="22" s="1"/>
  <c r="K92" i="22" a="1"/>
  <c r="K92" i="22" s="1"/>
  <c r="G92" i="22" a="1"/>
  <c r="G92" i="22" s="1"/>
  <c r="AC92" i="22" a="1"/>
  <c r="AC92" i="22" s="1"/>
  <c r="C92" i="22" a="1"/>
  <c r="C92" i="22" s="1"/>
  <c r="F92" i="22"/>
  <c r="AE92" i="22" a="1"/>
  <c r="AE92" i="22" s="1"/>
  <c r="AE95" i="22" a="1"/>
  <c r="AE95" i="22" s="1"/>
  <c r="C95" i="22" a="1"/>
  <c r="C95" i="22" s="1"/>
  <c r="AI95" i="22" a="1"/>
  <c r="AI95" i="22" s="1"/>
  <c r="G95" i="22" a="1"/>
  <c r="G95" i="22" s="1"/>
  <c r="AG95" i="22" a="1"/>
  <c r="AG95" i="22" s="1"/>
  <c r="AC95" i="22" a="1"/>
  <c r="AC95" i="22" s="1"/>
  <c r="K95" i="22" a="1"/>
  <c r="K95" i="22" s="1"/>
  <c r="F95" i="22"/>
  <c r="AG99" i="22" a="1"/>
  <c r="AG99" i="22" s="1"/>
  <c r="AI99" i="22" a="1"/>
  <c r="AI99" i="22" s="1"/>
  <c r="G99" i="22" a="1"/>
  <c r="G99" i="22" s="1"/>
  <c r="K99" i="22" a="1"/>
  <c r="K99" i="22" s="1"/>
  <c r="AE99" i="22" a="1"/>
  <c r="AE99" i="22" s="1"/>
  <c r="AC99" i="22" a="1"/>
  <c r="AC99" i="22" s="1"/>
  <c r="C99" i="22" a="1"/>
  <c r="C99" i="22" s="1"/>
  <c r="F99" i="22"/>
  <c r="AE101" i="22" a="1"/>
  <c r="AE101" i="22" s="1"/>
  <c r="C101" i="22" a="1"/>
  <c r="C101" i="22" s="1"/>
  <c r="AG101" i="22" a="1"/>
  <c r="AG101" i="22" s="1"/>
  <c r="K101" i="22" a="1"/>
  <c r="K101" i="22" s="1"/>
  <c r="AC101" i="22" a="1"/>
  <c r="AC101" i="22" s="1"/>
  <c r="AI101" i="22" a="1"/>
  <c r="AI101" i="22" s="1"/>
  <c r="G101" i="22" a="1"/>
  <c r="G101" i="22" s="1"/>
  <c r="F101" i="22"/>
  <c r="AI97" i="22" a="1"/>
  <c r="AI97" i="22" s="1"/>
  <c r="K97" i="22" a="1"/>
  <c r="K97" i="22" s="1"/>
  <c r="AC97" i="22" a="1"/>
  <c r="AC97" i="22" s="1"/>
  <c r="AE97" i="22" a="1"/>
  <c r="AE97" i="22" s="1"/>
  <c r="C97" i="22" a="1"/>
  <c r="C97" i="22" s="1"/>
  <c r="AG97" i="22" a="1"/>
  <c r="AG97" i="22" s="1"/>
  <c r="G97" i="22" a="1"/>
  <c r="G97" i="22" s="1"/>
  <c r="F97" i="22"/>
  <c r="AC96" i="22" a="1"/>
  <c r="AC96" i="22" s="1"/>
  <c r="AE96" i="22" a="1"/>
  <c r="AE96" i="22" s="1"/>
  <c r="C96" i="22" a="1"/>
  <c r="C96" i="22" s="1"/>
  <c r="G96" i="22" a="1"/>
  <c r="G96" i="22" s="1"/>
  <c r="AG96" i="22" a="1"/>
  <c r="AG96" i="22" s="1"/>
  <c r="AI96" i="22" a="1"/>
  <c r="AI96" i="22" s="1"/>
  <c r="K96" i="22" a="1"/>
  <c r="K96" i="22" s="1"/>
  <c r="F96" i="22"/>
  <c r="K58" i="22" a="1"/>
  <c r="K58" i="22" s="1"/>
  <c r="C72" i="22" a="1"/>
  <c r="C72" i="22" s="1"/>
  <c r="AE53" i="22" a="1"/>
  <c r="AE53" i="22" s="1"/>
  <c r="AE36" i="22" a="1"/>
  <c r="AE36" i="22" s="1"/>
  <c r="C50" i="22" a="1"/>
  <c r="C50" i="22" s="1"/>
  <c r="C54" i="22" a="1"/>
  <c r="C54" i="22" s="1"/>
  <c r="AG57" i="22" a="1"/>
  <c r="AG57" i="22" s="1"/>
  <c r="K51" i="22" a="1"/>
  <c r="K51" i="22" s="1"/>
  <c r="C47" i="22" a="1"/>
  <c r="C47" i="22" s="1"/>
  <c r="K49" i="22" a="1"/>
  <c r="K49" i="22" s="1"/>
  <c r="C60" i="22" a="1"/>
  <c r="C60" i="22" s="1"/>
  <c r="AG80" i="22" a="1"/>
  <c r="AG80" i="22" s="1"/>
  <c r="C19" i="22" a="1"/>
  <c r="C19" i="22" s="1"/>
  <c r="AI73" i="22" a="1"/>
  <c r="AI73" i="22" s="1"/>
  <c r="AE46" i="22" a="1"/>
  <c r="AE46" i="22" s="1"/>
  <c r="AE56" i="22" a="1"/>
  <c r="AE56" i="22" s="1"/>
  <c r="AG77" i="22" a="1"/>
  <c r="AG77" i="22" s="1"/>
  <c r="K74" i="22" a="1"/>
  <c r="K74" i="22" s="1"/>
  <c r="C66" i="22" a="1"/>
  <c r="C66" i="22" s="1"/>
  <c r="AG65" i="22" a="1"/>
  <c r="AG65" i="22" s="1"/>
  <c r="Q65" i="22" a="1"/>
  <c r="Q65" i="22" s="1"/>
  <c r="R65" i="22" s="1" a="1"/>
  <c r="R65" i="22" s="1"/>
  <c r="S65" i="22" s="1" a="1"/>
  <c r="S65" i="22" s="1"/>
  <c r="Y74" i="22" a="1"/>
  <c r="Y74" i="22" s="1"/>
  <c r="AA76" i="22" a="1"/>
  <c r="AA76" i="22" s="1"/>
  <c r="X65" i="22" a="1"/>
  <c r="X65" i="22" s="1"/>
  <c r="C80" i="22" a="1"/>
  <c r="C80" i="22" s="1"/>
  <c r="AD20" i="22" a="1"/>
  <c r="AD20" i="22" s="1"/>
  <c r="AE80" i="22" a="1"/>
  <c r="AE80" i="22" s="1"/>
  <c r="AA65" i="22" a="1"/>
  <c r="AA65" i="22" s="1"/>
  <c r="K80" i="22" a="1"/>
  <c r="K80" i="22" s="1"/>
  <c r="AJ24" i="22" a="1"/>
  <c r="AJ24" i="22" s="1"/>
  <c r="X24" i="22" a="1"/>
  <c r="X24" i="22" s="1"/>
  <c r="X20" i="22" a="1"/>
  <c r="X20" i="22" s="1"/>
  <c r="Z20" i="22"/>
  <c r="AE60" i="22" a="1"/>
  <c r="AE60" i="22" s="1"/>
  <c r="K60" i="22" a="1"/>
  <c r="K60" i="22" s="1"/>
  <c r="AJ20" i="22" a="1"/>
  <c r="AJ20" i="22" s="1"/>
  <c r="AA20" i="22" a="1"/>
  <c r="AA20" i="22" s="1"/>
  <c r="Y20" i="22" a="1"/>
  <c r="Y20" i="22" s="1"/>
  <c r="AI20" i="22" a="1"/>
  <c r="AI20" i="22" s="1"/>
  <c r="V20" i="22"/>
  <c r="AF20" i="22" a="1"/>
  <c r="AF20" i="22" s="1"/>
  <c r="P20" i="22" a="1"/>
  <c r="P20" i="22" s="1"/>
  <c r="U20" i="22" s="1"/>
  <c r="AA19" i="22" a="1"/>
  <c r="AA19" i="22" s="1"/>
  <c r="AB20" i="22" a="1"/>
  <c r="AB20" i="22" s="1"/>
  <c r="P19" i="22" a="1"/>
  <c r="P19" i="22" s="1"/>
  <c r="U19" i="22" s="1"/>
  <c r="W20" i="22"/>
  <c r="X19" i="22" a="1"/>
  <c r="X19" i="22" s="1"/>
  <c r="Z73" i="22"/>
  <c r="K77" i="22" a="1"/>
  <c r="K77" i="22" s="1"/>
  <c r="AF73" i="22" a="1"/>
  <c r="AF73" i="22" s="1"/>
  <c r="W73" i="22"/>
  <c r="V65" i="22"/>
  <c r="AJ73" i="22" a="1"/>
  <c r="AJ73" i="22" s="1"/>
  <c r="AB19" i="22" a="1"/>
  <c r="AB19" i="22" s="1"/>
  <c r="AA73" i="22" a="1"/>
  <c r="AA73" i="22" s="1"/>
  <c r="AF19" i="22" a="1"/>
  <c r="AF19" i="22" s="1"/>
  <c r="AI65" i="22" a="1"/>
  <c r="AI65" i="22" s="1"/>
  <c r="AF74" i="22" a="1"/>
  <c r="AF74" i="22" s="1"/>
  <c r="V73" i="22"/>
  <c r="Y19" i="22" a="1"/>
  <c r="Y19" i="22" s="1"/>
  <c r="AF65" i="22" a="1"/>
  <c r="AF65" i="22" s="1"/>
  <c r="Q73" i="22" a="1"/>
  <c r="Q73" i="22" s="1"/>
  <c r="R73" i="22" s="1" a="1"/>
  <c r="R73" i="22" s="1"/>
  <c r="T73" i="22" s="1" a="1"/>
  <c r="T73" i="22" s="1"/>
  <c r="V19" i="22"/>
  <c r="Z19" i="22"/>
  <c r="Y73" i="22" a="1"/>
  <c r="Y73" i="22" s="1"/>
  <c r="Z72" i="22"/>
  <c r="AJ19" i="22" a="1"/>
  <c r="AJ19" i="22" s="1"/>
  <c r="W19" i="22"/>
  <c r="X73" i="22" a="1"/>
  <c r="X73" i="22" s="1"/>
  <c r="AB73" i="22" a="1"/>
  <c r="AB73" i="22" s="1"/>
  <c r="AD24" i="22" a="1"/>
  <c r="AD24" i="22" s="1"/>
  <c r="Z24" i="22"/>
  <c r="Q24" i="22" a="1"/>
  <c r="Q24" i="22" s="1"/>
  <c r="R24" i="22" s="1" a="1"/>
  <c r="R24" i="22" s="1"/>
  <c r="S24" i="22" s="1" a="1"/>
  <c r="S24" i="22" s="1"/>
  <c r="W24" i="22"/>
  <c r="AB24" i="22" a="1"/>
  <c r="AB24" i="22" s="1"/>
  <c r="AI24" i="22" a="1"/>
  <c r="AI24" i="22" s="1"/>
  <c r="AF24" i="22" a="1"/>
  <c r="AF24" i="22" s="1"/>
  <c r="Y24" i="22" a="1"/>
  <c r="Y24" i="22" s="1"/>
  <c r="P24" i="22" a="1"/>
  <c r="P24" i="22" s="1"/>
  <c r="V24" i="22"/>
  <c r="Z65" i="22"/>
  <c r="Z76" i="22"/>
  <c r="AD76" i="22" a="1"/>
  <c r="AD76" i="22" s="1"/>
  <c r="AG60" i="22" a="1"/>
  <c r="AG60" i="22" s="1"/>
  <c r="P76" i="22" a="1"/>
  <c r="P76" i="22" s="1"/>
  <c r="Y75" i="22" a="1"/>
  <c r="Y75" i="22" s="1"/>
  <c r="W76" i="22"/>
  <c r="AJ76" i="22" a="1"/>
  <c r="AJ76" i="22" s="1"/>
  <c r="Q76" i="22" a="1"/>
  <c r="Q76" i="22" s="1"/>
  <c r="R76" i="22" s="1" a="1"/>
  <c r="R76" i="22" s="1"/>
  <c r="T76" i="22" s="1" a="1"/>
  <c r="T76" i="22" s="1"/>
  <c r="V76" i="22"/>
  <c r="X76" i="22" a="1"/>
  <c r="X76" i="22" s="1"/>
  <c r="Y76" i="22" a="1"/>
  <c r="Y76" i="22" s="1"/>
  <c r="AF76" i="22" a="1"/>
  <c r="AF76" i="22" s="1"/>
  <c r="Y72" i="22" a="1"/>
  <c r="Y72" i="22" s="1"/>
  <c r="W72" i="22"/>
  <c r="W74" i="22"/>
  <c r="AB74" i="22" a="1"/>
  <c r="AB74" i="22" s="1"/>
  <c r="Q74" i="22" a="1"/>
  <c r="Q74" i="22" s="1"/>
  <c r="R74" i="22" s="1" a="1"/>
  <c r="R74" i="22" s="1"/>
  <c r="T74" i="22" s="1" a="1"/>
  <c r="T74" i="22" s="1"/>
  <c r="AA74" i="22" a="1"/>
  <c r="AA74" i="22" s="1"/>
  <c r="X74" i="22" a="1"/>
  <c r="X74" i="22" s="1"/>
  <c r="V74" i="22"/>
  <c r="C77" i="22" a="1"/>
  <c r="C77" i="22" s="1"/>
  <c r="P34" i="22" a="1"/>
  <c r="P34" i="22" s="1"/>
  <c r="W56" i="22"/>
  <c r="AA72" i="22" a="1"/>
  <c r="AA72" i="22" s="1"/>
  <c r="AB34" i="22" a="1"/>
  <c r="AB34" i="22" s="1"/>
  <c r="AF34" i="22" a="1"/>
  <c r="AF34" i="22" s="1"/>
  <c r="X72" i="22" a="1"/>
  <c r="X72" i="22" s="1"/>
  <c r="Y59" i="22" a="1"/>
  <c r="Y59" i="22" s="1"/>
  <c r="W34" i="22"/>
  <c r="AJ34" i="22" a="1"/>
  <c r="AJ34" i="22" s="1"/>
  <c r="AA34" i="22" a="1"/>
  <c r="AA34" i="22" s="1"/>
  <c r="Q72" i="22" a="1"/>
  <c r="Q72" i="22" s="1"/>
  <c r="R72" i="22" s="1" a="1"/>
  <c r="R72" i="22" s="1"/>
  <c r="S72" i="22" s="1" a="1"/>
  <c r="S72" i="22" s="1"/>
  <c r="X56" i="22" a="1"/>
  <c r="X56" i="22" s="1"/>
  <c r="AJ56" i="22" a="1"/>
  <c r="AJ56" i="22" s="1"/>
  <c r="AE77" i="22" a="1"/>
  <c r="AE77" i="22" s="1"/>
  <c r="V72" i="22"/>
  <c r="AB72" i="22" a="1"/>
  <c r="AB72" i="22" s="1"/>
  <c r="P65" i="22" a="1"/>
  <c r="P65" i="22" s="1"/>
  <c r="AJ65" i="22" a="1"/>
  <c r="AJ65" i="22" s="1"/>
  <c r="W65" i="22"/>
  <c r="AD65" i="22" a="1"/>
  <c r="AD65" i="22" s="1"/>
  <c r="AB65" i="22" a="1"/>
  <c r="AB65" i="22" s="1"/>
  <c r="Z74" i="22"/>
  <c r="AB59" i="22" a="1"/>
  <c r="AB59" i="22" s="1"/>
  <c r="V59" i="22"/>
  <c r="AE65" i="22" a="1"/>
  <c r="AE65" i="22" s="1"/>
  <c r="AF72" i="22" a="1"/>
  <c r="AF72" i="22" s="1"/>
  <c r="AD34" i="22" a="1"/>
  <c r="AD34" i="22" s="1"/>
  <c r="AJ59" i="22" a="1"/>
  <c r="AJ59" i="22" s="1"/>
  <c r="X59" i="22" a="1"/>
  <c r="X59" i="22" s="1"/>
  <c r="P59" i="22" a="1"/>
  <c r="P59" i="22" s="1"/>
  <c r="AA59" i="22" a="1"/>
  <c r="AA59" i="22" s="1"/>
  <c r="K57" i="22" a="1"/>
  <c r="K57" i="22" s="1"/>
  <c r="AJ74" i="22" a="1"/>
  <c r="AJ74" i="22" s="1"/>
  <c r="W59" i="22"/>
  <c r="Z59" i="22"/>
  <c r="V34" i="22"/>
  <c r="Z34" i="22"/>
  <c r="AD60" i="22" a="1"/>
  <c r="AD60" i="22" s="1"/>
  <c r="AJ72" i="22" a="1"/>
  <c r="AJ72" i="22" s="1"/>
  <c r="X34" i="22" a="1"/>
  <c r="X34" i="22" s="1"/>
  <c r="Y34" i="22" a="1"/>
  <c r="Y34" i="22" s="1"/>
  <c r="AD59" i="22" a="1"/>
  <c r="AD59" i="22" s="1"/>
  <c r="AD46" i="22" a="1"/>
  <c r="AD46" i="22" s="1"/>
  <c r="AD56" i="22" a="1"/>
  <c r="AD56" i="22" s="1"/>
  <c r="Z56" i="22"/>
  <c r="Y56" i="22" a="1"/>
  <c r="Y56" i="22" s="1"/>
  <c r="P56" i="22" a="1"/>
  <c r="P56" i="22" s="1"/>
  <c r="K46" i="22" a="1"/>
  <c r="K46" i="22" s="1"/>
  <c r="C46" i="22" a="1"/>
  <c r="C46" i="22" s="1"/>
  <c r="AG56" i="22" a="1"/>
  <c r="AG56" i="22" s="1"/>
  <c r="AI80" i="22" a="1"/>
  <c r="AI80" i="22" s="1"/>
  <c r="V56" i="22"/>
  <c r="AI56" i="22" a="1"/>
  <c r="AI56" i="22" s="1"/>
  <c r="AI74" i="22" a="1"/>
  <c r="AI74" i="22" s="1"/>
  <c r="AG53" i="22" a="1"/>
  <c r="AG53" i="22" s="1"/>
  <c r="AB56" i="22" a="1"/>
  <c r="AB56" i="22" s="1"/>
  <c r="AF80" i="22" a="1"/>
  <c r="AF80" i="22" s="1"/>
  <c r="AG74" i="22" a="1"/>
  <c r="AG74" i="22" s="1"/>
  <c r="P80" i="22" a="1"/>
  <c r="P80" i="22" s="1"/>
  <c r="AD57" i="22" a="1"/>
  <c r="AD57" i="22" s="1"/>
  <c r="C57" i="22" a="1"/>
  <c r="C57" i="22" s="1"/>
  <c r="AA56" i="22" a="1"/>
  <c r="AA56" i="22" s="1"/>
  <c r="Q56" i="22" a="1"/>
  <c r="Q56" i="22" s="1"/>
  <c r="R56" i="22" s="1" a="1"/>
  <c r="R56" i="22" s="1"/>
  <c r="S56" i="22" s="1" a="1"/>
  <c r="S56" i="22" s="1"/>
  <c r="V48" i="22"/>
  <c r="AB48" i="22" a="1"/>
  <c r="AB48" i="22" s="1"/>
  <c r="W35" i="22"/>
  <c r="K56" i="22" a="1"/>
  <c r="K56" i="22" s="1"/>
  <c r="P48" i="22" a="1"/>
  <c r="P48" i="22" s="1"/>
  <c r="C56" i="22" a="1"/>
  <c r="C56" i="22" s="1"/>
  <c r="AD74" i="22" a="1"/>
  <c r="AD74" i="22" s="1"/>
  <c r="AE57" i="22" a="1"/>
  <c r="AE57" i="22" s="1"/>
  <c r="AF59" i="22" a="1"/>
  <c r="AF59" i="22" s="1"/>
  <c r="K53" i="22" a="1"/>
  <c r="K53" i="22" s="1"/>
  <c r="AF75" i="22" a="1"/>
  <c r="AF75" i="22" s="1"/>
  <c r="C73" i="22" a="1"/>
  <c r="C73" i="22" s="1"/>
  <c r="AD35" i="22" a="1"/>
  <c r="AD35" i="22" s="1"/>
  <c r="C48" i="22" a="1"/>
  <c r="C48" i="22" s="1"/>
  <c r="P35" i="22" a="1"/>
  <c r="P35" i="22" s="1"/>
  <c r="Q21" i="22" a="1"/>
  <c r="Q21" i="22" s="1"/>
  <c r="R21" i="22" s="1" a="1"/>
  <c r="R21" i="22" s="1"/>
  <c r="T21" i="22" s="1" a="1"/>
  <c r="T21" i="22" s="1"/>
  <c r="AE73" i="22" a="1"/>
  <c r="AE73" i="22" s="1"/>
  <c r="AJ35" i="22" a="1"/>
  <c r="AJ35" i="22" s="1"/>
  <c r="AD21" i="22" a="1"/>
  <c r="AD21" i="22" s="1"/>
  <c r="V45" i="22"/>
  <c r="AJ45" i="22" a="1"/>
  <c r="AJ45" i="22" s="1"/>
  <c r="X45" i="22" a="1"/>
  <c r="X45" i="22" s="1"/>
  <c r="C65" i="22" a="1"/>
  <c r="C65" i="22" s="1"/>
  <c r="AI48" i="22" a="1"/>
  <c r="AI48" i="22" s="1"/>
  <c r="AF35" i="22" a="1"/>
  <c r="AF35" i="22" s="1"/>
  <c r="AG48" i="22" a="1"/>
  <c r="AG48" i="22" s="1"/>
  <c r="K73" i="22" a="1"/>
  <c r="K73" i="22" s="1"/>
  <c r="Q45" i="22" a="1"/>
  <c r="Q45" i="22" s="1"/>
  <c r="R45" i="22" s="1" a="1"/>
  <c r="R45" i="22" s="1"/>
  <c r="T45" i="22" s="1" a="1"/>
  <c r="T45" i="22" s="1"/>
  <c r="K48" i="22" a="1"/>
  <c r="K48" i="22" s="1"/>
  <c r="AI46" i="22" a="1"/>
  <c r="AI46" i="22" s="1"/>
  <c r="V35" i="22"/>
  <c r="AG46" i="22" a="1"/>
  <c r="AG46" i="22" s="1"/>
  <c r="C74" i="22" a="1"/>
  <c r="C74" i="22" s="1"/>
  <c r="Y35" i="22" a="1"/>
  <c r="Y35" i="22" s="1"/>
  <c r="AE74" i="22" a="1"/>
  <c r="AE74" i="22" s="1"/>
  <c r="X35" i="22" a="1"/>
  <c r="X35" i="22" s="1"/>
  <c r="AI35" i="22" a="1"/>
  <c r="AI35" i="22" s="1"/>
  <c r="AD73" i="22" a="1"/>
  <c r="AD73" i="22" s="1"/>
  <c r="Y48" i="22" a="1"/>
  <c r="Y48" i="22" s="1"/>
  <c r="AB35" i="22" a="1"/>
  <c r="AB35" i="22" s="1"/>
  <c r="AF46" i="22" a="1"/>
  <c r="AF46" i="22" s="1"/>
  <c r="K65" i="22" a="1"/>
  <c r="K65" i="22" s="1"/>
  <c r="AG73" i="22" a="1"/>
  <c r="AG73" i="22" s="1"/>
  <c r="AF48" i="22" a="1"/>
  <c r="AF48" i="22" s="1"/>
  <c r="AA35" i="22" a="1"/>
  <c r="AA35" i="22" s="1"/>
  <c r="W48" i="22"/>
  <c r="Z35" i="22"/>
  <c r="X75" i="22" a="1"/>
  <c r="X75" i="22" s="1"/>
  <c r="Q57" i="22" a="1"/>
  <c r="Q57" i="22" s="1"/>
  <c r="R57" i="22" s="1" a="1"/>
  <c r="R57" i="22" s="1"/>
  <c r="S57" i="22" s="1" a="1"/>
  <c r="S57" i="22" s="1"/>
  <c r="X71" i="22" a="1"/>
  <c r="X71" i="22" s="1"/>
  <c r="X52" i="22" a="1"/>
  <c r="X52" i="22" s="1"/>
  <c r="AJ57" i="22" a="1"/>
  <c r="AJ57" i="22" s="1"/>
  <c r="W71" i="22"/>
  <c r="V46" i="22"/>
  <c r="X57" i="22" a="1"/>
  <c r="X57" i="22" s="1"/>
  <c r="Y57" i="22" a="1"/>
  <c r="Y57" i="22" s="1"/>
  <c r="AI57" i="22" a="1"/>
  <c r="AI57" i="22" s="1"/>
  <c r="AJ46" i="22" a="1"/>
  <c r="AJ46" i="22" s="1"/>
  <c r="P57" i="22" a="1"/>
  <c r="P57" i="22" s="1"/>
  <c r="C51" i="22" a="1"/>
  <c r="C51" i="22" s="1"/>
  <c r="AA80" i="22" a="1"/>
  <c r="AA80" i="22" s="1"/>
  <c r="Y46" i="22" a="1"/>
  <c r="Y46" i="22" s="1"/>
  <c r="W46" i="22"/>
  <c r="AF57" i="22" a="1"/>
  <c r="AF57" i="22" s="1"/>
  <c r="AI78" i="22" a="1"/>
  <c r="AI78" i="22" s="1"/>
  <c r="W57" i="22"/>
  <c r="X46" i="22" a="1"/>
  <c r="X46" i="22" s="1"/>
  <c r="Q46" i="22" a="1"/>
  <c r="Q46" i="22" s="1"/>
  <c r="R46" i="22" s="1" a="1"/>
  <c r="R46" i="22" s="1"/>
  <c r="T46" i="22" s="1" a="1"/>
  <c r="T46" i="22" s="1"/>
  <c r="V57" i="22"/>
  <c r="AA60" i="22" a="1"/>
  <c r="AA60" i="22" s="1"/>
  <c r="AA46" i="22" a="1"/>
  <c r="AA46" i="22" s="1"/>
  <c r="AB57" i="22" a="1"/>
  <c r="AB57" i="22" s="1"/>
  <c r="Z46" i="22"/>
  <c r="W52" i="22"/>
  <c r="AB46" i="22" a="1"/>
  <c r="AB46" i="22" s="1"/>
  <c r="Q36" i="22" a="1"/>
  <c r="Q36" i="22" s="1"/>
  <c r="R36" i="22" s="1" a="1"/>
  <c r="R36" i="22" s="1"/>
  <c r="T36" i="22" s="1" a="1"/>
  <c r="T36" i="22" s="1"/>
  <c r="Z57" i="22"/>
  <c r="AI60" i="22" a="1"/>
  <c r="AI60" i="22" s="1"/>
  <c r="X21" i="22" a="1"/>
  <c r="X21" i="22" s="1"/>
  <c r="Q51" i="22" a="1"/>
  <c r="Q51" i="22" s="1"/>
  <c r="R51" i="22" s="1" a="1"/>
  <c r="R51" i="22" s="1"/>
  <c r="S51" i="22" s="1" a="1"/>
  <c r="S51" i="22" s="1"/>
  <c r="Z71" i="22"/>
  <c r="Y71" i="22" a="1"/>
  <c r="Y71" i="22" s="1"/>
  <c r="V71" i="22"/>
  <c r="AA21" i="22" a="1"/>
  <c r="AA21" i="22" s="1"/>
  <c r="Z21" i="22"/>
  <c r="C53" i="22" a="1"/>
  <c r="C53" i="22" s="1"/>
  <c r="AK53" i="22"/>
  <c r="Z75" i="22"/>
  <c r="Z60" i="22"/>
  <c r="AJ67" i="22" a="1"/>
  <c r="AJ67" i="22" s="1"/>
  <c r="AD80" i="22" a="1"/>
  <c r="AD80" i="22" s="1"/>
  <c r="Y60" i="22" a="1"/>
  <c r="Y60" i="22" s="1"/>
  <c r="AJ60" i="22" a="1"/>
  <c r="AJ60" i="22" s="1"/>
  <c r="X60" i="22" a="1"/>
  <c r="X60" i="22" s="1"/>
  <c r="AB80" i="22" a="1"/>
  <c r="AB80" i="22" s="1"/>
  <c r="AA75" i="22" a="1"/>
  <c r="AA75" i="22" s="1"/>
  <c r="Y67" i="22" a="1"/>
  <c r="Y67" i="22" s="1"/>
  <c r="X67" i="22" a="1"/>
  <c r="X67" i="22" s="1"/>
  <c r="W60" i="22"/>
  <c r="Z80" i="22"/>
  <c r="Q80" i="22" a="1"/>
  <c r="Q80" i="22" s="1"/>
  <c r="R80" i="22" s="1" a="1"/>
  <c r="R80" i="22" s="1"/>
  <c r="T80" i="22" s="1" a="1"/>
  <c r="T80" i="22" s="1"/>
  <c r="Y21" i="22" a="1"/>
  <c r="Y21" i="22" s="1"/>
  <c r="V60" i="22"/>
  <c r="V80" i="22"/>
  <c r="AB21" i="22" a="1"/>
  <c r="AB21" i="22" s="1"/>
  <c r="Y80" i="22" a="1"/>
  <c r="Y80" i="22" s="1"/>
  <c r="Q60" i="22" a="1"/>
  <c r="Q60" i="22" s="1"/>
  <c r="R60" i="22" s="1" a="1"/>
  <c r="R60" i="22" s="1"/>
  <c r="S60" i="22" s="1" a="1"/>
  <c r="S60" i="22" s="1"/>
  <c r="AF60" i="22" a="1"/>
  <c r="AF60" i="22" s="1"/>
  <c r="AJ80" i="22" a="1"/>
  <c r="AJ80" i="22" s="1"/>
  <c r="W80" i="22"/>
  <c r="AB60" i="22" a="1"/>
  <c r="AB60" i="22" s="1"/>
  <c r="AG78" i="22" a="1"/>
  <c r="AG78" i="22" s="1"/>
  <c r="AE49" i="22" a="1"/>
  <c r="AE49" i="22" s="1"/>
  <c r="AG52" i="22" a="1"/>
  <c r="AG52" i="22" s="1"/>
  <c r="Q48" i="22" a="1"/>
  <c r="Q48" i="22" s="1"/>
  <c r="R48" i="22" s="1" a="1"/>
  <c r="R48" i="22" s="1"/>
  <c r="T48" i="22" s="1" a="1"/>
  <c r="T48" i="22" s="1"/>
  <c r="AK75" i="22"/>
  <c r="AK45" i="22"/>
  <c r="P45" i="22" a="1"/>
  <c r="P45" i="22" s="1"/>
  <c r="P75" i="22" a="1"/>
  <c r="P75" i="22" s="1"/>
  <c r="AF51" i="22" a="1"/>
  <c r="AF51" i="22" s="1"/>
  <c r="Q67" i="22" a="1"/>
  <c r="Q67" i="22" s="1"/>
  <c r="R67" i="22" s="1" a="1"/>
  <c r="R67" i="22" s="1"/>
  <c r="T67" i="22" s="1" a="1"/>
  <c r="T67" i="22" s="1"/>
  <c r="AD52" i="22" a="1"/>
  <c r="AD52" i="22" s="1"/>
  <c r="AD51" i="22" a="1"/>
  <c r="AD51" i="22" s="1"/>
  <c r="AE51" i="22" a="1"/>
  <c r="AE51" i="22" s="1"/>
  <c r="K78" i="22" a="1"/>
  <c r="K78" i="22" s="1"/>
  <c r="AE52" i="22" a="1"/>
  <c r="AE52" i="22" s="1"/>
  <c r="Z48" i="22"/>
  <c r="AA45" i="22" a="1"/>
  <c r="AA45" i="22" s="1"/>
  <c r="AB67" i="22" a="1"/>
  <c r="AB67" i="22" s="1"/>
  <c r="AJ36" i="22" a="1"/>
  <c r="AJ36" i="22" s="1"/>
  <c r="AI52" i="22" a="1"/>
  <c r="AI52" i="22" s="1"/>
  <c r="AK40" i="22"/>
  <c r="AG51" i="22" a="1"/>
  <c r="AG51" i="22" s="1"/>
  <c r="C78" i="22" a="1"/>
  <c r="C78" i="22" s="1"/>
  <c r="K52" i="22" a="1"/>
  <c r="K52" i="22" s="1"/>
  <c r="W75" i="22"/>
  <c r="AA51" i="22" a="1"/>
  <c r="AA51" i="22" s="1"/>
  <c r="W21" i="22"/>
  <c r="AE78" i="22" a="1"/>
  <c r="AE78" i="22" s="1"/>
  <c r="AD78" i="22" a="1"/>
  <c r="AD78" i="22" s="1"/>
  <c r="AG49" i="22" a="1"/>
  <c r="AG49" i="22" s="1"/>
  <c r="C49" i="22" a="1"/>
  <c r="C49" i="22" s="1"/>
  <c r="AD18" i="22" a="1"/>
  <c r="AD18" i="22" s="1"/>
  <c r="C52" i="22" a="1"/>
  <c r="C52" i="22" s="1"/>
  <c r="AJ48" i="22" a="1"/>
  <c r="AJ48" i="22" s="1"/>
  <c r="X48" i="22" a="1"/>
  <c r="X48" i="22" s="1"/>
  <c r="AJ75" i="22" a="1"/>
  <c r="AJ75" i="22" s="1"/>
  <c r="W67" i="22"/>
  <c r="AF21" i="22" a="1"/>
  <c r="AF21" i="22" s="1"/>
  <c r="AI51" i="22" a="1"/>
  <c r="AI51" i="22" s="1"/>
  <c r="AI18" i="22" a="1"/>
  <c r="AI18" i="22" s="1"/>
  <c r="V75" i="22"/>
  <c r="AJ66" i="22" a="1"/>
  <c r="AJ66" i="22" s="1"/>
  <c r="Y45" i="22" a="1"/>
  <c r="Y45" i="22" s="1"/>
  <c r="V51" i="22"/>
  <c r="AI67" i="22" a="1"/>
  <c r="AI67" i="22" s="1"/>
  <c r="Y36" i="22" a="1"/>
  <c r="Y36" i="22" s="1"/>
  <c r="AD48" i="22" a="1"/>
  <c r="AD48" i="22" s="1"/>
  <c r="AK69" i="22"/>
  <c r="AA67" i="22" a="1"/>
  <c r="AA67" i="22" s="1"/>
  <c r="Z45" i="22"/>
  <c r="W36" i="22"/>
  <c r="AB75" i="22" a="1"/>
  <c r="AB75" i="22" s="1"/>
  <c r="AF45" i="22" a="1"/>
  <c r="AF45" i="22" s="1"/>
  <c r="V67" i="22"/>
  <c r="AD45" i="22" a="1"/>
  <c r="AD45" i="22" s="1"/>
  <c r="AE48" i="22" a="1"/>
  <c r="AE48" i="22" s="1"/>
  <c r="P52" i="22" a="1"/>
  <c r="P52" i="22" s="1"/>
  <c r="P67" i="22" a="1"/>
  <c r="P67" i="22" s="1"/>
  <c r="P68" i="22" s="1" a="1"/>
  <c r="P68" i="22" s="1"/>
  <c r="AK37" i="22"/>
  <c r="W45" i="22"/>
  <c r="Y51" i="22" a="1"/>
  <c r="Y51" i="22" s="1"/>
  <c r="AF67" i="22" a="1"/>
  <c r="AF67" i="22" s="1"/>
  <c r="AJ18" i="22" a="1"/>
  <c r="AJ18" i="22" s="1"/>
  <c r="V52" i="22"/>
  <c r="X78" i="22" a="1"/>
  <c r="X78" i="22" s="1"/>
  <c r="Z78" i="22"/>
  <c r="AF78" i="22" a="1"/>
  <c r="AF78" i="22" s="1"/>
  <c r="Z18" i="22"/>
  <c r="Y52" i="22" a="1"/>
  <c r="Y52" i="22" s="1"/>
  <c r="P78" i="22" a="1"/>
  <c r="P78" i="22" s="1"/>
  <c r="Y78" i="22" a="1"/>
  <c r="Y78" i="22" s="1"/>
  <c r="AJ78" i="22" a="1"/>
  <c r="AJ78" i="22" s="1"/>
  <c r="AA18" i="22" a="1"/>
  <c r="AA18" i="22" s="1"/>
  <c r="AA71" i="22" a="1"/>
  <c r="AA71" i="22" s="1"/>
  <c r="AB18" i="22" a="1"/>
  <c r="AB18" i="22" s="1"/>
  <c r="P18" i="22" a="1"/>
  <c r="P18" i="22" s="1"/>
  <c r="U18" i="22" s="1"/>
  <c r="AB71" i="22" a="1"/>
  <c r="AB71" i="22" s="1"/>
  <c r="AJ71" i="22" a="1"/>
  <c r="AJ71" i="22" s="1"/>
  <c r="P71" i="22" a="1"/>
  <c r="P71" i="22" s="1"/>
  <c r="Q71" i="22" a="1"/>
  <c r="Q71" i="22" s="1"/>
  <c r="R71" i="22" s="1" a="1"/>
  <c r="R71" i="22" s="1"/>
  <c r="T71" i="22" s="1" a="1"/>
  <c r="T71" i="22" s="1"/>
  <c r="K45" i="22" a="1"/>
  <c r="K45" i="22" s="1"/>
  <c r="AD50" i="22" a="1"/>
  <c r="AD50" i="22" s="1"/>
  <c r="C45" i="22" a="1"/>
  <c r="C45" i="22" s="1"/>
  <c r="AG50" i="22" a="1"/>
  <c r="AG50" i="22" s="1"/>
  <c r="AE50" i="22" a="1"/>
  <c r="AE50" i="22" s="1"/>
  <c r="K50" i="22" a="1"/>
  <c r="K50" i="22" s="1"/>
  <c r="Q78" i="22" a="1"/>
  <c r="Q78" i="22" s="1"/>
  <c r="R78" i="22" s="1" a="1"/>
  <c r="R78" i="22" s="1"/>
  <c r="S78" i="22" s="1" a="1"/>
  <c r="S78" i="22" s="1"/>
  <c r="AJ21" i="22" a="1"/>
  <c r="AJ21" i="22" s="1"/>
  <c r="P21" i="22" a="1"/>
  <c r="P21" i="22" s="1"/>
  <c r="U21" i="22" s="1"/>
  <c r="AG59" i="22" a="1"/>
  <c r="AG59" i="22" s="1"/>
  <c r="AE59" i="22" a="1"/>
  <c r="AE59" i="22" s="1"/>
  <c r="K59" i="22" a="1"/>
  <c r="K59" i="22" s="1"/>
  <c r="C59" i="22" a="1"/>
  <c r="C59" i="22" s="1"/>
  <c r="AD72" i="22" a="1"/>
  <c r="AD72" i="22" s="1"/>
  <c r="AE72" i="22" a="1"/>
  <c r="AE72" i="22" s="1"/>
  <c r="AE45" i="22" a="1"/>
  <c r="AE45" i="22" s="1"/>
  <c r="AI72" i="22" a="1"/>
  <c r="AI72" i="22" s="1"/>
  <c r="AG45" i="22" a="1"/>
  <c r="AG45" i="22" s="1"/>
  <c r="K72" i="22" a="1"/>
  <c r="K72" i="22" s="1"/>
  <c r="AG72" i="22" a="1"/>
  <c r="AG72" i="22" s="1"/>
  <c r="AI59" i="22" a="1"/>
  <c r="AI59" i="22" s="1"/>
  <c r="C76" i="22" a="1"/>
  <c r="C76" i="22" s="1"/>
  <c r="AI45" i="22" a="1"/>
  <c r="AI45" i="22" s="1"/>
  <c r="AG76" i="22" a="1"/>
  <c r="AG76" i="22" s="1"/>
  <c r="AE76" i="22" a="1"/>
  <c r="AE76" i="22" s="1"/>
  <c r="AJ49" i="22" a="1"/>
  <c r="AJ49" i="22" s="1"/>
  <c r="AI76" i="22" a="1"/>
  <c r="AI76" i="22" s="1"/>
  <c r="K76" i="22" a="1"/>
  <c r="K76" i="22" s="1"/>
  <c r="AD49" i="22" a="1"/>
  <c r="AD49" i="22" s="1"/>
  <c r="AF49" i="22" a="1"/>
  <c r="AF49" i="22" s="1"/>
  <c r="W49" i="22"/>
  <c r="AI49" i="22" a="1"/>
  <c r="AI49" i="22" s="1"/>
  <c r="AB49" i="22" a="1"/>
  <c r="AB49" i="22" s="1"/>
  <c r="P49" i="22" a="1"/>
  <c r="P49" i="22" s="1"/>
  <c r="Z49" i="22"/>
  <c r="Z36" i="22"/>
  <c r="X36" i="22" a="1"/>
  <c r="X36" i="22" s="1"/>
  <c r="AD79" i="22" a="1"/>
  <c r="AD79" i="22" s="1"/>
  <c r="V79" i="22"/>
  <c r="AF55" i="22" a="1"/>
  <c r="AF55" i="22" s="1"/>
  <c r="Q55" i="22" a="1"/>
  <c r="Q55" i="22" s="1"/>
  <c r="R55" i="22" s="1" a="1"/>
  <c r="R55" i="22" s="1"/>
  <c r="T55" i="22" s="1" a="1"/>
  <c r="T55" i="22" s="1"/>
  <c r="P66" i="22" a="1"/>
  <c r="P66" i="22" s="1"/>
  <c r="Z79" i="22"/>
  <c r="Y58" i="22" a="1"/>
  <c r="Y58" i="22" s="1"/>
  <c r="K75" i="22" a="1"/>
  <c r="K75" i="22" s="1"/>
  <c r="AJ58" i="22" a="1"/>
  <c r="AJ58" i="22" s="1"/>
  <c r="C75" i="22" a="1"/>
  <c r="C75" i="22" s="1"/>
  <c r="Z58" i="22"/>
  <c r="X66" i="22" a="1"/>
  <c r="X66" i="22" s="1"/>
  <c r="AI75" i="22" a="1"/>
  <c r="AI75" i="22" s="1"/>
  <c r="AE75" i="22" a="1"/>
  <c r="AE75" i="22" s="1"/>
  <c r="AK58" i="22"/>
  <c r="Y54" i="22" a="1"/>
  <c r="Y54" i="22" s="1"/>
  <c r="Q49" i="22" a="1"/>
  <c r="Q49" i="22" s="1"/>
  <c r="R49" i="22" s="1" a="1"/>
  <c r="R49" i="22" s="1"/>
  <c r="S49" i="22" s="1" a="1"/>
  <c r="S49" i="22" s="1"/>
  <c r="AF58" i="22" a="1"/>
  <c r="AF58" i="22" s="1"/>
  <c r="AK19" i="22"/>
  <c r="AK23" i="22"/>
  <c r="AK76" i="22"/>
  <c r="Q79" i="22" a="1"/>
  <c r="Q79" i="22" s="1"/>
  <c r="R79" i="22" s="1" a="1"/>
  <c r="R79" i="22" s="1"/>
  <c r="S79" i="22" s="1" a="1"/>
  <c r="S79" i="22" s="1"/>
  <c r="P47" i="22" a="1"/>
  <c r="P47" i="22" s="1"/>
  <c r="AF79" i="22" a="1"/>
  <c r="AF79" i="22" s="1"/>
  <c r="X49" i="22" a="1"/>
  <c r="X49" i="22" s="1"/>
  <c r="AJ47" i="22" a="1"/>
  <c r="AJ47" i="22" s="1"/>
  <c r="AJ79" i="22" a="1"/>
  <c r="AJ79" i="22" s="1"/>
  <c r="AK42" i="22"/>
  <c r="AA79" i="22" a="1"/>
  <c r="AA79" i="22" s="1"/>
  <c r="V49" i="22"/>
  <c r="V47" i="22"/>
  <c r="AI77" i="22" a="1"/>
  <c r="AI77" i="22" s="1"/>
  <c r="AK43" i="22"/>
  <c r="AK79" i="22"/>
  <c r="AK68" i="22"/>
  <c r="Z54" i="22"/>
  <c r="X58" i="22" a="1"/>
  <c r="X58" i="22" s="1"/>
  <c r="AA77" i="22" a="1"/>
  <c r="AA77" i="22" s="1"/>
  <c r="Q50" i="22" a="1"/>
  <c r="Q50" i="22" s="1"/>
  <c r="R50" i="22" s="1" a="1"/>
  <c r="R50" i="22" s="1"/>
  <c r="S50" i="22" s="1" a="1"/>
  <c r="S50" i="22" s="1"/>
  <c r="AK46" i="22"/>
  <c r="AK52" i="22"/>
  <c r="AK74" i="22"/>
  <c r="V55" i="22"/>
  <c r="AJ55" i="22" a="1"/>
  <c r="AJ55" i="22" s="1"/>
  <c r="Z77" i="22"/>
  <c r="X77" i="22" a="1"/>
  <c r="X77" i="22" s="1"/>
  <c r="P58" i="22" a="1"/>
  <c r="P58" i="22" s="1"/>
  <c r="AK70" i="22"/>
  <c r="AK35" i="22"/>
  <c r="AK28" i="22"/>
  <c r="W77" i="22"/>
  <c r="AA54" i="22" a="1"/>
  <c r="AA54" i="22" s="1"/>
  <c r="P77" i="22" a="1"/>
  <c r="P77" i="22" s="1"/>
  <c r="AK32" i="22"/>
  <c r="AK25" i="22"/>
  <c r="AK72" i="22"/>
  <c r="P51" i="22" a="1"/>
  <c r="P51" i="22" s="1"/>
  <c r="AJ51" i="22" a="1"/>
  <c r="AJ51" i="22" s="1"/>
  <c r="AB54" i="22" a="1"/>
  <c r="AB54" i="22" s="1"/>
  <c r="AB58" i="22" a="1"/>
  <c r="AB58" i="22" s="1"/>
  <c r="V77" i="22"/>
  <c r="AK20" i="22"/>
  <c r="AK82" i="22"/>
  <c r="AK84" i="22"/>
  <c r="W51" i="22"/>
  <c r="Y55" i="22" a="1"/>
  <c r="Y55" i="22" s="1"/>
  <c r="AF50" i="22" a="1"/>
  <c r="AF50" i="22" s="1"/>
  <c r="AB36" i="22" a="1"/>
  <c r="AB36" i="22" s="1"/>
  <c r="AJ77" i="22" a="1"/>
  <c r="AJ77" i="22" s="1"/>
  <c r="AF54" i="22" a="1"/>
  <c r="AF54" i="22" s="1"/>
  <c r="AJ54" i="22" a="1"/>
  <c r="AJ54" i="22" s="1"/>
  <c r="V50" i="22"/>
  <c r="AK77" i="22"/>
  <c r="AK55" i="22"/>
  <c r="AK66" i="22"/>
  <c r="X51" i="22" a="1"/>
  <c r="X51" i="22" s="1"/>
  <c r="Z51" i="22"/>
  <c r="AB50" i="22" a="1"/>
  <c r="AB50" i="22" s="1"/>
  <c r="W79" i="22"/>
  <c r="W25" i="22"/>
  <c r="AK48" i="22"/>
  <c r="AK65" i="22"/>
  <c r="P36" i="22" a="1"/>
  <c r="P36" i="22" s="1"/>
  <c r="Q58" i="22" a="1"/>
  <c r="Q58" i="22" s="1"/>
  <c r="R58" i="22" s="1" a="1"/>
  <c r="R58" i="22" s="1"/>
  <c r="S58" i="22" s="1" a="1"/>
  <c r="S58" i="22" s="1"/>
  <c r="AF36" i="22" a="1"/>
  <c r="AF36" i="22" s="1"/>
  <c r="AK26" i="22"/>
  <c r="AK18" i="22"/>
  <c r="AK36" i="22"/>
  <c r="W58" i="22"/>
  <c r="AA58" i="22" a="1"/>
  <c r="AA58" i="22" s="1"/>
  <c r="P54" i="22" a="1"/>
  <c r="P54" i="22" s="1"/>
  <c r="AB77" i="22" a="1"/>
  <c r="AB77" i="22" s="1"/>
  <c r="Q77" i="22" a="1"/>
  <c r="Q77" i="22" s="1"/>
  <c r="R77" i="22" s="1" a="1"/>
  <c r="R77" i="22" s="1"/>
  <c r="S77" i="22" s="1" a="1"/>
  <c r="S77" i="22" s="1"/>
  <c r="AD77" i="22" a="1"/>
  <c r="AD77" i="22" s="1"/>
  <c r="AK34" i="22"/>
  <c r="W55" i="22"/>
  <c r="W54" i="22"/>
  <c r="AB79" i="22" a="1"/>
  <c r="AB79" i="22" s="1"/>
  <c r="Y79" i="22" a="1"/>
  <c r="Y79" i="22" s="1"/>
  <c r="V36" i="22"/>
  <c r="AI25" i="22" a="1"/>
  <c r="AI25" i="22" s="1"/>
  <c r="AK29" i="22"/>
  <c r="AK63" i="22"/>
  <c r="AK24" i="22"/>
  <c r="AK73" i="22"/>
  <c r="AK56" i="22"/>
  <c r="AA52" i="22" a="1"/>
  <c r="AA52" i="22" s="1"/>
  <c r="AK21" i="22"/>
  <c r="AA78" i="22" a="1"/>
  <c r="AA78" i="22" s="1"/>
  <c r="X54" i="22" a="1"/>
  <c r="X54" i="22" s="1"/>
  <c r="Q18" i="22" a="1"/>
  <c r="Q18" i="22" s="1"/>
  <c r="R18" i="22" s="1" a="1"/>
  <c r="R18" i="22" s="1"/>
  <c r="T18" i="22" s="1" a="1"/>
  <c r="T18" i="22" s="1"/>
  <c r="P25" i="22" a="1"/>
  <c r="P25" i="22" s="1"/>
  <c r="Y25" i="22" a="1"/>
  <c r="Y25" i="22" s="1"/>
  <c r="AJ25" i="22" a="1"/>
  <c r="AJ25" i="22" s="1"/>
  <c r="X18" i="22" a="1"/>
  <c r="X18" i="22" s="1"/>
  <c r="AK27" i="22"/>
  <c r="AK51" i="22"/>
  <c r="AK49" i="22"/>
  <c r="AK38" i="22"/>
  <c r="AK64" i="22"/>
  <c r="AK33" i="22"/>
  <c r="W78" i="22"/>
  <c r="Z50" i="22"/>
  <c r="Q47" i="22" a="1"/>
  <c r="Q47" i="22" s="1"/>
  <c r="R47" i="22" s="1" a="1"/>
  <c r="R47" i="22" s="1"/>
  <c r="T47" i="22" s="1" a="1"/>
  <c r="T47" i="22" s="1"/>
  <c r="AB66" i="22" a="1"/>
  <c r="AB66" i="22" s="1"/>
  <c r="P50" i="22" a="1"/>
  <c r="P50" i="22" s="1"/>
  <c r="V18" i="22"/>
  <c r="AK83" i="22"/>
  <c r="AK47" i="22"/>
  <c r="Q53" i="22" a="1"/>
  <c r="Q53" i="22" s="1"/>
  <c r="R53" i="22" s="1" a="1"/>
  <c r="R53" i="22" s="1"/>
  <c r="S53" i="22" s="1" a="1"/>
  <c r="S53" i="22" s="1"/>
  <c r="AK85" i="22"/>
  <c r="AK81" i="22"/>
  <c r="AA66" i="22" a="1"/>
  <c r="AA66" i="22" s="1"/>
  <c r="Z66" i="22"/>
  <c r="P55" i="22" a="1"/>
  <c r="P55" i="22" s="1"/>
  <c r="AB25" i="22" a="1"/>
  <c r="AB25" i="22" s="1"/>
  <c r="X50" i="22" a="1"/>
  <c r="X50" i="22" s="1"/>
  <c r="AF47" i="22" a="1"/>
  <c r="AF47" i="22" s="1"/>
  <c r="AD53" i="22" a="1"/>
  <c r="AD53" i="22" s="1"/>
  <c r="AB47" i="22" a="1"/>
  <c r="AB47" i="22" s="1"/>
  <c r="P53" i="22" a="1"/>
  <c r="P53" i="22" s="1"/>
  <c r="AD75" i="22" a="1"/>
  <c r="AD75" i="22" s="1"/>
  <c r="AA47" i="22" a="1"/>
  <c r="AA47" i="22" s="1"/>
  <c r="AF53" i="22" a="1"/>
  <c r="AF53" i="22" s="1"/>
  <c r="W47" i="22"/>
  <c r="Z25" i="22"/>
  <c r="AI53" i="22" a="1"/>
  <c r="AI53" i="22" s="1"/>
  <c r="AF52" i="22" a="1"/>
  <c r="AF52" i="22" s="1"/>
  <c r="AK67" i="22"/>
  <c r="AK78" i="22"/>
  <c r="AK44" i="22"/>
  <c r="AK60" i="22"/>
  <c r="Y53" i="22" a="1"/>
  <c r="Y53" i="22" s="1"/>
  <c r="AF66" i="22" a="1"/>
  <c r="AF66" i="22" s="1"/>
  <c r="Y18" i="22" a="1"/>
  <c r="Y18" i="22" s="1"/>
  <c r="Z53" i="22"/>
  <c r="V53" i="22"/>
  <c r="AG75" i="22" a="1"/>
  <c r="AG75" i="22" s="1"/>
  <c r="AI50" i="22" a="1"/>
  <c r="AI50" i="22" s="1"/>
  <c r="AK59" i="22"/>
  <c r="AK31" i="22"/>
  <c r="AK54" i="22"/>
  <c r="Q52" i="22" a="1"/>
  <c r="Q52" i="22" s="1"/>
  <c r="R52" i="22" s="1" a="1"/>
  <c r="R52" i="22" s="1"/>
  <c r="S52" i="22" s="1" a="1"/>
  <c r="S52" i="22" s="1"/>
  <c r="AK86" i="22"/>
  <c r="W53" i="22"/>
  <c r="X55" i="22" a="1"/>
  <c r="X55" i="22" s="1"/>
  <c r="AA55" i="22" a="1"/>
  <c r="AA55" i="22" s="1"/>
  <c r="AD25" i="22" a="1"/>
  <c r="AD25" i="22" s="1"/>
  <c r="W66" i="22"/>
  <c r="AF77" i="22" a="1"/>
  <c r="AF77" i="22" s="1"/>
  <c r="X79" i="22" a="1"/>
  <c r="X79" i="22" s="1"/>
  <c r="Z47" i="22"/>
  <c r="Q66" i="22" a="1"/>
  <c r="Q66" i="22" s="1"/>
  <c r="R66" i="22" s="1" a="1"/>
  <c r="R66" i="22" s="1"/>
  <c r="T66" i="22" s="1" a="1"/>
  <c r="T66" i="22" s="1"/>
  <c r="AK39" i="22"/>
  <c r="AJ52" i="22" a="1"/>
  <c r="AJ52" i="22" s="1"/>
  <c r="AK22" i="22"/>
  <c r="AK61" i="22"/>
  <c r="AK57" i="22"/>
  <c r="X53" i="22" a="1"/>
  <c r="X53" i="22" s="1"/>
  <c r="AK71" i="22"/>
  <c r="AB55" i="22" a="1"/>
  <c r="AB55" i="22" s="1"/>
  <c r="AA50" i="22" a="1"/>
  <c r="AA50" i="22" s="1"/>
  <c r="AF25" i="22" a="1"/>
  <c r="AF25" i="22" s="1"/>
  <c r="AB78" i="22" a="1"/>
  <c r="AB78" i="22" s="1"/>
  <c r="W50" i="22"/>
  <c r="Y50" i="22" a="1"/>
  <c r="Y50" i="22" s="1"/>
  <c r="AA49" i="22" a="1"/>
  <c r="AA49" i="22" s="1"/>
  <c r="AK30" i="22"/>
  <c r="AK62" i="22"/>
  <c r="Z52" i="22"/>
  <c r="AA53" i="22" a="1"/>
  <c r="AA53" i="22" s="1"/>
  <c r="AK41" i="22"/>
  <c r="AJ53" i="22" a="1"/>
  <c r="AJ53" i="22" s="1"/>
  <c r="AK50" i="22"/>
  <c r="V25" i="22"/>
  <c r="X25" i="22" a="1"/>
  <c r="X25" i="22" s="1"/>
  <c r="X47" i="22" a="1"/>
  <c r="X47" i="22" s="1"/>
  <c r="W18" i="22"/>
  <c r="AA25" i="22" a="1"/>
  <c r="AA25" i="22" s="1"/>
  <c r="V54" i="22"/>
  <c r="V66" i="22"/>
  <c r="P81" i="22" a="1"/>
  <c r="P81" i="22" s="1"/>
  <c r="Z81" i="22" s="1"/>
  <c r="AI36" i="22" a="1"/>
  <c r="AI36" i="22" s="1"/>
  <c r="P26" i="22" a="1"/>
  <c r="P26" i="22" s="1"/>
  <c r="AA61" i="22" a="1"/>
  <c r="AA61" i="22" s="1"/>
  <c r="Q61" i="22" a="1"/>
  <c r="Q61" i="22" s="1"/>
  <c r="R61" i="22" s="1" a="1"/>
  <c r="R61" i="22" s="1"/>
  <c r="C36" i="22" a="1"/>
  <c r="C36" i="22" s="1"/>
  <c r="AI34" i="22" a="1"/>
  <c r="AI34" i="22" s="1"/>
  <c r="AG79" i="22" a="1"/>
  <c r="AG79" i="22" s="1"/>
  <c r="K54" i="22" a="1"/>
  <c r="K54" i="22" s="1"/>
  <c r="AE79" i="22" a="1"/>
  <c r="AE79" i="22" s="1"/>
  <c r="K79" i="22" a="1"/>
  <c r="K79" i="22" s="1"/>
  <c r="AD66" i="22" a="1"/>
  <c r="AD66" i="22" s="1"/>
  <c r="K66" i="22" a="1"/>
  <c r="K66" i="22" s="1"/>
  <c r="AG66" i="22" a="1"/>
  <c r="AG66" i="22" s="1"/>
  <c r="AI66" i="22" a="1"/>
  <c r="AI66" i="22" s="1"/>
  <c r="AD54" i="22" a="1"/>
  <c r="AD54" i="22" s="1"/>
  <c r="AE66" i="22" a="1"/>
  <c r="AE66" i="22" s="1"/>
  <c r="AI79" i="22" a="1"/>
  <c r="AI79" i="22" s="1"/>
  <c r="AD19" i="22" a="1"/>
  <c r="AD19" i="22" s="1"/>
  <c r="C79" i="22" a="1"/>
  <c r="C79" i="22" s="1"/>
  <c r="C58" i="22" a="1"/>
  <c r="C58" i="22" s="1"/>
  <c r="AG54" i="22" a="1"/>
  <c r="AG54" i="22" s="1"/>
  <c r="AE54" i="22" a="1"/>
  <c r="AE54" i="22" s="1"/>
  <c r="AE19" i="22" a="1"/>
  <c r="AE19" i="22" s="1"/>
  <c r="AI19" i="22" a="1"/>
  <c r="AI19" i="22" s="1"/>
  <c r="AI54" i="22" a="1"/>
  <c r="AI54" i="22" s="1"/>
  <c r="K19" i="22" a="1"/>
  <c r="K19" i="22" s="1"/>
  <c r="AD67" i="22" a="1"/>
  <c r="AD67" i="22" s="1"/>
  <c r="AE67" i="22" a="1"/>
  <c r="AE67" i="22" s="1"/>
  <c r="K67" i="22" a="1"/>
  <c r="K67" i="22" s="1"/>
  <c r="AE21" i="22" a="1"/>
  <c r="AE21" i="22" s="1"/>
  <c r="K21" i="22" a="1"/>
  <c r="K21" i="22" s="1"/>
  <c r="AG19" i="22" a="1"/>
  <c r="AG19" i="22" s="1"/>
  <c r="AD36" i="22" a="1"/>
  <c r="AD36" i="22" s="1"/>
  <c r="AG36" i="22" a="1"/>
  <c r="AG36" i="22" s="1"/>
  <c r="C67" i="22" a="1"/>
  <c r="C67" i="22" s="1"/>
  <c r="K36" i="22" a="1"/>
  <c r="K36" i="22" s="1"/>
  <c r="AG67" i="22" a="1"/>
  <c r="AG67" i="22" s="1"/>
  <c r="AG55" i="22" a="1"/>
  <c r="AG55" i="22" s="1"/>
  <c r="AE55" i="22" a="1"/>
  <c r="AE55" i="22" s="1"/>
  <c r="AI58" i="22" a="1"/>
  <c r="AI58" i="22" s="1"/>
  <c r="AG58" i="22" a="1"/>
  <c r="AG58" i="22" s="1"/>
  <c r="AE58" i="22" a="1"/>
  <c r="AE58" i="22" s="1"/>
  <c r="AI21" i="22" a="1"/>
  <c r="AI21" i="22" s="1"/>
  <c r="AG21" i="22" a="1"/>
  <c r="AG21" i="22" s="1"/>
  <c r="C21" i="22" a="1"/>
  <c r="C21" i="22" s="1"/>
  <c r="AD47" i="22" a="1"/>
  <c r="AD47" i="22" s="1"/>
  <c r="AI55" i="22" a="1"/>
  <c r="AI55" i="22" s="1"/>
  <c r="C55" i="22" a="1"/>
  <c r="C55" i="22" s="1"/>
  <c r="AD55" i="22" a="1"/>
  <c r="AD55" i="22" s="1"/>
  <c r="K55" i="22" a="1"/>
  <c r="K55" i="22" s="1"/>
  <c r="AE34" i="22" a="1"/>
  <c r="AE34" i="22" s="1"/>
  <c r="AG34" i="22" a="1"/>
  <c r="AG34" i="22" s="1"/>
  <c r="K34" i="22" a="1"/>
  <c r="K34" i="22" s="1"/>
  <c r="C34" i="22" a="1"/>
  <c r="C34" i="22" s="1"/>
  <c r="AE47" i="22" a="1"/>
  <c r="AE47" i="22" s="1"/>
  <c r="AI47" i="22" a="1"/>
  <c r="AI47" i="22" s="1"/>
  <c r="AG47" i="22" a="1"/>
  <c r="AG47" i="22" s="1"/>
  <c r="K47" i="22" a="1"/>
  <c r="K47" i="22" s="1"/>
  <c r="AD71" i="22" a="1"/>
  <c r="AD71" i="22" s="1"/>
  <c r="K71" i="22" a="1"/>
  <c r="K71" i="22" s="1"/>
  <c r="C71" i="22" a="1"/>
  <c r="C71" i="22" s="1"/>
  <c r="AE71" i="22" a="1"/>
  <c r="AE71" i="22" s="1"/>
  <c r="AI71" i="22" a="1"/>
  <c r="AI71" i="22" s="1"/>
  <c r="AG71" i="22" a="1"/>
  <c r="AG71" i="22" s="1"/>
  <c r="AD58" i="22" a="1"/>
  <c r="AD58" i="22" s="1"/>
  <c r="AC67" i="22" a="1"/>
  <c r="AC71" i="22" a="1"/>
  <c r="AC76" i="22" a="1"/>
  <c r="AC36" i="22" a="1"/>
  <c r="AC65" i="22" a="1"/>
  <c r="AC74" i="22" a="1"/>
  <c r="AC47" i="22" a="1"/>
  <c r="AC51" i="22" a="1"/>
  <c r="AC45" i="22" a="1"/>
  <c r="AC73" i="22" a="1"/>
  <c r="AC79" i="22" a="1"/>
  <c r="AC59" i="22" a="1"/>
  <c r="AC48" i="22" a="1"/>
  <c r="AC75" i="22" a="1"/>
  <c r="AC60" i="22" a="1"/>
  <c r="AC77" i="22" a="1"/>
  <c r="AC57" i="22" a="1"/>
  <c r="AC49" i="22" a="1"/>
  <c r="AC58" i="22" a="1"/>
  <c r="AC52" i="22" a="1"/>
  <c r="AC53" i="22" a="1"/>
  <c r="AC34" i="22" a="1"/>
  <c r="AC80" i="22" a="1"/>
  <c r="AC78" i="22" a="1"/>
  <c r="AC54" i="22" a="1"/>
  <c r="AC56" i="22" a="1"/>
  <c r="AC55" i="22" a="1"/>
  <c r="AC35" i="22" a="1"/>
  <c r="AC46" i="22" a="1"/>
  <c r="AC66" i="22" a="1"/>
  <c r="AC50" i="22" a="1"/>
  <c r="AC72" i="22" a="1"/>
  <c r="AC18" i="22" a="1"/>
  <c r="AC20" i="22" a="1"/>
  <c r="M5" i="17" a="1"/>
  <c r="Q12" i="24" a="1"/>
  <c r="AC24" i="22" a="1"/>
  <c r="AC19" i="22" a="1"/>
  <c r="AC21" i="22" a="1"/>
  <c r="AC25" i="22" a="1"/>
  <c r="P22" i="22" l="1" a="1"/>
  <c r="P22" i="22" s="1"/>
  <c r="Q12" i="24"/>
  <c r="E12" i="24" s="1" a="1"/>
  <c r="E12" i="24" s="1"/>
  <c r="AH17" i="12" a="1"/>
  <c r="AH17" i="12" s="1"/>
  <c r="AI17" i="12" s="1" a="1"/>
  <c r="AI17" i="12" s="1"/>
  <c r="AJ17" i="12" s="1" a="1"/>
  <c r="AJ17" i="12" s="1"/>
  <c r="AE102" i="12" a="1"/>
  <c r="AE102" i="12" s="1"/>
  <c r="AF102" i="12" s="1"/>
  <c r="AG102" i="12" s="1" a="1"/>
  <c r="AG102" i="12" s="1"/>
  <c r="B1" i="19"/>
  <c r="AN34" i="22" s="1" a="1"/>
  <c r="AN34" i="22" s="1"/>
  <c r="AO34" i="22" s="1" a="1"/>
  <c r="AO34" i="22" s="1"/>
  <c r="I34" i="22" s="1"/>
  <c r="B2" i="19"/>
  <c r="D2" i="17" s="1" a="1"/>
  <c r="D2" i="17" s="1"/>
  <c r="F6" i="32" s="1" a="1"/>
  <c r="F6" i="32" s="1"/>
  <c r="AU102" i="12" a="1"/>
  <c r="AU102" i="12" s="1"/>
  <c r="AN54" i="22" a="1"/>
  <c r="AN54" i="22" s="1"/>
  <c r="AO54" i="22" s="1" a="1"/>
  <c r="AO54" i="22" s="1"/>
  <c r="I54" i="22" s="1"/>
  <c r="AN56" i="22" a="1"/>
  <c r="AN56" i="22" s="1"/>
  <c r="AO56" i="22" s="1" a="1"/>
  <c r="AO56" i="22" s="1"/>
  <c r="I56" i="22" s="1"/>
  <c r="H5" i="17" a="1"/>
  <c r="H5" i="17" s="1"/>
  <c r="D5" i="17" a="1"/>
  <c r="D5" i="17" s="1"/>
  <c r="E5" i="17" a="1"/>
  <c r="E5" i="17" s="1"/>
  <c r="I5" i="17" a="1"/>
  <c r="I5" i="17" s="1"/>
  <c r="Y5" i="17" a="1"/>
  <c r="Y5" i="17" s="1"/>
  <c r="G5" i="17" a="1"/>
  <c r="G5" i="17" s="1"/>
  <c r="F5" i="17" a="1"/>
  <c r="F5" i="17" s="1"/>
  <c r="AH102" i="12" a="1"/>
  <c r="AH102" i="12" s="1"/>
  <c r="AI102" i="12" s="1" a="1"/>
  <c r="AI102" i="12" s="1"/>
  <c r="AN46" i="22" a="1"/>
  <c r="AN46" i="22" s="1"/>
  <c r="AO46" i="22" s="1" a="1"/>
  <c r="AO46" i="22" s="1"/>
  <c r="I46" i="22" s="1"/>
  <c r="AN48" i="22" a="1"/>
  <c r="AN48" i="22" s="1"/>
  <c r="AO48" i="22" s="1" a="1"/>
  <c r="AO48" i="22" s="1"/>
  <c r="I48" i="22" s="1"/>
  <c r="G102" i="12"/>
  <c r="Z102" i="12" s="1" a="1"/>
  <c r="Z102" i="12" s="1"/>
  <c r="Z68" i="22"/>
  <c r="AH11" i="12" a="1"/>
  <c r="AH11" i="12" s="1"/>
  <c r="AI11" i="12" s="1" a="1"/>
  <c r="AI11" i="12" s="1"/>
  <c r="AJ11" i="12" s="1" a="1"/>
  <c r="AJ11" i="12" s="1"/>
  <c r="AK11" i="12" s="1" a="1"/>
  <c r="AK11" i="12" s="1"/>
  <c r="AL11" i="12" s="1"/>
  <c r="AH5" i="12" a="1"/>
  <c r="AH5" i="12" s="1"/>
  <c r="AH27" i="12" a="1"/>
  <c r="AH27" i="12" s="1"/>
  <c r="AI27" i="12" s="1" a="1"/>
  <c r="AI27" i="12" s="1"/>
  <c r="AJ27" i="12" s="1" a="1"/>
  <c r="AJ27" i="12" s="1"/>
  <c r="AK27" i="12" s="1" a="1"/>
  <c r="AK27" i="12" s="1"/>
  <c r="AL27" i="12" s="1"/>
  <c r="AH22" i="12" a="1"/>
  <c r="AH22" i="12" s="1"/>
  <c r="AI22" i="12" s="1" a="1"/>
  <c r="AI22" i="12" s="1"/>
  <c r="AJ22" i="12" s="1" a="1"/>
  <c r="AJ22" i="12" s="1"/>
  <c r="AH37" i="12" a="1"/>
  <c r="AH37" i="12" s="1"/>
  <c r="AI37" i="12" s="1" a="1"/>
  <c r="AI37" i="12" s="1"/>
  <c r="AJ37" i="12" s="1" a="1"/>
  <c r="AJ37" i="12" s="1"/>
  <c r="AH45" i="12" a="1"/>
  <c r="AH45" i="12" s="1"/>
  <c r="AI45" i="12" s="1" a="1"/>
  <c r="AI45" i="12" s="1"/>
  <c r="AJ45" i="12" s="1" a="1"/>
  <c r="AJ45" i="12" s="1"/>
  <c r="AH31" i="12" a="1"/>
  <c r="AH31" i="12" s="1"/>
  <c r="AI31" i="12" s="1" a="1"/>
  <c r="AI31" i="12" s="1"/>
  <c r="AJ31" i="12" s="1" a="1"/>
  <c r="AJ31" i="12" s="1"/>
  <c r="AH18" i="12" a="1"/>
  <c r="AH18" i="12" s="1"/>
  <c r="AI18" i="12" s="1" a="1"/>
  <c r="AI18" i="12" s="1"/>
  <c r="AJ18" i="12" s="1" a="1"/>
  <c r="AJ18" i="12" s="1"/>
  <c r="P37" i="22" a="1"/>
  <c r="P37" i="22" s="1"/>
  <c r="Z37" i="22" s="1"/>
  <c r="AA37" i="22" s="1" a="1"/>
  <c r="AA37" i="22" s="1"/>
  <c r="M5" i="17"/>
  <c r="AH60" i="12" a="1"/>
  <c r="AH60" i="12" s="1"/>
  <c r="AN52" i="22" a="1"/>
  <c r="AN52" i="22" s="1"/>
  <c r="AO52" i="22" s="1" a="1"/>
  <c r="AO52" i="22" s="1"/>
  <c r="I52" i="22" s="1"/>
  <c r="AN36" i="22" a="1"/>
  <c r="AN36" i="22" s="1"/>
  <c r="AO36" i="22" s="1" a="1"/>
  <c r="AO36" i="22" s="1"/>
  <c r="I36" i="22" s="1"/>
  <c r="AN50" i="22" a="1"/>
  <c r="AN50" i="22" s="1"/>
  <c r="AO50" i="22" s="1" a="1"/>
  <c r="AO50" i="22" s="1"/>
  <c r="I50" i="22" s="1"/>
  <c r="AM18" i="12" a="1"/>
  <c r="AM18" i="12" s="1"/>
  <c r="AN18" i="12" s="1"/>
  <c r="AM17" i="12" a="1"/>
  <c r="AM17" i="12" s="1"/>
  <c r="AN17" i="12" s="1"/>
  <c r="N5" i="17" a="1"/>
  <c r="N5" i="17" s="1"/>
  <c r="AH53" i="12" a="1"/>
  <c r="AH53" i="12" s="1"/>
  <c r="AM22" i="12" a="1"/>
  <c r="AM22" i="12" s="1"/>
  <c r="AN22" i="12" s="1"/>
  <c r="AM45" i="12" a="1"/>
  <c r="AM45" i="12" s="1"/>
  <c r="AN45" i="12" s="1"/>
  <c r="AH78" i="12" a="1"/>
  <c r="AH78" i="12" s="1"/>
  <c r="AH71" i="12" a="1"/>
  <c r="AH71" i="12" s="1"/>
  <c r="AH73" i="12" a="1"/>
  <c r="AH73" i="12" s="1"/>
  <c r="AH74" i="12" a="1"/>
  <c r="AH74" i="12" s="1"/>
  <c r="AH77" i="12" a="1"/>
  <c r="AH77" i="12" s="1"/>
  <c r="AH72" i="12" a="1"/>
  <c r="AH72" i="12" s="1"/>
  <c r="AH75" i="12" a="1"/>
  <c r="AH75" i="12" s="1"/>
  <c r="AH76" i="12" a="1"/>
  <c r="AH76" i="12" s="1"/>
  <c r="AH79" i="12" a="1"/>
  <c r="AH79" i="12" s="1"/>
  <c r="AH70" i="12" a="1"/>
  <c r="AH70" i="12" s="1"/>
  <c r="AH80" i="12" a="1"/>
  <c r="AH80" i="12" s="1"/>
  <c r="AH81" i="12" a="1"/>
  <c r="AH81" i="12" s="1"/>
  <c r="AH82" i="12" a="1"/>
  <c r="AH82" i="12" s="1"/>
  <c r="AH83" i="12" a="1"/>
  <c r="AH83" i="12" s="1"/>
  <c r="AH84" i="12" a="1"/>
  <c r="AH84" i="12" s="1"/>
  <c r="AH85" i="12" a="1"/>
  <c r="AH85" i="12" s="1"/>
  <c r="AH67" i="12" a="1"/>
  <c r="AH67" i="12" s="1"/>
  <c r="AH86" i="12" a="1"/>
  <c r="AH86" i="12" s="1"/>
  <c r="AH87" i="12" a="1"/>
  <c r="AH87" i="12" s="1"/>
  <c r="AH88" i="12" a="1"/>
  <c r="AH88" i="12" s="1"/>
  <c r="AH89" i="12" a="1"/>
  <c r="AH89" i="12" s="1"/>
  <c r="AH90" i="12" a="1"/>
  <c r="AH90" i="12" s="1"/>
  <c r="AH91" i="12" a="1"/>
  <c r="AH91" i="12" s="1"/>
  <c r="AH92" i="12" a="1"/>
  <c r="AH92" i="12" s="1"/>
  <c r="AH93" i="12" a="1"/>
  <c r="AH93" i="12" s="1"/>
  <c r="AH94" i="12" a="1"/>
  <c r="AH94" i="12" s="1"/>
  <c r="AI94" i="12" s="1" a="1"/>
  <c r="AI94" i="12" s="1"/>
  <c r="AH95" i="12" a="1"/>
  <c r="AH95" i="12" s="1"/>
  <c r="AI95" i="12" s="1" a="1"/>
  <c r="AI95" i="12" s="1"/>
  <c r="AH96" i="12" a="1"/>
  <c r="AH96" i="12" s="1"/>
  <c r="AI96" i="12" s="1" a="1"/>
  <c r="AI96" i="12" s="1"/>
  <c r="AH97" i="12" a="1"/>
  <c r="AH97" i="12" s="1"/>
  <c r="AI97" i="12" s="1" a="1"/>
  <c r="AI97" i="12" s="1"/>
  <c r="AH98" i="12" a="1"/>
  <c r="AH98" i="12" s="1"/>
  <c r="AI98" i="12" s="1" a="1"/>
  <c r="AI98" i="12" s="1"/>
  <c r="AH99" i="12" a="1"/>
  <c r="AH99" i="12" s="1"/>
  <c r="AI99" i="12" s="1" a="1"/>
  <c r="AI99" i="12" s="1"/>
  <c r="AH100" i="12" a="1"/>
  <c r="AH100" i="12" s="1"/>
  <c r="AI100" i="12" s="1" a="1"/>
  <c r="AI100" i="12" s="1"/>
  <c r="AM37" i="12" a="1"/>
  <c r="AM37" i="12" s="1"/>
  <c r="AN37" i="12" s="1"/>
  <c r="AM31" i="12" a="1"/>
  <c r="AM31" i="12" s="1"/>
  <c r="AN31" i="12" s="1"/>
  <c r="AP46" i="22" a="1"/>
  <c r="AP46" i="22" s="1"/>
  <c r="J46" i="22" s="1"/>
  <c r="AP54" i="22" a="1"/>
  <c r="AP54" i="22" s="1"/>
  <c r="J54" i="22" s="1"/>
  <c r="AN51" i="22" a="1"/>
  <c r="AN51" i="22" s="1"/>
  <c r="AO51" i="22" s="1" a="1"/>
  <c r="AO51" i="22" s="1"/>
  <c r="I51" i="22" s="1"/>
  <c r="AU45" i="22" a="1"/>
  <c r="AU45" i="22" s="1"/>
  <c r="AN74" i="22" a="1"/>
  <c r="AN74" i="22" s="1"/>
  <c r="AO74" i="22" s="1" a="1"/>
  <c r="AO74" i="22" s="1"/>
  <c r="I74" i="22" s="1"/>
  <c r="AN49" i="22" a="1"/>
  <c r="AN49" i="22" s="1"/>
  <c r="AO49" i="22" s="1" a="1"/>
  <c r="AO49" i="22" s="1"/>
  <c r="I49" i="22" s="1"/>
  <c r="AH36" i="12" a="1"/>
  <c r="AH36" i="12" s="1"/>
  <c r="AH41" i="12" a="1"/>
  <c r="AH41" i="12" s="1"/>
  <c r="AH7" i="12" a="1"/>
  <c r="AH7" i="12" s="1"/>
  <c r="AH14" i="12" a="1"/>
  <c r="AH14" i="12" s="1"/>
  <c r="AH48" i="12" a="1"/>
  <c r="AH48" i="12" s="1"/>
  <c r="AH29" i="12" a="1"/>
  <c r="AH29" i="12" s="1"/>
  <c r="AH62" i="12" a="1"/>
  <c r="AH62" i="12" s="1"/>
  <c r="AH3" i="12" a="1"/>
  <c r="AH3" i="12" s="1"/>
  <c r="AH9" i="12" a="1"/>
  <c r="AH9" i="12" s="1"/>
  <c r="AH64" i="12" a="1"/>
  <c r="AH64" i="12" s="1"/>
  <c r="AH57" i="12" a="1"/>
  <c r="AH57" i="12" s="1"/>
  <c r="AH63" i="12" a="1"/>
  <c r="AH63" i="12" s="1"/>
  <c r="AH58" i="12" a="1"/>
  <c r="AH58" i="12" s="1"/>
  <c r="AH68" i="12" a="1"/>
  <c r="AH68" i="12" s="1"/>
  <c r="AH19" i="12" a="1"/>
  <c r="AH19" i="12" s="1"/>
  <c r="AH61" i="12" a="1"/>
  <c r="AH61" i="12" s="1"/>
  <c r="AH69" i="12" a="1"/>
  <c r="AH69" i="12" s="1"/>
  <c r="AH30" i="12" a="1"/>
  <c r="AH30" i="12" s="1"/>
  <c r="AH15" i="12" a="1"/>
  <c r="AH15" i="12" s="1"/>
  <c r="AH39" i="12" a="1"/>
  <c r="AH39" i="12" s="1"/>
  <c r="AH44" i="12" a="1"/>
  <c r="AH44" i="12" s="1"/>
  <c r="AH56" i="12" a="1"/>
  <c r="AH56" i="12" s="1"/>
  <c r="AH20" i="12" a="1"/>
  <c r="AH20" i="12" s="1"/>
  <c r="AH42" i="12" a="1"/>
  <c r="AH42" i="12" s="1"/>
  <c r="AH46" i="12" a="1"/>
  <c r="AH46" i="12" s="1"/>
  <c r="AH52" i="12" a="1"/>
  <c r="AH52" i="12" s="1"/>
  <c r="AH16" i="12" a="1"/>
  <c r="AH16" i="12" s="1"/>
  <c r="AH26" i="12" a="1"/>
  <c r="AH26" i="12" s="1"/>
  <c r="AH13" i="12" a="1"/>
  <c r="AH13" i="12" s="1"/>
  <c r="AH35" i="12" a="1"/>
  <c r="AH35" i="12" s="1"/>
  <c r="AH40" i="12" a="1"/>
  <c r="AH40" i="12" s="1"/>
  <c r="AH43" i="12" a="1"/>
  <c r="AH43" i="12" s="1"/>
  <c r="AH59" i="12" a="1"/>
  <c r="AH59" i="12" s="1"/>
  <c r="AH51" i="12" a="1"/>
  <c r="AH51" i="12" s="1"/>
  <c r="AH23" i="12" a="1"/>
  <c r="AH23" i="12" s="1"/>
  <c r="AH28" i="12" a="1"/>
  <c r="AH28" i="12" s="1"/>
  <c r="AH47" i="12" a="1"/>
  <c r="AH47" i="12" s="1"/>
  <c r="AH65" i="12" a="1"/>
  <c r="AH65" i="12" s="1"/>
  <c r="AH4" i="12" a="1"/>
  <c r="AH4" i="12" s="1"/>
  <c r="AH54" i="12" a="1"/>
  <c r="AH54" i="12" s="1"/>
  <c r="AH12" i="12" a="1"/>
  <c r="AH12" i="12" s="1"/>
  <c r="AH66" i="12" a="1"/>
  <c r="AH66" i="12" s="1"/>
  <c r="AH25" i="12" a="1"/>
  <c r="AH25" i="12" s="1"/>
  <c r="AH10" i="12" a="1"/>
  <c r="AH10" i="12" s="1"/>
  <c r="AH32" i="12" a="1"/>
  <c r="AH32" i="12" s="1"/>
  <c r="AH8" i="12" a="1"/>
  <c r="AH8" i="12" s="1"/>
  <c r="AH50" i="12" a="1"/>
  <c r="AH50" i="12" s="1"/>
  <c r="AH6" i="12" a="1"/>
  <c r="AH6" i="12" s="1"/>
  <c r="AH33" i="12" a="1"/>
  <c r="AH33" i="12" s="1"/>
  <c r="L5" i="17" a="1"/>
  <c r="L5" i="17" s="1"/>
  <c r="AH21" i="12" a="1"/>
  <c r="AH21" i="12" s="1"/>
  <c r="AH24" i="12" a="1"/>
  <c r="AH24" i="12" s="1"/>
  <c r="AH55" i="12" a="1"/>
  <c r="AH55" i="12" s="1"/>
  <c r="AH49" i="12" a="1"/>
  <c r="AH49" i="12" s="1"/>
  <c r="AH34" i="12" a="1"/>
  <c r="AH34" i="12" s="1"/>
  <c r="AH38" i="12" a="1"/>
  <c r="AH38" i="12" s="1"/>
  <c r="AP99" i="22" a="1"/>
  <c r="AP99" i="22" s="1"/>
  <c r="J99" i="22" s="1"/>
  <c r="AP92" i="22" a="1"/>
  <c r="AP92" i="22" s="1"/>
  <c r="J92" i="22" s="1"/>
  <c r="AN96" i="22" a="1"/>
  <c r="AN96" i="22" s="1"/>
  <c r="AO96" i="22" s="1" a="1"/>
  <c r="AO96" i="22" s="1"/>
  <c r="I96" i="22" s="1"/>
  <c r="AP93" i="22" a="1"/>
  <c r="AP93" i="22" s="1"/>
  <c r="J93" i="22" s="1"/>
  <c r="AP97" i="22" a="1"/>
  <c r="AP97" i="22" s="1"/>
  <c r="J97" i="22" s="1"/>
  <c r="AP94" i="22" a="1"/>
  <c r="AP94" i="22" s="1"/>
  <c r="J94" i="22" s="1"/>
  <c r="AP90" i="22" a="1"/>
  <c r="AP90" i="22" s="1"/>
  <c r="J90" i="22" s="1"/>
  <c r="AP101" i="22" a="1"/>
  <c r="AP101" i="22" s="1"/>
  <c r="J101" i="22" s="1"/>
  <c r="AP91" i="22" a="1"/>
  <c r="AP91" i="22" s="1"/>
  <c r="J91" i="22" s="1"/>
  <c r="AP100" i="22" a="1"/>
  <c r="AP100" i="22" s="1"/>
  <c r="J100" i="22" s="1"/>
  <c r="AP98" i="22" a="1"/>
  <c r="AP98" i="22" s="1"/>
  <c r="J98" i="22" s="1"/>
  <c r="AN95" i="22" a="1"/>
  <c r="AN95" i="22" s="1"/>
  <c r="AO95" i="22" s="1" a="1"/>
  <c r="AO95" i="22" s="1"/>
  <c r="I95" i="22" s="1"/>
  <c r="AO97" i="22" a="1"/>
  <c r="AO97" i="22" s="1"/>
  <c r="I97" i="22" s="1"/>
  <c r="AO99" i="22" a="1"/>
  <c r="AO99" i="22" s="1"/>
  <c r="I99" i="22" s="1"/>
  <c r="AO98" i="22" a="1"/>
  <c r="AO98" i="22" s="1"/>
  <c r="I98" i="22" s="1"/>
  <c r="AO90" i="22" a="1"/>
  <c r="AO90" i="22" s="1"/>
  <c r="I90" i="22" s="1"/>
  <c r="AO100" i="22" a="1"/>
  <c r="AO100" i="22" s="1"/>
  <c r="I100" i="22" s="1"/>
  <c r="AO73" i="22" a="1"/>
  <c r="AO73" i="22" s="1"/>
  <c r="I73" i="22" s="1"/>
  <c r="AO92" i="22" a="1"/>
  <c r="AO92" i="22" s="1"/>
  <c r="I92" i="22" s="1"/>
  <c r="AO101" i="22" a="1"/>
  <c r="AO101" i="22" s="1"/>
  <c r="I101" i="22" s="1"/>
  <c r="AO91" i="22" a="1"/>
  <c r="AO91" i="22" s="1"/>
  <c r="I91" i="22" s="1"/>
  <c r="AO94" i="22" a="1"/>
  <c r="AO94" i="22" s="1"/>
  <c r="I94" i="22" s="1"/>
  <c r="AO78" i="22" a="1"/>
  <c r="AO78" i="22" s="1"/>
  <c r="I78" i="22" s="1"/>
  <c r="AO93" i="22" a="1"/>
  <c r="AO93" i="22" s="1"/>
  <c r="I93" i="22" s="1"/>
  <c r="D93" i="22"/>
  <c r="D95" i="22"/>
  <c r="D99" i="22"/>
  <c r="D96" i="22"/>
  <c r="D25" i="22"/>
  <c r="D20" i="22"/>
  <c r="D35" i="22"/>
  <c r="D92" i="22"/>
  <c r="D59" i="22"/>
  <c r="D77" i="22"/>
  <c r="D72" i="22"/>
  <c r="D18" i="22"/>
  <c r="D76" i="22"/>
  <c r="D94" i="22"/>
  <c r="D53" i="22"/>
  <c r="D45" i="22"/>
  <c r="D34" i="22"/>
  <c r="D97" i="22"/>
  <c r="D55" i="22"/>
  <c r="D19" i="22"/>
  <c r="D60" i="22"/>
  <c r="D90" i="22"/>
  <c r="D80" i="22"/>
  <c r="D91" i="22"/>
  <c r="D78" i="22"/>
  <c r="D57" i="22"/>
  <c r="D101" i="22"/>
  <c r="D100" i="22"/>
  <c r="D71" i="22"/>
  <c r="D67" i="22"/>
  <c r="D49" i="22"/>
  <c r="D58" i="22"/>
  <c r="D47" i="22"/>
  <c r="D54" i="22"/>
  <c r="D21" i="22"/>
  <c r="D36" i="22"/>
  <c r="D79" i="22"/>
  <c r="D74" i="22"/>
  <c r="D65" i="22"/>
  <c r="D24" i="22"/>
  <c r="D98" i="22"/>
  <c r="D66" i="22"/>
  <c r="D75" i="22"/>
  <c r="D50" i="22"/>
  <c r="D48" i="22"/>
  <c r="D51" i="22"/>
  <c r="D56" i="22"/>
  <c r="D73" i="22"/>
  <c r="D52" i="22"/>
  <c r="D46" i="22"/>
  <c r="T25" i="22" a="1"/>
  <c r="T25" i="22" s="1"/>
  <c r="S54" i="22" a="1"/>
  <c r="S54" i="22" s="1"/>
  <c r="T97" i="22" a="1"/>
  <c r="T97" i="22" s="1"/>
  <c r="S34" i="22" a="1"/>
  <c r="S34" i="22" s="1"/>
  <c r="T59" i="22" a="1"/>
  <c r="T59" i="22" s="1"/>
  <c r="T35" i="22" a="1"/>
  <c r="T35" i="22" s="1"/>
  <c r="S19" i="22" a="1"/>
  <c r="S19" i="22" s="1"/>
  <c r="S92" i="22" a="1"/>
  <c r="S92" i="22" s="1"/>
  <c r="S20" i="22" a="1"/>
  <c r="S20" i="22" s="1"/>
  <c r="S75" i="22" a="1"/>
  <c r="S75" i="22" s="1"/>
  <c r="T90" i="22" a="1"/>
  <c r="T90" i="22" s="1"/>
  <c r="S101" i="22" a="1"/>
  <c r="S101" i="22" s="1"/>
  <c r="T100" i="22" a="1"/>
  <c r="T100" i="22" s="1"/>
  <c r="T95" i="22" a="1"/>
  <c r="T95" i="22" s="1"/>
  <c r="S94" i="22" a="1"/>
  <c r="S94" i="22" s="1"/>
  <c r="T96" i="22" a="1"/>
  <c r="T96" i="22" s="1"/>
  <c r="T99" i="22" a="1"/>
  <c r="T99" i="22" s="1"/>
  <c r="T93" i="22" a="1"/>
  <c r="T93" i="22" s="1"/>
  <c r="T91" i="22" a="1"/>
  <c r="T91" i="22" s="1"/>
  <c r="T98" i="22" a="1"/>
  <c r="T98" i="22" s="1"/>
  <c r="AL88" i="22"/>
  <c r="AL92" i="22"/>
  <c r="AL93" i="22"/>
  <c r="AL89" i="22"/>
  <c r="AL90" i="22"/>
  <c r="AL91" i="22"/>
  <c r="AL87" i="22"/>
  <c r="AL99" i="22"/>
  <c r="AL100" i="22"/>
  <c r="AL94" i="22"/>
  <c r="AL95" i="22"/>
  <c r="AL96" i="22"/>
  <c r="AL97" i="22"/>
  <c r="AL98" i="22"/>
  <c r="AL101" i="22"/>
  <c r="T65" i="22" a="1"/>
  <c r="T65" i="22" s="1"/>
  <c r="S73" i="22" a="1"/>
  <c r="S73" i="22" s="1"/>
  <c r="AC20" i="22"/>
  <c r="F20" i="22" s="1"/>
  <c r="T24" i="22" a="1"/>
  <c r="T24" i="22" s="1"/>
  <c r="AC72" i="22"/>
  <c r="F72" i="22" s="1"/>
  <c r="AC73" i="22"/>
  <c r="F73" i="22" s="1"/>
  <c r="AC65" i="22"/>
  <c r="F65" i="22" s="1"/>
  <c r="AC24" i="22"/>
  <c r="F24" i="22" s="1"/>
  <c r="S76" i="22" a="1"/>
  <c r="S76" i="22" s="1"/>
  <c r="S74" i="22" a="1"/>
  <c r="S74" i="22" s="1"/>
  <c r="AC76" i="22"/>
  <c r="F76" i="22" s="1"/>
  <c r="T72" i="22" a="1"/>
  <c r="T72" i="22" s="1"/>
  <c r="S21" i="22" a="1"/>
  <c r="S21" i="22" s="1"/>
  <c r="AC59" i="22"/>
  <c r="F59" i="22" s="1"/>
  <c r="AC74" i="22"/>
  <c r="F74" i="22" s="1"/>
  <c r="AC56" i="22"/>
  <c r="F56" i="22" s="1"/>
  <c r="T56" i="22" a="1"/>
  <c r="T56" i="22" s="1"/>
  <c r="S46" i="22" a="1"/>
  <c r="S46" i="22" s="1"/>
  <c r="S36" i="22" a="1"/>
  <c r="S36" i="22" s="1"/>
  <c r="AC55" i="22"/>
  <c r="F55" i="22" s="1"/>
  <c r="AC19" i="22"/>
  <c r="F19" i="22" s="1"/>
  <c r="S45" i="22" a="1"/>
  <c r="S45" i="22" s="1"/>
  <c r="T60" i="22" a="1"/>
  <c r="T60" i="22" s="1"/>
  <c r="T57" i="22" a="1"/>
  <c r="T57" i="22" s="1"/>
  <c r="AC35" i="22"/>
  <c r="F35" i="22" s="1"/>
  <c r="S48" i="22" a="1"/>
  <c r="S48" i="22" s="1"/>
  <c r="T51" i="22" a="1"/>
  <c r="T51" i="22" s="1"/>
  <c r="AC46" i="22"/>
  <c r="F46" i="22" s="1"/>
  <c r="AC57" i="22"/>
  <c r="F57" i="22" s="1"/>
  <c r="AC71" i="22"/>
  <c r="F71" i="22" s="1"/>
  <c r="S80" i="22" a="1"/>
  <c r="S80" i="22" s="1"/>
  <c r="AC60" i="22"/>
  <c r="F60" i="22" s="1"/>
  <c r="AC80" i="22"/>
  <c r="F80" i="22" s="1"/>
  <c r="AC75" i="22"/>
  <c r="F75" i="22" s="1"/>
  <c r="T78" i="22" a="1"/>
  <c r="T78" i="22" s="1"/>
  <c r="S71" i="22" a="1"/>
  <c r="S71" i="22" s="1"/>
  <c r="S67" i="22" a="1"/>
  <c r="S67" i="22" s="1"/>
  <c r="AC45" i="22"/>
  <c r="F45" i="22" s="1"/>
  <c r="AC48" i="22"/>
  <c r="F48" i="22" s="1"/>
  <c r="T49" i="22" a="1"/>
  <c r="T49" i="22" s="1"/>
  <c r="AC18" i="22"/>
  <c r="F18" i="22" s="1"/>
  <c r="AC78" i="22"/>
  <c r="F78" i="22" s="1"/>
  <c r="T79" i="22" a="1"/>
  <c r="T79" i="22" s="1"/>
  <c r="T50" i="22" a="1"/>
  <c r="T50" i="22" s="1"/>
  <c r="S55" i="22" a="1"/>
  <c r="S55" i="22" s="1"/>
  <c r="AC36" i="22"/>
  <c r="F36" i="22" s="1"/>
  <c r="AC49" i="22"/>
  <c r="F49" i="22" s="1"/>
  <c r="T77" i="22" a="1"/>
  <c r="T77" i="22" s="1"/>
  <c r="AL18" i="22"/>
  <c r="AM18" i="22" s="1" a="1"/>
  <c r="AM18" i="22" s="1"/>
  <c r="T53" i="22" a="1"/>
  <c r="T53" i="22" s="1"/>
  <c r="AL38" i="22"/>
  <c r="AC58" i="22"/>
  <c r="F58" i="22" s="1"/>
  <c r="AC79" i="22"/>
  <c r="F79" i="22" s="1"/>
  <c r="S66" i="22" a="1"/>
  <c r="S66" i="22" s="1"/>
  <c r="AL40" i="22"/>
  <c r="AL72" i="22"/>
  <c r="AL62" i="22"/>
  <c r="AL69" i="22"/>
  <c r="T58" i="22" a="1"/>
  <c r="T58" i="22" s="1"/>
  <c r="AL81" i="22"/>
  <c r="AL34" i="22"/>
  <c r="AC51" i="22"/>
  <c r="F51" i="22" s="1"/>
  <c r="AC54" i="22"/>
  <c r="F54" i="22" s="1"/>
  <c r="AC77" i="22"/>
  <c r="F77" i="22" s="1"/>
  <c r="AL19" i="22"/>
  <c r="AL56" i="22"/>
  <c r="AL48" i="22"/>
  <c r="AL84" i="22"/>
  <c r="AL67" i="22"/>
  <c r="AL57" i="22"/>
  <c r="AL41" i="22"/>
  <c r="AL32" i="22"/>
  <c r="AL27" i="22"/>
  <c r="AL70" i="22"/>
  <c r="AL80" i="22"/>
  <c r="AL77" i="22"/>
  <c r="AL36" i="22"/>
  <c r="AL44" i="22"/>
  <c r="AL82" i="22"/>
  <c r="AC25" i="22"/>
  <c r="F25" i="22" s="1"/>
  <c r="AC50" i="22"/>
  <c r="F50" i="22" s="1"/>
  <c r="AC52" i="22"/>
  <c r="F52" i="22" s="1"/>
  <c r="AC53" i="22"/>
  <c r="F53" i="22" s="1"/>
  <c r="AL29" i="22"/>
  <c r="AL43" i="22"/>
  <c r="AL23" i="22"/>
  <c r="AL42" i="22"/>
  <c r="S47" i="22" a="1"/>
  <c r="S47" i="22" s="1"/>
  <c r="AL78" i="22"/>
  <c r="AL26" i="22"/>
  <c r="AL79" i="22"/>
  <c r="AL35" i="22"/>
  <c r="AL74" i="22"/>
  <c r="AL58" i="22"/>
  <c r="AL61" i="22"/>
  <c r="AL50" i="22"/>
  <c r="AL51" i="22"/>
  <c r="AL45" i="22"/>
  <c r="AL25" i="22"/>
  <c r="AL49" i="22"/>
  <c r="AL37" i="22"/>
  <c r="AL46" i="22"/>
  <c r="AL33" i="22"/>
  <c r="AL47" i="22"/>
  <c r="AL86" i="22"/>
  <c r="AL76" i="22"/>
  <c r="AL53" i="22"/>
  <c r="AL21" i="22"/>
  <c r="AL31" i="22"/>
  <c r="AL60" i="22"/>
  <c r="AL24" i="22"/>
  <c r="AL71" i="22"/>
  <c r="AL63" i="22"/>
  <c r="T52" i="22" a="1"/>
  <c r="T52" i="22" s="1"/>
  <c r="AL83" i="22"/>
  <c r="AL52" i="22"/>
  <c r="AL59" i="22"/>
  <c r="AL28" i="22"/>
  <c r="AL66" i="22"/>
  <c r="AL39" i="22"/>
  <c r="AL64" i="22"/>
  <c r="AL65" i="22"/>
  <c r="AL20" i="22"/>
  <c r="AL30" i="22"/>
  <c r="AL55" i="22"/>
  <c r="AL54" i="22"/>
  <c r="AL68" i="22"/>
  <c r="AL85" i="22"/>
  <c r="AL73" i="22"/>
  <c r="AL75" i="22"/>
  <c r="AL22" i="22"/>
  <c r="S18" i="22" a="1"/>
  <c r="S18" i="22" s="1"/>
  <c r="AC67" i="22"/>
  <c r="F67" i="22" s="1"/>
  <c r="AA81" i="22" a="1"/>
  <c r="AA81" i="22" s="1"/>
  <c r="Q81" i="22" a="1"/>
  <c r="Q81" i="22" s="1"/>
  <c r="R81" i="22" s="1" a="1"/>
  <c r="R81" i="22" s="1"/>
  <c r="AC66" i="22"/>
  <c r="F66" i="22" s="1"/>
  <c r="AC34" i="22"/>
  <c r="F34" i="22" s="1"/>
  <c r="AC47" i="22"/>
  <c r="F47" i="22" s="1"/>
  <c r="AC21" i="22"/>
  <c r="F21" i="22" s="1"/>
  <c r="Z26" i="22"/>
  <c r="Q26" i="22" s="1" a="1"/>
  <c r="Q26" i="22" s="1"/>
  <c r="R26" i="22" s="1" a="1"/>
  <c r="R26" i="22" s="1"/>
  <c r="T61" i="22" a="1"/>
  <c r="T61" i="22" s="1"/>
  <c r="S61" i="22" a="1"/>
  <c r="Y61" i="22" a="1"/>
  <c r="AB61" i="22" a="1"/>
  <c r="Q9" i="24" a="1"/>
  <c r="C12" i="24" a="1"/>
  <c r="I212" i="28" a="1"/>
  <c r="H6" i="32" l="1" a="1"/>
  <c r="H6" i="32" s="1"/>
  <c r="D6" i="32" a="1"/>
  <c r="D6" i="32" s="1"/>
  <c r="AI5" i="12" a="1"/>
  <c r="AI5" i="12" s="1"/>
  <c r="AJ5" i="12" s="1" a="1"/>
  <c r="AJ5" i="12" s="1"/>
  <c r="AK5" i="12" s="1" a="1"/>
  <c r="AK5" i="12" s="1"/>
  <c r="AL5" i="12" s="1"/>
  <c r="AM5" i="12" a="1"/>
  <c r="AM5" i="12" s="1"/>
  <c r="AN5" i="12" s="1"/>
  <c r="G6" i="32" a="1"/>
  <c r="G6" i="32" s="1"/>
  <c r="C6" i="32" a="1"/>
  <c r="C6" i="32" s="1"/>
  <c r="U22" i="22"/>
  <c r="Z22" i="22"/>
  <c r="AN65" i="22" a="1"/>
  <c r="AN65" i="22" s="1"/>
  <c r="AO65" i="22" s="1" a="1"/>
  <c r="AO65" i="22" s="1"/>
  <c r="I65" i="22" s="1"/>
  <c r="AN59" i="22" a="1"/>
  <c r="AN59" i="22" s="1"/>
  <c r="AO59" i="22" s="1" a="1"/>
  <c r="AO59" i="22" s="1"/>
  <c r="I59" i="22" s="1"/>
  <c r="I212" i="28"/>
  <c r="Q9" i="24"/>
  <c r="E9" i="24" s="1" a="1"/>
  <c r="E9" i="24" s="1"/>
  <c r="C12" i="24"/>
  <c r="AN45" i="22" a="1"/>
  <c r="AN45" i="22" s="1"/>
  <c r="AO45" i="22" s="1" a="1"/>
  <c r="AO45" i="22" s="1"/>
  <c r="I45" i="22" s="1"/>
  <c r="AP50" i="22" a="1"/>
  <c r="AP50" i="22" s="1"/>
  <c r="J50" i="22" s="1"/>
  <c r="AN57" i="22" a="1"/>
  <c r="AN57" i="22" s="1"/>
  <c r="AO57" i="22" s="1" a="1"/>
  <c r="AO57" i="22" s="1"/>
  <c r="I57" i="22" s="1"/>
  <c r="AN60" i="22" a="1"/>
  <c r="AN60" i="22" s="1"/>
  <c r="AO60" i="22" s="1" a="1"/>
  <c r="AO60" i="22" s="1"/>
  <c r="I60" i="22" s="1"/>
  <c r="AP49" i="22" a="1"/>
  <c r="AP49" i="22" s="1"/>
  <c r="J49" i="22" s="1"/>
  <c r="AN66" i="22" a="1"/>
  <c r="AN66" i="22" s="1"/>
  <c r="AO66" i="22" s="1" a="1"/>
  <c r="AO66" i="22" s="1"/>
  <c r="I66" i="22" s="1"/>
  <c r="AN53" i="22" a="1"/>
  <c r="AN53" i="22" s="1"/>
  <c r="AO53" i="22" s="1" a="1"/>
  <c r="AO53" i="22" s="1"/>
  <c r="I53" i="22" s="1"/>
  <c r="AN58" i="22" a="1"/>
  <c r="AN58" i="22" s="1"/>
  <c r="AO58" i="22" s="1" a="1"/>
  <c r="AO58" i="22" s="1"/>
  <c r="I58" i="22" s="1"/>
  <c r="T8" i="21" a="1"/>
  <c r="T8" i="21" s="1"/>
  <c r="T16" i="21" a="1"/>
  <c r="T16" i="21" s="1"/>
  <c r="T20" i="21" a="1"/>
  <c r="T20" i="21" s="1"/>
  <c r="T31" i="21" a="1"/>
  <c r="T31" i="21" s="1"/>
  <c r="T12" i="21" a="1"/>
  <c r="T12" i="21" s="1"/>
  <c r="T5" i="21" a="1"/>
  <c r="T5" i="21" s="1"/>
  <c r="T25" i="21" a="1"/>
  <c r="T25" i="21" s="1"/>
  <c r="T39" i="21" a="1"/>
  <c r="T39" i="21" s="1"/>
  <c r="T9" i="21" a="1"/>
  <c r="T9" i="21" s="1"/>
  <c r="T28" i="21" a="1"/>
  <c r="T28" i="21" s="1"/>
  <c r="T7" i="21" a="1"/>
  <c r="T7" i="21" s="1"/>
  <c r="T33" i="21" a="1"/>
  <c r="T33" i="21" s="1"/>
  <c r="T10" i="21" a="1"/>
  <c r="T10" i="21" s="1"/>
  <c r="T23" i="21" a="1"/>
  <c r="T23" i="21" s="1"/>
  <c r="T6" i="21" a="1"/>
  <c r="T6" i="21" s="1"/>
  <c r="T42" i="21" a="1"/>
  <c r="T42" i="21" s="1"/>
  <c r="T13" i="21" a="1"/>
  <c r="T13" i="21" s="1"/>
  <c r="T34" i="21" a="1"/>
  <c r="T34" i="21" s="1"/>
  <c r="T15" i="21" a="1"/>
  <c r="T15" i="21" s="1"/>
  <c r="T30" i="21" a="1"/>
  <c r="T30" i="21" s="1"/>
  <c r="T21" i="21" a="1"/>
  <c r="T21" i="21" s="1"/>
  <c r="T38" i="21" a="1"/>
  <c r="T38" i="21" s="1"/>
  <c r="T27" i="21" a="1"/>
  <c r="T27" i="21" s="1"/>
  <c r="T22" i="21" a="1"/>
  <c r="T22" i="21" s="1"/>
  <c r="T29" i="21" a="1"/>
  <c r="T29" i="21" s="1"/>
  <c r="T4" i="21" a="1"/>
  <c r="T4" i="21" s="1"/>
  <c r="T24" i="21" a="1"/>
  <c r="T24" i="21" s="1"/>
  <c r="T37" i="21" a="1"/>
  <c r="T37" i="21" s="1"/>
  <c r="T19" i="21" a="1"/>
  <c r="T19" i="21" s="1"/>
  <c r="T35" i="21" a="1"/>
  <c r="T35" i="21" s="1"/>
  <c r="T26" i="21" a="1"/>
  <c r="T26" i="21" s="1"/>
  <c r="T14" i="21" a="1"/>
  <c r="T14" i="21" s="1"/>
  <c r="T32" i="21" a="1"/>
  <c r="T32" i="21" s="1"/>
  <c r="T40" i="21" a="1"/>
  <c r="T40" i="21" s="1"/>
  <c r="T3" i="21" a="1"/>
  <c r="T3" i="21" s="1"/>
  <c r="T17" i="21" a="1"/>
  <c r="T17" i="21" s="1"/>
  <c r="T43" i="21" a="1"/>
  <c r="T43" i="21" s="1"/>
  <c r="T18" i="21" a="1"/>
  <c r="T18" i="21" s="1"/>
  <c r="T36" i="21" a="1"/>
  <c r="T36" i="21" s="1"/>
  <c r="T11" i="21" a="1"/>
  <c r="T11" i="21" s="1"/>
  <c r="T41" i="21" a="1"/>
  <c r="T41" i="21" s="1"/>
  <c r="AN35" i="22" a="1"/>
  <c r="AN35" i="22" s="1"/>
  <c r="AO35" i="22" s="1" a="1"/>
  <c r="AO35" i="22" s="1"/>
  <c r="I35" i="22" s="1"/>
  <c r="AP35" i="22" a="1"/>
  <c r="AP35" i="22" s="1"/>
  <c r="J35" i="22" s="1"/>
  <c r="AN47" i="22" a="1"/>
  <c r="AN47" i="22" s="1"/>
  <c r="AO47" i="22" s="1" a="1"/>
  <c r="AO47" i="22" s="1"/>
  <c r="I47" i="22" s="1"/>
  <c r="Z5" i="17" a="1"/>
  <c r="Z5" i="17" s="1"/>
  <c r="AQ5" i="17" a="1"/>
  <c r="AQ5" i="17" s="1"/>
  <c r="J5" i="17" s="1" a="1"/>
  <c r="J5" i="17" s="1"/>
  <c r="AN67" i="22" a="1"/>
  <c r="AN67" i="22" s="1"/>
  <c r="AO67" i="22" s="1" a="1"/>
  <c r="AO67" i="22" s="1"/>
  <c r="I67" i="22" s="1"/>
  <c r="AP51" i="22" a="1"/>
  <c r="AP51" i="22" s="1"/>
  <c r="J51" i="22" s="1"/>
  <c r="AN55" i="22" a="1"/>
  <c r="AN55" i="22" s="1"/>
  <c r="AO55" i="22" s="1" a="1"/>
  <c r="AO55" i="22" s="1"/>
  <c r="I55" i="22" s="1"/>
  <c r="AP34" i="22" a="1"/>
  <c r="AP34" i="22" s="1"/>
  <c r="J34" i="22" s="1"/>
  <c r="X6" i="32" a="1"/>
  <c r="X6" i="32" s="1"/>
  <c r="Y6" i="32" s="1" a="1"/>
  <c r="Y6" i="32" s="1"/>
  <c r="AA6" i="32" s="1" a="1"/>
  <c r="AA6" i="32" s="1"/>
  <c r="AB6" i="32" s="1" a="1"/>
  <c r="AB6" i="32" s="1"/>
  <c r="Q68" i="22" a="1"/>
  <c r="Q68" i="22" s="1"/>
  <c r="R68" i="22" s="1" a="1"/>
  <c r="R68" i="22" s="1"/>
  <c r="AA68" i="22" a="1"/>
  <c r="AA68" i="22" s="1"/>
  <c r="Q37" i="22" a="1"/>
  <c r="Q37" i="22" s="1"/>
  <c r="R37" i="22" s="1" a="1"/>
  <c r="R37" i="22" s="1"/>
  <c r="S37" i="22" s="1" a="1"/>
  <c r="AI91" i="12" a="1"/>
  <c r="AI91" i="12" s="1"/>
  <c r="AJ91" i="12" s="1" a="1"/>
  <c r="AJ91" i="12" s="1"/>
  <c r="AK91" i="12" s="1" a="1"/>
  <c r="AK91" i="12" s="1"/>
  <c r="AL91" i="12" s="1"/>
  <c r="AM91" i="12" a="1"/>
  <c r="AM91" i="12" s="1"/>
  <c r="AN91" i="12" s="1"/>
  <c r="AI89" i="12" a="1"/>
  <c r="AI89" i="12" s="1"/>
  <c r="AJ89" i="12" s="1" a="1"/>
  <c r="AJ89" i="12" s="1"/>
  <c r="AK89" i="12" s="1" a="1"/>
  <c r="AK89" i="12" s="1"/>
  <c r="AL89" i="12" s="1"/>
  <c r="AM89" i="12" a="1"/>
  <c r="AM89" i="12" s="1"/>
  <c r="AN89" i="12" s="1"/>
  <c r="AI90" i="12" a="1"/>
  <c r="AI90" i="12" s="1"/>
  <c r="AJ90" i="12" s="1" a="1"/>
  <c r="AJ90" i="12" s="1"/>
  <c r="AK90" i="12" s="1" a="1"/>
  <c r="AK90" i="12" s="1"/>
  <c r="AL90" i="12" s="1"/>
  <c r="AM90" i="12" a="1"/>
  <c r="AM90" i="12" s="1"/>
  <c r="AN90" i="12" s="1"/>
  <c r="AI93" i="12" a="1"/>
  <c r="AI93" i="12" s="1"/>
  <c r="AJ93" i="12" s="1" a="1"/>
  <c r="AJ93" i="12" s="1"/>
  <c r="AK93" i="12" s="1" a="1"/>
  <c r="AK93" i="12" s="1"/>
  <c r="AL93" i="12" s="1"/>
  <c r="AM93" i="12" a="1"/>
  <c r="AM93" i="12" s="1"/>
  <c r="AN93" i="12" s="1"/>
  <c r="AI92" i="12" a="1"/>
  <c r="AI92" i="12" s="1"/>
  <c r="AJ92" i="12" s="1" a="1"/>
  <c r="AJ92" i="12" s="1"/>
  <c r="AK92" i="12" s="1" a="1"/>
  <c r="AK92" i="12" s="1"/>
  <c r="AL92" i="12" s="1"/>
  <c r="AM92" i="12" a="1"/>
  <c r="AM92" i="12" s="1"/>
  <c r="AN92" i="12" s="1"/>
  <c r="AI60" i="12" a="1"/>
  <c r="AI60" i="12" s="1"/>
  <c r="AJ60" i="12" s="1" a="1"/>
  <c r="AJ60" i="12" s="1"/>
  <c r="AM60" i="12" a="1"/>
  <c r="AM60" i="12" s="1"/>
  <c r="AN60" i="12" s="1"/>
  <c r="AI84" i="12" a="1"/>
  <c r="AI84" i="12" s="1"/>
  <c r="AJ84" i="12" s="1" a="1"/>
  <c r="AJ84" i="12" s="1"/>
  <c r="AK84" i="12" s="1" a="1"/>
  <c r="AK84" i="12" s="1"/>
  <c r="AL84" i="12" s="1"/>
  <c r="AM84" i="12" a="1"/>
  <c r="AM84" i="12" s="1"/>
  <c r="AN84" i="12" s="1"/>
  <c r="AI88" i="12" a="1"/>
  <c r="AI88" i="12" s="1"/>
  <c r="AJ88" i="12" s="1" a="1"/>
  <c r="AJ88" i="12" s="1"/>
  <c r="AK88" i="12" s="1" a="1"/>
  <c r="AK88" i="12" s="1"/>
  <c r="AL88" i="12" s="1"/>
  <c r="AM88" i="12" a="1"/>
  <c r="AM88" i="12" s="1"/>
  <c r="AN88" i="12" s="1"/>
  <c r="AI87" i="12" a="1"/>
  <c r="AI87" i="12" s="1"/>
  <c r="AJ87" i="12" s="1" a="1"/>
  <c r="AJ87" i="12" s="1"/>
  <c r="AK87" i="12" s="1" a="1"/>
  <c r="AK87" i="12" s="1"/>
  <c r="AL87" i="12" s="1"/>
  <c r="AM87" i="12" a="1"/>
  <c r="AM87" i="12" s="1"/>
  <c r="AN87" i="12" s="1"/>
  <c r="AI86" i="12" a="1"/>
  <c r="AI86" i="12" s="1"/>
  <c r="AJ86" i="12" s="1" a="1"/>
  <c r="AJ86" i="12" s="1"/>
  <c r="AK86" i="12" s="1" a="1"/>
  <c r="AK86" i="12" s="1"/>
  <c r="AL86" i="12" s="1"/>
  <c r="AM86" i="12" a="1"/>
  <c r="AM86" i="12" s="1"/>
  <c r="AN86" i="12" s="1"/>
  <c r="AI85" i="12" a="1"/>
  <c r="AI85" i="12" s="1"/>
  <c r="AJ85" i="12" s="1" a="1"/>
  <c r="AJ85" i="12" s="1"/>
  <c r="AK85" i="12" s="1" a="1"/>
  <c r="AK85" i="12" s="1"/>
  <c r="AL85" i="12" s="1"/>
  <c r="AM85" i="12" a="1"/>
  <c r="AM85" i="12" s="1"/>
  <c r="AN85" i="12" s="1"/>
  <c r="AI78" i="12" a="1"/>
  <c r="AI78" i="12" s="1"/>
  <c r="AJ78" i="12" s="1" a="1"/>
  <c r="AJ78" i="12" s="1"/>
  <c r="AK78" i="12" s="1" a="1"/>
  <c r="AK78" i="12" s="1"/>
  <c r="AL78" i="12" s="1"/>
  <c r="AM78" i="12" a="1"/>
  <c r="AM78" i="12" s="1"/>
  <c r="AN78" i="12" s="1"/>
  <c r="AI82" i="12" a="1"/>
  <c r="AI82" i="12" s="1"/>
  <c r="AJ82" i="12" s="1" a="1"/>
  <c r="AJ82" i="12" s="1"/>
  <c r="AK82" i="12" s="1" a="1"/>
  <c r="AK82" i="12" s="1"/>
  <c r="AL82" i="12" s="1"/>
  <c r="AM82" i="12" a="1"/>
  <c r="AM82" i="12" s="1"/>
  <c r="AN82" i="12" s="1"/>
  <c r="AI81" i="12" a="1"/>
  <c r="AI81" i="12" s="1"/>
  <c r="AJ81" i="12" s="1" a="1"/>
  <c r="AJ81" i="12" s="1"/>
  <c r="AK81" i="12" s="1" a="1"/>
  <c r="AK81" i="12" s="1"/>
  <c r="AL81" i="12" s="1"/>
  <c r="AM81" i="12" a="1"/>
  <c r="AM81" i="12" s="1"/>
  <c r="AN81" i="12" s="1"/>
  <c r="AI80" i="12" a="1"/>
  <c r="AI80" i="12" s="1"/>
  <c r="AJ80" i="12" s="1" a="1"/>
  <c r="AJ80" i="12" s="1"/>
  <c r="AK80" i="12" s="1" a="1"/>
  <c r="AK80" i="12" s="1"/>
  <c r="AL80" i="12" s="1"/>
  <c r="AM80" i="12" a="1"/>
  <c r="AM80" i="12" s="1"/>
  <c r="AN80" i="12" s="1"/>
  <c r="AI67" i="12" a="1"/>
  <c r="AI67" i="12" s="1"/>
  <c r="AJ67" i="12" s="1" a="1"/>
  <c r="AJ67" i="12" s="1"/>
  <c r="AK67" i="12" s="1" a="1"/>
  <c r="AK67" i="12" s="1"/>
  <c r="AL67" i="12" s="1"/>
  <c r="AM67" i="12" a="1"/>
  <c r="AM67" i="12" s="1"/>
  <c r="AN67" i="12" s="1"/>
  <c r="AI79" i="12" a="1"/>
  <c r="AI79" i="12" s="1"/>
  <c r="AJ79" i="12" s="1" a="1"/>
  <c r="AJ79" i="12" s="1"/>
  <c r="AK79" i="12" s="1" a="1"/>
  <c r="AK79" i="12" s="1"/>
  <c r="AL79" i="12" s="1"/>
  <c r="AM79" i="12" a="1"/>
  <c r="AM79" i="12" s="1"/>
  <c r="AN79" i="12" s="1"/>
  <c r="AI83" i="12" a="1"/>
  <c r="AI83" i="12" s="1"/>
  <c r="AJ83" i="12" s="1" a="1"/>
  <c r="AJ83" i="12" s="1"/>
  <c r="AK83" i="12" s="1" a="1"/>
  <c r="AK83" i="12" s="1"/>
  <c r="AL83" i="12" s="1"/>
  <c r="AM83" i="12" a="1"/>
  <c r="AM83" i="12" s="1"/>
  <c r="AN83" i="12" s="1"/>
  <c r="AM73" i="12" a="1"/>
  <c r="AM73" i="12" s="1"/>
  <c r="AN73" i="12" s="1"/>
  <c r="AI73" i="12" a="1"/>
  <c r="AI73" i="12" s="1"/>
  <c r="AJ73" i="12" s="1" a="1"/>
  <c r="AJ73" i="12" s="1"/>
  <c r="AK73" i="12" s="1" a="1"/>
  <c r="AK73" i="12" s="1"/>
  <c r="AL73" i="12" s="1"/>
  <c r="AM71" i="12" a="1"/>
  <c r="AM71" i="12" s="1"/>
  <c r="AN71" i="12" s="1"/>
  <c r="AI71" i="12" a="1"/>
  <c r="AI71" i="12" s="1"/>
  <c r="AJ71" i="12" s="1" a="1"/>
  <c r="AJ71" i="12" s="1"/>
  <c r="AK71" i="12" s="1" a="1"/>
  <c r="AK71" i="12" s="1"/>
  <c r="AL71" i="12" s="1"/>
  <c r="AK22" i="12" a="1"/>
  <c r="AK22" i="12" s="1"/>
  <c r="AL22" i="12" s="1"/>
  <c r="E6" i="32" a="1"/>
  <c r="E6" i="32" s="1"/>
  <c r="AM70" i="12" a="1"/>
  <c r="AM70" i="12" s="1"/>
  <c r="AN70" i="12" s="1"/>
  <c r="AI70" i="12" a="1"/>
  <c r="AI70" i="12" s="1"/>
  <c r="AJ70" i="12" s="1" a="1"/>
  <c r="AJ70" i="12" s="1"/>
  <c r="AK70" i="12" s="1" a="1"/>
  <c r="AK70" i="12" s="1"/>
  <c r="AL70" i="12" s="1"/>
  <c r="AK45" i="12" a="1"/>
  <c r="AK45" i="12" s="1"/>
  <c r="AL45" i="12" s="1"/>
  <c r="AM53" i="12" a="1"/>
  <c r="AM53" i="12" s="1"/>
  <c r="AN53" i="12" s="1"/>
  <c r="AI53" i="12" a="1"/>
  <c r="AI53" i="12" s="1"/>
  <c r="AJ53" i="12" s="1" a="1"/>
  <c r="AJ53" i="12" s="1"/>
  <c r="AK18" i="12" a="1"/>
  <c r="AK18" i="12" s="1"/>
  <c r="AL18" i="12" s="1"/>
  <c r="AM76" i="12" a="1"/>
  <c r="AM76" i="12" s="1"/>
  <c r="AN76" i="12" s="1"/>
  <c r="AI76" i="12" a="1"/>
  <c r="AI76" i="12" s="1"/>
  <c r="AJ76" i="12" s="1" a="1"/>
  <c r="AJ76" i="12" s="1"/>
  <c r="AK76" i="12" s="1" a="1"/>
  <c r="AK76" i="12" s="1"/>
  <c r="AL76" i="12" s="1"/>
  <c r="AK17" i="12" a="1"/>
  <c r="AK17" i="12" s="1"/>
  <c r="AL17" i="12" s="1"/>
  <c r="AM75" i="12" a="1"/>
  <c r="AM75" i="12" s="1"/>
  <c r="AN75" i="12" s="1"/>
  <c r="AI75" i="12" a="1"/>
  <c r="AI75" i="12" s="1"/>
  <c r="AJ75" i="12" s="1" a="1"/>
  <c r="AJ75" i="12" s="1"/>
  <c r="AK75" i="12" s="1" a="1"/>
  <c r="AK75" i="12" s="1"/>
  <c r="AL75" i="12" s="1"/>
  <c r="AK31" i="12" a="1"/>
  <c r="AK31" i="12" s="1"/>
  <c r="AL31" i="12" s="1"/>
  <c r="AM72" i="12" a="1"/>
  <c r="AM72" i="12" s="1"/>
  <c r="AN72" i="12" s="1"/>
  <c r="AI72" i="12" a="1"/>
  <c r="AI72" i="12" s="1"/>
  <c r="AJ72" i="12" s="1" a="1"/>
  <c r="AJ72" i="12" s="1"/>
  <c r="AK72" i="12" s="1" a="1"/>
  <c r="AK72" i="12" s="1"/>
  <c r="AL72" i="12" s="1"/>
  <c r="AK37" i="12" a="1"/>
  <c r="AK37" i="12" s="1"/>
  <c r="AL37" i="12" s="1"/>
  <c r="AM77" i="12" a="1"/>
  <c r="AM77" i="12" s="1"/>
  <c r="AN77" i="12" s="1"/>
  <c r="AI77" i="12" a="1"/>
  <c r="AI77" i="12" s="1"/>
  <c r="AJ77" i="12" s="1" a="1"/>
  <c r="AJ77" i="12" s="1"/>
  <c r="AK77" i="12" s="1" a="1"/>
  <c r="AK77" i="12" s="1"/>
  <c r="AL77" i="12" s="1"/>
  <c r="AM74" i="12" a="1"/>
  <c r="AM74" i="12" s="1"/>
  <c r="AN74" i="12" s="1"/>
  <c r="AI74" i="12" a="1"/>
  <c r="AI74" i="12" s="1"/>
  <c r="AJ74" i="12" s="1" a="1"/>
  <c r="AJ74" i="12" s="1"/>
  <c r="AK74" i="12" s="1" a="1"/>
  <c r="AK74" i="12" s="1"/>
  <c r="AL74" i="12" s="1"/>
  <c r="AM34" i="12" a="1"/>
  <c r="AM34" i="12" s="1"/>
  <c r="AN34" i="12" s="1"/>
  <c r="AI34" i="12" a="1"/>
  <c r="AI34" i="12" s="1"/>
  <c r="AJ34" i="12" s="1" a="1"/>
  <c r="AJ34" i="12" s="1"/>
  <c r="AI10" i="12" a="1"/>
  <c r="AI10" i="12" s="1"/>
  <c r="AJ10" i="12" s="1" a="1"/>
  <c r="AJ10" i="12" s="1"/>
  <c r="AM10" i="12" a="1"/>
  <c r="AM10" i="12" s="1"/>
  <c r="AN10" i="12" s="1"/>
  <c r="AM4" i="12" a="1"/>
  <c r="AM4" i="12" s="1"/>
  <c r="AN4" i="12" s="1"/>
  <c r="AI4" i="12" a="1"/>
  <c r="AI4" i="12" s="1"/>
  <c r="AJ4" i="12" s="1" a="1"/>
  <c r="AJ4" i="12" s="1"/>
  <c r="AI30" i="12" a="1"/>
  <c r="AI30" i="12" s="1"/>
  <c r="AJ30" i="12" s="1" a="1"/>
  <c r="AJ30" i="12" s="1"/>
  <c r="AM30" i="12" a="1"/>
  <c r="AM30" i="12" s="1"/>
  <c r="AN30" i="12" s="1"/>
  <c r="AM56" i="12" a="1"/>
  <c r="AM56" i="12" s="1"/>
  <c r="AN56" i="12" s="1"/>
  <c r="AI56" i="12" a="1"/>
  <c r="AI56" i="12" s="1"/>
  <c r="AJ56" i="12" s="1" a="1"/>
  <c r="AJ56" i="12" s="1"/>
  <c r="AI48" i="12" a="1"/>
  <c r="AI48" i="12" s="1"/>
  <c r="AJ48" i="12" s="1" a="1"/>
  <c r="AJ48" i="12" s="1"/>
  <c r="AM48" i="12" a="1"/>
  <c r="AM48" i="12" s="1"/>
  <c r="AN48" i="12" s="1"/>
  <c r="AI23" i="12" a="1"/>
  <c r="AI23" i="12" s="1"/>
  <c r="AJ23" i="12" s="1" a="1"/>
  <c r="AJ23" i="12" s="1"/>
  <c r="AM23" i="12" a="1"/>
  <c r="AM23" i="12" s="1"/>
  <c r="AN23" i="12" s="1"/>
  <c r="AM40" i="12" a="1"/>
  <c r="AM40" i="12" s="1"/>
  <c r="AN40" i="12" s="1"/>
  <c r="AI40" i="12" a="1"/>
  <c r="AI40" i="12" s="1"/>
  <c r="AJ40" i="12" s="1" a="1"/>
  <c r="AJ40" i="12" s="1"/>
  <c r="AI46" i="12" a="1"/>
  <c r="AI46" i="12" s="1"/>
  <c r="AJ46" i="12" s="1" a="1"/>
  <c r="AJ46" i="12" s="1"/>
  <c r="AM46" i="12" a="1"/>
  <c r="AM46" i="12" s="1"/>
  <c r="AN46" i="12" s="1"/>
  <c r="AI44" i="12" a="1"/>
  <c r="AI44" i="12" s="1"/>
  <c r="AJ44" i="12" s="1" a="1"/>
  <c r="AJ44" i="12" s="1"/>
  <c r="AM44" i="12" a="1"/>
  <c r="AM44" i="12" s="1"/>
  <c r="AN44" i="12" s="1"/>
  <c r="AI69" i="12" a="1"/>
  <c r="AI69" i="12" s="1"/>
  <c r="AJ69" i="12" s="1" a="1"/>
  <c r="AJ69" i="12" s="1"/>
  <c r="AM69" i="12" a="1"/>
  <c r="AM69" i="12" s="1"/>
  <c r="AN69" i="12" s="1"/>
  <c r="AM14" i="12" a="1"/>
  <c r="AM14" i="12" s="1"/>
  <c r="AN14" i="12" s="1"/>
  <c r="AI14" i="12" a="1"/>
  <c r="AI14" i="12" s="1"/>
  <c r="AJ14" i="12" s="1" a="1"/>
  <c r="AJ14" i="12" s="1"/>
  <c r="AM52" i="12" a="1"/>
  <c r="AM52" i="12" s="1"/>
  <c r="AN52" i="12" s="1"/>
  <c r="AI52" i="12" a="1"/>
  <c r="AI52" i="12" s="1"/>
  <c r="AJ52" i="12" s="1" a="1"/>
  <c r="AJ52" i="12" s="1"/>
  <c r="AM21" i="12" a="1"/>
  <c r="AM21" i="12" s="1"/>
  <c r="AN21" i="12" s="1"/>
  <c r="AI21" i="12" a="1"/>
  <c r="AI21" i="12" s="1"/>
  <c r="AJ21" i="12" s="1" a="1"/>
  <c r="AJ21" i="12" s="1"/>
  <c r="AI50" i="12" a="1"/>
  <c r="AI50" i="12" s="1"/>
  <c r="AJ50" i="12" s="1" a="1"/>
  <c r="AJ50" i="12" s="1"/>
  <c r="AM50" i="12" a="1"/>
  <c r="AM50" i="12" s="1"/>
  <c r="AN50" i="12" s="1"/>
  <c r="AI65" i="12" a="1"/>
  <c r="AI65" i="12" s="1"/>
  <c r="AJ65" i="12" s="1" a="1"/>
  <c r="AJ65" i="12" s="1"/>
  <c r="AM65" i="12" a="1"/>
  <c r="AM65" i="12" s="1"/>
  <c r="AN65" i="12" s="1"/>
  <c r="AM61" i="12" a="1"/>
  <c r="AM61" i="12" s="1"/>
  <c r="AN61" i="12" s="1"/>
  <c r="AI61" i="12" a="1"/>
  <c r="AI61" i="12" s="1"/>
  <c r="AJ61" i="12" s="1" a="1"/>
  <c r="AJ61" i="12" s="1"/>
  <c r="AI68" i="12" a="1"/>
  <c r="AI68" i="12" s="1"/>
  <c r="AJ68" i="12" s="1" a="1"/>
  <c r="AJ68" i="12" s="1"/>
  <c r="AM68" i="12" a="1"/>
  <c r="AM68" i="12" s="1"/>
  <c r="AN68" i="12" s="1"/>
  <c r="AI64" i="12" a="1"/>
  <c r="AI64" i="12" s="1"/>
  <c r="AJ64" i="12" s="1" a="1"/>
  <c r="AJ64" i="12" s="1"/>
  <c r="AM64" i="12" a="1"/>
  <c r="AM64" i="12" s="1"/>
  <c r="AN64" i="12" s="1"/>
  <c r="AI28" i="12" a="1"/>
  <c r="AI28" i="12" s="1"/>
  <c r="AJ28" i="12" s="1" a="1"/>
  <c r="AJ28" i="12" s="1"/>
  <c r="AM28" i="12" a="1"/>
  <c r="AM28" i="12" s="1"/>
  <c r="AN28" i="12" s="1"/>
  <c r="AM26" i="12" a="1"/>
  <c r="AM26" i="12" s="1"/>
  <c r="AN26" i="12" s="1"/>
  <c r="AI26" i="12" a="1"/>
  <c r="AI26" i="12" s="1"/>
  <c r="AJ26" i="12" s="1" a="1"/>
  <c r="AJ26" i="12" s="1"/>
  <c r="O5" i="17" a="1"/>
  <c r="O5" i="17" s="1"/>
  <c r="AI51" i="12" a="1"/>
  <c r="AI51" i="12" s="1"/>
  <c r="AJ51" i="12" s="1" a="1"/>
  <c r="AJ51" i="12" s="1"/>
  <c r="AM51" i="12" a="1"/>
  <c r="AM51" i="12" s="1"/>
  <c r="AN51" i="12" s="1"/>
  <c r="AI35" i="12" a="1"/>
  <c r="AI35" i="12" s="1"/>
  <c r="AJ35" i="12" s="1" a="1"/>
  <c r="AJ35" i="12" s="1"/>
  <c r="AM35" i="12" a="1"/>
  <c r="AM35" i="12" s="1"/>
  <c r="AN35" i="12" s="1"/>
  <c r="AI16" i="12" a="1"/>
  <c r="AI16" i="12" s="1"/>
  <c r="AJ16" i="12" s="1" a="1"/>
  <c r="AJ16" i="12" s="1"/>
  <c r="AM16" i="12" a="1"/>
  <c r="AM16" i="12" s="1"/>
  <c r="AN16" i="12" s="1"/>
  <c r="AI20" i="12" a="1"/>
  <c r="AI20" i="12" s="1"/>
  <c r="AJ20" i="12" s="1" a="1"/>
  <c r="AJ20" i="12" s="1"/>
  <c r="AM20" i="12" a="1"/>
  <c r="AM20" i="12" s="1"/>
  <c r="AN20" i="12" s="1"/>
  <c r="AI12" i="12" a="1"/>
  <c r="AI12" i="12" s="1"/>
  <c r="AJ12" i="12" s="1" a="1"/>
  <c r="AJ12" i="12" s="1"/>
  <c r="AM12" i="12" a="1"/>
  <c r="AM12" i="12" s="1"/>
  <c r="AN12" i="12" s="1"/>
  <c r="AI8" i="12" a="1"/>
  <c r="AI8" i="12" s="1"/>
  <c r="AJ8" i="12" s="1" a="1"/>
  <c r="AJ8" i="12" s="1"/>
  <c r="AM8" i="12" a="1"/>
  <c r="AM8" i="12" s="1"/>
  <c r="AN8" i="12" s="1"/>
  <c r="AI66" i="12" a="1"/>
  <c r="AI66" i="12" s="1"/>
  <c r="AJ66" i="12" s="1" a="1"/>
  <c r="AJ66" i="12" s="1"/>
  <c r="AM66" i="12" a="1"/>
  <c r="AM66" i="12" s="1"/>
  <c r="AN66" i="12" s="1"/>
  <c r="AI39" i="12" a="1"/>
  <c r="AI39" i="12" s="1"/>
  <c r="AJ39" i="12" s="1" a="1"/>
  <c r="AJ39" i="12" s="1"/>
  <c r="AM39" i="12" a="1"/>
  <c r="AM39" i="12" s="1"/>
  <c r="AN39" i="12" s="1"/>
  <c r="AM58" i="12" a="1"/>
  <c r="AM58" i="12" s="1"/>
  <c r="AN58" i="12" s="1"/>
  <c r="AI58" i="12" a="1"/>
  <c r="AI58" i="12" s="1"/>
  <c r="AJ58" i="12" s="1" a="1"/>
  <c r="AJ58" i="12" s="1"/>
  <c r="AI25" i="12" a="1"/>
  <c r="AI25" i="12" s="1"/>
  <c r="AJ25" i="12" s="1" a="1"/>
  <c r="AJ25" i="12" s="1"/>
  <c r="AM25" i="12" a="1"/>
  <c r="AM25" i="12" s="1"/>
  <c r="AN25" i="12" s="1"/>
  <c r="AI24" i="12" a="1"/>
  <c r="AI24" i="12" s="1"/>
  <c r="AJ24" i="12" s="1" a="1"/>
  <c r="AJ24" i="12" s="1"/>
  <c r="AM24" i="12" a="1"/>
  <c r="AM24" i="12" s="1"/>
  <c r="AN24" i="12" s="1"/>
  <c r="AI9" i="12" a="1"/>
  <c r="AI9" i="12" s="1"/>
  <c r="AJ9" i="12" s="1" a="1"/>
  <c r="AJ9" i="12" s="1"/>
  <c r="AM9" i="12" a="1"/>
  <c r="AM9" i="12" s="1"/>
  <c r="AN9" i="12" s="1"/>
  <c r="AM7" i="12" a="1"/>
  <c r="AM7" i="12" s="1"/>
  <c r="AN7" i="12" s="1"/>
  <c r="AI7" i="12" a="1"/>
  <c r="AI7" i="12" s="1"/>
  <c r="AJ7" i="12" s="1" a="1"/>
  <c r="AJ7" i="12" s="1"/>
  <c r="AM49" i="12" a="1"/>
  <c r="AM49" i="12" s="1"/>
  <c r="AN49" i="12" s="1"/>
  <c r="AI49" i="12" a="1"/>
  <c r="AI49" i="12" s="1"/>
  <c r="AJ49" i="12" s="1" a="1"/>
  <c r="AJ49" i="12" s="1"/>
  <c r="AM33" i="12" a="1"/>
  <c r="AM33" i="12" s="1"/>
  <c r="AN33" i="12" s="1"/>
  <c r="AI33" i="12" a="1"/>
  <c r="AI33" i="12" s="1"/>
  <c r="AJ33" i="12" s="1" a="1"/>
  <c r="AJ33" i="12" s="1"/>
  <c r="AM47" i="12" a="1"/>
  <c r="AM47" i="12" s="1"/>
  <c r="AN47" i="12" s="1"/>
  <c r="AI47" i="12" a="1"/>
  <c r="AI47" i="12" s="1"/>
  <c r="AJ47" i="12" s="1" a="1"/>
  <c r="AJ47" i="12" s="1"/>
  <c r="AM59" i="12" a="1"/>
  <c r="AM59" i="12" s="1"/>
  <c r="AN59" i="12" s="1"/>
  <c r="AI59" i="12" a="1"/>
  <c r="AI59" i="12" s="1"/>
  <c r="AJ59" i="12" s="1" a="1"/>
  <c r="AJ59" i="12" s="1"/>
  <c r="AI41" i="12" a="1"/>
  <c r="AI41" i="12" s="1"/>
  <c r="AJ41" i="12" s="1" a="1"/>
  <c r="AJ41" i="12" s="1"/>
  <c r="AM41" i="12" a="1"/>
  <c r="AM41" i="12" s="1"/>
  <c r="AN41" i="12" s="1"/>
  <c r="AI55" i="12" a="1"/>
  <c r="AI55" i="12" s="1"/>
  <c r="AJ55" i="12" s="1" a="1"/>
  <c r="AJ55" i="12" s="1"/>
  <c r="AM55" i="12" a="1"/>
  <c r="AM55" i="12" s="1"/>
  <c r="AN55" i="12" s="1"/>
  <c r="AM32" i="12" a="1"/>
  <c r="AM32" i="12" s="1"/>
  <c r="AN32" i="12" s="1"/>
  <c r="AI32" i="12" a="1"/>
  <c r="AI32" i="12" s="1"/>
  <c r="AJ32" i="12" s="1" a="1"/>
  <c r="AJ32" i="12" s="1"/>
  <c r="AM42" i="12" a="1"/>
  <c r="AM42" i="12" s="1"/>
  <c r="AN42" i="12" s="1"/>
  <c r="AI42" i="12" a="1"/>
  <c r="AI42" i="12" s="1"/>
  <c r="AJ42" i="12" s="1" a="1"/>
  <c r="AJ42" i="12" s="1"/>
  <c r="AM63" i="12" a="1"/>
  <c r="AM63" i="12" s="1"/>
  <c r="AN63" i="12" s="1"/>
  <c r="AI63" i="12" a="1"/>
  <c r="AI63" i="12" s="1"/>
  <c r="AJ63" i="12" s="1" a="1"/>
  <c r="AJ63" i="12" s="1"/>
  <c r="AD6" i="32" a="1"/>
  <c r="AD6" i="32" s="1"/>
  <c r="AI3" i="12" a="1"/>
  <c r="AI3" i="12" s="1"/>
  <c r="AJ3" i="12" s="1" a="1"/>
  <c r="AJ3" i="12" s="1"/>
  <c r="AM3" i="12" a="1"/>
  <c r="AM3" i="12" s="1"/>
  <c r="AN3" i="12" s="1"/>
  <c r="AI54" i="12" a="1"/>
  <c r="AI54" i="12" s="1"/>
  <c r="AJ54" i="12" s="1" a="1"/>
  <c r="AJ54" i="12" s="1"/>
  <c r="AM54" i="12" a="1"/>
  <c r="AM54" i="12" s="1"/>
  <c r="AN54" i="12" s="1"/>
  <c r="AM13" i="12" a="1"/>
  <c r="AM13" i="12" s="1"/>
  <c r="AN13" i="12" s="1"/>
  <c r="AI13" i="12" a="1"/>
  <c r="AI13" i="12" s="1"/>
  <c r="AJ13" i="12" s="1" a="1"/>
  <c r="AJ13" i="12" s="1"/>
  <c r="AI57" i="12" a="1"/>
  <c r="AI57" i="12" s="1"/>
  <c r="AJ57" i="12" s="1" a="1"/>
  <c r="AJ57" i="12" s="1"/>
  <c r="AM57" i="12" a="1"/>
  <c r="AM57" i="12" s="1"/>
  <c r="AN57" i="12" s="1"/>
  <c r="AI62" i="12" a="1"/>
  <c r="AI62" i="12" s="1"/>
  <c r="AJ62" i="12" s="1" a="1"/>
  <c r="AJ62" i="12" s="1"/>
  <c r="AM62" i="12" a="1"/>
  <c r="AM62" i="12" s="1"/>
  <c r="AN62" i="12" s="1"/>
  <c r="AM36" i="12" a="1"/>
  <c r="AM36" i="12" s="1"/>
  <c r="AN36" i="12" s="1"/>
  <c r="AI36" i="12" a="1"/>
  <c r="AI36" i="12" s="1"/>
  <c r="AJ36" i="12" s="1" a="1"/>
  <c r="AJ36" i="12" s="1"/>
  <c r="AI6" i="12" a="1"/>
  <c r="AI6" i="12" s="1"/>
  <c r="AJ6" i="12" s="1" a="1"/>
  <c r="AJ6" i="12" s="1"/>
  <c r="AM6" i="12" a="1"/>
  <c r="AM6" i="12" s="1"/>
  <c r="AN6" i="12" s="1"/>
  <c r="AM38" i="12" a="1"/>
  <c r="AM38" i="12" s="1"/>
  <c r="AN38" i="12" s="1"/>
  <c r="AI38" i="12" a="1"/>
  <c r="AI38" i="12" s="1"/>
  <c r="AJ38" i="12" s="1" a="1"/>
  <c r="AJ38" i="12" s="1"/>
  <c r="AI43" i="12" a="1"/>
  <c r="AI43" i="12" s="1"/>
  <c r="AJ43" i="12" s="1" a="1"/>
  <c r="AJ43" i="12" s="1"/>
  <c r="AM43" i="12" a="1"/>
  <c r="AM43" i="12" s="1"/>
  <c r="AN43" i="12" s="1"/>
  <c r="AM15" i="12" a="1"/>
  <c r="AM15" i="12" s="1"/>
  <c r="AN15" i="12" s="1"/>
  <c r="AI15" i="12" a="1"/>
  <c r="AI15" i="12" s="1"/>
  <c r="AJ15" i="12" s="1" a="1"/>
  <c r="AJ15" i="12" s="1"/>
  <c r="AI19" i="12" a="1"/>
  <c r="AI19" i="12" s="1"/>
  <c r="AJ19" i="12" s="1" a="1"/>
  <c r="AJ19" i="12" s="1"/>
  <c r="AM19" i="12" a="1"/>
  <c r="AM19" i="12" s="1"/>
  <c r="AN19" i="12" s="1"/>
  <c r="AI29" i="12" a="1"/>
  <c r="AI29" i="12" s="1"/>
  <c r="AJ29" i="12" s="1" a="1"/>
  <c r="AJ29" i="12" s="1"/>
  <c r="AM29" i="12" a="1"/>
  <c r="AM29" i="12" s="1"/>
  <c r="AN29" i="12" s="1"/>
  <c r="AM19" i="22" a="1"/>
  <c r="AM19" i="22" s="1"/>
  <c r="AM20" i="22" s="1" a="1"/>
  <c r="AM20" i="22" s="1"/>
  <c r="AM21" i="22" s="1" a="1"/>
  <c r="AM21" i="22" s="1"/>
  <c r="AM22" i="22" s="1" a="1"/>
  <c r="AM22" i="22" s="1"/>
  <c r="AM23" i="22" s="1" a="1"/>
  <c r="AM23" i="22" s="1"/>
  <c r="AM24" i="22" s="1" a="1"/>
  <c r="AM24" i="22" s="1"/>
  <c r="AM25" i="22" s="1" a="1"/>
  <c r="AM25" i="22" s="1"/>
  <c r="AM26" i="22" s="1" a="1"/>
  <c r="AM26" i="22" s="1"/>
  <c r="AM27" i="22" s="1" a="1"/>
  <c r="AM27" i="22" s="1"/>
  <c r="AM28" i="22" s="1" a="1"/>
  <c r="AM28" i="22" s="1"/>
  <c r="AM29" i="22" s="1" a="1"/>
  <c r="AM29" i="22" s="1"/>
  <c r="AM30" i="22" s="1" a="1"/>
  <c r="AM30" i="22" s="1"/>
  <c r="AM31" i="22" s="1" a="1"/>
  <c r="AM31" i="22" s="1"/>
  <c r="AM32" i="22" s="1" a="1"/>
  <c r="AM32" i="22" s="1"/>
  <c r="AM33" i="22" s="1" a="1"/>
  <c r="AM33" i="22" s="1"/>
  <c r="AM34" i="22" s="1" a="1"/>
  <c r="AM34" i="22" s="1"/>
  <c r="AM35" i="22" s="1" a="1"/>
  <c r="AM35" i="22" s="1"/>
  <c r="AM36" i="22" s="1" a="1"/>
  <c r="AM36" i="22" s="1"/>
  <c r="AM37" i="22" s="1" a="1"/>
  <c r="AM37" i="22" s="1"/>
  <c r="AM38" i="22" s="1" a="1"/>
  <c r="AM38" i="22" s="1"/>
  <c r="AM39" i="22" s="1" a="1"/>
  <c r="AM39" i="22" s="1"/>
  <c r="AM40" i="22" s="1" a="1"/>
  <c r="AM40" i="22" s="1"/>
  <c r="AM41" i="22" s="1" a="1"/>
  <c r="AM41" i="22" s="1"/>
  <c r="AM42" i="22" s="1" a="1"/>
  <c r="AM42" i="22" s="1"/>
  <c r="AM43" i="22" s="1" a="1"/>
  <c r="AM43" i="22" s="1"/>
  <c r="AM44" i="22" s="1" a="1"/>
  <c r="AM44" i="22" s="1"/>
  <c r="AM45" i="22" s="1" a="1"/>
  <c r="AM45" i="22" s="1"/>
  <c r="AM46" i="22" s="1" a="1"/>
  <c r="AM46" i="22" s="1"/>
  <c r="AM47" i="22" s="1" a="1"/>
  <c r="AM47" i="22" s="1"/>
  <c r="AM48" i="22" s="1" a="1"/>
  <c r="AM48" i="22" s="1"/>
  <c r="AM49" i="22" s="1" a="1"/>
  <c r="AM49" i="22" s="1"/>
  <c r="AM50" i="22" s="1" a="1"/>
  <c r="AM50" i="22" s="1"/>
  <c r="AM51" i="22" s="1" a="1"/>
  <c r="AM51" i="22" s="1"/>
  <c r="AM52" i="22" s="1" a="1"/>
  <c r="AM52" i="22" s="1"/>
  <c r="AM53" i="22" s="1" a="1"/>
  <c r="AM53" i="22" s="1"/>
  <c r="AM54" i="22" s="1" a="1"/>
  <c r="AM54" i="22" s="1"/>
  <c r="AM55" i="22" s="1" a="1"/>
  <c r="AM55" i="22" s="1"/>
  <c r="AM56" i="22" s="1" a="1"/>
  <c r="AM56" i="22" s="1"/>
  <c r="AM57" i="22" s="1" a="1"/>
  <c r="AM57" i="22" s="1"/>
  <c r="AM58" i="22" s="1" a="1"/>
  <c r="AM58" i="22" s="1"/>
  <c r="AM59" i="22" s="1" a="1"/>
  <c r="AM59" i="22" s="1"/>
  <c r="AM60" i="22" s="1" a="1"/>
  <c r="AM60" i="22" s="1"/>
  <c r="AM61" i="22" s="1" a="1"/>
  <c r="AM61" i="22" s="1"/>
  <c r="AM62" i="22" s="1" a="1"/>
  <c r="AM62" i="22" s="1"/>
  <c r="AM63" i="22" s="1" a="1"/>
  <c r="AM63" i="22" s="1"/>
  <c r="AM64" i="22" s="1" a="1"/>
  <c r="AM64" i="22" s="1"/>
  <c r="AM65" i="22" s="1" a="1"/>
  <c r="AM65" i="22" s="1"/>
  <c r="AM66" i="22" s="1" a="1"/>
  <c r="AM66" i="22" s="1"/>
  <c r="AM67" i="22" s="1" a="1"/>
  <c r="AM67" i="22" s="1"/>
  <c r="AM68" i="22" s="1" a="1"/>
  <c r="AM68" i="22" s="1"/>
  <c r="AM69" i="22" s="1" a="1"/>
  <c r="AM69" i="22" s="1"/>
  <c r="AM70" i="22" s="1" a="1"/>
  <c r="AM70" i="22" s="1"/>
  <c r="AM71" i="22" s="1" a="1"/>
  <c r="AM71" i="22" s="1"/>
  <c r="AM72" i="22" s="1" a="1"/>
  <c r="AM72" i="22" s="1"/>
  <c r="AM73" i="22" s="1" a="1"/>
  <c r="AM73" i="22" s="1"/>
  <c r="AM74" i="22" s="1" a="1"/>
  <c r="AM74" i="22" s="1"/>
  <c r="AM75" i="22" s="1" a="1"/>
  <c r="AM75" i="22" s="1"/>
  <c r="AM76" i="22" s="1" a="1"/>
  <c r="AM76" i="22" s="1"/>
  <c r="AM77" i="22" s="1" a="1"/>
  <c r="AM77" i="22" s="1"/>
  <c r="AM78" i="22" s="1" a="1"/>
  <c r="AM78" i="22" s="1"/>
  <c r="AM79" i="22" s="1" a="1"/>
  <c r="AM79" i="22" s="1"/>
  <c r="AM80" i="22" s="1" a="1"/>
  <c r="AM80" i="22" s="1"/>
  <c r="AM81" i="22" s="1" a="1"/>
  <c r="AM81" i="22" s="1"/>
  <c r="AM82" i="22" s="1" a="1"/>
  <c r="AM82" i="22" s="1"/>
  <c r="AM83" i="22" s="1" a="1"/>
  <c r="AM83" i="22" s="1"/>
  <c r="AM84" i="22" s="1" a="1"/>
  <c r="AM84" i="22" s="1"/>
  <c r="AM85" i="22" s="1" a="1"/>
  <c r="AM85" i="22" s="1"/>
  <c r="AM86" i="22" s="1" a="1"/>
  <c r="AM86" i="22" s="1"/>
  <c r="AM87" i="22" s="1" a="1"/>
  <c r="AM87" i="22" s="1"/>
  <c r="AM88" i="22" s="1" a="1"/>
  <c r="AM88" i="22" s="1"/>
  <c r="AM89" i="22" s="1" a="1"/>
  <c r="AM89" i="22" s="1"/>
  <c r="AM90" i="22" s="1" a="1"/>
  <c r="AM90" i="22" s="1"/>
  <c r="AM91" i="22" s="1" a="1"/>
  <c r="AM91" i="22" s="1"/>
  <c r="AM92" i="22" s="1" a="1"/>
  <c r="AM92" i="22" s="1"/>
  <c r="AM93" i="22" s="1" a="1"/>
  <c r="AM93" i="22" s="1"/>
  <c r="AM94" i="22" s="1" a="1"/>
  <c r="AM94" i="22" s="1"/>
  <c r="AM95" i="22" s="1" a="1"/>
  <c r="AM95" i="22" s="1"/>
  <c r="AM96" i="22" s="1" a="1"/>
  <c r="AM96" i="22" s="1"/>
  <c r="AM97" i="22" s="1" a="1"/>
  <c r="AM97" i="22" s="1"/>
  <c r="AM98" i="22" s="1" a="1"/>
  <c r="AM98" i="22" s="1"/>
  <c r="AM99" i="22" s="1" a="1"/>
  <c r="AM99" i="22" s="1"/>
  <c r="AM100" i="22" s="1" a="1"/>
  <c r="AM100" i="22" s="1"/>
  <c r="AM101" i="22" s="1" a="1"/>
  <c r="AM101" i="22" s="1"/>
  <c r="T81" i="22" a="1"/>
  <c r="T81" i="22" s="1"/>
  <c r="AA26" i="22" a="1"/>
  <c r="AA26" i="22" s="1"/>
  <c r="AB61" i="22"/>
  <c r="Y61" i="22"/>
  <c r="S61" i="22"/>
  <c r="V61" i="22" s="1"/>
  <c r="T26" i="22" a="1"/>
  <c r="T26" i="22" s="1"/>
  <c r="Y26" i="22" a="1"/>
  <c r="X61" i="22" a="1"/>
  <c r="S26" i="22" a="1"/>
  <c r="AB26" i="22" a="1"/>
  <c r="S81" i="22" a="1"/>
  <c r="AB81" i="22" a="1"/>
  <c r="Y81" i="22" a="1"/>
  <c r="Y68" i="22" a="1"/>
  <c r="AB68" i="22" a="1"/>
  <c r="AB37" i="22" a="1"/>
  <c r="Y37" i="22" a="1"/>
  <c r="C9" i="24" a="1"/>
  <c r="Q22" i="22" l="1" a="1"/>
  <c r="Q22" i="22" s="1"/>
  <c r="R22" i="22" s="1" a="1"/>
  <c r="R22" i="22" s="1"/>
  <c r="AA22" i="22" a="1"/>
  <c r="AA22" i="22" s="1"/>
  <c r="C9" i="24"/>
  <c r="E19" i="21" a="1"/>
  <c r="E19" i="21" s="1"/>
  <c r="S19" i="21" a="1"/>
  <c r="S19" i="21" s="1"/>
  <c r="D19" i="21" s="1" a="1"/>
  <c r="D19" i="21" s="1"/>
  <c r="U19" i="21"/>
  <c r="U6" i="21"/>
  <c r="S6" i="21" a="1"/>
  <c r="S6" i="21" s="1"/>
  <c r="D6" i="21" s="1" a="1"/>
  <c r="D6" i="21" s="1"/>
  <c r="E6" i="21" a="1"/>
  <c r="E6" i="21" s="1"/>
  <c r="S8" i="21" a="1"/>
  <c r="S8" i="21" s="1"/>
  <c r="D8" i="21" s="1" a="1"/>
  <c r="D8" i="21" s="1"/>
  <c r="E8" i="21" a="1"/>
  <c r="E8" i="21" s="1"/>
  <c r="U8" i="21"/>
  <c r="E37" i="21" a="1"/>
  <c r="E37" i="21" s="1"/>
  <c r="S37" i="21" a="1"/>
  <c r="S37" i="21" s="1"/>
  <c r="D37" i="21" s="1" a="1"/>
  <c r="D37" i="21" s="1"/>
  <c r="U37" i="21"/>
  <c r="U23" i="21"/>
  <c r="S23" i="21" a="1"/>
  <c r="S23" i="21" s="1"/>
  <c r="D23" i="21" s="1" a="1"/>
  <c r="D23" i="21" s="1"/>
  <c r="E23" i="21" a="1"/>
  <c r="E23" i="21" s="1"/>
  <c r="E41" i="21" a="1"/>
  <c r="E41" i="21" s="1"/>
  <c r="U41" i="21"/>
  <c r="S41" i="21" a="1"/>
  <c r="S41" i="21" s="1"/>
  <c r="D41" i="21" s="1" a="1"/>
  <c r="D41" i="21" s="1"/>
  <c r="S24" i="21" a="1"/>
  <c r="S24" i="21" s="1"/>
  <c r="D24" i="21" s="1" a="1"/>
  <c r="D24" i="21" s="1"/>
  <c r="U24" i="21"/>
  <c r="E24" i="21" a="1"/>
  <c r="E24" i="21" s="1"/>
  <c r="E10" i="21" a="1"/>
  <c r="E10" i="21" s="1"/>
  <c r="S10" i="21" a="1"/>
  <c r="S10" i="21" s="1"/>
  <c r="D10" i="21" s="1" a="1"/>
  <c r="D10" i="21" s="1"/>
  <c r="U10" i="21"/>
  <c r="V11" i="21" a="1"/>
  <c r="V11" i="21" s="1"/>
  <c r="E11" i="21" a="1"/>
  <c r="E11" i="21" s="1"/>
  <c r="S11" i="21" a="1"/>
  <c r="S11" i="21" s="1"/>
  <c r="D11" i="21" s="1" a="1"/>
  <c r="D11" i="21" s="1"/>
  <c r="U11" i="21"/>
  <c r="E4" i="21" a="1"/>
  <c r="E4" i="21" s="1"/>
  <c r="S4" i="21" a="1"/>
  <c r="S4" i="21" s="1"/>
  <c r="D4" i="21" s="1" a="1"/>
  <c r="D4" i="21" s="1"/>
  <c r="U4" i="21"/>
  <c r="E33" i="21" a="1"/>
  <c r="E33" i="21" s="1"/>
  <c r="V33" i="21" a="1"/>
  <c r="V33" i="21" s="1"/>
  <c r="U33" i="21"/>
  <c r="S33" i="21" a="1"/>
  <c r="S33" i="21" s="1"/>
  <c r="D33" i="21" s="1" a="1"/>
  <c r="D33" i="21" s="1"/>
  <c r="D12" i="24"/>
  <c r="A12" i="24"/>
  <c r="E36" i="21" a="1"/>
  <c r="E36" i="21" s="1"/>
  <c r="U36" i="21"/>
  <c r="S36" i="21" a="1"/>
  <c r="S36" i="21" s="1"/>
  <c r="D36" i="21" s="1" a="1"/>
  <c r="D36" i="21" s="1"/>
  <c r="S29" i="21" a="1"/>
  <c r="S29" i="21" s="1"/>
  <c r="D29" i="21" s="1" a="1"/>
  <c r="D29" i="21" s="1"/>
  <c r="U29" i="21"/>
  <c r="E29" i="21" a="1"/>
  <c r="E29" i="21" s="1"/>
  <c r="U7" i="21"/>
  <c r="E7" i="21" a="1"/>
  <c r="E7" i="21" s="1"/>
  <c r="S7" i="21" a="1"/>
  <c r="S7" i="21" s="1"/>
  <c r="D7" i="21" s="1" a="1"/>
  <c r="D7" i="21" s="1"/>
  <c r="S18" i="21" a="1"/>
  <c r="S18" i="21" s="1"/>
  <c r="D18" i="21" s="1" a="1"/>
  <c r="D18" i="21" s="1"/>
  <c r="E18" i="21" a="1"/>
  <c r="E18" i="21" s="1"/>
  <c r="U18" i="21"/>
  <c r="V22" i="21" a="1"/>
  <c r="V22" i="21" s="1"/>
  <c r="E22" i="21" a="1"/>
  <c r="E22" i="21" s="1"/>
  <c r="S22" i="21" a="1"/>
  <c r="S22" i="21" s="1"/>
  <c r="D22" i="21" s="1" a="1"/>
  <c r="D22" i="21" s="1"/>
  <c r="U22" i="21"/>
  <c r="E28" i="21" a="1"/>
  <c r="E28" i="21" s="1"/>
  <c r="U28" i="21"/>
  <c r="S28" i="21" a="1"/>
  <c r="S28" i="21" s="1"/>
  <c r="D28" i="21" s="1" a="1"/>
  <c r="D28" i="21" s="1"/>
  <c r="S43" i="21" a="1"/>
  <c r="S43" i="21" s="1"/>
  <c r="D43" i="21" s="1" a="1"/>
  <c r="D43" i="21" s="1"/>
  <c r="U43" i="21"/>
  <c r="E43" i="21" a="1"/>
  <c r="E43" i="21" s="1"/>
  <c r="U27" i="21"/>
  <c r="S27" i="21" a="1"/>
  <c r="S27" i="21" s="1"/>
  <c r="D27" i="21" s="1" a="1"/>
  <c r="D27" i="21" s="1"/>
  <c r="E27" i="21" a="1"/>
  <c r="E27" i="21" s="1"/>
  <c r="U9" i="21"/>
  <c r="S9" i="21" a="1"/>
  <c r="S9" i="21" s="1"/>
  <c r="D9" i="21" s="1" a="1"/>
  <c r="D9" i="21" s="1"/>
  <c r="E9" i="21" a="1"/>
  <c r="E9" i="21" s="1"/>
  <c r="S17" i="21" a="1"/>
  <c r="S17" i="21" s="1"/>
  <c r="D17" i="21" s="1" a="1"/>
  <c r="D17" i="21" s="1"/>
  <c r="E17" i="21" a="1"/>
  <c r="E17" i="21" s="1"/>
  <c r="U17" i="21"/>
  <c r="S38" i="21" a="1"/>
  <c r="S38" i="21" s="1"/>
  <c r="D38" i="21" s="1" a="1"/>
  <c r="D38" i="21" s="1"/>
  <c r="U38" i="21"/>
  <c r="E38" i="21" a="1"/>
  <c r="E38" i="21" s="1"/>
  <c r="E39" i="21" a="1"/>
  <c r="E39" i="21" s="1"/>
  <c r="U39" i="21"/>
  <c r="S39" i="21" a="1"/>
  <c r="S39" i="21" s="1"/>
  <c r="D39" i="21" s="1" a="1"/>
  <c r="D39" i="21" s="1"/>
  <c r="U3" i="21"/>
  <c r="S3" i="21" a="1"/>
  <c r="S3" i="21" s="1"/>
  <c r="D3" i="21" s="1" a="1"/>
  <c r="D3" i="21" s="1"/>
  <c r="E3" i="21" a="1"/>
  <c r="E3" i="21" s="1"/>
  <c r="S21" i="21" a="1"/>
  <c r="S21" i="21" s="1"/>
  <c r="D21" i="21" s="1" a="1"/>
  <c r="D21" i="21" s="1"/>
  <c r="E21" i="21" a="1"/>
  <c r="E21" i="21" s="1"/>
  <c r="U21" i="21"/>
  <c r="E25" i="21" a="1"/>
  <c r="E25" i="21" s="1"/>
  <c r="S25" i="21" a="1"/>
  <c r="S25" i="21" s="1"/>
  <c r="D25" i="21" s="1" a="1"/>
  <c r="D25" i="21" s="1"/>
  <c r="U25" i="21"/>
  <c r="U40" i="21"/>
  <c r="E40" i="21" a="1"/>
  <c r="E40" i="21" s="1"/>
  <c r="S40" i="21" a="1"/>
  <c r="S40" i="21" s="1"/>
  <c r="D40" i="21" s="1" a="1"/>
  <c r="D40" i="21" s="1"/>
  <c r="S30" i="21" a="1"/>
  <c r="S30" i="21" s="1"/>
  <c r="D30" i="21" s="1" a="1"/>
  <c r="D30" i="21" s="1"/>
  <c r="U30" i="21"/>
  <c r="E30" i="21" a="1"/>
  <c r="E30" i="21" s="1"/>
  <c r="E5" i="21" a="1"/>
  <c r="E5" i="21" s="1"/>
  <c r="U5" i="21"/>
  <c r="S5" i="21" a="1"/>
  <c r="S5" i="21" s="1"/>
  <c r="D5" i="21" s="1" a="1"/>
  <c r="D5" i="21" s="1"/>
  <c r="E32" i="21" a="1"/>
  <c r="E32" i="21" s="1"/>
  <c r="S32" i="21" a="1"/>
  <c r="S32" i="21" s="1"/>
  <c r="D32" i="21" s="1" a="1"/>
  <c r="D32" i="21" s="1"/>
  <c r="U32" i="21"/>
  <c r="S15" i="21" a="1"/>
  <c r="S15" i="21" s="1"/>
  <c r="D15" i="21" s="1" a="1"/>
  <c r="D15" i="21" s="1"/>
  <c r="V15" i="21" a="1"/>
  <c r="V15" i="21" s="1"/>
  <c r="E15" i="21" a="1"/>
  <c r="E15" i="21" s="1"/>
  <c r="U15" i="21"/>
  <c r="S12" i="21" a="1"/>
  <c r="S12" i="21" s="1"/>
  <c r="D12" i="21" s="1" a="1"/>
  <c r="D12" i="21" s="1"/>
  <c r="U12" i="21"/>
  <c r="E12" i="21" a="1"/>
  <c r="E12" i="21" s="1"/>
  <c r="E14" i="21" a="1"/>
  <c r="E14" i="21" s="1"/>
  <c r="S14" i="21" a="1"/>
  <c r="S14" i="21" s="1"/>
  <c r="D14" i="21" s="1" a="1"/>
  <c r="D14" i="21" s="1"/>
  <c r="V14" i="21" a="1"/>
  <c r="V14" i="21" s="1"/>
  <c r="U14" i="21"/>
  <c r="U34" i="21"/>
  <c r="V34" i="21" a="1"/>
  <c r="V34" i="21" s="1"/>
  <c r="E34" i="21" a="1"/>
  <c r="E34" i="21" s="1"/>
  <c r="S34" i="21" a="1"/>
  <c r="S34" i="21" s="1"/>
  <c r="D34" i="21" s="1" a="1"/>
  <c r="D34" i="21" s="1"/>
  <c r="S31" i="21" a="1"/>
  <c r="S31" i="21" s="1"/>
  <c r="D31" i="21" s="1" a="1"/>
  <c r="D31" i="21" s="1"/>
  <c r="E31" i="21" a="1"/>
  <c r="E31" i="21" s="1"/>
  <c r="U31" i="21"/>
  <c r="E26" i="21" a="1"/>
  <c r="E26" i="21" s="1"/>
  <c r="S26" i="21" a="1"/>
  <c r="S26" i="21" s="1"/>
  <c r="D26" i="21" s="1" a="1"/>
  <c r="D26" i="21" s="1"/>
  <c r="U26" i="21"/>
  <c r="E13" i="21" a="1"/>
  <c r="E13" i="21" s="1"/>
  <c r="U13" i="21"/>
  <c r="S13" i="21" a="1"/>
  <c r="S13" i="21" s="1"/>
  <c r="D13" i="21" s="1" a="1"/>
  <c r="D13" i="21" s="1"/>
  <c r="U20" i="21"/>
  <c r="E20" i="21" a="1"/>
  <c r="E20" i="21" s="1"/>
  <c r="S20" i="21" a="1"/>
  <c r="S20" i="21" s="1"/>
  <c r="D20" i="21" s="1" a="1"/>
  <c r="D20" i="21" s="1"/>
  <c r="AO53" i="12"/>
  <c r="AP53" i="12" s="1" a="1"/>
  <c r="AP53" i="12" s="1"/>
  <c r="AO47" i="12"/>
  <c r="AP47" i="12" s="1" a="1"/>
  <c r="AP47" i="12" s="1"/>
  <c r="AO54" i="12"/>
  <c r="AP54" i="12" s="1" a="1"/>
  <c r="AP54" i="12" s="1"/>
  <c r="AO22" i="12"/>
  <c r="AP22" i="12" s="1" a="1"/>
  <c r="AP22" i="12" s="1"/>
  <c r="AQ22" i="12" s="1"/>
  <c r="AO82" i="12"/>
  <c r="AP82" i="12" s="1" a="1"/>
  <c r="AP82" i="12" s="1"/>
  <c r="AQ82" i="12" s="1"/>
  <c r="AR82" i="12" s="1" a="1"/>
  <c r="AR82" i="12" s="1"/>
  <c r="AO96" i="12"/>
  <c r="AP96" i="12" s="1" a="1"/>
  <c r="AP96" i="12" s="1"/>
  <c r="AQ96" i="12" s="1"/>
  <c r="AR96" i="12" s="1" a="1"/>
  <c r="AR96" i="12" s="1"/>
  <c r="AO3" i="12"/>
  <c r="AP3" i="12" s="1" a="1"/>
  <c r="AP3" i="12" s="1"/>
  <c r="AO13" i="12"/>
  <c r="AP13" i="12" s="1" a="1"/>
  <c r="AP13" i="12" s="1"/>
  <c r="AO62" i="12"/>
  <c r="AP62" i="12" s="1" a="1"/>
  <c r="AP62" i="12" s="1"/>
  <c r="AO73" i="12"/>
  <c r="AP73" i="12" s="1" a="1"/>
  <c r="AP73" i="12" s="1"/>
  <c r="AQ73" i="12" s="1"/>
  <c r="AR73" i="12" s="1" a="1"/>
  <c r="AR73" i="12" s="1"/>
  <c r="AO60" i="12"/>
  <c r="AP60" i="12" s="1" a="1"/>
  <c r="AP60" i="12" s="1"/>
  <c r="AO83" i="12"/>
  <c r="AP83" i="12" s="1" a="1"/>
  <c r="AP83" i="12" s="1"/>
  <c r="AQ83" i="12" s="1"/>
  <c r="AR83" i="12" s="1" a="1"/>
  <c r="AR83" i="12" s="1"/>
  <c r="AO97" i="12"/>
  <c r="AP97" i="12" s="1" a="1"/>
  <c r="AP97" i="12" s="1"/>
  <c r="AQ97" i="12" s="1"/>
  <c r="AR97" i="12" s="1" a="1"/>
  <c r="AR97" i="12" s="1"/>
  <c r="AE6" i="32" a="1"/>
  <c r="AE6" i="32" s="1"/>
  <c r="J6" i="32" s="1" a="1"/>
  <c r="J6" i="32" s="1"/>
  <c r="AO34" i="12"/>
  <c r="AP34" i="12" s="1" a="1"/>
  <c r="AP34" i="12" s="1"/>
  <c r="AO65" i="12"/>
  <c r="AP65" i="12" s="1" a="1"/>
  <c r="AP65" i="12" s="1"/>
  <c r="AO56" i="12"/>
  <c r="AP56" i="12" s="1" a="1"/>
  <c r="AP56" i="12" s="1"/>
  <c r="AO61" i="12"/>
  <c r="AP61" i="12" s="1" a="1"/>
  <c r="AP61" i="12" s="1"/>
  <c r="AO68" i="12"/>
  <c r="AP68" i="12" s="1" a="1"/>
  <c r="AP68" i="12" s="1"/>
  <c r="AO84" i="12"/>
  <c r="AP84" i="12" s="1" a="1"/>
  <c r="AP84" i="12" s="1"/>
  <c r="AQ84" i="12" s="1"/>
  <c r="AR84" i="12" s="1" a="1"/>
  <c r="AR84" i="12" s="1"/>
  <c r="AO98" i="12"/>
  <c r="AP98" i="12" s="1" a="1"/>
  <c r="AP98" i="12" s="1"/>
  <c r="AQ98" i="12" s="1"/>
  <c r="AR98" i="12" s="1" a="1"/>
  <c r="AR98" i="12" s="1"/>
  <c r="AO16" i="12"/>
  <c r="AP16" i="12" s="1" a="1"/>
  <c r="AP16" i="12" s="1"/>
  <c r="AO74" i="12"/>
  <c r="AP74" i="12" s="1" a="1"/>
  <c r="AP74" i="12" s="1"/>
  <c r="AQ74" i="12" s="1"/>
  <c r="AR74" i="12" s="1" a="1"/>
  <c r="AR74" i="12" s="1"/>
  <c r="AO59" i="12"/>
  <c r="AP59" i="12" s="1" a="1"/>
  <c r="AP59" i="12" s="1"/>
  <c r="AO21" i="12"/>
  <c r="AP21" i="12" s="1" a="1"/>
  <c r="AP21" i="12" s="1"/>
  <c r="AO85" i="12"/>
  <c r="AP85" i="12" s="1" a="1"/>
  <c r="AP85" i="12" s="1"/>
  <c r="AQ85" i="12" s="1"/>
  <c r="AR85" i="12" s="1" a="1"/>
  <c r="AR85" i="12" s="1"/>
  <c r="AO99" i="12"/>
  <c r="AP99" i="12" s="1" a="1"/>
  <c r="AP99" i="12" s="1"/>
  <c r="AQ99" i="12" s="1"/>
  <c r="AR99" i="12" s="1" a="1"/>
  <c r="AR99" i="12" s="1"/>
  <c r="AO32" i="12"/>
  <c r="AP32" i="12" s="1" a="1"/>
  <c r="AP32" i="12" s="1"/>
  <c r="AO35" i="12"/>
  <c r="AP35" i="12" s="1" a="1"/>
  <c r="AP35" i="12" s="1"/>
  <c r="AO14" i="12"/>
  <c r="AP14" i="12" s="1" a="1"/>
  <c r="AP14" i="12" s="1"/>
  <c r="AO20" i="12"/>
  <c r="AP20" i="12" s="1" a="1"/>
  <c r="AP20" i="12" s="1"/>
  <c r="AO15" i="12"/>
  <c r="AP15" i="12" s="1" a="1"/>
  <c r="AP15" i="12" s="1"/>
  <c r="AO10" i="12"/>
  <c r="AP10" i="12" s="1" a="1"/>
  <c r="AP10" i="12" s="1"/>
  <c r="AO86" i="12"/>
  <c r="AP86" i="12" s="1" a="1"/>
  <c r="AP86" i="12" s="1"/>
  <c r="AQ86" i="12" s="1"/>
  <c r="AR86" i="12" s="1" a="1"/>
  <c r="AR86" i="12" s="1"/>
  <c r="AO100" i="12"/>
  <c r="AP100" i="12" s="1" a="1"/>
  <c r="AP100" i="12" s="1"/>
  <c r="AQ100" i="12" s="1"/>
  <c r="AR100" i="12" s="1" a="1"/>
  <c r="AR100" i="12" s="1"/>
  <c r="AO19" i="12"/>
  <c r="AP19" i="12" s="1" a="1"/>
  <c r="AP19" i="12" s="1"/>
  <c r="AO5" i="12"/>
  <c r="AP5" i="12" s="1" a="1"/>
  <c r="AP5" i="12" s="1"/>
  <c r="AQ5" i="12" s="1"/>
  <c r="AR5" i="12" s="1" a="1"/>
  <c r="AR5" i="12" s="1"/>
  <c r="AO28" i="12"/>
  <c r="AP28" i="12" s="1" a="1"/>
  <c r="AP28" i="12" s="1"/>
  <c r="AO57" i="12"/>
  <c r="AP57" i="12" s="1" a="1"/>
  <c r="AP57" i="12" s="1"/>
  <c r="AO87" i="12"/>
  <c r="AP87" i="12" s="1" a="1"/>
  <c r="AP87" i="12" s="1"/>
  <c r="AQ87" i="12" s="1"/>
  <c r="AR87" i="12" s="1" a="1"/>
  <c r="AR87" i="12" s="1"/>
  <c r="AO7" i="12"/>
  <c r="AP7" i="12" s="1" a="1"/>
  <c r="AP7" i="12" s="1"/>
  <c r="AO33" i="12"/>
  <c r="AP33" i="12" s="1" a="1"/>
  <c r="AP33" i="12" s="1"/>
  <c r="AO11" i="12"/>
  <c r="AP11" i="12" s="1" a="1"/>
  <c r="AP11" i="12" s="1"/>
  <c r="AQ11" i="12" s="1"/>
  <c r="AR11" i="12" s="1" a="1"/>
  <c r="AR11" i="12" s="1"/>
  <c r="AO52" i="12"/>
  <c r="AP52" i="12" s="1" a="1"/>
  <c r="AP52" i="12" s="1"/>
  <c r="AO48" i="12"/>
  <c r="AP48" i="12" s="1" a="1"/>
  <c r="AP48" i="12" s="1"/>
  <c r="AO71" i="12"/>
  <c r="AP71" i="12" s="1" a="1"/>
  <c r="AP71" i="12" s="1"/>
  <c r="AQ71" i="12" s="1"/>
  <c r="AR71" i="12" s="1" a="1"/>
  <c r="AR71" i="12" s="1"/>
  <c r="AO88" i="12"/>
  <c r="AP88" i="12" s="1" a="1"/>
  <c r="AP88" i="12" s="1"/>
  <c r="AQ88" i="12" s="1"/>
  <c r="AR88" i="12" s="1" a="1"/>
  <c r="AR88" i="12" s="1"/>
  <c r="AO50" i="12"/>
  <c r="AP50" i="12" s="1" a="1"/>
  <c r="AP50" i="12" s="1"/>
  <c r="AO70" i="12"/>
  <c r="AP70" i="12" s="1" a="1"/>
  <c r="AP70" i="12" s="1"/>
  <c r="AQ70" i="12" s="1"/>
  <c r="AR70" i="12" s="1" a="1"/>
  <c r="AR70" i="12" s="1"/>
  <c r="AO67" i="12"/>
  <c r="AP67" i="12" s="1" a="1"/>
  <c r="AP67" i="12" s="1"/>
  <c r="AQ67" i="12" s="1"/>
  <c r="AR67" i="12" s="1" a="1"/>
  <c r="AR67" i="12" s="1"/>
  <c r="AO12" i="12"/>
  <c r="AP12" i="12" s="1" a="1"/>
  <c r="AP12" i="12" s="1"/>
  <c r="AO89" i="12"/>
  <c r="AP89" i="12" s="1" a="1"/>
  <c r="AP89" i="12" s="1"/>
  <c r="AQ89" i="12" s="1"/>
  <c r="AR89" i="12" s="1" a="1"/>
  <c r="AR89" i="12" s="1"/>
  <c r="AO4" i="12"/>
  <c r="AP4" i="12" s="1" a="1"/>
  <c r="AP4" i="12" s="1"/>
  <c r="AO29" i="12"/>
  <c r="AP29" i="12" s="1" a="1"/>
  <c r="AP29" i="12" s="1"/>
  <c r="AO75" i="12"/>
  <c r="AP75" i="12" s="1" a="1"/>
  <c r="AP75" i="12" s="1"/>
  <c r="AQ75" i="12" s="1"/>
  <c r="AR75" i="12" s="1" a="1"/>
  <c r="AR75" i="12" s="1"/>
  <c r="AO24" i="12"/>
  <c r="AP24" i="12" s="1" a="1"/>
  <c r="AP24" i="12" s="1"/>
  <c r="AO69" i="12"/>
  <c r="AP69" i="12" s="1" a="1"/>
  <c r="AP69" i="12" s="1"/>
  <c r="AO25" i="12"/>
  <c r="AP25" i="12" s="1" a="1"/>
  <c r="AP25" i="12" s="1"/>
  <c r="AO90" i="12"/>
  <c r="AP90" i="12" s="1" a="1"/>
  <c r="AP90" i="12" s="1"/>
  <c r="AQ90" i="12" s="1"/>
  <c r="AR90" i="12" s="1" a="1"/>
  <c r="AR90" i="12" s="1"/>
  <c r="AO55" i="12"/>
  <c r="AP55" i="12" s="1" a="1"/>
  <c r="AP55" i="12" s="1"/>
  <c r="AO76" i="12"/>
  <c r="AP76" i="12" s="1" a="1"/>
  <c r="AP76" i="12" s="1"/>
  <c r="AQ76" i="12" s="1"/>
  <c r="AR76" i="12" s="1" a="1"/>
  <c r="AR76" i="12" s="1"/>
  <c r="AO42" i="12"/>
  <c r="AP42" i="12" s="1" a="1"/>
  <c r="AP42" i="12" s="1"/>
  <c r="AO49" i="12"/>
  <c r="AP49" i="12" s="1" a="1"/>
  <c r="AP49" i="12" s="1"/>
  <c r="AO91" i="12"/>
  <c r="AP91" i="12" s="1" a="1"/>
  <c r="AP91" i="12" s="1"/>
  <c r="AQ91" i="12" s="1"/>
  <c r="AR91" i="12" s="1" a="1"/>
  <c r="AR91" i="12" s="1"/>
  <c r="AO6" i="12"/>
  <c r="AP6" i="12" s="1" a="1"/>
  <c r="AP6" i="12" s="1"/>
  <c r="AO9" i="12"/>
  <c r="AP9" i="12" s="1" a="1"/>
  <c r="AP9" i="12" s="1"/>
  <c r="AO77" i="12"/>
  <c r="AP77" i="12" s="1" a="1"/>
  <c r="AP77" i="12" s="1"/>
  <c r="AQ77" i="12" s="1"/>
  <c r="AR77" i="12" s="1" a="1"/>
  <c r="AR77" i="12" s="1"/>
  <c r="AO58" i="12"/>
  <c r="AP58" i="12" s="1" a="1"/>
  <c r="AP58" i="12" s="1"/>
  <c r="AO78" i="12"/>
  <c r="AP78" i="12" s="1" a="1"/>
  <c r="AP78" i="12" s="1"/>
  <c r="AQ78" i="12" s="1"/>
  <c r="AR78" i="12" s="1" a="1"/>
  <c r="AR78" i="12" s="1"/>
  <c r="AO92" i="12"/>
  <c r="AP92" i="12" s="1" a="1"/>
  <c r="AP92" i="12" s="1"/>
  <c r="AQ92" i="12" s="1"/>
  <c r="AR92" i="12" s="1" a="1"/>
  <c r="AR92" i="12" s="1"/>
  <c r="AO17" i="12"/>
  <c r="AP17" i="12" s="1" a="1"/>
  <c r="AP17" i="12" s="1"/>
  <c r="AQ17" i="12" s="1"/>
  <c r="AO26" i="12"/>
  <c r="AP26" i="12" s="1" a="1"/>
  <c r="AP26" i="12" s="1"/>
  <c r="AO64" i="12"/>
  <c r="AP64" i="12" s="1" a="1"/>
  <c r="AP64" i="12" s="1"/>
  <c r="AO79" i="12"/>
  <c r="AP79" i="12" s="1" a="1"/>
  <c r="AP79" i="12" s="1"/>
  <c r="AQ79" i="12" s="1"/>
  <c r="AR79" i="12" s="1" a="1"/>
  <c r="AR79" i="12" s="1"/>
  <c r="AO93" i="12"/>
  <c r="AP93" i="12" s="1" a="1"/>
  <c r="AP93" i="12" s="1"/>
  <c r="AQ93" i="12" s="1"/>
  <c r="AR93" i="12" s="1" a="1"/>
  <c r="AR93" i="12" s="1"/>
  <c r="AO30" i="12"/>
  <c r="AP30" i="12" s="1" a="1"/>
  <c r="AP30" i="12" s="1"/>
  <c r="AO66" i="12"/>
  <c r="AP66" i="12" s="1" a="1"/>
  <c r="AP66" i="12" s="1"/>
  <c r="AO72" i="12"/>
  <c r="AP72" i="12" s="1" a="1"/>
  <c r="AP72" i="12" s="1"/>
  <c r="AQ72" i="12" s="1"/>
  <c r="AR72" i="12" s="1" a="1"/>
  <c r="AR72" i="12" s="1"/>
  <c r="AO37" i="12"/>
  <c r="AP37" i="12" s="1" a="1"/>
  <c r="AP37" i="12" s="1"/>
  <c r="AQ37" i="12" s="1"/>
  <c r="AO63" i="12"/>
  <c r="AP63" i="12" s="1" a="1"/>
  <c r="AP63" i="12" s="1"/>
  <c r="AO80" i="12"/>
  <c r="AP80" i="12" s="1" a="1"/>
  <c r="AP80" i="12" s="1"/>
  <c r="AQ80" i="12" s="1"/>
  <c r="AR80" i="12" s="1" a="1"/>
  <c r="AR80" i="12" s="1"/>
  <c r="AO94" i="12"/>
  <c r="AP94" i="12" s="1" a="1"/>
  <c r="AP94" i="12" s="1"/>
  <c r="AQ94" i="12" s="1"/>
  <c r="AR94" i="12" s="1" a="1"/>
  <c r="AR94" i="12" s="1"/>
  <c r="AO51" i="12"/>
  <c r="AP51" i="12" s="1" a="1"/>
  <c r="AP51" i="12" s="1"/>
  <c r="AO18" i="12"/>
  <c r="AP18" i="12" s="1" a="1"/>
  <c r="AP18" i="12" s="1"/>
  <c r="AQ18" i="12" s="1"/>
  <c r="AO46" i="12"/>
  <c r="AP46" i="12" s="1" a="1"/>
  <c r="AP46" i="12" s="1"/>
  <c r="AO23" i="12"/>
  <c r="AP23" i="12" s="1" a="1"/>
  <c r="AP23" i="12" s="1"/>
  <c r="AO81" i="12"/>
  <c r="AP81" i="12" s="1" a="1"/>
  <c r="AP81" i="12" s="1"/>
  <c r="AQ81" i="12" s="1"/>
  <c r="AR81" i="12" s="1" a="1"/>
  <c r="AR81" i="12" s="1"/>
  <c r="AO95" i="12"/>
  <c r="AP95" i="12" s="1" a="1"/>
  <c r="AP95" i="12" s="1"/>
  <c r="AQ95" i="12" s="1"/>
  <c r="AR95" i="12" s="1" a="1"/>
  <c r="AR95" i="12" s="1"/>
  <c r="AO8" i="12"/>
  <c r="AP8" i="12" s="1" a="1"/>
  <c r="AP8" i="12" s="1"/>
  <c r="AO38" i="12"/>
  <c r="AP38" i="12" s="1" a="1"/>
  <c r="AP38" i="12" s="1"/>
  <c r="AO43" i="12"/>
  <c r="AP43" i="12" s="1" a="1"/>
  <c r="AP43" i="12" s="1"/>
  <c r="AO36" i="12"/>
  <c r="AP36" i="12" s="1" a="1"/>
  <c r="AP36" i="12" s="1"/>
  <c r="AO45" i="12"/>
  <c r="AP45" i="12" s="1" a="1"/>
  <c r="AP45" i="12" s="1"/>
  <c r="AQ45" i="12" s="1"/>
  <c r="AO101" i="12"/>
  <c r="AP101" i="12" s="1" a="1"/>
  <c r="AP101" i="12" s="1"/>
  <c r="AQ101" i="12" s="1"/>
  <c r="AR101" i="12" s="1" a="1"/>
  <c r="AR101" i="12" s="1"/>
  <c r="AO44" i="12"/>
  <c r="AP44" i="12" s="1" a="1"/>
  <c r="AP44" i="12" s="1"/>
  <c r="AO41" i="12"/>
  <c r="AP41" i="12" s="1" a="1"/>
  <c r="AP41" i="12" s="1"/>
  <c r="AO40" i="12"/>
  <c r="AP40" i="12" s="1" a="1"/>
  <c r="AP40" i="12" s="1"/>
  <c r="AO31" i="12"/>
  <c r="AP31" i="12" s="1" a="1"/>
  <c r="AP31" i="12" s="1"/>
  <c r="AQ31" i="12" s="1"/>
  <c r="AO27" i="12"/>
  <c r="AP27" i="12" s="1" a="1"/>
  <c r="AP27" i="12" s="1"/>
  <c r="AQ27" i="12" s="1"/>
  <c r="AR27" i="12" s="1" a="1"/>
  <c r="AR27" i="12" s="1"/>
  <c r="AO39" i="12"/>
  <c r="AP39" i="12" s="1" a="1"/>
  <c r="AP39" i="12" s="1"/>
  <c r="AO102" i="12"/>
  <c r="AP102" i="12" s="1" a="1"/>
  <c r="AP102" i="12" s="1"/>
  <c r="AQ102" i="12" s="1"/>
  <c r="AR102" i="12" s="1" a="1"/>
  <c r="AR102" i="12" s="1"/>
  <c r="E35" i="21" a="1"/>
  <c r="E35" i="21" s="1"/>
  <c r="S35" i="21" a="1"/>
  <c r="S35" i="21" s="1"/>
  <c r="D35" i="21" s="1" a="1"/>
  <c r="D35" i="21" s="1"/>
  <c r="U35" i="21"/>
  <c r="E42" i="21" a="1"/>
  <c r="E42" i="21" s="1"/>
  <c r="U42" i="21"/>
  <c r="S42" i="21" a="1"/>
  <c r="S42" i="21" s="1"/>
  <c r="D42" i="21" s="1" a="1"/>
  <c r="D42" i="21" s="1"/>
  <c r="U16" i="21"/>
  <c r="S16" i="21" a="1"/>
  <c r="S16" i="21" s="1"/>
  <c r="D16" i="21" s="1" a="1"/>
  <c r="D16" i="21" s="1"/>
  <c r="E16" i="21" a="1"/>
  <c r="E16" i="21" s="1"/>
  <c r="AB68" i="22"/>
  <c r="Y68" i="22"/>
  <c r="T68" i="22" a="1"/>
  <c r="T68" i="22" s="1"/>
  <c r="AP36" i="22" a="1"/>
  <c r="AP36" i="22" s="1"/>
  <c r="J36" i="22" s="1"/>
  <c r="Y37" i="22"/>
  <c r="AS37" i="22" s="1" a="1"/>
  <c r="AS37" i="22" s="1"/>
  <c r="S37" i="22"/>
  <c r="AB37" i="22"/>
  <c r="T37" i="22" a="1"/>
  <c r="T37" i="22" s="1"/>
  <c r="AK60" i="12" a="1"/>
  <c r="AK60" i="12" s="1"/>
  <c r="AL60" i="12" s="1"/>
  <c r="AP52" i="22" a="1"/>
  <c r="AP52" i="22" s="1"/>
  <c r="J52" i="22" s="1"/>
  <c r="AP47" i="22" a="1"/>
  <c r="AP47" i="22" s="1"/>
  <c r="J47" i="22" s="1"/>
  <c r="AP57" i="22" a="1"/>
  <c r="AP57" i="22" s="1"/>
  <c r="J57" i="22" s="1"/>
  <c r="V40" i="21" a="1"/>
  <c r="V40" i="21" s="1"/>
  <c r="W40" i="21" s="1"/>
  <c r="N40" i="21" s="1"/>
  <c r="V17" i="21" a="1"/>
  <c r="V17" i="21" s="1"/>
  <c r="V42" i="21" a="1"/>
  <c r="V42" i="21" s="1"/>
  <c r="W42" i="21" s="1"/>
  <c r="N42" i="21" s="1"/>
  <c r="AK53" i="12" a="1"/>
  <c r="AK53" i="12" s="1"/>
  <c r="AL53" i="12" s="1"/>
  <c r="V38" i="21" a="1"/>
  <c r="V38" i="21" s="1"/>
  <c r="AP74" i="22" a="1"/>
  <c r="AP74" i="22" s="1"/>
  <c r="J74" i="22" s="1"/>
  <c r="AP79" i="22" a="1"/>
  <c r="AP79" i="22" s="1"/>
  <c r="J79" i="22" s="1"/>
  <c r="AP73" i="22" a="1"/>
  <c r="AP73" i="22" s="1"/>
  <c r="J73" i="22" s="1"/>
  <c r="AP59" i="22" a="1"/>
  <c r="AP59" i="22" s="1"/>
  <c r="J59" i="22" s="1"/>
  <c r="V8" i="21" a="1"/>
  <c r="V8" i="21" s="1"/>
  <c r="W8" i="21" s="1"/>
  <c r="N8" i="21" s="1"/>
  <c r="AK30" i="12" a="1"/>
  <c r="AK30" i="12" s="1"/>
  <c r="AL30" i="12" s="1"/>
  <c r="AK7" i="12" a="1"/>
  <c r="AK7" i="12" s="1"/>
  <c r="AL7" i="12" s="1"/>
  <c r="V35" i="21" a="1"/>
  <c r="V35" i="21" s="1"/>
  <c r="AK64" i="12" a="1"/>
  <c r="AK64" i="12" s="1"/>
  <c r="AL64" i="12" s="1"/>
  <c r="V6" i="21" a="1"/>
  <c r="V6" i="21" s="1"/>
  <c r="V30" i="21" a="1"/>
  <c r="V30" i="21" s="1"/>
  <c r="AK57" i="12" a="1"/>
  <c r="AK57" i="12" s="1"/>
  <c r="AL57" i="12" s="1"/>
  <c r="V4" i="21" a="1"/>
  <c r="V4" i="21" s="1"/>
  <c r="AP53" i="22" a="1"/>
  <c r="AP53" i="22" s="1"/>
  <c r="J53" i="22" s="1"/>
  <c r="V7" i="21" a="1"/>
  <c r="V7" i="21" s="1"/>
  <c r="AK13" i="12" a="1"/>
  <c r="AK13" i="12" s="1"/>
  <c r="AL13" i="12" s="1"/>
  <c r="AK65" i="12" a="1"/>
  <c r="AK65" i="12" s="1"/>
  <c r="AL65" i="12" s="1"/>
  <c r="AK4" i="12" a="1"/>
  <c r="AK4" i="12" s="1"/>
  <c r="AL4" i="12" s="1"/>
  <c r="AK19" i="12" a="1"/>
  <c r="AK19" i="12" s="1"/>
  <c r="AL19" i="12" s="1"/>
  <c r="AK63" i="12" a="1"/>
  <c r="AK63" i="12" s="1"/>
  <c r="AL63" i="12" s="1"/>
  <c r="AK25" i="12" a="1"/>
  <c r="AK25" i="12" s="1"/>
  <c r="AL25" i="12" s="1"/>
  <c r="V9" i="21" a="1"/>
  <c r="V9" i="21" s="1"/>
  <c r="AK68" i="12" a="1"/>
  <c r="AK68" i="12" s="1"/>
  <c r="AL68" i="12" s="1"/>
  <c r="AK14" i="12" a="1"/>
  <c r="AK14" i="12" s="1"/>
  <c r="AL14" i="12" s="1"/>
  <c r="AK46" i="12" a="1"/>
  <c r="AK46" i="12" s="1"/>
  <c r="AL46" i="12" s="1"/>
  <c r="AK48" i="12" a="1"/>
  <c r="AK48" i="12" s="1"/>
  <c r="AL48" i="12" s="1"/>
  <c r="AK15" i="12" a="1"/>
  <c r="AK15" i="12" s="1"/>
  <c r="AL15" i="12" s="1"/>
  <c r="AK41" i="12" a="1"/>
  <c r="AK41" i="12" s="1"/>
  <c r="AL41" i="12" s="1"/>
  <c r="AK61" i="12" a="1"/>
  <c r="AK61" i="12" s="1"/>
  <c r="AL61" i="12" s="1"/>
  <c r="AK43" i="12" a="1"/>
  <c r="AK43" i="12" s="1"/>
  <c r="AL43" i="12" s="1"/>
  <c r="V31" i="21" a="1"/>
  <c r="V31" i="21" s="1"/>
  <c r="AP72" i="22" a="1"/>
  <c r="AP72" i="22" s="1"/>
  <c r="J72" i="22" s="1"/>
  <c r="AP71" i="22" a="1"/>
  <c r="AP71" i="22" s="1"/>
  <c r="J71" i="22" s="1"/>
  <c r="AK36" i="12" a="1"/>
  <c r="AK36" i="12" s="1"/>
  <c r="AL36" i="12" s="1"/>
  <c r="AK9" i="12" a="1"/>
  <c r="AK9" i="12" s="1"/>
  <c r="AL9" i="12" s="1"/>
  <c r="AK50" i="12" a="1"/>
  <c r="AK50" i="12" s="1"/>
  <c r="AL50" i="12" s="1"/>
  <c r="AK40" i="12" a="1"/>
  <c r="AK40" i="12" s="1"/>
  <c r="AL40" i="12" s="1"/>
  <c r="V20" i="21" a="1"/>
  <c r="V20" i="21" s="1"/>
  <c r="V21" i="21" a="1"/>
  <c r="V21" i="21" s="1"/>
  <c r="AP80" i="22" a="1"/>
  <c r="AP80" i="22" s="1"/>
  <c r="J80" i="22" s="1"/>
  <c r="AK44" i="12" a="1"/>
  <c r="AK44" i="12" s="1"/>
  <c r="AL44" i="12" s="1"/>
  <c r="I6" i="32" a="1"/>
  <c r="I6" i="32" s="1"/>
  <c r="V18" i="21" a="1"/>
  <c r="V18" i="21" s="1"/>
  <c r="AP48" i="22" a="1"/>
  <c r="AP48" i="22" s="1"/>
  <c r="J48" i="22" s="1"/>
  <c r="AP77" i="22" a="1"/>
  <c r="AP77" i="22" s="1"/>
  <c r="J77" i="22" s="1"/>
  <c r="AK58" i="12" a="1"/>
  <c r="AK58" i="12" s="1"/>
  <c r="AL58" i="12" s="1"/>
  <c r="AK66" i="12" a="1"/>
  <c r="AK66" i="12" s="1"/>
  <c r="AL66" i="12" s="1"/>
  <c r="AK16" i="12" a="1"/>
  <c r="AK16" i="12" s="1"/>
  <c r="AL16" i="12" s="1"/>
  <c r="AK26" i="12" a="1"/>
  <c r="AK26" i="12" s="1"/>
  <c r="AL26" i="12" s="1"/>
  <c r="AK62" i="12" a="1"/>
  <c r="AK62" i="12" s="1"/>
  <c r="AL62" i="12" s="1"/>
  <c r="AK29" i="12" a="1"/>
  <c r="AK29" i="12" s="1"/>
  <c r="AL29" i="12" s="1"/>
  <c r="AK3" i="12" a="1"/>
  <c r="AK3" i="12" s="1"/>
  <c r="AL3" i="12" s="1"/>
  <c r="K6" i="32" a="1"/>
  <c r="K6" i="32" s="1"/>
  <c r="AK47" i="12" a="1"/>
  <c r="AK47" i="12" s="1"/>
  <c r="AL47" i="12" s="1"/>
  <c r="AK20" i="12" a="1"/>
  <c r="AK20" i="12" s="1"/>
  <c r="AL20" i="12" s="1"/>
  <c r="AA5" i="17" a="1"/>
  <c r="AA5" i="17" s="1"/>
  <c r="P5" i="17" s="1"/>
  <c r="V27" i="21" a="1"/>
  <c r="V27" i="21" s="1"/>
  <c r="AP66" i="22" a="1"/>
  <c r="AP66" i="22" s="1"/>
  <c r="J66" i="22" s="1"/>
  <c r="AK38" i="12" a="1"/>
  <c r="AK38" i="12" s="1"/>
  <c r="AL38" i="12" s="1"/>
  <c r="AK54" i="12" a="1"/>
  <c r="AK54" i="12" s="1"/>
  <c r="AL54" i="12" s="1"/>
  <c r="V5" i="21" a="1"/>
  <c r="V5" i="21" s="1"/>
  <c r="V3" i="21" a="1"/>
  <c r="V3" i="21" s="1"/>
  <c r="AP65" i="22" a="1"/>
  <c r="AP65" i="22" s="1"/>
  <c r="J65" i="22" s="1"/>
  <c r="AP67" i="22" a="1"/>
  <c r="AP67" i="22" s="1"/>
  <c r="J67" i="22" s="1"/>
  <c r="AP76" i="22" a="1"/>
  <c r="AP76" i="22" s="1"/>
  <c r="J76" i="22" s="1"/>
  <c r="AP55" i="22" a="1"/>
  <c r="AP55" i="22" s="1"/>
  <c r="J55" i="22" s="1"/>
  <c r="V28" i="21" a="1"/>
  <c r="V28" i="21" s="1"/>
  <c r="V23" i="21" a="1"/>
  <c r="V23" i="21" s="1"/>
  <c r="AP78" i="22" a="1"/>
  <c r="AP78" i="22" s="1"/>
  <c r="J78" i="22" s="1"/>
  <c r="V29" i="21" a="1"/>
  <c r="V29" i="21" s="1"/>
  <c r="AK21" i="12" a="1"/>
  <c r="AK21" i="12" s="1"/>
  <c r="AL21" i="12" s="1"/>
  <c r="V19" i="21" a="1"/>
  <c r="V19" i="21" s="1"/>
  <c r="AP56" i="22" a="1"/>
  <c r="AP56" i="22" s="1"/>
  <c r="J56" i="22" s="1"/>
  <c r="AK55" i="12" a="1"/>
  <c r="AK55" i="12" s="1"/>
  <c r="AL55" i="12" s="1"/>
  <c r="AK59" i="12" a="1"/>
  <c r="AK59" i="12" s="1"/>
  <c r="AL59" i="12" s="1"/>
  <c r="AK33" i="12" a="1"/>
  <c r="AK33" i="12" s="1"/>
  <c r="AL33" i="12" s="1"/>
  <c r="V12" i="21" a="1"/>
  <c r="V12" i="21" s="1"/>
  <c r="AK56" i="12" a="1"/>
  <c r="AK56" i="12" s="1"/>
  <c r="AL56" i="12" s="1"/>
  <c r="V13" i="21" a="1"/>
  <c r="V13" i="21" s="1"/>
  <c r="AP60" i="22" a="1"/>
  <c r="AP60" i="22" s="1"/>
  <c r="J60" i="22" s="1"/>
  <c r="AP75" i="22" a="1"/>
  <c r="AP75" i="22" s="1"/>
  <c r="J75" i="22" s="1"/>
  <c r="AP45" i="22" a="1"/>
  <c r="AP45" i="22" s="1"/>
  <c r="J45" i="22" s="1"/>
  <c r="AP58" i="22" a="1"/>
  <c r="AP58" i="22" s="1"/>
  <c r="J58" i="22" s="1"/>
  <c r="AK32" i="12" a="1"/>
  <c r="AK32" i="12" s="1"/>
  <c r="AL32" i="12" s="1"/>
  <c r="AK8" i="12" a="1"/>
  <c r="AK8" i="12" s="1"/>
  <c r="AL8" i="12" s="1"/>
  <c r="AK35" i="12" a="1"/>
  <c r="AK35" i="12" s="1"/>
  <c r="AL35" i="12" s="1"/>
  <c r="AK10" i="12" a="1"/>
  <c r="AK10" i="12" s="1"/>
  <c r="AL10" i="12" s="1"/>
  <c r="AK52" i="12" a="1"/>
  <c r="AK52" i="12" s="1"/>
  <c r="AL52" i="12" s="1"/>
  <c r="AK23" i="12" a="1"/>
  <c r="AK23" i="12" s="1"/>
  <c r="AL23" i="12" s="1"/>
  <c r="AK34" i="12" a="1"/>
  <c r="AK34" i="12" s="1"/>
  <c r="AL34" i="12" s="1"/>
  <c r="AK28" i="12" a="1"/>
  <c r="AK28" i="12" s="1"/>
  <c r="AL28" i="12" s="1"/>
  <c r="V16" i="21" a="1"/>
  <c r="V16" i="21" s="1"/>
  <c r="AK6" i="12" a="1"/>
  <c r="AK6" i="12" s="1"/>
  <c r="AL6" i="12" s="1"/>
  <c r="AK42" i="12" a="1"/>
  <c r="AK42" i="12" s="1"/>
  <c r="AL42" i="12" s="1"/>
  <c r="AK49" i="12" a="1"/>
  <c r="AK49" i="12" s="1"/>
  <c r="AL49" i="12" s="1"/>
  <c r="AK24" i="12" a="1"/>
  <c r="AK24" i="12" s="1"/>
  <c r="AL24" i="12" s="1"/>
  <c r="AK39" i="12" a="1"/>
  <c r="AK39" i="12" s="1"/>
  <c r="AL39" i="12" s="1"/>
  <c r="AK12" i="12" a="1"/>
  <c r="AK12" i="12" s="1"/>
  <c r="AL12" i="12" s="1"/>
  <c r="AK51" i="12" a="1"/>
  <c r="AK51" i="12" s="1"/>
  <c r="AL51" i="12" s="1"/>
  <c r="AK69" i="12" a="1"/>
  <c r="AK69" i="12" s="1"/>
  <c r="AL69" i="12" s="1"/>
  <c r="Y81" i="22"/>
  <c r="AB81" i="22"/>
  <c r="S81" i="22"/>
  <c r="V81" i="22" s="1"/>
  <c r="Y26" i="22"/>
  <c r="AB26" i="22"/>
  <c r="S26" i="22"/>
  <c r="V26" i="22" s="1"/>
  <c r="W26" i="22" s="1"/>
  <c r="P27" i="22" s="1" a="1"/>
  <c r="P27" i="22" s="1"/>
  <c r="X61" i="22"/>
  <c r="A61" i="22"/>
  <c r="AJ61" i="22" a="1"/>
  <c r="AJ61" i="22" s="1"/>
  <c r="AJ26" i="22" a="1"/>
  <c r="AJ26" i="22" s="1"/>
  <c r="A26" i="22"/>
  <c r="X26" i="22" a="1"/>
  <c r="X81" i="22" a="1"/>
  <c r="AB22" i="22" a="1"/>
  <c r="X68" i="22" a="1"/>
  <c r="S68" i="22" a="1"/>
  <c r="X37" i="22" a="1"/>
  <c r="AB22" i="22" l="1"/>
  <c r="T22" i="22" a="1"/>
  <c r="T22" i="22" s="1"/>
  <c r="N6" i="32" a="1"/>
  <c r="N6" i="32" s="1"/>
  <c r="M11" i="21" a="1"/>
  <c r="M11" i="21" s="1"/>
  <c r="W11" i="21"/>
  <c r="N11" i="21" s="1"/>
  <c r="W34" i="21"/>
  <c r="N34" i="21" s="1"/>
  <c r="M34" i="21" a="1"/>
  <c r="M34" i="21" s="1"/>
  <c r="M33" i="21" a="1"/>
  <c r="M33" i="21" s="1"/>
  <c r="W33" i="21"/>
  <c r="N33" i="21" s="1"/>
  <c r="W15" i="21"/>
  <c r="N15" i="21" s="1"/>
  <c r="M15" i="21" a="1"/>
  <c r="M15" i="21" s="1"/>
  <c r="M22" i="21" a="1"/>
  <c r="M22" i="21" s="1"/>
  <c r="W22" i="21"/>
  <c r="N22" i="21" s="1"/>
  <c r="M14" i="21" a="1"/>
  <c r="M14" i="21" s="1"/>
  <c r="W14" i="21"/>
  <c r="N14" i="21" s="1"/>
  <c r="A9" i="24"/>
  <c r="D9" i="24"/>
  <c r="AA101" i="12" a="1"/>
  <c r="AA101" i="12" s="1"/>
  <c r="AA96" i="12" a="1"/>
  <c r="AA96" i="12" s="1"/>
  <c r="AA15" i="12" a="1"/>
  <c r="AA15" i="12" s="1"/>
  <c r="AA57" i="12" a="1"/>
  <c r="AA57" i="12" s="1"/>
  <c r="AA88" i="12" a="1"/>
  <c r="AA88" i="12" s="1"/>
  <c r="AA78" i="12" a="1"/>
  <c r="AA78" i="12" s="1"/>
  <c r="AA80" i="12" a="1"/>
  <c r="AA80" i="12" s="1"/>
  <c r="AA74" i="12" a="1"/>
  <c r="AA74" i="12" s="1"/>
  <c r="AA87" i="12" a="1"/>
  <c r="AA87" i="12" s="1"/>
  <c r="AA5" i="12" a="1"/>
  <c r="AA5" i="12" s="1"/>
  <c r="AB5" i="12" s="1" a="1"/>
  <c r="AB5" i="12" s="1"/>
  <c r="AC5" i="12" s="1"/>
  <c r="AE5" i="12" s="1" a="1"/>
  <c r="AE5" i="12" s="1"/>
  <c r="AA30" i="12" a="1"/>
  <c r="AA30" i="12" s="1"/>
  <c r="AA46" i="12" a="1"/>
  <c r="AA46" i="12" s="1"/>
  <c r="AA28" i="12" a="1"/>
  <c r="AA28" i="12" s="1"/>
  <c r="AA83" i="12" a="1"/>
  <c r="AA83" i="12" s="1"/>
  <c r="AA22" i="12" a="1"/>
  <c r="AA22" i="12" s="1"/>
  <c r="AA59" i="12" a="1"/>
  <c r="AA59" i="12" s="1"/>
  <c r="AA34" i="12" a="1"/>
  <c r="AA34" i="12" s="1"/>
  <c r="AA32" i="12" a="1"/>
  <c r="AA32" i="12" s="1"/>
  <c r="AA10" i="12" a="1"/>
  <c r="AA10" i="12" s="1"/>
  <c r="AA66" i="12" a="1"/>
  <c r="AA66" i="12" s="1"/>
  <c r="AA33" i="12" a="1"/>
  <c r="AA33" i="12" s="1"/>
  <c r="AA49" i="12" a="1"/>
  <c r="AA49" i="12" s="1"/>
  <c r="AA12" i="12" a="1"/>
  <c r="AA12" i="12" s="1"/>
  <c r="AA8" i="12" a="1"/>
  <c r="AA8" i="12" s="1"/>
  <c r="AA81" i="12" a="1"/>
  <c r="AA81" i="12" s="1"/>
  <c r="AA99" i="12" a="1"/>
  <c r="AA99" i="12" s="1"/>
  <c r="AA89" i="12" a="1"/>
  <c r="AA89" i="12" s="1"/>
  <c r="AA77" i="12" a="1"/>
  <c r="AA77" i="12" s="1"/>
  <c r="AA75" i="12" a="1"/>
  <c r="AA75" i="12" s="1"/>
  <c r="AA7" i="12" a="1"/>
  <c r="AA7" i="12" s="1"/>
  <c r="AA48" i="12" a="1"/>
  <c r="AA48" i="12" s="1"/>
  <c r="AA60" i="12" a="1"/>
  <c r="AA60" i="12" s="1"/>
  <c r="AA23" i="12" a="1"/>
  <c r="AA23" i="12" s="1"/>
  <c r="AA68" i="12" a="1"/>
  <c r="AA68" i="12" s="1"/>
  <c r="AA86" i="12" a="1"/>
  <c r="AA86" i="12" s="1"/>
  <c r="AA6" i="12" a="1"/>
  <c r="AA6" i="12" s="1"/>
  <c r="AB6" i="12" s="1" a="1"/>
  <c r="AB6" i="12" s="1"/>
  <c r="AC6" i="12" s="1"/>
  <c r="AE6" i="12" s="1" a="1"/>
  <c r="AE6" i="12" s="1"/>
  <c r="AA82" i="12" a="1"/>
  <c r="AA82" i="12" s="1"/>
  <c r="AA91" i="12" a="1"/>
  <c r="AA91" i="12" s="1"/>
  <c r="AA93" i="12" a="1"/>
  <c r="AA93" i="12" s="1"/>
  <c r="AA79" i="12" a="1"/>
  <c r="AA79" i="12" s="1"/>
  <c r="AA35" i="12" a="1"/>
  <c r="AA35" i="12" s="1"/>
  <c r="AA63" i="12" a="1"/>
  <c r="AA63" i="12" s="1"/>
  <c r="AA100" i="12" a="1"/>
  <c r="AA100" i="12" s="1"/>
  <c r="AA98" i="12" a="1"/>
  <c r="AA98" i="12" s="1"/>
  <c r="AA27" i="12" a="1"/>
  <c r="AA27" i="12" s="1"/>
  <c r="AA14" i="12" a="1"/>
  <c r="AA14" i="12" s="1"/>
  <c r="AA19" i="12" a="1"/>
  <c r="AA19" i="12" s="1"/>
  <c r="AA71" i="12" a="1"/>
  <c r="AA71" i="12" s="1"/>
  <c r="AA73" i="12" a="1"/>
  <c r="AA73" i="12" s="1"/>
  <c r="AA55" i="12" a="1"/>
  <c r="AA55" i="12" s="1"/>
  <c r="AA53" i="12" a="1"/>
  <c r="AA53" i="12" s="1"/>
  <c r="AA4" i="12" a="1"/>
  <c r="AA4" i="12" s="1"/>
  <c r="AB4" i="12" s="1" a="1"/>
  <c r="AB4" i="12" s="1"/>
  <c r="AC4" i="12" s="1"/>
  <c r="AE4" i="12" s="1" a="1"/>
  <c r="AE4" i="12" s="1"/>
  <c r="AA61" i="12" a="1"/>
  <c r="AA61" i="12" s="1"/>
  <c r="AA13" i="12" a="1"/>
  <c r="AA13" i="12" s="1"/>
  <c r="AA24" i="12" a="1"/>
  <c r="AA24" i="12" s="1"/>
  <c r="AA18" i="12" a="1"/>
  <c r="AA18" i="12" s="1"/>
  <c r="AA21" i="12" a="1"/>
  <c r="AA21" i="12" s="1"/>
  <c r="AA56" i="12" a="1"/>
  <c r="AA56" i="12" s="1"/>
  <c r="AA25" i="12" a="1"/>
  <c r="AA25" i="12" s="1"/>
  <c r="AA62" i="12" a="1"/>
  <c r="AA62" i="12" s="1"/>
  <c r="AA44" i="12" a="1"/>
  <c r="AA44" i="12" s="1"/>
  <c r="AA52" i="12" a="1"/>
  <c r="AA52" i="12" s="1"/>
  <c r="AA39" i="12" a="1"/>
  <c r="AA39" i="12" s="1"/>
  <c r="AA76" i="12" a="1"/>
  <c r="AA76" i="12" s="1"/>
  <c r="AA94" i="12" a="1"/>
  <c r="AA94" i="12" s="1"/>
  <c r="AA51" i="12" a="1"/>
  <c r="AA51" i="12" s="1"/>
  <c r="AA40" i="12" a="1"/>
  <c r="AA40" i="12" s="1"/>
  <c r="AA42" i="12" a="1"/>
  <c r="AA42" i="12" s="1"/>
  <c r="AA36" i="12" a="1"/>
  <c r="AA36" i="12" s="1"/>
  <c r="AA9" i="12" a="1"/>
  <c r="AA9" i="12" s="1"/>
  <c r="AA16" i="12" a="1"/>
  <c r="AA16" i="12" s="1"/>
  <c r="AA90" i="12" a="1"/>
  <c r="AA90" i="12" s="1"/>
  <c r="AA84" i="12" a="1"/>
  <c r="AA84" i="12" s="1"/>
  <c r="AA70" i="12" a="1"/>
  <c r="AA70" i="12" s="1"/>
  <c r="AA47" i="12" a="1"/>
  <c r="AA47" i="12" s="1"/>
  <c r="AA95" i="12" a="1"/>
  <c r="AA95" i="12" s="1"/>
  <c r="AA67" i="12" a="1"/>
  <c r="AA67" i="12" s="1"/>
  <c r="AA3" i="12" a="1"/>
  <c r="AA3" i="12" s="1"/>
  <c r="AB3" i="12" s="1" a="1"/>
  <c r="AB3" i="12" s="1"/>
  <c r="AC3" i="12" s="1"/>
  <c r="AA37" i="12" a="1"/>
  <c r="AA37" i="12" s="1"/>
  <c r="AA50" i="12" a="1"/>
  <c r="AA50" i="12" s="1"/>
  <c r="AA54" i="12" a="1"/>
  <c r="AA54" i="12" s="1"/>
  <c r="AA41" i="12" a="1"/>
  <c r="AA41" i="12" s="1"/>
  <c r="AA11" i="12" a="1"/>
  <c r="AA11" i="12" s="1"/>
  <c r="AA31" i="12" a="1"/>
  <c r="AA31" i="12" s="1"/>
  <c r="AA69" i="12" a="1"/>
  <c r="AA69" i="12" s="1"/>
  <c r="AA29" i="12" a="1"/>
  <c r="AA29" i="12" s="1"/>
  <c r="AA97" i="12" a="1"/>
  <c r="AA97" i="12" s="1"/>
  <c r="AA85" i="12" a="1"/>
  <c r="AA85" i="12" s="1"/>
  <c r="AA64" i="12" a="1"/>
  <c r="AA64" i="12" s="1"/>
  <c r="AA65" i="12" a="1"/>
  <c r="AA65" i="12" s="1"/>
  <c r="AA58" i="12" a="1"/>
  <c r="AA58" i="12" s="1"/>
  <c r="AA26" i="12" a="1"/>
  <c r="AA26" i="12" s="1"/>
  <c r="AA45" i="12" a="1"/>
  <c r="AA45" i="12" s="1"/>
  <c r="AA72" i="12" a="1"/>
  <c r="AA72" i="12" s="1"/>
  <c r="AA20" i="12" a="1"/>
  <c r="AA20" i="12" s="1"/>
  <c r="AA38" i="12" a="1"/>
  <c r="AA38" i="12" s="1"/>
  <c r="AA43" i="12" a="1"/>
  <c r="AA43" i="12" s="1"/>
  <c r="AA92" i="12" a="1"/>
  <c r="AA92" i="12" s="1"/>
  <c r="AA17" i="12" a="1"/>
  <c r="AA17" i="12" s="1"/>
  <c r="AA102" i="12" a="1"/>
  <c r="AA102" i="12" s="1"/>
  <c r="S68" i="22"/>
  <c r="V68" i="22" s="1"/>
  <c r="X68" i="22"/>
  <c r="A68" i="22"/>
  <c r="AC68" i="22" s="1" a="1"/>
  <c r="AJ68" i="22" a="1"/>
  <c r="AJ68" i="22" s="1"/>
  <c r="AQ68" i="22" a="1"/>
  <c r="AQ68" i="22" s="1"/>
  <c r="AR68" i="22" s="1" a="1"/>
  <c r="AR68" i="22" s="1"/>
  <c r="AQ37" i="22" a="1"/>
  <c r="AQ37" i="22" s="1"/>
  <c r="AR37" i="22" s="1" a="1"/>
  <c r="AR37" i="22" s="1"/>
  <c r="X37" i="22"/>
  <c r="V37" i="22"/>
  <c r="AJ37" i="22" a="1"/>
  <c r="AJ37" i="22" s="1"/>
  <c r="A37" i="22"/>
  <c r="AD37" i="22" s="1" a="1"/>
  <c r="AD37" i="22" s="1"/>
  <c r="AQ60" i="12"/>
  <c r="M40" i="21" a="1"/>
  <c r="M40" i="21" s="1"/>
  <c r="M42" i="21" a="1"/>
  <c r="M42" i="21" s="1"/>
  <c r="AR37" i="12" a="1"/>
  <c r="AR37" i="12" s="1"/>
  <c r="AR45" i="12" a="1"/>
  <c r="AR45" i="12" s="1"/>
  <c r="W17" i="21"/>
  <c r="N17" i="21" s="1"/>
  <c r="M17" i="21" a="1"/>
  <c r="M17" i="21" s="1"/>
  <c r="AR18" i="12" a="1"/>
  <c r="AR18" i="12" s="1"/>
  <c r="AR17" i="12" a="1"/>
  <c r="AR17" i="12" s="1"/>
  <c r="AQ53" i="12"/>
  <c r="AR31" i="12" a="1"/>
  <c r="AR31" i="12" s="1"/>
  <c r="M38" i="21" a="1"/>
  <c r="M38" i="21" s="1"/>
  <c r="W38" i="21"/>
  <c r="N38" i="21" s="1"/>
  <c r="AR22" i="12" a="1"/>
  <c r="AR22" i="12" s="1"/>
  <c r="M8" i="21" a="1"/>
  <c r="M8" i="21" s="1"/>
  <c r="AQ50" i="12"/>
  <c r="AQ7" i="12"/>
  <c r="AQ33" i="12"/>
  <c r="M19" i="21" a="1"/>
  <c r="M19" i="21" s="1"/>
  <c r="W19" i="21"/>
  <c r="N19" i="21" s="1"/>
  <c r="AQ46" i="12"/>
  <c r="W4" i="21"/>
  <c r="N4" i="21" s="1"/>
  <c r="M4" i="21" a="1"/>
  <c r="M4" i="21" s="1"/>
  <c r="M27" i="21" a="1"/>
  <c r="M27" i="21" s="1"/>
  <c r="W27" i="21"/>
  <c r="N27" i="21" s="1"/>
  <c r="AQ44" i="12"/>
  <c r="AQ29" i="12"/>
  <c r="AQ26" i="12"/>
  <c r="AQ14" i="12"/>
  <c r="AQ63" i="12"/>
  <c r="AQ57" i="12"/>
  <c r="AQ49" i="12"/>
  <c r="AQ56" i="12"/>
  <c r="AQ34" i="12"/>
  <c r="AQ35" i="12"/>
  <c r="M29" i="21" a="1"/>
  <c r="M29" i="21" s="1"/>
  <c r="W29" i="21"/>
  <c r="N29" i="21" s="1"/>
  <c r="M3" i="21" a="1"/>
  <c r="M3" i="21" s="1"/>
  <c r="W3" i="21"/>
  <c r="N3" i="21" s="1"/>
  <c r="R5" i="17"/>
  <c r="AD5" i="17"/>
  <c r="AE5" i="17" s="1" a="1"/>
  <c r="AE5" i="17" s="1"/>
  <c r="AQ16" i="12"/>
  <c r="AQ9" i="12"/>
  <c r="AQ65" i="12"/>
  <c r="M30" i="21" a="1"/>
  <c r="M30" i="21" s="1"/>
  <c r="W30" i="21"/>
  <c r="N30" i="21" s="1"/>
  <c r="AQ68" i="12"/>
  <c r="W6" i="21"/>
  <c r="N6" i="21" s="1"/>
  <c r="M6" i="21" a="1"/>
  <c r="M6" i="21" s="1"/>
  <c r="W13" i="21"/>
  <c r="N13" i="21" s="1"/>
  <c r="M13" i="21" a="1"/>
  <c r="M13" i="21" s="1"/>
  <c r="AQ21" i="12"/>
  <c r="M12" i="21" a="1"/>
  <c r="M12" i="21" s="1"/>
  <c r="W12" i="21"/>
  <c r="N12" i="21" s="1"/>
  <c r="AQ66" i="12"/>
  <c r="AQ24" i="12"/>
  <c r="W5" i="21"/>
  <c r="N5" i="21" s="1"/>
  <c r="M5" i="21" a="1"/>
  <c r="M5" i="21" s="1"/>
  <c r="AQ20" i="12"/>
  <c r="AQ42" i="12"/>
  <c r="AQ23" i="12"/>
  <c r="AQ69" i="12"/>
  <c r="AQ52" i="12"/>
  <c r="AQ54" i="12"/>
  <c r="M21" i="21" a="1"/>
  <c r="M21" i="21" s="1"/>
  <c r="W21" i="21"/>
  <c r="N21" i="21" s="1"/>
  <c r="M31" i="21" a="1"/>
  <c r="M31" i="21" s="1"/>
  <c r="W31" i="21"/>
  <c r="N31" i="21" s="1"/>
  <c r="AQ64" i="12"/>
  <c r="AQ8" i="12"/>
  <c r="AQ6" i="12"/>
  <c r="AQ47" i="12"/>
  <c r="AQ62" i="12"/>
  <c r="AQ58" i="12"/>
  <c r="W20" i="21"/>
  <c r="N20" i="21" s="1"/>
  <c r="M20" i="21" a="1"/>
  <c r="M20" i="21" s="1"/>
  <c r="W9" i="21"/>
  <c r="N9" i="21" s="1"/>
  <c r="M9" i="21" a="1"/>
  <c r="M9" i="21" s="1"/>
  <c r="AQ30" i="12"/>
  <c r="AQ28" i="12"/>
  <c r="AQ32" i="12"/>
  <c r="AQ38" i="12"/>
  <c r="AQ36" i="12"/>
  <c r="AQ43" i="12"/>
  <c r="AQ41" i="12"/>
  <c r="W35" i="21"/>
  <c r="N35" i="21" s="1"/>
  <c r="M35" i="21" a="1"/>
  <c r="M35" i="21" s="1"/>
  <c r="W18" i="21"/>
  <c r="N18" i="21" s="1"/>
  <c r="M18" i="21" a="1"/>
  <c r="M18" i="21" s="1"/>
  <c r="AQ51" i="12"/>
  <c r="AQ12" i="12"/>
  <c r="W16" i="21"/>
  <c r="N16" i="21" s="1"/>
  <c r="M16" i="21" a="1"/>
  <c r="M16" i="21" s="1"/>
  <c r="AQ55" i="12"/>
  <c r="AQ15" i="12"/>
  <c r="AQ13" i="12"/>
  <c r="W28" i="21"/>
  <c r="N28" i="21" s="1"/>
  <c r="M28" i="21" a="1"/>
  <c r="M28" i="21" s="1"/>
  <c r="L6" i="32" a="1"/>
  <c r="L6" i="32" s="1"/>
  <c r="AQ3" i="12"/>
  <c r="AQ48" i="12"/>
  <c r="AQ25" i="12"/>
  <c r="AQ19" i="12"/>
  <c r="W23" i="21"/>
  <c r="N23" i="21" s="1"/>
  <c r="M23" i="21" a="1"/>
  <c r="M23" i="21" s="1"/>
  <c r="AQ40" i="12"/>
  <c r="AQ10" i="12"/>
  <c r="AQ39" i="12"/>
  <c r="AQ59" i="12"/>
  <c r="AQ61" i="12"/>
  <c r="AQ4" i="12"/>
  <c r="M7" i="21" a="1"/>
  <c r="M7" i="21" s="1"/>
  <c r="W7" i="21"/>
  <c r="N7" i="21" s="1"/>
  <c r="B26" i="22" a="1"/>
  <c r="B26" i="22" s="1"/>
  <c r="AT26" i="22" a="1"/>
  <c r="AT26" i="22" s="1"/>
  <c r="B61" i="22" a="1"/>
  <c r="B61" i="22" s="1"/>
  <c r="AT61" i="22" a="1"/>
  <c r="AT61" i="22" s="1"/>
  <c r="AP61" i="22" s="1" a="1"/>
  <c r="AP61" i="22" s="1"/>
  <c r="J61" i="22" s="1"/>
  <c r="G26" i="22" a="1"/>
  <c r="G26" i="22" s="1"/>
  <c r="G61" i="22" a="1"/>
  <c r="G61" i="22" s="1"/>
  <c r="AD61" i="22" a="1"/>
  <c r="AD61" i="22" s="1"/>
  <c r="AD26" i="22" a="1"/>
  <c r="AD26" i="22" s="1"/>
  <c r="X81" i="22"/>
  <c r="AJ81" i="22" a="1"/>
  <c r="AJ81" i="22" s="1"/>
  <c r="A81" i="22"/>
  <c r="X26" i="22"/>
  <c r="AG61" i="22" a="1"/>
  <c r="AG61" i="22" s="1"/>
  <c r="C61" i="22" a="1"/>
  <c r="C61" i="22" s="1"/>
  <c r="AI61" i="22" a="1"/>
  <c r="AI61" i="22" s="1"/>
  <c r="K61" i="22" a="1"/>
  <c r="K61" i="22" s="1"/>
  <c r="AE61" i="22" a="1"/>
  <c r="AE61" i="22" s="1"/>
  <c r="AF61" i="22" a="1"/>
  <c r="AF61" i="22" s="1"/>
  <c r="K26" i="22" a="1"/>
  <c r="K26" i="22" s="1"/>
  <c r="C26" i="22" a="1"/>
  <c r="C26" i="22" s="1"/>
  <c r="AF26" i="22" a="1"/>
  <c r="AF26" i="22" s="1"/>
  <c r="AG26" i="22" a="1"/>
  <c r="AG26" i="22" s="1"/>
  <c r="AE26" i="22" a="1"/>
  <c r="AE26" i="22" s="1"/>
  <c r="AI26" i="22" a="1"/>
  <c r="AI26" i="22" s="1"/>
  <c r="Z27" i="22"/>
  <c r="X22" i="22" a="1"/>
  <c r="Y22" i="22" a="1"/>
  <c r="S22" i="22" a="1"/>
  <c r="AC61" i="22" a="1"/>
  <c r="M6" i="32" a="1"/>
  <c r="AC26" i="22" a="1"/>
  <c r="C8" i="30" a="1"/>
  <c r="M6" i="32" l="1"/>
  <c r="AE3" i="12" a="1"/>
  <c r="AE3" i="12" s="1"/>
  <c r="AC37" i="22" a="1"/>
  <c r="AC37" i="22" s="1"/>
  <c r="F37" i="22" s="1"/>
  <c r="S22" i="22"/>
  <c r="V22" i="22" s="1"/>
  <c r="W22" i="22" s="1"/>
  <c r="P23" i="22" s="1" a="1"/>
  <c r="P23" i="22" s="1"/>
  <c r="Y22" i="22"/>
  <c r="X22" i="22"/>
  <c r="AD68" i="22" a="1"/>
  <c r="AD68" i="22" s="1"/>
  <c r="AB85" i="12" a="1"/>
  <c r="AB85" i="12" s="1"/>
  <c r="AC85" i="12" s="1"/>
  <c r="AE85" i="12" s="1" a="1"/>
  <c r="AE85" i="12" s="1"/>
  <c r="N85" i="12" a="1"/>
  <c r="N85" i="12" s="1"/>
  <c r="O85" i="12" s="1" a="1"/>
  <c r="O85" i="12" s="1"/>
  <c r="U85" i="12" s="1" a="1"/>
  <c r="U85" i="12" s="1"/>
  <c r="V85" i="12" s="1"/>
  <c r="AX85" i="12" a="1"/>
  <c r="AX85" i="12" s="1"/>
  <c r="AX70" i="12" a="1"/>
  <c r="AX70" i="12" s="1"/>
  <c r="N70" i="12" a="1"/>
  <c r="N70" i="12" s="1"/>
  <c r="O70" i="12" s="1" a="1"/>
  <c r="O70" i="12" s="1"/>
  <c r="U70" i="12" s="1" a="1"/>
  <c r="U70" i="12" s="1"/>
  <c r="V70" i="12" s="1"/>
  <c r="AF70" i="12" s="1"/>
  <c r="AG70" i="12" s="1" a="1"/>
  <c r="AG70" i="12" s="1"/>
  <c r="N62" i="12" a="1"/>
  <c r="N62" i="12" s="1"/>
  <c r="O62" i="12" s="1" a="1"/>
  <c r="O62" i="12" s="1"/>
  <c r="U62" i="12" s="1" a="1"/>
  <c r="U62" i="12" s="1"/>
  <c r="V62" i="12" s="1"/>
  <c r="AF62" i="12" s="1"/>
  <c r="AG62" i="12" s="1" a="1"/>
  <c r="AG62" i="12" s="1"/>
  <c r="AX62" i="12" a="1"/>
  <c r="AX62" i="12" s="1"/>
  <c r="N14" i="12" a="1"/>
  <c r="N14" i="12" s="1"/>
  <c r="O14" i="12" s="1" a="1"/>
  <c r="O14" i="12" s="1"/>
  <c r="U14" i="12" s="1" a="1"/>
  <c r="U14" i="12" s="1"/>
  <c r="V14" i="12" s="1"/>
  <c r="AF14" i="12" s="1"/>
  <c r="AG14" i="12" s="1" a="1"/>
  <c r="AG14" i="12" s="1"/>
  <c r="AX14" i="12" a="1"/>
  <c r="AX14" i="12" s="1"/>
  <c r="N60" i="12" a="1"/>
  <c r="N60" i="12" s="1"/>
  <c r="O60" i="12" s="1" a="1"/>
  <c r="O60" i="12" s="1"/>
  <c r="U60" i="12" s="1" a="1"/>
  <c r="U60" i="12" s="1"/>
  <c r="V60" i="12" s="1"/>
  <c r="AF60" i="12" s="1"/>
  <c r="AG60" i="12" s="1" a="1"/>
  <c r="AG60" i="12" s="1"/>
  <c r="AX60" i="12" a="1"/>
  <c r="AX60" i="12" s="1"/>
  <c r="AX32" i="12" a="1"/>
  <c r="AX32" i="12" s="1"/>
  <c r="N32" i="12" a="1"/>
  <c r="N32" i="12" s="1"/>
  <c r="O32" i="12" s="1" a="1"/>
  <c r="O32" i="12" s="1"/>
  <c r="U32" i="12" s="1" a="1"/>
  <c r="U32" i="12" s="1"/>
  <c r="V32" i="12" s="1"/>
  <c r="AF32" i="12" s="1"/>
  <c r="AG32" i="12" s="1" a="1"/>
  <c r="AG32" i="12" s="1"/>
  <c r="AX57" i="12" a="1"/>
  <c r="AX57" i="12" s="1"/>
  <c r="N57" i="12" a="1"/>
  <c r="N57" i="12" s="1"/>
  <c r="O57" i="12" s="1" a="1"/>
  <c r="O57" i="12" s="1"/>
  <c r="U57" i="12" s="1" a="1"/>
  <c r="U57" i="12" s="1"/>
  <c r="V57" i="12" s="1"/>
  <c r="AF57" i="12" s="1"/>
  <c r="AG57" i="12" s="1" a="1"/>
  <c r="AG57" i="12" s="1"/>
  <c r="AB84" i="12" a="1"/>
  <c r="AB84" i="12" s="1"/>
  <c r="AC84" i="12" s="1"/>
  <c r="AE84" i="12" s="1" a="1"/>
  <c r="AE84" i="12" s="1"/>
  <c r="N84" i="12" a="1"/>
  <c r="N84" i="12" s="1"/>
  <c r="O84" i="12" s="1" a="1"/>
  <c r="O84" i="12" s="1"/>
  <c r="U84" i="12" s="1" a="1"/>
  <c r="U84" i="12" s="1"/>
  <c r="V84" i="12" s="1"/>
  <c r="AX84" i="12" a="1"/>
  <c r="AX84" i="12" s="1"/>
  <c r="N27" i="12" a="1"/>
  <c r="N27" i="12" s="1"/>
  <c r="O27" i="12" s="1" a="1"/>
  <c r="O27" i="12" s="1"/>
  <c r="U27" i="12" s="1" a="1"/>
  <c r="U27" i="12" s="1"/>
  <c r="V27" i="12" s="1"/>
  <c r="AF27" i="12" s="1"/>
  <c r="AG27" i="12" s="1" a="1"/>
  <c r="AG27" i="12" s="1"/>
  <c r="AX27" i="12" a="1"/>
  <c r="AX27" i="12" s="1"/>
  <c r="N15" i="12" a="1"/>
  <c r="N15" i="12" s="1"/>
  <c r="O15" i="12" s="1" a="1"/>
  <c r="O15" i="12" s="1"/>
  <c r="U15" i="12" s="1" a="1"/>
  <c r="U15" i="12" s="1"/>
  <c r="V15" i="12" s="1"/>
  <c r="AF15" i="12" s="1"/>
  <c r="AG15" i="12" s="1" a="1"/>
  <c r="AG15" i="12" s="1"/>
  <c r="AX15" i="12" a="1"/>
  <c r="AX15" i="12" s="1"/>
  <c r="AX25" i="12" a="1"/>
  <c r="AX25" i="12" s="1"/>
  <c r="N25" i="12" a="1"/>
  <c r="N25" i="12" s="1"/>
  <c r="O25" i="12" s="1" a="1"/>
  <c r="O25" i="12" s="1"/>
  <c r="U25" i="12" s="1" a="1"/>
  <c r="U25" i="12" s="1"/>
  <c r="V25" i="12" s="1"/>
  <c r="AF25" i="12" s="1"/>
  <c r="AG25" i="12" s="1" a="1"/>
  <c r="AG25" i="12" s="1"/>
  <c r="N96" i="12" a="1"/>
  <c r="N96" i="12" s="1"/>
  <c r="AX96" i="12" a="1"/>
  <c r="AX96" i="12" s="1"/>
  <c r="AX97" i="12" a="1"/>
  <c r="AX97" i="12" s="1"/>
  <c r="N97" i="12" a="1"/>
  <c r="N97" i="12" s="1"/>
  <c r="AX48" i="12" a="1"/>
  <c r="AX48" i="12" s="1"/>
  <c r="N48" i="12" a="1"/>
  <c r="N48" i="12" s="1"/>
  <c r="O48" i="12" s="1" a="1"/>
  <c r="O48" i="12" s="1"/>
  <c r="U48" i="12" s="1" a="1"/>
  <c r="U48" i="12" s="1"/>
  <c r="V48" i="12" s="1"/>
  <c r="AF48" i="12" s="1"/>
  <c r="AG48" i="12" s="1" a="1"/>
  <c r="AG48" i="12" s="1"/>
  <c r="N29" i="12" a="1"/>
  <c r="N29" i="12" s="1"/>
  <c r="O29" i="12" s="1" a="1"/>
  <c r="O29" i="12" s="1"/>
  <c r="U29" i="12" s="1" a="1"/>
  <c r="U29" i="12" s="1"/>
  <c r="V29" i="12" s="1"/>
  <c r="AF29" i="12" s="1"/>
  <c r="AG29" i="12" s="1" a="1"/>
  <c r="AG29" i="12" s="1"/>
  <c r="AX29" i="12" a="1"/>
  <c r="AX29" i="12" s="1"/>
  <c r="AX17" i="12" a="1"/>
  <c r="AX17" i="12" s="1"/>
  <c r="N17" i="12" a="1"/>
  <c r="N17" i="12" s="1"/>
  <c r="O17" i="12" s="1" a="1"/>
  <c r="O17" i="12" s="1"/>
  <c r="U17" i="12" s="1" a="1"/>
  <c r="U17" i="12" s="1"/>
  <c r="V17" i="12" s="1"/>
  <c r="AF17" i="12" s="1"/>
  <c r="AG17" i="12" s="1" a="1"/>
  <c r="AG17" i="12" s="1"/>
  <c r="AX69" i="12" a="1"/>
  <c r="AX69" i="12" s="1"/>
  <c r="N69" i="12" a="1"/>
  <c r="N69" i="12" s="1"/>
  <c r="O69" i="12" s="1" a="1"/>
  <c r="O69" i="12" s="1"/>
  <c r="U69" i="12" s="1" a="1"/>
  <c r="U69" i="12" s="1"/>
  <c r="V69" i="12" s="1"/>
  <c r="AF69" i="12" s="1"/>
  <c r="AG69" i="12" s="1" a="1"/>
  <c r="AG69" i="12" s="1"/>
  <c r="N16" i="12" a="1"/>
  <c r="N16" i="12" s="1"/>
  <c r="O16" i="12" s="1" a="1"/>
  <c r="O16" i="12" s="1"/>
  <c r="U16" i="12" s="1" a="1"/>
  <c r="U16" i="12" s="1"/>
  <c r="V16" i="12" s="1"/>
  <c r="AF16" i="12" s="1"/>
  <c r="AG16" i="12" s="1" a="1"/>
  <c r="AG16" i="12" s="1"/>
  <c r="V36" i="21" s="1" a="1"/>
  <c r="V36" i="21" s="1"/>
  <c r="AX16" i="12" a="1"/>
  <c r="AX16" i="12" s="1"/>
  <c r="N21" i="12" a="1"/>
  <c r="N21" i="12" s="1"/>
  <c r="O21" i="12" s="1" a="1"/>
  <c r="O21" i="12" s="1"/>
  <c r="U21" i="12" s="1" a="1"/>
  <c r="U21" i="12" s="1"/>
  <c r="V21" i="12" s="1"/>
  <c r="AF21" i="12" s="1"/>
  <c r="AG21" i="12" s="1" a="1"/>
  <c r="AG21" i="12" s="1"/>
  <c r="AX21" i="12" a="1"/>
  <c r="AX21" i="12" s="1"/>
  <c r="N100" i="12" a="1"/>
  <c r="N100" i="12" s="1"/>
  <c r="AX100" i="12" a="1"/>
  <c r="AX100" i="12" s="1"/>
  <c r="AX75" i="12" a="1"/>
  <c r="AX75" i="12" s="1"/>
  <c r="N75" i="12" a="1"/>
  <c r="N75" i="12" s="1"/>
  <c r="O75" i="12" s="1" a="1"/>
  <c r="O75" i="12" s="1"/>
  <c r="U75" i="12" s="1" a="1"/>
  <c r="U75" i="12" s="1"/>
  <c r="V75" i="12" s="1"/>
  <c r="AF75" i="12" s="1"/>
  <c r="AG75" i="12" s="1" a="1"/>
  <c r="AG75" i="12" s="1"/>
  <c r="AX22" i="12" a="1"/>
  <c r="AX22" i="12" s="1"/>
  <c r="N22" i="12" a="1"/>
  <c r="N22" i="12" s="1"/>
  <c r="O22" i="12" s="1" a="1"/>
  <c r="O22" i="12" s="1"/>
  <c r="U22" i="12" s="1" a="1"/>
  <c r="U22" i="12" s="1"/>
  <c r="V22" i="12" s="1"/>
  <c r="AF22" i="12" s="1"/>
  <c r="AG22" i="12" s="1" a="1"/>
  <c r="AG22" i="12" s="1"/>
  <c r="N101" i="12" a="1"/>
  <c r="N101" i="12" s="1"/>
  <c r="AX101" i="12" a="1"/>
  <c r="AX101" i="12" s="1"/>
  <c r="AX34" i="12" a="1"/>
  <c r="AX34" i="12" s="1"/>
  <c r="N34" i="12" a="1"/>
  <c r="N34" i="12" s="1"/>
  <c r="O34" i="12" s="1" a="1"/>
  <c r="O34" i="12" s="1"/>
  <c r="U34" i="12" s="1" a="1"/>
  <c r="U34" i="12" s="1"/>
  <c r="V34" i="12" s="1"/>
  <c r="AF34" i="12" s="1"/>
  <c r="AG34" i="12" s="1" a="1"/>
  <c r="AG34" i="12" s="1"/>
  <c r="AB90" i="12" a="1"/>
  <c r="AB90" i="12" s="1"/>
  <c r="AC90" i="12" s="1"/>
  <c r="AE90" i="12" s="1" a="1"/>
  <c r="AE90" i="12" s="1"/>
  <c r="N90" i="12" a="1"/>
  <c r="N90" i="12" s="1"/>
  <c r="O90" i="12" s="1" a="1"/>
  <c r="O90" i="12" s="1"/>
  <c r="U90" i="12" s="1" a="1"/>
  <c r="U90" i="12" s="1"/>
  <c r="V90" i="12" s="1"/>
  <c r="AX90" i="12" a="1"/>
  <c r="AX90" i="12" s="1"/>
  <c r="N56" i="12" a="1"/>
  <c r="N56" i="12" s="1"/>
  <c r="O56" i="12" s="1" a="1"/>
  <c r="O56" i="12" s="1"/>
  <c r="U56" i="12" s="1" a="1"/>
  <c r="U56" i="12" s="1"/>
  <c r="V56" i="12" s="1"/>
  <c r="AF56" i="12" s="1"/>
  <c r="AG56" i="12" s="1" a="1"/>
  <c r="AG56" i="12" s="1"/>
  <c r="AX56" i="12" a="1"/>
  <c r="AX56" i="12" s="1"/>
  <c r="AX7" i="12" a="1"/>
  <c r="AX7" i="12" s="1"/>
  <c r="N7" i="12" a="1"/>
  <c r="N7" i="12" s="1"/>
  <c r="O7" i="12" s="1" a="1"/>
  <c r="O7" i="12" s="1"/>
  <c r="U7" i="12" s="1" a="1"/>
  <c r="U7" i="12" s="1"/>
  <c r="V7" i="12" s="1"/>
  <c r="AF7" i="12" s="1"/>
  <c r="AG7" i="12" s="1" a="1"/>
  <c r="AG7" i="12" s="1"/>
  <c r="AB92" i="12" a="1"/>
  <c r="AB92" i="12" s="1"/>
  <c r="AC92" i="12" s="1"/>
  <c r="AE92" i="12" s="1" a="1"/>
  <c r="AE92" i="12" s="1"/>
  <c r="N92" i="12" a="1"/>
  <c r="N92" i="12" s="1"/>
  <c r="O92" i="12" s="1" a="1"/>
  <c r="O92" i="12" s="1"/>
  <c r="U92" i="12" s="1" a="1"/>
  <c r="U92" i="12" s="1"/>
  <c r="V92" i="12" s="1"/>
  <c r="AX92" i="12" a="1"/>
  <c r="AX92" i="12" s="1"/>
  <c r="AX31" i="12" a="1"/>
  <c r="AX31" i="12" s="1"/>
  <c r="N31" i="12" a="1"/>
  <c r="N31" i="12" s="1"/>
  <c r="O31" i="12" s="1" a="1"/>
  <c r="O31" i="12" s="1"/>
  <c r="U31" i="12" s="1" a="1"/>
  <c r="U31" i="12" s="1"/>
  <c r="V31" i="12" s="1"/>
  <c r="AF31" i="12" s="1"/>
  <c r="AG31" i="12" s="1" a="1"/>
  <c r="AG31" i="12" s="1"/>
  <c r="N9" i="12" a="1"/>
  <c r="N9" i="12" s="1"/>
  <c r="O9" i="12" s="1" a="1"/>
  <c r="O9" i="12" s="1"/>
  <c r="U9" i="12" s="1" a="1"/>
  <c r="U9" i="12" s="1"/>
  <c r="V9" i="12" s="1"/>
  <c r="AF9" i="12" s="1"/>
  <c r="AG9" i="12" s="1" a="1"/>
  <c r="AG9" i="12" s="1"/>
  <c r="AX9" i="12" a="1"/>
  <c r="AX9" i="12" s="1"/>
  <c r="AX18" i="12" a="1"/>
  <c r="AX18" i="12" s="1"/>
  <c r="N18" i="12" a="1"/>
  <c r="N18" i="12" s="1"/>
  <c r="O18" i="12" s="1" a="1"/>
  <c r="O18" i="12" s="1"/>
  <c r="U18" i="12" s="1" a="1"/>
  <c r="U18" i="12" s="1"/>
  <c r="V18" i="12" s="1"/>
  <c r="AF18" i="12" s="1"/>
  <c r="AG18" i="12" s="1" a="1"/>
  <c r="AG18" i="12" s="1"/>
  <c r="N63" i="12" a="1"/>
  <c r="N63" i="12" s="1"/>
  <c r="O63" i="12" s="1" a="1"/>
  <c r="O63" i="12" s="1"/>
  <c r="U63" i="12" s="1" a="1"/>
  <c r="U63" i="12" s="1"/>
  <c r="V63" i="12" s="1"/>
  <c r="AF63" i="12" s="1"/>
  <c r="AG63" i="12" s="1" a="1"/>
  <c r="AG63" i="12" s="1"/>
  <c r="AX63" i="12" a="1"/>
  <c r="AX63" i="12" s="1"/>
  <c r="N77" i="12" a="1"/>
  <c r="N77" i="12" s="1"/>
  <c r="O77" i="12" s="1" a="1"/>
  <c r="O77" i="12" s="1"/>
  <c r="U77" i="12" s="1" a="1"/>
  <c r="U77" i="12" s="1"/>
  <c r="V77" i="12" s="1"/>
  <c r="AF77" i="12" s="1"/>
  <c r="AG77" i="12" s="1" a="1"/>
  <c r="AG77" i="12" s="1"/>
  <c r="AX77" i="12" a="1"/>
  <c r="AX77" i="12" s="1"/>
  <c r="AX83" i="12" a="1"/>
  <c r="AX83" i="12" s="1"/>
  <c r="N83" i="12" a="1"/>
  <c r="N83" i="12" s="1"/>
  <c r="O83" i="12" s="1" a="1"/>
  <c r="O83" i="12" s="1"/>
  <c r="U83" i="12" s="1" a="1"/>
  <c r="U83" i="12" s="1"/>
  <c r="V83" i="12" s="1"/>
  <c r="AF83" i="12" s="1"/>
  <c r="AG83" i="12" s="1" a="1"/>
  <c r="AG83" i="12" s="1"/>
  <c r="N102" i="12" a="1"/>
  <c r="N102" i="12" s="1"/>
  <c r="AX102" i="12" a="1"/>
  <c r="AX102" i="12" s="1"/>
  <c r="AX98" i="12" a="1"/>
  <c r="AX98" i="12" s="1"/>
  <c r="N98" i="12" a="1"/>
  <c r="N98" i="12" s="1"/>
  <c r="AX59" i="12" a="1"/>
  <c r="AX59" i="12" s="1"/>
  <c r="N59" i="12" a="1"/>
  <c r="N59" i="12" s="1"/>
  <c r="O59" i="12" s="1" a="1"/>
  <c r="O59" i="12" s="1"/>
  <c r="U59" i="12" s="1" a="1"/>
  <c r="U59" i="12" s="1"/>
  <c r="V59" i="12" s="1"/>
  <c r="AF59" i="12" s="1"/>
  <c r="AG59" i="12" s="1" a="1"/>
  <c r="AG59" i="12" s="1"/>
  <c r="AX43" i="12" a="1"/>
  <c r="AX43" i="12" s="1"/>
  <c r="N43" i="12" a="1"/>
  <c r="N43" i="12" s="1"/>
  <c r="O43" i="12" s="1" a="1"/>
  <c r="O43" i="12" s="1"/>
  <c r="U43" i="12" s="1" a="1"/>
  <c r="U43" i="12" s="1"/>
  <c r="V43" i="12" s="1"/>
  <c r="AF43" i="12" s="1"/>
  <c r="AG43" i="12" s="1" a="1"/>
  <c r="AG43" i="12" s="1"/>
  <c r="N11" i="12" a="1"/>
  <c r="N11" i="12" s="1"/>
  <c r="O11" i="12" s="1" a="1"/>
  <c r="O11" i="12" s="1"/>
  <c r="U11" i="12" s="1" a="1"/>
  <c r="U11" i="12" s="1"/>
  <c r="V11" i="12" s="1"/>
  <c r="AF11" i="12" s="1"/>
  <c r="AG11" i="12" s="1" a="1"/>
  <c r="AG11" i="12" s="1"/>
  <c r="AX11" i="12" a="1"/>
  <c r="AX11" i="12" s="1"/>
  <c r="N36" i="12" a="1"/>
  <c r="N36" i="12" s="1"/>
  <c r="O36" i="12" s="1" a="1"/>
  <c r="O36" i="12" s="1"/>
  <c r="U36" i="12" s="1" a="1"/>
  <c r="U36" i="12" s="1"/>
  <c r="V36" i="12" s="1"/>
  <c r="AF36" i="12" s="1"/>
  <c r="AG36" i="12" s="1" a="1"/>
  <c r="AG36" i="12" s="1"/>
  <c r="AX36" i="12" a="1"/>
  <c r="AX36" i="12" s="1"/>
  <c r="AX24" i="12" a="1"/>
  <c r="AX24" i="12" s="1"/>
  <c r="N24" i="12" a="1"/>
  <c r="N24" i="12" s="1"/>
  <c r="O24" i="12" s="1" a="1"/>
  <c r="O24" i="12" s="1"/>
  <c r="U24" i="12" s="1" a="1"/>
  <c r="U24" i="12" s="1"/>
  <c r="V24" i="12" s="1"/>
  <c r="AF24" i="12" s="1"/>
  <c r="AG24" i="12" s="1" a="1"/>
  <c r="AG24" i="12" s="1"/>
  <c r="N35" i="12" a="1"/>
  <c r="N35" i="12" s="1"/>
  <c r="O35" i="12" s="1" a="1"/>
  <c r="O35" i="12" s="1"/>
  <c r="U35" i="12" s="1" a="1"/>
  <c r="U35" i="12" s="1"/>
  <c r="V35" i="12" s="1"/>
  <c r="AF35" i="12" s="1"/>
  <c r="AG35" i="12" s="1" a="1"/>
  <c r="AG35" i="12" s="1"/>
  <c r="AX35" i="12" a="1"/>
  <c r="AX35" i="12" s="1"/>
  <c r="AB89" i="12" a="1"/>
  <c r="AB89" i="12" s="1"/>
  <c r="AC89" i="12" s="1"/>
  <c r="AE89" i="12" s="1" a="1"/>
  <c r="AE89" i="12" s="1"/>
  <c r="N89" i="12" a="1"/>
  <c r="N89" i="12" s="1"/>
  <c r="O89" i="12" s="1" a="1"/>
  <c r="O89" i="12" s="1"/>
  <c r="U89" i="12" s="1" a="1"/>
  <c r="U89" i="12" s="1"/>
  <c r="V89" i="12" s="1"/>
  <c r="AX89" i="12" a="1"/>
  <c r="AX89" i="12" s="1"/>
  <c r="AX28" i="12" a="1"/>
  <c r="AX28" i="12" s="1"/>
  <c r="N28" i="12" a="1"/>
  <c r="N28" i="12" s="1"/>
  <c r="O28" i="12" s="1" a="1"/>
  <c r="O28" i="12" s="1"/>
  <c r="U28" i="12" s="1" a="1"/>
  <c r="U28" i="12" s="1"/>
  <c r="V28" i="12" s="1"/>
  <c r="AF28" i="12" s="1"/>
  <c r="AG28" i="12" s="1" a="1"/>
  <c r="AG28" i="12" s="1"/>
  <c r="V10" i="21" s="1" a="1"/>
  <c r="V10" i="21" s="1"/>
  <c r="AX38" i="12" a="1"/>
  <c r="AX38" i="12" s="1"/>
  <c r="N38" i="12" a="1"/>
  <c r="N38" i="12" s="1"/>
  <c r="O38" i="12" s="1" a="1"/>
  <c r="O38" i="12" s="1"/>
  <c r="U38" i="12" s="1" a="1"/>
  <c r="U38" i="12" s="1"/>
  <c r="V38" i="12" s="1"/>
  <c r="AF38" i="12" s="1"/>
  <c r="AG38" i="12" s="1" a="1"/>
  <c r="AG38" i="12" s="1"/>
  <c r="N41" i="12" a="1"/>
  <c r="N41" i="12" s="1"/>
  <c r="O41" i="12" s="1" a="1"/>
  <c r="O41" i="12" s="1"/>
  <c r="U41" i="12" s="1" a="1"/>
  <c r="U41" i="12" s="1"/>
  <c r="V41" i="12" s="1"/>
  <c r="AF41" i="12" s="1"/>
  <c r="AG41" i="12" s="1" a="1"/>
  <c r="AG41" i="12" s="1"/>
  <c r="AX41" i="12" a="1"/>
  <c r="AX41" i="12" s="1"/>
  <c r="N42" i="12" a="1"/>
  <c r="N42" i="12" s="1"/>
  <c r="O42" i="12" s="1" a="1"/>
  <c r="O42" i="12" s="1"/>
  <c r="U42" i="12" s="1" a="1"/>
  <c r="U42" i="12" s="1"/>
  <c r="V42" i="12" s="1"/>
  <c r="AF42" i="12" s="1"/>
  <c r="AG42" i="12" s="1" a="1"/>
  <c r="AG42" i="12" s="1"/>
  <c r="AX42" i="12" a="1"/>
  <c r="AX42" i="12" s="1"/>
  <c r="AX13" i="12" a="1"/>
  <c r="AX13" i="12" s="1"/>
  <c r="N13" i="12" a="1"/>
  <c r="N13" i="12" s="1"/>
  <c r="O13" i="12" s="1" a="1"/>
  <c r="O13" i="12" s="1"/>
  <c r="U13" i="12" s="1" a="1"/>
  <c r="U13" i="12" s="1"/>
  <c r="V13" i="12" s="1"/>
  <c r="AF13" i="12" s="1"/>
  <c r="AG13" i="12" s="1" a="1"/>
  <c r="AG13" i="12" s="1"/>
  <c r="N79" i="12" a="1"/>
  <c r="N79" i="12" s="1"/>
  <c r="O79" i="12" s="1" a="1"/>
  <c r="O79" i="12" s="1"/>
  <c r="U79" i="12" s="1" a="1"/>
  <c r="U79" i="12" s="1"/>
  <c r="V79" i="12" s="1"/>
  <c r="AF79" i="12" s="1"/>
  <c r="AG79" i="12" s="1" a="1"/>
  <c r="AG79" i="12" s="1"/>
  <c r="AX79" i="12" a="1"/>
  <c r="AX79" i="12" s="1"/>
  <c r="N99" i="12" a="1"/>
  <c r="N99" i="12" s="1"/>
  <c r="AX99" i="12" a="1"/>
  <c r="AX99" i="12" s="1"/>
  <c r="AX46" i="12" a="1"/>
  <c r="AX46" i="12" s="1"/>
  <c r="N46" i="12" a="1"/>
  <c r="N46" i="12" s="1"/>
  <c r="O46" i="12" s="1" a="1"/>
  <c r="O46" i="12" s="1"/>
  <c r="U46" i="12" s="1" a="1"/>
  <c r="U46" i="12" s="1"/>
  <c r="V46" i="12" s="1"/>
  <c r="AF46" i="12" s="1"/>
  <c r="AG46" i="12" s="1" a="1"/>
  <c r="AG46" i="12" s="1"/>
  <c r="AX20" i="12" a="1"/>
  <c r="AX20" i="12" s="1"/>
  <c r="N20" i="12" a="1"/>
  <c r="N20" i="12" s="1"/>
  <c r="O20" i="12" s="1" a="1"/>
  <c r="O20" i="12" s="1"/>
  <c r="U20" i="12" s="1" a="1"/>
  <c r="U20" i="12" s="1"/>
  <c r="V20" i="12" s="1"/>
  <c r="AF20" i="12" s="1"/>
  <c r="AG20" i="12" s="1" a="1"/>
  <c r="AG20" i="12" s="1"/>
  <c r="AX54" i="12" a="1"/>
  <c r="AX54" i="12" s="1"/>
  <c r="N54" i="12" a="1"/>
  <c r="N54" i="12" s="1"/>
  <c r="O54" i="12" s="1" a="1"/>
  <c r="O54" i="12" s="1"/>
  <c r="U54" i="12" s="1" a="1"/>
  <c r="U54" i="12" s="1"/>
  <c r="V54" i="12" s="1"/>
  <c r="AF54" i="12" s="1"/>
  <c r="AG54" i="12" s="1" a="1"/>
  <c r="AG54" i="12" s="1"/>
  <c r="V37" i="21" s="1" a="1"/>
  <c r="V37" i="21" s="1"/>
  <c r="N40" i="12" a="1"/>
  <c r="N40" i="12" s="1"/>
  <c r="O40" i="12" s="1" a="1"/>
  <c r="O40" i="12" s="1"/>
  <c r="U40" i="12" s="1" a="1"/>
  <c r="U40" i="12" s="1"/>
  <c r="V40" i="12" s="1"/>
  <c r="AF40" i="12" s="1"/>
  <c r="AG40" i="12" s="1" a="1"/>
  <c r="AG40" i="12" s="1"/>
  <c r="AX40" i="12" a="1"/>
  <c r="AX40" i="12" s="1"/>
  <c r="N61" i="12" a="1"/>
  <c r="N61" i="12" s="1"/>
  <c r="O61" i="12" s="1" a="1"/>
  <c r="O61" i="12" s="1"/>
  <c r="U61" i="12" s="1" a="1"/>
  <c r="U61" i="12" s="1"/>
  <c r="V61" i="12" s="1"/>
  <c r="AF61" i="12" s="1"/>
  <c r="AG61" i="12" s="1" a="1"/>
  <c r="AG61" i="12" s="1"/>
  <c r="AX61" i="12" a="1"/>
  <c r="AX61" i="12" s="1"/>
  <c r="AB93" i="12" a="1"/>
  <c r="AB93" i="12" s="1"/>
  <c r="AC93" i="12" s="1"/>
  <c r="AE93" i="12" s="1" a="1"/>
  <c r="AE93" i="12" s="1"/>
  <c r="AX93" i="12" a="1"/>
  <c r="AX93" i="12" s="1"/>
  <c r="N93" i="12" a="1"/>
  <c r="N93" i="12" s="1"/>
  <c r="O93" i="12" s="1" a="1"/>
  <c r="O93" i="12" s="1"/>
  <c r="U93" i="12" s="1" a="1"/>
  <c r="U93" i="12" s="1"/>
  <c r="V93" i="12" s="1"/>
  <c r="AX81" i="12" a="1"/>
  <c r="AX81" i="12" s="1"/>
  <c r="N81" i="12" a="1"/>
  <c r="N81" i="12" s="1"/>
  <c r="O81" i="12" s="1" a="1"/>
  <c r="O81" i="12" s="1"/>
  <c r="U81" i="12" s="1" a="1"/>
  <c r="U81" i="12" s="1"/>
  <c r="V81" i="12" s="1"/>
  <c r="AF81" i="12" s="1"/>
  <c r="AG81" i="12" s="1" a="1"/>
  <c r="AG81" i="12" s="1"/>
  <c r="AX30" i="12" a="1"/>
  <c r="AX30" i="12" s="1"/>
  <c r="N30" i="12" a="1"/>
  <c r="N30" i="12" s="1"/>
  <c r="O30" i="12" s="1" a="1"/>
  <c r="O30" i="12" s="1"/>
  <c r="U30" i="12" s="1" a="1"/>
  <c r="U30" i="12" s="1"/>
  <c r="V30" i="12" s="1"/>
  <c r="AF30" i="12" s="1"/>
  <c r="AG30" i="12" s="1" a="1"/>
  <c r="AG30" i="12" s="1"/>
  <c r="N72" i="12" a="1"/>
  <c r="N72" i="12" s="1"/>
  <c r="O72" i="12" s="1" a="1"/>
  <c r="O72" i="12" s="1"/>
  <c r="U72" i="12" s="1" a="1"/>
  <c r="U72" i="12" s="1"/>
  <c r="V72" i="12" s="1"/>
  <c r="AF72" i="12" s="1"/>
  <c r="AG72" i="12" s="1" a="1"/>
  <c r="AG72" i="12" s="1"/>
  <c r="AX72" i="12" a="1"/>
  <c r="AX72" i="12" s="1"/>
  <c r="AX50" i="12" a="1"/>
  <c r="AX50" i="12" s="1"/>
  <c r="N50" i="12" a="1"/>
  <c r="N50" i="12" s="1"/>
  <c r="O50" i="12" s="1" a="1"/>
  <c r="O50" i="12" s="1"/>
  <c r="U50" i="12" s="1" a="1"/>
  <c r="U50" i="12" s="1"/>
  <c r="V50" i="12" s="1"/>
  <c r="AF50" i="12" s="1"/>
  <c r="AG50" i="12" s="1" a="1"/>
  <c r="AG50" i="12" s="1"/>
  <c r="N51" i="12" a="1"/>
  <c r="N51" i="12" s="1"/>
  <c r="O51" i="12" s="1" a="1"/>
  <c r="O51" i="12" s="1"/>
  <c r="U51" i="12" s="1" a="1"/>
  <c r="U51" i="12" s="1"/>
  <c r="V51" i="12" s="1"/>
  <c r="AF51" i="12" s="1"/>
  <c r="AG51" i="12" s="1" a="1"/>
  <c r="AG51" i="12" s="1"/>
  <c r="AX51" i="12" a="1"/>
  <c r="AX51" i="12" s="1"/>
  <c r="AX4" i="12" a="1"/>
  <c r="AX4" i="12" s="1"/>
  <c r="N4" i="12" a="1"/>
  <c r="N4" i="12" s="1"/>
  <c r="O4" i="12" s="1" a="1"/>
  <c r="O4" i="12" s="1"/>
  <c r="U4" i="12" s="1" a="1"/>
  <c r="U4" i="12" s="1"/>
  <c r="V4" i="12" s="1"/>
  <c r="AF4" i="12" s="1"/>
  <c r="AG4" i="12" s="1" a="1"/>
  <c r="AG4" i="12" s="1"/>
  <c r="AB91" i="12" a="1"/>
  <c r="AB91" i="12" s="1"/>
  <c r="AC91" i="12" s="1"/>
  <c r="AE91" i="12" s="1" a="1"/>
  <c r="AE91" i="12" s="1"/>
  <c r="N91" i="12" a="1"/>
  <c r="N91" i="12" s="1"/>
  <c r="O91" i="12" s="1" a="1"/>
  <c r="O91" i="12" s="1"/>
  <c r="U91" i="12" s="1" a="1"/>
  <c r="U91" i="12" s="1"/>
  <c r="V91" i="12" s="1"/>
  <c r="AX91" i="12" a="1"/>
  <c r="AX91" i="12" s="1"/>
  <c r="N8" i="12" a="1"/>
  <c r="N8" i="12" s="1"/>
  <c r="O8" i="12" s="1" a="1"/>
  <c r="O8" i="12" s="1"/>
  <c r="U8" i="12" s="1" a="1"/>
  <c r="U8" i="12" s="1"/>
  <c r="V8" i="12" s="1"/>
  <c r="AF8" i="12" s="1"/>
  <c r="AG8" i="12" s="1" a="1"/>
  <c r="AG8" i="12" s="1"/>
  <c r="AX8" i="12" a="1"/>
  <c r="AX8" i="12" s="1"/>
  <c r="AX5" i="12" a="1"/>
  <c r="AX5" i="12" s="1"/>
  <c r="N5" i="12" a="1"/>
  <c r="N5" i="12" s="1"/>
  <c r="O5" i="12" s="1" a="1"/>
  <c r="O5" i="12" s="1"/>
  <c r="U5" i="12" s="1" a="1"/>
  <c r="U5" i="12" s="1"/>
  <c r="V5" i="12" s="1"/>
  <c r="AF5" i="12" s="1"/>
  <c r="AG5" i="12" s="1" a="1"/>
  <c r="AG5" i="12" s="1"/>
  <c r="V41" i="21" s="1" a="1"/>
  <c r="V41" i="21" s="1"/>
  <c r="N45" i="12" a="1"/>
  <c r="N45" i="12" s="1"/>
  <c r="O45" i="12" s="1" a="1"/>
  <c r="O45" i="12" s="1"/>
  <c r="U45" i="12" s="1" a="1"/>
  <c r="U45" i="12" s="1"/>
  <c r="V45" i="12" s="1"/>
  <c r="AF45" i="12" s="1"/>
  <c r="AG45" i="12" s="1" a="1"/>
  <c r="AG45" i="12" s="1"/>
  <c r="AX45" i="12" a="1"/>
  <c r="AX45" i="12" s="1"/>
  <c r="AX37" i="12" a="1"/>
  <c r="AX37" i="12" s="1"/>
  <c r="N37" i="12" a="1"/>
  <c r="N37" i="12" s="1"/>
  <c r="O37" i="12" s="1" a="1"/>
  <c r="O37" i="12" s="1"/>
  <c r="U37" i="12" s="1" a="1"/>
  <c r="U37" i="12" s="1"/>
  <c r="V37" i="12" s="1"/>
  <c r="AF37" i="12" s="1"/>
  <c r="AG37" i="12" s="1" a="1"/>
  <c r="AG37" i="12" s="1"/>
  <c r="AX94" i="12" a="1"/>
  <c r="AX94" i="12" s="1"/>
  <c r="N94" i="12" a="1"/>
  <c r="N94" i="12" s="1"/>
  <c r="AX53" i="12" a="1"/>
  <c r="AX53" i="12" s="1"/>
  <c r="N53" i="12" a="1"/>
  <c r="N53" i="12" s="1"/>
  <c r="O53" i="12" s="1" a="1"/>
  <c r="O53" i="12" s="1"/>
  <c r="U53" i="12" s="1" a="1"/>
  <c r="U53" i="12" s="1"/>
  <c r="V53" i="12" s="1"/>
  <c r="AF53" i="12" s="1"/>
  <c r="AG53" i="12" s="1" a="1"/>
  <c r="AG53" i="12" s="1"/>
  <c r="N82" i="12" a="1"/>
  <c r="N82" i="12" s="1"/>
  <c r="O82" i="12" s="1" a="1"/>
  <c r="O82" i="12" s="1"/>
  <c r="U82" i="12" s="1" a="1"/>
  <c r="U82" i="12" s="1"/>
  <c r="V82" i="12" s="1"/>
  <c r="AF82" i="12" s="1"/>
  <c r="AG82" i="12" s="1" a="1"/>
  <c r="AG82" i="12" s="1"/>
  <c r="AX82" i="12" a="1"/>
  <c r="AX82" i="12" s="1"/>
  <c r="N12" i="12" a="1"/>
  <c r="N12" i="12" s="1"/>
  <c r="O12" i="12" s="1" a="1"/>
  <c r="O12" i="12" s="1"/>
  <c r="U12" i="12" s="1" a="1"/>
  <c r="U12" i="12" s="1"/>
  <c r="V12" i="12" s="1"/>
  <c r="AF12" i="12" s="1"/>
  <c r="AG12" i="12" s="1" a="1"/>
  <c r="AG12" i="12" s="1"/>
  <c r="AX12" i="12" a="1"/>
  <c r="AX12" i="12" s="1"/>
  <c r="AB87" i="12" a="1"/>
  <c r="AB87" i="12" s="1"/>
  <c r="AC87" i="12" s="1"/>
  <c r="AE87" i="12" s="1" a="1"/>
  <c r="AE87" i="12" s="1"/>
  <c r="N87" i="12" a="1"/>
  <c r="N87" i="12" s="1"/>
  <c r="O87" i="12" s="1" a="1"/>
  <c r="O87" i="12" s="1"/>
  <c r="U87" i="12" s="1" a="1"/>
  <c r="U87" i="12" s="1"/>
  <c r="V87" i="12" s="1"/>
  <c r="AX87" i="12" a="1"/>
  <c r="AX87" i="12" s="1"/>
  <c r="N76" i="12" a="1"/>
  <c r="N76" i="12" s="1"/>
  <c r="O76" i="12" s="1" a="1"/>
  <c r="O76" i="12" s="1"/>
  <c r="U76" i="12" s="1" a="1"/>
  <c r="U76" i="12" s="1"/>
  <c r="V76" i="12" s="1"/>
  <c r="AF76" i="12" s="1"/>
  <c r="AG76" i="12" s="1" a="1"/>
  <c r="AG76" i="12" s="1"/>
  <c r="AX76" i="12" a="1"/>
  <c r="AX76" i="12" s="1"/>
  <c r="AX49" i="12" a="1"/>
  <c r="AX49" i="12" s="1"/>
  <c r="N49" i="12" a="1"/>
  <c r="N49" i="12" s="1"/>
  <c r="O49" i="12" s="1" a="1"/>
  <c r="O49" i="12" s="1"/>
  <c r="U49" i="12" s="1" a="1"/>
  <c r="U49" i="12" s="1"/>
  <c r="V49" i="12" s="1"/>
  <c r="AF49" i="12" s="1"/>
  <c r="AG49" i="12" s="1" a="1"/>
  <c r="AG49" i="12" s="1"/>
  <c r="AX74" i="12" a="1"/>
  <c r="AX74" i="12" s="1"/>
  <c r="N74" i="12" a="1"/>
  <c r="N74" i="12" s="1"/>
  <c r="O74" i="12" s="1" a="1"/>
  <c r="O74" i="12" s="1"/>
  <c r="U74" i="12" s="1" a="1"/>
  <c r="U74" i="12" s="1"/>
  <c r="V74" i="12" s="1"/>
  <c r="AF74" i="12" s="1"/>
  <c r="AG74" i="12" s="1" a="1"/>
  <c r="AG74" i="12" s="1"/>
  <c r="AX6" i="12" a="1"/>
  <c r="AX6" i="12" s="1"/>
  <c r="N6" i="12" a="1"/>
  <c r="N6" i="12" s="1"/>
  <c r="O6" i="12" s="1" a="1"/>
  <c r="O6" i="12" s="1"/>
  <c r="U6" i="12" s="1" a="1"/>
  <c r="U6" i="12" s="1"/>
  <c r="V6" i="12" s="1"/>
  <c r="AF6" i="12" s="1"/>
  <c r="AG6" i="12" s="1" a="1"/>
  <c r="AG6" i="12" s="1"/>
  <c r="AB86" i="12" a="1"/>
  <c r="AB86" i="12" s="1"/>
  <c r="AC86" i="12" s="1"/>
  <c r="AE86" i="12" s="1" a="1"/>
  <c r="AE86" i="12" s="1"/>
  <c r="N86" i="12" a="1"/>
  <c r="N86" i="12" s="1"/>
  <c r="O86" i="12" s="1" a="1"/>
  <c r="O86" i="12" s="1"/>
  <c r="U86" i="12" s="1" a="1"/>
  <c r="U86" i="12" s="1"/>
  <c r="V86" i="12" s="1"/>
  <c r="AX86" i="12" a="1"/>
  <c r="AX86" i="12" s="1"/>
  <c r="N80" i="12" a="1"/>
  <c r="N80" i="12" s="1"/>
  <c r="O80" i="12" s="1" a="1"/>
  <c r="O80" i="12" s="1"/>
  <c r="U80" i="12" s="1" a="1"/>
  <c r="U80" i="12" s="1"/>
  <c r="V80" i="12" s="1"/>
  <c r="AF80" i="12" s="1"/>
  <c r="AG80" i="12" s="1" a="1"/>
  <c r="AG80" i="12" s="1"/>
  <c r="AX80" i="12" a="1"/>
  <c r="AX80" i="12" s="1"/>
  <c r="AX26" i="12" a="1"/>
  <c r="AX26" i="12" s="1"/>
  <c r="N26" i="12" a="1"/>
  <c r="N26" i="12" s="1"/>
  <c r="O26" i="12" s="1" a="1"/>
  <c r="O26" i="12" s="1"/>
  <c r="U26" i="12" s="1" a="1"/>
  <c r="U26" i="12" s="1"/>
  <c r="V26" i="12" s="1"/>
  <c r="AF26" i="12" s="1"/>
  <c r="AG26" i="12" s="1" a="1"/>
  <c r="AG26" i="12" s="1"/>
  <c r="AX3" i="12" a="1"/>
  <c r="AX3" i="12" s="1"/>
  <c r="N3" i="12" a="1"/>
  <c r="N3" i="12" s="1"/>
  <c r="O3" i="12" s="1" a="1"/>
  <c r="O3" i="12" s="1"/>
  <c r="U3" i="12" s="1" a="1"/>
  <c r="U3" i="12" s="1"/>
  <c r="V3" i="12" s="1"/>
  <c r="N55" i="12" a="1"/>
  <c r="N55" i="12" s="1"/>
  <c r="O55" i="12" s="1" a="1"/>
  <c r="O55" i="12" s="1"/>
  <c r="U55" i="12" s="1" a="1"/>
  <c r="U55" i="12" s="1"/>
  <c r="V55" i="12" s="1"/>
  <c r="AF55" i="12" s="1"/>
  <c r="AG55" i="12" s="1" a="1"/>
  <c r="AG55" i="12" s="1"/>
  <c r="AX55" i="12" a="1"/>
  <c r="AX55" i="12" s="1"/>
  <c r="AX58" i="12" a="1"/>
  <c r="AX58" i="12" s="1"/>
  <c r="N58" i="12" a="1"/>
  <c r="N58" i="12" s="1"/>
  <c r="O58" i="12" s="1" a="1"/>
  <c r="O58" i="12" s="1"/>
  <c r="U58" i="12" s="1" a="1"/>
  <c r="U58" i="12" s="1"/>
  <c r="V58" i="12" s="1"/>
  <c r="AF58" i="12" s="1"/>
  <c r="AG58" i="12" s="1" a="1"/>
  <c r="AG58" i="12" s="1"/>
  <c r="N67" i="12" a="1"/>
  <c r="N67" i="12" s="1"/>
  <c r="O67" i="12" s="1" a="1"/>
  <c r="O67" i="12" s="1"/>
  <c r="U67" i="12" s="1" a="1"/>
  <c r="U67" i="12" s="1"/>
  <c r="V67" i="12" s="1"/>
  <c r="AF67" i="12" s="1"/>
  <c r="AG67" i="12" s="1" a="1"/>
  <c r="AG67" i="12" s="1"/>
  <c r="AX67" i="12" a="1"/>
  <c r="AX67" i="12" s="1"/>
  <c r="N39" i="12" a="1"/>
  <c r="N39" i="12" s="1"/>
  <c r="O39" i="12" s="1" a="1"/>
  <c r="O39" i="12" s="1"/>
  <c r="U39" i="12" s="1" a="1"/>
  <c r="U39" i="12" s="1"/>
  <c r="V39" i="12" s="1"/>
  <c r="AF39" i="12" s="1"/>
  <c r="AG39" i="12" s="1" a="1"/>
  <c r="AG39" i="12" s="1"/>
  <c r="AX39" i="12" a="1"/>
  <c r="AX39" i="12" s="1"/>
  <c r="AX73" i="12" a="1"/>
  <c r="AX73" i="12" s="1"/>
  <c r="N73" i="12" a="1"/>
  <c r="N73" i="12" s="1"/>
  <c r="O73" i="12" s="1" a="1"/>
  <c r="O73" i="12" s="1"/>
  <c r="U73" i="12" s="1" a="1"/>
  <c r="U73" i="12" s="1"/>
  <c r="V73" i="12" s="1"/>
  <c r="AF73" i="12" s="1"/>
  <c r="AG73" i="12" s="1" a="1"/>
  <c r="AG73" i="12" s="1"/>
  <c r="AX33" i="12" a="1"/>
  <c r="AX33" i="12" s="1"/>
  <c r="N33" i="12" a="1"/>
  <c r="N33" i="12" s="1"/>
  <c r="O33" i="12" s="1" a="1"/>
  <c r="O33" i="12" s="1"/>
  <c r="U33" i="12" s="1" a="1"/>
  <c r="U33" i="12" s="1"/>
  <c r="V33" i="12" s="1"/>
  <c r="AF33" i="12" s="1"/>
  <c r="AG33" i="12" s="1" a="1"/>
  <c r="AG33" i="12" s="1"/>
  <c r="AX65" i="12" a="1"/>
  <c r="AX65" i="12" s="1"/>
  <c r="N65" i="12" a="1"/>
  <c r="N65" i="12" s="1"/>
  <c r="O65" i="12" s="1" a="1"/>
  <c r="O65" i="12" s="1"/>
  <c r="U65" i="12" s="1" a="1"/>
  <c r="U65" i="12" s="1"/>
  <c r="V65" i="12" s="1"/>
  <c r="AF65" i="12" s="1"/>
  <c r="AG65" i="12" s="1" a="1"/>
  <c r="AG65" i="12" s="1"/>
  <c r="N95" i="12" a="1"/>
  <c r="N95" i="12" s="1"/>
  <c r="AX95" i="12" a="1"/>
  <c r="AX95" i="12" s="1"/>
  <c r="N52" i="12" a="1"/>
  <c r="N52" i="12" s="1"/>
  <c r="O52" i="12" s="1" a="1"/>
  <c r="O52" i="12" s="1"/>
  <c r="U52" i="12" s="1" a="1"/>
  <c r="U52" i="12" s="1"/>
  <c r="V52" i="12" s="1"/>
  <c r="AF52" i="12" s="1"/>
  <c r="AG52" i="12" s="1" a="1"/>
  <c r="AG52" i="12" s="1"/>
  <c r="AX52" i="12" a="1"/>
  <c r="AX52" i="12" s="1"/>
  <c r="AX71" i="12" a="1"/>
  <c r="AX71" i="12" s="1"/>
  <c r="N71" i="12" a="1"/>
  <c r="N71" i="12" s="1"/>
  <c r="O71" i="12" s="1" a="1"/>
  <c r="O71" i="12" s="1"/>
  <c r="U71" i="12" s="1" a="1"/>
  <c r="U71" i="12" s="1"/>
  <c r="V71" i="12" s="1"/>
  <c r="AF71" i="12" s="1"/>
  <c r="AG71" i="12" s="1" a="1"/>
  <c r="AG71" i="12" s="1"/>
  <c r="N68" i="12" a="1"/>
  <c r="N68" i="12" s="1"/>
  <c r="O68" i="12" s="1" a="1"/>
  <c r="O68" i="12" s="1"/>
  <c r="U68" i="12" s="1" a="1"/>
  <c r="U68" i="12" s="1"/>
  <c r="V68" i="12" s="1"/>
  <c r="AF68" i="12" s="1"/>
  <c r="AG68" i="12" s="1" a="1"/>
  <c r="AG68" i="12" s="1"/>
  <c r="AX68" i="12" a="1"/>
  <c r="AX68" i="12" s="1"/>
  <c r="N66" i="12" a="1"/>
  <c r="N66" i="12" s="1"/>
  <c r="O66" i="12" s="1" a="1"/>
  <c r="O66" i="12" s="1"/>
  <c r="U66" i="12" s="1" a="1"/>
  <c r="U66" i="12" s="1"/>
  <c r="V66" i="12" s="1"/>
  <c r="AF66" i="12" s="1"/>
  <c r="AG66" i="12" s="1" a="1"/>
  <c r="AG66" i="12" s="1"/>
  <c r="AX66" i="12" a="1"/>
  <c r="AX66" i="12" s="1"/>
  <c r="AX78" i="12" a="1"/>
  <c r="AX78" i="12" s="1"/>
  <c r="N78" i="12" a="1"/>
  <c r="N78" i="12" s="1"/>
  <c r="O78" i="12" s="1" a="1"/>
  <c r="O78" i="12" s="1"/>
  <c r="U78" i="12" s="1" a="1"/>
  <c r="U78" i="12" s="1"/>
  <c r="V78" i="12" s="1"/>
  <c r="AF78" i="12" s="1"/>
  <c r="AG78" i="12" s="1" a="1"/>
  <c r="AG78" i="12" s="1"/>
  <c r="AX64" i="12" a="1"/>
  <c r="AX64" i="12" s="1"/>
  <c r="N64" i="12" a="1"/>
  <c r="N64" i="12" s="1"/>
  <c r="O64" i="12" s="1" a="1"/>
  <c r="O64" i="12" s="1"/>
  <c r="U64" i="12" s="1" a="1"/>
  <c r="U64" i="12" s="1"/>
  <c r="V64" i="12" s="1"/>
  <c r="AF64" i="12" s="1"/>
  <c r="AG64" i="12" s="1" a="1"/>
  <c r="AG64" i="12" s="1"/>
  <c r="AX47" i="12" a="1"/>
  <c r="AX47" i="12" s="1"/>
  <c r="N47" i="12" a="1"/>
  <c r="N47" i="12" s="1"/>
  <c r="O47" i="12" s="1" a="1"/>
  <c r="O47" i="12" s="1"/>
  <c r="U47" i="12" s="1" a="1"/>
  <c r="U47" i="12" s="1"/>
  <c r="V47" i="12" s="1"/>
  <c r="AF47" i="12" s="1"/>
  <c r="AG47" i="12" s="1" a="1"/>
  <c r="AG47" i="12" s="1"/>
  <c r="AX44" i="12" a="1"/>
  <c r="AX44" i="12" s="1"/>
  <c r="N44" i="12" a="1"/>
  <c r="N44" i="12" s="1"/>
  <c r="O44" i="12" s="1" a="1"/>
  <c r="O44" i="12" s="1"/>
  <c r="U44" i="12" s="1" a="1"/>
  <c r="U44" i="12" s="1"/>
  <c r="V44" i="12" s="1"/>
  <c r="AF44" i="12" s="1"/>
  <c r="AG44" i="12" s="1" a="1"/>
  <c r="AG44" i="12" s="1"/>
  <c r="N19" i="12" a="1"/>
  <c r="N19" i="12" s="1"/>
  <c r="O19" i="12" s="1" a="1"/>
  <c r="O19" i="12" s="1"/>
  <c r="U19" i="12" s="1" a="1"/>
  <c r="U19" i="12" s="1"/>
  <c r="V19" i="12" s="1"/>
  <c r="AF19" i="12" s="1"/>
  <c r="AG19" i="12" s="1" a="1"/>
  <c r="AG19" i="12" s="1"/>
  <c r="AX19" i="12" a="1"/>
  <c r="AX19" i="12" s="1"/>
  <c r="AX23" i="12" a="1"/>
  <c r="AX23" i="12" s="1"/>
  <c r="N23" i="12" a="1"/>
  <c r="N23" i="12" s="1"/>
  <c r="O23" i="12" s="1" a="1"/>
  <c r="O23" i="12" s="1"/>
  <c r="U23" i="12" s="1" a="1"/>
  <c r="U23" i="12" s="1"/>
  <c r="V23" i="12" s="1"/>
  <c r="AF23" i="12" s="1"/>
  <c r="AG23" i="12" s="1" a="1"/>
  <c r="AG23" i="12" s="1"/>
  <c r="N10" i="12" a="1"/>
  <c r="N10" i="12" s="1"/>
  <c r="O10" i="12" s="1" a="1"/>
  <c r="O10" i="12" s="1"/>
  <c r="U10" i="12" s="1" a="1"/>
  <c r="U10" i="12" s="1"/>
  <c r="V10" i="12" s="1"/>
  <c r="AF10" i="12" s="1"/>
  <c r="AG10" i="12" s="1" a="1"/>
  <c r="AG10" i="12" s="1"/>
  <c r="AX10" i="12" a="1"/>
  <c r="AX10" i="12" s="1"/>
  <c r="AB88" i="12" a="1"/>
  <c r="AB88" i="12" s="1"/>
  <c r="AC88" i="12" s="1"/>
  <c r="AE88" i="12" s="1" a="1"/>
  <c r="AE88" i="12" s="1"/>
  <c r="N88" i="12" a="1"/>
  <c r="N88" i="12" s="1"/>
  <c r="O88" i="12" s="1" a="1"/>
  <c r="O88" i="12" s="1"/>
  <c r="U88" i="12" s="1" a="1"/>
  <c r="U88" i="12" s="1"/>
  <c r="V88" i="12" s="1"/>
  <c r="AX88" i="12" a="1"/>
  <c r="AX88" i="12" s="1"/>
  <c r="AS68" i="22" a="1"/>
  <c r="AS68" i="22" s="1"/>
  <c r="AC68" i="22"/>
  <c r="F68" i="22" s="1"/>
  <c r="AE68" i="22" a="1"/>
  <c r="AE68" i="22" s="1"/>
  <c r="B68" i="22" a="1"/>
  <c r="B68" i="22" s="1"/>
  <c r="G68" i="22" a="1"/>
  <c r="G68" i="22" s="1"/>
  <c r="K68" i="22" a="1"/>
  <c r="K68" i="22" s="1"/>
  <c r="AG68" i="22" a="1"/>
  <c r="AG68" i="22" s="1"/>
  <c r="C68" i="22" a="1"/>
  <c r="C68" i="22" s="1"/>
  <c r="AF68" i="22" a="1"/>
  <c r="AF68" i="22" s="1"/>
  <c r="AI68" i="22" a="1"/>
  <c r="AI68" i="22" s="1"/>
  <c r="AT68" i="22" a="1"/>
  <c r="AT68" i="22" s="1"/>
  <c r="AN68" i="22" s="1" a="1"/>
  <c r="AN68" i="22" s="1"/>
  <c r="AO68" i="22" s="1" a="1"/>
  <c r="AO68" i="22" s="1"/>
  <c r="I68" i="22" s="1"/>
  <c r="G37" i="22" a="1"/>
  <c r="G37" i="22" s="1"/>
  <c r="K37" i="22" a="1"/>
  <c r="K37" i="22" s="1"/>
  <c r="AG37" i="22" a="1"/>
  <c r="AG37" i="22" s="1"/>
  <c r="C37" i="22" a="1"/>
  <c r="C37" i="22" s="1"/>
  <c r="AE37" i="22" a="1"/>
  <c r="AE37" i="22" s="1"/>
  <c r="AT37" i="22" a="1"/>
  <c r="AT37" i="22" s="1"/>
  <c r="AF37" i="22" a="1"/>
  <c r="AF37" i="22" s="1"/>
  <c r="AI37" i="22" a="1"/>
  <c r="AI37" i="22" s="1"/>
  <c r="B37" i="22" a="1"/>
  <c r="B37" i="22" s="1"/>
  <c r="AR60" i="12" a="1"/>
  <c r="AR60" i="12" s="1"/>
  <c r="AR53" i="12" a="1"/>
  <c r="AR53" i="12" s="1"/>
  <c r="C8" i="30"/>
  <c r="AR10" i="12" a="1"/>
  <c r="AR10" i="12" s="1"/>
  <c r="AR3" i="12" a="1"/>
  <c r="AR3" i="12" s="1"/>
  <c r="O6" i="32" a="1"/>
  <c r="O6" i="32" s="1"/>
  <c r="AF6" i="32" s="1" a="1"/>
  <c r="AF6" i="32" s="1"/>
  <c r="P6" i="32" s="1"/>
  <c r="R6" i="32" s="1"/>
  <c r="AR15" i="12" a="1"/>
  <c r="AR15" i="12" s="1"/>
  <c r="AR12" i="12" a="1"/>
  <c r="AR12" i="12" s="1"/>
  <c r="AR43" i="12" a="1"/>
  <c r="AR43" i="12" s="1"/>
  <c r="AR69" i="12" a="1"/>
  <c r="AR69" i="12" s="1"/>
  <c r="AR35" i="12" a="1"/>
  <c r="AR35" i="12" s="1"/>
  <c r="AR14" i="12" a="1"/>
  <c r="AR14" i="12" s="1"/>
  <c r="AR20" i="12" a="1"/>
  <c r="AR20" i="12" s="1"/>
  <c r="AR13" i="12" a="1"/>
  <c r="AR13" i="12" s="1"/>
  <c r="AR32" i="12" a="1"/>
  <c r="AR32" i="12" s="1"/>
  <c r="AR4" i="12" a="1"/>
  <c r="AR4" i="12" s="1"/>
  <c r="AR36" i="12" a="1"/>
  <c r="AR36" i="12" s="1"/>
  <c r="AR58" i="12" a="1"/>
  <c r="AR58" i="12" s="1"/>
  <c r="AR64" i="12" a="1"/>
  <c r="AR64" i="12" s="1"/>
  <c r="AR23" i="12" a="1"/>
  <c r="AR23" i="12" s="1"/>
  <c r="AR21" i="12" a="1"/>
  <c r="AR21" i="12" s="1"/>
  <c r="AR65" i="12" a="1"/>
  <c r="AR65" i="12" s="1"/>
  <c r="AR34" i="12" a="1"/>
  <c r="AR34" i="12" s="1"/>
  <c r="AR26" i="12" a="1"/>
  <c r="AR26" i="12" s="1"/>
  <c r="AR7" i="12" a="1"/>
  <c r="AR7" i="12" s="1"/>
  <c r="AR51" i="12" a="1"/>
  <c r="AR51" i="12" s="1"/>
  <c r="AR41" i="12" a="1"/>
  <c r="AR41" i="12" s="1"/>
  <c r="AR8" i="12" a="1"/>
  <c r="AR8" i="12" s="1"/>
  <c r="AR40" i="12" a="1"/>
  <c r="AR40" i="12" s="1"/>
  <c r="AR30" i="12" a="1"/>
  <c r="AR30" i="12" s="1"/>
  <c r="AR62" i="12" a="1"/>
  <c r="AR62" i="12" s="1"/>
  <c r="AR42" i="12" a="1"/>
  <c r="AR42" i="12" s="1"/>
  <c r="AR66" i="12" a="1"/>
  <c r="AR66" i="12" s="1"/>
  <c r="AR9" i="12" a="1"/>
  <c r="AR9" i="12" s="1"/>
  <c r="AR29" i="12" a="1"/>
  <c r="AR29" i="12" s="1"/>
  <c r="AR55" i="12" a="1"/>
  <c r="AR55" i="12" s="1"/>
  <c r="AR59" i="12" a="1"/>
  <c r="AR59" i="12" s="1"/>
  <c r="AR38" i="12" a="1"/>
  <c r="AR38" i="12" s="1"/>
  <c r="AR16" i="12" a="1"/>
  <c r="AR16" i="12" s="1"/>
  <c r="AR56" i="12" a="1"/>
  <c r="AR56" i="12" s="1"/>
  <c r="AR48" i="12" a="1"/>
  <c r="AR48" i="12" s="1"/>
  <c r="AR47" i="12" a="1"/>
  <c r="AR47" i="12" s="1"/>
  <c r="AR50" i="12" a="1"/>
  <c r="AR50" i="12" s="1"/>
  <c r="AF5" i="17" a="1"/>
  <c r="AF5" i="17" s="1"/>
  <c r="AR49" i="12" a="1"/>
  <c r="AR49" i="12" s="1"/>
  <c r="AR57" i="12" a="1"/>
  <c r="AR57" i="12" s="1"/>
  <c r="AR19" i="12" a="1"/>
  <c r="AR19" i="12" s="1"/>
  <c r="AR54" i="12" a="1"/>
  <c r="AR54" i="12" s="1"/>
  <c r="AR25" i="12" a="1"/>
  <c r="AR25" i="12" s="1"/>
  <c r="AR6" i="12" a="1"/>
  <c r="AR6" i="12" s="1"/>
  <c r="AR68" i="12" a="1"/>
  <c r="AR68" i="12" s="1"/>
  <c r="AR61" i="12" a="1"/>
  <c r="AR61" i="12" s="1"/>
  <c r="AR39" i="12" a="1"/>
  <c r="AR39" i="12" s="1"/>
  <c r="AR28" i="12" a="1"/>
  <c r="AR28" i="12" s="1"/>
  <c r="AR52" i="12" a="1"/>
  <c r="AR52" i="12" s="1"/>
  <c r="AR24" i="12" a="1"/>
  <c r="AR24" i="12" s="1"/>
  <c r="AR63" i="12" a="1"/>
  <c r="AR63" i="12" s="1"/>
  <c r="AR46" i="12" a="1"/>
  <c r="AR46" i="12" s="1"/>
  <c r="AR33" i="12" a="1"/>
  <c r="AR33" i="12" s="1"/>
  <c r="AR44" i="12" a="1"/>
  <c r="AR44" i="12" s="1"/>
  <c r="AN61" i="22" a="1"/>
  <c r="AN61" i="22" s="1"/>
  <c r="AO61" i="22" s="1" a="1"/>
  <c r="AO61" i="22" s="1"/>
  <c r="I61" i="22" s="1"/>
  <c r="B81" i="22" a="1"/>
  <c r="B81" i="22" s="1"/>
  <c r="AT81" i="22" a="1"/>
  <c r="AT81" i="22" s="1"/>
  <c r="AN81" i="22" s="1" a="1"/>
  <c r="AN81" i="22" s="1"/>
  <c r="D26" i="22"/>
  <c r="D61" i="22"/>
  <c r="G81" i="22" a="1"/>
  <c r="G81" i="22" s="1"/>
  <c r="AD81" i="22" a="1"/>
  <c r="AD81" i="22" s="1"/>
  <c r="AI81" i="22" a="1"/>
  <c r="AI81" i="22" s="1"/>
  <c r="AG81" i="22" a="1"/>
  <c r="AG81" i="22" s="1"/>
  <c r="C81" i="22" a="1"/>
  <c r="C81" i="22" s="1"/>
  <c r="AF81" i="22" a="1"/>
  <c r="AF81" i="22" s="1"/>
  <c r="K81" i="22" a="1"/>
  <c r="K81" i="22" s="1"/>
  <c r="AE81" i="22" a="1"/>
  <c r="AE81" i="22" s="1"/>
  <c r="AC26" i="22"/>
  <c r="F26" i="22" s="1"/>
  <c r="AC61" i="22"/>
  <c r="F61" i="22" s="1"/>
  <c r="AA27" i="22" a="1"/>
  <c r="AA27" i="22" s="1"/>
  <c r="Q27" i="22" a="1"/>
  <c r="Q27" i="22" s="1"/>
  <c r="R27" i="22" s="1" a="1"/>
  <c r="R27" i="22" s="1"/>
  <c r="Y27" i="22" a="1"/>
  <c r="AC81" i="22" a="1"/>
  <c r="AF3" i="12" l="1"/>
  <c r="AG3" i="12" s="1" a="1"/>
  <c r="AG3" i="12" s="1"/>
  <c r="V25" i="21" s="1" a="1"/>
  <c r="V25" i="21" s="1"/>
  <c r="M25" i="21" s="1" a="1"/>
  <c r="M25" i="21" s="1"/>
  <c r="AP26" i="22" a="1"/>
  <c r="AP26" i="22" s="1"/>
  <c r="J26" i="22" s="1"/>
  <c r="V32" i="21" a="1"/>
  <c r="V32" i="21" s="1"/>
  <c r="W32" i="21" s="1"/>
  <c r="N32" i="21" s="1"/>
  <c r="V39" i="21" a="1"/>
  <c r="V39" i="21" s="1"/>
  <c r="AN25" i="22" a="1"/>
  <c r="AN25" i="22" s="1"/>
  <c r="AO25" i="22" s="1" a="1"/>
  <c r="AO25" i="22" s="1"/>
  <c r="I25" i="22" s="1"/>
  <c r="AN24" i="22" a="1"/>
  <c r="AN24" i="22" s="1"/>
  <c r="AO24" i="22" s="1" a="1"/>
  <c r="AO24" i="22" s="1"/>
  <c r="I24" i="22" s="1"/>
  <c r="AN18" i="22" a="1"/>
  <c r="AN18" i="22" s="1"/>
  <c r="AO18" i="22" s="1" a="1"/>
  <c r="AO18" i="22" s="1"/>
  <c r="I18" i="22" s="1"/>
  <c r="AN21" i="22" a="1"/>
  <c r="AN21" i="22" s="1"/>
  <c r="AO21" i="22" s="1" a="1"/>
  <c r="AO21" i="22" s="1"/>
  <c r="I21" i="22" s="1"/>
  <c r="AP19" i="22" a="1"/>
  <c r="AP19" i="22" s="1"/>
  <c r="J19" i="22" s="1"/>
  <c r="AP21" i="22" a="1"/>
  <c r="AP21" i="22" s="1"/>
  <c r="J21" i="22" s="1"/>
  <c r="AP18" i="22" a="1"/>
  <c r="AP18" i="22" s="1"/>
  <c r="J18" i="22" s="1"/>
  <c r="AN19" i="22" a="1"/>
  <c r="AN19" i="22" s="1"/>
  <c r="AO19" i="22" s="1" a="1"/>
  <c r="AO19" i="22" s="1"/>
  <c r="I19" i="22" s="1"/>
  <c r="AN20" i="22" a="1"/>
  <c r="AN20" i="22" s="1"/>
  <c r="AO20" i="22" s="1" a="1"/>
  <c r="AO20" i="22" s="1"/>
  <c r="I20" i="22" s="1"/>
  <c r="AP20" i="22" a="1"/>
  <c r="AP20" i="22" s="1"/>
  <c r="J20" i="22" s="1"/>
  <c r="AP24" i="22" a="1"/>
  <c r="AP24" i="22" s="1"/>
  <c r="J24" i="22" s="1"/>
  <c r="AP25" i="22" a="1"/>
  <c r="AP25" i="22" s="1"/>
  <c r="J25" i="22" s="1"/>
  <c r="V43" i="21" a="1"/>
  <c r="V43" i="21" s="1"/>
  <c r="W43" i="21" s="1"/>
  <c r="N43" i="21" s="1"/>
  <c r="M41" i="21" a="1"/>
  <c r="M41" i="21" s="1"/>
  <c r="W41" i="21"/>
  <c r="N41" i="21" s="1"/>
  <c r="AN26" i="22" a="1"/>
  <c r="AN26" i="22" s="1"/>
  <c r="AO26" i="22" s="1" a="1"/>
  <c r="AO26" i="22" s="1"/>
  <c r="I26" i="22" s="1"/>
  <c r="V26" i="21" a="1"/>
  <c r="V26" i="21" s="1"/>
  <c r="V24" i="21" a="1"/>
  <c r="V24" i="21" s="1"/>
  <c r="AF91" i="12"/>
  <c r="AG91" i="12" s="1" a="1"/>
  <c r="AG91" i="12" s="1"/>
  <c r="AF89" i="12"/>
  <c r="AG89" i="12" s="1" a="1"/>
  <c r="AG89" i="12" s="1"/>
  <c r="AF87" i="12"/>
  <c r="AG87" i="12" s="1" a="1"/>
  <c r="AG87" i="12" s="1"/>
  <c r="AF86" i="12"/>
  <c r="AG86" i="12" s="1" a="1"/>
  <c r="AG86" i="12" s="1"/>
  <c r="AF92" i="12"/>
  <c r="AG92" i="12" s="1" a="1"/>
  <c r="AG92" i="12" s="1"/>
  <c r="AF88" i="12"/>
  <c r="AG88" i="12" s="1" a="1"/>
  <c r="AG88" i="12" s="1"/>
  <c r="AP68" i="22" a="1"/>
  <c r="AP68" i="22" s="1"/>
  <c r="J68" i="22" s="1"/>
  <c r="A22" i="22"/>
  <c r="AQ22" i="22" a="1"/>
  <c r="AQ22" i="22" s="1"/>
  <c r="AR22" i="22" s="1" a="1"/>
  <c r="AR22" i="22" s="1"/>
  <c r="AS22" i="22" a="1"/>
  <c r="AS22" i="22" s="1"/>
  <c r="AJ22" i="22" a="1"/>
  <c r="AJ22" i="22" s="1"/>
  <c r="U23" i="22"/>
  <c r="Z23" i="22"/>
  <c r="U24" i="22"/>
  <c r="U26" i="22"/>
  <c r="U25" i="22"/>
  <c r="U27" i="22"/>
  <c r="AF90" i="12"/>
  <c r="AG90" i="12" s="1" a="1"/>
  <c r="AG90" i="12" s="1"/>
  <c r="AF93" i="12"/>
  <c r="AG93" i="12" s="1" a="1"/>
  <c r="AG93" i="12" s="1"/>
  <c r="AF84" i="12"/>
  <c r="AG84" i="12" s="1" a="1"/>
  <c r="AG84" i="12" s="1"/>
  <c r="W10" i="21"/>
  <c r="N10" i="21" s="1"/>
  <c r="M10" i="21" a="1"/>
  <c r="M10" i="21" s="1"/>
  <c r="M36" i="21" a="1"/>
  <c r="M36" i="21" s="1"/>
  <c r="W36" i="21"/>
  <c r="N36" i="21" s="1"/>
  <c r="W37" i="21"/>
  <c r="N37" i="21" s="1"/>
  <c r="M37" i="21" a="1"/>
  <c r="M37" i="21" s="1"/>
  <c r="AF85" i="12"/>
  <c r="AG85" i="12" s="1" a="1"/>
  <c r="AG85" i="12" s="1"/>
  <c r="D68" i="22"/>
  <c r="AP37" i="22" a="1"/>
  <c r="AP37" i="22" s="1"/>
  <c r="J37" i="22" s="1"/>
  <c r="AN37" i="22" a="1"/>
  <c r="AN37" i="22" s="1"/>
  <c r="AO37" i="22" s="1" a="1"/>
  <c r="AO37" i="22" s="1"/>
  <c r="I37" i="22" s="1"/>
  <c r="D37" i="22"/>
  <c r="E5" i="27" a="1"/>
  <c r="E5" i="27" s="1"/>
  <c r="E15" i="27" a="1"/>
  <c r="E15" i="27" s="1"/>
  <c r="E14" i="27" a="1"/>
  <c r="E14" i="27" s="1"/>
  <c r="E13" i="27" a="1"/>
  <c r="E13" i="27" s="1"/>
  <c r="E3" i="27" a="1"/>
  <c r="E3" i="27" s="1"/>
  <c r="E11" i="27" a="1"/>
  <c r="E11" i="27" s="1"/>
  <c r="E7" i="27" a="1"/>
  <c r="E7" i="27" s="1"/>
  <c r="E9" i="27" a="1"/>
  <c r="E9" i="27" s="1"/>
  <c r="AG5" i="17"/>
  <c r="E8" i="27" a="1"/>
  <c r="E8" i="27" s="1"/>
  <c r="E12" i="27" a="1"/>
  <c r="E12" i="27" s="1"/>
  <c r="E4" i="27" a="1"/>
  <c r="E4" i="27" s="1"/>
  <c r="E6" i="27" a="1"/>
  <c r="E6" i="27" s="1"/>
  <c r="E10" i="27" a="1"/>
  <c r="E10" i="27" s="1"/>
  <c r="AP81" i="22" a="1"/>
  <c r="AP81" i="22" s="1"/>
  <c r="J81" i="22" s="1"/>
  <c r="AO81" i="22" a="1"/>
  <c r="AO81" i="22" s="1"/>
  <c r="I81" i="22" s="1"/>
  <c r="D81" i="22"/>
  <c r="AC81" i="22"/>
  <c r="F81" i="22" s="1"/>
  <c r="Y27" i="22"/>
  <c r="T27" i="22" a="1"/>
  <c r="T27" i="22" s="1"/>
  <c r="S27" i="22" a="1"/>
  <c r="AB27" i="22" a="1"/>
  <c r="AC22" i="22" a="1"/>
  <c r="W25" i="21" l="1"/>
  <c r="N25" i="21" s="1"/>
  <c r="M32" i="21" a="1"/>
  <c r="M32" i="21" s="1"/>
  <c r="M43" i="21" a="1"/>
  <c r="M43" i="21" s="1"/>
  <c r="W39" i="21"/>
  <c r="N39" i="21" s="1"/>
  <c r="M39" i="21" a="1"/>
  <c r="M39" i="21" s="1"/>
  <c r="W24" i="21"/>
  <c r="N24" i="21" s="1"/>
  <c r="M24" i="21" a="1"/>
  <c r="M24" i="21" s="1"/>
  <c r="W26" i="21"/>
  <c r="N26" i="21" s="1"/>
  <c r="M26" i="21" a="1"/>
  <c r="M26" i="21" s="1"/>
  <c r="AD22" i="22" a="1"/>
  <c r="AD22" i="22" s="1"/>
  <c r="AC22" i="22"/>
  <c r="F22" i="22" s="1"/>
  <c r="AA23" i="22" a="1"/>
  <c r="AA23" i="22" s="1"/>
  <c r="Q23" i="22" a="1"/>
  <c r="Q23" i="22" s="1"/>
  <c r="R23" i="22" s="1" a="1"/>
  <c r="R23" i="22" s="1"/>
  <c r="AG22" i="22" a="1"/>
  <c r="AG22" i="22" s="1"/>
  <c r="AT22" i="22" a="1"/>
  <c r="AT22" i="22" s="1"/>
  <c r="AN22" i="22" s="1" a="1"/>
  <c r="AN22" i="22" s="1"/>
  <c r="AO22" i="22" s="1" a="1"/>
  <c r="AO22" i="22" s="1"/>
  <c r="I22" i="22" s="1"/>
  <c r="G22" i="22" a="1"/>
  <c r="G22" i="22" s="1"/>
  <c r="C22" i="22" a="1"/>
  <c r="C22" i="22" s="1"/>
  <c r="K22" i="22" a="1"/>
  <c r="K22" i="22" s="1"/>
  <c r="AE22" i="22" a="1"/>
  <c r="AE22" i="22" s="1"/>
  <c r="B22" i="22" a="1"/>
  <c r="B22" i="22" s="1"/>
  <c r="AI22" i="22" a="1"/>
  <c r="AI22" i="22" s="1"/>
  <c r="AF22" i="22" a="1"/>
  <c r="AF22" i="22" s="1"/>
  <c r="L22" i="22" a="1"/>
  <c r="L22" i="22" s="1"/>
  <c r="AB27" i="22"/>
  <c r="S27" i="22"/>
  <c r="V27" i="22" s="1"/>
  <c r="W27" i="22" s="1"/>
  <c r="P28" i="22" s="1" a="1"/>
  <c r="P28" i="22" s="1"/>
  <c r="A27" i="22"/>
  <c r="AJ27" i="22" a="1"/>
  <c r="AJ27" i="22" s="1"/>
  <c r="X27" i="22" a="1"/>
  <c r="Y23" i="22" a="1"/>
  <c r="AP22" i="22" l="1" a="1"/>
  <c r="AP22" i="22" s="1"/>
  <c r="J22" i="22" s="1"/>
  <c r="Y23" i="22"/>
  <c r="D22" i="22"/>
  <c r="T23" i="22" a="1"/>
  <c r="T23" i="22" s="1"/>
  <c r="B27" i="22" a="1"/>
  <c r="B27" i="22" s="1"/>
  <c r="AT27" i="22" a="1"/>
  <c r="AT27" i="22" s="1"/>
  <c r="AP27" i="22" s="1" a="1"/>
  <c r="AP27" i="22" s="1"/>
  <c r="J27" i="22" s="1"/>
  <c r="G27" i="22" a="1"/>
  <c r="G27" i="22" s="1"/>
  <c r="AD27" i="22" a="1"/>
  <c r="AD27" i="22" s="1"/>
  <c r="X27" i="22"/>
  <c r="AG27" i="22" a="1"/>
  <c r="AG27" i="22" s="1"/>
  <c r="AI27" i="22" a="1"/>
  <c r="AI27" i="22" s="1"/>
  <c r="C27" i="22" a="1"/>
  <c r="C27" i="22" s="1"/>
  <c r="AF27" i="22" a="1"/>
  <c r="AF27" i="22" s="1"/>
  <c r="K27" i="22" a="1"/>
  <c r="K27" i="22" s="1"/>
  <c r="AE27" i="22" a="1"/>
  <c r="AE27" i="22" s="1"/>
  <c r="U28" i="22"/>
  <c r="Z28" i="22"/>
  <c r="S23" i="22" a="1"/>
  <c r="AB23" i="22" a="1"/>
  <c r="AC27" i="22" a="1"/>
  <c r="AB23" i="22" l="1"/>
  <c r="S23" i="22"/>
  <c r="V23" i="22" s="1"/>
  <c r="W23" i="22" s="1"/>
  <c r="A23" i="22"/>
  <c r="AS23" i="22" a="1"/>
  <c r="AS23" i="22" s="1"/>
  <c r="AJ23" i="22" a="1"/>
  <c r="AJ23" i="22" s="1"/>
  <c r="AQ23" i="22" a="1"/>
  <c r="AQ23" i="22" s="1"/>
  <c r="AR23" i="22" s="1" a="1"/>
  <c r="AR23" i="22" s="1"/>
  <c r="AN27" i="22" a="1"/>
  <c r="AN27" i="22" s="1"/>
  <c r="AO27" i="22" s="1" a="1"/>
  <c r="AO27" i="22" s="1"/>
  <c r="I27" i="22" s="1"/>
  <c r="D27" i="22"/>
  <c r="AC27" i="22"/>
  <c r="F27" i="22" s="1"/>
  <c r="Q28" i="22" a="1"/>
  <c r="Q28" i="22" s="1"/>
  <c r="R28" i="22" s="1" a="1"/>
  <c r="R28" i="22" s="1"/>
  <c r="AA28" i="22" a="1"/>
  <c r="AA28" i="22" s="1"/>
  <c r="Y28" i="22" a="1"/>
  <c r="X23" i="22" a="1"/>
  <c r="AC23" i="22" a="1"/>
  <c r="AD23" i="22" l="1" a="1"/>
  <c r="AD23" i="22" s="1"/>
  <c r="X23" i="22"/>
  <c r="AC23" i="22"/>
  <c r="F23" i="22" s="1"/>
  <c r="G23" i="22" a="1"/>
  <c r="G23" i="22" s="1"/>
  <c r="C23" i="22" a="1"/>
  <c r="C23" i="22" s="1"/>
  <c r="AT23" i="22" a="1"/>
  <c r="AT23" i="22" s="1"/>
  <c r="AN23" i="22" s="1" a="1"/>
  <c r="AN23" i="22" s="1"/>
  <c r="AO23" i="22" s="1" a="1"/>
  <c r="AO23" i="22" s="1"/>
  <c r="I23" i="22" s="1"/>
  <c r="AG23" i="22" a="1"/>
  <c r="AG23" i="22" s="1"/>
  <c r="B23" i="22" a="1"/>
  <c r="B23" i="22" s="1"/>
  <c r="AE23" i="22" a="1"/>
  <c r="AE23" i="22" s="1"/>
  <c r="AF23" i="22" a="1"/>
  <c r="AF23" i="22" s="1"/>
  <c r="AI23" i="22" a="1"/>
  <c r="AI23" i="22" s="1"/>
  <c r="K23" i="22" a="1"/>
  <c r="K23" i="22" s="1"/>
  <c r="L23" i="22" a="1"/>
  <c r="L23" i="22" s="1"/>
  <c r="L24" i="22" s="1" a="1"/>
  <c r="L24" i="22" s="1"/>
  <c r="L25" i="22" s="1" a="1"/>
  <c r="L25" i="22" s="1"/>
  <c r="L26" i="22" s="1" a="1"/>
  <c r="L26" i="22" s="1"/>
  <c r="L27" i="22" s="1" a="1"/>
  <c r="L27" i="22" s="1"/>
  <c r="Y28" i="22"/>
  <c r="T28" i="22" a="1"/>
  <c r="T28" i="22" s="1"/>
  <c r="S28" i="22" a="1"/>
  <c r="AB28" i="22" a="1"/>
  <c r="Q10" i="24" a="1"/>
  <c r="AP23" i="22" l="1" a="1"/>
  <c r="AP23" i="22" s="1"/>
  <c r="J23" i="22" s="1"/>
  <c r="D23" i="22"/>
  <c r="AB28" i="22"/>
  <c r="S28" i="22"/>
  <c r="V28" i="22" s="1"/>
  <c r="W28" i="22" s="1"/>
  <c r="P29" i="22" s="1" a="1"/>
  <c r="P29" i="22" s="1"/>
  <c r="AJ28" i="22" a="1"/>
  <c r="AJ28" i="22" s="1"/>
  <c r="A28" i="22"/>
  <c r="Q10" i="24"/>
  <c r="E10" i="24" s="1" a="1"/>
  <c r="E10" i="24" s="1"/>
  <c r="X28" i="22" a="1"/>
  <c r="C10" i="24" a="1"/>
  <c r="B28" i="22" l="1" a="1"/>
  <c r="B28" i="22" s="1"/>
  <c r="AT28" i="22" a="1"/>
  <c r="AT28" i="22" s="1"/>
  <c r="AN28" i="22" s="1" a="1"/>
  <c r="AN28" i="22" s="1"/>
  <c r="G28" i="22" a="1"/>
  <c r="G28" i="22" s="1"/>
  <c r="L28" i="22" a="1"/>
  <c r="L28" i="22" s="1"/>
  <c r="AD28" i="22" a="1"/>
  <c r="AD28" i="22" s="1"/>
  <c r="X28" i="22"/>
  <c r="AG28" i="22" a="1"/>
  <c r="AG28" i="22" s="1"/>
  <c r="AF28" i="22" a="1"/>
  <c r="AF28" i="22" s="1"/>
  <c r="K28" i="22" a="1"/>
  <c r="K28" i="22" s="1"/>
  <c r="AE28" i="22" a="1"/>
  <c r="AE28" i="22" s="1"/>
  <c r="AI28" i="22" a="1"/>
  <c r="AI28" i="22" s="1"/>
  <c r="C28" i="22" a="1"/>
  <c r="C28" i="22" s="1"/>
  <c r="U29" i="22"/>
  <c r="Z29" i="22"/>
  <c r="C10" i="24"/>
  <c r="D10" i="24"/>
  <c r="AC28" i="22" a="1"/>
  <c r="Q22" i="24" a="1"/>
  <c r="AP28" i="22" l="1" a="1"/>
  <c r="AP28" i="22" s="1"/>
  <c r="J28" i="22" s="1"/>
  <c r="AO28" i="22" a="1"/>
  <c r="AO28" i="22" s="1"/>
  <c r="I28" i="22" s="1"/>
  <c r="D28" i="22"/>
  <c r="AC28" i="22"/>
  <c r="F28" i="22" s="1"/>
  <c r="Q29" i="22" a="1"/>
  <c r="Q29" i="22" s="1"/>
  <c r="R29" i="22" s="1" a="1"/>
  <c r="R29" i="22" s="1"/>
  <c r="AA29" i="22" a="1"/>
  <c r="AA29" i="22" s="1"/>
  <c r="Q22" i="24"/>
  <c r="E22" i="24" s="1" a="1"/>
  <c r="E22" i="24" s="1"/>
  <c r="A10" i="24"/>
  <c r="Y29" i="22" a="1"/>
  <c r="C22" i="24" a="1"/>
  <c r="Y29" i="22" l="1"/>
  <c r="T29" i="22" a="1"/>
  <c r="T29" i="22" s="1"/>
  <c r="C22" i="24"/>
  <c r="S29" i="22" a="1"/>
  <c r="AB29" i="22" a="1"/>
  <c r="AQ29" i="22" l="1" a="1"/>
  <c r="AQ29" i="22" s="1"/>
  <c r="AR29" i="22" s="1" a="1"/>
  <c r="AR29" i="22" s="1"/>
  <c r="AS29" i="22" a="1"/>
  <c r="AS29" i="22" s="1"/>
  <c r="S29" i="22"/>
  <c r="V29" i="22" s="1"/>
  <c r="W29" i="22" s="1"/>
  <c r="P30" i="22" s="1" a="1"/>
  <c r="P30" i="22" s="1"/>
  <c r="AB29" i="22"/>
  <c r="AJ29" i="22" a="1"/>
  <c r="AJ29" i="22" s="1"/>
  <c r="A29" i="22"/>
  <c r="D22" i="24"/>
  <c r="A22" i="24"/>
  <c r="X29" i="22" a="1"/>
  <c r="AT29" i="22" l="1" a="1"/>
  <c r="AT29" i="22" s="1"/>
  <c r="AN29" i="22" s="1" a="1"/>
  <c r="AN29" i="22" s="1"/>
  <c r="G29" i="22" a="1"/>
  <c r="G29" i="22" s="1"/>
  <c r="L29" i="22" a="1"/>
  <c r="L29" i="22" s="1"/>
  <c r="AD29" i="22" a="1"/>
  <c r="AD29" i="22" s="1"/>
  <c r="X29" i="22"/>
  <c r="B29" i="22" s="1" a="1"/>
  <c r="B29" i="22" s="1"/>
  <c r="C29" i="22" a="1"/>
  <c r="C29" i="22" s="1"/>
  <c r="AF29" i="22" a="1"/>
  <c r="AF29" i="22" s="1"/>
  <c r="K29" i="22" a="1"/>
  <c r="K29" i="22" s="1"/>
  <c r="AI29" i="22" a="1"/>
  <c r="AI29" i="22" s="1"/>
  <c r="AG29" i="22" a="1"/>
  <c r="AG29" i="22" s="1"/>
  <c r="AE29" i="22" a="1"/>
  <c r="AE29" i="22" s="1"/>
  <c r="Z30" i="22"/>
  <c r="U30" i="22"/>
  <c r="AC29" i="22" a="1"/>
  <c r="AP29" i="22" l="1" a="1"/>
  <c r="AP29" i="22" s="1"/>
  <c r="J29" i="22" s="1"/>
  <c r="AO29" i="22" a="1"/>
  <c r="AO29" i="22" s="1"/>
  <c r="I29" i="22" s="1"/>
  <c r="D29" i="22"/>
  <c r="AC29" i="22"/>
  <c r="F29" i="22" s="1"/>
  <c r="AA38" i="22" a="1"/>
  <c r="AA38" i="22" s="1"/>
  <c r="Q38" i="22" a="1"/>
  <c r="Q38" i="22" s="1"/>
  <c r="R38" i="22" s="1" a="1"/>
  <c r="R38" i="22" s="1"/>
  <c r="Q30" i="22" a="1"/>
  <c r="Q30" i="22" s="1"/>
  <c r="R30" i="22" s="1" a="1"/>
  <c r="R30" i="22" s="1"/>
  <c r="AA30" i="22" a="1"/>
  <c r="AA30" i="22" s="1"/>
  <c r="Y30" i="22" a="1"/>
  <c r="Y38" i="22" a="1"/>
  <c r="Y38" i="22" l="1"/>
  <c r="T38" i="22" a="1"/>
  <c r="T38" i="22" s="1"/>
  <c r="Y30" i="22"/>
  <c r="T30" i="22" a="1"/>
  <c r="T30" i="22" s="1"/>
  <c r="S30" i="22" a="1"/>
  <c r="AB30" i="22" a="1"/>
  <c r="S38" i="22" a="1"/>
  <c r="AB38" i="22" a="1"/>
  <c r="AQ30" i="22" l="1" a="1"/>
  <c r="AQ30" i="22" s="1"/>
  <c r="AR30" i="22" s="1" a="1"/>
  <c r="AR30" i="22" s="1"/>
  <c r="AS30" i="22" a="1"/>
  <c r="AS30" i="22" s="1"/>
  <c r="AB38" i="22"/>
  <c r="AS38" i="22" a="1"/>
  <c r="AS38" i="22" s="1"/>
  <c r="AQ38" i="22" a="1"/>
  <c r="AQ38" i="22" s="1"/>
  <c r="AR38" i="22" s="1" a="1"/>
  <c r="AR38" i="22" s="1"/>
  <c r="S38" i="22"/>
  <c r="V38" i="22" s="1"/>
  <c r="W38" i="22" s="1"/>
  <c r="P39" i="22" s="1" a="1"/>
  <c r="P39" i="22" s="1"/>
  <c r="AJ38" i="22" a="1"/>
  <c r="AJ38" i="22" s="1"/>
  <c r="A38" i="22"/>
  <c r="AB30" i="22"/>
  <c r="S30" i="22"/>
  <c r="V30" i="22" s="1"/>
  <c r="W30" i="22" s="1"/>
  <c r="P31" i="22" s="1" a="1"/>
  <c r="P31" i="22" s="1"/>
  <c r="A30" i="22"/>
  <c r="AJ30" i="22" a="1"/>
  <c r="AJ30" i="22" s="1"/>
  <c r="X30" i="22" a="1"/>
  <c r="X38" i="22" a="1"/>
  <c r="Z31" i="22" l="1"/>
  <c r="U31" i="22"/>
  <c r="X38" i="22"/>
  <c r="B38" i="22" s="1" a="1"/>
  <c r="B38" i="22" s="1"/>
  <c r="AT30" i="22" a="1"/>
  <c r="AT30" i="22" s="1"/>
  <c r="AN30" i="22" s="1" a="1"/>
  <c r="AN30" i="22" s="1"/>
  <c r="AT38" i="22" a="1"/>
  <c r="AT38" i="22" s="1"/>
  <c r="AN38" i="22" s="1" a="1"/>
  <c r="AN38" i="22" s="1"/>
  <c r="G30" i="22" a="1"/>
  <c r="G30" i="22" s="1"/>
  <c r="L30" i="22" a="1"/>
  <c r="L30" i="22" s="1"/>
  <c r="G38" i="22" a="1"/>
  <c r="G38" i="22" s="1"/>
  <c r="AD30" i="22" a="1"/>
  <c r="AD30" i="22" s="1"/>
  <c r="Z39" i="22"/>
  <c r="AD38" i="22" a="1"/>
  <c r="AD38" i="22" s="1"/>
  <c r="C38" i="22" a="1"/>
  <c r="C38" i="22" s="1"/>
  <c r="AE38" i="22" a="1"/>
  <c r="AE38" i="22" s="1"/>
  <c r="K38" i="22" a="1"/>
  <c r="K38" i="22" s="1"/>
  <c r="AG38" i="22" a="1"/>
  <c r="AG38" i="22" s="1"/>
  <c r="AI38" i="22" a="1"/>
  <c r="AI38" i="22" s="1"/>
  <c r="AF38" i="22" a="1"/>
  <c r="AF38" i="22" s="1"/>
  <c r="X30" i="22"/>
  <c r="B30" i="22" s="1" a="1"/>
  <c r="B30" i="22" s="1"/>
  <c r="C30" i="22" a="1"/>
  <c r="C30" i="22" s="1"/>
  <c r="AF30" i="22" a="1"/>
  <c r="AF30" i="22" s="1"/>
  <c r="K30" i="22" a="1"/>
  <c r="K30" i="22" s="1"/>
  <c r="AE30" i="22" a="1"/>
  <c r="AE30" i="22" s="1"/>
  <c r="AI30" i="22" a="1"/>
  <c r="AI30" i="22" s="1"/>
  <c r="AG30" i="22" a="1"/>
  <c r="AG30" i="22" s="1"/>
  <c r="AC38" i="22" a="1"/>
  <c r="AC30" i="22" a="1"/>
  <c r="Q31" i="22" l="1" a="1"/>
  <c r="Q31" i="22" s="1"/>
  <c r="R31" i="22" s="1" a="1"/>
  <c r="R31" i="22" s="1"/>
  <c r="AA31" i="22" a="1"/>
  <c r="AA31" i="22" s="1"/>
  <c r="AP30" i="22" a="1"/>
  <c r="AP30" i="22" s="1"/>
  <c r="J30" i="22" s="1"/>
  <c r="AP38" i="22" a="1"/>
  <c r="AP38" i="22" s="1"/>
  <c r="J38" i="22" s="1"/>
  <c r="AO38" i="22" a="1"/>
  <c r="AO38" i="22" s="1"/>
  <c r="I38" i="22" s="1"/>
  <c r="AO30" i="22" a="1"/>
  <c r="AO30" i="22" s="1"/>
  <c r="I30" i="22" s="1"/>
  <c r="D38" i="22"/>
  <c r="D30" i="22"/>
  <c r="AC38" i="22"/>
  <c r="F38" i="22" s="1"/>
  <c r="Q39" i="22" a="1"/>
  <c r="Q39" i="22" s="1"/>
  <c r="R39" i="22" s="1" a="1"/>
  <c r="R39" i="22" s="1"/>
  <c r="AA39" i="22" a="1"/>
  <c r="AA39" i="22" s="1"/>
  <c r="AC30" i="22"/>
  <c r="F30" i="22" s="1"/>
  <c r="AB31" i="22" a="1"/>
  <c r="Y31" i="22" a="1"/>
  <c r="Y39" i="22" a="1"/>
  <c r="Y31" i="22" l="1"/>
  <c r="AB31" i="22"/>
  <c r="T31" i="22" a="1"/>
  <c r="T31" i="22" s="1"/>
  <c r="Y39" i="22"/>
  <c r="AQ39" i="22" s="1" a="1"/>
  <c r="AQ39" i="22" s="1"/>
  <c r="AR39" i="22" s="1" a="1"/>
  <c r="AR39" i="22" s="1"/>
  <c r="T39" i="22" a="1"/>
  <c r="T39" i="22" s="1"/>
  <c r="X31" i="22" a="1"/>
  <c r="S31" i="22" a="1"/>
  <c r="AB39" i="22" a="1"/>
  <c r="S39" i="22" a="1"/>
  <c r="S31" i="22" l="1"/>
  <c r="V31" i="22" s="1"/>
  <c r="W31" i="22" s="1"/>
  <c r="P32" i="22" s="1" a="1"/>
  <c r="P32" i="22" s="1"/>
  <c r="X31" i="22"/>
  <c r="A31" i="22"/>
  <c r="AC31" i="22" s="1" a="1"/>
  <c r="AS31" i="22" a="1"/>
  <c r="AS31" i="22" s="1"/>
  <c r="AQ31" i="22" a="1"/>
  <c r="AQ31" i="22" s="1"/>
  <c r="AR31" i="22" s="1" a="1"/>
  <c r="AR31" i="22" s="1"/>
  <c r="AJ31" i="22" a="1"/>
  <c r="AJ31" i="22" s="1"/>
  <c r="AS39" i="22" a="1"/>
  <c r="AS39" i="22" s="1"/>
  <c r="S39" i="22"/>
  <c r="V39" i="22" s="1"/>
  <c r="W39" i="22" s="1"/>
  <c r="P40" i="22" s="1" a="1"/>
  <c r="P40" i="22" s="1"/>
  <c r="AB39" i="22"/>
  <c r="AJ39" i="22" a="1"/>
  <c r="AJ39" i="22" s="1"/>
  <c r="A39" i="22"/>
  <c r="X39" i="22" a="1"/>
  <c r="AD31" i="22" l="1" a="1"/>
  <c r="AD31" i="22" s="1"/>
  <c r="AC31" i="22"/>
  <c r="F31" i="22" s="1"/>
  <c r="C31" i="22" a="1"/>
  <c r="C31" i="22" s="1"/>
  <c r="K31" i="22" a="1"/>
  <c r="K31" i="22" s="1"/>
  <c r="AG31" i="22" a="1"/>
  <c r="AG31" i="22" s="1"/>
  <c r="AE31" i="22" a="1"/>
  <c r="AE31" i="22" s="1"/>
  <c r="AT31" i="22" a="1"/>
  <c r="AT31" i="22" s="1"/>
  <c r="AN31" i="22" s="1" a="1"/>
  <c r="AN31" i="22" s="1"/>
  <c r="AO31" i="22" s="1" a="1"/>
  <c r="AO31" i="22" s="1"/>
  <c r="I31" i="22" s="1"/>
  <c r="G31" i="22" a="1"/>
  <c r="G31" i="22" s="1"/>
  <c r="AI31" i="22" a="1"/>
  <c r="AI31" i="22" s="1"/>
  <c r="AF31" i="22" a="1"/>
  <c r="AF31" i="22" s="1"/>
  <c r="B31" i="22" a="1"/>
  <c r="B31" i="22" s="1"/>
  <c r="L31" i="22" a="1"/>
  <c r="L31" i="22" s="1"/>
  <c r="Z32" i="22"/>
  <c r="U32" i="22"/>
  <c r="AT39" i="22" a="1"/>
  <c r="AT39" i="22" s="1"/>
  <c r="AN39" i="22" s="1" a="1"/>
  <c r="AN39" i="22" s="1"/>
  <c r="AO39" i="22" s="1" a="1"/>
  <c r="AO39" i="22" s="1"/>
  <c r="I39" i="22" s="1"/>
  <c r="G39" i="22" a="1"/>
  <c r="G39" i="22" s="1"/>
  <c r="AD39" i="22" a="1"/>
  <c r="AD39" i="22" s="1"/>
  <c r="X39" i="22"/>
  <c r="B39" i="22" s="1" a="1"/>
  <c r="B39" i="22" s="1"/>
  <c r="Z40" i="22"/>
  <c r="AI39" i="22" a="1"/>
  <c r="AI39" i="22" s="1"/>
  <c r="AE39" i="22" a="1"/>
  <c r="AE39" i="22" s="1"/>
  <c r="AF39" i="22" a="1"/>
  <c r="AF39" i="22" s="1"/>
  <c r="AG39" i="22" a="1"/>
  <c r="AG39" i="22" s="1"/>
  <c r="K39" i="22" a="1"/>
  <c r="K39" i="22" s="1"/>
  <c r="C39" i="22" a="1"/>
  <c r="C39" i="22" s="1"/>
  <c r="AC39" i="22" a="1"/>
  <c r="AP31" i="22" l="1" a="1"/>
  <c r="AP31" i="22" s="1"/>
  <c r="J31" i="22" s="1"/>
  <c r="D31" i="22"/>
  <c r="AA32" i="22" a="1"/>
  <c r="AA32" i="22" s="1"/>
  <c r="Q32" i="22" a="1"/>
  <c r="Q32" i="22" s="1"/>
  <c r="R32" i="22" s="1" a="1"/>
  <c r="R32" i="22" s="1"/>
  <c r="AP39" i="22" a="1"/>
  <c r="AP39" i="22" s="1"/>
  <c r="J39" i="22" s="1"/>
  <c r="D39" i="22"/>
  <c r="AC39" i="22"/>
  <c r="F39" i="22" s="1"/>
  <c r="Q40" i="22" a="1"/>
  <c r="Q40" i="22" s="1"/>
  <c r="R40" i="22" s="1" a="1"/>
  <c r="R40" i="22" s="1"/>
  <c r="AA40" i="22" a="1"/>
  <c r="AA40" i="22" s="1"/>
  <c r="Z62" i="22"/>
  <c r="Y32" i="22" a="1"/>
  <c r="AB32" i="22" a="1"/>
  <c r="AB40" i="22" a="1"/>
  <c r="AB32" i="22" l="1"/>
  <c r="Y32" i="22"/>
  <c r="T32" i="22" a="1"/>
  <c r="T32" i="22" s="1"/>
  <c r="AB40" i="22"/>
  <c r="T40" i="22" a="1"/>
  <c r="T40" i="22" s="1"/>
  <c r="Q62" i="22" a="1"/>
  <c r="Q62" i="22" s="1"/>
  <c r="R62" i="22" s="1" a="1"/>
  <c r="R62" i="22" s="1"/>
  <c r="AA62" i="22" a="1"/>
  <c r="AA62" i="22" s="1"/>
  <c r="Y62" i="22" a="1"/>
  <c r="X32" i="22" a="1"/>
  <c r="S32" i="22" a="1"/>
  <c r="X40" i="22" a="1"/>
  <c r="Y40" i="22" a="1"/>
  <c r="S40" i="22" a="1"/>
  <c r="S32" i="22" l="1"/>
  <c r="V32" i="22" s="1"/>
  <c r="W32" i="22" s="1"/>
  <c r="P33" i="22" s="1" a="1"/>
  <c r="P33" i="22" s="1"/>
  <c r="X32" i="22"/>
  <c r="A32" i="22"/>
  <c r="AC32" i="22" s="1" a="1"/>
  <c r="AS32" i="22" a="1"/>
  <c r="AS32" i="22" s="1"/>
  <c r="AQ32" i="22" a="1"/>
  <c r="AQ32" i="22" s="1"/>
  <c r="AR32" i="22" s="1" a="1"/>
  <c r="AR32" i="22" s="1"/>
  <c r="AJ32" i="22" a="1"/>
  <c r="AJ32" i="22" s="1"/>
  <c r="Y40" i="22"/>
  <c r="AQ40" i="22" s="1" a="1"/>
  <c r="AQ40" i="22" s="1"/>
  <c r="AR40" i="22" s="1" a="1"/>
  <c r="AR40" i="22" s="1"/>
  <c r="S40" i="22"/>
  <c r="V40" i="22" s="1"/>
  <c r="W40" i="22" s="1"/>
  <c r="P41" i="22" s="1" a="1"/>
  <c r="P41" i="22" s="1"/>
  <c r="X40" i="22"/>
  <c r="Y62" i="22"/>
  <c r="T62" i="22" a="1"/>
  <c r="T62" i="22" s="1"/>
  <c r="S62" i="22" a="1"/>
  <c r="AB62" i="22" a="1"/>
  <c r="AD32" i="22" l="1" a="1"/>
  <c r="AD32" i="22" s="1"/>
  <c r="AC32" i="22"/>
  <c r="F32" i="22" s="1"/>
  <c r="AT32" i="22" a="1"/>
  <c r="AT32" i="22" s="1"/>
  <c r="AP32" i="22" s="1" a="1"/>
  <c r="AP32" i="22" s="1"/>
  <c r="J32" i="22" s="1"/>
  <c r="G32" i="22" a="1"/>
  <c r="G32" i="22" s="1"/>
  <c r="K32" i="22" a="1"/>
  <c r="K32" i="22" s="1"/>
  <c r="C32" i="22" a="1"/>
  <c r="C32" i="22" s="1"/>
  <c r="AE32" i="22" a="1"/>
  <c r="AE32" i="22" s="1"/>
  <c r="AG32" i="22" a="1"/>
  <c r="AG32" i="22" s="1"/>
  <c r="AI32" i="22" a="1"/>
  <c r="AI32" i="22" s="1"/>
  <c r="AF32" i="22" a="1"/>
  <c r="AF32" i="22" s="1"/>
  <c r="B32" i="22" a="1"/>
  <c r="B32" i="22" s="1"/>
  <c r="L32" i="22" a="1"/>
  <c r="L32" i="22" s="1"/>
  <c r="Z33" i="22"/>
  <c r="U33" i="22"/>
  <c r="U35" i="22"/>
  <c r="U39" i="22"/>
  <c r="U40" i="22"/>
  <c r="U34" i="22"/>
  <c r="U36" i="22"/>
  <c r="U37" i="22"/>
  <c r="W37" i="22" s="1"/>
  <c r="P38" i="22" s="1" a="1"/>
  <c r="P38" i="22" s="1"/>
  <c r="A40" i="22"/>
  <c r="AS40" i="22" a="1"/>
  <c r="AS40" i="22" s="1"/>
  <c r="AJ40" i="22" a="1"/>
  <c r="AJ40" i="22" s="1"/>
  <c r="Z41" i="22"/>
  <c r="U41" i="22"/>
  <c r="AB62" i="22"/>
  <c r="S62" i="22"/>
  <c r="V62" i="22" s="1"/>
  <c r="W62" i="22" s="1"/>
  <c r="P63" i="22" s="1" a="1"/>
  <c r="P63" i="22" s="1"/>
  <c r="AJ62" i="22" a="1"/>
  <c r="AJ62" i="22" s="1"/>
  <c r="A62" i="22"/>
  <c r="X62" i="22" a="1"/>
  <c r="AN32" i="22" l="1" a="1"/>
  <c r="AN32" i="22" s="1"/>
  <c r="AO32" i="22" s="1" a="1"/>
  <c r="AO32" i="22" s="1"/>
  <c r="I32" i="22" s="1"/>
  <c r="D32" i="22"/>
  <c r="Q33" i="22" a="1"/>
  <c r="Q33" i="22" s="1"/>
  <c r="R33" i="22" s="1" a="1"/>
  <c r="R33" i="22" s="1"/>
  <c r="AA33" i="22" a="1"/>
  <c r="AA33" i="22" s="1"/>
  <c r="Z38" i="22"/>
  <c r="U38" i="22"/>
  <c r="AD40" i="22" a="1"/>
  <c r="AD40" i="22" s="1"/>
  <c r="B62" i="22" a="1"/>
  <c r="B62" i="22" s="1"/>
  <c r="AT62" i="22" a="1"/>
  <c r="AT62" i="22" s="1"/>
  <c r="AN62" i="22" s="1" a="1"/>
  <c r="AN62" i="22" s="1"/>
  <c r="B40" i="22" a="1"/>
  <c r="B40" i="22" s="1"/>
  <c r="AT40" i="22" a="1"/>
  <c r="AT40" i="22" s="1"/>
  <c r="AN40" i="22" s="1" a="1"/>
  <c r="AN40" i="22" s="1"/>
  <c r="AO40" i="22" s="1" a="1"/>
  <c r="AO40" i="22" s="1"/>
  <c r="I40" i="22" s="1"/>
  <c r="AE40" i="22" a="1"/>
  <c r="AE40" i="22" s="1"/>
  <c r="G40" i="22" a="1"/>
  <c r="G40" i="22" s="1"/>
  <c r="AF40" i="22" a="1"/>
  <c r="AF40" i="22" s="1"/>
  <c r="C40" i="22" a="1"/>
  <c r="C40" i="22" s="1"/>
  <c r="AI40" i="22" a="1"/>
  <c r="AI40" i="22" s="1"/>
  <c r="AG40" i="22" a="1"/>
  <c r="AG40" i="22" s="1"/>
  <c r="K40" i="22" a="1"/>
  <c r="K40" i="22" s="1"/>
  <c r="G62" i="22" a="1"/>
  <c r="G62" i="22" s="1"/>
  <c r="AD62" i="22" a="1"/>
  <c r="AD62" i="22" s="1"/>
  <c r="Q41" i="22" a="1"/>
  <c r="Q41" i="22" s="1"/>
  <c r="R41" i="22" s="1" a="1"/>
  <c r="R41" i="22" s="1"/>
  <c r="AA41" i="22" a="1"/>
  <c r="AA41" i="22" s="1"/>
  <c r="X62" i="22"/>
  <c r="C62" i="22" a="1"/>
  <c r="C62" i="22" s="1"/>
  <c r="AE62" i="22" a="1"/>
  <c r="AE62" i="22" s="1"/>
  <c r="AF62" i="22" a="1"/>
  <c r="AF62" i="22" s="1"/>
  <c r="AG62" i="22" a="1"/>
  <c r="AG62" i="22" s="1"/>
  <c r="AI62" i="22" a="1"/>
  <c r="AI62" i="22" s="1"/>
  <c r="K62" i="22" a="1"/>
  <c r="K62" i="22" s="1"/>
  <c r="Z63" i="22"/>
  <c r="AB33" i="22" a="1"/>
  <c r="AB41" i="22" a="1"/>
  <c r="AC40" i="22" a="1"/>
  <c r="AC62" i="22" a="1"/>
  <c r="AB33" i="22" l="1"/>
  <c r="T33" i="22" a="1"/>
  <c r="T33" i="22" s="1"/>
  <c r="AP40" i="22" a="1"/>
  <c r="AP40" i="22" s="1"/>
  <c r="J40" i="22" s="1"/>
  <c r="AC40" i="22"/>
  <c r="F40" i="22" s="1"/>
  <c r="AP62" i="22" a="1"/>
  <c r="AP62" i="22" s="1"/>
  <c r="J62" i="22" s="1"/>
  <c r="AO62" i="22" a="1"/>
  <c r="AO62" i="22" s="1"/>
  <c r="I62" i="22" s="1"/>
  <c r="D40" i="22"/>
  <c r="D62" i="22"/>
  <c r="AB41" i="22"/>
  <c r="T41" i="22" a="1"/>
  <c r="T41" i="22" s="1"/>
  <c r="AC62" i="22"/>
  <c r="F62" i="22" s="1"/>
  <c r="AA63" i="22" a="1"/>
  <c r="AA63" i="22" s="1"/>
  <c r="Q63" i="22" a="1"/>
  <c r="Q63" i="22" s="1"/>
  <c r="R63" i="22" s="1" a="1"/>
  <c r="R63" i="22" s="1"/>
  <c r="Y63" i="22" a="1"/>
  <c r="X33" i="22" a="1"/>
  <c r="Y33" i="22" a="1"/>
  <c r="S33" i="22" a="1"/>
  <c r="X41" i="22" a="1"/>
  <c r="Y41" i="22" a="1"/>
  <c r="S41" i="22" a="1"/>
  <c r="S33" i="22" l="1"/>
  <c r="V33" i="22" s="1"/>
  <c r="W33" i="22" s="1"/>
  <c r="Y33" i="22"/>
  <c r="X33" i="22"/>
  <c r="Y41" i="22"/>
  <c r="AQ41" i="22" s="1" a="1"/>
  <c r="AQ41" i="22" s="1"/>
  <c r="AR41" i="22" s="1" a="1"/>
  <c r="AR41" i="22" s="1"/>
  <c r="S41" i="22"/>
  <c r="V41" i="22" s="1"/>
  <c r="W41" i="22" s="1"/>
  <c r="P42" i="22" s="1" a="1"/>
  <c r="P42" i="22" s="1"/>
  <c r="X41" i="22"/>
  <c r="Y63" i="22"/>
  <c r="T63" i="22" a="1"/>
  <c r="T63" i="22" s="1"/>
  <c r="S63" i="22" a="1"/>
  <c r="AB63" i="22" a="1"/>
  <c r="A33" i="22" l="1"/>
  <c r="AC33" i="22" s="1" a="1"/>
  <c r="AS33" i="22" a="1"/>
  <c r="AS33" i="22" s="1"/>
  <c r="AJ33" i="22" a="1"/>
  <c r="AJ33" i="22" s="1"/>
  <c r="AQ33" i="22" a="1"/>
  <c r="AQ33" i="22" s="1"/>
  <c r="AR33" i="22" s="1" a="1"/>
  <c r="AR33" i="22" s="1"/>
  <c r="AJ41" i="22" a="1"/>
  <c r="AJ41" i="22" s="1"/>
  <c r="AS41" i="22" a="1"/>
  <c r="AS41" i="22" s="1"/>
  <c r="A41" i="22"/>
  <c r="U42" i="22"/>
  <c r="Z42" i="22"/>
  <c r="AB63" i="22"/>
  <c r="S63" i="22"/>
  <c r="V63" i="22" s="1"/>
  <c r="W63" i="22" s="1"/>
  <c r="P64" i="22" s="1" a="1"/>
  <c r="P64" i="22" s="1"/>
  <c r="AJ63" i="22" a="1"/>
  <c r="AJ63" i="22" s="1"/>
  <c r="A63" i="22"/>
  <c r="X63" i="22" a="1"/>
  <c r="AD33" i="22" l="1" a="1"/>
  <c r="AD33" i="22" s="1"/>
  <c r="AC33" i="22"/>
  <c r="F33" i="22" s="1"/>
  <c r="C33" i="22" a="1"/>
  <c r="C33" i="22" s="1"/>
  <c r="K33" i="22" a="1"/>
  <c r="K33" i="22" s="1"/>
  <c r="G33" i="22" a="1"/>
  <c r="G33" i="22" s="1"/>
  <c r="AT33" i="22" a="1"/>
  <c r="AT33" i="22" s="1"/>
  <c r="AN33" i="22" s="1" a="1"/>
  <c r="AN33" i="22" s="1"/>
  <c r="AO33" i="22" s="1" a="1"/>
  <c r="AO33" i="22" s="1"/>
  <c r="I33" i="22" s="1"/>
  <c r="AG33" i="22" a="1"/>
  <c r="AG33" i="22" s="1"/>
  <c r="AF33" i="22" a="1"/>
  <c r="AF33" i="22" s="1"/>
  <c r="AE33" i="22" a="1"/>
  <c r="AE33" i="22" s="1"/>
  <c r="B33" i="22" a="1"/>
  <c r="B33" i="22" s="1"/>
  <c r="AI33" i="22" a="1"/>
  <c r="AI33" i="22" s="1"/>
  <c r="L33" i="22" a="1"/>
  <c r="L33" i="22" s="1"/>
  <c r="L34" i="22" s="1" a="1"/>
  <c r="L34" i="22" s="1"/>
  <c r="L35" i="22" s="1" a="1"/>
  <c r="L35" i="22" s="1"/>
  <c r="L36" i="22" s="1" a="1"/>
  <c r="L36" i="22" s="1"/>
  <c r="L37" i="22" s="1" a="1"/>
  <c r="L37" i="22" s="1"/>
  <c r="L38" i="22" s="1" a="1"/>
  <c r="L38" i="22" s="1"/>
  <c r="L39" i="22" s="1" a="1"/>
  <c r="L39" i="22" s="1"/>
  <c r="L40" i="22" s="1" a="1"/>
  <c r="L40" i="22" s="1"/>
  <c r="L41" i="22" s="1" a="1"/>
  <c r="L41" i="22" s="1"/>
  <c r="AD41" i="22" a="1"/>
  <c r="AD41" i="22" s="1"/>
  <c r="B63" i="22" a="1"/>
  <c r="B63" i="22" s="1"/>
  <c r="AT63" i="22" a="1"/>
  <c r="AT63" i="22" s="1"/>
  <c r="AN63" i="22" s="1" a="1"/>
  <c r="AN63" i="22" s="1"/>
  <c r="B41" i="22" a="1"/>
  <c r="B41" i="22" s="1"/>
  <c r="AT41" i="22" a="1"/>
  <c r="AT41" i="22" s="1"/>
  <c r="AP41" i="22" s="1" a="1"/>
  <c r="AP41" i="22" s="1"/>
  <c r="J41" i="22" s="1"/>
  <c r="G63" i="22" a="1"/>
  <c r="G63" i="22" s="1"/>
  <c r="G41" i="22" a="1"/>
  <c r="G41" i="22" s="1"/>
  <c r="AG41" i="22" a="1"/>
  <c r="AG41" i="22" s="1"/>
  <c r="AE41" i="22" a="1"/>
  <c r="AE41" i="22" s="1"/>
  <c r="AI41" i="22" a="1"/>
  <c r="AI41" i="22" s="1"/>
  <c r="K41" i="22" a="1"/>
  <c r="K41" i="22" s="1"/>
  <c r="C41" i="22" a="1"/>
  <c r="C41" i="22" s="1"/>
  <c r="AF41" i="22" a="1"/>
  <c r="AF41" i="22" s="1"/>
  <c r="AD63" i="22" a="1"/>
  <c r="AD63" i="22" s="1"/>
  <c r="Q42" i="22" a="1"/>
  <c r="Q42" i="22" s="1"/>
  <c r="R42" i="22" s="1" a="1"/>
  <c r="R42" i="22" s="1"/>
  <c r="AA42" i="22" a="1"/>
  <c r="AA42" i="22" s="1"/>
  <c r="X63" i="22"/>
  <c r="K63" i="22" a="1"/>
  <c r="K63" i="22" s="1"/>
  <c r="AG63" i="22" a="1"/>
  <c r="AG63" i="22" s="1"/>
  <c r="AE63" i="22" a="1"/>
  <c r="AE63" i="22" s="1"/>
  <c r="AF63" i="22" a="1"/>
  <c r="AF63" i="22" s="1"/>
  <c r="AI63" i="22" a="1"/>
  <c r="AI63" i="22" s="1"/>
  <c r="C63" i="22" a="1"/>
  <c r="C63" i="22" s="1"/>
  <c r="Z64" i="22"/>
  <c r="Y42" i="22" a="1"/>
  <c r="AC63" i="22" a="1"/>
  <c r="AC41" i="22" a="1"/>
  <c r="AP33" i="22" l="1" a="1"/>
  <c r="AP33" i="22" s="1"/>
  <c r="J33" i="22" s="1"/>
  <c r="D33" i="22"/>
  <c r="AN41" i="22" a="1"/>
  <c r="AN41" i="22" s="1"/>
  <c r="AO41" i="22" s="1" a="1"/>
  <c r="AO41" i="22" s="1"/>
  <c r="I41" i="22" s="1"/>
  <c r="AP63" i="22" a="1"/>
  <c r="AP63" i="22" s="1"/>
  <c r="J63" i="22" s="1"/>
  <c r="AO63" i="22" a="1"/>
  <c r="AO63" i="22" s="1"/>
  <c r="I63" i="22" s="1"/>
  <c r="D63" i="22"/>
  <c r="D41" i="22"/>
  <c r="AC41" i="22"/>
  <c r="F41" i="22" s="1"/>
  <c r="Y42" i="22"/>
  <c r="AQ42" i="22" s="1" a="1"/>
  <c r="AQ42" i="22" s="1"/>
  <c r="AR42" i="22" s="1" a="1"/>
  <c r="AR42" i="22" s="1"/>
  <c r="T42" i="22" a="1"/>
  <c r="T42" i="22" s="1"/>
  <c r="AC63" i="22"/>
  <c r="F63" i="22" s="1"/>
  <c r="AA64" i="22" a="1"/>
  <c r="AA64" i="22" s="1"/>
  <c r="Q64" i="22" a="1"/>
  <c r="Q64" i="22" s="1"/>
  <c r="R64" i="22" s="1" a="1"/>
  <c r="R64" i="22" s="1"/>
  <c r="Y64" i="22" a="1"/>
  <c r="AB42" i="22" a="1"/>
  <c r="S42" i="22" a="1"/>
  <c r="AS42" i="22" l="1" a="1"/>
  <c r="AS42" i="22" s="1"/>
  <c r="AB42" i="22"/>
  <c r="S42" i="22"/>
  <c r="V42" i="22" s="1"/>
  <c r="W42" i="22" s="1"/>
  <c r="P43" i="22" s="1" a="1"/>
  <c r="P43" i="22" s="1"/>
  <c r="A42" i="22"/>
  <c r="AJ42" i="22" a="1"/>
  <c r="AJ42" i="22" s="1"/>
  <c r="Y64" i="22"/>
  <c r="T64" i="22" a="1"/>
  <c r="T64" i="22" s="1"/>
  <c r="S64" i="22" a="1"/>
  <c r="AB64" i="22" a="1"/>
  <c r="X42" i="22" a="1"/>
  <c r="AD42" i="22" l="1" a="1"/>
  <c r="AD42" i="22" s="1"/>
  <c r="AT42" i="22" a="1"/>
  <c r="AT42" i="22" s="1"/>
  <c r="AP42" i="22" s="1" a="1"/>
  <c r="AP42" i="22" s="1"/>
  <c r="J42" i="22" s="1"/>
  <c r="G42" i="22" a="1"/>
  <c r="G42" i="22" s="1"/>
  <c r="L42" i="22" a="1"/>
  <c r="L42" i="22" s="1"/>
  <c r="U43" i="22"/>
  <c r="Z43" i="22"/>
  <c r="X42" i="22"/>
  <c r="B42" i="22" s="1" a="1"/>
  <c r="B42" i="22" s="1"/>
  <c r="AE42" i="22" a="1"/>
  <c r="AE42" i="22" s="1"/>
  <c r="K42" i="22" a="1"/>
  <c r="K42" i="22" s="1"/>
  <c r="AI42" i="22" a="1"/>
  <c r="AI42" i="22" s="1"/>
  <c r="C42" i="22" a="1"/>
  <c r="C42" i="22" s="1"/>
  <c r="AG42" i="22" a="1"/>
  <c r="AG42" i="22" s="1"/>
  <c r="AF42" i="22" a="1"/>
  <c r="AF42" i="22" s="1"/>
  <c r="AB64" i="22"/>
  <c r="S64" i="22"/>
  <c r="V64" i="22" s="1"/>
  <c r="W64" i="22" s="1"/>
  <c r="A64" i="22"/>
  <c r="AJ64" i="22" a="1"/>
  <c r="AJ64" i="22" s="1"/>
  <c r="X64" i="22" a="1"/>
  <c r="AC42" i="22" a="1"/>
  <c r="AN42" i="22" l="1" a="1"/>
  <c r="AN42" i="22" s="1"/>
  <c r="AO42" i="22" s="1" a="1"/>
  <c r="AO42" i="22" s="1"/>
  <c r="I42" i="22" s="1"/>
  <c r="B64" i="22" a="1"/>
  <c r="B64" i="22" s="1"/>
  <c r="AT64" i="22" a="1"/>
  <c r="AT64" i="22" s="1"/>
  <c r="AN64" i="22" s="1" a="1"/>
  <c r="AN64" i="22" s="1"/>
  <c r="D42" i="22"/>
  <c r="G64" i="22" a="1"/>
  <c r="G64" i="22" s="1"/>
  <c r="AC42" i="22"/>
  <c r="F42" i="22" s="1"/>
  <c r="AA43" i="22" a="1"/>
  <c r="AA43" i="22" s="1"/>
  <c r="Q43" i="22" a="1"/>
  <c r="Q43" i="22" s="1"/>
  <c r="R43" i="22" s="1" a="1"/>
  <c r="R43" i="22" s="1"/>
  <c r="AD64" i="22" a="1"/>
  <c r="AD64" i="22" s="1"/>
  <c r="X64" i="22"/>
  <c r="AG64" i="22" a="1"/>
  <c r="AG64" i="22" s="1"/>
  <c r="K64" i="22" a="1"/>
  <c r="K64" i="22" s="1"/>
  <c r="AI64" i="22" a="1"/>
  <c r="AI64" i="22" s="1"/>
  <c r="C64" i="22" a="1"/>
  <c r="C64" i="22" s="1"/>
  <c r="AE64" i="22" a="1"/>
  <c r="AE64" i="22" s="1"/>
  <c r="AF64" i="22" a="1"/>
  <c r="AF64" i="22" s="1"/>
  <c r="Y43" i="22" a="1"/>
  <c r="AC64" i="22" a="1"/>
  <c r="AP64" i="22" l="1" a="1"/>
  <c r="AP64" i="22" s="1"/>
  <c r="J64" i="22" s="1"/>
  <c r="AO64" i="22" a="1"/>
  <c r="AO64" i="22" s="1"/>
  <c r="I64" i="22" s="1"/>
  <c r="D64" i="22"/>
  <c r="Y43" i="22"/>
  <c r="AQ43" i="22" s="1" a="1"/>
  <c r="AQ43" i="22" s="1"/>
  <c r="AR43" i="22" s="1" a="1"/>
  <c r="AR43" i="22" s="1"/>
  <c r="T43" i="22" a="1"/>
  <c r="T43" i="22" s="1"/>
  <c r="AC64" i="22"/>
  <c r="F64" i="22" s="1"/>
  <c r="S43" i="22" a="1"/>
  <c r="AB43" i="22" a="1"/>
  <c r="AS43" i="22" l="1" a="1"/>
  <c r="AS43" i="22" s="1"/>
  <c r="AB43" i="22"/>
  <c r="S43" i="22"/>
  <c r="V43" i="22" s="1"/>
  <c r="W43" i="22" s="1"/>
  <c r="P44" i="22" s="1" a="1"/>
  <c r="P44" i="22" s="1"/>
  <c r="AJ43" i="22" a="1"/>
  <c r="AJ43" i="22" s="1"/>
  <c r="A43" i="22"/>
  <c r="X43" i="22" a="1"/>
  <c r="AT43" i="22" l="1" a="1"/>
  <c r="AT43" i="22" s="1"/>
  <c r="AN43" i="22" s="1" a="1"/>
  <c r="AN43" i="22" s="1"/>
  <c r="AO43" i="22" s="1" a="1"/>
  <c r="AO43" i="22" s="1"/>
  <c r="I43" i="22" s="1"/>
  <c r="AD43" i="22" a="1"/>
  <c r="AD43" i="22" s="1"/>
  <c r="L43" i="22" a="1"/>
  <c r="L43" i="22" s="1"/>
  <c r="U44" i="22"/>
  <c r="Z44" i="22"/>
  <c r="U63" i="22"/>
  <c r="U68" i="22"/>
  <c r="W68" i="22" s="1"/>
  <c r="P69" i="22" s="1" a="1"/>
  <c r="P69" i="22" s="1"/>
  <c r="U58" i="22"/>
  <c r="U61" i="22"/>
  <c r="W61" i="22" s="1"/>
  <c r="P62" i="22" s="1" a="1"/>
  <c r="P62" i="22" s="1"/>
  <c r="U62" i="22" s="1"/>
  <c r="U52" i="22"/>
  <c r="U49" i="22"/>
  <c r="U60" i="22"/>
  <c r="U66" i="22"/>
  <c r="U54" i="22"/>
  <c r="U59" i="22"/>
  <c r="U67" i="22"/>
  <c r="U47" i="22"/>
  <c r="U65" i="22"/>
  <c r="U51" i="22"/>
  <c r="U56" i="22"/>
  <c r="U57" i="22"/>
  <c r="U55" i="22"/>
  <c r="U64" i="22"/>
  <c r="U53" i="22"/>
  <c r="U45" i="22"/>
  <c r="U50" i="22"/>
  <c r="U46" i="22"/>
  <c r="U48" i="22"/>
  <c r="X43" i="22"/>
  <c r="B43" i="22" s="1" a="1"/>
  <c r="B43" i="22" s="1"/>
  <c r="G43" i="22" a="1"/>
  <c r="G43" i="22" s="1"/>
  <c r="AI43" i="22" a="1"/>
  <c r="AI43" i="22" s="1"/>
  <c r="C43" i="22" a="1"/>
  <c r="C43" i="22" s="1"/>
  <c r="AG43" i="22" a="1"/>
  <c r="AG43" i="22" s="1"/>
  <c r="K43" i="22" a="1"/>
  <c r="K43" i="22" s="1"/>
  <c r="AF43" i="22" a="1"/>
  <c r="AF43" i="22" s="1"/>
  <c r="AE43" i="22" a="1"/>
  <c r="AE43" i="22" s="1"/>
  <c r="AC43" i="22" a="1"/>
  <c r="Z69" i="22" l="1"/>
  <c r="U69" i="22"/>
  <c r="AP43" i="22" a="1"/>
  <c r="AP43" i="22" s="1"/>
  <c r="J43" i="22" s="1"/>
  <c r="D43" i="22"/>
  <c r="AC43" i="22"/>
  <c r="F43" i="22" s="1"/>
  <c r="AA82" i="22" a="1"/>
  <c r="AA82" i="22" s="1"/>
  <c r="Q82" i="22" a="1"/>
  <c r="Q82" i="22" s="1"/>
  <c r="R82" i="22" s="1" a="1"/>
  <c r="R82" i="22" s="1"/>
  <c r="Q44" i="22" a="1"/>
  <c r="Q44" i="22" s="1"/>
  <c r="R44" i="22" s="1" a="1"/>
  <c r="R44" i="22" s="1"/>
  <c r="AA44" i="22" a="1"/>
  <c r="AA44" i="22" s="1"/>
  <c r="AB82" i="22" a="1"/>
  <c r="Y82" i="22" a="1"/>
  <c r="AB44" i="22" a="1"/>
  <c r="AA69" i="22" l="1" a="1"/>
  <c r="AA69" i="22" s="1"/>
  <c r="Q69" i="22" a="1"/>
  <c r="Q69" i="22" s="1"/>
  <c r="R69" i="22" s="1" a="1"/>
  <c r="R69" i="22" s="1"/>
  <c r="Y82" i="22"/>
  <c r="AB82" i="22"/>
  <c r="T82" i="22" a="1"/>
  <c r="T82" i="22" s="1"/>
  <c r="AB44" i="22"/>
  <c r="T44" i="22" a="1"/>
  <c r="T44" i="22" s="1"/>
  <c r="X82" i="22" a="1"/>
  <c r="S82" i="22" a="1"/>
  <c r="X44" i="22" a="1"/>
  <c r="Y44" i="22" a="1"/>
  <c r="S44" i="22" a="1"/>
  <c r="T69" i="22" l="1" a="1"/>
  <c r="T69" i="22" s="1"/>
  <c r="S82" i="22"/>
  <c r="V82" i="22" s="1"/>
  <c r="W82" i="22" s="1"/>
  <c r="P83" i="22" s="1" a="1"/>
  <c r="P83" i="22" s="1"/>
  <c r="X82" i="22"/>
  <c r="AJ82" i="22" a="1"/>
  <c r="AJ82" i="22" s="1"/>
  <c r="A82" i="22"/>
  <c r="S44" i="22"/>
  <c r="V44" i="22" s="1"/>
  <c r="W44" i="22" s="1"/>
  <c r="Y44" i="22"/>
  <c r="X44" i="22"/>
  <c r="S69" i="22" a="1"/>
  <c r="Y69" i="22" a="1"/>
  <c r="AB69" i="22" a="1"/>
  <c r="AB69" i="22" l="1"/>
  <c r="Y69" i="22"/>
  <c r="S69" i="22"/>
  <c r="V69" i="22" s="1"/>
  <c r="W69" i="22" s="1"/>
  <c r="P70" i="22" s="1" a="1"/>
  <c r="P70" i="22" s="1"/>
  <c r="B82" i="22" a="1"/>
  <c r="B82" i="22" s="1"/>
  <c r="AT82" i="22" a="1"/>
  <c r="AT82" i="22" s="1"/>
  <c r="AN82" i="22" s="1" a="1"/>
  <c r="AN82" i="22" s="1"/>
  <c r="AD82" i="22" a="1"/>
  <c r="AD82" i="22" s="1"/>
  <c r="G82" i="22" a="1"/>
  <c r="G82" i="22" s="1"/>
  <c r="K82" i="22" a="1"/>
  <c r="K82" i="22" s="1"/>
  <c r="AG82" i="22" a="1"/>
  <c r="AG82" i="22" s="1"/>
  <c r="AI82" i="22" a="1"/>
  <c r="AI82" i="22" s="1"/>
  <c r="AE82" i="22" a="1"/>
  <c r="AE82" i="22" s="1"/>
  <c r="AF82" i="22" a="1"/>
  <c r="AF82" i="22" s="1"/>
  <c r="C82" i="22" a="1"/>
  <c r="C82" i="22" s="1"/>
  <c r="Z83" i="22"/>
  <c r="A44" i="22"/>
  <c r="AJ44" i="22" a="1"/>
  <c r="AJ44" i="22" s="1"/>
  <c r="X69" i="22" a="1"/>
  <c r="AC82" i="22" a="1"/>
  <c r="X69" i="22" l="1"/>
  <c r="Z70" i="22"/>
  <c r="U77" i="22"/>
  <c r="U70" i="22"/>
  <c r="U71" i="22"/>
  <c r="U73" i="22"/>
  <c r="U80" i="22"/>
  <c r="U76" i="22"/>
  <c r="U72" i="22"/>
  <c r="U78" i="22"/>
  <c r="U75" i="22"/>
  <c r="U74" i="22"/>
  <c r="U79" i="22"/>
  <c r="U81" i="22"/>
  <c r="W81" i="22" s="1"/>
  <c r="P82" i="22" s="1" a="1"/>
  <c r="P82" i="22" s="1"/>
  <c r="A69" i="22"/>
  <c r="AC69" i="22" s="1" a="1"/>
  <c r="AS69" i="22" a="1"/>
  <c r="AS69" i="22" s="1"/>
  <c r="AJ69" i="22" a="1"/>
  <c r="AJ69" i="22" s="1"/>
  <c r="AQ69" i="22" a="1"/>
  <c r="AQ69" i="22" s="1"/>
  <c r="AR69" i="22" s="1" a="1"/>
  <c r="AR69" i="22" s="1"/>
  <c r="U83" i="22"/>
  <c r="AP82" i="22" a="1"/>
  <c r="AP82" i="22" s="1"/>
  <c r="J82" i="22" s="1"/>
  <c r="AO82" i="22" a="1"/>
  <c r="AO82" i="22" s="1"/>
  <c r="I82" i="22" s="1"/>
  <c r="B44" i="22" a="1"/>
  <c r="B44" i="22" s="1"/>
  <c r="AT44" i="22" a="1"/>
  <c r="AT44" i="22" s="1"/>
  <c r="AN44" i="22" s="1" a="1"/>
  <c r="AN44" i="22" s="1"/>
  <c r="D82" i="22"/>
  <c r="AD44" i="22" a="1"/>
  <c r="AD44" i="22" s="1"/>
  <c r="L44" i="22" a="1"/>
  <c r="L44" i="22" s="1"/>
  <c r="L45" i="22" s="1" a="1"/>
  <c r="L45" i="22" s="1"/>
  <c r="L46" i="22" s="1" a="1"/>
  <c r="L46" i="22" s="1"/>
  <c r="L47" i="22" s="1" a="1"/>
  <c r="L47" i="22" s="1"/>
  <c r="L48" i="22" s="1" a="1"/>
  <c r="L48" i="22" s="1"/>
  <c r="L49" i="22" s="1" a="1"/>
  <c r="L49" i="22" s="1"/>
  <c r="L50" i="22" s="1" a="1"/>
  <c r="L50" i="22" s="1"/>
  <c r="L51" i="22" s="1" a="1"/>
  <c r="L51" i="22" s="1"/>
  <c r="L52" i="22" s="1" a="1"/>
  <c r="L52" i="22" s="1"/>
  <c r="L53" i="22" s="1" a="1"/>
  <c r="L53" i="22" s="1"/>
  <c r="L54" i="22" s="1" a="1"/>
  <c r="L54" i="22" s="1"/>
  <c r="L55" i="22" s="1" a="1"/>
  <c r="L55" i="22" s="1"/>
  <c r="L56" i="22" s="1" a="1"/>
  <c r="L56" i="22" s="1"/>
  <c r="L57" i="22" s="1" a="1"/>
  <c r="L57" i="22" s="1"/>
  <c r="L58" i="22" s="1" a="1"/>
  <c r="L58" i="22" s="1"/>
  <c r="L59" i="22" s="1" a="1"/>
  <c r="L59" i="22" s="1"/>
  <c r="L60" i="22" s="1" a="1"/>
  <c r="L60" i="22" s="1"/>
  <c r="L61" i="22" s="1" a="1"/>
  <c r="L61" i="22" s="1"/>
  <c r="L62" i="22" s="1" a="1"/>
  <c r="L62" i="22" s="1"/>
  <c r="L63" i="22" s="1" a="1"/>
  <c r="L63" i="22" s="1"/>
  <c r="L64" i="22" s="1" a="1"/>
  <c r="L64" i="22" s="1"/>
  <c r="L65" i="22" s="1" a="1"/>
  <c r="L65" i="22" s="1"/>
  <c r="L66" i="22" s="1" a="1"/>
  <c r="L66" i="22" s="1"/>
  <c r="L67" i="22" s="1" a="1"/>
  <c r="L67" i="22" s="1"/>
  <c r="L68" i="22" s="1" a="1"/>
  <c r="L68" i="22" s="1"/>
  <c r="L69" i="22" s="1" a="1"/>
  <c r="L69" i="22" s="1"/>
  <c r="AC82" i="22"/>
  <c r="F82" i="22" s="1"/>
  <c r="Q83" i="22" a="1"/>
  <c r="Q83" i="22" s="1"/>
  <c r="R83" i="22" s="1" a="1"/>
  <c r="R83" i="22" s="1"/>
  <c r="AA83" i="22" a="1"/>
  <c r="AA83" i="22" s="1"/>
  <c r="G44" i="22" a="1"/>
  <c r="G44" i="22" s="1"/>
  <c r="AE44" i="22" a="1"/>
  <c r="AE44" i="22" s="1"/>
  <c r="AI44" i="22" a="1"/>
  <c r="AI44" i="22" s="1"/>
  <c r="K44" i="22" a="1"/>
  <c r="K44" i="22" s="1"/>
  <c r="C44" i="22" a="1"/>
  <c r="C44" i="22" s="1"/>
  <c r="AG44" i="22" a="1"/>
  <c r="AG44" i="22" s="1"/>
  <c r="AF44" i="22" a="1"/>
  <c r="AF44" i="22" s="1"/>
  <c r="AB83" i="22" a="1"/>
  <c r="Y83" i="22" a="1"/>
  <c r="AC44" i="22" a="1"/>
  <c r="AD69" i="22" l="1" a="1"/>
  <c r="AD69" i="22" s="1"/>
  <c r="AC69" i="22"/>
  <c r="F69" i="22" s="1"/>
  <c r="Q70" i="22" a="1"/>
  <c r="Q70" i="22" s="1"/>
  <c r="R70" i="22" s="1" a="1"/>
  <c r="R70" i="22" s="1"/>
  <c r="AA70" i="22" a="1"/>
  <c r="AA70" i="22" s="1"/>
  <c r="C69" i="22" a="1"/>
  <c r="C69" i="22" s="1"/>
  <c r="AI69" i="22" a="1"/>
  <c r="AI69" i="22" s="1"/>
  <c r="AE69" i="22" a="1"/>
  <c r="AE69" i="22" s="1"/>
  <c r="AG69" i="22" a="1"/>
  <c r="AG69" i="22" s="1"/>
  <c r="AF69" i="22" a="1"/>
  <c r="AF69" i="22" s="1"/>
  <c r="B69" i="22" a="1"/>
  <c r="B69" i="22" s="1"/>
  <c r="G69" i="22" a="1"/>
  <c r="G69" i="22" s="1"/>
  <c r="K69" i="22" a="1"/>
  <c r="K69" i="22" s="1"/>
  <c r="AT69" i="22" a="1"/>
  <c r="AT69" i="22" s="1"/>
  <c r="AN69" i="22" s="1" a="1"/>
  <c r="AN69" i="22" s="1"/>
  <c r="AO69" i="22" s="1" a="1"/>
  <c r="AO69" i="22" s="1"/>
  <c r="I69" i="22" s="1"/>
  <c r="Z82" i="22"/>
  <c r="U82" i="22"/>
  <c r="AP44" i="22" a="1"/>
  <c r="AP44" i="22" s="1"/>
  <c r="J44" i="22" s="1"/>
  <c r="AO44" i="22" a="1"/>
  <c r="AO44" i="22" s="1"/>
  <c r="I44" i="22" s="1"/>
  <c r="D44" i="22"/>
  <c r="Y83" i="22"/>
  <c r="AQ83" i="22" s="1" a="1"/>
  <c r="AQ83" i="22" s="1"/>
  <c r="AR83" i="22" s="1" a="1"/>
  <c r="AR83" i="22" s="1"/>
  <c r="AB83" i="22"/>
  <c r="T83" i="22" a="1"/>
  <c r="T83" i="22" s="1"/>
  <c r="AC44" i="22"/>
  <c r="F44" i="22" s="1"/>
  <c r="X83" i="22" a="1"/>
  <c r="S83" i="22" a="1"/>
  <c r="Y70" i="22" a="1"/>
  <c r="AB70" i="22" a="1"/>
  <c r="AP69" i="22" l="1" a="1"/>
  <c r="AP69" i="22" s="1"/>
  <c r="J69" i="22" s="1"/>
  <c r="AB70" i="22"/>
  <c r="Y70" i="22"/>
  <c r="D69" i="22"/>
  <c r="T70" i="22" a="1"/>
  <c r="T70" i="22" s="1"/>
  <c r="AS83" i="22" a="1"/>
  <c r="AS83" i="22" s="1"/>
  <c r="S83" i="22"/>
  <c r="V83" i="22" s="1"/>
  <c r="W83" i="22" s="1"/>
  <c r="P84" i="22" s="1" a="1"/>
  <c r="P84" i="22" s="1"/>
  <c r="X83" i="22"/>
  <c r="AJ83" i="22" a="1"/>
  <c r="AJ83" i="22" s="1"/>
  <c r="A83" i="22"/>
  <c r="X70" i="22" a="1"/>
  <c r="S70" i="22" a="1"/>
  <c r="S70" i="22" l="1"/>
  <c r="V70" i="22" s="1"/>
  <c r="W70" i="22" s="1"/>
  <c r="X70" i="22"/>
  <c r="A70" i="22"/>
  <c r="AC70" i="22" s="1" a="1"/>
  <c r="AQ70" i="22" a="1"/>
  <c r="AQ70" i="22" s="1"/>
  <c r="AR70" i="22" s="1" a="1"/>
  <c r="AR70" i="22" s="1"/>
  <c r="AJ70" i="22" a="1"/>
  <c r="AJ70" i="22" s="1"/>
  <c r="AS70" i="22" a="1"/>
  <c r="AS70" i="22" s="1"/>
  <c r="B83" i="22" a="1"/>
  <c r="B83" i="22" s="1"/>
  <c r="AT83" i="22" a="1"/>
  <c r="AT83" i="22" s="1"/>
  <c r="AN83" i="22" s="1" a="1"/>
  <c r="AN83" i="22" s="1"/>
  <c r="AO83" i="22" s="1" a="1"/>
  <c r="AO83" i="22" s="1"/>
  <c r="I83" i="22" s="1"/>
  <c r="AD83" i="22" a="1"/>
  <c r="AD83" i="22" s="1"/>
  <c r="AI83" i="22" a="1"/>
  <c r="AI83" i="22" s="1"/>
  <c r="AG83" i="22" a="1"/>
  <c r="AG83" i="22" s="1"/>
  <c r="G83" i="22" a="1"/>
  <c r="G83" i="22" s="1"/>
  <c r="AE83" i="22" a="1"/>
  <c r="AE83" i="22" s="1"/>
  <c r="C83" i="22" a="1"/>
  <c r="C83" i="22" s="1"/>
  <c r="AF83" i="22" a="1"/>
  <c r="AF83" i="22" s="1"/>
  <c r="K83" i="22" a="1"/>
  <c r="K83" i="22" s="1"/>
  <c r="U84" i="22"/>
  <c r="Z84" i="22"/>
  <c r="AC83" i="22" a="1"/>
  <c r="AD70" i="22" l="1" a="1"/>
  <c r="AD70" i="22" s="1"/>
  <c r="AC70" i="22"/>
  <c r="F70" i="22" s="1"/>
  <c r="K70" i="22" a="1"/>
  <c r="K70" i="22" s="1"/>
  <c r="AI70" i="22" a="1"/>
  <c r="AI70" i="22" s="1"/>
  <c r="G70" i="22" a="1"/>
  <c r="G70" i="22" s="1"/>
  <c r="AE70" i="22" a="1"/>
  <c r="AE70" i="22" s="1"/>
  <c r="AF70" i="22" a="1"/>
  <c r="AF70" i="22" s="1"/>
  <c r="C70" i="22" a="1"/>
  <c r="C70" i="22" s="1"/>
  <c r="B70" i="22" a="1"/>
  <c r="B70" i="22" s="1"/>
  <c r="AG70" i="22" a="1"/>
  <c r="AG70" i="22" s="1"/>
  <c r="AT70" i="22" a="1"/>
  <c r="AT70" i="22" s="1"/>
  <c r="AN70" i="22" s="1" a="1"/>
  <c r="AN70" i="22" s="1"/>
  <c r="AO70" i="22" s="1" a="1"/>
  <c r="AO70" i="22" s="1"/>
  <c r="I70" i="22" s="1"/>
  <c r="L70" i="22" a="1"/>
  <c r="L70" i="22" s="1"/>
  <c r="L71" i="22" s="1" a="1"/>
  <c r="L71" i="22" s="1"/>
  <c r="L72" i="22" s="1" a="1"/>
  <c r="L72" i="22" s="1"/>
  <c r="L73" i="22" s="1" a="1"/>
  <c r="L73" i="22" s="1"/>
  <c r="L74" i="22" s="1" a="1"/>
  <c r="L74" i="22" s="1"/>
  <c r="L75" i="22" s="1" a="1"/>
  <c r="L75" i="22" s="1"/>
  <c r="L76" i="22" s="1" a="1"/>
  <c r="L76" i="22" s="1"/>
  <c r="L77" i="22" s="1" a="1"/>
  <c r="L77" i="22" s="1"/>
  <c r="L78" i="22" s="1" a="1"/>
  <c r="L78" i="22" s="1"/>
  <c r="L79" i="22" s="1" a="1"/>
  <c r="L79" i="22" s="1"/>
  <c r="L80" i="22" s="1" a="1"/>
  <c r="L80" i="22" s="1"/>
  <c r="L81" i="22" s="1" a="1"/>
  <c r="L81" i="22" s="1"/>
  <c r="L82" i="22" s="1" a="1"/>
  <c r="L82" i="22" s="1"/>
  <c r="L83" i="22" s="1" a="1"/>
  <c r="L83" i="22" s="1"/>
  <c r="AP83" i="22" a="1"/>
  <c r="AP83" i="22" s="1"/>
  <c r="J83" i="22" s="1"/>
  <c r="D83" i="22"/>
  <c r="AC83" i="22"/>
  <c r="F83" i="22" s="1"/>
  <c r="Q84" i="22" a="1"/>
  <c r="Q84" i="22" s="1"/>
  <c r="R84" i="22" s="1" a="1"/>
  <c r="R84" i="22" s="1"/>
  <c r="S84" i="22" s="1" a="1"/>
  <c r="AA84" i="22" a="1"/>
  <c r="AA84" i="22" s="1"/>
  <c r="AP70" i="22" l="1" a="1"/>
  <c r="AP70" i="22" s="1"/>
  <c r="J70" i="22" s="1"/>
  <c r="D70" i="22"/>
  <c r="S84" i="22"/>
  <c r="T84" i="22" a="1"/>
  <c r="T84" i="22" s="1"/>
  <c r="Y84" i="22" a="1"/>
  <c r="AB84" i="22" a="1"/>
  <c r="Y84" i="22" l="1"/>
  <c r="A84" i="22" s="1"/>
  <c r="AB84" i="22"/>
  <c r="V84" i="22"/>
  <c r="W84" i="22" s="1"/>
  <c r="P85" i="22" s="1" a="1"/>
  <c r="P85" i="22" s="1"/>
  <c r="X84" i="22" a="1"/>
  <c r="AT84" i="22" l="1" a="1"/>
  <c r="AT84" i="22" s="1"/>
  <c r="AP84" i="22" s="1" a="1"/>
  <c r="AP84" i="22" s="1"/>
  <c r="AS84" i="22" a="1"/>
  <c r="AS84" i="22" s="1"/>
  <c r="AJ84" i="22" a="1"/>
  <c r="AJ84" i="22" s="1"/>
  <c r="L84" i="22" a="1"/>
  <c r="L84" i="22" s="1"/>
  <c r="X84" i="22"/>
  <c r="AQ84" i="22" s="1" a="1"/>
  <c r="AQ84" i="22" s="1"/>
  <c r="AR84" i="22" s="1" a="1"/>
  <c r="AR84" i="22" s="1"/>
  <c r="AD84" i="22" a="1"/>
  <c r="AD84" i="22" s="1"/>
  <c r="G84" i="22" a="1"/>
  <c r="G84" i="22" s="1"/>
  <c r="C84" i="22" a="1"/>
  <c r="C84" i="22" s="1"/>
  <c r="K84" i="22" a="1"/>
  <c r="K84" i="22" s="1"/>
  <c r="AF84" i="22" a="1"/>
  <c r="AF84" i="22" s="1"/>
  <c r="AG84" i="22" a="1"/>
  <c r="AG84" i="22" s="1"/>
  <c r="AI84" i="22" a="1"/>
  <c r="AI84" i="22" s="1"/>
  <c r="AE84" i="22" a="1"/>
  <c r="AE84" i="22" s="1"/>
  <c r="U85" i="22"/>
  <c r="Z85" i="22"/>
  <c r="AC84" i="22" a="1"/>
  <c r="J84" i="22" l="1"/>
  <c r="AN84" i="22" a="1"/>
  <c r="AN84" i="22" s="1"/>
  <c r="AO84" i="22" s="1" a="1"/>
  <c r="AO84" i="22" s="1"/>
  <c r="I84" i="22" s="1"/>
  <c r="AC84" i="22"/>
  <c r="F84" i="22" s="1"/>
  <c r="B84" i="22" a="1"/>
  <c r="B84" i="22" s="1"/>
  <c r="D84" i="22"/>
  <c r="AA85" i="22" a="1"/>
  <c r="AA85" i="22" s="1"/>
  <c r="Q85" i="22" a="1"/>
  <c r="Q85" i="22" s="1"/>
  <c r="R85" i="22" s="1" a="1"/>
  <c r="R85" i="22" s="1"/>
  <c r="AB85" i="22" a="1"/>
  <c r="AB85" i="22" l="1"/>
  <c r="T85" i="22" a="1"/>
  <c r="T85" i="22" s="1"/>
  <c r="S85" i="22" a="1"/>
  <c r="Y85" i="22" a="1"/>
  <c r="X85" i="22" a="1"/>
  <c r="Y85" i="22" l="1"/>
  <c r="AQ85" i="22" s="1" a="1"/>
  <c r="AQ85" i="22" s="1"/>
  <c r="AR85" i="22" s="1" a="1"/>
  <c r="AR85" i="22" s="1"/>
  <c r="S85" i="22"/>
  <c r="V85" i="22" s="1"/>
  <c r="W85" i="22" s="1"/>
  <c r="P86" i="22" s="1" a="1"/>
  <c r="P86" i="22" s="1"/>
  <c r="X85" i="22"/>
  <c r="Q16" i="24" a="1"/>
  <c r="Q16" i="24" l="1"/>
  <c r="E16" i="24" s="1" a="1"/>
  <c r="E16" i="24" s="1"/>
  <c r="AS85" i="22" a="1"/>
  <c r="AS85" i="22" s="1"/>
  <c r="AJ85" i="22" a="1"/>
  <c r="AJ85" i="22" s="1"/>
  <c r="A85" i="22"/>
  <c r="AE85" i="22" s="1" a="1"/>
  <c r="AE85" i="22" s="1"/>
  <c r="U86" i="22"/>
  <c r="Z86" i="22"/>
  <c r="C16" i="24" a="1"/>
  <c r="C16" i="24" l="1"/>
  <c r="D16" i="24"/>
  <c r="AD85" i="22" a="1"/>
  <c r="AD85" i="22" s="1"/>
  <c r="AG85" i="22" a="1"/>
  <c r="AG85" i="22" s="1"/>
  <c r="AI85" i="22" a="1"/>
  <c r="AI85" i="22" s="1"/>
  <c r="AF85" i="22" a="1"/>
  <c r="AF85" i="22" s="1"/>
  <c r="K85" i="22" a="1"/>
  <c r="K85" i="22" s="1"/>
  <c r="L85" i="22" a="1"/>
  <c r="L85" i="22" s="1"/>
  <c r="AT85" i="22" a="1"/>
  <c r="AT85" i="22" s="1"/>
  <c r="AN85" i="22" s="1" a="1"/>
  <c r="AN85" i="22" s="1"/>
  <c r="AO85" i="22" s="1" a="1"/>
  <c r="AO85" i="22" s="1"/>
  <c r="I85" i="22" s="1"/>
  <c r="B85" i="22" a="1"/>
  <c r="B85" i="22" s="1"/>
  <c r="C85" i="22" a="1"/>
  <c r="C85" i="22" s="1"/>
  <c r="G85" i="22" a="1"/>
  <c r="G85" i="22" s="1"/>
  <c r="AA86" i="22" a="1"/>
  <c r="AA86" i="22" s="1"/>
  <c r="Q86" i="22" a="1"/>
  <c r="Q86" i="22" s="1"/>
  <c r="R86" i="22" s="1" a="1"/>
  <c r="R86" i="22" s="1"/>
  <c r="Y86" i="22" a="1"/>
  <c r="AC85" i="22" a="1"/>
  <c r="Q17" i="24" a="1"/>
  <c r="A16" i="24" l="1"/>
  <c r="AC85" i="22"/>
  <c r="F85" i="22" s="1"/>
  <c r="AP85" i="22" a="1"/>
  <c r="AP85" i="22" s="1"/>
  <c r="J85" i="22" s="1"/>
  <c r="D85" i="22"/>
  <c r="Y86" i="22"/>
  <c r="T86" i="22" a="1"/>
  <c r="T86" i="22" s="1"/>
  <c r="Q17" i="24"/>
  <c r="E17" i="24" s="1" a="1"/>
  <c r="E17" i="24" s="1"/>
  <c r="AB86" i="22" a="1"/>
  <c r="S86" i="22" a="1"/>
  <c r="C17" i="24" a="1"/>
  <c r="S86" i="22" l="1"/>
  <c r="V86" i="22" s="1"/>
  <c r="W86" i="22" s="1"/>
  <c r="P87" i="22" s="1" a="1"/>
  <c r="P87" i="22" s="1"/>
  <c r="AS86" i="22" a="1"/>
  <c r="AS86" i="22" s="1"/>
  <c r="AB86" i="22"/>
  <c r="A86" i="22"/>
  <c r="AJ86" i="22" a="1"/>
  <c r="AJ86" i="22" s="1"/>
  <c r="C17" i="24"/>
  <c r="D17" i="24"/>
  <c r="X86" i="22" a="1"/>
  <c r="AU86" i="22" a="1"/>
  <c r="AT86" i="22" l="1" a="1"/>
  <c r="AT86" i="22" s="1"/>
  <c r="AN86" i="22" s="1" a="1"/>
  <c r="AN86" i="22" s="1"/>
  <c r="AO86" i="22" s="1" a="1"/>
  <c r="AO86" i="22" s="1"/>
  <c r="AU86" i="22"/>
  <c r="L86" i="22" a="1"/>
  <c r="L86" i="22" s="1"/>
  <c r="X86" i="22"/>
  <c r="AQ86" i="22" s="1" a="1"/>
  <c r="AQ86" i="22" s="1"/>
  <c r="AR86" i="22" s="1" a="1"/>
  <c r="AR86" i="22" s="1"/>
  <c r="Z87" i="22"/>
  <c r="U87" i="22"/>
  <c r="AD86" i="22" a="1"/>
  <c r="AD86" i="22" s="1"/>
  <c r="AF86" i="22" a="1"/>
  <c r="AF86" i="22" s="1"/>
  <c r="C86" i="22" a="1"/>
  <c r="C86" i="22" s="1"/>
  <c r="AE86" i="22" a="1"/>
  <c r="AE86" i="22" s="1"/>
  <c r="AI86" i="22" a="1"/>
  <c r="AI86" i="22" s="1"/>
  <c r="G86" i="22" a="1"/>
  <c r="G86" i="22" s="1"/>
  <c r="K86" i="22" a="1"/>
  <c r="K86" i="22" s="1"/>
  <c r="AG86" i="22" a="1"/>
  <c r="AG86" i="22" s="1"/>
  <c r="A17" i="24"/>
  <c r="AC86" i="22" a="1"/>
  <c r="I86" i="22" l="1"/>
  <c r="AP86" i="22" a="1"/>
  <c r="AP86" i="22" s="1"/>
  <c r="J86" i="22" s="1"/>
  <c r="AC86" i="22"/>
  <c r="F86" i="22" s="1"/>
  <c r="B86" i="22" a="1"/>
  <c r="B86" i="22" s="1"/>
  <c r="D86" i="22"/>
  <c r="AA87" i="22" a="1"/>
  <c r="AA87" i="22" s="1"/>
  <c r="Q87" i="22" a="1"/>
  <c r="Q87" i="22" s="1"/>
  <c r="R87" i="22" s="1" a="1"/>
  <c r="R87" i="22" s="1"/>
  <c r="T87" i="22" l="1" a="1"/>
  <c r="T87" i="22" s="1"/>
  <c r="AB87" i="22" a="1"/>
  <c r="S87" i="22" a="1"/>
  <c r="Y87" i="22" a="1"/>
  <c r="Y87" i="22" l="1"/>
  <c r="AB87" i="22"/>
  <c r="S87" i="22"/>
  <c r="V87" i="22" s="1"/>
  <c r="W87" i="22" s="1"/>
  <c r="P88" i="22" s="1" a="1"/>
  <c r="P88" i="22" s="1"/>
  <c r="X87" i="22" a="1"/>
  <c r="AS87" i="22" l="1" a="1"/>
  <c r="AS87" i="22" s="1"/>
  <c r="AQ87" i="22" a="1"/>
  <c r="AQ87" i="22" s="1"/>
  <c r="AR87" i="22" s="1" a="1"/>
  <c r="AR87" i="22" s="1"/>
  <c r="Z88" i="22"/>
  <c r="U88" i="22"/>
  <c r="X87" i="22"/>
  <c r="A87" i="22"/>
  <c r="AJ87" i="22" a="1"/>
  <c r="AJ87" i="22" s="1"/>
  <c r="B87" i="22" l="1" a="1"/>
  <c r="B87" i="22" s="1"/>
  <c r="AT87" i="22" a="1"/>
  <c r="AT87" i="22" s="1"/>
  <c r="AN87" i="22" s="1" a="1"/>
  <c r="AN87" i="22" s="1"/>
  <c r="AD87" i="22" a="1"/>
  <c r="AD87" i="22" s="1"/>
  <c r="L87" i="22" a="1"/>
  <c r="L87" i="22" s="1"/>
  <c r="Q88" i="22" a="1"/>
  <c r="Q88" i="22" s="1"/>
  <c r="R88" i="22" s="1" a="1"/>
  <c r="R88" i="22" s="1"/>
  <c r="AA88" i="22" a="1"/>
  <c r="AA88" i="22" s="1"/>
  <c r="AE87" i="22" a="1"/>
  <c r="AE87" i="22" s="1"/>
  <c r="AG87" i="22" a="1"/>
  <c r="AG87" i="22" s="1"/>
  <c r="C87" i="22" a="1"/>
  <c r="C87" i="22" s="1"/>
  <c r="AF87" i="22" a="1"/>
  <c r="AF87" i="22" s="1"/>
  <c r="G87" i="22" a="1"/>
  <c r="G87" i="22" s="1"/>
  <c r="K87" i="22" a="1"/>
  <c r="K87" i="22" s="1"/>
  <c r="AI87" i="22" a="1"/>
  <c r="AI87" i="22" s="1"/>
  <c r="AC87" i="22" a="1"/>
  <c r="AB88" i="22" a="1"/>
  <c r="AP87" i="22" l="1" a="1"/>
  <c r="AP87" i="22" s="1"/>
  <c r="J87" i="22" s="1"/>
  <c r="AO87" i="22" a="1"/>
  <c r="AO87" i="22" s="1"/>
  <c r="I87" i="22" s="1"/>
  <c r="D87" i="22"/>
  <c r="AB88" i="22"/>
  <c r="T88" i="22" a="1"/>
  <c r="T88" i="22" s="1"/>
  <c r="AC87" i="22"/>
  <c r="F87" i="22" s="1"/>
  <c r="Y88" i="22" a="1"/>
  <c r="X88" i="22" a="1"/>
  <c r="S88" i="22" a="1"/>
  <c r="S88" i="22" l="1"/>
  <c r="V88" i="22" s="1"/>
  <c r="W88" i="22" s="1"/>
  <c r="P89" i="22" s="1" a="1"/>
  <c r="P89" i="22" s="1"/>
  <c r="Y88" i="22"/>
  <c r="X88" i="22"/>
  <c r="AS88" i="22" l="1" a="1"/>
  <c r="AS88" i="22" s="1"/>
  <c r="AQ88" i="22" a="1"/>
  <c r="AQ88" i="22" s="1"/>
  <c r="AR88" i="22" s="1" a="1"/>
  <c r="AR88" i="22" s="1"/>
  <c r="AJ88" i="22" a="1"/>
  <c r="AJ88" i="22" s="1"/>
  <c r="A88" i="22"/>
  <c r="Z89" i="22"/>
  <c r="U89" i="22"/>
  <c r="U100" i="22"/>
  <c r="U94" i="22"/>
  <c r="U90" i="22"/>
  <c r="U93" i="22"/>
  <c r="U98" i="22"/>
  <c r="U92" i="22"/>
  <c r="U91" i="22"/>
  <c r="U96" i="22"/>
  <c r="U97" i="22"/>
  <c r="U99" i="22"/>
  <c r="U101" i="22"/>
  <c r="U95" i="22"/>
  <c r="B88" i="22" l="1" a="1"/>
  <c r="B88" i="22" s="1"/>
  <c r="AT88" i="22" a="1"/>
  <c r="AT88" i="22" s="1"/>
  <c r="AN88" i="22" s="1" a="1"/>
  <c r="AN88" i="22" s="1"/>
  <c r="AD88" i="22" a="1"/>
  <c r="AD88" i="22" s="1"/>
  <c r="L88" i="22" a="1"/>
  <c r="L88" i="22" s="1"/>
  <c r="AA89" i="22" a="1"/>
  <c r="AA89" i="22" s="1"/>
  <c r="Q89" i="22" a="1"/>
  <c r="Q89" i="22" s="1"/>
  <c r="R89" i="22" s="1" a="1"/>
  <c r="R89" i="22" s="1"/>
  <c r="K88" i="22" a="1"/>
  <c r="K88" i="22" s="1"/>
  <c r="AI88" i="22" a="1"/>
  <c r="AI88" i="22" s="1"/>
  <c r="AE88" i="22" a="1"/>
  <c r="AE88" i="22" s="1"/>
  <c r="C88" i="22" a="1"/>
  <c r="C88" i="22" s="1"/>
  <c r="AF88" i="22" a="1"/>
  <c r="AF88" i="22" s="1"/>
  <c r="AG88" i="22" a="1"/>
  <c r="AG88" i="22" s="1"/>
  <c r="G88" i="22" a="1"/>
  <c r="G88" i="22" s="1"/>
  <c r="AC88" i="22" a="1"/>
  <c r="Y89" i="22" a="1"/>
  <c r="AP88" i="22" l="1" a="1"/>
  <c r="AP88" i="22" s="1"/>
  <c r="J88" i="22" s="1"/>
  <c r="AO88" i="22" a="1"/>
  <c r="AO88" i="22" s="1"/>
  <c r="I88" i="22" s="1"/>
  <c r="D88" i="22"/>
  <c r="Y89" i="22"/>
  <c r="AC88" i="22"/>
  <c r="F88" i="22" s="1"/>
  <c r="T89" i="22" a="1"/>
  <c r="T89" i="22" s="1"/>
  <c r="S89" i="22" a="1"/>
  <c r="AB89" i="22" a="1"/>
  <c r="AS89" i="22" l="1" a="1"/>
  <c r="AS89" i="22" s="1"/>
  <c r="AB89" i="22"/>
  <c r="S89" i="22"/>
  <c r="V89" i="22" s="1"/>
  <c r="W89" i="22" s="1"/>
  <c r="A89" i="22"/>
  <c r="AJ89" i="22" a="1"/>
  <c r="AJ89" i="22" s="1"/>
  <c r="X89" i="22" a="1"/>
  <c r="AT89" i="22" l="1" a="1"/>
  <c r="AT89" i="22" s="1"/>
  <c r="AN89" i="22" s="1" a="1"/>
  <c r="AN89" i="22" s="1"/>
  <c r="AD89" i="22" a="1"/>
  <c r="AD89" i="22" s="1"/>
  <c r="L89" i="22" a="1"/>
  <c r="L89" i="22" s="1"/>
  <c r="L90" i="22" s="1" a="1"/>
  <c r="L90" i="22" s="1"/>
  <c r="L91" i="22" s="1" a="1"/>
  <c r="L91" i="22" s="1"/>
  <c r="L92" i="22" s="1" a="1"/>
  <c r="L92" i="22" s="1"/>
  <c r="L93" i="22" s="1" a="1"/>
  <c r="L93" i="22" s="1"/>
  <c r="L94" i="22" s="1" a="1"/>
  <c r="L94" i="22" s="1"/>
  <c r="L95" i="22" s="1" a="1"/>
  <c r="L95" i="22" s="1"/>
  <c r="L96" i="22" s="1" a="1"/>
  <c r="L96" i="22" s="1"/>
  <c r="L97" i="22" s="1" a="1"/>
  <c r="L97" i="22" s="1"/>
  <c r="L98" i="22" s="1" a="1"/>
  <c r="L98" i="22" s="1"/>
  <c r="L99" i="22" s="1" a="1"/>
  <c r="L99" i="22" s="1"/>
  <c r="L100" i="22" s="1" a="1"/>
  <c r="L100" i="22" s="1"/>
  <c r="L101" i="22" s="1" a="1"/>
  <c r="L101" i="22" s="1"/>
  <c r="X89" i="22"/>
  <c r="AQ89" i="22" s="1" a="1"/>
  <c r="AQ89" i="22" s="1"/>
  <c r="AR89" i="22" s="1" a="1"/>
  <c r="AR89" i="22" s="1"/>
  <c r="AE89" i="22" a="1"/>
  <c r="AE89" i="22" s="1"/>
  <c r="C89" i="22" a="1"/>
  <c r="C89" i="22" s="1"/>
  <c r="AI89" i="22" a="1"/>
  <c r="AI89" i="22" s="1"/>
  <c r="G89" i="22" a="1"/>
  <c r="G89" i="22" s="1"/>
  <c r="K89" i="22" a="1"/>
  <c r="K89" i="22" s="1"/>
  <c r="AF89" i="22" a="1"/>
  <c r="AF89" i="22" s="1"/>
  <c r="AG89" i="22" a="1"/>
  <c r="AG89" i="22" s="1"/>
  <c r="J3" i="19" a="1"/>
  <c r="J3" i="19" s="1"/>
  <c r="C2" i="32" s="1" a="1"/>
  <c r="C2" i="32" s="1"/>
  <c r="AC89" i="22" a="1"/>
  <c r="B89" i="22" l="1" a="1"/>
  <c r="B89" i="22" s="1"/>
  <c r="AP89" i="22" a="1"/>
  <c r="AP89" i="22" s="1"/>
  <c r="J89" i="22" s="1"/>
  <c r="AO89" i="22" a="1"/>
  <c r="AO89" i="22" s="1"/>
  <c r="I89" i="22" s="1"/>
  <c r="D89" i="22"/>
  <c r="AC89" i="22"/>
  <c r="F89" i="22" s="1"/>
  <c r="C9" i="30" a="1"/>
  <c r="C9" i="30" l="1"/>
  <c r="Q13" i="24" a="1"/>
  <c r="Q13" i="24" l="1"/>
  <c r="E13" i="24" s="1" a="1"/>
  <c r="E13" i="24" s="1"/>
  <c r="C13" i="24" a="1"/>
  <c r="C13" i="24" l="1"/>
  <c r="Q15" i="24" a="1"/>
  <c r="A13" i="24" l="1"/>
  <c r="Q15" i="24"/>
  <c r="E15" i="24" s="1" a="1"/>
  <c r="E15" i="24" s="1"/>
  <c r="D13" i="24"/>
  <c r="C15" i="24" a="1"/>
  <c r="C15" i="24" l="1"/>
  <c r="D15" i="24"/>
  <c r="A15" i="2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<sst xmlns="http://schemas.openxmlformats.org/spreadsheetml/2006/main" count="2775" uniqueCount="1757">
  <si>
    <t>Impact Rating</t>
  </si>
  <si>
    <t>Required Attack Potential</t>
  </si>
  <si>
    <t>Comment</t>
  </si>
  <si>
    <t>Worst case impact for loss of confidentiality</t>
  </si>
  <si>
    <t>Worst case impact for loss of availability</t>
  </si>
  <si>
    <t>Worst case impact for loss of integrity</t>
  </si>
  <si>
    <t>Physical communication</t>
  </si>
  <si>
    <t>Logical communication</t>
  </si>
  <si>
    <t>Hardware interfaces and accessibility</t>
  </si>
  <si>
    <t>Yes</t>
  </si>
  <si>
    <t>No</t>
  </si>
  <si>
    <t>The person affected can be significantly impaired in his or her social status or economic circumstances</t>
  </si>
  <si>
    <t>The person affected can be ruinously impaired in his social status and economic circumstances. The freedom of the person concerned is threatened</t>
  </si>
  <si>
    <t>Personal data (low)</t>
  </si>
  <si>
    <t>Personal data (significant)</t>
  </si>
  <si>
    <t>Personal data (ruinous)</t>
  </si>
  <si>
    <t>Low</t>
  </si>
  <si>
    <t>High</t>
  </si>
  <si>
    <t>Critical</t>
  </si>
  <si>
    <t>IP (slightly innovative)</t>
  </si>
  <si>
    <t>Loss of general idea how product works or low impact on markets (little innovation / very small market)</t>
  </si>
  <si>
    <t>IP (moderately innovative)</t>
  </si>
  <si>
    <t>Relevant aspects of system is comprehensible or moderate impact on markets (some innovation in the product / medium size market)</t>
  </si>
  <si>
    <t>Medium</t>
  </si>
  <si>
    <t>IP (highly innovative)</t>
  </si>
  <si>
    <t>Can be copied / technology available or high impact on markets (highly innovative product / high-volume market)</t>
  </si>
  <si>
    <t>Rationale / provide details on the processed data</t>
  </si>
  <si>
    <t>Potentially dangerous situation</t>
  </si>
  <si>
    <t>Light or moderate injury</t>
  </si>
  <si>
    <t>Severe injury (survival probable)</t>
  </si>
  <si>
    <t>Life-threatening injury</t>
  </si>
  <si>
    <t>Disturbance</t>
  </si>
  <si>
    <t>Minor disturbance, customer can quickly fix issue himself (e.g. reset)</t>
  </si>
  <si>
    <t>Service required</t>
  </si>
  <si>
    <t>Disturbance of function, service required</t>
  </si>
  <si>
    <t>Major disturbance</t>
  </si>
  <si>
    <t>Major disturbance of function</t>
  </si>
  <si>
    <t>Critical disturbance (destruction)</t>
  </si>
  <si>
    <t>Accept</t>
  </si>
  <si>
    <t>Avoid</t>
  </si>
  <si>
    <t>Transfer</t>
  </si>
  <si>
    <t>Mitigate</t>
  </si>
  <si>
    <t>Local network gateway</t>
  </si>
  <si>
    <t>Internet-facing gateway</t>
  </si>
  <si>
    <t>Does the product have any connectivity?</t>
  </si>
  <si>
    <t>Damage Scenario</t>
  </si>
  <si>
    <t>ID</t>
  </si>
  <si>
    <t>Shadow ID</t>
  </si>
  <si>
    <t>Question</t>
  </si>
  <si>
    <t>Personal data</t>
  </si>
  <si>
    <t>Intellectual property</t>
  </si>
  <si>
    <t>Financial and legal</t>
  </si>
  <si>
    <t>Safety</t>
  </si>
  <si>
    <t>Function and availability</t>
  </si>
  <si>
    <t>Personal data / IP</t>
  </si>
  <si>
    <t/>
  </si>
  <si>
    <t>Is the product typically installed in a physically accessible position?</t>
  </si>
  <si>
    <t>Indentation</t>
  </si>
  <si>
    <t>Can a manipulated product (or its communication) endanger the health of people? Also consider cases where the product is used against its intended use or misconfigured!</t>
  </si>
  <si>
    <t>Can a manipulated product disclose personal data to an attacker? Also consider cases where the product is used against its intended use or misconfigured!</t>
  </si>
  <si>
    <t>Can a manipulated product allow an attacker access to assets of the customer or allow the attacker to attack the customer's network?</t>
  </si>
  <si>
    <t>Does the product have a point-to-point connection to another device?</t>
  </si>
  <si>
    <t>Does the product have a direct connection to a local network?</t>
  </si>
  <si>
    <t>Does the product support wireless connections?</t>
  </si>
  <si>
    <t>Does the product have a direct connection to a mobile network / the Internet?</t>
  </si>
  <si>
    <t>Does the product offer services to other entities on the network?</t>
  </si>
  <si>
    <t>Does the product offer a configuration interface?</t>
  </si>
  <si>
    <t>Does the product have an IP stack (or another routable protocol)?</t>
  </si>
  <si>
    <t>Can the product's software be updated over an interface?</t>
  </si>
  <si>
    <t>Line Width</t>
  </si>
  <si>
    <t>SUM</t>
  </si>
  <si>
    <t>Basic</t>
  </si>
  <si>
    <t>Enhanced-Basic</t>
  </si>
  <si>
    <t>Moderate</t>
  </si>
  <si>
    <t>Beyond High</t>
  </si>
  <si>
    <t>Row</t>
  </si>
  <si>
    <t>Attack Path</t>
  </si>
  <si>
    <t>AS1</t>
  </si>
  <si>
    <t>Attack Step</t>
  </si>
  <si>
    <t>AS2</t>
  </si>
  <si>
    <t>AS3</t>
  </si>
  <si>
    <t>AS4</t>
  </si>
  <si>
    <t>AS5</t>
  </si>
  <si>
    <t>AS6</t>
  </si>
  <si>
    <t>AS7</t>
  </si>
  <si>
    <t>Interrupting the product with a denial of service attack</t>
  </si>
  <si>
    <t>Eavesdropping on the product's communication</t>
  </si>
  <si>
    <t>Disrupting the product's communication over the wireless network</t>
  </si>
  <si>
    <t>Prep IDs</t>
  </si>
  <si>
    <t>AS8</t>
  </si>
  <si>
    <t>Answers</t>
  </si>
  <si>
    <t>Answer Search</t>
  </si>
  <si>
    <t>AS9</t>
  </si>
  <si>
    <t>AS10</t>
  </si>
  <si>
    <t>Spoofing / tampering with the product's outgoing communication</t>
  </si>
  <si>
    <t>Spoofing / tampering with the product's incoming communication</t>
  </si>
  <si>
    <t>Attacking devices in the customer's network</t>
  </si>
  <si>
    <t>AS11</t>
  </si>
  <si>
    <t>Denial of Service on the customer's network</t>
  </si>
  <si>
    <t>AS12</t>
  </si>
  <si>
    <t>Creates Attack Paths</t>
  </si>
  <si>
    <t>AS13</t>
  </si>
  <si>
    <t>Elapsed Time</t>
  </si>
  <si>
    <t>&lt;= one day</t>
  </si>
  <si>
    <t xml:space="preserve"> &lt;= one week</t>
  </si>
  <si>
    <t>&lt;= one month</t>
  </si>
  <si>
    <t>&lt;= six months</t>
  </si>
  <si>
    <t>Years</t>
  </si>
  <si>
    <t>Decades</t>
  </si>
  <si>
    <t>Expertise</t>
  </si>
  <si>
    <t>Layman</t>
  </si>
  <si>
    <t>Proficient</t>
  </si>
  <si>
    <t>Expert</t>
  </si>
  <si>
    <t>Multiple experts</t>
  </si>
  <si>
    <t>Knowledge of TOE</t>
  </si>
  <si>
    <t>Public</t>
  </si>
  <si>
    <t>Restricted</t>
  </si>
  <si>
    <t>Sensitive</t>
  </si>
  <si>
    <t>Window of Opportunity</t>
  </si>
  <si>
    <t>Unnecessary / unlimited access</t>
  </si>
  <si>
    <t>Easy</t>
  </si>
  <si>
    <t>Difficult</t>
  </si>
  <si>
    <t>None</t>
  </si>
  <si>
    <t>Equipment</t>
  </si>
  <si>
    <t>Standard</t>
  </si>
  <si>
    <t>Specialized</t>
  </si>
  <si>
    <t>Bespoke</t>
  </si>
  <si>
    <t>Multiple bespoke</t>
  </si>
  <si>
    <t>Damage Scenarios</t>
  </si>
  <si>
    <t>DS1</t>
  </si>
  <si>
    <t>DS2</t>
  </si>
  <si>
    <t>DS3</t>
  </si>
  <si>
    <t>DS4</t>
  </si>
  <si>
    <t>DS5</t>
  </si>
  <si>
    <t>DS6</t>
  </si>
  <si>
    <t>DS7</t>
  </si>
  <si>
    <t>DS8</t>
  </si>
  <si>
    <t>DS9</t>
  </si>
  <si>
    <t>DS10</t>
  </si>
  <si>
    <t>DS11</t>
  </si>
  <si>
    <t>DS12</t>
  </si>
  <si>
    <t>DS13</t>
  </si>
  <si>
    <t>DS14</t>
  </si>
  <si>
    <t>DS15</t>
  </si>
  <si>
    <t>DS16</t>
  </si>
  <si>
    <t>Active Damage Scenarios</t>
  </si>
  <si>
    <t>Active DS</t>
  </si>
  <si>
    <t>R ID</t>
  </si>
  <si>
    <t>AP Shadow ID</t>
  </si>
  <si>
    <t># APs</t>
  </si>
  <si>
    <t>Active AP #</t>
  </si>
  <si>
    <t>Attack Paths Row</t>
  </si>
  <si>
    <t>Attack Paths String</t>
  </si>
  <si>
    <t>Last AP?</t>
  </si>
  <si>
    <t>Active AP</t>
  </si>
  <si>
    <t>DS IDs</t>
  </si>
  <si>
    <t>Immaterial</t>
  </si>
  <si>
    <t>Very High</t>
  </si>
  <si>
    <t>Damage Level</t>
  </si>
  <si>
    <t>RAP</t>
  </si>
  <si>
    <t>Risk Level</t>
  </si>
  <si>
    <t>DL</t>
  </si>
  <si>
    <t>Required Attack Potential - Factors</t>
  </si>
  <si>
    <t>Risk Matrix</t>
  </si>
  <si>
    <t>Damage Levels</t>
  </si>
  <si>
    <t>Yes / No</t>
  </si>
  <si>
    <t>Risk Values</t>
  </si>
  <si>
    <t>Proficient: The attacker needs a basic understanding of denial of service attacks</t>
  </si>
  <si>
    <t>Proficient: The attacker needs a basic understanding of the transmission protocol and sniffing tools</t>
  </si>
  <si>
    <t>The effort is similar to AS3, but can potentially be conducted in less time</t>
  </si>
  <si>
    <t>Specialized: Equipment to disrupt wireless transmissions</t>
  </si>
  <si>
    <t>Proficient: Without additional knowledge of the untrusted network, only some expertise might be required
Easy: The attacker needs access to the wireless network (note that this does not include mobile networks / the Internet, as these are featured in another question)</t>
  </si>
  <si>
    <t>AS14</t>
  </si>
  <si>
    <t>AS15</t>
  </si>
  <si>
    <t>AS16</t>
  </si>
  <si>
    <t>AS17</t>
  </si>
  <si>
    <t>AS18</t>
  </si>
  <si>
    <t>Disrupting the product's communication over the local network</t>
  </si>
  <si>
    <t>Depending on the software used to communicate over the Internet / mobile network, exploits might be easily applicable for attackers with basic knowledge</t>
  </si>
  <si>
    <t>Attack Step Causing Damages</t>
  </si>
  <si>
    <t>A1</t>
  </si>
  <si>
    <t>A2</t>
  </si>
  <si>
    <t>Choices</t>
  </si>
  <si>
    <t>Name</t>
  </si>
  <si>
    <t>Description</t>
  </si>
  <si>
    <t>Options</t>
  </si>
  <si>
    <t>Risk Treatment</t>
  </si>
  <si>
    <t>Type of gateway</t>
  </si>
  <si>
    <t>Value</t>
  </si>
  <si>
    <t># Characters</t>
  </si>
  <si>
    <t>Threshold</t>
  </si>
  <si>
    <t>Class</t>
  </si>
  <si>
    <t>Factor</t>
  </si>
  <si>
    <t>Class ID</t>
  </si>
  <si>
    <t>Key Word:</t>
  </si>
  <si>
    <t>Element</t>
  </si>
  <si>
    <t>Task ID</t>
  </si>
  <si>
    <t>Sheet ID Link</t>
  </si>
  <si>
    <t>Sheet Name Link</t>
  </si>
  <si>
    <t>Sheet Comment Link</t>
  </si>
  <si>
    <t>Sheet Task ID Link</t>
  </si>
  <si>
    <t>Sheet Name</t>
  </si>
  <si>
    <t>ID Column</t>
  </si>
  <si>
    <t>Name Column</t>
  </si>
  <si>
    <t>Comment Column</t>
  </si>
  <si>
    <t>Task ID Column</t>
  </si>
  <si>
    <t>Number of Tasks</t>
  </si>
  <si>
    <t>Task #</t>
  </si>
  <si>
    <t>Task Sheet Shadow ID</t>
  </si>
  <si>
    <t>Task Sheet ID</t>
  </si>
  <si>
    <t>Final Entry?</t>
  </si>
  <si>
    <t>Element Text</t>
  </si>
  <si>
    <t>Comment Text</t>
  </si>
  <si>
    <t>Element Row</t>
  </si>
  <si>
    <t>Header Row</t>
  </si>
  <si>
    <t>Target of Evaluation</t>
  </si>
  <si>
    <t>Template Version History</t>
  </si>
  <si>
    <t>Date</t>
  </si>
  <si>
    <t>Changes</t>
  </si>
  <si>
    <t>Author</t>
  </si>
  <si>
    <t>All IDs</t>
  </si>
  <si>
    <t># Risks:</t>
  </si>
  <si>
    <t>All IDs Risk Generator:</t>
  </si>
  <si>
    <t>All IDs Risks:</t>
  </si>
  <si>
    <t>Open IDs:</t>
  </si>
  <si>
    <t>Assumption</t>
  </si>
  <si>
    <t>The device's operational environment is trustworthy and not compromised by an attacker.</t>
  </si>
  <si>
    <t>A3</t>
  </si>
  <si>
    <t>The device's communication partner is trustworthy and not compromised by an attacker.</t>
  </si>
  <si>
    <t>Countermeasure</t>
  </si>
  <si>
    <t>C1</t>
  </si>
  <si>
    <t>Attack Steps</t>
  </si>
  <si>
    <t>C2</t>
  </si>
  <si>
    <t>Countermeasures and Assumptions</t>
  </si>
  <si>
    <t>Proposed Countermeasures and Assumptions</t>
  </si>
  <si>
    <t>C and A IDs</t>
  </si>
  <si>
    <t>AS IDs</t>
  </si>
  <si>
    <t>Countermeasures</t>
  </si>
  <si>
    <t>Attack Step Search</t>
  </si>
  <si>
    <t># Countermeasures:</t>
  </si>
  <si>
    <t>Countermeasure IDs</t>
  </si>
  <si>
    <t>AS ID</t>
  </si>
  <si>
    <t>Highest Risk with this
Attack Step</t>
  </si>
  <si>
    <t>AP Search</t>
  </si>
  <si>
    <t>Risk Level Value</t>
  </si>
  <si>
    <t>Risks</t>
  </si>
  <si>
    <t>Selected Countermeasures</t>
  </si>
  <si>
    <t>C&amp;A Search</t>
  </si>
  <si>
    <t># Attack Steps:</t>
  </si>
  <si>
    <t>N-SUM</t>
  </si>
  <si>
    <t>N-RAP</t>
  </si>
  <si>
    <t>N-Risk Level</t>
  </si>
  <si>
    <t>N-Risk</t>
  </si>
  <si>
    <t>N-Risk Value</t>
  </si>
  <si>
    <t>Dominating Attack Paths</t>
  </si>
  <si>
    <t xml:space="preserve">Dominating Attack Paths </t>
  </si>
  <si>
    <t>Dominating Risks Initial</t>
  </si>
  <si>
    <t>Q IDs</t>
  </si>
  <si>
    <t>Sending manipulated or malicious data to the product (from an untrusted source)</t>
  </si>
  <si>
    <t>Abusing the software update functionality to manipulate the product</t>
  </si>
  <si>
    <t>AS19</t>
  </si>
  <si>
    <t>AS20</t>
  </si>
  <si>
    <t>Providing a malicious software update from an untrusted source</t>
  </si>
  <si>
    <t>AS19, AS20</t>
  </si>
  <si>
    <t>Spoofing an entity sending a software update or manipulation of the update during transmission</t>
  </si>
  <si>
    <t>The attacker needs time, expertise and knowledge to provide a manipulated software update</t>
  </si>
  <si>
    <t>AS21</t>
  </si>
  <si>
    <t>AS22</t>
  </si>
  <si>
    <t>Gaining physical access to the product (3rd party)</t>
  </si>
  <si>
    <t>Gaining physical access to the product (customer)</t>
  </si>
  <si>
    <t>AS23</t>
  </si>
  <si>
    <t>AS21, AS22</t>
  </si>
  <si>
    <t>AS24</t>
  </si>
  <si>
    <t>The area where the product is located is protected against unauthorized access.</t>
  </si>
  <si>
    <t>A4</t>
  </si>
  <si>
    <t>A5</t>
  </si>
  <si>
    <t>The area where the product's communication media are located is protected against unauthorized access.</t>
  </si>
  <si>
    <t>AS25</t>
  </si>
  <si>
    <t>Accessing the product's debug interfaces remotely</t>
  </si>
  <si>
    <t>AS26</t>
  </si>
  <si>
    <t>Prerequisite Attack Steps</t>
  </si>
  <si>
    <t>Active  Based on Answers?</t>
  </si>
  <si>
    <t>Required answers for this attack step</t>
  </si>
  <si>
    <t>Accessing the product's physical debug interfaces</t>
  </si>
  <si>
    <t>AS27</t>
  </si>
  <si>
    <t>Getting physical access to the product's linked communication media (e.g., field buses)</t>
  </si>
  <si>
    <t>The attacker needs to access the communication medium physically with appropriate equipment</t>
  </si>
  <si>
    <t>Assumptions</t>
  </si>
  <si>
    <t># Assumptions:</t>
  </si>
  <si>
    <t>AS28</t>
  </si>
  <si>
    <t>Getting access to a trusted entity</t>
  </si>
  <si>
    <t>A6</t>
  </si>
  <si>
    <t>C3</t>
  </si>
  <si>
    <t>C4</t>
  </si>
  <si>
    <t>Stakeholder</t>
  </si>
  <si>
    <t>Stakeholders</t>
  </si>
  <si>
    <t>Customer</t>
  </si>
  <si>
    <t>Other (see comment)</t>
  </si>
  <si>
    <t>Stakeholder Names</t>
  </si>
  <si>
    <t>A9</t>
  </si>
  <si>
    <t>A10</t>
  </si>
  <si>
    <t>A11</t>
  </si>
  <si>
    <t>A12</t>
  </si>
  <si>
    <t>A13</t>
  </si>
  <si>
    <t>A14</t>
  </si>
  <si>
    <t>A15</t>
  </si>
  <si>
    <t>A16</t>
  </si>
  <si>
    <t>A17</t>
  </si>
  <si>
    <t>A18</t>
  </si>
  <si>
    <t>A19</t>
  </si>
  <si>
    <t>Note that this assumption does not exclude damage scenarios for information disclosure, it just states that no immediate damages arise from a violation of laws or contracts. Also note that privacy is handled on its own.</t>
  </si>
  <si>
    <t>A20</t>
  </si>
  <si>
    <t>The camera data is handled in compliance to data protection regulations (e.g., GDPR) by the customer.</t>
  </si>
  <si>
    <t>The product is not intended to process personal data.</t>
  </si>
  <si>
    <t>The product is not used to prevent / control access to assets.</t>
  </si>
  <si>
    <t># Active AS:</t>
  </si>
  <si>
    <t>C5</t>
  </si>
  <si>
    <t>C6</t>
  </si>
  <si>
    <t>C7</t>
  </si>
  <si>
    <t>C8</t>
  </si>
  <si>
    <t>C9</t>
  </si>
  <si>
    <t>C10</t>
  </si>
  <si>
    <t>C11</t>
  </si>
  <si>
    <t>C12</t>
  </si>
  <si>
    <t>C13</t>
  </si>
  <si>
    <t>C14</t>
  </si>
  <si>
    <t>C15</t>
  </si>
  <si>
    <t>C16</t>
  </si>
  <si>
    <t>C17</t>
  </si>
  <si>
    <t>C18</t>
  </si>
  <si>
    <t>C19</t>
  </si>
  <si>
    <t>C20</t>
  </si>
  <si>
    <t>C21</t>
  </si>
  <si>
    <t>PR IDs</t>
  </si>
  <si>
    <t>Prerequisites</t>
  </si>
  <si>
    <t>*</t>
  </si>
  <si>
    <t>If the customer is allowed to define passwords, then the customer is responsible for creating secure passwords and for protecting them against unauthorized access.</t>
  </si>
  <si>
    <t>If the customer owns a private key, then the customer is responsible for protecting it against unauthorized access.</t>
  </si>
  <si>
    <t>AS13, AS23, AS25</t>
  </si>
  <si>
    <t>A21</t>
  </si>
  <si>
    <t>If the customer conducts attacks, then only selected damages are in scope of the analysis.</t>
  </si>
  <si>
    <t>DSTs</t>
  </si>
  <si>
    <t>Damage Scenario Transformation</t>
  </si>
  <si>
    <t>Transformed DS IDs</t>
  </si>
  <si>
    <t>Damage Transformation</t>
  </si>
  <si>
    <t>DL after transformation</t>
  </si>
  <si>
    <t>New Damage Level</t>
  </si>
  <si>
    <t>Dependency Search If Active</t>
  </si>
  <si>
    <t>DS17</t>
  </si>
  <si>
    <t>DS18</t>
  </si>
  <si>
    <t>DS6&gt;DS17, DS7&gt;DS17, DS8&gt;DS17, DS9&gt;DS17</t>
  </si>
  <si>
    <t>Disturbance of function until restore</t>
  </si>
  <si>
    <t>Damage Transformation Search If Active</t>
  </si>
  <si>
    <t>Damage Scenario Search If Active</t>
  </si>
  <si>
    <t>Active for Proposal?</t>
  </si>
  <si>
    <t>Active in Risk Treatment?</t>
  </si>
  <si>
    <t>Mitigation Search</t>
  </si>
  <si>
    <t>Explanation Text</t>
  </si>
  <si>
    <t>Related Questions and Answers / Explanation</t>
  </si>
  <si>
    <t>Damage scenario for damage transformation: Restoring a system from a backup takes some time, but prevents longer downtimes</t>
  </si>
  <si>
    <t>DS6&gt;DS18, DS7&gt;DS18, DS8&gt;DS18, DS9&gt;DS18</t>
  </si>
  <si>
    <t>Limited response of the product during DoS attack, recovery afterwards</t>
  </si>
  <si>
    <t>Damage scenario for damage transformation: The product is resistant against DoS attacks and recovers from the attack</t>
  </si>
  <si>
    <t xml:space="preserve">RAP </t>
  </si>
  <si>
    <t xml:space="preserve">Damage Level </t>
  </si>
  <si>
    <t>DS1, DS2, DS4, DS5, DS6, DS7, DS8, DS9, DS10, DS11, DS13, DS14, DS15, DS16</t>
  </si>
  <si>
    <t xml:space="preserve">Damage Scenarios </t>
  </si>
  <si>
    <t>C22</t>
  </si>
  <si>
    <t>C23</t>
  </si>
  <si>
    <t>C24</t>
  </si>
  <si>
    <t>AS12, AS17</t>
  </si>
  <si>
    <t>C25</t>
  </si>
  <si>
    <t>Risk Treatment Proposal</t>
  </si>
  <si>
    <t>Manual Risk Treatment</t>
  </si>
  <si>
    <t>Risk Treatment Decision</t>
  </si>
  <si>
    <t>Risk Treatment Rationale / Explanation</t>
  </si>
  <si>
    <t>RL Value</t>
  </si>
  <si>
    <t>Active Assumption ID</t>
  </si>
  <si>
    <t># Active Assumptions:</t>
  </si>
  <si>
    <t>Is Assumption</t>
  </si>
  <si>
    <t>Active Countermeasure ID</t>
  </si>
  <si>
    <t>Active Or Transitively Active as Dependency</t>
  </si>
  <si>
    <t>Dependency Search</t>
  </si>
  <si>
    <t xml:space="preserve">                    RAP &gt;
v Damage</t>
  </si>
  <si>
    <t>[QI ID] Missing Rationale</t>
  </si>
  <si>
    <t>[QI Text] Missing Rationale</t>
  </si>
  <si>
    <t>QI ID Reference</t>
  </si>
  <si>
    <t>QI Text Reference</t>
  </si>
  <si>
    <t>Sheet</t>
  </si>
  <si>
    <t>#</t>
  </si>
  <si>
    <t>Criterion</t>
  </si>
  <si>
    <t>Triggering Elements</t>
  </si>
  <si>
    <t>Risk treatment decisions without a rationale</t>
  </si>
  <si>
    <t>QI Element ID Reference</t>
  </si>
  <si>
    <t>Element ID Column</t>
  </si>
  <si>
    <t>Triggering IDs</t>
  </si>
  <si>
    <t>Text Range</t>
  </si>
  <si>
    <t>Open IDs</t>
  </si>
  <si>
    <t>OK for IDs</t>
  </si>
  <si>
    <t>Rationale</t>
  </si>
  <si>
    <t>Element ID Letter</t>
  </si>
  <si>
    <t>Link to First Element</t>
  </si>
  <si>
    <t>QI Text</t>
  </si>
  <si>
    <t>QI ID</t>
  </si>
  <si>
    <t>Active Attack Step</t>
  </si>
  <si>
    <t>QI Text Question Not Answered</t>
  </si>
  <si>
    <t>QI ID Question Not Answered</t>
  </si>
  <si>
    <t>Unanswered questions</t>
  </si>
  <si>
    <t>Answers with missing details</t>
  </si>
  <si>
    <t>QI Text Missing Details</t>
  </si>
  <si>
    <t>QI ID Missing Details</t>
  </si>
  <si>
    <t>QI Text Missing Rationale</t>
  </si>
  <si>
    <t>QI ID Missing Rationale</t>
  </si>
  <si>
    <t>Answers with missing rationale</t>
  </si>
  <si>
    <t xml:space="preserve">Remaining Risk Level </t>
  </si>
  <si>
    <t>QI Text No Risk Treatment</t>
  </si>
  <si>
    <t>QI ID No Risk Treatment</t>
  </si>
  <si>
    <t>Risks without risk treatment</t>
  </si>
  <si>
    <t>QI Text Inconsistent Answers</t>
  </si>
  <si>
    <t>QI ID Inconsistent Answers</t>
  </si>
  <si>
    <t>Questions with inconsistent answers</t>
  </si>
  <si>
    <t>Related Question (for damage scenarios)</t>
  </si>
  <si>
    <t>Factor Explanation</t>
  </si>
  <si>
    <t xml:space="preserve">Factor Explanation </t>
  </si>
  <si>
    <t>Highest Remaining Risk with this
Attack Step</t>
  </si>
  <si>
    <t>Q ID</t>
  </si>
  <si>
    <t xml:space="preserve">Disclosure of </t>
  </si>
  <si>
    <t>Damage Scenario Static Text Prefix</t>
  </si>
  <si>
    <t>Damage Scenario Static Text Suffix</t>
  </si>
  <si>
    <t>x</t>
  </si>
  <si>
    <t>)</t>
  </si>
  <si>
    <t xml:space="preserve">Disclosure of cryptographic material causing loss of </t>
  </si>
  <si>
    <t xml:space="preserve"> caused by unavailable product</t>
  </si>
  <si>
    <t xml:space="preserve">Loss of </t>
  </si>
  <si>
    <t xml:space="preserve">Contract-related fines of </t>
  </si>
  <si>
    <t xml:space="preserve"> caused by manipulated product</t>
  </si>
  <si>
    <t xml:space="preserve"> disclosed by manipulated product</t>
  </si>
  <si>
    <t xml:space="preserve"> caused by attacks on customer's assets by manipulated product</t>
  </si>
  <si>
    <t xml:space="preserve">Fines of </t>
  </si>
  <si>
    <t>Answer 1</t>
  </si>
  <si>
    <t>Answer 2</t>
  </si>
  <si>
    <t>Damage Value</t>
  </si>
  <si>
    <t>Fines for leaking data of a another party (</t>
  </si>
  <si>
    <t>The customer might attack the product before it is installed in the inaccessible place</t>
  </si>
  <si>
    <t>The product is installed in a physically inaccessible place. It is difficult for an attacker to gain physical access to the product.</t>
  </si>
  <si>
    <t>Description of the TOE (Target of Evaluation)</t>
  </si>
  <si>
    <t>b</t>
  </si>
  <si>
    <t>k</t>
  </si>
  <si>
    <t>a</t>
  </si>
  <si>
    <t>h</t>
  </si>
  <si>
    <t>f</t>
  </si>
  <si>
    <t>c</t>
  </si>
  <si>
    <t>i</t>
  </si>
  <si>
    <t>d</t>
  </si>
  <si>
    <t>e</t>
  </si>
  <si>
    <t>g</t>
  </si>
  <si>
    <t>AS29</t>
  </si>
  <si>
    <t>Brute-forcing the authentication mechanism over IP</t>
  </si>
  <si>
    <t>A22</t>
  </si>
  <si>
    <t>The product does not offer any interface that requires authentication over the IP stack.</t>
  </si>
  <si>
    <t>If the product does not offer an interface, then attacks abusing such an interface cannot occur.</t>
  </si>
  <si>
    <t>Is last risk?</t>
  </si>
  <si>
    <t>Risk table not big enough</t>
  </si>
  <si>
    <t>QI Text Table Too Small</t>
  </si>
  <si>
    <t>QI ID Table Too Small</t>
  </si>
  <si>
    <t>Letter</t>
  </si>
  <si>
    <t>Implemented by</t>
  </si>
  <si>
    <t>j</t>
  </si>
  <si>
    <t>Annex I Active Countermeasure Search</t>
  </si>
  <si>
    <t>Active Assumption Annex I Search</t>
  </si>
  <si>
    <t>Products with digital elements shall…</t>
  </si>
  <si>
    <t>be designed, developed and produced to limit attack surfaces, including external interfaces</t>
  </si>
  <si>
    <t>be designed, developed and produced to reduce the impact of an incident using appropriate exploitation mitigation mechanisms and techniques</t>
  </si>
  <si>
    <t>Countermeasure / Assumption Names</t>
  </si>
  <si>
    <t>Annex I Text</t>
  </si>
  <si>
    <t>h, i, k</t>
  </si>
  <si>
    <t>d, g</t>
  </si>
  <si>
    <t>b, d</t>
  </si>
  <si>
    <t>Annex I 1.3 Search (Treatment not Accept)</t>
  </si>
  <si>
    <t>Explicit Risk Treatment</t>
  </si>
  <si>
    <t>Annex I 1.3 Text</t>
  </si>
  <si>
    <t>Answer Search for First Answer Only</t>
  </si>
  <si>
    <t>Active Based on Answers</t>
  </si>
  <si>
    <t>AS30</t>
  </si>
  <si>
    <t>C26</t>
  </si>
  <si>
    <t>Attack Steps Version History</t>
  </si>
  <si>
    <t>Assumptions Version History</t>
  </si>
  <si>
    <t>Countermeasures Version History</t>
  </si>
  <si>
    <t>Does the product have a logical connection to a local network over a gateway?</t>
  </si>
  <si>
    <t>Does the product have a logical connection to a wireless network over a gateway?</t>
  </si>
  <si>
    <t>Syntax Start</t>
  </si>
  <si>
    <t>Syntax End</t>
  </si>
  <si>
    <t>Element Type</t>
  </si>
  <si>
    <t>{A</t>
  </si>
  <si>
    <t>{C</t>
  </si>
  <si>
    <t>}</t>
  </si>
  <si>
    <t>Additional assumptions / countermeasures</t>
  </si>
  <si>
    <t>Sheet Element ID Link</t>
  </si>
  <si>
    <t>Number of Comments with Elements</t>
  </si>
  <si>
    <t>Additional Assumption ID</t>
  </si>
  <si>
    <t># Additional Assumptions</t>
  </si>
  <si>
    <t>Sheet Number of Elements Link</t>
  </si>
  <si>
    <t>Number of Elements Column</t>
  </si>
  <si>
    <t># Elements</t>
  </si>
  <si>
    <t>Is Additional Element</t>
  </si>
  <si>
    <t># Active Countermeasures:</t>
  </si>
  <si>
    <t>Additional Sheet ID</t>
  </si>
  <si>
    <t>Number of Elements For This Sheet</t>
  </si>
  <si>
    <t>Comment ID</t>
  </si>
  <si>
    <t>Number of Elements for this ID</t>
  </si>
  <si>
    <t>Element Within Comment ID</t>
  </si>
  <si>
    <t>Is Last Element for the Comment</t>
  </si>
  <si>
    <t>Comment Content</t>
  </si>
  <si>
    <t>Sheet ID Column</t>
  </si>
  <si>
    <t>ID for Additional Element</t>
  </si>
  <si>
    <t>Last Element for the Sheet</t>
  </si>
  <si>
    <t>Additional Assumptions</t>
  </si>
  <si>
    <t>Additional Countermeasures</t>
  </si>
  <si>
    <t>Additional Countermeasure ID</t>
  </si>
  <si>
    <t># Additional Countermeasures</t>
  </si>
  <si>
    <t>Triggering Answers and Their Comments</t>
  </si>
  <si>
    <t>Additional Assumption ID (Rationale)</t>
  </si>
  <si>
    <t># Additional Assumptions (Rationale)</t>
  </si>
  <si>
    <t>Additional Assumption ID (Comment)</t>
  </si>
  <si>
    <t># Additional Assumptions (Comment)</t>
  </si>
  <si>
    <t>Additional Countermeasure ID (Rationale)</t>
  </si>
  <si>
    <t># Additional Countermeasure (Rationale)</t>
  </si>
  <si>
    <t>Additional Countermeasure ID (Comment)</t>
  </si>
  <si>
    <t># Additional Countermeasure (Comment)</t>
  </si>
  <si>
    <t>Row Within Sheet</t>
  </si>
  <si>
    <t>Row in Lookup Tables</t>
  </si>
  <si>
    <t>Link</t>
  </si>
  <si>
    <t>Activates Assumption or Countermeasure</t>
  </si>
  <si>
    <t>Triggering Answer IDs</t>
  </si>
  <si>
    <t>Triggering Answer Search</t>
  </si>
  <si>
    <t>Display Blue Box</t>
  </si>
  <si>
    <t>Marking for Comments at Answers that Trigger Assumptions / Countermeasures</t>
  </si>
  <si>
    <t>Answer Search Field</t>
  </si>
  <si>
    <t>Assigned C&amp;A Search</t>
  </si>
  <si>
    <t>Assigned to Attack Steps</t>
  </si>
  <si>
    <t>Comments of Related Elements</t>
  </si>
  <si>
    <t>Defined in the Context of Element</t>
  </si>
  <si>
    <t>Dependant Elements</t>
  </si>
  <si>
    <t>Additional Information</t>
  </si>
  <si>
    <t>Go to ID</t>
  </si>
  <si>
    <t>Link Text Explicit</t>
  </si>
  <si>
    <t>Link Text Implicit</t>
  </si>
  <si>
    <t>Text for Default Elements</t>
  </si>
  <si>
    <t>Mitigates Attack Steps</t>
  </si>
  <si>
    <t>Mitigated Attack Steps Mapped to Annex Search</t>
  </si>
  <si>
    <t>Mitigated Attack Steps</t>
  </si>
  <si>
    <t>Is the availability of the product relevant for its operational environment?</t>
  </si>
  <si>
    <t>Can a manipulated product affect the operation of its operational environment?</t>
  </si>
  <si>
    <t>Risks not covered in risk treatment</t>
  </si>
  <si>
    <t>Comment (click to follow the link)</t>
  </si>
  <si>
    <t>Additional Element - Mapping to Annex I 1.3 Search (currently not used)</t>
  </si>
  <si>
    <t>CCSC 1: Support of essential functions</t>
  </si>
  <si>
    <t>CCSC 2: Compensating countermeasures</t>
  </si>
  <si>
    <t>CCSC 3: Least privilege</t>
  </si>
  <si>
    <t>CR 1.1 – Human user identification and authentication</t>
  </si>
  <si>
    <t>CR 1.3 – Account management</t>
  </si>
  <si>
    <t>CR 1.4 – Identifier management</t>
  </si>
  <si>
    <t>CR 1.12 – System use notification</t>
  </si>
  <si>
    <t>CR 2.1 – Authorization enforcement</t>
  </si>
  <si>
    <t>CR 2.2 – Wireless use control</t>
  </si>
  <si>
    <t>CR 2.8 – Auditable events</t>
  </si>
  <si>
    <t>CR 2.10 – Response to audit processing failures</t>
  </si>
  <si>
    <t>CR 3.3 – Security functionality verification</t>
  </si>
  <si>
    <t>CR 3.4 – Software and information integrity</t>
  </si>
  <si>
    <t>CR 3.5 – Input validation</t>
  </si>
  <si>
    <t>CR 3.6 – Deterministic output</t>
  </si>
  <si>
    <t>CR 4.2 – Information persistence</t>
  </si>
  <si>
    <t>CR 4.3 – Use of cryptography</t>
  </si>
  <si>
    <t>CR 5.1 – Network segmentation</t>
  </si>
  <si>
    <t>CR 7.1 – Denial of service protection</t>
  </si>
  <si>
    <t>CR 7.1 RE 1 Manage communication load from component</t>
  </si>
  <si>
    <t>CR 7.2 – Resource management</t>
  </si>
  <si>
    <t>CR 7.6 – Network and security configuration settings</t>
  </si>
  <si>
    <t>CR 7.7 – Least functionality</t>
  </si>
  <si>
    <t>C27</t>
  </si>
  <si>
    <t>C28</t>
  </si>
  <si>
    <t>C29</t>
  </si>
  <si>
    <t>C30</t>
  </si>
  <si>
    <t>If the product stops working / malfunctions, then no other components / processes in its operational environment are affected.</t>
  </si>
  <si>
    <t>Getting access to a trusted operational environment</t>
  </si>
  <si>
    <t>CM1</t>
  </si>
  <si>
    <t>CM3</t>
  </si>
  <si>
    <t>CM4</t>
  </si>
  <si>
    <t>CM5</t>
  </si>
  <si>
    <t>CM6</t>
  </si>
  <si>
    <t>CM7</t>
  </si>
  <si>
    <t>CM8</t>
  </si>
  <si>
    <t>CM10</t>
  </si>
  <si>
    <t>CM11</t>
  </si>
  <si>
    <t>CM12</t>
  </si>
  <si>
    <t>CM14</t>
  </si>
  <si>
    <t>CM15</t>
  </si>
  <si>
    <t>C11, C12</t>
  </si>
  <si>
    <t>AS31</t>
  </si>
  <si>
    <t>&lt;= one day: The exploit might already be available
Proficient: The attacker needs basic understanding of IACS
Restricted: The attacker needs knowledge about the site, including an understanding of the different network segments
Easy: The attacker needs access to a customer network
Standard: Potentially only standard hardware required</t>
  </si>
  <si>
    <t>AS9, AS15, AS31</t>
  </si>
  <si>
    <t>DS6&gt;DS18, DS7&gt;DS18</t>
  </si>
  <si>
    <t>A23</t>
  </si>
  <si>
    <t>The product does not offer a configuration interface, unlike required by CR 7.6 – Network and security configuration settings. For the given product, no such interface is required.</t>
  </si>
  <si>
    <t>CM16</t>
  </si>
  <si>
    <t>CM17</t>
  </si>
  <si>
    <t>SAR 3.2 / EDR 3.2 / HDR 3.2 / NDR 3.2 – Protection from malicious code</t>
  </si>
  <si>
    <t>EDR 3.10 / HDR 3.10 / NDR 3.10 – Support for updates</t>
  </si>
  <si>
    <t>EDR 2.13 / HDR 2.13 / NDR 2.13 – Use of physical diagnostic and test interfaces</t>
  </si>
  <si>
    <t>Explanation</t>
  </si>
  <si>
    <r>
      <t xml:space="preserve">Defines the answers </t>
    </r>
    <r>
      <rPr>
        <i/>
        <sz val="11"/>
        <color theme="0"/>
        <rFont val="Calibri"/>
        <family val="2"/>
        <scheme val="minor"/>
      </rPr>
      <t>yes</t>
    </r>
    <r>
      <rPr>
        <sz val="11"/>
        <color theme="0"/>
        <rFont val="Calibri"/>
        <family val="2"/>
        <scheme val="minor"/>
      </rPr>
      <t xml:space="preserve"> and</t>
    </r>
    <r>
      <rPr>
        <i/>
        <sz val="11"/>
        <color theme="0"/>
        <rFont val="Calibri"/>
        <family val="2"/>
        <scheme val="minor"/>
      </rPr>
      <t xml:space="preserve"> no </t>
    </r>
    <r>
      <rPr>
        <sz val="11"/>
        <color theme="0"/>
        <rFont val="Calibri"/>
        <family val="2"/>
        <scheme val="minor"/>
      </rPr>
      <t xml:space="preserve">for the </t>
    </r>
    <r>
      <rPr>
        <i/>
        <sz val="11"/>
        <color theme="0"/>
        <rFont val="Calibri"/>
        <family val="2"/>
        <scheme val="minor"/>
      </rPr>
      <t>Questionnaire</t>
    </r>
    <r>
      <rPr>
        <sz val="11"/>
        <color theme="0"/>
        <rFont val="Calibri"/>
        <family val="2"/>
        <scheme val="minor"/>
      </rPr>
      <t xml:space="preserve"> sheet.</t>
    </r>
  </si>
  <si>
    <t>Sheet #</t>
  </si>
  <si>
    <t>Column Header Address</t>
  </si>
  <si>
    <t xml:space="preserve">Sheet Name </t>
  </si>
  <si>
    <t>Column</t>
  </si>
  <si>
    <t>Column Letter</t>
  </si>
  <si>
    <t>Sheet Color</t>
  </si>
  <si>
    <t>Black</t>
  </si>
  <si>
    <t>Blue</t>
  </si>
  <si>
    <t>Calculation and presentation of results.</t>
  </si>
  <si>
    <t>ID of the question making this damage scenario active if answered accordingly.</t>
  </si>
  <si>
    <t>White</t>
  </si>
  <si>
    <t>Green</t>
  </si>
  <si>
    <t>A link.</t>
  </si>
  <si>
    <t>Calculated: The full text of the question matching the ID provided in the previous column.</t>
  </si>
  <si>
    <t>Calculated: The resulting damage scenario text.</t>
  </si>
  <si>
    <r>
      <t xml:space="preserve">The text of the damage scenario can be calculated from the answers in the </t>
    </r>
    <r>
      <rPr>
        <i/>
        <sz val="11"/>
        <color theme="0"/>
        <rFont val="Calibri"/>
        <family val="2"/>
        <scheme val="minor"/>
      </rPr>
      <t>Questionnaire</t>
    </r>
    <r>
      <rPr>
        <sz val="11"/>
        <color theme="0"/>
        <rFont val="Calibri"/>
        <family val="2"/>
        <scheme val="minor"/>
      </rPr>
      <t xml:space="preserve"> sheet. This static prefix is always used if the damage scenario is active.</t>
    </r>
  </si>
  <si>
    <t>A static suffix -- cf. the Static Text Prefix explanation.</t>
  </si>
  <si>
    <t>Describe the attack step.</t>
  </si>
  <si>
    <r>
      <t xml:space="preserve">Calculated: Lists the damage scenarios for the referenced question IDs, based on the answers in the </t>
    </r>
    <r>
      <rPr>
        <i/>
        <sz val="11"/>
        <color theme="0"/>
        <rFont val="Calibri"/>
        <family val="2"/>
        <scheme val="minor"/>
      </rPr>
      <t xml:space="preserve">Questionnaire </t>
    </r>
    <r>
      <rPr>
        <sz val="11"/>
        <color theme="0"/>
        <rFont val="Calibri"/>
        <family val="2"/>
        <scheme val="minor"/>
      </rPr>
      <t>sheet.</t>
    </r>
  </si>
  <si>
    <t>Calculated: Lists the questions for the referenced question IDs.</t>
  </si>
  <si>
    <t>Calculated: Lists the attack steps for the referenced attack step IDs.</t>
  </si>
  <si>
    <t>Estimate the factor Elapsed Time for this attack step.</t>
  </si>
  <si>
    <t>Estimate the factor Expertise for this attack step.</t>
  </si>
  <si>
    <t>Estimate the factor Knowledge of TOE for this attack step.</t>
  </si>
  <si>
    <t>Estimate the factor Window of Opportunity for this attack step.</t>
  </si>
  <si>
    <t>Estimate the factor Equipment for this attack step.</t>
  </si>
  <si>
    <r>
      <t xml:space="preserve">CSV: Define other attack steps as prerequisites for this attack step. For each active attack step in the prerequisites, an attack path will be created in later steps. Attack steps can become active based on answers in the </t>
    </r>
    <r>
      <rPr>
        <i/>
        <sz val="11"/>
        <color theme="0"/>
        <rFont val="Calibri"/>
        <family val="2"/>
        <scheme val="minor"/>
      </rPr>
      <t>Questionnaire</t>
    </r>
    <r>
      <rPr>
        <sz val="11"/>
        <color theme="0"/>
        <rFont val="Calibri"/>
        <family val="2"/>
        <scheme val="minor"/>
      </rPr>
      <t xml:space="preserve"> sheet or if any of their prerequisites are active.</t>
    </r>
  </si>
  <si>
    <t>Provide comments.</t>
  </si>
  <si>
    <t>Describe the assumption in detail.</t>
  </si>
  <si>
    <t>Define a stakeholder responsible for validating the assumption / for implementing compensating countermeasures validating the assumption.</t>
  </si>
  <si>
    <t>Calculated: The referenced attack steps.</t>
  </si>
  <si>
    <t>CSV: Reference by ID the attack steps influenced by this assumption (i.e., the assumption is assigned to any attack path containing any of the referenced attack steps when calculating risk).</t>
  </si>
  <si>
    <t>Estimate the factor Elapsed Time for this assumption.</t>
  </si>
  <si>
    <t>Estimate the factor Expertise for this assumption.</t>
  </si>
  <si>
    <t>Estimate the factor Knowledge of TOE for this assumption.</t>
  </si>
  <si>
    <t>Estimate the factor Window of Opportunity for this assumption.</t>
  </si>
  <si>
    <t>Estimate the factor Equipment for this assumption.</t>
  </si>
  <si>
    <t>Calculated: The resulting required attack potential.</t>
  </si>
  <si>
    <t>Describe the countermeasure in detail.</t>
  </si>
  <si>
    <t>CSV: Reference by ID the attack steps mitigated by this countermeasure (i.e., the countermeasure is assigned to any attack path containing any of the referenced attack steps when calculating risk).</t>
  </si>
  <si>
    <t>CSV: Reference by ID any assumptions or countermeasures required by this countermeasure to be effective.</t>
  </si>
  <si>
    <t>Calculated: The names of the referenced assumptions and countermeasures.</t>
  </si>
  <si>
    <t>Estimate the factor Elapsed Time for this countermeasure.</t>
  </si>
  <si>
    <t>Estimate the factor Expertise for this countermeasure.</t>
  </si>
  <si>
    <t>Estimate the factor Knowledge of TOE for this countermeasure.</t>
  </si>
  <si>
    <t>Estimate the factor Window of Opportunity for this countermeasure.</t>
  </si>
  <si>
    <t>Estimate the factor Equipment for this countermeasure.</t>
  </si>
  <si>
    <r>
      <t xml:space="preserve">Calculated: Lists the resulting damage scenario transformation. Note that the names of the damage scenarios can depend on the answers provided in the </t>
    </r>
    <r>
      <rPr>
        <i/>
        <sz val="11"/>
        <color theme="0"/>
        <rFont val="Calibri"/>
        <family val="2"/>
        <scheme val="minor"/>
      </rPr>
      <t>Questionnaire</t>
    </r>
    <r>
      <rPr>
        <sz val="11"/>
        <color theme="0"/>
        <rFont val="Calibri"/>
        <family val="2"/>
        <scheme val="minor"/>
      </rPr>
      <t xml:space="preserve"> sheet. Consequently, some damage scenarios might be inactive, resulting in empty names next to the IDs in the list.</t>
    </r>
  </si>
  <si>
    <t>The name of the target of evaluation for this assessment.</t>
  </si>
  <si>
    <t>The author of the assessment.</t>
  </si>
  <si>
    <t>A version history for the assessment itself.</t>
  </si>
  <si>
    <t>A version history for the template (independent of the assessment).</t>
  </si>
  <si>
    <t>A version history for the attack step catalog.</t>
  </si>
  <si>
    <t>A version history for the assumption catalog.</t>
  </si>
  <si>
    <t>A version history for the countermeasure catalog.</t>
  </si>
  <si>
    <t>Calculated: Depending on the first answer, an additional question might be raised here.</t>
  </si>
  <si>
    <t>Drop-down menu: Select the second answer to the question, if required. A red box marks empty cells where an answer is needed.</t>
  </si>
  <si>
    <t>Calculated: Depending on the second answer, additional information on that answer and instructions are provided. Typically, this provides additional information on the selection made in the drop-down menu and requests some free-text details or rationales.</t>
  </si>
  <si>
    <t>Additional information and instructions</t>
  </si>
  <si>
    <t>Explicit Link Text</t>
  </si>
  <si>
    <t>General Remarks</t>
  </si>
  <si>
    <r>
      <rPr>
        <sz val="11"/>
        <color theme="0"/>
        <rFont val="Calibri"/>
        <family val="2"/>
        <scheme val="minor"/>
      </rPr>
      <t>* When copying, always</t>
    </r>
    <r>
      <rPr>
        <sz val="11"/>
        <color rgb="FFFFB9B9"/>
        <rFont val="Calibri"/>
        <family val="2"/>
        <scheme val="minor"/>
      </rPr>
      <t xml:space="preserve"> paste as </t>
    </r>
    <r>
      <rPr>
        <b/>
        <sz val="11"/>
        <color rgb="FFFFB9B9"/>
        <rFont val="Calibri"/>
        <family val="2"/>
        <scheme val="minor"/>
      </rPr>
      <t>values</t>
    </r>
    <r>
      <rPr>
        <sz val="11"/>
        <color rgb="FFFFB9B9"/>
        <rFont val="Calibri"/>
        <family val="2"/>
        <scheme val="minor"/>
      </rPr>
      <t>!</t>
    </r>
  </si>
  <si>
    <t>Drop-down menu: Select the first answer to the question. A red box marks empty cells where an answer is needed.</t>
  </si>
  <si>
    <r>
      <t xml:space="preserve">* Some cells are restricted to choosing from a pre-defined list of options, denoted by </t>
    </r>
    <r>
      <rPr>
        <i/>
        <sz val="11"/>
        <color theme="0"/>
        <rFont val="Calibri"/>
        <family val="2"/>
        <scheme val="minor"/>
      </rPr>
      <t>drop-down menu</t>
    </r>
    <r>
      <rPr>
        <sz val="11"/>
        <color theme="0"/>
        <rFont val="Calibri"/>
        <family val="2"/>
        <scheme val="minor"/>
      </rPr>
      <t xml:space="preserve"> in the explanations below.</t>
    </r>
  </si>
  <si>
    <t>A unique ID for the damage scenario.</t>
  </si>
  <si>
    <t>A unique ID for the attack step.</t>
  </si>
  <si>
    <t>A unique ID for the assumption.</t>
  </si>
  <si>
    <t>Calculated: The name of the damage scenario.</t>
  </si>
  <si>
    <r>
      <t xml:space="preserve">Calculated: Lists the IDs of all active damage scenarios. For their definitions, see the </t>
    </r>
    <r>
      <rPr>
        <i/>
        <sz val="11"/>
        <color theme="0"/>
        <rFont val="Calibri"/>
        <family val="2"/>
        <scheme val="minor"/>
      </rPr>
      <t>DS Definition</t>
    </r>
    <r>
      <rPr>
        <sz val="11"/>
        <color theme="0"/>
        <rFont val="Calibri"/>
        <family val="2"/>
        <scheme val="minor"/>
      </rPr>
      <t xml:space="preserve"> sheet.</t>
    </r>
  </si>
  <si>
    <r>
      <t xml:space="preserve">Calculated: The damage level of the damage scenario. Note that this depends on the answers provided in the </t>
    </r>
    <r>
      <rPr>
        <i/>
        <sz val="11"/>
        <color theme="0"/>
        <rFont val="Calibri"/>
        <family val="2"/>
        <scheme val="minor"/>
      </rPr>
      <t xml:space="preserve">Questionnaire </t>
    </r>
    <r>
      <rPr>
        <sz val="11"/>
        <color theme="0"/>
        <rFont val="Calibri"/>
        <family val="2"/>
        <scheme val="minor"/>
      </rPr>
      <t>sheet.</t>
    </r>
  </si>
  <si>
    <t>Calculated: An explanation why this damage scenario is active, listing the triggering question(s) and answers.</t>
  </si>
  <si>
    <t>Calculated: A unique risk ID, based on the final attack step in the attack path and potential additional attack steps, separated by -.</t>
  </si>
  <si>
    <t>Calculated: A description of the attack path, with the final step above the line and the other steps below.</t>
  </si>
  <si>
    <t>Calculated: The (active) damage scenarios caused by the final step of the attack path.</t>
  </si>
  <si>
    <t>Calculated: The (highest) damage level of the damage scenarios.</t>
  </si>
  <si>
    <t>Calculated: The required attack potential of the attack path (by combining the factors along the path and then calculating the RAP).</t>
  </si>
  <si>
    <t>Calculated: Lists all attack steps. The inactive attack steps are displayed in grey.</t>
  </si>
  <si>
    <t>Calculated: The name of the attack step.</t>
  </si>
  <si>
    <t>Calculated: Lists all attack paths where this attack step is included and where the risk is highest among these attack paths.</t>
  </si>
  <si>
    <t>Calculated: The highest risk level for all attack paths including this attack step.</t>
  </si>
  <si>
    <t>Calculated: Provides the names for the proposed IDs.</t>
  </si>
  <si>
    <r>
      <t xml:space="preserve">CSV: Reference by ID assumptions and countermeasures (called </t>
    </r>
    <r>
      <rPr>
        <i/>
        <sz val="11"/>
        <color theme="0"/>
        <rFont val="Calibri"/>
        <family val="2"/>
        <scheme val="minor"/>
      </rPr>
      <t>mitigations</t>
    </r>
    <r>
      <rPr>
        <sz val="11"/>
        <color theme="0"/>
        <rFont val="Calibri"/>
        <family val="2"/>
        <scheme val="minor"/>
      </rPr>
      <t>) affecting the attack step. Note that assigning a mitigation in one row can affect the risk level in multiple rows, as the attack step might be part of several attack paths. It is recommended to search the proposed mitigations for assumptions first, assigning the assumptions where appropriate. Then do a second pass and assign countermeasures where appropriate.</t>
    </r>
  </si>
  <si>
    <t>Calculated: Provides the names for the referenced IDs.</t>
  </si>
  <si>
    <t>Calculated: The highest risk level for all attack paths including this attack step, also considering the assigned assumptions and countermeasures along the attack paths.</t>
  </si>
  <si>
    <r>
      <t xml:space="preserve">List all risk IDs (one per row) to make a documented risk treatment decision for each risk. You can copy the values from the </t>
    </r>
    <r>
      <rPr>
        <i/>
        <sz val="11"/>
        <color theme="0"/>
        <rFont val="Calibri"/>
        <family val="2"/>
        <scheme val="minor"/>
      </rPr>
      <t>All IDs</t>
    </r>
    <r>
      <rPr>
        <sz val="11"/>
        <color theme="0"/>
        <rFont val="Calibri"/>
        <family val="2"/>
        <scheme val="minor"/>
      </rPr>
      <t xml:space="preserve"> column to reduce the amount of manual work.</t>
    </r>
  </si>
  <si>
    <t>Calculated: Provides the name of the attack path causing the referenced risk.</t>
  </si>
  <si>
    <t>Calculated: Provides the names of the damage scenarios caused by the referenced attack path.</t>
  </si>
  <si>
    <t>Calculated: Calculates the (highest) damage level of the referenced damage scenarios.</t>
  </si>
  <si>
    <t>Calculated: Provides an explanation for the origin of each factor for the required attack potential along the attack path (without assumptions or countermeasures).</t>
  </si>
  <si>
    <t>Calculated: Provides the required attack potential resulting from the factors explained in the previous column.</t>
  </si>
  <si>
    <t>Calculated: Provides the risk level resulting from the calculated damage level and the calculated RAP.</t>
  </si>
  <si>
    <t>Calculated: Lists the countermeasures and assumptions assigned to any of the attack steps on the referenced attack path.</t>
  </si>
  <si>
    <t>Calculated: Calculates the damage scenarios under the damage transformation effects of the assigned countermeasures and assumptions.</t>
  </si>
  <si>
    <t>Calculated: Calculates the resulting damage level after damage transformation.</t>
  </si>
  <si>
    <t>Calculated: Provides the factor explanation now including countermeasures and assumptions.</t>
  </si>
  <si>
    <t>Calculated: Provides the resulting required attack potential.</t>
  </si>
  <si>
    <t>Calculated: Proposes risk acceptance for risks below the threshold.</t>
  </si>
  <si>
    <t>Drop-down menu: Select risk treatment decisions here. Make sure that every risk has a risk treatment proposal or a manual risk treatment decision. You may override the proposal by entering a manual decision.</t>
  </si>
  <si>
    <t>Calculated: The resulting risk level (without countermeasures or assumptions).</t>
  </si>
  <si>
    <t>Calculated: Calculates the dominating attack paths (cf. above) again, but this time with the assumptions and countermeasures assigned to any of the attack steps on the attack paths.</t>
  </si>
  <si>
    <t>Provide comments. Note that this is a typical place to define additional countermeasures or assumptions, using the syntax defined in the Definitions sheet.</t>
  </si>
  <si>
    <t>Manual risk treatment decisions require a rationale. Note that this is a typical place to define additional countermeasures or assumptions, using the syntax defined in the Definitions sheet.</t>
  </si>
  <si>
    <t>Calculated: Shows the risk treatment decision. If a manual risk treatment decision is provided, then this value is used. Otherwise, if a proposal is provided, then this value is used. If no value is provided, then a manual risk treatment decision is required.</t>
  </si>
  <si>
    <r>
      <t xml:space="preserve">Calculated: Shows all IDs of risks defined in the </t>
    </r>
    <r>
      <rPr>
        <i/>
        <sz val="11"/>
        <color theme="0"/>
        <rFont val="Calibri"/>
        <family val="2"/>
        <scheme val="minor"/>
      </rPr>
      <t>Risks</t>
    </r>
    <r>
      <rPr>
        <sz val="11"/>
        <color theme="0"/>
        <rFont val="Calibri"/>
        <family val="2"/>
        <scheme val="minor"/>
      </rPr>
      <t xml:space="preserve"> sheet that are currently not listed in the </t>
    </r>
    <r>
      <rPr>
        <i/>
        <sz val="11"/>
        <color theme="0"/>
        <rFont val="Calibri"/>
        <family val="2"/>
        <scheme val="minor"/>
      </rPr>
      <t>R ID</t>
    </r>
    <r>
      <rPr>
        <sz val="11"/>
        <color theme="0"/>
        <rFont val="Calibri"/>
        <family val="2"/>
        <scheme val="minor"/>
      </rPr>
      <t xml:space="preserve"> column. This field must be empty to complete the assessment.</t>
    </r>
  </si>
  <si>
    <t>Calculated: Provides the names of the listed assumptions and countermeasures.</t>
  </si>
  <si>
    <t>Calculated: Lists the IDs of all active assumptions and countermeasures (one per row). This sheet is part of the result documentation.</t>
  </si>
  <si>
    <t>Calculated: If applicable, the stakeholder responsible for implementing the countermeasure / validating the assumption / ensuring that the assumption holds (→ compensating countermeasures) is provided.</t>
  </si>
  <si>
    <r>
      <t>Calculated: Provides additional information on each assumption or countermeasure (</t>
    </r>
    <r>
      <rPr>
        <i/>
        <sz val="11"/>
        <color theme="0"/>
        <rFont val="Calibri"/>
        <family val="2"/>
        <scheme val="minor"/>
      </rPr>
      <t>mitigation</t>
    </r>
    <r>
      <rPr>
        <sz val="11"/>
        <color theme="0"/>
        <rFont val="Calibri"/>
        <family val="2"/>
        <scheme val="minor"/>
      </rPr>
      <t xml:space="preserve">):
* Comments of questions that triggered the mitigation to become active (→ </t>
    </r>
    <r>
      <rPr>
        <i/>
        <sz val="11"/>
        <color theme="0"/>
        <rFont val="Calibri"/>
        <family val="2"/>
        <scheme val="minor"/>
      </rPr>
      <t>Questionnaire</t>
    </r>
    <r>
      <rPr>
        <sz val="11"/>
        <color theme="0"/>
        <rFont val="Calibri"/>
        <family val="2"/>
        <scheme val="minor"/>
      </rPr>
      <t xml:space="preserve"> sheet).
* The attack steps the mitigation is assigned to (→ </t>
    </r>
    <r>
      <rPr>
        <i/>
        <sz val="11"/>
        <color theme="0"/>
        <rFont val="Calibri"/>
        <family val="2"/>
        <scheme val="minor"/>
      </rPr>
      <t xml:space="preserve">Mitigation </t>
    </r>
    <r>
      <rPr>
        <sz val="11"/>
        <color theme="0"/>
        <rFont val="Calibri"/>
        <family val="2"/>
        <scheme val="minor"/>
      </rPr>
      <t xml:space="preserve">sheet).
* Information on the element where this mitigation was defined for new mitigations (→ </t>
    </r>
    <r>
      <rPr>
        <i/>
        <sz val="11"/>
        <color theme="0"/>
        <rFont val="Calibri"/>
        <family val="2"/>
        <scheme val="minor"/>
      </rPr>
      <t>Comment</t>
    </r>
    <r>
      <rPr>
        <sz val="11"/>
        <color theme="0"/>
        <rFont val="Calibri"/>
        <family val="2"/>
        <scheme val="minor"/>
      </rPr>
      <t xml:space="preserve"> or </t>
    </r>
    <r>
      <rPr>
        <i/>
        <sz val="11"/>
        <color theme="0"/>
        <rFont val="Calibri"/>
        <family val="2"/>
        <scheme val="minor"/>
      </rPr>
      <t>Rationale</t>
    </r>
    <r>
      <rPr>
        <sz val="11"/>
        <color theme="0"/>
        <rFont val="Calibri"/>
        <family val="2"/>
        <scheme val="minor"/>
      </rPr>
      <t xml:space="preserve"> columns on several sheets).
* Mitigations that become active because they are prerequisites of active countermeasures (→ </t>
    </r>
    <r>
      <rPr>
        <i/>
        <sz val="11"/>
        <color theme="0"/>
        <rFont val="Calibri"/>
        <family val="2"/>
        <scheme val="minor"/>
      </rPr>
      <t>Countermeasures</t>
    </r>
    <r>
      <rPr>
        <sz val="11"/>
        <color theme="0"/>
        <rFont val="Calibri"/>
        <family val="2"/>
        <scheme val="minor"/>
      </rPr>
      <t xml:space="preserve"> sheet).</t>
    </r>
  </si>
  <si>
    <t>Allows you to enter the ID of an element you want to inspect by clicking on the link in the next column.</t>
  </si>
  <si>
    <r>
      <t xml:space="preserve">Calculated: If the </t>
    </r>
    <r>
      <rPr>
        <i/>
        <sz val="11"/>
        <color theme="0"/>
        <rFont val="Calibri"/>
        <family val="2"/>
        <scheme val="minor"/>
      </rPr>
      <t xml:space="preserve">Go to ID </t>
    </r>
    <r>
      <rPr>
        <sz val="11"/>
        <color theme="0"/>
        <rFont val="Calibri"/>
        <family val="2"/>
        <scheme val="minor"/>
      </rPr>
      <t xml:space="preserve">field is empty, then this provides a link to either the element referenced in the </t>
    </r>
    <r>
      <rPr>
        <i/>
        <sz val="11"/>
        <color theme="0"/>
        <rFont val="Calibri"/>
        <family val="2"/>
        <scheme val="minor"/>
      </rPr>
      <t xml:space="preserve">ID </t>
    </r>
    <r>
      <rPr>
        <sz val="11"/>
        <color theme="0"/>
        <rFont val="Calibri"/>
        <family val="2"/>
        <scheme val="minor"/>
      </rPr>
      <t>column or the cell where the mitigation was defined (for mitigations defined in comments). If the field is not empty, then the link leads to the element with the provided ID (if it exists). Note that you can use Alt+LEFTARROW to navigate back to this sheet after clicking on a link.</t>
    </r>
  </si>
  <si>
    <t>Calculated: Provides the comment of the referenced element (note that you must not enter new comments here).</t>
  </si>
  <si>
    <t>Lists the requirements within that section.</t>
  </si>
  <si>
    <t>Calculated: Provides the names of the referenced assumptions and countermeasures.</t>
  </si>
  <si>
    <r>
      <t xml:space="preserve">Calculated: Provides all instances of explicit risk treatment (→ </t>
    </r>
    <r>
      <rPr>
        <i/>
        <sz val="11"/>
        <color theme="0"/>
        <rFont val="Calibri"/>
        <family val="2"/>
        <scheme val="minor"/>
      </rPr>
      <t xml:space="preserve">Risk Treatment </t>
    </r>
    <r>
      <rPr>
        <sz val="11"/>
        <color theme="0"/>
        <rFont val="Calibri"/>
        <family val="2"/>
        <scheme val="minor"/>
      </rPr>
      <t xml:space="preserve">sheet) for each entry, based on the mapping in the </t>
    </r>
    <r>
      <rPr>
        <i/>
        <sz val="11"/>
        <color theme="0"/>
        <rFont val="Calibri"/>
        <family val="2"/>
        <scheme val="minor"/>
      </rPr>
      <t>Attack Steps</t>
    </r>
    <r>
      <rPr>
        <sz val="11"/>
        <color theme="0"/>
        <rFont val="Calibri"/>
        <family val="2"/>
        <scheme val="minor"/>
      </rPr>
      <t xml:space="preserve"> sheet.</t>
    </r>
  </si>
  <si>
    <r>
      <t xml:space="preserve">* All comment columns that accept text can be used with the </t>
    </r>
    <r>
      <rPr>
        <i/>
        <sz val="11"/>
        <color theme="0"/>
        <rFont val="Calibri"/>
        <family val="2"/>
        <scheme val="minor"/>
      </rPr>
      <t>Tasks</t>
    </r>
    <r>
      <rPr>
        <sz val="11"/>
        <color theme="0"/>
        <rFont val="Calibri"/>
        <family val="2"/>
        <scheme val="minor"/>
      </rPr>
      <t xml:space="preserve"> feature (see the explanation for the </t>
    </r>
    <r>
      <rPr>
        <i/>
        <sz val="11"/>
        <color theme="0"/>
        <rFont val="Calibri"/>
        <family val="2"/>
        <scheme val="minor"/>
      </rPr>
      <t xml:space="preserve">Tasks </t>
    </r>
    <r>
      <rPr>
        <sz val="11"/>
        <color theme="0"/>
        <rFont val="Calibri"/>
        <family val="2"/>
        <scheme val="minor"/>
      </rPr>
      <t>sheet).</t>
    </r>
  </si>
  <si>
    <t>Key Word</t>
  </si>
  <si>
    <t>Define a key word to be searched for in all comment / rationale columns. If the key word is found in a cell, then the cell is highlighted. This can be used to define TODOs at the appropriate elements.</t>
  </si>
  <si>
    <r>
      <t xml:space="preserve">Calculated: Shows the number of untreated instances triggering this quality indicator. In general, each quality indicator hints at potential issues in the assessment. These issues can either be fixed at the triggering element or be accepted (in the </t>
    </r>
    <r>
      <rPr>
        <i/>
        <sz val="11"/>
        <color theme="0"/>
        <rFont val="Calibri"/>
        <family val="2"/>
        <scheme val="minor"/>
      </rPr>
      <t>OK for IDs</t>
    </r>
    <r>
      <rPr>
        <sz val="11"/>
        <color theme="0"/>
        <rFont val="Calibri"/>
        <family val="2"/>
        <scheme val="minor"/>
      </rPr>
      <t xml:space="preserve"> column) with a rationale. An untreated instance is an instance violating the indicator without explicit acceptance.</t>
    </r>
  </si>
  <si>
    <t>Describes the criterion for the quality indicator.</t>
  </si>
  <si>
    <t>Calculated: Lists all elements triggering the indicator (including those with explicit acceptance).</t>
  </si>
  <si>
    <t>Calculated: Provides a link to the first untreated element in the list.</t>
  </si>
  <si>
    <t>Calculated: Lists all untreated instances triggering the indicator.</t>
  </si>
  <si>
    <t>CSV: Provide all IDs where triggering the quality indicator is explicitly accepted.</t>
  </si>
  <si>
    <t>Provide a rationale for explicit acceptance.</t>
  </si>
  <si>
    <t>Light Green</t>
  </si>
  <si>
    <t>Text Format</t>
  </si>
  <si>
    <r>
      <t xml:space="preserve">The target of a link from the </t>
    </r>
    <r>
      <rPr>
        <i/>
        <sz val="11"/>
        <color theme="0"/>
        <rFont val="Calibri"/>
        <family val="2"/>
        <scheme val="minor"/>
      </rPr>
      <t>Tasks</t>
    </r>
    <r>
      <rPr>
        <sz val="11"/>
        <color theme="0"/>
        <rFont val="Calibri"/>
        <family val="2"/>
        <scheme val="minor"/>
      </rPr>
      <t xml:space="preserve"> sheet (typically a TODO).</t>
    </r>
  </si>
  <si>
    <t>Fill these sheets to complete the analysis.</t>
  </si>
  <si>
    <t>Dark Grey</t>
  </si>
  <si>
    <t>Light Grey</t>
  </si>
  <si>
    <t>Damage Criteria</t>
  </si>
  <si>
    <t>Category</t>
  </si>
  <si>
    <t>Damage Categories</t>
  </si>
  <si>
    <t>Personal Data</t>
  </si>
  <si>
    <t>Loss of Intellectual Property</t>
  </si>
  <si>
    <t>Financial and Legal</t>
  </si>
  <si>
    <t>Function and Availability</t>
  </si>
  <si>
    <r>
      <t xml:space="preserve">Damage Criteria for </t>
    </r>
    <r>
      <rPr>
        <b/>
        <i/>
        <sz val="11"/>
        <color theme="8" tint="0.79998168889431442"/>
        <rFont val="Calibri"/>
        <family val="2"/>
        <scheme val="minor"/>
      </rPr>
      <t>Financial and Legal</t>
    </r>
    <r>
      <rPr>
        <b/>
        <sz val="11"/>
        <color theme="8" tint="0.79998168889431442"/>
        <rFont val="Calibri"/>
        <family val="2"/>
        <scheme val="minor"/>
      </rPr>
      <t xml:space="preserve"> and </t>
    </r>
    <r>
      <rPr>
        <b/>
        <i/>
        <sz val="11"/>
        <color theme="8" tint="0.79998168889431442"/>
        <rFont val="Calibri"/>
        <family val="2"/>
        <scheme val="minor"/>
      </rPr>
      <t>Function and Availability</t>
    </r>
  </si>
  <si>
    <t>Not first of Category</t>
  </si>
  <si>
    <t>Initial version</t>
  </si>
  <si>
    <t>Initial catalog</t>
  </si>
  <si>
    <t>Active DS ID</t>
  </si>
  <si>
    <t>Is Active?</t>
  </si>
  <si>
    <t>Provide criteria (in a formula) defining when the damage scenario becomes active.</t>
  </si>
  <si>
    <t>Calculated values, do not edit as the formula is included in template version management.</t>
  </si>
  <si>
    <t>Catalogs - these are versioned and centrally managed. Do not edit during an analysis.</t>
  </si>
  <si>
    <t>Calculated: Shows and links the ID and the name of the element where the key word was found. Note that the table contains links that are not underlined, as having fully underlined text is hard to read.</t>
  </si>
  <si>
    <t>Calculated: Shows and links the text containing the key word. Note that the table contains links that are not underlined, as having fully underlined text is hard to read.</t>
  </si>
  <si>
    <t>DS19</t>
  </si>
  <si>
    <t>Active DS Shadow ID</t>
  </si>
  <si>
    <t>Calculated: Calculates the damage level from the damage criterion.</t>
  </si>
  <si>
    <t>CM18</t>
  </si>
  <si>
    <t>Proposed Active Assumptions</t>
  </si>
  <si>
    <t>Proposal Search</t>
  </si>
  <si>
    <t>Active Assumptions Proposal</t>
  </si>
  <si>
    <t>Potential Additional Assumptions</t>
  </si>
  <si>
    <r>
      <t xml:space="preserve">Calculated: Based on the </t>
    </r>
    <r>
      <rPr>
        <i/>
        <sz val="11"/>
        <color theme="0"/>
        <rFont val="Calibri"/>
        <family val="2"/>
        <scheme val="minor"/>
      </rPr>
      <t>Countermeasures</t>
    </r>
    <r>
      <rPr>
        <sz val="11"/>
        <color theme="0"/>
        <rFont val="Calibri"/>
        <family val="2"/>
        <scheme val="minor"/>
      </rPr>
      <t xml:space="preserve"> sheet, the tool proposes a list of IDs countermeasure that reference the attack step.</t>
    </r>
  </si>
  <si>
    <r>
      <t xml:space="preserve">Calculated: Based on the </t>
    </r>
    <r>
      <rPr>
        <i/>
        <sz val="11"/>
        <color theme="0"/>
        <rFont val="Calibri"/>
        <family val="2"/>
        <scheme val="minor"/>
      </rPr>
      <t>Assumptions</t>
    </r>
    <r>
      <rPr>
        <sz val="11"/>
        <color theme="0"/>
        <rFont val="Calibri"/>
        <family val="2"/>
        <scheme val="minor"/>
      </rPr>
      <t xml:space="preserve"> sheet, the tool proposes a list of IDs of active assumptions (based on the </t>
    </r>
    <r>
      <rPr>
        <i/>
        <sz val="11"/>
        <color theme="0"/>
        <rFont val="Calibri"/>
        <family val="2"/>
        <scheme val="minor"/>
      </rPr>
      <t xml:space="preserve">Questionnaire </t>
    </r>
    <r>
      <rPr>
        <sz val="11"/>
        <color theme="0"/>
        <rFont val="Calibri"/>
        <family val="2"/>
        <scheme val="minor"/>
      </rPr>
      <t>sheet) that reference the attack step.</t>
    </r>
  </si>
  <si>
    <r>
      <t xml:space="preserve">Calculated: Based on the </t>
    </r>
    <r>
      <rPr>
        <i/>
        <sz val="11"/>
        <color theme="0"/>
        <rFont val="Calibri"/>
        <family val="2"/>
        <scheme val="minor"/>
      </rPr>
      <t>Assumptions</t>
    </r>
    <r>
      <rPr>
        <sz val="11"/>
        <color theme="0"/>
        <rFont val="Calibri"/>
        <family val="2"/>
        <scheme val="minor"/>
      </rPr>
      <t xml:space="preserve"> sheet, the tool proposes a list of IDs of additional assumptions (not currently active given the answers in the </t>
    </r>
    <r>
      <rPr>
        <i/>
        <sz val="11"/>
        <color theme="0"/>
        <rFont val="Calibri"/>
        <family val="2"/>
        <scheme val="minor"/>
      </rPr>
      <t xml:space="preserve">Questionnaire </t>
    </r>
    <r>
      <rPr>
        <sz val="11"/>
        <color theme="0"/>
        <rFont val="Calibri"/>
        <family val="2"/>
        <scheme val="minor"/>
      </rPr>
      <t>sheet) that reference the attack step.</t>
    </r>
  </si>
  <si>
    <t>DS3&gt;DS19, DS12&gt;DS19</t>
  </si>
  <si>
    <t>A24</t>
  </si>
  <si>
    <t>As the product does not store any credentials or cryptographic secrets, no such data can be extracted from the product or be misused by an attacker.</t>
  </si>
  <si>
    <t>Damage scenario for damage transformation: Patents protect intellectual property</t>
  </si>
  <si>
    <t>Contents of the analysis or the template. May be text or a formula.</t>
  </si>
  <si>
    <t>C4, C26, A19</t>
  </si>
  <si>
    <t>C4, C26, A20</t>
  </si>
  <si>
    <t>AS32</t>
  </si>
  <si>
    <t>Creates Risk</t>
  </si>
  <si>
    <t>Prep Attack Search</t>
  </si>
  <si>
    <t>Is Active Attack Step</t>
  </si>
  <si>
    <r>
      <t xml:space="preserve">* Whenever several items can be referenced, use comma-separated lists, denoted as </t>
    </r>
    <r>
      <rPr>
        <i/>
        <sz val="11"/>
        <color theme="0"/>
        <rFont val="Calibri"/>
        <family val="2"/>
        <scheme val="minor"/>
      </rPr>
      <t>CSV</t>
    </r>
    <r>
      <rPr>
        <sz val="11"/>
        <color theme="0"/>
        <rFont val="Calibri"/>
        <family val="2"/>
        <scheme val="minor"/>
      </rPr>
      <t xml:space="preserve"> in the explanations below.</t>
    </r>
  </si>
  <si>
    <t>Calculated: Provides the remaining risk, given the calculated damage level and RAP with countermeasures and assumptions.</t>
  </si>
  <si>
    <t>Damage Scenario Text (depends on answers to questionnaire)</t>
  </si>
  <si>
    <t>Compromising the product using a software vulnerability</t>
  </si>
  <si>
    <t>Compromising an untrusted device that communicates directly with the product</t>
  </si>
  <si>
    <t>Questionnaire Provides Damage Criterion?</t>
  </si>
  <si>
    <r>
      <t xml:space="preserve">Place an x here if the second answer in the </t>
    </r>
    <r>
      <rPr>
        <i/>
        <sz val="11"/>
        <color theme="0"/>
        <rFont val="Calibri"/>
        <family val="2"/>
        <scheme val="minor"/>
      </rPr>
      <t>Questionnaire</t>
    </r>
    <r>
      <rPr>
        <sz val="11"/>
        <color theme="0"/>
        <rFont val="Calibri"/>
        <family val="2"/>
        <scheme val="minor"/>
      </rPr>
      <t xml:space="preserve"> sheet contains the damage criterion for the damage scenario.</t>
    </r>
  </si>
  <si>
    <t>Explicit Damage Criterion</t>
  </si>
  <si>
    <t>Calculated: If the damage scenario is active, then a damage criterion is calculated: If an explicit damage criterion is provided, then this criterion applies. Otherwise, the damage criterion specified in Answer 2 applies.</t>
  </si>
  <si>
    <t>Explicit Explanation Text</t>
  </si>
  <si>
    <t>Optional: Provide an explanation for why the damage scenario is active and for its damage level.</t>
  </si>
  <si>
    <t>Calculated: If an explicit explanation text is provided, then this text is used. Otherwise, if a question ID is referenced, then the questions and answers belonging to this question ID are used.</t>
  </si>
  <si>
    <t>Active Damage Criterion</t>
  </si>
  <si>
    <t>Mitigated Attack Step Names</t>
  </si>
  <si>
    <t>Attack Step IDs</t>
  </si>
  <si>
    <t xml:space="preserve">Diplay at most # APs
(empty = all) </t>
  </si>
  <si>
    <t>Limit the number of displayed dominating attack paths to the given number. Leaving this empty displays all dominating attack paths.</t>
  </si>
  <si>
    <t>Drop-down menu: Optionally reference a damage criterion that differs from Answer 2.</t>
  </si>
  <si>
    <t>C4, A19</t>
  </si>
  <si>
    <t>AS33</t>
  </si>
  <si>
    <t>Disclosure of data by an untrusted entity receiving data from the product</t>
  </si>
  <si>
    <t>CM19</t>
  </si>
  <si>
    <t>A25</t>
  </si>
  <si>
    <t>As the product does not communicate any confidential data to its external communication partner, the communication partner cannot abuse the received information by disclosing it.</t>
  </si>
  <si>
    <t>DS1, DS2, DS3, DS4, DS5</t>
  </si>
  <si>
    <r>
      <t xml:space="preserve">Copy + Paste </t>
    </r>
    <r>
      <rPr>
        <b/>
        <sz val="11"/>
        <color rgb="FFFFB9B9"/>
        <rFont val="Calibri"/>
        <family val="2"/>
        <scheme val="minor"/>
      </rPr>
      <t>Values</t>
    </r>
    <r>
      <rPr>
        <sz val="11"/>
        <color rgb="FFFFB9B9"/>
        <rFont val="Calibri"/>
        <family val="2"/>
        <scheme val="minor"/>
      </rPr>
      <t>!</t>
    </r>
  </si>
  <si>
    <t>Helper: All IDs</t>
  </si>
  <si>
    <r>
      <t xml:space="preserve">Calculated: Lists all risk IDs currently defined in the </t>
    </r>
    <r>
      <rPr>
        <i/>
        <sz val="11"/>
        <color theme="0"/>
        <rFont val="Calibri"/>
        <family val="2"/>
        <scheme val="minor"/>
      </rPr>
      <t>Risks</t>
    </r>
    <r>
      <rPr>
        <sz val="11"/>
        <color theme="0"/>
        <rFont val="Calibri"/>
        <family val="2"/>
        <scheme val="minor"/>
      </rPr>
      <t xml:space="preserve"> sheet. These can be copied (as </t>
    </r>
    <r>
      <rPr>
        <b/>
        <sz val="11"/>
        <color theme="0"/>
        <rFont val="Calibri"/>
        <family val="2"/>
        <scheme val="minor"/>
      </rPr>
      <t>values</t>
    </r>
    <r>
      <rPr>
        <sz val="11"/>
        <color theme="0"/>
        <rFont val="Calibri"/>
        <family val="2"/>
        <scheme val="minor"/>
      </rPr>
      <t xml:space="preserve">!) into the </t>
    </r>
    <r>
      <rPr>
        <i/>
        <sz val="11"/>
        <color theme="0"/>
        <rFont val="Calibri"/>
        <family val="2"/>
        <scheme val="minor"/>
      </rPr>
      <t>R ID</t>
    </r>
    <r>
      <rPr>
        <sz val="11"/>
        <color theme="0"/>
        <rFont val="Calibri"/>
        <family val="2"/>
        <scheme val="minor"/>
      </rPr>
      <t xml:space="preserve"> column for ease of use.</t>
    </r>
  </si>
  <si>
    <t># Attack Paths:</t>
  </si>
  <si>
    <t># Additional Assumptions:</t>
  </si>
  <si>
    <t># Additional Countermeasures:</t>
  </si>
  <si>
    <t># Questions:</t>
  </si>
  <si>
    <t>AS34</t>
  </si>
  <si>
    <t>Attacking the product's outgoing communication to an external communication partner over the Internet or a mobile network</t>
  </si>
  <si>
    <t>A26</t>
  </si>
  <si>
    <t>A27</t>
  </si>
  <si>
    <t>AS35</t>
  </si>
  <si>
    <t>Getting access to a wireless network</t>
  </si>
  <si>
    <t>CM20</t>
  </si>
  <si>
    <t>A28</t>
  </si>
  <si>
    <t>AS1, AS2, AS13, AS27, AS34</t>
  </si>
  <si>
    <t>Attacking the product or its communication from an untrusted local network</t>
  </si>
  <si>
    <t>A29</t>
  </si>
  <si>
    <t>The product cannot ensure that the wireless communication network is available. Consequently, the operational environment must ensure the availability of the wireless infrastructure or offer compensating countermeasures if the wireless communication network is not available.</t>
  </si>
  <si>
    <t>As the product does not transmit confidential cryptographic material, eavesdropping on its communication cannot disclose confidential cryptographic material.</t>
  </si>
  <si>
    <t>DS7, DS9</t>
  </si>
  <si>
    <t>AS1, AS13, AS27</t>
  </si>
  <si>
    <t>AS3, AS5, AS7, AS16, AS18, AS23, AS24, AS25, AS26, AS29</t>
  </si>
  <si>
    <t>A30</t>
  </si>
  <si>
    <t>Vandalism or other forms of physical destruction of the product are not in scope of this analysis.</t>
  </si>
  <si>
    <t>Scope definition - physical vandalism cannot be managed by the product's cybersecurity, but must be handled by compensating countermeasures, such as physical access control or monitoring.</t>
  </si>
  <si>
    <t>AS25, AS26</t>
  </si>
  <si>
    <t>Attacking the product from the Internet or a mobile network</t>
  </si>
  <si>
    <t>Attacking the product's incoming communication from the Internet or a mobile network</t>
  </si>
  <si>
    <t>AS36</t>
  </si>
  <si>
    <t xml:space="preserve"> AS7, AS19, AS34, AS36</t>
  </si>
  <si>
    <t>AS1, AS2, AS9, AS12, AS13, AS27, AS28, AS36</t>
  </si>
  <si>
    <t>C4, C18</t>
  </si>
  <si>
    <t>AS1, AS2, AS12, AS13, AS27, AS34, AS36</t>
  </si>
  <si>
    <t>Can a loss of availability of the product (or its communication) endanger the health of people?
(Consider how the operational environment reacts to a loss of availability of the product.)</t>
  </si>
  <si>
    <t>Accumulated Elements for This Sheet</t>
  </si>
  <si>
    <t>It is possible that the person affected will be negatively affected in his or her social status or economic situation</t>
  </si>
  <si>
    <t>Writing a functioning exploit typically requires a few weeks of preparation, expert knowledge and information regarding the targeted system (potentially gained with reverse engineering)</t>
  </si>
  <si>
    <t>Spoofing or tampering with outgoing communication in a meaningful (malicious!) way typically requires a few days of preparation, expert knowledge and information regarding the targeted system (potentially gained with reverse engineering). Note that this is typically easier than writing an exploit for a software vulnerability</t>
  </si>
  <si>
    <t>Spoofing or tampering with incoming communication in a meaningful (malicious!) way typically requires a few days of preparation, expert knowledge and information regarding the targeted system (potentially gained with reverse engineering). Note that this is typically easier than writing an exploit for a software vulnerability</t>
  </si>
  <si>
    <t>In the worst case, the product has a known vulnerability with available exploit over the Internet. Note that this differs from finding and exploiting a software vulnerability in an embedded system, as this might be standard communication software with well-known parts</t>
  </si>
  <si>
    <t>&lt;= one week: The attacker needs a few days to prepare the attack
Expert: The attacker needs to understand how to construct malicious data for the targeted product
Restricted: The attacker needs to know the targeted product</t>
  </si>
  <si>
    <t>Expert: The attacker needs skill to extract data (that can be analyzed later)
The other factors depend on the kind of memory that is being attacked</t>
  </si>
  <si>
    <t xml:space="preserve"> &lt;= one week: The attacker needs a few days to develop the attack
Expert: The attacker needs profound understanding of hardware manipulation
Restricted: The attacker needs internal knowledge about the attacked system (including its memory layout, potentially obtained by reverse engineering)</t>
  </si>
  <si>
    <t>Proficient: The attacker needs knowledge of the attacked protocol. In case of web protocols (such as RESTful APIs etc.) this might be well-known to many
Unnecessary / unlimited access: The attack can be conducted over the Internet or a mobile network</t>
  </si>
  <si>
    <t>None: See the description</t>
  </si>
  <si>
    <t>None: As the operational environment is trustworthy, no attacks are expected to originate from there</t>
  </si>
  <si>
    <t>Difficult: As the product is not easily accessible, gaining access to it is difficult</t>
  </si>
  <si>
    <t>None: As access to the area is restricted, physical access by unauthorized entities is not relevant for the analysis</t>
  </si>
  <si>
    <t>As no confidential data is communicated, the receiving entity cannot disclose any confidential data</t>
  </si>
  <si>
    <t>As no cryptographic material is transmitted, no such data can be misused by eavesdropping on transmissions</t>
  </si>
  <si>
    <t>As the customer is prepared to handle outages of wireless communication, the loss of wireless communication does not cause significant disturbances in the product's operational environment</t>
  </si>
  <si>
    <t>Managing the communication load limits the effects of an active DoS attack and ensures that the product can recover after the attack</t>
  </si>
  <si>
    <t>Note that this protects intellectual property to a certain degree while also making reverse engineering attempts more difficult (in terms of the time required as well as the expertise needed).</t>
  </si>
  <si>
    <t>None: Given a secure password, guessing the password within a reasonable time frame is highly unlikely</t>
  </si>
  <si>
    <t>None: Without access to the private key for the certificate, the attacker cannot authenticate successfully</t>
  </si>
  <si>
    <t>As the debug interfaces are physically closed, accessing them is not plausible</t>
  </si>
  <si>
    <t>Given state-of-the-art protocols, cryptographic algorithms, and parameters, an attacker cannot access transmitted data within a reasonable time frame</t>
  </si>
  <si>
    <t>Patents do not prevent leakage of intellectual property, but they can prevent its abuse by competitors</t>
  </si>
  <si>
    <t>QA1</t>
  </si>
  <si>
    <t>QA2[Yes|Internet-facing gateway]</t>
  </si>
  <si>
    <t>QA2[Yes|*]</t>
  </si>
  <si>
    <t>QA2</t>
  </si>
  <si>
    <t>QA3[Yes|No]</t>
  </si>
  <si>
    <t>QA3</t>
  </si>
  <si>
    <t>QA3[Yes|*], QA4[Yes|*]</t>
  </si>
  <si>
    <t>QA4</t>
  </si>
  <si>
    <t>QA5[Yes|*]</t>
  </si>
  <si>
    <t>QA5</t>
  </si>
  <si>
    <t>QA6</t>
  </si>
  <si>
    <t>QA7</t>
  </si>
  <si>
    <t>QA8[Yes|*]</t>
  </si>
  <si>
    <t>QA8[No]</t>
  </si>
  <si>
    <t>QA8</t>
  </si>
  <si>
    <t>QA9[Yes]</t>
  </si>
  <si>
    <t>QA9</t>
  </si>
  <si>
    <t>QA4[Yes|No], QA12[Yes|No]</t>
  </si>
  <si>
    <t>QA12</t>
  </si>
  <si>
    <t>QA4[Yes|Yes], QA12[Yes|Yes], QA13[Yes|Yes]</t>
  </si>
  <si>
    <t>QA5[Yes|*], QA13[Yes|*]</t>
  </si>
  <si>
    <t>QA13</t>
  </si>
  <si>
    <t>QA14[Yes]</t>
  </si>
  <si>
    <t>QA14[*]</t>
  </si>
  <si>
    <t>QA14[No]</t>
  </si>
  <si>
    <t>QA14</t>
  </si>
  <si>
    <t>QA15[No]</t>
  </si>
  <si>
    <t>QA15</t>
  </si>
  <si>
    <t>QA16[No]</t>
  </si>
  <si>
    <t>QA3[Yes|Yes], QA4[Yes|Yes], QA5[Yes|Yes], QA15[No], QA16[No]</t>
  </si>
  <si>
    <t>QA16</t>
  </si>
  <si>
    <t>QA17[Yes|Yes]</t>
  </si>
  <si>
    <t>QA17[Yes|*]</t>
  </si>
  <si>
    <t>QA17</t>
  </si>
  <si>
    <t>QI16</t>
  </si>
  <si>
    <t>QI16[No]</t>
  </si>
  <si>
    <t>QI15</t>
  </si>
  <si>
    <t>QI14</t>
  </si>
  <si>
    <t>QI13</t>
  </si>
  <si>
    <t>QI12</t>
  </si>
  <si>
    <t>QI11</t>
  </si>
  <si>
    <t>QI10</t>
  </si>
  <si>
    <t>QI10, QI14, QI15, QI16</t>
  </si>
  <si>
    <t>QI10, QI11, QI12, QI13, QI14, QI15, QI16</t>
  </si>
  <si>
    <t>QI9</t>
  </si>
  <si>
    <t>QI9[No]</t>
  </si>
  <si>
    <t>QI8</t>
  </si>
  <si>
    <t>QI8[No]</t>
  </si>
  <si>
    <t>QI7</t>
  </si>
  <si>
    <t>QI6</t>
  </si>
  <si>
    <t>QI6, QI7, QI8, QI9</t>
  </si>
  <si>
    <t>QI6, QI7, QI8, QI9, QI10, QI11, QI12, QI13, QI14, QI15, QI16</t>
  </si>
  <si>
    <t>QI5</t>
  </si>
  <si>
    <t>QI5[No]</t>
  </si>
  <si>
    <t>QI4</t>
  </si>
  <si>
    <t>QI4[No]</t>
  </si>
  <si>
    <t>QI3</t>
  </si>
  <si>
    <t>QI3, QI12</t>
  </si>
  <si>
    <t>QI2</t>
  </si>
  <si>
    <t>QI2, QI4, QI5</t>
  </si>
  <si>
    <t>QI2[Yes|*], QI4[Yes|*], QI5[Yes|*]</t>
  </si>
  <si>
    <t>QI1</t>
  </si>
  <si>
    <t>QI1, QI10, QI11, QI12, QI13, QI14, QI15, QI16</t>
  </si>
  <si>
    <t>QI1, QI2, QI4, QI5</t>
  </si>
  <si>
    <t>QI1, QI2, QI3, QI4, QI5</t>
  </si>
  <si>
    <t>QI1[Yes|Yes]</t>
  </si>
  <si>
    <t>QI1[Yes|No]</t>
  </si>
  <si>
    <t>QI2[No]</t>
  </si>
  <si>
    <t>A32</t>
  </si>
  <si>
    <t>Even if the product is manipulated and used against its intended purpose, it cannot disclose personal data to an attacker as the product has no access to personal data.</t>
  </si>
  <si>
    <t>QI11[No]</t>
  </si>
  <si>
    <t>QI7[No]</t>
  </si>
  <si>
    <t>A33</t>
  </si>
  <si>
    <t>Even a compromised product cannot affect the availability of its operational environment.</t>
  </si>
  <si>
    <t>QI14[No]</t>
  </si>
  <si>
    <t>AS37</t>
  </si>
  <si>
    <t>The product is manipulated during production and consequently behaves maliciously</t>
  </si>
  <si>
    <t>AS38</t>
  </si>
  <si>
    <t>AS1, AS2, AS9, AS12, AS13, AS15, AS17, AS27, AS28</t>
  </si>
  <si>
    <t>AS1, AS2, AS9, AS12, AS13, AS15, AS27, AS28</t>
  </si>
  <si>
    <t>Manipulated parts from the supply chain are integrated into the product, leading to the product behaving maliciously</t>
  </si>
  <si>
    <t>PM Contact</t>
  </si>
  <si>
    <t>RD Contact</t>
  </si>
  <si>
    <t>CSS</t>
  </si>
  <si>
    <t>CSTS</t>
  </si>
  <si>
    <t>Company Name</t>
  </si>
  <si>
    <t xml:space="preserve"> </t>
  </si>
  <si>
    <t>Are the product's physical connections (such as attached bus cables) typically installed in an environment with public access?</t>
  </si>
  <si>
    <t>QI Mitigation and Proposal Do Not Match Text</t>
  </si>
  <si>
    <t>QI Mitigation ID</t>
  </si>
  <si>
    <t>Selected mitigations that do not match the proposed options</t>
  </si>
  <si>
    <t>Destruction of plant, severe damage to assets or operational environment, critical disturbance of function</t>
  </si>
  <si>
    <t>Singular incident with limited environmental damage</t>
  </si>
  <si>
    <t>Definitions and Damage Scenarios Version History</t>
  </si>
  <si>
    <t>Environmental damage</t>
  </si>
  <si>
    <t>Critical environmental damage</t>
  </si>
  <si>
    <t>Environmental damages that accumulate to critical impact over time as well as critical damages that happen in a single incident</t>
  </si>
  <si>
    <t>An attacker prevents the product from communicating with an external entity (over the Internet or a mobile network). Consequently, the product cannot fulfill any functionality that depends on communication with the external entity.</t>
  </si>
  <si>
    <t>Disrupting the product's communication with an external entity (with communication over the Internet or a mobile network)</t>
  </si>
  <si>
    <t>QA18</t>
  </si>
  <si>
    <t>QA19</t>
  </si>
  <si>
    <t>Is the product produced in a secure environment?</t>
  </si>
  <si>
    <t>QA18[Yes]</t>
  </si>
  <si>
    <t>QA18[*]</t>
  </si>
  <si>
    <t>QA19[Yes|Yes]</t>
  </si>
  <si>
    <r>
      <t xml:space="preserve">As the product does not receive any sensitive data (except updates / configuration / debug communication, as these are covered separately), attacks on received data are not plausible. </t>
    </r>
    <r>
      <rPr>
        <i/>
        <sz val="11"/>
        <color theme="0"/>
        <rFont val="Calibri"/>
        <family val="2"/>
        <scheme val="minor"/>
      </rPr>
      <t>Sensitive data</t>
    </r>
    <r>
      <rPr>
        <sz val="11"/>
        <color theme="0"/>
        <rFont val="Calibri"/>
        <family val="2"/>
        <scheme val="minor"/>
      </rPr>
      <t xml:space="preserve"> includes any data that must be confidential or authentic.</t>
    </r>
  </si>
  <si>
    <t>As no sensitive data is exchanged, no damages can occur.</t>
  </si>
  <si>
    <t>C1, C3, C5, C6, C7, C8, C28</t>
  </si>
  <si>
    <t>C1, C18</t>
  </si>
  <si>
    <t>C1, C27</t>
  </si>
  <si>
    <t>C1, C3, C5, C6, C7, C8, C18, C28</t>
  </si>
  <si>
    <t>Options Range Header</t>
  </si>
  <si>
    <t>Resulting Options</t>
  </si>
  <si>
    <t>Info Text</t>
  </si>
  <si>
    <t xml:space="preserve">Options Range Header </t>
  </si>
  <si>
    <t xml:space="preserve">Resulting Options </t>
  </si>
  <si>
    <t xml:space="preserve">Info Text </t>
  </si>
  <si>
    <t>H1</t>
  </si>
  <si>
    <t>Text</t>
  </si>
  <si>
    <t>Height</t>
  </si>
  <si>
    <t xml:space="preserve">Height </t>
  </si>
  <si>
    <t>First Answer</t>
  </si>
  <si>
    <t>Second Answer</t>
  </si>
  <si>
    <t>H1.1</t>
  </si>
  <si>
    <t>H1.2</t>
  </si>
  <si>
    <t>H1.3</t>
  </si>
  <si>
    <t>H2</t>
  </si>
  <si>
    <t>H2.1</t>
  </si>
  <si>
    <t>H2.2</t>
  </si>
  <si>
    <t>H2.3</t>
  </si>
  <si>
    <t>Is a Question</t>
  </si>
  <si>
    <t>H1.1.1</t>
  </si>
  <si>
    <t>H1.1.2</t>
  </si>
  <si>
    <t>H1.1.3</t>
  </si>
  <si>
    <t>H1.2.1</t>
  </si>
  <si>
    <t>H1.2.2</t>
  </si>
  <si>
    <t>H1.2.3</t>
  </si>
  <si>
    <t>H1.3.1</t>
  </si>
  <si>
    <t>H1.3.2</t>
  </si>
  <si>
    <t>H1.3.3</t>
  </si>
  <si>
    <t>H1.3.4</t>
  </si>
  <si>
    <t>A1 Options Header</t>
  </si>
  <si>
    <t>A1 Height</t>
  </si>
  <si>
    <t>A2 Options Header</t>
  </si>
  <si>
    <t>A2 Height</t>
  </si>
  <si>
    <t>A1 Info Text</t>
  </si>
  <si>
    <t>A2 Info Text</t>
  </si>
  <si>
    <t>Inactive</t>
  </si>
  <si>
    <t>Inactive On</t>
  </si>
  <si>
    <t>QA1[No]</t>
  </si>
  <si>
    <t>Is Inactive</t>
  </si>
  <si>
    <t>Second Answer Required</t>
  </si>
  <si>
    <t>QA1[No], QA7[No]</t>
  </si>
  <si>
    <t>A unique ID for the questionnaire element.</t>
  </si>
  <si>
    <t>This sheet contains questions as well as headings to structure the questionnaire.</t>
  </si>
  <si>
    <t>A unique ID for the question. Note that IDs of non-question items are hidden to keep the focus on the questions.</t>
  </si>
  <si>
    <r>
      <t xml:space="preserve">Defines the indentation of the element in the </t>
    </r>
    <r>
      <rPr>
        <i/>
        <sz val="11"/>
        <color theme="0"/>
        <rFont val="Calibri"/>
        <family val="2"/>
        <scheme val="minor"/>
      </rPr>
      <t>Questionnaire</t>
    </r>
    <r>
      <rPr>
        <sz val="11"/>
        <color theme="0"/>
        <rFont val="Calibri"/>
        <family val="2"/>
        <scheme val="minor"/>
      </rPr>
      <t xml:space="preserve"> sheet.</t>
    </r>
  </si>
  <si>
    <t>Usually indicates the hierarchy of the element within the sheet.</t>
  </si>
  <si>
    <r>
      <t xml:space="preserve">IDs of non-question elements will be hidden in the </t>
    </r>
    <r>
      <rPr>
        <i/>
        <sz val="11"/>
        <color theme="0"/>
        <rFont val="Calibri"/>
        <family val="2"/>
        <scheme val="minor"/>
      </rPr>
      <t xml:space="preserve">Questionnaire </t>
    </r>
    <r>
      <rPr>
        <sz val="11"/>
        <color theme="0"/>
        <rFont val="Calibri"/>
        <family val="2"/>
        <scheme val="minor"/>
      </rPr>
      <t>sheet.</t>
    </r>
  </si>
  <si>
    <t>Defines whether an element is a question or another element. Use an "x" to mark an element as question.</t>
  </si>
  <si>
    <t>Additional information</t>
  </si>
  <si>
    <t>Provide the height of the answer options.</t>
  </si>
  <si>
    <r>
      <t xml:space="preserve">Provide the address of the topmost cell in the range of possible answers to the question. This range defines the values in the drop-down menu for Answer 1 on the </t>
    </r>
    <r>
      <rPr>
        <i/>
        <sz val="11"/>
        <color theme="0"/>
        <rFont val="Calibri"/>
        <family val="2"/>
        <scheme val="minor"/>
      </rPr>
      <t>Questionnaire</t>
    </r>
    <r>
      <rPr>
        <sz val="11"/>
        <color theme="0"/>
        <rFont val="Calibri"/>
        <family val="2"/>
        <scheme val="minor"/>
      </rPr>
      <t xml:space="preserve"> sheet.</t>
    </r>
  </si>
  <si>
    <t>Calculated: Displays the values in the provided range (see the previous two columns).</t>
  </si>
  <si>
    <t>Provide the text to be displayed, depending on the provided answer. Make sure that all values are covered, potentially by an empty string.</t>
  </si>
  <si>
    <t>List answers that cause this element to become inactive.</t>
  </si>
  <si>
    <t>Syntax:
&lt;Answer value 1&gt;: &lt;Text value 1&gt;Line_break
…
&lt;Answer value n&gt;: &lt;Text value n&gt;</t>
  </si>
  <si>
    <t>Syntax:
&lt;Question ID&gt;[&lt;Answer&gt;], …
Example:
QA1[No], QA7[No]</t>
  </si>
  <si>
    <t>Question Text</t>
  </si>
  <si>
    <t>C14, C15, C25, C27</t>
  </si>
  <si>
    <t>Decades: Given a secure password, guessing the password within a reasonable time frame is highly unlikely</t>
  </si>
  <si>
    <t>Decades: Without access to the private key for the certificate, the attacker cannot authenticate successfully</t>
  </si>
  <si>
    <t>Secure update: RE1 Update authenticity and integrity
EDR 3.10 / HDR 3.10 / NDR 3.10 – Support for updates</t>
  </si>
  <si>
    <t>A34</t>
  </si>
  <si>
    <t>The product's configuration is secure by default. If user generated passwords are required, then the user is prompted to change the password on first use. The secure defaults are restored by a factory reset, if applicable.</t>
  </si>
  <si>
    <t>Compromising the product with direct access to its persistent memory</t>
  </si>
  <si>
    <t>Data extraction from the product's persistent memory</t>
  </si>
  <si>
    <t>AS39</t>
  </si>
  <si>
    <t>Data extraction from the product's volatile memory</t>
  </si>
  <si>
    <t>&lt;= one month: It takes time to create a suitable setup.
Expert: Extracting data from volatile memory is difficult.
Restricted: The attacker needs to understand the memory layout.
Moderate: The device must be removed and disassembled.
Bespoke: Non-standard equipment for the process.</t>
  </si>
  <si>
    <t>CM21</t>
  </si>
  <si>
    <t>Protection in hardware prevents attackers from accessing data in the TEE</t>
  </si>
  <si>
    <t xml:space="preserve">
The attacker needs significant time and knowledge to attack secure boot, as well as access to the attacked hardware.</t>
  </si>
  <si>
    <t>AS3, AS39</t>
  </si>
  <si>
    <t>None: The supply chain partners are trustworthy and protected against attacks</t>
  </si>
  <si>
    <t>C1, C3, C5, C6, C7, C8, C28, A19</t>
  </si>
  <si>
    <t>Given state-of-the-art cryptography and parameters, an attacker cannot successfully provide a manipulated software update without the receiving party noticing it</t>
  </si>
  <si>
    <t>A35</t>
  </si>
  <si>
    <t>Attack path not applicable or not plausible</t>
  </si>
  <si>
    <t>This assumption is assigned in cases where an attack path (derived from the answers to the questionnaire) is not applicable or not plausible at closer inspection. Note that this requires a rationale in the comment when applied.</t>
  </si>
  <si>
    <t>No Risk</t>
  </si>
  <si>
    <t>TODO</t>
  </si>
  <si>
    <t>Can a manipulated product disclose credentials / cryptographic material to an attacker? Also consider cases where the product does not disclose the material but misuses its access to other systems! (E.g., product contains access credentials to store data on a server.)</t>
  </si>
  <si>
    <t>QA10a</t>
  </si>
  <si>
    <t>QA10b</t>
  </si>
  <si>
    <t>Does the product communicate with an external system locally (e.g., a USB stick, an SD card, an RFID tag)?</t>
  </si>
  <si>
    <t>QA6[Yes], QA10b[Yes|*]</t>
  </si>
  <si>
    <t>QA10a[Yes|No], QA10b[Yes|No]</t>
  </si>
  <si>
    <t>QA3[Yes|Yes], QA10a[Yes|Yes], QA10b[Yes|Yes]</t>
  </si>
  <si>
    <t>QA10b[Yes|*]</t>
  </si>
  <si>
    <t>Does the product have debug / development interfaces (e.g., JTAG, root access over ssh)?</t>
  </si>
  <si>
    <t xml:space="preserve"> &lt;= one week: The attacker needs a few days to find inputs that circumvent the input validation
Expert: The attacker needs to understand that input validation is operational and how to circumvent it
Sensitive: The attacker needs to understand how the product validates its inputs</t>
  </si>
  <si>
    <t>QA4[Yes|Yes], QA5[Yes|Yes], QA12[Yes|Yes], QA13[Yes|Yes]</t>
  </si>
  <si>
    <t>A36</t>
  </si>
  <si>
    <t>The wireless network used over a gateway is trustworthy and sufficiently protected against attacks that would allow attackers to access this network.</t>
  </si>
  <si>
    <t>QA13[Yes|Yes]</t>
  </si>
  <si>
    <t>Prevents attackers from accessing the trusted wireless network the product uses over a gateway. Note that this network is not part of the product.</t>
  </si>
  <si>
    <t>Are the supply chain partners trustworthy and protected against attacks?</t>
  </si>
  <si>
    <t>Note that compensating countermeasures are typically linked to specific assumptions resulting from answers to the questionnaire. These assumptions must be communicated clearly to the party responsible for implementing the compensating countermeasures -- typically the customer.</t>
  </si>
  <si>
    <r>
      <t xml:space="preserve">Recommendation: Copy these first:
(1) Select the proposed assumptions: Select the cell below </t>
    </r>
    <r>
      <rPr>
        <i/>
        <sz val="11"/>
        <color theme="0"/>
        <rFont val="Calibri"/>
        <family val="2"/>
        <scheme val="minor"/>
      </rPr>
      <t>Proposed Active Assumptions</t>
    </r>
    <r>
      <rPr>
        <sz val="11"/>
        <color theme="0"/>
        <rFont val="Calibri"/>
        <family val="2"/>
        <scheme val="minor"/>
      </rPr>
      <t xml:space="preserve">, then press Ctrl+Space.
(2) Copy the values: Press Ctrl+C.
(3) Select the target: Select the cell below </t>
    </r>
    <r>
      <rPr>
        <i/>
        <sz val="11"/>
        <color theme="0"/>
        <rFont val="Calibri"/>
        <family val="2"/>
        <scheme val="minor"/>
      </rPr>
      <t>C and A IDs</t>
    </r>
    <r>
      <rPr>
        <sz val="11"/>
        <color theme="0"/>
        <rFont val="Calibri"/>
        <family val="2"/>
        <scheme val="minor"/>
      </rPr>
      <t>.
(4) Paste as values:
   Right click --&gt; Paste as values or
   Ctrl+Alt+V --&gt; Values.</t>
    </r>
  </si>
  <si>
    <t>If the message "Please enlarge the table to calculate all risks!" is displayed, then follow these steps:
(1) Click on the blue triangle in the bottom right corner of the table, above the area colored in red.
(2) Hold the left mouse button and drag the mouse downward until the red area is covered.</t>
  </si>
  <si>
    <t>Quick Start Guide (See below for more detailed explanations)</t>
  </si>
  <si>
    <t>Lime</t>
  </si>
  <si>
    <t>Detailed explanations for each sheet</t>
  </si>
  <si>
    <t>A37</t>
  </si>
  <si>
    <t>Short-range wireless communication (such as RFID) cannot be accessed easily. Consequently, it is hard for an attacker to eavesdrop on the communication or to manipulate transmissions.</t>
  </si>
  <si>
    <t>AS5, AS6</t>
  </si>
  <si>
    <r>
      <t xml:space="preserve">* For all questions that contain several criteria (e.g., "Is the access to the network restricted </t>
    </r>
    <r>
      <rPr>
        <sz val="11"/>
        <color rgb="FFFFB9B9"/>
        <rFont val="Calibri"/>
        <family val="2"/>
        <scheme val="minor"/>
      </rPr>
      <t>and</t>
    </r>
    <r>
      <rPr>
        <sz val="11"/>
        <color theme="0"/>
        <rFont val="Calibri"/>
        <family val="2"/>
        <scheme val="minor"/>
      </rPr>
      <t xml:space="preserve"> are the devices in the network considered as trustworthy?":</t>
    </r>
  </si>
  <si>
    <t xml:space="preserve">   Only select "Yes" as an answer if all criteria a true (in this case, access is restricted and the devices are trustworthy).</t>
  </si>
  <si>
    <t>QA20</t>
  </si>
  <si>
    <t>QA21</t>
  </si>
  <si>
    <t>What is the product's expected lifetime?</t>
  </si>
  <si>
    <t>What is the product's planned support duration?</t>
  </si>
  <si>
    <t>Time frame</t>
  </si>
  <si>
    <t>0 - 5 years</t>
  </si>
  <si>
    <t>5 - 10 years</t>
  </si>
  <si>
    <t>10 - 20 years</t>
  </si>
  <si>
    <t>20+ years</t>
  </si>
  <si>
    <t>0 - 5 years:
5 - 10 years:
10 - 20 years:
20+ years:</t>
  </si>
  <si>
    <t>N-RAP-Calculated</t>
  </si>
  <si>
    <t>:</t>
  </si>
  <si>
    <t>N-RAP-Inline</t>
  </si>
  <si>
    <r>
      <t>RAP Delimiter
(</t>
    </r>
    <r>
      <rPr>
        <i/>
        <sz val="11"/>
        <color theme="0"/>
        <rFont val="Calibri"/>
        <family val="2"/>
        <scheme val="minor"/>
      </rPr>
      <t>Mitigation</t>
    </r>
    <r>
      <rPr>
        <sz val="11"/>
        <color theme="0"/>
        <rFont val="Calibri"/>
        <family val="2"/>
        <scheme val="minor"/>
      </rPr>
      <t xml:space="preserve"> sheet only)</t>
    </r>
  </si>
  <si>
    <t>Additional Mitigations</t>
  </si>
  <si>
    <t>Remaining Risk Factor Explanation</t>
  </si>
  <si>
    <t>Inline Mitigations</t>
  </si>
  <si>
    <t>QI Text Mismatch QA2 and QA6</t>
  </si>
  <si>
    <t>QI ID Mismatch QA2 and QA62</t>
  </si>
  <si>
    <t>Mismatch between the answers to QA2 and QA6</t>
  </si>
  <si>
    <t>QI Incorrect Risk ID Text</t>
  </si>
  <si>
    <t>QI Incorrect Risk ID ID</t>
  </si>
  <si>
    <t>Helper Link</t>
  </si>
  <si>
    <t>Sheet Names</t>
  </si>
  <si>
    <t>Undefined risk IDs in risk treatment</t>
  </si>
  <si>
    <r>
      <t xml:space="preserve">Defines risk treatment options for the </t>
    </r>
    <r>
      <rPr>
        <i/>
        <sz val="11"/>
        <color theme="0"/>
        <rFont val="Calibri"/>
        <family val="2"/>
        <scheme val="minor"/>
      </rPr>
      <t xml:space="preserve">Risk Treatment </t>
    </r>
    <r>
      <rPr>
        <sz val="11"/>
        <color theme="0"/>
        <rFont val="Calibri"/>
        <family val="2"/>
        <scheme val="minor"/>
      </rPr>
      <t>sheet.</t>
    </r>
  </si>
  <si>
    <r>
      <t xml:space="preserve">Defines options for a matching question in the </t>
    </r>
    <r>
      <rPr>
        <i/>
        <sz val="11"/>
        <color theme="0"/>
        <rFont val="Calibri"/>
        <family val="2"/>
        <scheme val="minor"/>
      </rPr>
      <t xml:space="preserve">Questionnaire </t>
    </r>
    <r>
      <rPr>
        <sz val="11"/>
        <color theme="0"/>
        <rFont val="Calibri"/>
        <family val="2"/>
        <scheme val="minor"/>
      </rPr>
      <t>sheet.</t>
    </r>
  </si>
  <si>
    <r>
      <t xml:space="preserve">Defines the maximum number of characters in each line for the questions in the </t>
    </r>
    <r>
      <rPr>
        <i/>
        <sz val="11"/>
        <color theme="0"/>
        <rFont val="Calibri"/>
        <family val="2"/>
        <scheme val="minor"/>
      </rPr>
      <t xml:space="preserve">Questionnaire </t>
    </r>
    <r>
      <rPr>
        <sz val="11"/>
        <color theme="0"/>
        <rFont val="Calibri"/>
        <family val="2"/>
        <scheme val="minor"/>
      </rPr>
      <t>sheet (→ formatting).</t>
    </r>
  </si>
  <si>
    <r>
      <t xml:space="preserve">Defines the stakeholders for assumptions, usually implying the party responsible for implementing compensating countermeasures from the product's point of view. Relevant in the </t>
    </r>
    <r>
      <rPr>
        <i/>
        <sz val="11"/>
        <color theme="0"/>
        <rFont val="Calibri"/>
        <family val="2"/>
        <scheme val="minor"/>
      </rPr>
      <t>Assumptions</t>
    </r>
    <r>
      <rPr>
        <sz val="11"/>
        <color theme="0"/>
        <rFont val="Calibri"/>
        <family val="2"/>
        <scheme val="minor"/>
      </rPr>
      <t xml:space="preserve"> and in the </t>
    </r>
    <r>
      <rPr>
        <i/>
        <sz val="11"/>
        <color theme="0"/>
        <rFont val="Calibri"/>
        <family val="2"/>
        <scheme val="minor"/>
      </rPr>
      <t xml:space="preserve">Assumptions and Countermeasures </t>
    </r>
    <r>
      <rPr>
        <sz val="11"/>
        <color theme="0"/>
        <rFont val="Calibri"/>
        <family val="2"/>
        <scheme val="minor"/>
      </rPr>
      <t>sheet.</t>
    </r>
  </si>
  <si>
    <r>
      <t xml:space="preserve">Defines the syntax for adding additional assumptions or countermeasures in comments or rationales. These additional elements are then listed in the </t>
    </r>
    <r>
      <rPr>
        <i/>
        <sz val="11"/>
        <color theme="0"/>
        <rFont val="Calibri"/>
        <family val="2"/>
        <scheme val="minor"/>
      </rPr>
      <t xml:space="preserve">Assumptions and Countermeasures </t>
    </r>
    <r>
      <rPr>
        <sz val="11"/>
        <color theme="0"/>
        <rFont val="Calibri"/>
        <family val="2"/>
        <scheme val="minor"/>
      </rPr>
      <t>sheet.</t>
    </r>
  </si>
  <si>
    <r>
      <t xml:space="preserve">Some answers to questions in the </t>
    </r>
    <r>
      <rPr>
        <i/>
        <sz val="11"/>
        <color theme="0"/>
        <rFont val="Calibri"/>
        <family val="2"/>
        <scheme val="minor"/>
      </rPr>
      <t xml:space="preserve">Questionnaire </t>
    </r>
    <r>
      <rPr>
        <sz val="11"/>
        <color theme="0"/>
        <rFont val="Calibri"/>
        <family val="2"/>
        <scheme val="minor"/>
      </rPr>
      <t xml:space="preserve">sheet activate assumptions or countermeasures. In this case, the comment for these questions is displayed in the </t>
    </r>
    <r>
      <rPr>
        <i/>
        <sz val="11"/>
        <color theme="0"/>
        <rFont val="Calibri"/>
        <family val="2"/>
        <scheme val="minor"/>
      </rPr>
      <t xml:space="preserve">Assumptions and Countermeasures </t>
    </r>
    <r>
      <rPr>
        <sz val="11"/>
        <color theme="0"/>
        <rFont val="Calibri"/>
        <family val="2"/>
        <scheme val="minor"/>
      </rPr>
      <t xml:space="preserve">sheet for the activated assumption or countermeasure.
Setting the entry under </t>
    </r>
    <r>
      <rPr>
        <i/>
        <sz val="11"/>
        <color theme="0"/>
        <rFont val="Calibri"/>
        <family val="2"/>
        <scheme val="minor"/>
      </rPr>
      <t xml:space="preserve">Display Blue Box </t>
    </r>
    <r>
      <rPr>
        <sz val="11"/>
        <color theme="0"/>
        <rFont val="Calibri"/>
        <family val="2"/>
        <scheme val="minor"/>
      </rPr>
      <t xml:space="preserve">to </t>
    </r>
    <r>
      <rPr>
        <i/>
        <sz val="11"/>
        <color theme="0"/>
        <rFont val="Calibri"/>
        <family val="2"/>
        <scheme val="minor"/>
      </rPr>
      <t xml:space="preserve">yes </t>
    </r>
    <r>
      <rPr>
        <sz val="11"/>
        <color theme="0"/>
        <rFont val="Calibri"/>
        <family val="2"/>
        <scheme val="minor"/>
      </rPr>
      <t>marks such comments with a blue margin.</t>
    </r>
  </si>
  <si>
    <t>The text of the questionnaire element.</t>
  </si>
  <si>
    <r>
      <t xml:space="preserve">Calculated: The first answer provided in the </t>
    </r>
    <r>
      <rPr>
        <i/>
        <sz val="11"/>
        <color theme="0"/>
        <rFont val="Calibri"/>
        <family val="2"/>
        <scheme val="minor"/>
      </rPr>
      <t>Questionnaire</t>
    </r>
    <r>
      <rPr>
        <sz val="11"/>
        <color theme="0"/>
        <rFont val="Calibri"/>
        <family val="2"/>
        <scheme val="minor"/>
      </rPr>
      <t xml:space="preserve"> sheet to the referenced question (see the </t>
    </r>
    <r>
      <rPr>
        <i/>
        <sz val="11"/>
        <color theme="0"/>
        <rFont val="Calibri"/>
        <family val="2"/>
        <scheme val="minor"/>
      </rPr>
      <t xml:space="preserve">ID </t>
    </r>
    <r>
      <rPr>
        <sz val="11"/>
        <color theme="0"/>
        <rFont val="Calibri"/>
        <family val="2"/>
        <scheme val="minor"/>
      </rPr>
      <t>column).</t>
    </r>
  </si>
  <si>
    <r>
      <t xml:space="preserve">Calculated: The second answer provided in the </t>
    </r>
    <r>
      <rPr>
        <i/>
        <sz val="11"/>
        <color theme="0"/>
        <rFont val="Calibri"/>
        <family val="2"/>
        <scheme val="minor"/>
      </rPr>
      <t>Questionnaire</t>
    </r>
    <r>
      <rPr>
        <sz val="11"/>
        <color theme="0"/>
        <rFont val="Calibri"/>
        <family val="2"/>
        <scheme val="minor"/>
      </rPr>
      <t xml:space="preserve"> sheet to the referenced question (see the </t>
    </r>
    <r>
      <rPr>
        <i/>
        <sz val="11"/>
        <color theme="0"/>
        <rFont val="Calibri"/>
        <family val="2"/>
        <scheme val="minor"/>
      </rPr>
      <t xml:space="preserve">ID </t>
    </r>
    <r>
      <rPr>
        <sz val="11"/>
        <color theme="0"/>
        <rFont val="Calibri"/>
        <family val="2"/>
        <scheme val="minor"/>
      </rPr>
      <t>column).</t>
    </r>
  </si>
  <si>
    <t>Syntax: &lt;Q ID&gt;[&lt;Answer 1&gt;|&lt;Answer 2&gt;]
Examples: QA4[Yes|Yes], QA14[Yes], QI2[Yes|*], where * serves as a wildcard accepting any answer.</t>
  </si>
  <si>
    <r>
      <t xml:space="preserve">CSV: Reference the IDs of questions whose answers imply damage scenarios caused by the attack step (cf. the </t>
    </r>
    <r>
      <rPr>
        <i/>
        <sz val="11"/>
        <color theme="0"/>
        <rFont val="Calibri"/>
        <family val="2"/>
        <scheme val="minor"/>
      </rPr>
      <t>DS Definition</t>
    </r>
    <r>
      <rPr>
        <sz val="11"/>
        <color theme="0"/>
        <rFont val="Calibri"/>
        <family val="2"/>
        <scheme val="minor"/>
      </rPr>
      <t xml:space="preserve"> sheet).</t>
    </r>
  </si>
  <si>
    <t>Example: The attack steps causes the damage scenarios related to question Qx. The actual damage scenario depends on the specific answers provided to Qx and might be "no damage scenario".</t>
  </si>
  <si>
    <t>CSV: Reference answers that activate this assumption (i.e., make sure that an answer that invalidates an attack path results in a documented assumption, e.g., on intended use of the product).</t>
  </si>
  <si>
    <t>Syntax: &lt;Q ID&gt;[&lt;Answer 1&gt;|&lt;Answer 2&gt;]
Examples: QI1[Yes|Yes], QI4[No], *, where * serves as a wildcard accepting any answer.</t>
  </si>
  <si>
    <t>Define damage scenario transformation effects here.</t>
  </si>
  <si>
    <t>Syntax: Use a DS ID to remove a damage scenario or DSx&gt;DSy to transform DSx into DSy.
Example: DS1, DS2&gt;DS3, DS4 removes damage scenarios DS1 and DS4 and transforms DS2 into DS3.</t>
  </si>
  <si>
    <t>CSV: Reference answers that activate this countermeasure (i.e., some countermeasures are required when specific circumstances apply).</t>
  </si>
  <si>
    <t>Syntax: &lt;Q ID&gt;[&lt;Answer 1&gt;|&lt;Answer 2&gt;]
Examples: QI1[Yes|No], QA8[Yes|*], *, where * serves as a wildcard accepting any answer.</t>
  </si>
  <si>
    <r>
      <t xml:space="preserve">Calculated: Lists the resulting damage scenario transformation. Note that the names of the damage scenarios can depend on the answers provided in the </t>
    </r>
    <r>
      <rPr>
        <i/>
        <sz val="11"/>
        <color theme="0"/>
        <rFont val="Calibri"/>
        <family val="2"/>
        <scheme val="minor"/>
      </rPr>
      <t xml:space="preserve">Questionnaire </t>
    </r>
    <r>
      <rPr>
        <sz val="11"/>
        <color theme="0"/>
        <rFont val="Calibri"/>
        <family val="2"/>
        <scheme val="minor"/>
      </rPr>
      <t>sheet. Consequently, some damage scenarios might be inactive, resulting in empty names next to the IDs in the list.</t>
    </r>
  </si>
  <si>
    <r>
      <t xml:space="preserve">A structuring element or a question. The sheet begins with questions on the </t>
    </r>
    <r>
      <rPr>
        <i/>
        <sz val="11"/>
        <color theme="0"/>
        <rFont val="Calibri"/>
        <family val="2"/>
        <scheme val="minor"/>
      </rPr>
      <t>impact rating</t>
    </r>
    <r>
      <rPr>
        <sz val="11"/>
        <color theme="0"/>
        <rFont val="Calibri"/>
        <family val="2"/>
        <scheme val="minor"/>
      </rPr>
      <t xml:space="preserve">, followed by questions on the </t>
    </r>
    <r>
      <rPr>
        <i/>
        <sz val="11"/>
        <color theme="0"/>
        <rFont val="Calibri"/>
        <family val="2"/>
        <scheme val="minor"/>
      </rPr>
      <t>attack feasibility rating</t>
    </r>
    <r>
      <rPr>
        <sz val="11"/>
        <color theme="0"/>
        <rFont val="Calibri"/>
        <family val="2"/>
        <scheme val="minor"/>
      </rPr>
      <t xml:space="preserve"> by first determining the assets and then the attack surface of the product and its operational environment.</t>
    </r>
  </si>
  <si>
    <t>Note that the questions are formatted by a formula, while the actual definitions of the text are located in the Questions sheet.</t>
  </si>
  <si>
    <r>
      <t xml:space="preserve">Provide a rationale or details when asked to. You may also add comments. Note that some answers activate assumptions or countermeasures. In this case, the comment for these questions is displayed in the </t>
    </r>
    <r>
      <rPr>
        <i/>
        <sz val="11"/>
        <color theme="0"/>
        <rFont val="Calibri"/>
        <family val="2"/>
        <scheme val="minor"/>
      </rPr>
      <t>Assumptions and Countermeasures</t>
    </r>
    <r>
      <rPr>
        <sz val="11"/>
        <color theme="0"/>
        <rFont val="Calibri"/>
        <family val="2"/>
        <scheme val="minor"/>
      </rPr>
      <t xml:space="preserve"> sheet for the activated assumption or countermeasure. Setting the entry under </t>
    </r>
    <r>
      <rPr>
        <i/>
        <sz val="11"/>
        <color theme="0"/>
        <rFont val="Calibri"/>
        <family val="2"/>
        <scheme val="minor"/>
      </rPr>
      <t>Display Blue Box</t>
    </r>
    <r>
      <rPr>
        <sz val="11"/>
        <color theme="0"/>
        <rFont val="Calibri"/>
        <family val="2"/>
        <scheme val="minor"/>
      </rPr>
      <t xml:space="preserve"> in the </t>
    </r>
    <r>
      <rPr>
        <i/>
        <sz val="11"/>
        <color theme="0"/>
        <rFont val="Calibri"/>
        <family val="2"/>
        <scheme val="minor"/>
      </rPr>
      <t>Definitions</t>
    </r>
    <r>
      <rPr>
        <sz val="11"/>
        <color theme="0"/>
        <rFont val="Calibri"/>
        <family val="2"/>
        <scheme val="minor"/>
      </rPr>
      <t xml:space="preserve"> sheet to </t>
    </r>
    <r>
      <rPr>
        <i/>
        <sz val="11"/>
        <color theme="0"/>
        <rFont val="Calibri"/>
        <family val="2"/>
        <scheme val="minor"/>
      </rPr>
      <t>yes</t>
    </r>
    <r>
      <rPr>
        <sz val="11"/>
        <color theme="0"/>
        <rFont val="Calibri"/>
        <family val="2"/>
        <scheme val="minor"/>
      </rPr>
      <t xml:space="preserve"> marks such comments with a blue margin.</t>
    </r>
  </si>
  <si>
    <t>Note that this is a typical place to define additional countermeasures or assumptions, using the syntax defined in the Definitions sheet.</t>
  </si>
  <si>
    <t>QI Missing Risk Text</t>
  </si>
  <si>
    <t>QI Missing Risk ID</t>
  </si>
  <si>
    <t>Risk ID Search</t>
  </si>
  <si>
    <t>Defines the options for the links linking to this sheet.</t>
  </si>
  <si>
    <t>Defines the name of the company.</t>
  </si>
  <si>
    <t>Symbol (not allowed in IDs)</t>
  </si>
  <si>
    <t>Provide a description of the target of evaluation.</t>
  </si>
  <si>
    <t>Diplay at most # APs (empty = all)</t>
  </si>
  <si>
    <t>Proposed Counter-measures</t>
  </si>
  <si>
    <t>Column Original Name</t>
  </si>
  <si>
    <t>To add a control or assumption:
{&lt;C or A&gt; &lt;Name&gt;[: &lt;RAP&gt;]}
RAP Options: Basic, Enhanced-Basic, Moderate, High, Beyond High.</t>
  </si>
  <si>
    <r>
      <t xml:space="preserve">Calculated: Lists all IDs defined in the </t>
    </r>
    <r>
      <rPr>
        <i/>
        <sz val="11"/>
        <color theme="0"/>
        <rFont val="Calibri"/>
        <family val="2"/>
        <scheme val="minor"/>
      </rPr>
      <t>Risks</t>
    </r>
    <r>
      <rPr>
        <sz val="11"/>
        <color theme="0"/>
        <rFont val="Calibri"/>
        <family val="2"/>
        <scheme val="minor"/>
      </rPr>
      <t xml:space="preserve"> sheet that are currently </t>
    </r>
    <r>
      <rPr>
        <u/>
        <sz val="11"/>
        <color theme="0"/>
        <rFont val="Calibri"/>
        <family val="2"/>
        <scheme val="minor"/>
      </rPr>
      <t>not</t>
    </r>
    <r>
      <rPr>
        <sz val="11"/>
        <color theme="0"/>
        <rFont val="Calibri"/>
        <family val="2"/>
        <scheme val="minor"/>
      </rPr>
      <t xml:space="preserve"> listed in the table on this sheet (i.e., they are currently not considered for risk treatment and must consequently be added to treat all risks).</t>
    </r>
  </si>
  <si>
    <t>Question Shadow ID</t>
  </si>
  <si>
    <t>JSON Template</t>
  </si>
  <si>
    <t>Duplicate risk IDs</t>
  </si>
  <si>
    <t>QI Duplicate Risk ID Text</t>
  </si>
  <si>
    <t>QI Duplicate Risk ID</t>
  </si>
  <si>
    <t>Element Template</t>
  </si>
  <si>
    <t>Attribute Template</t>
  </si>
  <si>
    <t>"[#1]": "[#2]"</t>
  </si>
  <si>
    <t>JSONParseAttributes</t>
  </si>
  <si>
    <t>JSONParseSheet</t>
  </si>
  <si>
    <t xml:space="preserve">{
[#1]
},
</t>
  </si>
  <si>
    <t>JSON Export</t>
  </si>
  <si>
    <t>Columns</t>
  </si>
  <si>
    <t>JSONParseSheets</t>
  </si>
  <si>
    <t>Shadow ID Column</t>
  </si>
  <si>
    <t>Shadow ID Header</t>
  </si>
  <si>
    <r>
      <t xml:space="preserve">Defines the sheets and columns on these sheets to be exported on the </t>
    </r>
    <r>
      <rPr>
        <i/>
        <sz val="11"/>
        <color theme="0"/>
        <rFont val="Calibri"/>
        <family val="2"/>
        <scheme val="minor"/>
      </rPr>
      <t>JSON</t>
    </r>
    <r>
      <rPr>
        <sz val="11"/>
        <color theme="0"/>
        <rFont val="Calibri"/>
        <family val="2"/>
        <scheme val="minor"/>
      </rPr>
      <t xml:space="preserve"> sheet. In detail:
* Use a formula to calculate the sheet name from which to export data (see existing entries for the formula.)
* Use a formula to reference the columns to be exported for each entry (see existing entries for the formula.)
* Use a formula to reference the </t>
    </r>
    <r>
      <rPr>
        <i/>
        <sz val="11"/>
        <color theme="0"/>
        <rFont val="Calibri"/>
        <family val="2"/>
        <scheme val="minor"/>
      </rPr>
      <t>Shadow ID</t>
    </r>
    <r>
      <rPr>
        <sz val="11"/>
        <color theme="0"/>
        <rFont val="Calibri"/>
        <family val="2"/>
        <scheme val="minor"/>
      </rPr>
      <t xml:space="preserve"> column for each sheet (this column is usually hidden and on most sheets one column right of the </t>
    </r>
    <r>
      <rPr>
        <i/>
        <sz val="11"/>
        <color theme="0"/>
        <rFont val="Calibri"/>
        <family val="2"/>
        <scheme val="minor"/>
      </rPr>
      <t>Comment</t>
    </r>
    <r>
      <rPr>
        <sz val="11"/>
        <color theme="0"/>
        <rFont val="Calibri"/>
        <family val="2"/>
        <scheme val="minor"/>
      </rPr>
      <t xml:space="preserve"> column).
* Use a formula to calculate the header row for each sheet (see existing entries for the formula).</t>
    </r>
  </si>
  <si>
    <t>You can also add text instead of calculating the values with a formula. However, renaming sheets or adding / removing columns easily breaks references, while formula-generated references remain operational unless one of the referenced columns is deleted. Even in this case, the visual #REF! error is helpful to find and fix the issue.</t>
  </si>
  <si>
    <t>CM22</t>
  </si>
  <si>
    <t>Virtual machines or software containers are used to isolate processes from each other</t>
  </si>
  <si>
    <t>Inconsistent Answers</t>
  </si>
  <si>
    <t>Completeness and Correctness</t>
  </si>
  <si>
    <t>QI QA11 and C27 inconsistent Text</t>
  </si>
  <si>
    <t>QI QA11 and C27 inconsistent ID</t>
  </si>
  <si>
    <t>C27 Search</t>
  </si>
  <si>
    <t>QI Mitigation Assigned to Inactive AS Text</t>
  </si>
  <si>
    <t>QI Mitigation Assigned to Inactive AS ID</t>
  </si>
  <si>
    <t>Inactive attack steps with assigned mitigations</t>
  </si>
  <si>
    <t>A38</t>
  </si>
  <si>
    <t>Export String (copy to MS Word)</t>
  </si>
  <si>
    <r>
      <t xml:space="preserve">Shows the names of the sheets to be exported according to the </t>
    </r>
    <r>
      <rPr>
        <i/>
        <sz val="11"/>
        <color theme="0"/>
        <rFont val="Calibri"/>
        <family val="2"/>
        <scheme val="minor"/>
      </rPr>
      <t xml:space="preserve">Definitions </t>
    </r>
    <r>
      <rPr>
        <sz val="11"/>
        <color theme="0"/>
        <rFont val="Calibri"/>
        <family val="2"/>
        <scheme val="minor"/>
      </rPr>
      <t>sheet.</t>
    </r>
  </si>
  <si>
    <r>
      <t xml:space="preserve">Provides a string representing a JSON export for each sheet. The sheets to be selected are defined in the </t>
    </r>
    <r>
      <rPr>
        <i/>
        <sz val="11"/>
        <color theme="0"/>
        <rFont val="Calibri"/>
        <family val="2"/>
        <scheme val="minor"/>
      </rPr>
      <t>Definitions</t>
    </r>
    <r>
      <rPr>
        <sz val="11"/>
        <color theme="0"/>
        <rFont val="Calibri"/>
        <family val="2"/>
        <scheme val="minor"/>
      </rPr>
      <t xml:space="preserve"> sheet.</t>
    </r>
  </si>
  <si>
    <t>The result is split among several rows as Excel cells can only support a limited number of characters. Consequently, storing the full export string in a single cell is typically not possible.
Also note that copying and pasting the string to MS Word is recommended, as pasting it into another application often results in many additional quotation marks (") around and within the string.</t>
  </si>
  <si>
    <t>A version history for the Definitions sheet. Note that this usually relates to changes in the assessment model.</t>
  </si>
  <si>
    <t>QuBA Change History</t>
  </si>
  <si>
    <t>AS40</t>
  </si>
  <si>
    <t>Secure Production</t>
  </si>
  <si>
    <t>Supply Chain Security</t>
  </si>
  <si>
    <t>Defines options to answer question QA18 (related to production security).</t>
  </si>
  <si>
    <t>Defines options to answer question QA19 (related to supply chain security).</t>
  </si>
  <si>
    <t>Software: CI/CD Pipeline</t>
  </si>
  <si>
    <t>QA11a</t>
  </si>
  <si>
    <t>QA11b</t>
  </si>
  <si>
    <t>Are software updates in the field (regularly or event-based) planned?</t>
  </si>
  <si>
    <t>QA11a[Yes|*]</t>
  </si>
  <si>
    <t>QA11a[Yes|No]</t>
  </si>
  <si>
    <t>QA8[Yes|*], QA11a[Yes|*], QA17[Yes|*]</t>
  </si>
  <si>
    <t>QA11b[Yes]</t>
  </si>
  <si>
    <t>CM23</t>
  </si>
  <si>
    <t>Hardware exchange</t>
  </si>
  <si>
    <t>Exchanging a vulnerable product with a secure product protects against incidents exploiting the vulnerability</t>
  </si>
  <si>
    <t>QA11b[No|Yes]</t>
  </si>
  <si>
    <t>Manipulating the product's configuration via its configuration interface</t>
  </si>
  <si>
    <t>Does the product contain credentials / cryptographic keys that allow access to sensitive data or to systems in the product's operational environment? (Note: this includes cryptographic data introduced by the customer.)</t>
  </si>
  <si>
    <t>A39</t>
  </si>
  <si>
    <t>DS3, DS12</t>
  </si>
  <si>
    <t>The current release version (as a date).</t>
  </si>
  <si>
    <r>
      <t xml:space="preserve">See the </t>
    </r>
    <r>
      <rPr>
        <i/>
        <sz val="11"/>
        <color theme="0"/>
        <rFont val="Calibri"/>
        <family val="2"/>
        <scheme val="minor"/>
      </rPr>
      <t>Release Version</t>
    </r>
    <r>
      <rPr>
        <sz val="11"/>
        <color theme="0"/>
        <rFont val="Calibri"/>
        <family val="2"/>
        <scheme val="minor"/>
      </rPr>
      <t xml:space="preserve"> above for the column in the history (an analysis might get updated and imported into a new template with a higher release version).</t>
    </r>
  </si>
  <si>
    <t>Template Release</t>
  </si>
  <si>
    <t>Abusing the lack of a software update functionality to exploit an unpatched vulnerability</t>
  </si>
  <si>
    <t>The product's expected lifetime exceeds the support duration.</t>
  </si>
  <si>
    <t>QI Text Support Time Too Short</t>
  </si>
  <si>
    <t>QI ID Support Time Too Short</t>
  </si>
  <si>
    <t>Attacking the product's internal gateway from the Internet</t>
  </si>
  <si>
    <t>Attacking a customer network from another customer network via the product's internal gateway</t>
  </si>
  <si>
    <t>Removes damage scenarios not plausible when the customer acts as an attacker.
Note that safety-related aspects are not covered in this assumption, as people might wish to circumvent safety measures to "optimize" processes.</t>
  </si>
  <si>
    <t>DS6, DS10</t>
  </si>
  <si>
    <t>Allows customers to apply the principle of least privilege, preventing workers from disabling safety measures on purpose.</t>
  </si>
  <si>
    <t>Enter the string of confirmed assumptions and countermeasures.</t>
  </si>
  <si>
    <r>
      <t xml:space="preserve">Calculated: Lists the risks as defined in the </t>
    </r>
    <r>
      <rPr>
        <i/>
        <sz val="11"/>
        <color theme="0"/>
        <rFont val="Calibri"/>
        <family val="2"/>
        <scheme val="minor"/>
      </rPr>
      <t>Risks</t>
    </r>
    <r>
      <rPr>
        <sz val="11"/>
        <color theme="0"/>
        <rFont val="Calibri"/>
        <family val="2"/>
        <scheme val="minor"/>
      </rPr>
      <t xml:space="preserve"> sheet. Enlarge the table if red lines are visible to list all risks.</t>
    </r>
  </si>
  <si>
    <t>Planned Countermeasures and Assumptions</t>
  </si>
  <si>
    <t>Risk Level
(Planned)</t>
  </si>
  <si>
    <t>Confirmed Countermeasures and Assumptions</t>
  </si>
  <si>
    <t>Confirm:</t>
  </si>
  <si>
    <t>Calculated: Shows all IDs of planned countermeasures and assumptions that are not confirmed by the entry above.</t>
  </si>
  <si>
    <t>This is typically used for countermeasures and assumptions that do not have catalog IDs.</t>
  </si>
  <si>
    <t>Calculated: Calculates the damage scenarios under the damage transformation effects of the planned countermeasures and assumptions.</t>
  </si>
  <si>
    <t>Calculated: Provides the factor explanation including the planned countermeasures and assumptions.</t>
  </si>
  <si>
    <t>Calculated: Provides the required attack potential with the planned countermeasures and assumptions.</t>
  </si>
  <si>
    <t>Calculated: Provides the remaining risk, given the calculated damage level and RAP with the planned countermeasures and assumptions.</t>
  </si>
  <si>
    <t>Calculated: Provides the remaining risk, given the calculated damage level and RAP with the confirmed countermeasures and assumptions.</t>
  </si>
  <si>
    <t>Calculated: Lists the planned countermeasures and assumptions.</t>
  </si>
  <si>
    <t>Calculated: Lists the confirmed countermeasures and assumptions.</t>
  </si>
  <si>
    <t>Note that these represent a subset of the planned countermeasures and assumptions.</t>
  </si>
  <si>
    <t>Calculated: Calculates the damage scenarios under the damage transformation effects of the confirmed countermeasures and assumptions.</t>
  </si>
  <si>
    <t>Calculated: Provides the factor explanation including the confirmed countermeasures and assumptions.</t>
  </si>
  <si>
    <t>Calculated: Provides the required attack potential with the confirmed countermeasures and assumptions.</t>
  </si>
  <si>
    <t>Own ID for Catalog Lookup</t>
  </si>
  <si>
    <t>Planned C&amp;A</t>
  </si>
  <si>
    <t>All Countermeasures and Assumptions</t>
  </si>
  <si>
    <t>Assigned Mitigations</t>
  </si>
  <si>
    <t>Planned Inline C&amp;A</t>
  </si>
  <si>
    <t>Confirmed C&amp;A</t>
  </si>
  <si>
    <t>Confirmed Inline C&amp;A</t>
  </si>
  <si>
    <t>Confirmed C&amp;A by Catalog Import Search</t>
  </si>
  <si>
    <t>All Confirmed C&amp;A List</t>
  </si>
  <si>
    <t>Confirmed C&amp;A by Catalog Import</t>
  </si>
  <si>
    <r>
      <t xml:space="preserve">Confirm additional assumptions and countermeasures here. </t>
    </r>
    <r>
      <rPr>
        <sz val="11"/>
        <color rgb="FFFFB9B9"/>
        <rFont val="Calibri"/>
        <family val="2"/>
        <scheme val="minor"/>
      </rPr>
      <t>Important: Ensure that these are / will be implemented!</t>
    </r>
  </si>
  <si>
    <t>T-SUM</t>
  </si>
  <si>
    <t>T-RAP-Calculated</t>
  </si>
  <si>
    <t>T-RAP-Inline</t>
  </si>
  <si>
    <t>T-RAP</t>
  </si>
  <si>
    <t>T-Risk Level</t>
  </si>
  <si>
    <t>T-Risk Value</t>
  </si>
  <si>
    <t>Confirmed Countermeasures in Tracing</t>
  </si>
  <si>
    <t>Planned Inline C&amp;A Full</t>
  </si>
  <si>
    <t>Confirmed Inline C&amp;A Full</t>
  </si>
  <si>
    <t>CT-DL after transformation</t>
  </si>
  <si>
    <t>CT-New Damage Level</t>
  </si>
  <si>
    <t>CT-Damage Transformation</t>
  </si>
  <si>
    <t>CT-Transformed DS IDs</t>
  </si>
  <si>
    <t>Not confirmed by import:</t>
  </si>
  <si>
    <t>Catalog import:</t>
  </si>
  <si>
    <t># Mitigation Rows:</t>
  </si>
  <si>
    <t># Active Mitigations:</t>
  </si>
  <si>
    <t>Is Last?</t>
  </si>
  <si>
    <t>Assumptions and Countermeasures Table not big enough</t>
  </si>
  <si>
    <t>A41</t>
  </si>
  <si>
    <t>If the product's Internet connectivity / connection over a mobile network is lost, then only quality-related damages occur, but no safety-related damages or damages regarding the product's core functionality and its operational environment happen.</t>
  </si>
  <si>
    <t>DS6, DS7, DS8</t>
  </si>
  <si>
    <t>This differentiates loss of availability for the product from loss of availability of the product's external communication.</t>
  </si>
  <si>
    <t>Component shall
* provide an immutable source of trust leveraging hardware-based security and;
* enforce authentication of
   - mutable code by the immutable source on every boot;
   - the bootloader;
* use either a public key or a hash of a public key;
* support deactivation of public keys whose private key has been leaked or misused and activation
of a spare public key
Component should
* provision sufficient space for keys;
* support renewal of secure boot keys.</t>
  </si>
  <si>
    <t>Product Life Time / Support Duration</t>
  </si>
  <si>
    <t>Defines the options for the product life time and the support duration.</t>
  </si>
  <si>
    <t>C31</t>
  </si>
  <si>
    <t>CR 1.10 – Authenticator feedback</t>
  </si>
  <si>
    <t>SRS 1.11 - Unsuccessful login attempts</t>
  </si>
  <si>
    <t>C32</t>
  </si>
  <si>
    <t>C33</t>
  </si>
  <si>
    <t>SCR 1.1 - Processed personal data</t>
  </si>
  <si>
    <t>C34</t>
  </si>
  <si>
    <t>SCR 1.2 - Telemetry data</t>
  </si>
  <si>
    <t>SCR 2.1 - Device Firewall</t>
  </si>
  <si>
    <t>The component shall
* be capable of filtering incoming and outgoing network traffic as well as information which is forwarded from one to another interface based on pre-defined rules.
* be delivered in a known secure state that allows only traffic that is necessary for one of its functions.
The component should analyze packets at multiple layers (e.g. IP, TCP, UDP) and either allow or block traffic based on criteria like port number, protocol, and source/destination IP address.
The component should provide an interface to configure the firewall settings, including the removal of settings and the possibility to restore known secure settings.</t>
  </si>
  <si>
    <t>Prevents an attacker from reading confidential information by data extraction from the storage medium. This requires hardware security to store the secret key securely, as otherwise, an attacker can simply extract the key from memory and then decrypt the data
None: The attacker can only extract encrypted data from the hard disk. Note that the attacker might attack the key stored in hardware to decrypt the data. Consequently, this control requires hardware protection mechanisms for the cryptographic material</t>
  </si>
  <si>
    <t>SCR 2.2 - Hardware based Storage Encryption</t>
  </si>
  <si>
    <t>The component shall,
provide storage encryption with hardware security mechanisms to ensure the confidentiality and integrity of data at rest;
adhere to industry-standard cryptographic algorithms and provide key management functionalities that adhere to best practices for secure storage of encryption keys as outlined in the "Cryptographic algorithms and keylength in products";
The implementation must ensure that encryption keys are stored securely within dedicated hardware modules only, such as Trusted Platform Modules (TPM) or Hardware Security Modules (HSM), to prevent unauthorized access and tampering.
Generally, the implementation of cryptography must follow the guideline on "Cryptographic algorithms and keylength in products";</t>
  </si>
  <si>
    <t>SCR 2.3 - Password based authentication (human)</t>
  </si>
  <si>
    <t>Components shall,
provide authentication with username and password as an authentication method for all human user accounts;
enforce password complexity rules (if provided);
allow for password change for all human user accounts;
Components may,
provide the component owner the possibility to define password complexity rules for human users; including a minimum password length;</t>
  </si>
  <si>
    <t>SCR 2.4 - Authentication with certificates (human)</t>
  </si>
  <si>
    <t>Components shall,
provide authentication with certificates as an authentication method for all human user accounts;
provide the capability to add and remove certificates to individual human user accounts;
authenticate human users only with certificates signed by Certificate Authorities that are configured as trusted;
support integration into enrollment, renewal, and revocation of certificates processes of a pki (if applicable);
validate certificates upon each authentication attempt;
determine valid certificates by checking the certificate's validity period, revocation status, and the authenticity of the issuing CA;
store certificates securely, adhering to the crypto policy;</t>
  </si>
  <si>
    <t>QI ID Error Text</t>
  </si>
  <si>
    <t>QI ID Error ID</t>
  </si>
  <si>
    <t>The product communicates over a secure channel where the product is authenticated and the channel ensures the integrity and the confidentiality of the outgoing data.
Given state-of-the-art protocols, cryptographic algorithms, and parameters, an attacker cannot access transmitted data within a reasonable time frame</t>
  </si>
  <si>
    <t>The component shall
* have the capability to establish a secure channel to safeguard the integrity, authenticity and the confidentiality of transmitted data;
* authenticate itself to the communication partner.</t>
  </si>
  <si>
    <t>* The component shall be made available without any usable debug functionalities;
* If debug functionalities are meant to be activatable in the field, the procedure to do so shall require appropriate authorization.</t>
  </si>
  <si>
    <t>SCR 2.5 - Secure boot</t>
  </si>
  <si>
    <t>SCR 2.7 - Close debug interfaces</t>
  </si>
  <si>
    <t>SCR 2.6 - Secure channel with product authentication</t>
  </si>
  <si>
    <t>SCR 2.8 - Obfuscation</t>
  </si>
  <si>
    <t>The component shall be made available with adequately obfuscated parts of software and configuration such that it maintains functionality while increasing the difficulty for users to understand or replicate the underlying logic and design.</t>
  </si>
  <si>
    <t>SCR 2.9 - Secure channel with communication partner authentication</t>
  </si>
  <si>
    <t>The component shall
* have the capability to provide a secure channel to safeguard the integrity and the confidentiality of data received;
* accept data only from authenticated communication partners.</t>
  </si>
  <si>
    <t>SCR 2.10 - Password-based authentication (machine)</t>
  </si>
  <si>
    <t>Components shall
* provide an authentication mechanism based on a password for all machine-to-machine access;
* allow for password change used for the machine-to-machine access by accordingly privileged users;
unless excluded by a compulsory state of the art specification.</t>
  </si>
  <si>
    <t>SCR 2.11 - Secure Wi-Fi</t>
  </si>
  <si>
    <t>The component shall allow configurations in which a known secure Wi-Fi standard is used.</t>
  </si>
  <si>
    <t>A secure Wi-Fi channel protects against attacks on the product's wireless communication, using, e.g., WPA3</t>
  </si>
  <si>
    <t>SCR 2.12 - Trusted Execution Environment (TEE)</t>
  </si>
  <si>
    <t>The component shall
* support hardware-based isolation to run trusted and untrusted code in separate environments;
* have the capability to provide cryptographic proof that its execution environment is untampered;
* only include cryptographic modules within the TEE that are compliant with FIPS 140-2 or equivalent.
The TEE should be isolated from the main operating system, with access controlled by hardware-level security mechanisms.</t>
  </si>
  <si>
    <t>SCR 2.13 - Public key-based authentication at debug interfaces</t>
  </si>
  <si>
    <t>The component shall
* provide authentication based on public key as an authentication method for all debug interfaces;
* provide the capability to add and remove keys related to those debug interfaces;
* authenticate humans only with keys signed by certificate authorities that are configured as trusted;
* support integration into enrollment, renewal, and revocation of key processes of a pki;
* validate keys upon each authentication attempt;
* determine valid keys by checking at least the key's validity period, revocation status, and the authenticity of the issuing CA;
* store key pairs securely, adhering to the crypto policy;
* provide the user with a second factor to approve any access for all active debug interfaces.</t>
  </si>
  <si>
    <t>SCR 2.14 - Password-based authentication at debug interfaces</t>
  </si>
  <si>
    <t>Components shall
* provide authentication with a password as an authentication method for all debug interfaces;
* allow for password change for the password associated with the debug interfaces;
* provide the user with a second factor to approve any access for all debug interfaces;
* The authentication method provided by the component may require an username;</t>
  </si>
  <si>
    <t>SCR 2.15 - Patents</t>
  </si>
  <si>
    <t>The component shall
* be made available only if a patent has been filed for the essential parts of the intellectual property contained in it or;
* be made available only under an appropriate license, or both;</t>
  </si>
  <si>
    <t>SCR 2.16 - Authentication with certificates (machine)</t>
  </si>
  <si>
    <t>Components shall
* provide authentication with certificates as an authentication method for all machine user accounts;
* provide the capability to add and remove certificates to individual machine user accounts;
* authenticate machine users only with certificates signed by Certificate Authorities that are configured as trusted;
* support integration into enrollment, renewal, and revocation of certificates processes of a pki (if applicable);
* validate certificates upon each authentication attempt;
* determine valid certificates by checking the certificate's validity period, revocation status, and the authenticity of the issuing CA;
* store certificates securely, adhering to the crypto policy.</t>
  </si>
  <si>
    <t>Depending on the type of product, the following requirements apply:
SAR 3.2 – Protection from malicious code
The application product supplier shall qualify and document which protection from malicious code mechanisms are compatible with the application and note any special configuration requirements.
EDR 3.2 – Protection from malicious code
The embedded device shall provide the capability to protect from installation and execution of unauthorized software.
HDR 3.2 – Protection from malicious code
There shall be mechanisms on host devices that are qualified by the IACS product supplier to provide protection from malicious code. The IACS product supplier shall document any special configuration requirements related to protection from malicious code.
NDR 3.2 – Protection from malicious code
The network device shall provide for protection from malicious code.</t>
  </si>
  <si>
    <t>Depending on the type of product, the following requirements apply:
EDR 2.13 – Use of physical diagnostic and test interfaces
Embedded devices shall protect against unauthorized use of the physical factory diagnostic and test interface(s) (e.g. JTAG debugging).
HDR 2.13 – Use of physical diagnostic and test interfaces
Host devices shall protect against unauthorized use of the physical factory diagnostic and test interface(s) (e.g. JTAG debugging).
NDR 2.13 – Use of physical diagnostic and test interfaces
Network devices shall protect against unauthorized use of the physical factory diagnostic and test interface(s) (e.g. JTAG debugging).</t>
  </si>
  <si>
    <t>Depending on the type of product, the following requirements apply:
EDR 3.10 – Support for updates
The embedded device shall support the ability to be updated and upgraded.
HDR 3.10 – Support for updates
Host devices shall support the ability to be updated and upgraded.
NDR 3.10 – Support for updates
Network devices shall support the ability to be updated and upgraded.
AS40 specifically targets systems that do not receive updates. Consequently, this countermeasure removes the Window of Opportunity for AS40, but does not prevent reliably against vulnerabilities in general.</t>
  </si>
  <si>
    <t>C35</t>
  </si>
  <si>
    <t>EDR 3.14 / HDR 3.14 / NDR 3.14 – Integrity of the boot process</t>
  </si>
  <si>
    <t>A42</t>
  </si>
  <si>
    <t>SDR 1.1 – List all network traffic</t>
  </si>
  <si>
    <t>The user documentation shall contain a list of all intended network connections together with an appropriate high-level description including its associated use case and destination.</t>
  </si>
  <si>
    <t>The user documentation shall state
* that the product does not have the capability to appropriately protect personal data and/or is not intended to handle personal data;
* that the user shall ensure that data collected by the solution is handled in compliance with data protection regulations (e.g. GDPR, DSGVO).</t>
  </si>
  <si>
    <t>The user documentation shall state that the sensor’s input field or the camera’s field of vision can not be positioned by the operator in a way that could create artifacts capable of identifying people.</t>
  </si>
  <si>
    <t>The customer buying the product can understand the intended communication of the product.</t>
  </si>
  <si>
    <t>SDR 1.4 – Privacy-compliant handling of camera data</t>
  </si>
  <si>
    <t>Requirements</t>
  </si>
  <si>
    <t>Provided the requirements resulting from active assumptions, such as required entries in the product documentation.</t>
  </si>
  <si>
    <t>SDR 1.6 – Product not relevant for availability of operational environment</t>
  </si>
  <si>
    <t>The user documentation shall state that the product must not be used in such a way that the loss of availability negatively impacts its operational environment.</t>
  </si>
  <si>
    <t>SDR 1.9 – Not used for access control</t>
  </si>
  <si>
    <t>The user documentation shall state
that using the product outside of the specified applications may impose cybersecurity risks to the product and its operational environment</t>
  </si>
  <si>
    <t>SDR 1.10 – Device operates in trustworthy operational environment</t>
  </si>
  <si>
    <t>SDR 1.11 – Trustworthy communication partner</t>
  </si>
  <si>
    <t>SDR 1.12 – Product inaccessible</t>
  </si>
  <si>
    <t>SDR 1.13 – Area with restricted access</t>
  </si>
  <si>
    <t>SDR 1.14 – Communication media located in restricted access area</t>
  </si>
  <si>
    <t>The user documentation shall state that the customer must ensure a secure operational environment for the device including a continuous assessment for indicators of compromise.</t>
  </si>
  <si>
    <t>The user documentation shall state that the customer must ensure the trustworthiness and integrity of the device's communication partners.</t>
  </si>
  <si>
    <t>The user documentation shall state that the product is intended to be installed in a place with protection measures preventing physical access.</t>
  </si>
  <si>
    <t>The user documentation shall state that the customer must ensure that the area where the product is located is protected against unauthorized physical access.</t>
  </si>
  <si>
    <t>The user documentation shall state that the customer must ensure that the area where the product's communication media are located is protected against unauthorized physical access.</t>
  </si>
  <si>
    <t>SDR 1.15 – Password security</t>
  </si>
  <si>
    <t>SDR 1.16 – Private key security</t>
  </si>
  <si>
    <t>The user documentation shall state
that the customer must ensure adequate password strength and protection of those passwords against unauthorized access.</t>
  </si>
  <si>
    <t>The user documentation shall state
that the customer shall ensure adequate protection for any private key related to the product owned by the customer against unauthorized access.</t>
  </si>
  <si>
    <t>SDR 1.17 - Sensing capabilities</t>
  </si>
  <si>
    <t>The customer buying the product can understand the sensing capabilities of the product.</t>
  </si>
  <si>
    <t>A43</t>
  </si>
  <si>
    <t>SDR 1.18 - Well-protected trustworthy wireless network</t>
  </si>
  <si>
    <t>The user documentation shall state that the product is intended to be operated only with connections to a trustworthy and sufficiently protected wireless network whose provision and secure operation of networks is the sole responsibility of the customer.</t>
  </si>
  <si>
    <t>SDR 1.19 - Physical destruction</t>
  </si>
  <si>
    <t>The user documentation shall state that the product is incapable of protecting its functionality against violent acts with massive physical force.</t>
  </si>
  <si>
    <t>SDR 1.20 - Least privilege for provided credentials</t>
  </si>
  <si>
    <t>SDR 1.21 - Product not storing secrets</t>
  </si>
  <si>
    <t>The user documentation shall state that the product does not store any cryptographic secrets and such data can not be extracted from the product or misused by an attacker.</t>
  </si>
  <si>
    <t>SDR 1.22 - The product does not communicate any confidential data to an external communication partner</t>
  </si>
  <si>
    <t>SDR 1.24 - The product does not receive any sensitive data (except updates / configuration / debug communication) from external communication partners over the Internet or a mobile network</t>
  </si>
  <si>
    <t>SDR 1.25 - The product does not transmit confidential cryptographic material (such as passwords)</t>
  </si>
  <si>
    <t>SDR 1.26 - The customer ensures that a loss of wireless communication with the product is manageable</t>
  </si>
  <si>
    <t>The user documentation shall state that the product does not send any confidential data to communication partners and therefore can not be extracted from communication of  the product or misused by an attacker.</t>
  </si>
  <si>
    <t>The user documentation shall state that the product does not receive any sensitive data from external communication partners via the Internet or mobile network, except for data related to updates, configuration, or debug communication.</t>
  </si>
  <si>
    <t>The user documentation shall state that the product does not transmit confidential cryptographic material (such as passwords, private keys, or other sensitive information) over networks or any other communication channels.</t>
  </si>
  <si>
    <t>The user documentation shall state that the customer ensures the loss of wireless communication with the product is manageable.</t>
  </si>
  <si>
    <t>SDR 1.27 - The product has no access to personal data</t>
  </si>
  <si>
    <t>SDR 1.28 - The product cannot affect the availability of its operational environment</t>
  </si>
  <si>
    <t>The user documentation shall state
that the product has no access to personal data. The product is designed to operate without collecting, storing, or processing any personal information.</t>
  </si>
  <si>
    <t>The user documentation shall state
that the product cannot affect the availability of its operational environment;</t>
  </si>
  <si>
    <t>SDR 1.29 - Loss of external connectivity (Internet, mobile network) only leads to quality-related issues</t>
  </si>
  <si>
    <t>The user documentation shall state that the product continues to function even in the event of a loss of external connectivity (e.g., Internet or mobile network), but may experience quality-related issues. These could include reduced performance, delays, or degraded service in certain features that rely on real-time connectivity. The reliability of the system and core functionalities that do not depend on external connections remain unaffected.</t>
  </si>
  <si>
    <t>The contractual document shall not contain obligations to protect confidentiality for data other than personally identifiable information, which is processed by the product.</t>
  </si>
  <si>
    <t>The contractual document shall not contain compensations in the case that the solution's availability is affected by a cybersecurity incident.</t>
  </si>
  <si>
    <t>The contractual document shall not contain contractual fines in the case that the solution's integrity gets affected in the event of solution tampering.</t>
  </si>
  <si>
    <t>SDR 2.4 – Secure production</t>
  </si>
  <si>
    <t>SDR 2.5 – Secure supply chain</t>
  </si>
  <si>
    <t>SDR 2.6 - Limited accessibility of short-range wireless communication</t>
  </si>
  <si>
    <t>The component shall be designed in a way that all available wireless interfaces are only suitable for short-range communication (less than 10m) either by their nature or by reducing signal strength.</t>
  </si>
  <si>
    <t>SDR 2.7 - Scope for customer-based attacks</t>
  </si>
  <si>
    <t>SDR 2.8 - No authentication over the IP stack possible</t>
  </si>
  <si>
    <t>SDR 2.9 - No configuration interface required</t>
  </si>
  <si>
    <t>The component shall be designed in a way
that no authentication shall be possible over the IP stack;</t>
  </si>
  <si>
    <t>The component shall be designed in a way
that the component shall not provide a configuration interface;</t>
  </si>
  <si>
    <t>SDR 2.10 - The product is delivered with a secure by default configuration</t>
  </si>
  <si>
    <t>The technical documentation and production steps documentation shall ensure and document that the product is delivered in a known-secure state.</t>
  </si>
  <si>
    <t>Decades: This countermeasure increases the time required for a successful brute-force attack significantly.</t>
  </si>
  <si>
    <t>None: After using the factory reset, extracting customer-specific information from the device is no longer possible</t>
  </si>
  <si>
    <t>l</t>
  </si>
  <si>
    <t>m</t>
  </si>
  <si>
    <t>provide the possibility for users to securely and easily remove on a permanent basis all data and settings and, where such data can be transferred to other products or systems, ensure that this is done in a secure manner</t>
  </si>
  <si>
    <t>be made available on the market without known exploitable vulnerabilities</t>
  </si>
  <si>
    <t>be made available on the market with a secure by default configuration, unless otherwise agreed between manufacturer and business user in relation to a tailor-made product with digital elements, including the possibility to reset the product to its original state</t>
  </si>
  <si>
    <t>ensure that vulnerabilities can be addressed through security updates, including, where applicable, through automatic security updates that are installed within an appropriate timeframe enabled as a default setting, with a clear and easy-to-use opt-out mechanism, through the notification of available updates to users, and the option to temporarily postpone them</t>
  </si>
  <si>
    <t>ensure protection from unauthorised access by appropriate control mechanisms, including but not limited to authentication, identity or access management systems, and report on possible unauthorised access</t>
  </si>
  <si>
    <t>protect the confidentiality of stored, transmitted or otherwise processed data, personal or other, such as by encrypting relevant data at rest or in transit by state of the art mechanisms, and by using other technical means</t>
  </si>
  <si>
    <t>protect the integrity of stored, transmitted or otherwise processed data, personal or other, commands, programs and configuration against any manipulation or modification not authorised by the user, and report on corruptions</t>
  </si>
  <si>
    <t>process only data, personal or other, that are adequate, relevant and limited to what is necessary in relation to the intended purpose of the product with digital elements (data minimisation)</t>
  </si>
  <si>
    <t>protect the availability of essential and basic functions, also after an incident, including through resilience  and mitigation measures against denial-of-service attacks</t>
  </si>
  <si>
    <t>minimise the negative impact by the products themselves or connected devices on the availability of services provided by other devices or networks</t>
  </si>
  <si>
    <t>provide security related information by recording and monitoring relevant internal activity, including the access to or modification of data, services or functions, with an opt-out mechanism for the user</t>
  </si>
  <si>
    <t>e, f</t>
  </si>
  <si>
    <t>j, k</t>
  </si>
  <si>
    <t>e, f, j</t>
  </si>
  <si>
    <t>g, j</t>
  </si>
  <si>
    <t>Mapping to CRA, Annex I (1.2)</t>
  </si>
  <si>
    <t>a, k</t>
  </si>
  <si>
    <t>d, l</t>
  </si>
  <si>
    <t>d, e, f</t>
  </si>
  <si>
    <t>SRS 1.5 – Authenticator management</t>
  </si>
  <si>
    <t>SRS 4.1 – Information confidentiality</t>
  </si>
  <si>
    <t>SRS 7.4 – Control system recovery and reconstitution</t>
  </si>
  <si>
    <t>Recovery and reconstitution allows the product to quickly become operational again after an incident</t>
  </si>
  <si>
    <t>Circumventing a protected boot process without hardware protection is non-trivial, but possible.</t>
  </si>
  <si>
    <t>The product does not process data from an external communication partner and consequently cannot be attacked by the communication partner (except for attacking vulnerabilities / configuration interfaces, which are covered by attacks not affected by this countermeasure)</t>
  </si>
  <si>
    <t>QA1[Yes]</t>
  </si>
  <si>
    <t>The user documentation shall list all external sensing capabilities of the device in an accessible way that is clear and transparent.</t>
  </si>
  <si>
    <t>AS40 specifically targets systems that do not receive updates. Consequently, this countermeasure removes the Window of Opportunity for AS40, but does not prevent reliably against vulnerabilities in general.</t>
  </si>
  <si>
    <t>The user documentation shall state that the customer ensures the implementation of least privilege when providing credentials.</t>
  </si>
  <si>
    <t>QI5[*]</t>
  </si>
  <si>
    <t>No protection</t>
  </si>
  <si>
    <t>Internal production - only access control</t>
  </si>
  <si>
    <t>Internal production according to IT requirements</t>
  </si>
  <si>
    <t>Internal validated production (e.g., ISACA OT-Check)</t>
  </si>
  <si>
    <t>Certified production (e.g., IEC 62443)</t>
  </si>
  <si>
    <t>Software: Internal Audit</t>
  </si>
  <si>
    <t>Software: ISO-certified</t>
  </si>
  <si>
    <t>Established supplier (several years of positive cooperation, sufficient size) (Open source alternative: git with regular updates)</t>
  </si>
  <si>
    <t>Renowned supplier (internationally well-known) (Open Source: large renowned project)</t>
  </si>
  <si>
    <t>Supplier agreed to cybersecurity requirements in a contract (Open source alternative: Foundation / open source steward)</t>
  </si>
  <si>
    <t>Supplier is audited (by the Q-department)</t>
  </si>
  <si>
    <t>Supplier is certified</t>
  </si>
  <si>
    <t>e, g</t>
  </si>
  <si>
    <t>b, h, k</t>
  </si>
  <si>
    <t>Note that providing an empty list is a valid option if the product is not supposed to communicate over a network.</t>
  </si>
  <si>
    <t>The attacker must understand how to access the debug interface (Proficient), where the interface can be accessed and how (Restricted), and the right hardware to do it (Specialized).</t>
  </si>
  <si>
    <t>DS1, DS2, DS4, DS5, DS7, DS8, DS9, DS10, DS11, DS13, DS14, DS15, DS16</t>
  </si>
  <si>
    <t>SRS 2.11 – Timestamps</t>
  </si>
  <si>
    <t>&lt;= one week: The attacker needs time to find exploitable features in the firewall's configuration
Expert: The attacker requires understanding of network components
Restricted: The attacker must obtain or probe the configuration
Difficult: The attacker must find a way to circumvent the firewall or VLAN</t>
  </si>
  <si>
    <t>QI7[Yes|*], QI14[Yes|*]</t>
  </si>
  <si>
    <t>Filtered Preconditions</t>
  </si>
  <si>
    <t>Damage Scenario with Damage Level</t>
  </si>
  <si>
    <t>AS24, AS30</t>
  </si>
  <si>
    <t>Extracting information from a decommissioned or second-hand device's persistent memory</t>
  </si>
  <si>
    <t>AS41</t>
  </si>
  <si>
    <t>Extracting information from a decommissioned or second-hand device's RAM</t>
  </si>
  <si>
    <t>CSV: Reference answers in the Questionnaire sheet that are required for making this attack step active. If no answers are referenced, then prerequisite attack steps should be considered.</t>
  </si>
  <si>
    <t>&lt;= six months: It takes a while to create a proper setup for reading out RAM of another device
Expert: The attack is sophisticated
Restricted: The attacker needs to know or reverse-engineer the memory layout to interpret the data
Unnecessary / unlimited access: The attacker has full access to the device
Specialized: The attacker needs non-standard equipment for the attack</t>
  </si>
  <si>
    <t>AS30, AS41</t>
  </si>
  <si>
    <t>C30a</t>
  </si>
  <si>
    <t>CR 7.3 – Control system backup</t>
  </si>
  <si>
    <t>Currently not in use.</t>
  </si>
  <si>
    <t>Supply Chain Answers</t>
  </si>
  <si>
    <t>Answer</t>
  </si>
  <si>
    <t>The answer options for QA19 (supply chain partners are trustworthy, not trustworthy, or no supply chain partners exist).</t>
  </si>
  <si>
    <t>N/A</t>
  </si>
  <si>
    <t>Not applicable: no supplier</t>
  </si>
  <si>
    <t>The suppliers are trustworthy</t>
  </si>
  <si>
    <t>At least one supplier is not trusted</t>
  </si>
  <si>
    <t>Provide the letters of entries from the CRA, Annex I (1.2) related to this attack step.</t>
  </si>
  <si>
    <t>Provide the letters of entries from the CRA, Annex I (1.2) related to this assumption.</t>
  </si>
  <si>
    <t>Provide the letters of entries from the CRA, Annex I (1.2) related to this countermeasure.</t>
  </si>
  <si>
    <t>Lists all letters structuring Annex I 1.2 of the Cyber Resilience Act.</t>
  </si>
  <si>
    <r>
      <t xml:space="preserve">Calculated: Lists the IDs of countermeasures and assumptions implementing these requirements, based on
* The entries in the </t>
    </r>
    <r>
      <rPr>
        <i/>
        <sz val="11"/>
        <color theme="0"/>
        <rFont val="Calibri"/>
        <family val="2"/>
        <scheme val="minor"/>
      </rPr>
      <t>Assumptions</t>
    </r>
    <r>
      <rPr>
        <sz val="11"/>
        <color theme="0"/>
        <rFont val="Calibri"/>
        <family val="2"/>
        <scheme val="minor"/>
      </rPr>
      <t xml:space="preserve"> and </t>
    </r>
    <r>
      <rPr>
        <i/>
        <sz val="11"/>
        <color theme="0"/>
        <rFont val="Calibri"/>
        <family val="2"/>
        <scheme val="minor"/>
      </rPr>
      <t xml:space="preserve">Countermeasures </t>
    </r>
    <r>
      <rPr>
        <sz val="11"/>
        <color theme="0"/>
        <rFont val="Calibri"/>
        <family val="2"/>
        <scheme val="minor"/>
      </rPr>
      <t xml:space="preserve">sheets, assigning the respective elements to each other, as well as
* by following these relations:
assumption/countermeasure |-- mitigates --&gt; attack step |-- is assigned to (in the </t>
    </r>
    <r>
      <rPr>
        <i/>
        <sz val="11"/>
        <color theme="0"/>
        <rFont val="Calibri"/>
        <family val="2"/>
        <scheme val="minor"/>
      </rPr>
      <t>Attack Steps</t>
    </r>
    <r>
      <rPr>
        <sz val="11"/>
        <color theme="0"/>
        <rFont val="Calibri"/>
        <family val="2"/>
        <scheme val="minor"/>
      </rPr>
      <t xml:space="preserve"> sheet) --&gt; Annex I 1.2 entry.</t>
    </r>
  </si>
  <si>
    <t>Missing meta-information
(Note that for the change history this only checks if it contains at least one entry.)</t>
  </si>
  <si>
    <t xml:space="preserve">{
"[#1]": [
[#2]
]
},
</t>
  </si>
  <si>
    <t>Denial of service protection limits the effects of an active DoS attack and ensures that the product can recover after the attack. It makes it more difficult for an attacker to effectively run a denial of service attack against the product.</t>
  </si>
  <si>
    <t>A44</t>
  </si>
  <si>
    <t>The customer monitors relevant networks and manages network outages, including denial-of-service attacks on networks.</t>
  </si>
  <si>
    <t>DS7, DS9, DS17, DS18</t>
  </si>
  <si>
    <t>Does the product connect two networks to each other (e.g., as a gateway)?</t>
  </si>
  <si>
    <t>Decades: Given state-of-the-art protocols, cryptographic algorithms, and parameters, an attacker cannot access transmitted data within a reasonable time frame.
Note that "to protect the confidentiality of information at rest for which explicit read authorization is supported" does not imply encrypted memory or hardware security (this is modeled in another countermeasure).</t>
  </si>
  <si>
    <t>The summary of the resulting assumptions and countermeasures, including IDs for the external catalog, if available.</t>
  </si>
  <si>
    <t>A45</t>
  </si>
  <si>
    <t>As the product is in a (temporarily) physically accessible but monitored or well-observed environment, it is not plausible that an attacker can tamper with the product's hardware without being detected.</t>
  </si>
  <si>
    <t>This assumes that the attacker needs more time to execute the attack than available in a well-observed environment.</t>
  </si>
  <si>
    <t>QA15[Yes|No]</t>
  </si>
  <si>
    <t>SDR 2.13 - No processing of external data</t>
  </si>
  <si>
    <t>Illustration / photos of the product, including component / data flow / sequence diagrams, if available.</t>
  </si>
  <si>
    <t>Provide illustrations of the target of evaluation.</t>
  </si>
  <si>
    <t>Is the product typically installed in an operational environment with public access?</t>
  </si>
  <si>
    <r>
      <t xml:space="preserve">For each possible answer to the first question, decide whether a second question or additional information in the comment is required. If this is the case, add a line with the answer to the first question, followed by ":".
Then, in the next line, provide the address of the topmost cell in the range of possible answers to the question. This range defines the values in the drop-down menu for Answer 2 on the </t>
    </r>
    <r>
      <rPr>
        <i/>
        <sz val="11"/>
        <color theme="0"/>
        <rFont val="Calibri"/>
        <family val="2"/>
        <scheme val="minor"/>
      </rPr>
      <t xml:space="preserve">Questionnaire </t>
    </r>
    <r>
      <rPr>
        <sz val="11"/>
        <color theme="0"/>
        <rFont val="Calibri"/>
        <family val="2"/>
        <scheme val="minor"/>
      </rPr>
      <t>sheet.
If you only want a text requesting additional information, then provide no topmost cell after the ":".</t>
    </r>
  </si>
  <si>
    <t>Provide the height of the answer options for each first answer. If you only want a text requesting additional information, then height = 0.</t>
  </si>
  <si>
    <t>Provide the text to be displayed, depending on the provided first and second answer. Make sure that all values are covered, potentially by an empty string. You can use "*:" to catch all cases.</t>
  </si>
  <si>
    <t>Syntax:
___&lt;First answer value 1&gt;___
&lt;Second answer value 1&gt;: &lt;Text value 1&gt;&lt;Line_break&gt;
…
&lt;Second answer value n&gt;: &lt;Text value n&gt;&lt;Line_break&gt;
… 
___&lt;First answer value m&gt;___
&lt;Second answer value 1&gt;: &lt;Text value 1&gt;&lt;Line_break&gt;
…
&lt;Second answer value k&gt;: &lt;Text value k&gt;
Alternatively to the &lt;Second answer to value 1&gt; to &lt;Second answer to value n&gt; blocks, you can use:
*: &lt;Text value for all cases&gt;&lt;Line_break&gt;</t>
  </si>
  <si>
    <t>Reference</t>
  </si>
  <si>
    <t>Optional: Embed a reference, e.g., a foreign ID for the assumption (in another catalog).</t>
  </si>
  <si>
    <t>Optional: Embed a reference, e.g., a foreign ID for the countermeasure (in another catalog).</t>
  </si>
  <si>
    <t>Calculated: Lists the references (e.g., foreign IDs) for the item</t>
  </si>
  <si>
    <t>Version</t>
  </si>
  <si>
    <t xml:space="preserve">  </t>
  </si>
  <si>
    <t>Is last</t>
  </si>
  <si>
    <t>Proficient: The attacker needs to understand how to use the compromised device to attack the product
Restricted: The attacker needs knowledge of the attacked product</t>
  </si>
  <si>
    <t>The product shall be designed to prevent attacks by external communication partners after commissioning by not processing any data from external sources on applicable interfaces
Example:
The product has an interface for initial setup and configuration which is disabled as part of the commissioning process.</t>
  </si>
  <si>
    <t>Name the countermeasure. If the name contains an ID, then it usually represents the ID in a standard or technical specification. The acronym SCR represents Security Component Requirement.</t>
  </si>
  <si>
    <t>The user documentation shall state that the product does not send any sensitive data to communication partners over the Internet or a mobile network.</t>
  </si>
  <si>
    <t>SCR 2.18 - Isolation using virtualization or containers</t>
  </si>
  <si>
    <t>SDR 1.23 - The product does not send any sensitive data to communication partners over the Internet or a mobile network</t>
  </si>
  <si>
    <t>SDR 1.30 - Network monitoring</t>
  </si>
  <si>
    <t>SDR 2.12 - Physical tampering with the product not plausible</t>
  </si>
  <si>
    <t>1.0.0</t>
  </si>
  <si>
    <t>Highest Risks Without This</t>
  </si>
  <si>
    <t>Mitigations Search</t>
  </si>
  <si>
    <t>Highest Risks With This</t>
  </si>
  <si>
    <t>Highest Risks Without Regular Mitigation</t>
  </si>
  <si>
    <t>Highest Risks With Regular Mitigation</t>
  </si>
  <si>
    <t>List of Risk Levels Without This Regular Mitigation</t>
  </si>
  <si>
    <t>List of Risk Levels Without This Inline Mitigation</t>
  </si>
  <si>
    <t>Highest Risks Without Inline Mitigation</t>
  </si>
  <si>
    <t>Highest Risks With Inline Mitigation</t>
  </si>
  <si>
    <t>Calculated: Shows the highest risk level when removing exactly the element in the current row (an assumption or countermeasure) from calculation.</t>
  </si>
  <si>
    <t>Calculated: Shows all attack paths with highest risk among the attack path where this assumption or countermeasure is assigned.</t>
  </si>
  <si>
    <t>Is Dependency Of</t>
  </si>
  <si>
    <t># RAP Factor Classes:</t>
  </si>
  <si>
    <t># Risk Treatment Options:</t>
  </si>
  <si>
    <t>CRA-compliant SDL and vulnerability management</t>
  </si>
  <si>
    <t>The product's software is developed in compliance with the required activities according to the CRA. Vulnerability management ensures that exploitable vulnerabilities in the product are fixed in due time once discovered.</t>
  </si>
  <si>
    <t>&lt;= six months: The attacker must invest significant time to find a vulnerability, as easily detectable vulnerabilities are typically found and closed during development
Multiple Experts: The attackers must understand how to find exploits and develop exploits in tested code
Restricted: The attacker need knowledge about the product to find vulnerabilities. Note that this knowledge might be obtained by reverse engineering
Difficult: The attacker must hit a time frame in which the vulnerability is discovered (potentially by the attacker) but not yet fixed.
Note that this does not imply that products never have exploitable vulnerabilities. However, the RAP in this case reflects that due effort is taken to make exploitable vulnerabilities in the product as unlikely as reasonably possible.</t>
  </si>
  <si>
    <t>QA2[Yes|*], QA6[Yes], QA14[Yes] &amp; QA15[Yes|*]</t>
  </si>
  <si>
    <t>QI Answer Selection Impossible Text</t>
  </si>
  <si>
    <t>QI Answer Selection Impossible ID</t>
  </si>
  <si>
    <t>Catalogs</t>
  </si>
  <si>
    <t>Countermeasures with incorrect answer options</t>
  </si>
  <si>
    <t>Assumptions with incorrect answer options</t>
  </si>
  <si>
    <t>Attack steps with incorrect answer options</t>
  </si>
  <si>
    <t>On this README sheet in the table below: Highlights the sheets that must be filled in an analysis.</t>
  </si>
  <si>
    <t>CM2</t>
  </si>
  <si>
    <t>QA5[Yes|*], QA6[Yes]</t>
  </si>
  <si>
    <t>SDR 1.3 – Product cannot identify people</t>
  </si>
  <si>
    <t>The  sensor’s input field or the camera’s field of vision never includes areas where people are located or the products sensory capabilities are insufficient to identify people.</t>
  </si>
  <si>
    <t xml:space="preserve"> caused by a disclosure or misuse of cryptographic material by the manipulated product</t>
  </si>
  <si>
    <r>
      <t xml:space="preserve">Recommendation: Copy the column </t>
    </r>
    <r>
      <rPr>
        <i/>
        <sz val="11"/>
        <color theme="0"/>
        <rFont val="Calibri"/>
        <family val="2"/>
        <scheme val="minor"/>
      </rPr>
      <t>Proposed Active Assumptions</t>
    </r>
    <r>
      <rPr>
        <sz val="11"/>
        <color theme="0"/>
        <rFont val="Calibri"/>
        <family val="2"/>
        <scheme val="minor"/>
      </rPr>
      <t xml:space="preserve"> and paste </t>
    </r>
    <r>
      <rPr>
        <i/>
        <sz val="11"/>
        <color theme="0"/>
        <rFont val="Calibri"/>
        <family val="2"/>
        <scheme val="minor"/>
      </rPr>
      <t xml:space="preserve">as values </t>
    </r>
    <r>
      <rPr>
        <sz val="11"/>
        <color theme="0"/>
        <rFont val="Calibri"/>
        <family val="2"/>
        <scheme val="minor"/>
      </rPr>
      <t xml:space="preserve">into the column </t>
    </r>
    <r>
      <rPr>
        <i/>
        <sz val="11"/>
        <color theme="0"/>
        <rFont val="Calibri"/>
        <family val="2"/>
        <scheme val="minor"/>
      </rPr>
      <t>C and A IDs</t>
    </r>
    <r>
      <rPr>
        <sz val="11"/>
        <color theme="0"/>
        <rFont val="Calibri"/>
        <family val="2"/>
        <scheme val="minor"/>
      </rPr>
      <t>.
These assumptions match the answers provided in the questionnaire. See below for additional information.</t>
    </r>
  </si>
  <si>
    <t>Additional Question</t>
  </si>
  <si>
    <r>
      <t xml:space="preserve">Comment
</t>
    </r>
    <r>
      <rPr>
        <sz val="9"/>
        <color theme="0"/>
        <rFont val="Calibri"/>
        <family val="2"/>
        <scheme val="minor"/>
      </rPr>
      <t>To add a countermeasure or assumption:
{&lt;C or A&gt; &lt;Name&gt;[: &lt;RAP&gt;]}
RAP Options: Basic, Enhanced-Basic, Moderate, High, Beyond High</t>
    </r>
  </si>
  <si>
    <t>The attacker needs some knowledge on how to (mis-) configure the product and basic hacking skills</t>
  </si>
  <si>
    <t>Easy: The attacker needs physical access to the product</t>
  </si>
  <si>
    <t>SDR 1.2 – No handling of personal data</t>
  </si>
  <si>
    <t>Backups allow the product to quickly become operational again after an incident</t>
  </si>
  <si>
    <t>CM24</t>
  </si>
  <si>
    <t>Safety product</t>
  </si>
  <si>
    <t>As the product is designed as a safety product, a loss of availability of the product cannot cause harm to people</t>
  </si>
  <si>
    <t>QI6[No|Yes]</t>
  </si>
  <si>
    <t>Answer Names</t>
  </si>
  <si>
    <t>Calculated: Provides the names of the referenced answers.</t>
  </si>
  <si>
    <t>SDR 2.1 – No legal or contractual obligations for data confidentiality</t>
  </si>
  <si>
    <t>There are no legal or contractual obligations, with the possible exception of privacy-related issues, to keep the data processed / stored by the product confidential.</t>
  </si>
  <si>
    <t>SDR 2.2 – No contractual obligations regarding product availability</t>
  </si>
  <si>
    <t>There are no contract-related fines if the product stops working at the customer's site.</t>
  </si>
  <si>
    <t>SDR 2.3 – No legal or contractual obligations for product integrity</t>
  </si>
  <si>
    <t>There are no legal or contractual fines if the product gets manipulated.</t>
  </si>
  <si>
    <t>Can a loss of availability cause contract-related fines (e.g., based on a service level agreement)?</t>
  </si>
  <si>
    <t>Can a manipulated product cause contract-related / legal fines? (Note that this concerns individual obligations, not the standard product warranty).</t>
  </si>
  <si>
    <t>Does the product have / support cameras or other sensors that can potentially identify people? (Regarding "supporting a camera / sensor": only answer with Yes if attaching a camera / sensor is in the intended or foreseeable use of the product.)</t>
  </si>
  <si>
    <t>The product is not intended for use in safety-relevant use cases on its own. Consequently, using the product in safety-relevant use cases happens at the customer's responsibility.</t>
  </si>
  <si>
    <t>Answering Guideline</t>
  </si>
  <si>
    <t>Follow Up Question</t>
  </si>
  <si>
    <t xml:space="preserve">Answering Guideline </t>
  </si>
  <si>
    <t>Question Address</t>
  </si>
  <si>
    <t>(2) No, only if it is technically impossible to identify a person based on the collected data.
Applies if:
* sensors measure only environmental data (e.g. temperature, humidity, pressure)
* sensors measure only mechanical states (e.g. motor current, vibration)
* resolution and sensor design make identification impossible
* sensor output is strictly numerical without human-related attributes</t>
  </si>
  <si>
    <t>(2) No — cannot argue that the solution avoids filming or detecting people
(2a) Field of view includes humans
No, if the device is assembled or positioned in a way that allows people in its field of view.
Examples:
* cameras facing corridors
* cameras facing workstations
* cameras in public or semi-public areas
* adjustable camera mounts
(2b) Human-related features exist
No, if the system includes functions such as:
* facial recognition
* person detection
* people counting
* gesture recognition
* crowd monitoring
Even if:
* features are disabled by default
* features are optional
(2c) Mobile or autonomous devices
No, if the device is mobile and navigates through mixed-use environments, such as:
* offices
* retail spaces
* hospitals
* airports
* logistics areas with staff present
Unless:
* active technical measures prevent capture of people
* or sensors cannot detect humans at all</t>
  </si>
  <si>
    <t>(1) Yes, if technical design reliably prevents human capture or recognition.
(1a) Physical or mechanical limitations
Yes, if the solution is assembled in a way that prevents filming people, for example:
* camera permanently directed:
  - at the floor
  - into machinery
  - onto a conveyor belt without human contact
  - into enclosed compartments
* field of view physically blocked
  - shielding
  - housing design
  - mechanical stops
* installation height or angle excludes human capture
Important:
* Must be permanent and not user-adjustable
* Must not rely on user configuration</t>
  </si>
  <si>
    <t>(1b) Sensor technology inherently prevents identification
Yes, if the device uses sensors where human identification is technically impossible, such as:
* low-resolution LiDAR without reflectivity mapping
* binary presence sensors
* ultrasonic distance sensors
* infrared break beams
* coarse occupancy detection
Not valid if:
* reflectivity data is recorded
* high-resolution depth cameras are used</t>
  </si>
  <si>
    <t>(1c) Human-free operating environments
Yes, if the device operates exclusively in environments without humans, such as:
* sealed industrial cells
* fenced robotic zones with interlocks
* restricted access technical rooms
* automated warehouses without personnel
Conditions:
* access control must exist
* normal operation must exclude humans
* occasional maintenance does not invalidate this
Not valid if:
* device can be redeployed elsewhere
* environment is only "normally" empty
* device is customer-installable</t>
  </si>
  <si>
    <t>Row Color</t>
  </si>
  <si>
    <t xml:space="preserve">Answer </t>
  </si>
  <si>
    <t>Q ID2</t>
  </si>
  <si>
    <t>(1) Yes, if information gathered by the device may directly or indirectly make a person identifiable, even if identification is not the intended purpose.
Also applies to any biometric or person-related attributes, including but not limited to:
* voice or speech characteristics
* fingerprints
* face or partial face images</t>
  </si>
  <si>
    <t>This readme, the answering guideline, and the version history.</t>
  </si>
  <si>
    <t>AS3, AS18</t>
  </si>
  <si>
    <t>Classify the worst credible impact on the affected person if the data is disclosed or misused.</t>
  </si>
  <si>
    <t>(2) No, if the solution processes only technical or anonymous data, for example:
* distances or object dimensions
* barcode numbers without personal reference
* machine states or diagnostics
* anonymous object tracking
(2*) Unclear
If there is any doubt when selecting No → consult the Data Protection Office.</t>
  </si>
  <si>
    <t>(1)  Yes, if the solution contains non-public software or firmware intellectual property.</t>
  </si>
  <si>
    <t>Loss of the general idea how solution works or low impact on markets (little innovation / very small market)</t>
  </si>
  <si>
    <t>Relevant aspects of system is comprehensible or moderate impact on markets (some innovation in the solution / medium size market)</t>
  </si>
  <si>
    <t>Can be copied / technology available or high impact on markets (highly innovative solution / high-volume market)</t>
  </si>
  <si>
    <t>The affected person may experience limited negative effects on social or economic circumstances.
Damage level Low
Examples:
* name without additional context
* basic contact data
* non-sensitive shipment data
* licence plates without tracking history</t>
  </si>
  <si>
    <t>The affected person may be significantly impaired in social or economic circumstances.
Damage level High
Examples:
* tracking data
* full name, adress and personal data
* detailed employment-related data
* linked datasets enabling profiling</t>
  </si>
  <si>
    <t>The affected person may be severely or irreversibly harmed, or personal freedom may be threatened.
Damage level Critical
Examples:
* biometric identifiers
* access credentials
* security-related personal data
* comprehensive personal profiles
* sexual identity 
* health information</t>
  </si>
  <si>
    <t>(2) No, if the solution contains only public or standard software components</t>
  </si>
  <si>
    <t>(1) Yes, if it is reasonable that customer may require such an obligation (1*)The PM should be able to answer this question.</t>
  </si>
  <si>
    <t>Direct loss, fines for infringements of laws, or violations of contracts below 200,000 EUR
Damage level Low</t>
  </si>
  <si>
    <t>Direct loss, fines for infringements of laws, or violations of contracts between 200,000 EUR and 2 million EUR
Damage level Medium</t>
  </si>
  <si>
    <t>Direct loss, fines for infringements of laws, or violations of contracts between 2 million EUR and 20 million EUR
Damage level High</t>
  </si>
  <si>
    <t xml:space="preserve">Direct loss, fines for infringements of laws, or violations of contracts above 20 million EUR, or consequences threatening the company's existence or employees.
Damage level Critical </t>
  </si>
  <si>
    <t>(2) No, in any other case.</t>
  </si>
  <si>
    <t>Hazardous situation without actual injury.
* Unsafe condition occurs
* No physical injury
* Near-miss event
* Protective mechanisms still effective
* Situation reversible without medical treatment</t>
  </si>
  <si>
    <t>Light or moderate injury.
* Minor cuts, bruises, sprains
* Temporary discomfort
* Outpatient medical treatment sufficient
* Short recovery time
* No permanent impairment</t>
  </si>
  <si>
    <t>Severe injury; survival probable.
* Serious fractures
* Hospitalization required
* Surgical intervention possible
* Long recovery time
* Possible lasting impairment</t>
  </si>
  <si>
    <t>* Immediate danger to life
* Intensive medical care required
* Permanent severe disability possible
* Fatal outcome possible</t>
  </si>
  <si>
    <t>Minimal (a few hours maximum) downtime, customer can restore the device or can quickly fix the issue himself (e.g. reset)
* Short interruption (minutes to a few hours)
* No permanent damage
* Restart or simple parameter correction sufficient or solution exchange by customer himself with second device
* No external support required</t>
  </si>
  <si>
    <t>Minor downtime ( few hours to a day / two days), Disturbance of function; service intervention required
* Downtime several hours up to 1–2 days
* On-site or remote service needed
* Reconfiguration, firmware recovery, recalibration
* No structural damage</t>
  </si>
  <si>
    <t>Major downtime or disturbance of function (few days to a week)
* Downtime several days
* Replacement of components required
* System reintegration necessary
* Noticeable operational impact</t>
  </si>
  <si>
    <t>Singular incident with limited environmental damage
* Localized environmental impact
* Limited clean-up required
* No long-term ecological consequences
* Contained to immediate area</t>
  </si>
  <si>
    <t>Destruction of plant; severe damage to assets or operational environment; critical disturbance of function
* Destruction of equipment or plant sections
* Long-term operational outage
* Extensive repair or reconstruction required
* Significant financial loss</t>
  </si>
  <si>
    <t>Environmental damages that accumulate to critical impact over time or occur as a single severe incident
* Major ecological impact
* Regulatory consequences
* Long-term remediation required
* Irreversible environmental harm</t>
  </si>
  <si>
    <t>(2) No, in any other case.
(2*) Also No, if cryptographic material stored on the solution does not allow access to external systems or external data, for example:
* device-specific TLS host certificates
* device identity certificates
(2**) Also No, if credentials only allow access to the individual device itself, for example:
* local web interface passwords
* device service accounts
* device-specific login credentials</t>
  </si>
  <si>
    <t>Rule of Thumb
* Only needed occasionally → No
* Needed during operation → Yes</t>
  </si>
  <si>
    <t>(1) Yes, in any other case than listed in no
Applies if the solution is required for normal system operation, for example:
* continuous sensing or measurement
* machine control or automation support
* object detection or positioning
* navigation or guidance
* identification during production
* real-time communication with other systems
Loss of availability may cause:
* production stops
* degraded operation
* system malfunction
* fallback operation</t>
  </si>
  <si>
    <t>Classify the worst credible impact</t>
  </si>
  <si>
    <t>(2) No, if the solution is only used sporadically and its availability is not required during normal operation.
Typical cases:
* configuration / maintenance / diagnostic / security analysis tools
* log or error data collection
Examples include tools such as:
* SOPAS ET
* Safety Designer
Loss of availability may cause delayed maintenance, delayed configuration, reduced diagnostics but does not affect ongoing operation.</t>
  </si>
  <si>
    <t>(1) Yes, if the solution is part of a chain that authorizes or controls access to protected areas or systems.
Applies if loss of availability could:
* allow unauthorized persons to enter or leave restricted areas
* allow unauthorized system access
Examples:
* sensors reading employee ID cards
* RFID or badge readers
* components of access control systems
* authorization services (e.g. OAuth 2.0)
* gate or door authorization sensors
Also Yes if failure results in:
* doors or gates opening automatically
* access checks being bypassed
* assets becoming accessible without detection</t>
  </si>
  <si>
    <t>(1) Yes, for safety solutions.</t>
  </si>
  <si>
    <t>MOST OF THE TIME, IF NOT ALWAYS, THE SAME AS IN QI2
Classify the worst credible impact on the affected person if the data is disclosed or misused.</t>
  </si>
  <si>
    <t>(2) No, if the solution processes only technical or anonymous data, for example:
* distances or object dimensions
* barcode numbers without personal reference
* machine states or diagnostics
* anonymous object tracking
(2*) Unclear
If there is any doubt when selecting No → consult the Data Protection Office.</t>
  </si>
  <si>
    <t>(1a) See QI3
(1b) Yes, if manipulation could realistically expose proprietary information contained in the solution.
Applies if the solution contains:
* proprietary firmware or algorithms
* calibration data
* signal processing logic
* parameter sets reflecting know-how
* configuration files containing internal logic
* embedded models or rule sets
Also Yes if manipulation could allow:
* firmware extraction
* memory dumping
* debug interface abuse
* bypass of access protection
* unauthorized firmware download
* reverse engineering facilitation</t>
  </si>
  <si>
    <t>(2a) No, in any other case.
(2b) Deviating from (1a) to
No, if physical access (QA14) is No and QA17 is either (No,x) or (Yes, No).</t>
  </si>
  <si>
    <t>(1) Yes, if manipulation could allow an attacker to:
* extract credentials or cryptographic keys
* reuse credentials stored on the device
* access memory where credentials are processed at runtime
* trigger the solution to authenticate against other systems on the attacker’s behalf
* abuse stored credentials to gain access to external systems
* intercept credentials via modified communication
Applies especially if the solution stores:
* FTP credentials (plain text or recoverable)
* API keys
* database credentials
* cloud access tokens
* shared certificates
* private keys
* service accounts valid beyond the device itself
Important:
Even if credentials are encrypted at rest → Yes,
if a manipulated solution can still use them to access other systems.</t>
  </si>
  <si>
    <t>(2) No, only if:
* the solution does not store credentials, or
* stored cryptographic material cannot be extracted and
* cannot be misused to authenticate to other systems, and
* credentials are device-unique and restricted to the device itself
Examples:
* secure element–protected private keys
* secure boot keys (verification only)
* device-identity certificates not granting external access</t>
  </si>
  <si>
    <t>Rule of Thumb
Influences machines or processes → Yes
Monitoring or diagnostics only → No</t>
  </si>
  <si>
    <t>(1a) Yes, if the solution is relevant for the availability of the operational environment.
Applies if manipulation could:
* stop production processes
* interrupt machine operation
* disrupt automation workflows
* prevent normal operation
Reference: If availability was answered Yes in the availability question, this is typically Yes.
(1b) Yes, if the solution is used for making changes to the operational environment, or if operational decisions depend on solution data.
Applies if the solution:
* provides measurement data used for machine control
* triggers automated actions
* influences process parameters
* provides positioning or navigation data
* identifies objects used in production decisions
(1c) Yes, if the solution is safety-relevant.
Reference: If the safety manipulation question (QI10) was answered Yes, then this answer is Yes.
Applies to:
* safety sensors
* safety controllers
* protective devices
* safety-related communication</t>
  </si>
  <si>
    <t>(2) No, in any other case.
Applies if manipulation can at most cause:
* incorrect monitoring results
* wrong diagnostics
* incorrect logs
* local device malfunction without system impact</t>
  </si>
  <si>
    <t>(1) Yes, if manipulation could allow the solution to be used as:
* a pivot into the customer network
* a stepping stone to other systems
* a trusted communication endpoint
* a bridge between network zones
* a source of malicious traffic
* a means to bypass segmentation
Applies if the solution:
* has IP-based communication (Ethernet, TCP/IP, PROFINET, EtherNet/IP, etc.)
* communicates with PLCs, servers, HMIs, or cloud systems
* can initiate outbound connections
* offers network services
* has access to other systems via stored credentials
* bridges different communication technologies (e.g., serial ↔ Ethernet)
Also Yes if:
* compromise would allow scanning or attacking other network devices
* manipulation enables lateral movement
* the device is trusted within an industrial zone
In practice, for most network-capable industrial devices → Yes (default)</t>
  </si>
  <si>
    <t>(2) No, only if:
* the solution has no communication interface, or
* communication is strictly isolated and cannot reach other assets, and
* manipulation cannot influence or access other systems.
Typical examples:
* purely analog sensors
* binary I/O devices
* standalone devices without communication
* physically isolated devices</t>
  </si>
  <si>
    <t>(1)Yes, if it is reasonable that customer may require such an obligation (1*)The PM should be able to answer this question.</t>
  </si>
  <si>
    <t>(1) Yes, if the solution has any technical capability to exchange data with external devices, networks, or storage media, whether wired or wireless.
This includes, but is not limited to:
* Ethernet (IP-based communication)
* WiFi
* Bluetooth
* cellular (4G / 5G / LTE-M / NB-IoT)
* USB (host or device mode)
* serial interfaces (RS-232 / RS-485 / RS-422)
* CAN / CANopen
* IO-Link
* fieldbus interfaces
* removable storage (SD cards, USB mass storage)
* NFC or RFID interfaces
* diagnostic or service ports used for data exchange
Important:
Connectivity includes both operational and configuration interfaces, even if:
* they are used only occasionally
* they require physical access
* they are intended for maintenance
If data can flow in or out → Yes.</t>
  </si>
  <si>
    <t>(2) No, only if the solution:
* has no communication interface at all
* has no data exchange capability
* only provides analog or binary signals without digital communication
* cannot store or export data</t>
  </si>
  <si>
    <t>(1a) Yes, if the solution enables communication between two separate networks or communication domains.
This includes, but is not limited to:
* acting as a router or Layer-3 gateway
* protocol conversion (e.g. WiFi ↔ Ethernet, Serial ↔ Ethernet, CAN ↔ IP)
* IO-Link master devices (IO-Link ↔ Ethernet)
* fieldbus gateways
* edge gateways connecting OT to IT
* PLCs routing between different network segments
Applies if the solution connects different trust zones or communication technologies.
(1b) Yes, if the solution forwards or relays data between two systems in a way that enables cross-segment communication.
Example:
* receiving data from one interface and transmitting it to another
* acting as a message broker between segments
* translating or repackaging data for another network
(1c) Yes, if the solution transports unchanged payload from one communication segment into another.
Example:
* tunneling
* transparent forwarding
* bridging communication across segments
If data crosses a boundary → Yes</t>
  </si>
  <si>
    <t>(2a) No, if the solution:
* operates only within a single network
* does not forward communication between segments
* is a standalone endpoint
(2b) No, if the solution only consumes data and produces its own defined output, without enabling arbitrary cross-communication.
Example:
* downloading a file from the Internet and storing it locally
* reading data and sending processed results to one defined endpoint
No transparent forwarding → No
(2c) No, if two Ethernet ports are internally switched like an unmanaged switch only for port extension and do not introduce routing, filtering, protocol translation, or segmentation.
Use case:
* device provides a second Ethernet port so the machine does not lose connectivity
* no routing between different networks
* no protocol translation
Pure Layer-2 pass-through for port convenience → No</t>
  </si>
  <si>
    <t>(1) Yes, if the solution establishes a direct logical communication link to exactly one other device at a time.
This includes:
* Bluetooth pairing
* USB connections (host or device)
* serial communication (RS-232, RS-485, RS-422)
* CAN / CANopen
* dedicated wired communication links
* proprietary one-to-one communication interfaces
Applies if communication is direct and not routed through a shared network infrastructure.</t>
  </si>
  <si>
    <t>(2a) No, if the solution communicates via a shared network infrastructure, such as:
* Ethernet (TCP/IP)
* WiFi network
* switched industrial Ethernet
* routed IP networks
Even if only two devices are currently connected, if the communication runs over a network → No (not point-to-point).
(2b) No, if the solution is connected only via:
* digital I/O
* analog signals
* simple switching contacts
These are electrical connections, not communication links.</t>
  </si>
  <si>
    <t>(1) Yes, if the solution includes a network-capable communication stack, for example:
* TCP/IP or UDP/IP communication
* Ethernet interface
* Industrial Ethernet (e.g. PROFINET, EtherNet/IP, Modbus TCP)
* network-based configuration or diagnostics
* fieldbus interfaces based on IP
Applies if the solution can directly communicate with other devices on a local network.</t>
  </si>
  <si>
    <t>(1) Yes, if the solution has a wireless connection, e.g.:
* Wifi
* ellular
* Bluetooth
* NFC
* Mobile Network
* Radio protocols</t>
  </si>
  <si>
    <t>(2) No,
* if the solution only has physical ports (USB, Ethernet, RS232) and no antenna or wireless module.
* if wireless functionality exists in theory (e.g., unused chipset), but is permanently disabled or not accessible in the final solution.
* if it operates completely offline and any setup or updates require direct, wired interaction.</t>
  </si>
  <si>
    <t>(1a) Yes, if the solution has a direct connection to a mobile network, for example:
* integrated 5G / LTE / 4G modem
* cellular connectivity
Applies if the device can connect to a mobile network without additional external equipment.
(1b) Yes, if the solution is directly reachable from the Internet, for example:
* Internet-facing edge gateways
* devices with public IP connectivity
* remote-access gateways
Applies if the device is intended to be connected directly to the Internet without mandatory network isolation.</t>
  </si>
  <si>
    <t>(2) No, in any other case.
Applies if:
* connection to the Internet is only possible via customer infrastructure 
* device is intended for local industrial networks only
* no cellular modem is present</t>
  </si>
  <si>
    <t>(1) Yes, if the solution allows users to modify configuration parameters or settings through any interface, including:
* Teach-In button or hardware setup trigger
* web-based configuration interface (browser access)
* local display with buttons or touchscreen menus
* configuration via USB or serial interface
* configuration via network protocol or engineering tool
* configuration via removable storage (e.g., SD card)</t>
  </si>
  <si>
    <t>(2a) No, if the solution does not allow any configuration changes by the user.
(2b) No, if the device operates only with fixed factory defaults and offers no customization.
(2c) No, if configuration changes are possible only during manufacturing or service by the manufacturer using tools not available to customers.</t>
  </si>
  <si>
    <t>Rule of Thumb:
If the device supports networking → Yes.
If communication is limited to local bus or point-to-point interfaces → No.</t>
  </si>
  <si>
    <t>(1) Yes, if the solution supports IP-based communication or any other routable network protocol that allows communication across network segments.
Examples include:
* TCP/IP or UDP/IP
* IPv4 / IPv6
* Ethernet-based protocols using IP (e.g., HTTP, REST, MQTT)
* industrial protocols using IP (e.g., PROFINET, EtherNet/IP, Modbus TCP)
* routable fieldbus protocols (e.g., CANopen over IP, OPC UA)
Applies if the device can communicate beyond a single local link via routing.</t>
  </si>
  <si>
    <t>(2) No, if the solution communicates only via non-routable or local communication interfaces, such as:
* serial interfaces 
* CAN / CANopen without IP
* IO-Link
* USB
* proprietary point-to-point protocols
* digital or analog I/O
These interfaces allow communication but do not support routing across networks.</t>
  </si>
  <si>
    <t>(1) Yes, if the solution can read from or write to external media or devices that are locally connected, for example:
* reading RFID or NFC tags
* reading or writing USB storage devices
* reading or writing SD cards or other removable storage
* importing/exporting configuration via a configuration stick
* interacting with locally connected removable media or tokens
These interfaces allow data exchange with external systems outside the solution.</t>
  </si>
  <si>
    <t>(2) No, in any other case.
Applies if the solution:
* has no interface to removable media or local external devices
* only communicates via fixed internal interfaces
* cannot read or write external storage or tokens</t>
  </si>
  <si>
    <t>(1) Yes, if the solution exchanges data with any system outside the local network via the Internet, for example:
* cloud platforms
* backend services
* remote monitoring services
* third-party APIs or services
* remote update servers
Communication may be:
* periodic (telemetry, reporting)
* event-based
* for updates, diagnostics, or configuration.</t>
  </si>
  <si>
    <t>(2) No, in any other case.
* communicates only within local networks, or
* does not exchange data with Internet-based systems.</t>
  </si>
  <si>
    <t>(1a) Yes, if the solution supports software or firmware updates via any interface, for example:
* automatic updates from a backend or cloud
* update triggered by user interaction (e.g., button, web UI, engineering tool)
* update via network protocol
* update via USB, SD card, or configuration stick
* update via service interface (Ethernet, serial, etc.)
This includes both automatic and manual update mechanisms.
(1b) For software solutions: Yes, if it is auto-updating or updates on a click.</t>
  </si>
  <si>
    <t>(2a) No, if:
* the solution's software cannot be updated after delivery, or
* updates are only possible during manufacturing or by replacing hardware.
(2b) For software solutions: No, if Updates are not installed automatically.</t>
  </si>
  <si>
    <t xml:space="preserve">(1) Yes, if the solution is expected to receive software or firmware updates during its operational lifetime, either:
* regularly, or
* event-based </t>
  </si>
  <si>
    <t>(2) No, if the solution is not intended to receive software updates after deployment.
This applies if:
* the firmware is considered fixed for the solution lifetime, or
* updates are not supported in the field.</t>
  </si>
  <si>
    <t>(1) Yes, if the solution can be logically reached from a local network through another device acting as a gateway.
This applies if the solution communicates with networked systems indirectly via another device, for example through:
* IO-Link master devices
* PLCs with Ethernet connectivity
* fieldbus gateways
* protocol converters
* edge gateways
* serial-to-Ethernet converters
Typical examples:
* IO-Link device connected to an IO-Link master that is connected to Ethernet → Yes
* serial device connected to a PLC that exposes the data via Ethernet → Yes
The key criterion is that data from the solution can reach the network (or vice versa) through the gateway.
(1*) Note – Serial interfaces
Serial communication interfaces (e.g., RS-232, RS-422, RS-485) should normally also be considered a logical connection to a network via a gateway, because they can easily be integrated into networks using:
* serial-to-Ethernet converters (COM servers)
* PLCs exposing the serial device via Ethernet
* protocol gateways
Therefore:
* Operational serial interfaces → Yes
* Internal debug, manufacturing, or service-only serial interfaces → No</t>
  </si>
  <si>
    <t>(2) No, in any other case.
This applies if the solution:
* communicates only via local electrical signals (e.g., digital I/O, analog signals)
* cannot exchange data with networked systems
* operates purely as a standalone device
* has no communication interface that could realistically be bridged into a network</t>
  </si>
  <si>
    <t>(1) Yes, if the solution can be logically reached from a wireless network through another device acting as a gateway.
This applies if the solution communicates with systems that are connected to a wireless network, for example via:
* PLCs connected to WiFi
* industrial wireless gateways
* edge gateways with WiFi or cellular connectivity
* routers providing wireless access to a wired network
* protocol converters connected to wireless infrastructure
Typical examples:
* sensor connected via IO-Link to a PLC that is connected to WiFi → Yes
* device connected via Ethernet to a gateway with cellular connectivity → Yes
The key criterion is that data from the solution can reach a wireless network (or vice versa) through the gateway.</t>
  </si>
  <si>
    <t>(2) No, in any other case.
This applies if the solution:
* communicates only through wired networks
* cannot exchange data with systems connected to wireless networks
* operates purely locally without wireless connectivity through gateways.</t>
  </si>
  <si>
    <t>(1) Yes, if it is feasible that a person can physically reach the product without specialized equipment, tools, or significant effort.
This includes installations where the device is accessible to:
* employees or operators
* maintenance personnel
* the public or passers-by
Typical examples:
* installations on company premises or factory floors
* devices mounted on machines or production lines
* installations in parking garages
* devices on shipping vessels
* roadside installations or devices on top of highways
The key criterion is that physical access is realistically possible within normal operation or maintenance scenarios.</t>
  </si>
  <si>
    <t>(2) No, in any other case.
This applies if the product is installed in locations where physical access is extremely difficult or unrealistic without specialized equipment or extraordinary effort, for example:
* on top of a mountain peak
* on chimneys or similar high structures
* in space
* encased in concrete or otherwise permanently inaccessible</t>
  </si>
  <si>
    <t>(1) Yes, if persons can physically access the device without authorization or access control.
This applies if the device is installed in locations where the public can reasonably approach or reach it, for example:
* public streets or highways
* public buildings or open facilities
* parking garages
* retail environments
* publicly accessible transportation areas
The key criterion is that no authorization check is required to approach the device.
(1*) Note:
A camera monitoring physical access does not count as access control.</t>
  </si>
  <si>
    <t>(2) No, in any other case.
This applies if physical access to the device is restricted, for example through:
* controlled company premises
* fenced industrial sites
* badge or authorization-controlled areas
* secured technical rooms
(2*) Software solutions:
If the solution is software only, select No, since software itself is not physically accessible.</t>
  </si>
  <si>
    <t>(1) Yes, if any part of the directly attached cables or physical communication lines may pass through areas that are accessible to the public.
Examples include cables routed through:
* publicly accessible buildings or facilities
* public streets or infrastructure areas
* open parking garages
* transportation areas
* other environments without access control
(1*) Note:
If any portion of the cable route is publicly accessible, this should be considered Yes, even if the device itself is installed in a restricted area.</t>
  </si>
  <si>
    <t>(2) No, in any other case.
This applies if all cables and physical connections are installed in controlled environments with restricted access, such as:
* factory floors with access control
* secured technical rooms
* fenced industrial facilities
* controlled machine enclosures
Where the public cannot physically access the cables or connectors.</t>
  </si>
  <si>
    <t>(1) Yes, if the product provides debug or development interfaces that can be accessed without specialized equipment.
Examples include:
* JTAG or SWD headers accessible on the PCB
* UART / serial debug console
* root shell access (e.g., SSH, telnet)
* maintenance or developer login accounts
* exposed debug connectors
Access counts as Yes even if:
* the casing must be opened or destroyed
* physical disassembly is required</t>
  </si>
  <si>
    <t>(2) No, if the debug interface is not practically accessible without specialized tools or significant effort, for example:
* contacts accessible only with needle adapters or pogo pins
* hidden test pads requiring specialized fixtures
* interfaces disabled or removed in production hardware</t>
  </si>
  <si>
    <t>(2) No, in any other case.
This applies if the manufacturing environment:
* cannot be verified as trustworthy
* lacks controlled production processes
* involves unknown or untrusted subcontractors
* does not ensure secure handling of software, firmware, or hardware components.</t>
  </si>
  <si>
    <t>Expected time of operation at the customer. CRA: "expected time to be in use"</t>
  </si>
  <si>
    <t>This is the support period in which the solution will be maintained with fixes for exploitable vulnerabilities. 
Minimum 5 years due to the CRA, it must be oriented at the solution's lifetime.</t>
  </si>
  <si>
    <t>(1) Local network gateway
Select this if the solution connects:
* two local network segments
* two OT networks
* fieldbus ↔ Ethernet
* IO-Link ↔ Ethernet
* Serial ↔ Ethernet
* different VLANs within a factory
* machine network ↔ plant network
Applies if the gateway function is limited to internal or site-local communication domains.</t>
  </si>
  <si>
    <t>(2) Internet-facing gateway
Select this if the solution connects:
* a local network to the Internet
* OT network to cloud services
* factory network to external infrastructure
* internal systems to publicly reachable services
Applies if the solution:
* has direct Internet connectivity, or
* exposes services externally, or
* enables bidirectional communication between internal systems and the Internet</t>
  </si>
  <si>
    <t>Rule of Thumb:
Closed industrial network → Trustworthy
Open or shared network → Not trustworthy</t>
  </si>
  <si>
    <t>(1a) Yes, if the intended use assumes the connected device is:
* part of the same controlled industrial environment
* managed by the customer or operator
* installed within a protected machine or plant network
* under administrative control of the same organization
Typical examples:
* PLC connected to a sensor
* HMI connected to a controller
* engineering laptop used for configuration
* IO-Link master connected to a sensor
In these cases, we assume a trusted industrial environment.
Responsibility for securing the connected device lies with the customer/operator.</t>
  </si>
  <si>
    <t>(2) No, if the solution is intended to operate in untrusted or partially trusted networks, for example:
* shared corporate networks
* customer-managed networks without restrictions
* public or semi-public networks
* networks with unknown devices</t>
  </si>
  <si>
    <t>Rule of Thumb:
Closed industrial network → Trustworthy
Open or shared network → Not trustworth</t>
  </si>
  <si>
    <t>(1) Yes, if the intended use assumes a restricted and controlled wireless environment, meaning:
* access to the wireless network is protected (e.g. authentication, encryption, access control)
* only authorized devices can join the network
* the network is managed by the customer/operator
* the wireless network is part of a protected industrial environment
Typical examples:
* secured industrial WiFi inside a factory
* managed Bluetooth pairing with authenticated devices
* dedicated wireless network for machine communication
In this case, connected devices are considered trustworthy within the intended use, and network protection is the responsibility of the customer/operator.</t>
  </si>
  <si>
    <t>(2) No, if:
* the wireless network may be public, shared, or uncontrolled
* devices from outside the organization may connect
* access restrictions cannot be enforced
* pairing or authentication is weak or optional
* the intended use includes operation in untrusted environments
Examples:
* connection to public WiFi
* ad-hoc Bluetooth pairing without strict control
* deployment in customer environments without defined network security</t>
  </si>
  <si>
    <t>Rule of Thumb
If any unauthorized person with physical or network access could change configuration, the correct answer is: No.</t>
  </si>
  <si>
    <t>(1) Yes, if the interface includes effective protection against unauthorized configuration changes, such as:
* authentication (password, PIN, certificate, token)
* role-based access control
* physical access protection (e.g., locked cabinet, internal interface)
* secure pairing or trusted device access
* encrypted communication with authenticated access
Protection must reasonably prevent unauthorized users from changing settings.</t>
  </si>
  <si>
    <t>(2) No, if configuration changes can be performed without authentication or access control, for example:
* settings can be changed via buttons or interfaces without authorization
* configuration via open network interface without authentication
* configuration via USB or serial interface without access control
* configuration commands accepted from any network device</t>
  </si>
  <si>
    <t>(1) Yes, if it is reasonable to assume that all external systems used in the intended operation are trusted, for example:
* RFID tags issued and managed by the operator
* configuration sticks controlled by authorized personnel
* removable media used only in controlled industrial environments
The trust assumption must align with the intended use of the solution.
(1*) Compare with the selection of A12 and A13 and ensure a consistent intented use</t>
  </si>
  <si>
    <t>(2) No, in any other case.
Select No if external systems may be:
* customer-provided or uncontrolled
* replaceable by unknown devices
* accessible to unauthorized persons
* removable media from unknown sources
Typical examples:
* generic USB sticks
* third-party RFID tags
* externally provided SD cards</t>
  </si>
  <si>
    <t>(2) No, if the external system is:
* a third-party service outside the trust boundary
* customer-provided infrastructure not under vendor control
* publicly accessible or unknown Internet services
* any system where trust cannot be guaranteed</t>
  </si>
  <si>
    <t>(2) No, if update sources may include:
* arbitrary or customer-provided firmware packages
* update files from unknown sources
* update channels without verification of origin or integrity</t>
  </si>
  <si>
    <t>(1) Yes, if the mitigation strategy foresees hardware replacement or solution exchange when security issues must be resolved.</t>
  </si>
  <si>
    <t>(2) No, if neither:
*software updates in the field, nor
* hardware replacement
are planned as remediation measures for vulnerabilities or security incidents.</t>
  </si>
  <si>
    <t>Rule of Thumb:
If the solution assumes operation in a controlled industrial automation network → Yes.
If exposure to untrusted or mixed networks is realistic → No.</t>
  </si>
  <si>
    <t>(1) Yes, if the intended use assumes that:
* the local network is a controlled industrial network
* the gateway (e.g., PLC, IO-Link master, fieldbus gateway) is managed by the customer/operator
* access to the network is restricted to authorized systems
* devices in the network belong to the same trust domain
Typical examples:
* machine network inside a factory
* PLC-controlled automation cell
* IO-Link master connected to the plant network
In this case, the network and the gateway are considered trustworthy within the intended operational environment.</t>
  </si>
  <si>
    <t>(2) No, if the network or gateway may be:
* accessible to unknown or unmanaged devices
* connected to shared IT networks without segregation
* customer-managed infrastructure outside the solution’s trust boundary
* environments where the integrity of the gateway cannot be assumed</t>
  </si>
  <si>
    <t>(1) Yes, if the intended use assumes that:
* the wireless network is restricted and managed (e.g., secured WiFi or managed industrial wireless network)
* access to the network requires authentication and encryption
* only authorized devices can join the network
* the gateway providing the wireless connection is managed by the customer/operator
Typical examples:
* secured factory WiFi used for machine communication
* managed industrial wireless infrastructure
* cellular gateway operated within a controlled deployment</t>
  </si>
  <si>
    <t>(2) No, in any other case.
Select No if the wireless network or gateway may be:
* public or shared wireless networks
* customer-provided infrastructure outside the solution’s control
* networks where unauthorized devices may connect
* environments where the integrity of the gateway cannot be assumed</t>
  </si>
  <si>
    <t>(1) Yes, if the debug or development interface can be accessed remotely via a network connection, for example through:
* SSH root access
* remote debugging services
* developer APIs or maintenance endpoints exposed via network</t>
  </si>
  <si>
    <t>(2) No, if the debug interfaces are accessible only locally, for example via:
* physical debug ports (JTAG, UART)
* internal connectors
* maintenance interfaces requiring physical access.</t>
  </si>
  <si>
    <t>(1a) Yes, if there are no supply chain partners
(1b) Yes, as it is part of the requirements they agreed upon.</t>
  </si>
  <si>
    <t>Special case – Software products
If the solution is software installed on a computer, evaluate the physical accessibility of the host system.
Example:
* software running on a workstation in an office → typically Yes
* software running in a secured data center with restricted access → may be No depending on the environment.</t>
  </si>
  <si>
    <t>QI1[Yes|*]</t>
  </si>
  <si>
    <t>QI6[No|No], QI10[No]</t>
  </si>
  <si>
    <t>QA19[Yes|*], QA19[No]</t>
  </si>
  <si>
    <r>
      <t xml:space="preserve">* Added AS18 to the </t>
    </r>
    <r>
      <rPr>
        <i/>
        <sz val="11"/>
        <color theme="0"/>
        <rFont val="Calibri"/>
        <family val="2"/>
        <scheme val="minor"/>
      </rPr>
      <t>Prerequisite Attack Steps</t>
    </r>
    <r>
      <rPr>
        <sz val="11"/>
        <color theme="0"/>
        <rFont val="Calibri"/>
        <family val="2"/>
        <scheme val="minor"/>
      </rPr>
      <t xml:space="preserve"> of AS10 and AS11
* Changed the activation conditions of AS38 to QA19[Yes|*], QA19[No] (i.e., the attack path for the supply chain no longer activates if the supplier is not available (N/A))</t>
    </r>
  </si>
  <si>
    <t>(1a) Yes, if credentials are or may be present at runtime that allow access to external systems or external data, for example:
* access to PLCs
* access to factory networks or databases
* access to cloud services
* shared service accounts
* API keys for external services
* network authentication credentials
Applies even if:
* credentials are customer-configured
* credentials are stored temporarily
* credentials are encrypted on the device
1b) Yes, if credentials fall under (2*) but are valid beyond a single device, for example:
* generic credentials deployed across a fleet of devices
* factory-wide authentication keys
* service credentials reused on multiple products
* certificates or keys not bound to a single device instance</t>
  </si>
  <si>
    <t>Not applicable, if the product has no supply chain partners involved in its development, manufacturing, or delivery.
This applies if:
* the product is fully developed and produced internally
* no third-party components, software, or services are integrated
* no external suppliers have access to the product or its development process</t>
  </si>
  <si>
    <t>DR1</t>
  </si>
  <si>
    <t>Required product documentation</t>
  </si>
  <si>
    <t>The component shall be provided with all required documentation.</t>
  </si>
  <si>
    <t>All documentation required by the CRA is available for the product and provided to customers buying the product.</t>
  </si>
  <si>
    <t>The user documentation shall state that the product does not provide functional safety on its own and that any use of the product in safety-relevant applications requires external safety measures under the customer’s responsibility.</t>
  </si>
  <si>
    <t>SDR 1.5 – Product is not used for safety-relevant use cases on its own</t>
  </si>
  <si>
    <t>A7-8</t>
  </si>
  <si>
    <r>
      <t>* Combined A5 and A31 (into A5, removing A31), updated the activation condition to QI6[No|No], QI10[No] and changed its wording for better clarity
* Changed the wording of A1 to cover more than just cameras, better reflecting the associated question QI1
* Changed the wording of A3 to "</t>
    </r>
    <r>
      <rPr>
        <b/>
        <sz val="11"/>
        <color theme="1"/>
        <rFont val="Calibri"/>
        <family val="2"/>
        <scheme val="minor"/>
      </rPr>
      <t xml:space="preserve">No </t>
    </r>
    <r>
      <rPr>
        <sz val="11"/>
        <color theme="1"/>
        <rFont val="Calibri"/>
        <family val="2"/>
        <scheme val="minor"/>
      </rPr>
      <t xml:space="preserve">handling of personal data" to clarify the intention of the assumption
* Added a red background color to the red margins around cells that require content (such as answering a question) on the </t>
    </r>
    <r>
      <rPr>
        <i/>
        <sz val="11"/>
        <color theme="1"/>
        <rFont val="Calibri"/>
        <family val="2"/>
        <scheme val="minor"/>
      </rPr>
      <t xml:space="preserve">Questionnaire </t>
    </r>
    <r>
      <rPr>
        <sz val="11"/>
        <color theme="1"/>
        <rFont val="Calibri"/>
        <family val="2"/>
        <scheme val="minor"/>
      </rPr>
      <t>sheet
* Fused A7 and A8 into the new assumption A7-8</t>
    </r>
  </si>
  <si>
    <t>SDR 1.78 – Limited damage in case of loss of availability or integrity</t>
  </si>
  <si>
    <t>The user documentation shall state that the product must be integrated in such a way that a loss of availability or integrity does not result in a high criticality impact on the customer's operational environment.</t>
  </si>
  <si>
    <t>The risk assessment of the product in its operational environment according to its intended use assumes an upper limit for the potential damages. In particular, this means that integrators need to consider additional measures to limit the potential damage in case the product fails or acts maliciously. To ensure this is being adhered to by the customer or integrator, a clear statement in the installation instructions is necessary.</t>
  </si>
  <si>
    <t xml:space="preserve">    Questionnaire-Based Assessment (QuBA)  © 2025 by SICK AG and Fraunhofer-Institut für Angewandte und Integrierte Sicherheit AISEC is licensed under CC BY-SA 4.0. To view a copy of this license, visit https://creativecommons.org/licenses/by-sa/4.0/</t>
  </si>
  <si>
    <t>Defines damage categories to be used in the Questionnaire sheet.</t>
  </si>
  <si>
    <t>Defines damage criteria to be used in the Questionnaire sheet.</t>
  </si>
  <si>
    <t>Defines the damage levels for risk calculation (sheets Risks, Mitigation, and Risk Treatment).</t>
  </si>
  <si>
    <t>Defines the required attack potential levels and their thresholds for risk calculation (sheets Risks, Mitigation, and Risk Treatment).</t>
  </si>
  <si>
    <t>Defines the contribution of each RAP factor for risk calculation (sheets Risks, Mitigation, and Risk Treatment).</t>
  </si>
  <si>
    <r>
      <t xml:space="preserve">Defines the risk values for risk calculation (sheets </t>
    </r>
    <r>
      <rPr>
        <i/>
        <sz val="11"/>
        <color theme="0"/>
        <rFont val="Calibri"/>
        <family val="2"/>
        <scheme val="minor"/>
      </rPr>
      <t>Risks</t>
    </r>
    <r>
      <rPr>
        <sz val="11"/>
        <color theme="0"/>
        <rFont val="Calibri"/>
        <family val="2"/>
        <scheme val="minor"/>
      </rPr>
      <t xml:space="preserve">, </t>
    </r>
    <r>
      <rPr>
        <i/>
        <sz val="11"/>
        <color theme="0"/>
        <rFont val="Calibri"/>
        <family val="2"/>
        <scheme val="minor"/>
      </rPr>
      <t>Mitigation</t>
    </r>
    <r>
      <rPr>
        <sz val="11"/>
        <color theme="0"/>
        <rFont val="Calibri"/>
        <family val="2"/>
        <scheme val="minor"/>
      </rPr>
      <t xml:space="preserve">, and </t>
    </r>
    <r>
      <rPr>
        <i/>
        <sz val="11"/>
        <color theme="0"/>
        <rFont val="Calibri"/>
        <family val="2"/>
        <scheme val="minor"/>
      </rPr>
      <t>Risk Treatment</t>
    </r>
    <r>
      <rPr>
        <sz val="11"/>
        <color theme="0"/>
        <rFont val="Calibri"/>
        <family val="2"/>
        <scheme val="minor"/>
      </rPr>
      <t>).</t>
    </r>
  </si>
  <si>
    <r>
      <t xml:space="preserve">Defines the risk matrix for risk calculation (sheets </t>
    </r>
    <r>
      <rPr>
        <i/>
        <sz val="11"/>
        <color theme="0"/>
        <rFont val="Calibri"/>
        <family val="2"/>
        <scheme val="minor"/>
      </rPr>
      <t>Risks</t>
    </r>
    <r>
      <rPr>
        <sz val="11"/>
        <color theme="0"/>
        <rFont val="Calibri"/>
        <family val="2"/>
        <scheme val="minor"/>
      </rPr>
      <t xml:space="preserve">, </t>
    </r>
    <r>
      <rPr>
        <i/>
        <sz val="11"/>
        <color theme="0"/>
        <rFont val="Calibri"/>
        <family val="2"/>
        <scheme val="minor"/>
      </rPr>
      <t>Mitigation</t>
    </r>
    <r>
      <rPr>
        <sz val="11"/>
        <color theme="0"/>
        <rFont val="Calibri"/>
        <family val="2"/>
        <scheme val="minor"/>
      </rPr>
      <t xml:space="preserve">, and </t>
    </r>
    <r>
      <rPr>
        <i/>
        <sz val="11"/>
        <color theme="0"/>
        <rFont val="Calibri"/>
        <family val="2"/>
        <scheme val="minor"/>
      </rPr>
      <t>Risk Treatment</t>
    </r>
    <r>
      <rPr>
        <sz val="11"/>
        <color theme="0"/>
        <rFont val="Calibri"/>
        <family val="2"/>
        <scheme val="minor"/>
      </rPr>
      <t>).</t>
    </r>
  </si>
  <si>
    <r>
      <t xml:space="preserve">Name the assumption. The </t>
    </r>
    <r>
      <rPr>
        <i/>
        <sz val="11"/>
        <color theme="0"/>
        <rFont val="Calibri"/>
        <family val="2"/>
        <scheme val="minor"/>
      </rPr>
      <t>SDR&lt;number&gt;</t>
    </r>
    <r>
      <rPr>
        <sz val="11"/>
        <color theme="0"/>
        <rFont val="Calibri"/>
        <family val="2"/>
        <scheme val="minor"/>
      </rPr>
      <t xml:space="preserve"> IDs in the initial catalog represent </t>
    </r>
    <r>
      <rPr>
        <i/>
        <sz val="11"/>
        <color theme="0"/>
        <rFont val="Calibri"/>
        <family val="2"/>
        <scheme val="minor"/>
      </rPr>
      <t>Security Documentation Requirements</t>
    </r>
    <r>
      <rPr>
        <sz val="11"/>
        <color theme="0"/>
        <rFont val="Calibri"/>
        <family val="2"/>
        <scheme val="minor"/>
      </rPr>
      <t>, as assumptions typically must be documented and communicated accordingly.</t>
    </r>
  </si>
  <si>
    <t>A unique ID for the countermeasure. IDs with the structure C&lt;number&gt; represent basic requirements, typically based on standards, while countermeasures with a CM&lt;number&gt; ID represent more specific requirements / countermeasures.</t>
  </si>
  <si>
    <t>The Cybersecurity Specialist (CSS) (central security department).</t>
  </si>
  <si>
    <t>The Cybersecurity Team Specialist (CSTS) (security expert embedded in a department).</t>
  </si>
  <si>
    <t>Use an export of requirement IDs for the confirmed assumptions and countermeasures.</t>
  </si>
  <si>
    <t>(1) Yes, if the solution collects, stores, transmits, or processes information relating to an identifiable person, directly or indirectly.
Examples:
* User accounts can be created or modified
* People appear in captured image or sensor data
* Processing of licence plates from vehicles
* Reading address labels or shipping data
* Object-related data that can be linked to a person (e.g. assigned workstations, personalized tools, operator IDs)
Also Yes if:
* data is transmitted to external systems
* logs contain user names or IDs
* remote access identifies operators</t>
  </si>
  <si>
    <t>&lt;&lt; OEM Name &gt;&gt;</t>
  </si>
  <si>
    <t>Does the product process personal data?
Examples: address labels</t>
  </si>
  <si>
    <t>qubalibre@SICK.de
riskassessments@aisec.fraunhofer.de</t>
  </si>
  <si>
    <t>Additional answer options for QA19</t>
  </si>
  <si>
    <t>1.1.0</t>
  </si>
  <si>
    <t>Applied selectively by the security expert conducting the analysis, given a good rationale.</t>
  </si>
  <si>
    <t>The attack needs to find and exploit a software vulnerability first, then escape from the virtual system / the container to attack the target software.</t>
  </si>
  <si>
    <t>Make sure you tailor the document, especially the assessment model contained in the Definitions sheet and the catalogs, to your organization.
For example, adapt the exemplary risk matrix to a matrix that fits your organization and its context.</t>
  </si>
  <si>
    <t>The Product Manager (PM).</t>
  </si>
  <si>
    <t>The Research &amp; Development contact (R&amp;D).</t>
  </si>
  <si>
    <t>See the sheet itself for examples / further details.</t>
  </si>
  <si>
    <t>Direct loss, fines for infringements of laws, or violations of contracts (low volume)</t>
  </si>
  <si>
    <t>Direct loss, fines for infringements of laws, or violations of contracts (medium volume)</t>
  </si>
  <si>
    <t>Direct loss, fines for infringements of laws, or violations of contracts (high volume)</t>
  </si>
  <si>
    <t>Loss of freedom for employees, direct loss, fines for infringements of laws, or violations of contracts (critical volume)</t>
  </si>
  <si>
    <t>Low financial damage</t>
  </si>
  <si>
    <t>Medium financial damage</t>
  </si>
  <si>
    <t>High financial damage</t>
  </si>
  <si>
    <t>Critical financial damage</t>
  </si>
  <si>
    <t>C0</t>
  </si>
  <si>
    <t>CR 7.8 - Control system component inventory</t>
  </si>
  <si>
    <t>See IEC 62443</t>
  </si>
  <si>
    <t>CM25</t>
  </si>
  <si>
    <t>CM26</t>
  </si>
  <si>
    <t>CM27</t>
  </si>
  <si>
    <t>CM28</t>
  </si>
  <si>
    <t>See IEC 62443‑3‑3:2013, Clause 4</t>
  </si>
  <si>
    <t>See ETSI EN 303 645 V2.1.1 (2020-06), Provision 6-1, 6-2, and 6-3</t>
  </si>
  <si>
    <t>See ETSI EN 303 645 V2.1.1 (2020-06), Provision 6-4, and 6-5</t>
  </si>
  <si>
    <t>CM29</t>
  </si>
  <si>
    <t>SSH with universal key</t>
  </si>
  <si>
    <t>Replay protection
Encryption
Secret shared among several devices (e.g., device familiy)</t>
  </si>
  <si>
    <t>SSH with individual key</t>
  </si>
  <si>
    <t>Replay protection
Encryption
Individual secret for each device</t>
  </si>
  <si>
    <t>Oauth2</t>
  </si>
  <si>
    <t>Standard Oauth2</t>
  </si>
  <si>
    <t>LDAP over TLS</t>
  </si>
  <si>
    <t>Lightweight Directory Access Protocol (LDAP) with Transport Layer Security (TLS)</t>
  </si>
  <si>
    <t>OpenID Connect</t>
  </si>
  <si>
    <t>CM5, CM11</t>
  </si>
  <si>
    <t>The attacker needs to extract the universal key from a single device to then spoof a legitimate client.</t>
  </si>
  <si>
    <t>The attacker must wait for the legitimate user to access the ssh server on the product for the first time (after that, the public key of the product is stored on the client and a man-in-the-middle attack is noticed).</t>
  </si>
  <si>
    <t>State of the art identity management.</t>
  </si>
  <si>
    <t>State of the art identity management. Requires a trustworthy trust anchor to be secure (e.g., certificate from a well-managed PKI).</t>
  </si>
  <si>
    <t>* Changed the wording and the rating of CM2a to better reflect the effect of CRA-compliant handling of the SDL and of the vulnerability management processes
* Replaced CM2a and CM2b with a new "CRA-compliant SDL" entry
* In the answers for C10 and C14: changed "Q15[Yes]" to Q15[Yes|*]" as the question was changed to having a secondary answer option
* Added CM29 to account for safety properties of safety products regarding the loss of availability</t>
  </si>
  <si>
    <r>
      <rPr>
        <b/>
        <sz val="11"/>
        <color rgb="FFB2D6EC"/>
        <rFont val="Calibri"/>
        <family val="2"/>
        <scheme val="minor"/>
      </rPr>
      <t>Intended Use</t>
    </r>
    <r>
      <rPr>
        <b/>
        <sz val="11"/>
        <color theme="0"/>
        <rFont val="Calibri"/>
        <family val="2"/>
        <scheme val="minor"/>
      </rPr>
      <t xml:space="preserve">
</t>
    </r>
    <r>
      <rPr>
        <sz val="11"/>
        <color theme="0"/>
        <rFont val="Calibri"/>
        <family val="2"/>
        <scheme val="minor"/>
      </rPr>
      <t xml:space="preserve">Describe the intended usage scenario(s) and main use cases for the product. Also include foreseeable (or known) usage scenario(s) outside the scope documented here.
</t>
    </r>
    <r>
      <rPr>
        <b/>
        <sz val="11"/>
        <color rgb="FFB2D6EC"/>
        <rFont val="Calibri"/>
        <family val="2"/>
        <scheme val="minor"/>
      </rPr>
      <t>Application area / Operational environment</t>
    </r>
    <r>
      <rPr>
        <b/>
        <sz val="11"/>
        <color theme="0"/>
        <rFont val="Calibri"/>
        <family val="2"/>
        <scheme val="minor"/>
      </rPr>
      <t xml:space="preserve">
</t>
    </r>
    <r>
      <rPr>
        <sz val="11"/>
        <color theme="0"/>
        <rFont val="Calibri"/>
        <family val="2"/>
        <scheme val="minor"/>
      </rPr>
      <t xml:space="preserve">Describe the application area and the operational environment of the product.
</t>
    </r>
    <r>
      <rPr>
        <b/>
        <sz val="11"/>
        <color rgb="FFB2D6EC"/>
        <rFont val="Calibri"/>
        <family val="2"/>
        <scheme val="minor"/>
      </rPr>
      <t>Interfaces</t>
    </r>
    <r>
      <rPr>
        <b/>
        <sz val="11"/>
        <color theme="0"/>
        <rFont val="Calibri"/>
        <family val="2"/>
        <scheme val="minor"/>
      </rPr>
      <t xml:space="preserve">
</t>
    </r>
    <r>
      <rPr>
        <sz val="11"/>
        <color theme="0"/>
        <rFont val="Calibri"/>
        <family val="2"/>
        <scheme val="minor"/>
      </rPr>
      <t xml:space="preserve">Remove all interfaces from the following list that are not typically used in or provided by the product (externally, for configuration or integration in systems). Add interfaces missing in this list:
   - physical
      &gt; Serial (RS232, RS485, ...)
      &gt; Ethernet port(s) (switched, independent)
      &gt; IO Link
      &gt; PROFINET
      &gt; PROFIBUS
      &gt; EtherCAT
      &gt; EtherNet/IP
      &gt; Hiperface DSL
      &gt; SD Card
      &gt; USB (HID, Data)
      &gt; Wi-Fi
      &gt; RFID
      &gt; Bluetooth, BTLE
      &gt; SafetyBUS p
      &gt; CAN
      &gt; HMI, dip switches, buttons (describe purpose)
      &gt; Backplane port
      &gt; Barcode Scanner for configuration
   - logical
      &gt; Modbus / RTU / ASCII / TCP
      &gt; HTTP / HTTPS
      &gt; FTP / FTPS / SFTP
      &gt; SSH
      &gt; MQTT
</t>
    </r>
    <r>
      <rPr>
        <b/>
        <sz val="11"/>
        <color rgb="FFB2D6EC"/>
        <rFont val="Calibri"/>
        <family val="2"/>
        <scheme val="minor"/>
      </rPr>
      <t>Short product specifications (list relevant documents)</t>
    </r>
    <r>
      <rPr>
        <sz val="11"/>
        <color rgb="FFB2D6EC"/>
        <rFont val="Calibri"/>
        <family val="2"/>
        <scheme val="minor"/>
      </rPr>
      <t xml:space="preserve">
</t>
    </r>
    <r>
      <rPr>
        <sz val="11"/>
        <color theme="0"/>
        <rFont val="Calibri"/>
        <family val="2"/>
        <scheme val="minor"/>
      </rPr>
      <t xml:space="preserve">   - &lt; Document title &gt;
   - &lt;Document title &gt;</t>
    </r>
  </si>
  <si>
    <t>QI Text Mismatch QI7 and QI14</t>
  </si>
  <si>
    <t>QI ID Mismatch QI7 and QI14</t>
  </si>
  <si>
    <t>Mismatch between the answers to QI7 and QI14</t>
  </si>
  <si>
    <t>Manual risk treatment decisions require a rationale.</t>
  </si>
  <si>
    <r>
      <t xml:space="preserve">* Refactoring for improved performance
* Added information on the effects of controls and assumptions to the Result Summary sheet
* Bug fix: inline assumptions and countermeasures defined in the Risk Treatment sheet sometimes had incorrect IDs. (Inline assumptions / countermeasures are assumptions / countermeasures defined in a comment)
* Moved the definitions and catalogs to the right to put more focus on the "active" sheets
* Added a column for 4TD IDs to the </t>
    </r>
    <r>
      <rPr>
        <i/>
        <sz val="11"/>
        <color theme="0"/>
        <rFont val="Calibri"/>
        <family val="2"/>
        <scheme val="minor"/>
      </rPr>
      <t xml:space="preserve">Assumptions </t>
    </r>
    <r>
      <rPr>
        <sz val="11"/>
        <color theme="0"/>
        <rFont val="Calibri"/>
        <family val="2"/>
        <scheme val="minor"/>
      </rPr>
      <t xml:space="preserve">sheet and the </t>
    </r>
    <r>
      <rPr>
        <i/>
        <sz val="11"/>
        <color theme="0"/>
        <rFont val="Calibri"/>
        <family val="2"/>
        <scheme val="minor"/>
      </rPr>
      <t xml:space="preserve">Result Summary </t>
    </r>
    <r>
      <rPr>
        <sz val="11"/>
        <color theme="0"/>
        <rFont val="Calibri"/>
        <family val="2"/>
        <scheme val="minor"/>
      </rPr>
      <t xml:space="preserve">sheet
* Changed the name of the </t>
    </r>
    <r>
      <rPr>
        <i/>
        <sz val="11"/>
        <color theme="0"/>
        <rFont val="Calibri"/>
        <family val="2"/>
        <scheme val="minor"/>
      </rPr>
      <t>Result Summary</t>
    </r>
    <r>
      <rPr>
        <sz val="11"/>
        <color theme="0"/>
        <rFont val="Calibri"/>
        <family val="2"/>
        <scheme val="minor"/>
      </rPr>
      <t xml:space="preserve"> sheet to </t>
    </r>
    <r>
      <rPr>
        <i/>
        <sz val="11"/>
        <color theme="0"/>
        <rFont val="Calibri"/>
        <family val="2"/>
        <scheme val="minor"/>
      </rPr>
      <t xml:space="preserve">Result </t>
    </r>
    <r>
      <rPr>
        <sz val="11"/>
        <color theme="0"/>
        <rFont val="Calibri"/>
        <family val="2"/>
        <scheme val="minor"/>
      </rPr>
      <t xml:space="preserve">to reduce ambiguity
* Refined the wording of QI1 and the wording of its follow-up question for better consistency
* On the </t>
    </r>
    <r>
      <rPr>
        <i/>
        <sz val="11"/>
        <color theme="0"/>
        <rFont val="Calibri"/>
        <family val="2"/>
        <scheme val="minor"/>
      </rPr>
      <t>Documentation</t>
    </r>
    <r>
      <rPr>
        <sz val="11"/>
        <color theme="0"/>
        <rFont val="Calibri"/>
        <family val="2"/>
        <scheme val="minor"/>
      </rPr>
      <t xml:space="preserve"> sheet: Changed </t>
    </r>
    <r>
      <rPr>
        <i/>
        <sz val="11"/>
        <color theme="0"/>
        <rFont val="Calibri"/>
        <family val="2"/>
        <scheme val="minor"/>
      </rPr>
      <t>Release</t>
    </r>
    <r>
      <rPr>
        <sz val="11"/>
        <color theme="0"/>
        <rFont val="Calibri"/>
        <family val="2"/>
        <scheme val="minor"/>
      </rPr>
      <t xml:space="preserve"> to </t>
    </r>
    <r>
      <rPr>
        <i/>
        <sz val="11"/>
        <color theme="0"/>
        <rFont val="Calibri"/>
        <family val="2"/>
        <scheme val="minor"/>
      </rPr>
      <t xml:space="preserve">Version </t>
    </r>
    <r>
      <rPr>
        <sz val="11"/>
        <color theme="0"/>
        <rFont val="Calibri"/>
        <family val="2"/>
        <scheme val="minor"/>
      </rPr>
      <t xml:space="preserve">for the sake of simplicity
* QI15 now belongs to </t>
    </r>
    <r>
      <rPr>
        <i/>
        <sz val="11"/>
        <color theme="0"/>
        <rFont val="Calibri"/>
        <family val="2"/>
        <scheme val="minor"/>
      </rPr>
      <t>Function and Availability</t>
    </r>
    <r>
      <rPr>
        <sz val="11"/>
        <color theme="0"/>
        <rFont val="Calibri"/>
        <family val="2"/>
        <scheme val="minor"/>
      </rPr>
      <t xml:space="preserve"> in the </t>
    </r>
    <r>
      <rPr>
        <i/>
        <sz val="11"/>
        <color theme="0"/>
        <rFont val="Calibri"/>
        <family val="2"/>
        <scheme val="minor"/>
      </rPr>
      <t>Questionnaire</t>
    </r>
    <r>
      <rPr>
        <sz val="11"/>
        <color theme="0"/>
        <rFont val="Calibri"/>
        <family val="2"/>
        <scheme val="minor"/>
      </rPr>
      <t xml:space="preserve">
* Changed the wording of the second question for QA5 to reduce ambiguity
* Added a second question to QI6 for more clarity regarding (non-)safety products
* Added a </t>
    </r>
    <r>
      <rPr>
        <i/>
        <sz val="11"/>
        <color theme="0"/>
        <rFont val="Calibri"/>
        <family val="2"/>
        <scheme val="minor"/>
      </rPr>
      <t>Question Names</t>
    </r>
    <r>
      <rPr>
        <sz val="11"/>
        <color theme="0"/>
        <rFont val="Calibri"/>
        <family val="2"/>
        <scheme val="minor"/>
      </rPr>
      <t xml:space="preserve"> column to the</t>
    </r>
    <r>
      <rPr>
        <i/>
        <sz val="11"/>
        <color theme="0"/>
        <rFont val="Calibri"/>
        <family val="2"/>
        <scheme val="minor"/>
      </rPr>
      <t xml:space="preserve"> Assumptions </t>
    </r>
    <r>
      <rPr>
        <sz val="11"/>
        <color theme="0"/>
        <rFont val="Calibri"/>
        <family val="2"/>
        <scheme val="minor"/>
      </rPr>
      <t xml:space="preserve">and the </t>
    </r>
    <r>
      <rPr>
        <i/>
        <sz val="11"/>
        <color theme="0"/>
        <rFont val="Calibri"/>
        <family val="2"/>
        <scheme val="minor"/>
      </rPr>
      <t>Countermeasures</t>
    </r>
    <r>
      <rPr>
        <sz val="11"/>
        <color theme="0"/>
        <rFont val="Calibri"/>
        <family val="2"/>
        <scheme val="minor"/>
      </rPr>
      <t xml:space="preserve"> sheet for better handling of the IDs
* The questionnaire now displays headings for the columns on the sheet
* Added a quality indicator for cases where QI14 is rated lower than QI7 (loss of integrity vs. loss of availability)
* The quality indicator for "support time shorter than product lifetime" no longer uses the update strategy as an input
* Changed the indentation of the questions to better match the current structure of the questionnaire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</si>
</sst>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0" x14ac:knownFonts="1">
    <font>
      <sz val="11"/>
      <color theme="1"/>
      <name val="Calibri"/>
      <family val="2"/>
      <scheme val="minor"/>
    </font>
    <font>
      <b/>
      <sz val="11"/>
      <color theme="0"/>
      <name val="Calibri"/>
      <family val="2"/>
      <scheme val="minor"/>
    </font>
    <font>
      <sz val="11"/>
      <color theme="0"/>
      <name val="Calibri"/>
      <family val="2"/>
      <scheme val="minor"/>
    </font>
    <font>
      <b/>
      <sz val="18"/>
      <color theme="0"/>
      <name val="Calibri"/>
      <family val="2"/>
      <scheme val="minor"/>
    </font>
    <font>
      <sz val="8"/>
      <name val="Calibri"/>
      <family val="2"/>
      <scheme val="minor"/>
    </font>
    <font>
      <b/>
      <sz val="11"/>
      <color theme="9" tint="0.59999389629810485"/>
      <name val="Calibri"/>
      <family val="2"/>
      <scheme val="minor"/>
    </font>
    <font>
      <sz val="11"/>
      <color theme="9" tint="0.59999389629810485"/>
      <name val="Calibri"/>
      <family val="2"/>
      <scheme val="minor"/>
    </font>
    <font>
      <sz val="11"/>
      <color rgb="FFFFFFFF"/>
      <name val="Calibri"/>
      <family val="2"/>
    </font>
    <font>
      <sz val="9"/>
      <color theme="9" tint="0.59999389629810485"/>
      <name val="Calibri"/>
      <family val="2"/>
      <scheme val="minor"/>
    </font>
    <font>
      <sz val="8"/>
      <color theme="9" tint="0.59999389629810485"/>
      <name val="Calibri"/>
      <family val="2"/>
      <scheme val="minor"/>
    </font>
    <font>
      <b/>
      <sz val="14"/>
      <color theme="0"/>
      <name val="Calibri"/>
      <family val="2"/>
      <scheme val="minor"/>
    </font>
    <font>
      <b/>
      <sz val="16"/>
      <color theme="0"/>
      <name val="Calibri"/>
      <family val="2"/>
      <scheme val="minor"/>
    </font>
    <font>
      <u/>
      <sz val="11"/>
      <color theme="10"/>
      <name val="Calibri"/>
      <family val="2"/>
      <scheme val="minor"/>
    </font>
    <font>
      <sz val="11"/>
      <color rgb="FF99FFCC"/>
      <name val="Calibri"/>
      <family val="2"/>
      <scheme val="minor"/>
    </font>
    <font>
      <u/>
      <sz val="11"/>
      <color theme="0"/>
      <name val="Calibri"/>
      <family val="2"/>
      <scheme val="minor"/>
    </font>
    <font>
      <b/>
      <sz val="12"/>
      <color theme="9" tint="0.59999389629810485"/>
      <name val="Calibri"/>
      <family val="2"/>
      <scheme val="minor"/>
    </font>
    <font>
      <b/>
      <sz val="12"/>
      <color theme="0"/>
      <name val="Calibri"/>
      <family val="2"/>
      <scheme val="minor"/>
    </font>
    <font>
      <sz val="12"/>
      <color theme="0"/>
      <name val="Calibri"/>
      <family val="2"/>
      <scheme val="minor"/>
    </font>
    <font>
      <b/>
      <sz val="11"/>
      <color rgb="FFB2D6EC"/>
      <name val="Calibri"/>
      <family val="2"/>
      <scheme val="minor"/>
    </font>
    <font>
      <u/>
      <sz val="11"/>
      <color rgb="FF99FFCC"/>
      <name val="Calibri"/>
      <family val="2"/>
      <scheme val="minor"/>
    </font>
    <font>
      <sz val="11"/>
      <color theme="5" tint="0.59999389629810485"/>
      <name val="Calibri"/>
      <family val="2"/>
      <scheme val="minor"/>
    </font>
    <font>
      <i/>
      <sz val="11"/>
      <color theme="0"/>
      <name val="Calibri"/>
      <family val="2"/>
      <scheme val="minor"/>
    </font>
    <font>
      <sz val="11"/>
      <color rgb="FFFFB9B9"/>
      <name val="Calibri"/>
      <family val="2"/>
      <scheme val="minor"/>
    </font>
    <font>
      <b/>
      <sz val="11"/>
      <color rgb="FFFFB9B9"/>
      <name val="Calibri"/>
      <family val="2"/>
      <scheme val="minor"/>
    </font>
    <font>
      <b/>
      <sz val="11"/>
      <color rgb="FF99FFCC"/>
      <name val="Calibri"/>
      <family val="2"/>
      <scheme val="minor"/>
    </font>
    <font>
      <sz val="11"/>
      <color theme="0" tint="-0.34998626667073579"/>
      <name val="Calibri"/>
      <family val="2"/>
      <scheme val="minor"/>
    </font>
    <font>
      <b/>
      <sz val="11"/>
      <color theme="8" tint="0.79998168889431442"/>
      <name val="Calibri"/>
      <family val="2"/>
      <scheme val="minor"/>
    </font>
    <font>
      <b/>
      <i/>
      <sz val="11"/>
      <color theme="8" tint="0.79998168889431442"/>
      <name val="Calibri"/>
      <family val="2"/>
      <scheme val="minor"/>
    </font>
    <font>
      <sz val="11"/>
      <color theme="0"/>
      <name val="Calibri"/>
      <family val="2"/>
    </font>
    <font>
      <sz val="9"/>
      <color theme="0"/>
      <name val="Calibri"/>
      <family val="2"/>
      <scheme val="minor"/>
    </font>
    <font>
      <b/>
      <sz val="11"/>
      <color theme="1" tint="0.14999847407452621"/>
      <name val="Calibri"/>
      <family val="2"/>
      <scheme val="minor"/>
    </font>
    <font>
      <sz val="11"/>
      <color theme="1" tint="0.14999847407452621"/>
      <name val="Calibri"/>
      <family val="2"/>
      <scheme val="minor"/>
    </font>
    <font>
      <b/>
      <sz val="11"/>
      <color rgb="FFCCFF33"/>
      <name val="Calibri"/>
      <family val="2"/>
      <scheme val="minor"/>
    </font>
    <font>
      <sz val="14"/>
      <color theme="0"/>
      <name val="Calibri"/>
      <family val="2"/>
      <scheme val="minor"/>
    </font>
    <font>
      <sz val="8"/>
      <color theme="0"/>
      <name val="Calibri"/>
      <family val="2"/>
      <scheme val="minor"/>
    </font>
    <font>
      <sz val="16"/>
      <color theme="0"/>
      <name val="Calibri"/>
      <family val="2"/>
      <scheme val="minor"/>
    </font>
    <font>
      <sz val="11"/>
      <color rgb="FFC6E0B4"/>
      <name val="Calibri"/>
      <family val="2"/>
      <scheme val="minor"/>
    </font>
    <font>
      <sz val="11"/>
      <color rgb="FFB2D6EC"/>
      <name val="Calibri"/>
      <family val="2"/>
      <scheme val="minor"/>
    </font>
    <font>
      <b/>
      <sz val="11"/>
      <color theme="1"/>
      <name val="Calibri"/>
      <family val="2"/>
      <scheme val="minor"/>
    </font>
    <font>
      <i/>
      <sz val="11"/>
      <color theme="1"/>
      <name val="Calibri"/>
      <family val="2"/>
      <scheme val="minor"/>
    </font>
  </fonts>
  <fills count="9">
    <fill>
      <patternFill patternType="none"/>
    </fill>
    <fill>
      <patternFill patternType="gray125"/>
    </fill>
    <fill>
      <patternFill patternType="solid">
        <fgColor theme="1" tint="0.14999847407452621"/>
        <bgColor indexed="64"/>
      </patternFill>
    </fill>
    <fill>
      <patternFill patternType="solid">
        <fgColor theme="1" tint="0.34998626667073579"/>
        <bgColor indexed="64"/>
      </patternFill>
    </fill>
    <fill>
      <patternFill patternType="solid">
        <fgColor theme="1"/>
        <bgColor indexed="64"/>
      </patternFill>
    </fill>
    <fill>
      <patternFill patternType="solid">
        <fgColor theme="6"/>
        <bgColor indexed="64"/>
      </patternFill>
    </fill>
    <fill>
      <patternFill patternType="solid">
        <fgColor theme="3"/>
        <bgColor indexed="64"/>
      </patternFill>
    </fill>
    <fill>
      <patternFill patternType="solid">
        <fgColor theme="9" tint="-0.499984740745262"/>
        <bgColor indexed="64"/>
      </patternFill>
    </fill>
    <fill>
      <patternFill patternType="solid">
        <fgColor theme="1" tint="0.14996795556505021"/>
        <bgColor indexed="64"/>
      </patternFill>
    </fill>
  </fills>
  <borders count="6">
    <border>
      <left/>
      <right/>
      <top/>
      <bottom/>
      <diagonal/>
    </border>
    <border>
      <left/>
      <right/>
      <top/>
      <bottom style="thin">
        <color theme="0"/>
      </bottom>
      <diagonal/>
    </border>
    <border>
      <left/>
      <right style="thin">
        <color theme="0"/>
      </right>
      <top/>
      <bottom/>
      <diagonal/>
    </border>
    <border>
      <left/>
      <right/>
      <top style="thin">
        <color theme="0"/>
      </top>
      <bottom/>
      <diagonal/>
    </border>
    <border>
      <left style="thin">
        <color theme="0"/>
      </left>
      <right/>
      <top/>
      <bottom/>
      <diagonal/>
    </border>
    <border>
      <left style="thin">
        <color theme="0"/>
      </left>
      <right style="thin">
        <color theme="0"/>
      </right>
      <top style="thin">
        <color theme="0"/>
      </top>
      <bottom style="thin">
        <color theme="0"/>
      </bottom>
      <diagonal/>
    </border>
  </borders>
  <cellStyleXfs count="2">
    <xf numFmtId="0" fontId="0" fillId="0" borderId="0"/>
    <xf numFmtId="0" fontId="12" fillId="0" borderId="0" applyNumberFormat="0" applyFill="0" applyBorder="0" applyAlignment="0" applyProtection="0"/>
  </cellStyleXfs>
  <cellXfs count="130">
    <xf numFmtId="0" fontId="0" fillId="0" borderId="0" xfId="0"/>
    <xf numFmtId="0" fontId="1" fillId="2" borderId="0" xfId="0" applyFont="1" applyFill="1"/>
    <xf numFmtId="0" fontId="2" fillId="2" borderId="0" xfId="0" applyFont="1" applyFill="1"/>
    <xf numFmtId="0" fontId="1" fillId="2" borderId="0" xfId="0" applyFont="1" applyFill="1" applyAlignment="1">
      <alignment wrapText="1"/>
    </xf>
    <xf numFmtId="0" fontId="2" fillId="2" borderId="0" xfId="0" applyFont="1" applyFill="1" applyAlignment="1">
      <alignment wrapText="1"/>
    </xf>
    <xf numFmtId="0" fontId="3" fillId="2" borderId="0" xfId="0" applyFont="1" applyFill="1" applyAlignment="1">
      <alignment wrapText="1"/>
    </xf>
    <xf numFmtId="0" fontId="5" fillId="2" borderId="0" xfId="0" applyFont="1" applyFill="1" applyAlignment="1">
      <alignment wrapText="1"/>
    </xf>
    <xf numFmtId="0" fontId="6" fillId="2" borderId="0" xfId="0" applyFont="1" applyFill="1" applyAlignment="1">
      <alignment wrapText="1"/>
    </xf>
    <xf numFmtId="0" fontId="6" fillId="2" borderId="0" xfId="0" applyFont="1" applyFill="1"/>
    <xf numFmtId="0" fontId="2" fillId="0" borderId="0" xfId="0" applyFont="1"/>
    <xf numFmtId="0" fontId="2" fillId="0" borderId="0" xfId="0" applyFont="1" applyAlignment="1">
      <alignment wrapText="1"/>
    </xf>
    <xf numFmtId="0" fontId="7" fillId="0" borderId="0" xfId="0" applyFont="1"/>
    <xf numFmtId="0" fontId="6" fillId="0" borderId="0" xfId="0" applyFont="1"/>
    <xf numFmtId="0" fontId="6" fillId="0" borderId="0" xfId="0" applyFont="1" applyAlignment="1">
      <alignment wrapText="1"/>
    </xf>
    <xf numFmtId="0" fontId="8" fillId="2" borderId="0" xfId="0" applyFont="1" applyFill="1"/>
    <xf numFmtId="0" fontId="2" fillId="2" borderId="0" xfId="0" applyFont="1" applyFill="1" applyAlignment="1">
      <alignment horizontal="right" wrapText="1"/>
    </xf>
    <xf numFmtId="0" fontId="9" fillId="0" borderId="0" xfId="0" applyFont="1" applyAlignment="1">
      <alignment wrapText="1"/>
    </xf>
    <xf numFmtId="0" fontId="7" fillId="0" borderId="0" xfId="0" applyFont="1" applyAlignment="1">
      <alignment wrapText="1"/>
    </xf>
    <xf numFmtId="0" fontId="11" fillId="2" borderId="0" xfId="0" applyFont="1" applyFill="1"/>
    <xf numFmtId="0" fontId="2" fillId="2" borderId="0" xfId="0" applyFont="1" applyFill="1" applyAlignment="1">
      <alignment horizontal="right"/>
    </xf>
    <xf numFmtId="0" fontId="1" fillId="3" borderId="0" xfId="0" applyFont="1" applyFill="1"/>
    <xf numFmtId="0" fontId="13" fillId="0" borderId="0" xfId="1" applyFont="1" applyFill="1" applyAlignment="1">
      <alignment wrapText="1"/>
    </xf>
    <xf numFmtId="0" fontId="10" fillId="2" borderId="0" xfId="0" applyFont="1" applyFill="1"/>
    <xf numFmtId="14" fontId="2" fillId="0" borderId="0" xfId="0" applyNumberFormat="1" applyFont="1"/>
    <xf numFmtId="0" fontId="13" fillId="0" borderId="0" xfId="1" applyNumberFormat="1" applyFont="1" applyFill="1" applyAlignment="1">
      <alignment wrapText="1"/>
    </xf>
    <xf numFmtId="0" fontId="8" fillId="0" borderId="0" xfId="0" applyFont="1" applyAlignment="1">
      <alignment wrapText="1"/>
    </xf>
    <xf numFmtId="0" fontId="16" fillId="2" borderId="0" xfId="0" applyFont="1" applyFill="1"/>
    <xf numFmtId="0" fontId="17" fillId="2" borderId="0" xfId="0" applyFont="1" applyFill="1"/>
    <xf numFmtId="0" fontId="17" fillId="0" borderId="0" xfId="0" applyFont="1"/>
    <xf numFmtId="0" fontId="15" fillId="2" borderId="1" xfId="0" applyFont="1" applyFill="1" applyBorder="1" applyAlignment="1">
      <alignment horizontal="center"/>
    </xf>
    <xf numFmtId="0" fontId="15" fillId="2" borderId="1" xfId="0" applyFont="1" applyFill="1" applyBorder="1" applyAlignment="1">
      <alignment wrapText="1"/>
    </xf>
    <xf numFmtId="0" fontId="16" fillId="2" borderId="1" xfId="0" applyFont="1" applyFill="1" applyBorder="1"/>
    <xf numFmtId="0" fontId="6" fillId="2" borderId="0" xfId="0" applyFont="1" applyFill="1" applyAlignment="1">
      <alignment horizontal="center" vertical="center"/>
    </xf>
    <xf numFmtId="0" fontId="18" fillId="2" borderId="0" xfId="0" applyFont="1" applyFill="1"/>
    <xf numFmtId="0" fontId="8" fillId="2" borderId="0" xfId="0" applyFont="1" applyFill="1" applyAlignment="1">
      <alignment wrapText="1"/>
    </xf>
    <xf numFmtId="0" fontId="6" fillId="3" borderId="0" xfId="0" applyFont="1" applyFill="1" applyAlignment="1">
      <alignment wrapText="1"/>
    </xf>
    <xf numFmtId="0" fontId="19" fillId="2" borderId="0" xfId="1" applyFont="1" applyFill="1" applyAlignment="1">
      <alignment wrapText="1"/>
    </xf>
    <xf numFmtId="0" fontId="13" fillId="2" borderId="0" xfId="0" applyFont="1" applyFill="1" applyAlignment="1">
      <alignment wrapText="1"/>
    </xf>
    <xf numFmtId="0" fontId="2" fillId="0" borderId="0" xfId="0" applyFont="1" applyAlignment="1">
      <alignment horizontal="center" vertical="center" wrapText="1"/>
    </xf>
    <xf numFmtId="0" fontId="20" fillId="2" borderId="0" xfId="0" applyFont="1" applyFill="1"/>
    <xf numFmtId="0" fontId="22" fillId="2" borderId="0" xfId="0" applyFont="1" applyFill="1" applyAlignment="1">
      <alignment wrapText="1"/>
    </xf>
    <xf numFmtId="0" fontId="2" fillId="2" borderId="0" xfId="0" applyFont="1" applyFill="1" applyAlignment="1">
      <alignment horizontal="left" wrapText="1"/>
    </xf>
    <xf numFmtId="0" fontId="1" fillId="2" borderId="0" xfId="0" applyFont="1" applyFill="1" applyAlignment="1">
      <alignment horizontal="left" wrapText="1"/>
    </xf>
    <xf numFmtId="0" fontId="2" fillId="4" borderId="0" xfId="0" applyFont="1" applyFill="1" applyAlignment="1">
      <alignment horizontal="left" wrapText="1"/>
    </xf>
    <xf numFmtId="0" fontId="2" fillId="5" borderId="0" xfId="0" applyFont="1" applyFill="1" applyAlignment="1">
      <alignment horizontal="left" wrapText="1"/>
    </xf>
    <xf numFmtId="0" fontId="2" fillId="6" borderId="0" xfId="0" applyFont="1" applyFill="1" applyAlignment="1">
      <alignment horizontal="left" wrapText="1"/>
    </xf>
    <xf numFmtId="0" fontId="1" fillId="2" borderId="1" xfId="0" applyFont="1" applyFill="1" applyBorder="1" applyAlignment="1">
      <alignment horizontal="left" wrapText="1"/>
    </xf>
    <xf numFmtId="0" fontId="1" fillId="2" borderId="1" xfId="0" applyFont="1" applyFill="1" applyBorder="1" applyAlignment="1">
      <alignment wrapText="1"/>
    </xf>
    <xf numFmtId="0" fontId="6" fillId="2" borderId="0" xfId="0" applyFont="1" applyFill="1" applyAlignment="1">
      <alignment horizontal="left" wrapText="1"/>
    </xf>
    <xf numFmtId="0" fontId="19" fillId="2" borderId="0" xfId="0" applyFont="1" applyFill="1" applyAlignment="1">
      <alignment horizontal="left" wrapText="1"/>
    </xf>
    <xf numFmtId="0" fontId="19" fillId="0" borderId="0" xfId="0" applyFont="1" applyAlignment="1">
      <alignment wrapText="1"/>
    </xf>
    <xf numFmtId="0" fontId="16" fillId="2" borderId="1" xfId="0" applyFont="1" applyFill="1" applyBorder="1" applyAlignment="1">
      <alignment wrapText="1"/>
    </xf>
    <xf numFmtId="0" fontId="2" fillId="2" borderId="1" xfId="0" applyFont="1" applyFill="1" applyBorder="1"/>
    <xf numFmtId="0" fontId="24" fillId="2" borderId="0" xfId="0" applyFont="1" applyFill="1" applyAlignment="1">
      <alignment horizontal="left" wrapText="1"/>
    </xf>
    <xf numFmtId="0" fontId="12" fillId="0" borderId="0" xfId="1" applyNumberFormat="1" applyFill="1" applyAlignment="1">
      <alignment wrapText="1"/>
    </xf>
    <xf numFmtId="0" fontId="25" fillId="0" borderId="0" xfId="0" applyFont="1" applyAlignment="1">
      <alignment wrapText="1"/>
    </xf>
    <xf numFmtId="0" fontId="28" fillId="2" borderId="0" xfId="0" applyFont="1" applyFill="1"/>
    <xf numFmtId="0" fontId="1" fillId="2" borderId="2" xfId="0" applyFont="1" applyFill="1" applyBorder="1" applyAlignment="1">
      <alignment wrapText="1"/>
    </xf>
    <xf numFmtId="0" fontId="5" fillId="2" borderId="0" xfId="0" applyFont="1" applyFill="1"/>
    <xf numFmtId="0" fontId="6" fillId="2" borderId="3" xfId="0" applyFont="1" applyFill="1" applyBorder="1"/>
    <xf numFmtId="0" fontId="22" fillId="2" borderId="0" xfId="0" applyFont="1" applyFill="1" applyAlignment="1">
      <alignment horizontal="center"/>
    </xf>
    <xf numFmtId="0" fontId="2" fillId="2" borderId="0" xfId="0" applyFont="1" applyFill="1" applyAlignment="1">
      <alignment horizontal="left"/>
    </xf>
    <xf numFmtId="0" fontId="2" fillId="0" borderId="4" xfId="0" applyFont="1" applyBorder="1"/>
    <xf numFmtId="0" fontId="2" fillId="0" borderId="2" xfId="0" applyFont="1" applyBorder="1"/>
    <xf numFmtId="0" fontId="29" fillId="0" borderId="4" xfId="0" applyFont="1" applyBorder="1" applyAlignment="1">
      <alignment wrapText="1"/>
    </xf>
    <xf numFmtId="0" fontId="29" fillId="0" borderId="2" xfId="0" applyFont="1" applyBorder="1" applyAlignment="1">
      <alignment wrapText="1"/>
    </xf>
    <xf numFmtId="0" fontId="3" fillId="2" borderId="0" xfId="0" applyFont="1" applyFill="1" applyAlignment="1">
      <alignment horizontal="left" wrapText="1"/>
    </xf>
    <xf numFmtId="0" fontId="30" fillId="2" borderId="0" xfId="0" applyFont="1" applyFill="1" applyAlignment="1">
      <alignment horizontal="right" wrapText="1"/>
    </xf>
    <xf numFmtId="0" fontId="31" fillId="2" borderId="0" xfId="0" applyFont="1" applyFill="1" applyAlignment="1">
      <alignment horizontal="right" wrapText="1"/>
    </xf>
    <xf numFmtId="0" fontId="5" fillId="0" borderId="0" xfId="0" applyFont="1"/>
    <xf numFmtId="0" fontId="29" fillId="0" borderId="0" xfId="0" applyFont="1" applyAlignment="1">
      <alignment wrapText="1"/>
    </xf>
    <xf numFmtId="0" fontId="19" fillId="2" borderId="0" xfId="1" applyFont="1" applyFill="1" applyAlignment="1"/>
    <xf numFmtId="0" fontId="32" fillId="0" borderId="0" xfId="0" applyFont="1" applyAlignment="1">
      <alignment wrapText="1"/>
    </xf>
    <xf numFmtId="0" fontId="32" fillId="2" borderId="0" xfId="0" applyFont="1" applyFill="1" applyAlignment="1">
      <alignment horizontal="left" wrapText="1"/>
    </xf>
    <xf numFmtId="0" fontId="10" fillId="2" borderId="1" xfId="0" applyFont="1" applyFill="1" applyBorder="1" applyAlignment="1">
      <alignment horizontal="left"/>
    </xf>
    <xf numFmtId="0" fontId="33" fillId="2" borderId="1" xfId="0" applyFont="1" applyFill="1" applyBorder="1"/>
    <xf numFmtId="0" fontId="33" fillId="2" borderId="0" xfId="0" applyFont="1" applyFill="1"/>
    <xf numFmtId="0" fontId="10" fillId="2" borderId="1" xfId="0" applyFont="1" applyFill="1" applyBorder="1" applyAlignment="1">
      <alignment horizontal="left" wrapText="1"/>
    </xf>
    <xf numFmtId="0" fontId="2" fillId="0" borderId="2" xfId="0" applyFont="1" applyBorder="1" applyAlignment="1">
      <alignment horizontal="center" vertical="center" wrapText="1"/>
    </xf>
    <xf numFmtId="0" fontId="13" fillId="2" borderId="0" xfId="0" applyFont="1" applyFill="1" applyAlignment="1">
      <alignment horizontal="center" vertical="center" wrapText="1"/>
    </xf>
    <xf numFmtId="0" fontId="13" fillId="2" borderId="0" xfId="0" applyFont="1" applyFill="1" applyAlignment="1">
      <alignment horizontal="center" vertical="center"/>
    </xf>
    <xf numFmtId="0" fontId="13" fillId="2" borderId="0" xfId="0" applyFont="1" applyFill="1"/>
    <xf numFmtId="0" fontId="22" fillId="2" borderId="0" xfId="0" applyFont="1" applyFill="1" applyAlignment="1">
      <alignment horizontal="center" vertical="center"/>
    </xf>
    <xf numFmtId="0" fontId="33" fillId="0" borderId="0" xfId="0" applyFont="1"/>
    <xf numFmtId="0" fontId="35" fillId="2" borderId="0" xfId="0" applyFont="1" applyFill="1" applyAlignment="1">
      <alignment horizontal="center"/>
    </xf>
    <xf numFmtId="0" fontId="13" fillId="2" borderId="0" xfId="0" applyFont="1" applyFill="1" applyAlignment="1">
      <alignment horizontal="right" vertical="center"/>
    </xf>
    <xf numFmtId="0" fontId="29" fillId="3" borderId="5" xfId="0" applyFont="1" applyFill="1" applyBorder="1"/>
    <xf numFmtId="0" fontId="1" fillId="2" borderId="0" xfId="0" applyFont="1" applyFill="1" applyAlignment="1">
      <alignment vertical="center" wrapText="1"/>
    </xf>
    <xf numFmtId="0" fontId="5" fillId="2" borderId="0" xfId="0" applyFont="1" applyFill="1" applyAlignment="1">
      <alignment vertical="center" wrapText="1"/>
    </xf>
    <xf numFmtId="0" fontId="8" fillId="3" borderId="5" xfId="0" applyFont="1" applyFill="1" applyBorder="1" applyAlignment="1">
      <alignment wrapText="1"/>
    </xf>
    <xf numFmtId="0" fontId="36" fillId="0" borderId="0" xfId="0" applyFont="1"/>
    <xf numFmtId="0" fontId="36" fillId="0" borderId="0" xfId="0" applyFont="1" applyAlignment="1">
      <alignment wrapText="1"/>
    </xf>
    <xf numFmtId="0" fontId="2" fillId="7" borderId="0" xfId="0" applyFont="1" applyFill="1" applyAlignment="1">
      <alignment horizontal="left" wrapText="1"/>
    </xf>
    <xf numFmtId="0" fontId="1" fillId="8" borderId="0" xfId="0" applyFont="1" applyFill="1"/>
    <xf numFmtId="14" fontId="2" fillId="3" borderId="3" xfId="0" applyNumberFormat="1" applyFont="1" applyFill="1" applyBorder="1"/>
    <xf numFmtId="0" fontId="2" fillId="3" borderId="3" xfId="0" applyFont="1" applyFill="1" applyBorder="1"/>
    <xf numFmtId="14" fontId="2" fillId="2" borderId="0" xfId="0" applyNumberFormat="1" applyFont="1" applyFill="1"/>
    <xf numFmtId="14" fontId="2" fillId="0" borderId="3" xfId="0" applyNumberFormat="1" applyFont="1" applyBorder="1"/>
    <xf numFmtId="49" fontId="2" fillId="0" borderId="0" xfId="0" applyNumberFormat="1" applyFont="1" applyAlignment="1">
      <alignment horizontal="center"/>
    </xf>
    <xf numFmtId="0" fontId="2" fillId="0" borderId="3" xfId="0" applyFont="1" applyBorder="1"/>
    <xf numFmtId="0" fontId="19" fillId="0" borderId="3" xfId="1" applyFont="1" applyFill="1" applyBorder="1" applyAlignment="1">
      <alignment wrapText="1"/>
    </xf>
    <xf numFmtId="0" fontId="19" fillId="0" borderId="0" xfId="1" applyFont="1" applyFill="1" applyAlignment="1">
      <alignment wrapText="1"/>
    </xf>
    <xf numFmtId="0" fontId="8" fillId="0" borderId="0" xfId="1" applyNumberFormat="1" applyFont="1" applyFill="1" applyAlignment="1">
      <alignment vertical="top" wrapText="1"/>
    </xf>
    <xf numFmtId="0" fontId="8" fillId="0" borderId="0" xfId="0" applyFont="1" applyAlignment="1">
      <alignment vertical="top" wrapText="1"/>
    </xf>
    <xf numFmtId="0" fontId="0" fillId="0" borderId="0" xfId="0" applyAlignment="1">
      <alignment wrapText="1"/>
    </xf>
    <xf numFmtId="14" fontId="0" fillId="0" borderId="0" xfId="0" applyNumberFormat="1" applyAlignment="1">
      <alignment wrapText="1"/>
    </xf>
    <xf numFmtId="0" fontId="6" fillId="0" borderId="0" xfId="0" applyFont="1" applyAlignment="1">
      <alignment vertical="top" wrapText="1"/>
    </xf>
    <xf numFmtId="0" fontId="2" fillId="0" borderId="0" xfId="0" applyFont="1" applyAlignment="1">
      <alignment vertical="top" wrapText="1"/>
    </xf>
    <xf numFmtId="0" fontId="19" fillId="0" borderId="0" xfId="1" applyNumberFormat="1" applyFont="1" applyFill="1" applyAlignment="1">
      <alignment vertical="top" wrapText="1"/>
    </xf>
    <xf numFmtId="0" fontId="29" fillId="0" borderId="0" xfId="1" applyNumberFormat="1" applyFont="1" applyFill="1" applyAlignment="1">
      <alignment vertical="top" wrapText="1"/>
    </xf>
    <xf numFmtId="0" fontId="29" fillId="0" borderId="0" xfId="0" applyFont="1" applyAlignment="1">
      <alignment vertical="top" wrapText="1"/>
    </xf>
    <xf numFmtId="0" fontId="10" fillId="2" borderId="0" xfId="0" applyFont="1" applyFill="1" applyAlignment="1">
      <alignment horizontal="center" vertical="center"/>
    </xf>
    <xf numFmtId="0" fontId="10" fillId="2" borderId="0" xfId="0" applyFont="1" applyFill="1" applyAlignment="1">
      <alignment horizontal="left"/>
    </xf>
    <xf numFmtId="0" fontId="34" fillId="0" borderId="0" xfId="0" applyFont="1" applyAlignment="1">
      <alignment vertical="top" wrapText="1"/>
    </xf>
    <xf numFmtId="0" fontId="13" fillId="2" borderId="0" xfId="0" applyFont="1" applyFill="1" applyAlignment="1">
      <alignment horizontal="center"/>
    </xf>
    <xf numFmtId="0" fontId="24" fillId="2" borderId="0" xfId="0" applyFont="1" applyFill="1" applyAlignment="1">
      <alignment horizontal="center"/>
    </xf>
    <xf numFmtId="0" fontId="13" fillId="2" borderId="0" xfId="1" applyFont="1" applyFill="1" applyAlignment="1">
      <alignment horizontal="center"/>
    </xf>
    <xf numFmtId="0" fontId="12" fillId="0" borderId="0" xfId="1" applyNumberFormat="1" applyFill="1" applyAlignment="1">
      <alignment vertical="top" wrapText="1"/>
    </xf>
    <xf numFmtId="0" fontId="30" fillId="2" borderId="0" xfId="0" applyFont="1" applyFill="1" applyAlignment="1">
      <alignment wrapText="1"/>
    </xf>
    <xf numFmtId="0" fontId="2" fillId="2" borderId="0" xfId="1" applyFont="1" applyFill="1" applyAlignment="1">
      <alignment horizontal="left" wrapText="1"/>
    </xf>
    <xf numFmtId="0" fontId="2" fillId="3" borderId="0" xfId="0" applyFont="1" applyFill="1" applyAlignment="1">
      <alignment horizontal="left" vertical="top" wrapText="1"/>
    </xf>
    <xf numFmtId="0" fontId="10" fillId="3" borderId="0" xfId="0" applyFont="1" applyFill="1" applyAlignment="1">
      <alignment horizontal="left"/>
    </xf>
    <xf numFmtId="0" fontId="2" fillId="3" borderId="0" xfId="0" applyFont="1" applyFill="1" applyAlignment="1">
      <alignment horizontal="left"/>
    </xf>
    <xf numFmtId="0" fontId="6" fillId="3" borderId="0" xfId="0" applyFont="1" applyFill="1" applyAlignment="1">
      <alignment horizontal="left"/>
    </xf>
    <xf numFmtId="0" fontId="1" fillId="3" borderId="0" xfId="0" applyFont="1" applyFill="1" applyAlignment="1">
      <alignment horizontal="left" vertical="top"/>
    </xf>
    <xf numFmtId="0" fontId="10" fillId="2" borderId="3" xfId="0" applyFont="1" applyFill="1" applyBorder="1" applyAlignment="1">
      <alignment horizontal="center"/>
    </xf>
    <xf numFmtId="0" fontId="10" fillId="2" borderId="0" xfId="0" applyFont="1" applyFill="1" applyAlignment="1">
      <alignment horizontal="center" vertical="center"/>
    </xf>
    <xf numFmtId="0" fontId="1" fillId="2" borderId="4" xfId="0" applyFont="1" applyFill="1" applyBorder="1" applyAlignment="1">
      <alignment horizontal="center"/>
    </xf>
    <xf numFmtId="0" fontId="1" fillId="2" borderId="0" xfId="0" applyFont="1" applyFill="1" applyAlignment="1">
      <alignment horizontal="center"/>
    </xf>
    <xf numFmtId="0" fontId="1" fillId="2" borderId="2" xfId="0" applyFont="1" applyFill="1" applyBorder="1" applyAlignment="1">
      <alignment horizontal="center"/>
    </xf>
  </cellXfs>
  <cellStyles count="2">
    <cellStyle name="Hyperlink" xfId="1" builtinId="8"/>
    <cellStyle name="Normal" xfId="0" builtinId="0"/>
  </cellStyles>
  <dxfs count="667">
    <dxf>
      <font>
        <b/>
        <i val="0"/>
        <color rgb="FF99FFCC"/>
      </font>
    </dxf>
    <dxf>
      <font>
        <strike/>
        <color rgb="FFC00000"/>
      </font>
      <border>
        <left style="thin">
          <color rgb="FFC00000"/>
        </left>
        <right style="thin">
          <color rgb="FFC00000"/>
        </right>
        <top style="thin">
          <color rgb="FFC00000"/>
        </top>
        <bottom style="thin">
          <color rgb="FFC00000"/>
        </bottom>
        <vertical/>
        <horizontal/>
      </border>
    </dxf>
    <dxf>
      <font>
        <b/>
        <i val="0"/>
        <color rgb="FF99FFCC"/>
      </font>
    </dxf>
    <dxf>
      <font>
        <color theme="0" tint="-0.34998626667073579"/>
      </font>
    </dxf>
    <dxf>
      <font>
        <strike/>
        <color rgb="FFC00000"/>
      </font>
      <border>
        <left style="thin">
          <color rgb="FFC00000"/>
        </left>
        <right style="thin">
          <color rgb="FFC00000"/>
        </right>
        <top style="thin">
          <color rgb="FFC00000"/>
        </top>
        <bottom style="thin">
          <color rgb="FFC00000"/>
        </bottom>
        <vertical/>
        <horizontal/>
      </border>
    </dxf>
    <dxf>
      <font>
        <b/>
        <i val="0"/>
        <color rgb="FF99FFCC"/>
      </font>
    </dxf>
    <dxf>
      <font>
        <strike/>
        <color rgb="FFC00000"/>
      </font>
      <border>
        <left style="thin">
          <color rgb="FFC00000"/>
        </left>
        <right style="thin">
          <color rgb="FFC00000"/>
        </right>
        <top style="thin">
          <color rgb="FFC00000"/>
        </top>
        <bottom style="thin">
          <color rgb="FFC00000"/>
        </bottom>
        <vertical/>
        <horizontal/>
      </border>
    </dxf>
    <dxf>
      <font>
        <b/>
        <i val="0"/>
        <color rgb="FF99FFCC"/>
      </font>
    </dxf>
    <dxf>
      <font>
        <strike/>
        <color rgb="FFC00000"/>
      </font>
      <border>
        <left style="thin">
          <color rgb="FFC00000"/>
        </left>
        <right style="thin">
          <color rgb="FFC00000"/>
        </right>
        <top style="thin">
          <color rgb="FFC00000"/>
        </top>
        <bottom style="thin">
          <color rgb="FFC00000"/>
        </bottom>
        <vertical/>
        <horizontal/>
      </border>
    </dxf>
    <dxf>
      <font>
        <b/>
        <i val="0"/>
        <color rgb="FF99FFCC"/>
      </font>
    </dxf>
    <dxf>
      <border>
        <bottom style="dotted">
          <color theme="0"/>
        </bottom>
        <vertical/>
        <horizontal/>
      </border>
    </dxf>
    <dxf>
      <font>
        <color theme="1" tint="0.14996795556505021"/>
      </font>
    </dxf>
    <dxf>
      <font>
        <color theme="1" tint="0.34998626667073579"/>
      </font>
    </dxf>
    <dxf>
      <border>
        <left style="thin">
          <color rgb="FFFFB9B9"/>
        </left>
        <right style="thin">
          <color rgb="FFFFB9B9"/>
        </right>
        <top style="thin">
          <color rgb="FFFFB9B9"/>
        </top>
        <bottom style="thin">
          <color rgb="FFFFB9B9"/>
        </bottom>
        <vertical/>
        <horizontal/>
      </border>
    </dxf>
    <dxf>
      <border>
        <bottom style="dotted">
          <color theme="0"/>
        </bottom>
        <vertical/>
        <horizontal/>
      </border>
    </dxf>
    <dxf>
      <font>
        <color theme="1" tint="0.14996795556505021"/>
      </font>
    </dxf>
    <dxf>
      <font>
        <color theme="1" tint="0.34998626667073579"/>
      </font>
    </dxf>
    <dxf>
      <border>
        <left style="thin">
          <color rgb="FFFFB9B9"/>
        </left>
        <right style="thin">
          <color rgb="FFFFB9B9"/>
        </right>
        <top style="thin">
          <color rgb="FFFFB9B9"/>
        </top>
        <bottom style="thin">
          <color rgb="FFFFB9B9"/>
        </bottom>
        <vertical/>
        <horizontal/>
      </border>
    </dxf>
    <dxf>
      <border>
        <bottom style="thin">
          <color theme="0"/>
        </bottom>
        <vertical/>
        <horizontal/>
      </border>
    </dxf>
    <dxf>
      <fill>
        <patternFill>
          <bgColor theme="1" tint="0.34998626667073579"/>
        </patternFill>
      </fill>
    </dxf>
    <dxf>
      <fill>
        <patternFill>
          <bgColor theme="1" tint="0.14996795556505021"/>
        </patternFill>
      </fill>
    </dxf>
    <dxf>
      <border>
        <left style="thin">
          <color rgb="FFFFB9B9"/>
        </left>
        <right style="thin">
          <color rgb="FFFFB9B9"/>
        </right>
        <top style="thin">
          <color rgb="FFFFB9B9"/>
        </top>
        <bottom style="thin">
          <color rgb="FFFFB9B9"/>
        </bottom>
        <vertical/>
        <horizontal/>
      </border>
    </dxf>
    <dxf>
      <fill>
        <patternFill>
          <bgColor theme="1" tint="0.34998626667073579"/>
        </patternFill>
      </fill>
    </dxf>
    <dxf>
      <font>
        <color theme="5" tint="-0.499984740745262"/>
      </font>
      <fill>
        <patternFill>
          <bgColor theme="5" tint="0.79998168889431442"/>
        </patternFill>
      </fill>
      <border>
        <vertical/>
        <horizontal/>
      </border>
    </dxf>
    <dxf>
      <font>
        <color theme="9" tint="-0.499984740745262"/>
      </font>
      <fill>
        <patternFill>
          <bgColor theme="9" tint="0.79998168889431442"/>
        </patternFill>
      </fill>
      <border>
        <vertical/>
        <horizontal/>
      </border>
    </dxf>
    <dxf>
      <font>
        <b/>
        <i val="0"/>
        <color rgb="FF99FFCC"/>
      </font>
    </dxf>
    <dxf>
      <border>
        <left style="thin">
          <color rgb="FFFFB9B9"/>
        </left>
        <right style="thin">
          <color rgb="FFFFB9B9"/>
        </right>
        <top style="thin">
          <color rgb="FFFFB9B9"/>
        </top>
        <bottom style="thin">
          <color rgb="FFFFB9B9"/>
        </bottom>
        <vertical/>
        <horizontal/>
      </border>
    </dxf>
    <dxf>
      <border>
        <left style="thin">
          <color rgb="FFFFB9B9"/>
        </left>
        <right style="thin">
          <color rgb="FFFFB9B9"/>
        </right>
        <top style="thin">
          <color rgb="FFFFB9B9"/>
        </top>
        <bottom style="thin">
          <color rgb="FFFFB9B9"/>
        </bottom>
        <vertical/>
        <horizontal/>
      </border>
    </dxf>
    <dxf>
      <font>
        <color theme="1"/>
      </font>
      <fill>
        <patternFill>
          <bgColor rgb="FFFF3300"/>
        </patternFill>
      </fill>
    </dxf>
    <dxf>
      <font>
        <color theme="1"/>
      </font>
      <fill>
        <patternFill>
          <bgColor rgb="FFFFCC00"/>
        </patternFill>
      </fill>
    </dxf>
    <dxf>
      <font>
        <color theme="1"/>
      </font>
      <fill>
        <patternFill>
          <bgColor rgb="FFCCFF33"/>
        </patternFill>
      </fill>
    </dxf>
    <dxf>
      <font>
        <color theme="1"/>
      </font>
      <fill>
        <patternFill>
          <bgColor rgb="FF99FFCC"/>
        </patternFill>
      </fill>
    </dxf>
    <dxf>
      <font>
        <color theme="3" tint="-0.499984740745262"/>
      </font>
      <fill>
        <patternFill>
          <bgColor theme="3" tint="0.59996337778862885"/>
        </patternFill>
      </fill>
    </dxf>
    <dxf>
      <fill>
        <patternFill>
          <bgColor rgb="FFFFB9B9"/>
        </patternFill>
      </fill>
    </dxf>
    <dxf>
      <font>
        <b/>
        <i val="0"/>
        <color rgb="FF99FFCC"/>
      </font>
    </dxf>
    <dxf>
      <border>
        <bottom style="hair">
          <color theme="0"/>
        </bottom>
        <vertical/>
        <horizontal/>
      </border>
    </dxf>
    <dxf>
      <border>
        <bottom style="hair">
          <color theme="0"/>
        </bottom>
        <vertical/>
        <horizontal/>
      </border>
    </dxf>
    <dxf>
      <fill>
        <patternFill>
          <bgColor rgb="FFFFB9B9"/>
        </patternFill>
      </fill>
    </dxf>
    <dxf>
      <font>
        <b/>
        <i val="0"/>
        <color rgb="FF99FFCC"/>
      </font>
    </dxf>
    <dxf>
      <border>
        <left style="thin">
          <color rgb="FFFFB9B9"/>
        </left>
        <right style="thin">
          <color rgb="FFFFB9B9"/>
        </right>
        <top style="thin">
          <color rgb="FFFFB9B9"/>
        </top>
        <bottom style="thin">
          <color rgb="FFFFB9B9"/>
        </bottom>
        <vertical/>
        <horizontal/>
      </border>
    </dxf>
    <dxf>
      <border>
        <left style="thin">
          <color rgb="FFFFB9B9"/>
        </left>
        <right style="thin">
          <color rgb="FFFFB9B9"/>
        </right>
        <top style="thin">
          <color rgb="FFFFB9B9"/>
        </top>
        <bottom style="thin">
          <color rgb="FFFFB9B9"/>
        </bottom>
        <vertical/>
        <horizontal/>
      </border>
    </dxf>
    <dxf>
      <font>
        <color theme="1"/>
      </font>
      <fill>
        <patternFill>
          <bgColor rgb="FFFF3300"/>
        </patternFill>
      </fill>
    </dxf>
    <dxf>
      <font>
        <color theme="1"/>
      </font>
      <fill>
        <patternFill>
          <bgColor rgb="FFFFCC00"/>
        </patternFill>
      </fill>
    </dxf>
    <dxf>
      <font>
        <color theme="1"/>
      </font>
      <fill>
        <patternFill>
          <bgColor rgb="FFCCFF33"/>
        </patternFill>
      </fill>
    </dxf>
    <dxf>
      <font>
        <color theme="1"/>
      </font>
      <fill>
        <patternFill>
          <bgColor rgb="FF99FFCC"/>
        </patternFill>
      </fill>
    </dxf>
    <dxf>
      <font>
        <color theme="3" tint="-0.499984740745262"/>
      </font>
      <fill>
        <patternFill>
          <bgColor theme="3" tint="0.59996337778862885"/>
        </patternFill>
      </fill>
    </dxf>
    <dxf>
      <font>
        <b/>
        <i val="0"/>
        <color rgb="FF99FFCC"/>
      </font>
    </dxf>
    <dxf>
      <border>
        <left style="thin">
          <color rgb="FFFFFF9B"/>
        </left>
        <right style="thin">
          <color rgb="FFFFFF9B"/>
        </right>
        <top style="thin">
          <color rgb="FFFFFF9B"/>
        </top>
        <bottom style="thin">
          <color rgb="FFFFFF9B"/>
        </bottom>
        <vertical/>
        <horizontal/>
      </border>
    </dxf>
    <dxf>
      <font>
        <color theme="1"/>
      </font>
      <fill>
        <patternFill>
          <bgColor rgb="FFFF3300"/>
        </patternFill>
      </fill>
    </dxf>
    <dxf>
      <font>
        <color theme="1"/>
      </font>
      <fill>
        <patternFill>
          <bgColor rgb="FFFFCC00"/>
        </patternFill>
      </fill>
    </dxf>
    <dxf>
      <font>
        <color theme="1"/>
      </font>
      <fill>
        <patternFill>
          <bgColor rgb="FFCCFF33"/>
        </patternFill>
      </fill>
    </dxf>
    <dxf>
      <font>
        <color theme="1"/>
      </font>
      <fill>
        <patternFill>
          <bgColor rgb="FF99FFCC"/>
        </patternFill>
      </fill>
    </dxf>
    <dxf>
      <font>
        <color theme="3" tint="-0.499984740745262"/>
      </font>
      <fill>
        <patternFill>
          <bgColor theme="3" tint="0.59996337778862885"/>
        </patternFill>
      </fill>
    </dxf>
    <dxf>
      <fill>
        <patternFill>
          <bgColor theme="9" tint="0.59996337778862885"/>
        </patternFill>
      </fill>
    </dxf>
    <dxf>
      <font>
        <color theme="0" tint="-0.34998626667073579"/>
      </font>
    </dxf>
    <dxf>
      <font>
        <color theme="1"/>
      </font>
      <fill>
        <patternFill>
          <bgColor rgb="FFFF3300"/>
        </patternFill>
      </fill>
    </dxf>
    <dxf>
      <font>
        <color theme="1"/>
      </font>
      <fill>
        <patternFill>
          <bgColor rgb="FFFFCC00"/>
        </patternFill>
      </fill>
    </dxf>
    <dxf>
      <font>
        <color theme="1"/>
      </font>
      <fill>
        <patternFill>
          <bgColor rgb="FFCCFF33"/>
        </patternFill>
      </fill>
    </dxf>
    <dxf>
      <font>
        <color theme="1"/>
      </font>
      <fill>
        <patternFill>
          <bgColor rgb="FF99FFCC"/>
        </patternFill>
      </fill>
    </dxf>
    <dxf>
      <font>
        <color theme="3" tint="-0.499984740745262"/>
      </font>
      <fill>
        <patternFill>
          <bgColor theme="3" tint="0.59996337778862885"/>
        </patternFill>
      </fill>
    </dxf>
    <dxf>
      <fill>
        <patternFill>
          <bgColor rgb="FFFFB9B9"/>
        </patternFill>
      </fill>
    </dxf>
    <dxf>
      <fill>
        <patternFill>
          <bgColor theme="5" tint="0.59996337778862885"/>
        </patternFill>
      </fill>
    </dxf>
    <dxf>
      <border>
        <left style="thin">
          <color theme="4" tint="0.59996337778862885"/>
        </left>
        <right style="thin">
          <color theme="4" tint="0.59996337778862885"/>
        </right>
        <top style="thin">
          <color theme="4" tint="0.59996337778862885"/>
        </top>
        <bottom style="thin">
          <color theme="4" tint="0.59996337778862885"/>
        </bottom>
        <vertical/>
        <horizontal/>
      </border>
    </dxf>
    <dxf>
      <font>
        <b/>
        <i val="0"/>
        <color rgb="FF99FFCC"/>
      </font>
    </dxf>
    <dxf>
      <fill>
        <patternFill>
          <bgColor rgb="FFFFC1C1"/>
        </patternFill>
      </fill>
      <border>
        <left style="thin">
          <color rgb="FFFFB9B9"/>
        </left>
        <right style="thin">
          <color rgb="FFFFB9B9"/>
        </right>
        <top style="thin">
          <color rgb="FFFFB9B9"/>
        </top>
        <bottom style="thin">
          <color rgb="FFFFB9B9"/>
        </bottom>
        <vertical/>
        <horizontal/>
      </border>
    </dxf>
    <dxf>
      <font>
        <color rgb="FFFFB9B9"/>
      </font>
    </dxf>
    <dxf>
      <font>
        <color theme="5" tint="0.39994506668294322"/>
      </font>
    </dxf>
    <dxf>
      <font>
        <color rgb="FFFFFF9B"/>
      </font>
    </dxf>
    <dxf>
      <font>
        <color rgb="FF92D050"/>
      </font>
    </dxf>
    <dxf>
      <fill>
        <patternFill>
          <bgColor rgb="FFFFC1C1"/>
        </patternFill>
      </fill>
      <border>
        <left style="thin">
          <color rgb="FFFFB9B9"/>
        </left>
        <right style="thin">
          <color rgb="FFFFB9B9"/>
        </right>
        <top style="thin">
          <color rgb="FFFFB9B9"/>
        </top>
        <bottom style="thin">
          <color rgb="FFFFB9B9"/>
        </bottom>
        <vertical/>
        <horizontal/>
      </border>
    </dxf>
    <dxf>
      <fill>
        <patternFill>
          <bgColor rgb="FFFFC1C1"/>
        </patternFill>
      </fill>
      <border>
        <left style="thin">
          <color rgb="FFFFB9B9"/>
        </left>
        <right style="thin">
          <color rgb="FFFFB9B9"/>
        </right>
        <top style="thin">
          <color rgb="FFFFB9B9"/>
        </top>
        <bottom style="thin">
          <color rgb="FFFFB9B9"/>
        </bottom>
        <vertical/>
        <horizontal/>
      </border>
    </dxf>
    <dxf>
      <fill>
        <patternFill>
          <bgColor rgb="FFFFC1C1"/>
        </patternFill>
      </fill>
      <border>
        <left style="thin">
          <color rgb="FFFFB9B9"/>
        </left>
        <right style="thin">
          <color rgb="FFFFB9B9"/>
        </right>
        <top style="thin">
          <color rgb="FFFFB9B9"/>
        </top>
        <bottom style="thin">
          <color rgb="FFFFB9B9"/>
        </bottom>
        <vertical/>
        <horizontal/>
      </border>
    </dxf>
    <dxf>
      <font>
        <color theme="1" tint="0.499984740745262"/>
      </font>
    </dxf>
    <dxf>
      <fill>
        <patternFill>
          <bgColor theme="1" tint="0.34998626667073579"/>
        </patternFill>
      </fill>
    </dxf>
    <dxf>
      <border>
        <top style="thin">
          <color theme="0"/>
        </top>
        <bottom style="thin">
          <color theme="0"/>
        </bottom>
        <vertical/>
        <horizontal/>
      </border>
    </dxf>
    <dxf>
      <font>
        <color theme="0"/>
      </font>
    </dxf>
    <dxf>
      <border>
        <top style="thin">
          <color theme="0"/>
        </top>
        <vertical/>
        <horizontal/>
      </border>
    </dxf>
    <dxf>
      <border>
        <top style="thin">
          <color theme="0"/>
        </top>
        <vertical/>
        <horizontal/>
      </border>
    </dxf>
    <dxf>
      <border>
        <top style="thin">
          <color theme="0"/>
        </top>
        <vertical/>
        <horizontal/>
      </border>
    </dxf>
    <dxf>
      <fill>
        <patternFill>
          <bgColor theme="1" tint="0.34998626667073579"/>
        </patternFill>
      </fill>
    </dxf>
    <dxf>
      <fill>
        <patternFill>
          <bgColor theme="1" tint="0.14996795556505021"/>
        </patternFill>
      </fill>
    </dxf>
    <dxf>
      <border>
        <top style="thin">
          <color theme="0"/>
        </top>
        <vertical/>
        <horizontal/>
      </border>
    </dxf>
    <dxf>
      <font>
        <color theme="9" tint="0.59996337778862885"/>
      </font>
    </dxf>
    <dxf>
      <font>
        <color theme="9" tint="0.59996337778862885"/>
      </font>
    </dxf>
    <dxf>
      <font>
        <color theme="9" tint="0.59996337778862885"/>
      </font>
    </dxf>
    <dxf>
      <font>
        <color theme="9" tint="0.59996337778862885"/>
      </font>
    </dxf>
    <dxf>
      <font>
        <color theme="9" tint="0.59996337778862885"/>
      </font>
    </dxf>
    <dxf>
      <fill>
        <patternFill>
          <bgColor theme="1" tint="0.34998626667073579"/>
        </patternFill>
      </fill>
    </dxf>
    <dxf>
      <fill>
        <patternFill>
          <bgColor theme="1" tint="0.1499679555650502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rgb="FFFFFFFF"/>
        <name val="Calibri"/>
        <family val="2"/>
        <scheme val="none"/>
      </font>
      <fill>
        <patternFill patternType="none">
          <fgColor rgb="FF000000"/>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rgb="FFFFFFFF"/>
        <name val="Calibri"/>
        <family val="2"/>
        <scheme val="none"/>
      </font>
      <fill>
        <patternFill patternType="none">
          <fgColor rgb="FF000000"/>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C6E0B4"/>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8"/>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8"/>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FFFFFF"/>
        <name val="Calibri"/>
        <family val="2"/>
        <scheme val="none"/>
      </font>
      <fill>
        <patternFill patternType="none">
          <fgColor rgb="FF000000"/>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FFFFFF"/>
        <name val="Calibri"/>
        <family val="2"/>
        <scheme val="none"/>
      </font>
      <fill>
        <patternFill patternType="none">
          <fgColor rgb="FF000000"/>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0"/>
        <name val="Calibri"/>
        <family val="2"/>
        <scheme val="minor"/>
      </font>
      <fill>
        <patternFill patternType="none">
          <fgColor indexed="64"/>
          <bgColor indexed="65"/>
        </patternFill>
      </fill>
      <alignment horizontal="general" vertical="bottom" textRotation="0" wrapText="1" indent="0" justifyLastLine="0" shrinkToFit="0" readingOrder="0"/>
      <border diagonalUp="0" diagonalDown="0" outline="0">
        <left/>
        <right style="thin">
          <color theme="0"/>
        </right>
        <top/>
        <bottom/>
      </border>
    </dxf>
    <dxf>
      <font>
        <b val="0"/>
        <i val="0"/>
        <strike val="0"/>
        <condense val="0"/>
        <extend val="0"/>
        <outline val="0"/>
        <shadow val="0"/>
        <u val="none"/>
        <vertAlign val="baseline"/>
        <sz val="9"/>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0"/>
        <name val="Calibri"/>
        <family val="2"/>
        <scheme val="minor"/>
      </font>
      <fill>
        <patternFill patternType="none">
          <fgColor indexed="64"/>
          <bgColor indexed="65"/>
        </patternFill>
      </fill>
      <alignment horizontal="general" vertical="bottom" textRotation="0" wrapText="1" indent="0" justifyLastLine="0" shrinkToFit="0" readingOrder="0"/>
      <border diagonalUp="0" diagonalDown="0" outline="0">
        <left style="thin">
          <color theme="0"/>
        </left>
        <right/>
        <top/>
        <bottom/>
      </border>
    </dxf>
    <dxf>
      <font>
        <b val="0"/>
        <i val="0"/>
        <strike val="0"/>
        <condense val="0"/>
        <extend val="0"/>
        <outline val="0"/>
        <shadow val="0"/>
        <u val="none"/>
        <vertAlign val="baseline"/>
        <sz val="9"/>
        <color theme="0"/>
        <name val="Calibri"/>
        <family val="2"/>
        <scheme val="minor"/>
      </font>
      <fill>
        <patternFill patternType="none">
          <fgColor indexed="64"/>
          <bgColor indexed="65"/>
        </patternFill>
      </fill>
      <alignment horizontal="general" vertical="bottom" textRotation="0" wrapText="1" indent="0" justifyLastLine="0" shrinkToFit="0" readingOrder="0"/>
      <border diagonalUp="0" diagonalDown="0" outline="0">
        <left/>
        <right style="thin">
          <color theme="0"/>
        </right>
        <top/>
        <bottom/>
      </border>
    </dxf>
    <dxf>
      <font>
        <b val="0"/>
        <i val="0"/>
        <strike val="0"/>
        <condense val="0"/>
        <extend val="0"/>
        <outline val="0"/>
        <shadow val="0"/>
        <u val="none"/>
        <vertAlign val="baseline"/>
        <sz val="9"/>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right style="thin">
          <color theme="0"/>
        </right>
        <top/>
        <bottom/>
        <vertical/>
        <horizontal/>
      </border>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2"/>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99FFCC"/>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99FFCC"/>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8"/>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8"/>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9" tint="0.59999389629810485"/>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FFFFFF"/>
        <name val="Calibri"/>
        <family val="2"/>
        <scheme val="none"/>
      </font>
      <fill>
        <patternFill patternType="none">
          <fgColor rgb="FF000000"/>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9" tint="0.59999389629810485"/>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theme="1" tint="0.1499984740745262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9"/>
        <color theme="9" tint="0.59999389629810485"/>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9"/>
        <color theme="9" tint="0.59999389629810485"/>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9"/>
        <color theme="0"/>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9"/>
        <color theme="9" tint="0.59999389629810485"/>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ertAlign val="baseline"/>
        <sz val="11"/>
        <color rgb="FF99FFCC"/>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9"/>
        <color theme="9" tint="0.59999389629810485"/>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rgb="FFFFFFFF"/>
        <name val="Calibri"/>
        <family val="2"/>
        <scheme val="none"/>
      </font>
      <fill>
        <patternFill patternType="none">
          <fgColor rgb="FF000000"/>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8"/>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9"/>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8"/>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9" tint="0.59999389629810485"/>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8"/>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34998626667073579"/>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8"/>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8"/>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8"/>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dxf>
    <dxf>
      <font>
        <b val="0"/>
        <i val="0"/>
        <strike val="0"/>
        <condense val="0"/>
        <extend val="0"/>
        <outline val="0"/>
        <shadow val="0"/>
        <u val="none"/>
        <vertAlign val="baseline"/>
        <sz val="11"/>
        <color rgb="FFFFFFFF"/>
        <name val="Calibri"/>
        <family val="2"/>
        <scheme val="none"/>
      </font>
      <numFmt numFmtId="0" formatCode="General"/>
      <fill>
        <patternFill patternType="none">
          <fgColor rgb="FF000000"/>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FFFFFF"/>
        <name val="Calibri"/>
        <family val="2"/>
        <scheme val="none"/>
      </font>
      <fill>
        <patternFill patternType="none">
          <fgColor rgb="FF000000"/>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theme="9" tint="0.59999389629810485"/>
        <name val="Calibri"/>
        <family val="2"/>
        <scheme val="minor"/>
      </font>
      <fill>
        <patternFill patternType="none">
          <fgColor indexed="64"/>
          <bgColor auto="1"/>
        </patternFill>
      </fill>
    </dxf>
    <dxf>
      <font>
        <b/>
        <i val="0"/>
        <strike val="0"/>
        <condense val="0"/>
        <extend val="0"/>
        <outline val="0"/>
        <shadow val="0"/>
        <u val="none"/>
        <vertAlign val="baseline"/>
        <sz val="11"/>
        <color theme="9" tint="0.59999389629810485"/>
        <name val="Calibri"/>
        <family val="2"/>
        <scheme val="minor"/>
      </font>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theme="1" tint="0.1499984740745262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19" formatCode="dd/mm/yyyy"/>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19" formatCode="dd/mm/yyyy"/>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solid">
          <fgColor indexed="64"/>
          <bgColor theme="1" tint="0.14996795556505021"/>
        </patternFill>
      </fill>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theme="1" tint="0.14999847407452621"/>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d/mm/yyyy"/>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tint="0.14996795556505021"/>
        </patternFill>
      </fill>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theme="1" tint="0.14999847407452621"/>
        </patternFill>
      </fill>
    </dxf>
    <dxf>
      <font>
        <b val="0"/>
        <i val="0"/>
        <strike val="0"/>
        <condense val="0"/>
        <extend val="0"/>
        <outline val="0"/>
        <shadow val="0"/>
        <u val="none"/>
        <vertAlign val="baseline"/>
        <sz val="11"/>
        <color theme="0"/>
        <name val="Calibri"/>
        <family val="2"/>
        <scheme val="minor"/>
      </font>
      <fill>
        <patternFill patternType="solid">
          <fgColor indexed="64"/>
          <bgColor theme="1" tint="0.14996795556505021"/>
        </patternFill>
      </fill>
    </dxf>
    <dxf>
      <font>
        <b val="0"/>
        <i val="0"/>
        <strike val="0"/>
        <condense val="0"/>
        <extend val="0"/>
        <outline val="0"/>
        <shadow val="0"/>
        <u val="none"/>
        <vertAlign val="baseline"/>
        <sz val="11"/>
        <color theme="0"/>
        <name val="Calibri"/>
        <family val="2"/>
        <scheme val="minor"/>
      </font>
      <fill>
        <patternFill patternType="solid">
          <fgColor indexed="64"/>
          <bgColor theme="1" tint="0.1499679555650502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19" formatCode="dd/mm/yyyy"/>
      <fill>
        <patternFill patternType="solid">
          <fgColor indexed="64"/>
          <bgColor theme="1" tint="0.14996795556505021"/>
        </patternFill>
      </fill>
    </dxf>
    <dxf>
      <font>
        <b val="0"/>
        <i val="0"/>
        <strike val="0"/>
        <condense val="0"/>
        <extend val="0"/>
        <outline val="0"/>
        <shadow val="0"/>
        <u val="none"/>
        <vertAlign val="baseline"/>
        <sz val="11"/>
        <color theme="0"/>
        <name val="Calibri"/>
        <family val="2"/>
        <scheme val="minor"/>
      </font>
      <numFmt numFmtId="19" formatCode="dd/mm/yyyy"/>
      <fill>
        <patternFill patternType="solid">
          <fgColor indexed="64"/>
          <bgColor theme="1" tint="0.14996795556505021"/>
        </patternFill>
      </fill>
    </dxf>
    <dxf>
      <font>
        <b/>
        <i val="0"/>
        <strike val="0"/>
        <condense val="0"/>
        <extend val="0"/>
        <outline val="0"/>
        <shadow val="0"/>
        <u val="none"/>
        <vertAlign val="baseline"/>
        <sz val="11"/>
        <color theme="0"/>
        <name val="Calibri"/>
        <family val="2"/>
        <scheme val="minor"/>
      </font>
      <fill>
        <patternFill patternType="solid">
          <fgColor indexed="64"/>
          <bgColor theme="1" tint="0.14996795556505021"/>
        </patternFill>
      </fill>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theme="1" tint="0.1499984740745262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solid">
          <fgColor indexed="64"/>
          <bgColor theme="1" tint="0.14996795556505021"/>
        </patternFill>
      </fill>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theme="1" tint="0.14999847407452621"/>
        </patternFill>
      </fill>
    </dxf>
    <dxf>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30" formatCode="@"/>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19" formatCode="dd/mm/yyyy"/>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solid">
          <fgColor indexed="64"/>
          <bgColor theme="1" tint="0.14996795556505021"/>
        </patternFill>
      </fill>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8"/>
        <color theme="0"/>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8"/>
        <color theme="0"/>
        <name val="Calibri"/>
        <family val="2"/>
        <scheme val="minor"/>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9"/>
        <color theme="0"/>
        <name val="Calibri"/>
        <family val="2"/>
        <scheme val="minor"/>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9" tint="0.59999389629810485"/>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ertAlign val="baseline"/>
        <sz val="11"/>
        <color rgb="FF99FFCC"/>
        <name val="Calibri"/>
        <family val="2"/>
        <scheme val="minor"/>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ertAlign val="baseline"/>
        <sz val="11"/>
        <color rgb="FF99FFCC"/>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indexed="65"/>
        </patternFill>
      </fill>
      <alignment horizontal="general" vertical="bottom" textRotation="0" wrapText="1" indent="0" justifyLastLine="0" shrinkToFit="0" readingOrder="0"/>
    </dxf>
    <dxf>
      <fill>
        <patternFill>
          <bgColor theme="1" tint="0.14996795556505021"/>
        </patternFill>
      </fill>
    </dxf>
    <dxf>
      <fill>
        <patternFill>
          <bgColor theme="1" tint="0.34998626667073579"/>
        </patternFill>
      </fill>
    </dxf>
    <dxf>
      <font>
        <b/>
        <i val="0"/>
      </font>
      <fill>
        <patternFill>
          <bgColor theme="1" tint="0.14996795556505021"/>
        </patternFill>
      </fill>
      <border>
        <bottom style="thin">
          <color theme="0"/>
        </bottom>
      </border>
    </dxf>
    <dxf>
      <font>
        <color theme="0"/>
      </font>
    </dxf>
  </dxfs>
  <tableStyles count="2" defaultTableStyle="TableStyleMedium2" defaultPivotStyle="PivotStyleLight16">
    <tableStyle name="DarkCustom" pivot="0" count="4" xr9:uid="{A4D013CC-6709-4684-A8AB-D227F39B7A9C}">
      <tableStyleElement type="wholeTable" dxfId="666"/>
      <tableStyleElement type="headerRow" dxfId="665"/>
      <tableStyleElement type="firstRowStripe" dxfId="664"/>
      <tableStyleElement type="secondRowStripe" dxfId="663"/>
    </tableStyle>
    <tableStyle name="Invisible Table" pivot="0" count="0" xr9:uid="{4AE7C36D-2F67-4DA2-8BE2-A886E5094388}"/>
  </tableStyles>
  <colors>
    <mruColors>
      <color rgb="FF99FFCC"/>
      <color rgb="FFFFC1C1"/>
      <color rgb="FFB2D6EC"/>
      <color rgb="FFCCFF33"/>
      <color rgb="FFC6E0B4"/>
      <color rgb="FFFFB9B9"/>
      <color rgb="FFFFFF9B"/>
      <color rgb="FFABFFD1"/>
      <color rgb="FFFFCCCC"/>
      <color rgb="FFFFFF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2466975</xdr:colOff>
      <xdr:row>5</xdr:row>
      <xdr:rowOff>19050</xdr:rowOff>
    </xdr:from>
    <xdr:to>
      <xdr:col>2</xdr:col>
      <xdr:colOff>3905451</xdr:colOff>
      <xdr:row>6</xdr:row>
      <xdr:rowOff>543025</xdr:rowOff>
    </xdr:to>
    <xdr:pic>
      <xdr:nvPicPr>
        <xdr:cNvPr id="2" name="Picture 1">
          <a:extLst>
            <a:ext uri="{FF2B5EF4-FFF2-40B4-BE49-F238E27FC236}">
              <a16:creationId xmlns:a16="http://schemas.microsoft.com/office/drawing/2014/main" id="{FED584C5-E2E9-BFFE-F324-23FB8E03F69C}"/>
            </a:ext>
          </a:extLst>
        </xdr:cNvPr>
        <xdr:cNvPicPr>
          <a:picLocks noChangeAspect="1"/>
        </xdr:cNvPicPr>
      </xdr:nvPicPr>
      <xdr:blipFill>
        <a:blip xmlns:r="http://schemas.openxmlformats.org/officeDocument/2006/relationships" r:embed="rId1"/>
        <a:stretch>
          <a:fillRect/>
        </a:stretch>
      </xdr:blipFill>
      <xdr:spPr>
        <a:xfrm>
          <a:off x="7896225" y="590550"/>
          <a:ext cx="1438476" cy="714475"/>
        </a:xfrm>
        <a:prstGeom prst="rect">
          <a:avLst/>
        </a:prstGeom>
      </xdr:spPr>
    </xdr:pic>
    <xdr:clientData/>
  </xdr:twoCellAnchor>
  <xdr:twoCellAnchor>
    <xdr:from>
      <xdr:col>2</xdr:col>
      <xdr:colOff>3438525</xdr:colOff>
      <xdr:row>6</xdr:row>
      <xdr:rowOff>200025</xdr:rowOff>
    </xdr:from>
    <xdr:to>
      <xdr:col>2</xdr:col>
      <xdr:colOff>3952875</xdr:colOff>
      <xdr:row>6</xdr:row>
      <xdr:rowOff>457200</xdr:rowOff>
    </xdr:to>
    <xdr:sp macro="" textlink="">
      <xdr:nvSpPr>
        <xdr:cNvPr id="3" name="Rectangle 2">
          <a:extLst>
            <a:ext uri="{FF2B5EF4-FFF2-40B4-BE49-F238E27FC236}">
              <a16:creationId xmlns:a16="http://schemas.microsoft.com/office/drawing/2014/main" id="{31C7C45E-68D3-37CF-E7AC-4E913D5234CA}"/>
            </a:ext>
          </a:extLst>
        </xdr:cNvPr>
        <xdr:cNvSpPr/>
      </xdr:nvSpPr>
      <xdr:spPr>
        <a:xfrm>
          <a:off x="8867775" y="962025"/>
          <a:ext cx="514350" cy="257175"/>
        </a:xfrm>
        <a:prstGeom prst="rect">
          <a:avLst/>
        </a:prstGeom>
        <a:noFill/>
        <a:ln w="38100">
          <a:solidFill>
            <a:srgbClr val="B2D6E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B7961A-CA9E-4B52-8961-220CF1B2F5FA}" name="Table1" displayName="Table1" ref="A35:I263" totalsRowShown="0">
  <autoFilter ref="A35:I263" xr:uid="{96B7961A-CA9E-4B52-8961-220CF1B2F5FA}"/>
  <tableColumns count="9">
    <tableColumn id="1" xr3:uid="{B4310152-8863-4BCD-BCA8-D26968007672}" name="Sheet" dataDxfId="662">
      <calculatedColumnFormula array="1">IF(INDEX($H:$H,ROW()-1)&lt;&gt;$H36,$E36,"")</calculatedColumnFormula>
    </tableColumn>
    <tableColumn id="2" xr3:uid="{C3DBD2C5-7262-4547-B55B-051DED726911}" name="Column" dataDxfId="661">
      <calculatedColumnFormula array="1">IF($K36="","",_xlfn.LET(
_xlpm._fullName,IF($L36="",SUBSTITUTE(SUBSTITUTE(INDIRECT($K36),CHAR(10)," "),"  "," "),$L36),
_xlpm._truncatedName,IF(LEN(_xlpm._fullName)&gt;250,LEFT(_xlpm._fullName,250)&amp;"[…]",_xlpm._fullName),
HYPERLINK("#'"&amp;$E36&amp;"'!"&amp;$F36&amp;$G36,
_xlpm._truncatedName)))</calculatedColumnFormula>
    </tableColumn>
    <tableColumn id="3" xr3:uid="{DE213625-7D1F-407B-9570-714CE4B3936C}" name="Explanation" dataDxfId="660"/>
    <tableColumn id="4" xr3:uid="{40336350-6652-4C1D-860E-ABBEAE642831}" name="Comment" dataDxfId="659"/>
    <tableColumn id="6" xr3:uid="{B88B0791-99C8-4294-9339-CD0B51FAD21C}" name="Sheet Name " dataDxfId="658">
      <calculatedColumnFormula>IF($K36="","",_xlfn.LET(
_xlpm._in,$K36,
_xlpm._start,FIND("]",_xlpm._in)+1,
SUBSTITUTE(MID(_xlpm._in,_xlpm._start,FIND("!",_xlpm._in)-_xlpm._start),"'","")))</calculatedColumnFormula>
    </tableColumn>
    <tableColumn id="8" xr3:uid="{26E24997-BFC0-44B1-9F60-5118D135CA25}" name="Column Letter" dataDxfId="657">
      <calculatedColumnFormula>IF($K36="","",_xlfn.LET(
_xlpm._in,SUBSTITUTE($K36,"$","§",1),
_xlpm._start,FIND("§",_xlpm._in)+1,
SUBSTITUTE(MID(_xlpm._in,_xlpm._start,FIND("$",_xlpm._in)-_xlpm._start),"'","")))</calculatedColumnFormula>
    </tableColumn>
    <tableColumn id="7" xr3:uid="{6406BF7C-2EE0-4277-8042-B9726BD6E631}" name="Header Row" dataDxfId="656">
      <calculatedColumnFormula>IF($K36="","",RIGHT($K36,LEN($K36)-FIND("$",SUBSTITUTE($K36,"$","§",1))))</calculatedColumnFormula>
    </tableColumn>
    <tableColumn id="5" xr3:uid="{66A12776-5148-4FB0-8BDE-02B2B3A0C6CE}" name="Sheet #" dataDxfId="655">
      <calculatedColumnFormula array="1">CreateID($H$35,$E36&lt;&gt;INDEX($E:$E,ROW()-1))</calculatedColumnFormula>
    </tableColumn>
    <tableColumn id="9" xr3:uid="{0D67A3DA-662E-4DBF-A071-25ED36C0AE65}" name="Column Original Name" dataDxfId="654">
      <calculatedColumnFormula array="1">INDIRECT($K36)</calculatedColumnFormula>
    </tableColumn>
  </tableColumns>
  <tableStyleInfo name="DarkCustom"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C5F0194-CC00-4A17-9DD8-AD83F83924F1}" name="Table130" displayName="Table130" ref="A2:O192" totalsRowShown="0">
  <autoFilter ref="A2:O192" xr:uid="{96B7961A-CA9E-4B52-8961-220CF1B2F5FA}"/>
  <tableColumns count="15">
    <tableColumn id="1" xr3:uid="{EDD38DED-8042-4572-A611-2515B11B7AA9}" name="Q ID" dataDxfId="653" dataCellStyle="Hyperlink">
      <calculatedColumnFormula array="1">IF($Q3="","",_xlfn.LET(
_xlpm._fullName,IF($R3="",SUBSTITUTE(SUBSTITUTE(INDIRECT($Q3),CHAR(10)," "),"  "," "),$R3),
_xlpm._truncatedName,IF(LEN(_xlpm._fullName)&gt;250,LEFT(_xlpm._fullName,250)&amp;"[…]",_xlpm._fullName),
HYPERLINK("#'"&amp;$I3&amp;"'!"&amp;$J3&amp;$K3,
_xlpm._truncatedName)))</calculatedColumnFormula>
    </tableColumn>
    <tableColumn id="2" xr3:uid="{E0C066C9-AE0F-4CA2-B829-F7FF35D68BC3}" name="Question" dataDxfId="652">
      <calculatedColumnFormula array="1">IF($A3="","",SimpleLookup($A3,Questions!$A:$B))</calculatedColumnFormula>
    </tableColumn>
    <tableColumn id="13" xr3:uid="{54A2832E-E59E-4334-A664-DE74FF14A92F}" name="Answer" dataDxfId="651"/>
    <tableColumn id="3" xr3:uid="{4A2FF80E-6233-4B52-9B2D-3EAD3B4FFC33}" name="Answering Guideline" dataDxfId="650"/>
    <tableColumn id="4" xr3:uid="{7CE27C40-D9A7-4AA1-822B-0A692CF0FEE0}" name="Follow Up Question" dataDxfId="649">
      <calculatedColumnFormula array="1">_xlfn.LET(
_xlpm._options,IF($O3="","",SimpleLookup($O3,Questions!$A:$H)),
_xlpm._followUpStart,FIND($C3&amp;":",_xlpm._options)+LEN($C3&amp;":"),
_xlpm._followUpEnd,FIND(CHAR(10),_xlpm._options&amp;CHAR(10),_xlpm._followUpStart),
IF($C3="","",TRIM(MID(_xlpm._options,_xlpm._followUpStart,_xlpm._followUpEnd-_xlpm._followUpStart))))</calculatedColumnFormula>
    </tableColumn>
    <tableColumn id="14" xr3:uid="{E94BDC93-1524-4E64-8503-F17051570141}" name="Answer " dataDxfId="648"/>
    <tableColumn id="10" xr3:uid="{394D1ECF-5E6E-4C91-82A3-D3093F4F4D36}" name="Answering Guideline " dataDxfId="647"/>
    <tableColumn id="12" xr3:uid="{81DAF2F7-CE67-4245-8C86-D069E72C2B54}" name="Shadow ID" dataDxfId="646">
      <calculatedColumnFormula array="1">CreateID($H$2,$A3&lt;&gt;"")</calculatedColumnFormula>
    </tableColumn>
    <tableColumn id="6" xr3:uid="{4CD39CB3-6DF5-4466-BBD8-23C662BC5740}" name="Sheet Name " dataDxfId="645">
      <calculatedColumnFormula>IF($Q3="","",_xlfn.LET(
_xlpm._in,$Q3,
_xlpm._start,FIND("]",_xlpm._in)+1,
SUBSTITUTE(MID(_xlpm._in,_xlpm._start,FIND("!",_xlpm._in)-_xlpm._start),"'","")))</calculatedColumnFormula>
    </tableColumn>
    <tableColumn id="8" xr3:uid="{9210D304-F144-49BB-8309-FB40880FC8A1}" name="Column Letter" dataDxfId="644">
      <calculatedColumnFormula>IF($Q3="","",_xlfn.LET(
_xlpm._in,SUBSTITUTE($Q3,"$","§",1),
_xlpm._start,FIND("§",_xlpm._in)+1,
SUBSTITUTE(MID(_xlpm._in,_xlpm._start,FIND("$",_xlpm._in)-_xlpm._start),"'","")))</calculatedColumnFormula>
    </tableColumn>
    <tableColumn id="7" xr3:uid="{D56DB7D1-9051-43E2-9CB6-253FDC84F896}" name="Header Row" dataDxfId="643">
      <calculatedColumnFormula>IF($Q3="","",RIGHT($Q3,LEN($Q3)-FIND("$",SUBSTITUTE($Q3,"$","§",1))))</calculatedColumnFormula>
    </tableColumn>
    <tableColumn id="5" xr3:uid="{E642C6CB-8250-42F6-B9DD-2CFF80A2D88C}" name="Sheet #" dataDxfId="642">
      <calculatedColumnFormula array="1">CreateID($L$2,$I3&lt;&gt;INDEX($I:$I,ROW()-1))</calculatedColumnFormula>
    </tableColumn>
    <tableColumn id="9" xr3:uid="{C0F25080-34D1-4F8C-8A9C-6C67C64484D0}" name="Column Original Name" dataDxfId="641">
      <calculatedColumnFormula array="1">IF($Q3="","",INDIRECT($Q3))</calculatedColumnFormula>
    </tableColumn>
    <tableColumn id="11" xr3:uid="{9BE35F56-7C23-412A-A6E6-CEDA95A24D20}" name="Row Color" dataDxfId="640">
      <calculatedColumnFormula>IF(MOD($H3,2)=0,"D","L")</calculatedColumnFormula>
    </tableColumn>
    <tableColumn id="15" xr3:uid="{92A14217-FDD2-40DB-9AD6-06324406001B}" name="Q ID2" dataDxfId="639">
      <calculatedColumnFormula>IF($A3="",OFFSET($O3,-1,0),$A3)</calculatedColumnFormula>
    </tableColumn>
  </tableColumns>
  <tableStyleInfo name="DarkCustom"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06560FE-FFEF-45B2-AEBE-46E202CE8508}" name="Table19" displayName="Table19" ref="B2:F4" totalsRowShown="0" headerRowDxfId="638">
  <autoFilter ref="B2:F4" xr:uid="{D06560FE-FFEF-45B2-AEBE-46E202CE8508}"/>
  <tableColumns count="5">
    <tableColumn id="1" xr3:uid="{13AF057C-EACA-4936-895D-7E1216FA6E8F}" name="Date" dataDxfId="637"/>
    <tableColumn id="2" xr3:uid="{943A731E-978F-4BD9-BAFE-7098436390AB}" name="Version" dataDxfId="636"/>
    <tableColumn id="3" xr3:uid="{12050CB3-ABD7-4994-936D-EC92CA8F98A0}" name="Changes" dataDxfId="635"/>
    <tableColumn id="4" xr3:uid="{5D9A844F-F86B-47DA-B62C-EBEB094863AA}" name="Author" dataDxfId="634"/>
    <tableColumn id="5" xr3:uid="{DE7A8750-A706-4AFB-89C3-C45FBC552360}" name="Is last" dataDxfId="633">
      <calculatedColumnFormula array="1">_xlfn.LAMBDA(_xlpm._dateCell,AND(_xlpm._dateCell&lt;&gt;"",OFFSET(_xlpm._dateCell,1,0)=""))($B3)</calculatedColumnFormula>
    </tableColumn>
  </tableColumns>
  <tableStyleInfo name="DarkCustom"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9D47C96-915B-4B78-94DC-1DF705191265}" name="Table20" displayName="Table20" ref="B7:F9" totalsRowShown="0" headerRowDxfId="632">
  <autoFilter ref="B7:F9" xr:uid="{C9D47C96-915B-4B78-94DC-1DF705191265}"/>
  <tableColumns count="5">
    <tableColumn id="1" xr3:uid="{BB75168E-DB87-4E38-B966-3816F3063400}" name="Date" dataDxfId="631"/>
    <tableColumn id="2" xr3:uid="{0DD7EA10-2063-43F8-820B-6FFF478FE5D1}" name=" " dataDxfId="630"/>
    <tableColumn id="3" xr3:uid="{849DB6CE-CC92-4F73-98D7-574401FD117B}" name="Changes" dataDxfId="629"/>
    <tableColumn id="4" xr3:uid="{155050C3-5E6A-4894-8DDA-9F760796F726}" name="  " dataDxfId="628"/>
    <tableColumn id="5" xr3:uid="{DCA2DE8B-259E-49AF-8956-40E91A40D4B0}" name="Is last" dataDxfId="627">
      <calculatedColumnFormula array="1">_xlfn.LAMBDA(_xlpm._dateCell,AND(_xlpm._dateCell&lt;&gt;"",OFFSET(_xlpm._dateCell,1,0)=""))($B8)</calculatedColumnFormula>
    </tableColumn>
  </tableColumns>
  <tableStyleInfo name="DarkCustom"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B864172-F009-4CB6-8277-EE4A4B30D2F7}" name="Table21" displayName="Table21" ref="B12:F14" totalsRowShown="0" headerRowDxfId="626">
  <autoFilter ref="B12:F14" xr:uid="{6B864172-F009-4CB6-8277-EE4A4B30D2F7}"/>
  <tableColumns count="5">
    <tableColumn id="1" xr3:uid="{65B0DBDD-ADD6-40E0-806A-93B27D6BE4E5}" name="Date" dataDxfId="625"/>
    <tableColumn id="2" xr3:uid="{ACE73403-759F-4455-9973-2DE1C58C39E6}" name="  " dataDxfId="624"/>
    <tableColumn id="3" xr3:uid="{E6D6A864-B805-4A21-B527-391B7F4DD52C}" name="Changes" dataDxfId="623"/>
    <tableColumn id="4" xr3:uid="{57C56C44-D1F8-4094-99F2-C0DCD42ADB1E}" name=" " dataDxfId="622"/>
    <tableColumn id="5" xr3:uid="{67AA2715-512B-4642-8C59-0CE928C8714F}" name="Is last" dataDxfId="621">
      <calculatedColumnFormula array="1">_xlfn.LAMBDA(_xlpm._dateCell,AND(_xlpm._dateCell&lt;&gt;"",OFFSET(_xlpm._dateCell,1,0)=""))($B13)</calculatedColumnFormula>
    </tableColumn>
  </tableColumns>
  <tableStyleInfo name="DarkCustom"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CA81998-999C-4D6D-90B8-B4FC729BA145}" name="Table22" displayName="Table22" ref="B17:F19" totalsRowShown="0" headerRowDxfId="620">
  <autoFilter ref="B17:F19" xr:uid="{BCA81998-999C-4D6D-90B8-B4FC729BA145}"/>
  <tableColumns count="5">
    <tableColumn id="1" xr3:uid="{51A8042E-AD36-46C1-9CAE-17D914C92523}" name="Date" dataDxfId="619"/>
    <tableColumn id="2" xr3:uid="{D46B625F-E7B6-4402-8B70-8A8618C273F2}" name="  " dataDxfId="618"/>
    <tableColumn id="3" xr3:uid="{D600703E-6D1C-4F78-AC31-94B6393221AD}" name="Changes" dataDxfId="617"/>
    <tableColumn id="4" xr3:uid="{CDE03812-B7A9-4D40-9BF4-CE0E984F8F47}" name=" " dataDxfId="616"/>
    <tableColumn id="5" xr3:uid="{7F0CBEF2-3798-4366-9932-8244DC1805F8}" name="Is last" dataDxfId="615">
      <calculatedColumnFormula array="1">_xlfn.LAMBDA(_xlpm._dateCell,AND(_xlpm._dateCell&lt;&gt;"",OFFSET(_xlpm._dateCell,1,0)=""))($B18)</calculatedColumnFormula>
    </tableColumn>
  </tableColumns>
  <tableStyleInfo name="DarkCustom"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5CF4FA9-9BBA-4CBF-84FD-3F05BB287B19}" name="Table28" displayName="Table28" ref="B22:F24" totalsRowShown="0" headerRowDxfId="614">
  <autoFilter ref="B22:F24" xr:uid="{95CF4FA9-9BBA-4CBF-84FD-3F05BB287B19}"/>
  <tableColumns count="5">
    <tableColumn id="1" xr3:uid="{FC1E1B10-69AE-4B60-86B4-D282060CC861}" name="Date" dataDxfId="613"/>
    <tableColumn id="2" xr3:uid="{EEB5A95E-4B20-4C59-88E3-AA987176AFE7}" name="  " dataDxfId="612"/>
    <tableColumn id="3" xr3:uid="{542E742A-82C9-44DE-A9EA-A22A5691142C}" name="Changes" dataDxfId="611"/>
    <tableColumn id="4" xr3:uid="{C6B39FA6-6371-477F-84C8-597EF1B9A973}" name=" " dataDxfId="610"/>
    <tableColumn id="5" xr3:uid="{2B9709CA-2015-458C-A34B-6F253FF7D36C}" name="Is last" dataDxfId="609">
      <calculatedColumnFormula array="1">_xlfn.LAMBDA(_xlpm._dateCell,AND(_xlpm._dateCell&lt;&gt;"",OFFSET(_xlpm._dateCell,1,0)=""))($B23)</calculatedColumnFormula>
    </tableColumn>
  </tableColumns>
  <tableStyleInfo name="DarkCustom"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2A8DF20-FCED-41FD-B2B6-B902244DA4F6}" name="Table13" displayName="Table13" ref="B17:E22" totalsRowShown="0" headerRowDxfId="608" dataDxfId="607">
  <autoFilter ref="B17:E22" xr:uid="{72A8DF20-FCED-41FD-B2B6-B902244DA4F6}"/>
  <tableColumns count="4">
    <tableColumn id="1" xr3:uid="{7B6C0243-8CDF-4F77-9B83-EAFDF9E4ECA1}" name="Date" dataDxfId="606"/>
    <tableColumn id="2" xr3:uid="{8AA3445C-6982-4091-BE24-D0FB9CA6EAEA}" name="Changes" dataDxfId="605"/>
    <tableColumn id="3" xr3:uid="{BA53443B-EB4D-477E-8638-726D7A7EE698}" name="Author" dataDxfId="604"/>
    <tableColumn id="4" xr3:uid="{ACD3B489-C076-4DD2-9048-4E1490E80223}" name="Version" dataDxfId="603"/>
  </tableColumns>
  <tableStyleInfo name="DarkCustom"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1023E5-AD11-498B-BA81-8045C7A9764D}" name="Table3" displayName="Table3" ref="J3:AR103" totalsRowShown="0" headerRowDxfId="602" dataDxfId="601">
  <autoFilter ref="J3:AR103" xr:uid="{B11023E5-AD11-498B-BA81-8045C7A9764D}"/>
  <tableColumns count="35">
    <tableColumn id="9" xr3:uid="{7D16C425-DCC0-4DA1-8048-CD221E48C20C}" name="Answer Search" dataDxfId="600">
      <calculatedColumnFormula>IF($AD4,SUBSTITUTE(IF($B4="","",$B4&amp;"["&amp;$D4&amp;IF($F4="","","|"&amp;$F4)&amp;"]")," ",""),"")</calculatedColumnFormula>
    </tableColumn>
    <tableColumn id="11" xr3:uid="{14D5236D-45BB-4071-9197-60FE5EA53E42}" name="Answer Search for First Answer Only" dataDxfId="599">
      <calculatedColumnFormula>IF($AD4,SUBSTITUTE(IF($B4="","",$B4&amp;"["&amp;$D4&amp;IF($F4="","]","|*]"))," ",""),"")</calculatedColumnFormula>
    </tableColumn>
    <tableColumn id="32" xr3:uid="{97FBEE2D-D4AA-47A4-B4E3-4918C9E0A7F7}" name="Question Text" dataDxfId="598">
      <calculatedColumnFormula array="1">SimpleLookup($B4,Questions!$A:$B)</calculatedColumnFormula>
    </tableColumn>
    <tableColumn id="20" xr3:uid="{5754AF1B-0BBA-4567-94E3-E2D50387C066}" name="Shadow ID" dataDxfId="597">
      <calculatedColumnFormula array="1">CreateID($M$3,AND($B4&lt;&gt;"",$AD4))</calculatedColumnFormula>
    </tableColumn>
    <tableColumn id="1" xr3:uid="{A39615A6-CD0D-436A-AB6A-A34E79C47F48}" name="Task ID" dataDxfId="596">
      <calculatedColumnFormula array="1">CreateTaskID($N$3,$N:$N,Tasks!$B$17,$H4)</calculatedColumnFormula>
    </tableColumn>
    <tableColumn id="2" xr3:uid="{AEF51C19-FC76-4069-B2A7-9D9661CCA83A}" name="QI Text Question Not Answered" dataDxfId="595">
      <calculatedColumnFormula>IF($AD4,IF(AND($B4&lt;&gt;"",$D4="",$AL4=FALSE),$B4&amp;" "&amp;$L4,""),"")</calculatedColumnFormula>
    </tableColumn>
    <tableColumn id="3" xr3:uid="{A2C56E8D-9311-4039-A84A-D276D35A3EAD}" name="QI ID Question Not Answered" dataDxfId="594">
      <calculatedColumnFormula array="1">CreateID($P$3,$O4&lt;&gt;"")</calculatedColumnFormula>
    </tableColumn>
    <tableColumn id="4" xr3:uid="{9358086F-C28D-4CD8-AD34-F75363C81623}" name="QI Text Missing Details" dataDxfId="593">
      <calculatedColumnFormula>IF(AND($E4&lt;&gt;"",$F4=""),$B4&amp;" "&amp;$L4,"")</calculatedColumnFormula>
    </tableColumn>
    <tableColumn id="5" xr3:uid="{785C1F8D-7B1D-4596-BF70-445F2776D208}" name="QI ID Missing Details" dataDxfId="592">
      <calculatedColumnFormula array="1">CreateID($R$3,$Q4&lt;&gt;"")</calculatedColumnFormula>
    </tableColumn>
    <tableColumn id="6" xr3:uid="{88EC4A0B-048C-43EC-B6EA-BFEE09BA020D}" name="QI Text Missing Rationale" dataDxfId="591">
      <calculatedColumnFormula>IF(AND($G4&lt;&gt;"",$H4=""),$B4&amp;" "&amp;$L4,"")</calculatedColumnFormula>
    </tableColumn>
    <tableColumn id="7" xr3:uid="{C9E02FE4-2981-4729-A9D1-CCE0280662C5}" name="QI ID Missing Rationale" dataDxfId="590">
      <calculatedColumnFormula array="1">CreateID($T$3,$S4&lt;&gt;"")</calculatedColumnFormula>
    </tableColumn>
    <tableColumn id="8" xr3:uid="{706A725C-F738-42A9-AB87-57B5DE44519E}" name="QI Text Inconsistent Answers" dataDxfId="589">
      <calculatedColumnFormula>IF($B4="","",IF(AND(NOT($AH4),$F4&lt;&gt;""),$B4&amp;" "&amp;$L4,""))</calculatedColumnFormula>
    </tableColumn>
    <tableColumn id="10" xr3:uid="{E58523EC-AEF9-4CA8-B090-74F78F4E48AF}" name="QI ID Inconsistent Answers" dataDxfId="588">
      <calculatedColumnFormula array="1">CreateID($V$3,$U4&lt;&gt;"")</calculatedColumnFormula>
    </tableColumn>
    <tableColumn id="12" xr3:uid="{2D2A3481-66E2-4B57-AC97-42507B11224E}" name="Additional Assumption ID" dataDxfId="587">
      <calculatedColumnFormula array="1">CreateID($W$3,IFERROR(FIND(Definitions!$AR$4,$H4)&gt;0,FALSE))</calculatedColumnFormula>
    </tableColumn>
    <tableColumn id="13" xr3:uid="{E5E3A475-AD75-40B2-8E39-9F062225BFCE}" name="# Additional Assumptions" dataDxfId="586">
      <calculatedColumnFormula>_xlfn.LET(
_xlpm._comment,$H4,
_xlpm._keyWord,Definitions!$AR$4,
_xlpm._diffLen,LEN(_xlpm._comment)-LEN(SUBSTITUTE(_xlpm._comment,_xlpm._keyWord,"")),
_xlpm._diffLen/LEN(_xlpm._keyWord))</calculatedColumnFormula>
    </tableColumn>
    <tableColumn id="14" xr3:uid="{F9D8E569-1C99-48BD-B7C7-C9F5C98B1BDA}" name="Additional Countermeasure ID" dataDxfId="585">
      <calculatedColumnFormula array="1">CreateID($Y$3,IFERROR(FIND(Definitions!$AR$5,$H4)&gt;0,FALSE))</calculatedColumnFormula>
    </tableColumn>
    <tableColumn id="15" xr3:uid="{7437199D-3C4C-403F-98AE-2B87A2AB3D00}" name="# Additional Countermeasures" dataDxfId="584">
      <calculatedColumnFormula>_xlfn.LET(
_xlpm._comment,$H4,
_xlpm._keyWord,Definitions!$AR$5,
_xlpm._diffLen,LEN(_xlpm._comment)-LEN(SUBSTITUTE(_xlpm._comment,_xlpm._keyWord,"")),
_xlpm._diffLen/LEN(_xlpm._keyWord))</calculatedColumnFormula>
    </tableColumn>
    <tableColumn id="16" xr3:uid="{205659BD-48B1-4BA2-8D91-DE63A5F0A30D}" name="Activates Assumption or Countermeasure" dataDxfId="583">
      <calculatedColumnFormula>OR(IFERROR(_xlfn.XMATCH("*,"&amp;$B4&amp;",*",Assumptions!$AH:$AH,2)&gt;0,FALSE),
IFERROR(_xlfn.XMATCH("*,"&amp;$B4&amp;",*",Countermeasures!$AK:$AK,2)&gt;0,FALSE))</calculatedColumnFormula>
    </tableColumn>
    <tableColumn id="17" xr3:uid="{736BDEE3-2CE4-442D-A87B-49DCE98426A6}" name="Answer Search Field" dataDxfId="582">
      <calculatedColumnFormula array="1">CreateSearchString($J4)</calculatedColumnFormula>
    </tableColumn>
    <tableColumn id="21" xr3:uid="{D81C64E5-0BE4-49A6-8241-B00937E5DB46}" name="Damage Level" dataDxfId="581">
      <calculatedColumnFormula array="1">IF($F4="","",IFERROR(SimpleLookup($F4,Definitions!$H:$J),""))</calculatedColumnFormula>
    </tableColumn>
    <tableColumn id="22" xr3:uid="{B8DE8332-F761-474B-997F-F6FA2CC2FCA1}" name="Is a Question" dataDxfId="580">
      <calculatedColumnFormula array="1">IF($B4="",FALSE,SimpleLookup($B4,Questions!$A:$D)="x")</calculatedColumnFormula>
    </tableColumn>
    <tableColumn id="23" xr3:uid="{057C4510-01CE-4C78-91FB-D7B3CA0EC516}" name="A1 Options Header" dataDxfId="579">
      <calculatedColumnFormula array="1">IF(OR($B4="",NOT($AD4)),"",SimpleLookup($B4,Questions!$A:$E))</calculatedColumnFormula>
    </tableColumn>
    <tableColumn id="24" xr3:uid="{82D61C83-78F7-4F7F-A021-F3F130810932}" name="A1 Height" dataDxfId="578">
      <calculatedColumnFormula array="1">IF(OR($B4="",NOT($AD4)),"",SimpleLookup($B4,Questions!$A:$F))</calculatedColumnFormula>
    </tableColumn>
    <tableColumn id="27" xr3:uid="{2822CCF2-0C1D-4EB4-9F9A-D917FC0D2AA3}" name="A1 Info Text" dataDxfId="577">
      <calculatedColumnFormula array="1">_xlfn.LET(
_xlpm._answer,$D4,
_xlpm._infoTextFull,IF($AD4,CHAR(10)&amp;SimpleLookup($B4,Questions!$A:$H)&amp;CHAR(10),""),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calculatedColumnFormula>
    </tableColumn>
    <tableColumn id="30" xr3:uid="{0BE9127A-B589-4FFB-A499-519AE2423016}" name="Second Answer Required" dataDxfId="576">
      <calculatedColumnFormula array="1">IF(OR($B4="",NOT($AD4)),FALSE,_xlfn.LET(
_xlpm._secondAnswerRequiredOn,SimpleLookup($B4,Questions!$A:$I),
_xlpm._firstAnwer,$D4,
IFERROR(FIND(CHAR(10)&amp;_xlpm._firstAnwer&amp;":",CHAR(10)&amp;_xlpm._secondAnswerRequiredOn)&gt;0,FALSE)))</calculatedColumnFormula>
    </tableColumn>
    <tableColumn id="25" xr3:uid="{4A6BA62D-7BDC-4657-B490-1C3448D3D873}" name="A2 Options Header" dataDxfId="575">
      <calculatedColumnFormula array="1">IF(OR($B4="",NOT($AD4)),"",_xlfn.LET(
_xlpm._id,$B4,
_xlpm._firstAnswer,$D4,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calculatedColumnFormula>
    </tableColumn>
    <tableColumn id="26" xr3:uid="{ADCA1C7C-73E3-45BE-9DB8-59A644409E28}" name="A2 Height" dataDxfId="574">
      <calculatedColumnFormula array="1">IF(OR($B4="",NOT($AD4)),"",_xlfn.LET(
_xlpm._id,$B4,
_xlpm._firstAnswer,$D4,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calculatedColumnFormula>
    </tableColumn>
    <tableColumn id="28" xr3:uid="{25A17FAD-E9A7-4E8D-8A30-8D9DA9540B95}" name="A2 Info Text" dataDxfId="573">
      <calculatedColumnFormula array="1">IF($AH4,_xlfn.LET(
_xlpm._answer,$F4,
_xlpm._infoTextFull,IF($AD4,CHAR(10)&amp;SimpleLookup($B4,Questions!$A:$L)&amp;CHAR(10),""),
_xlpm._startSelectedByAnswerOne,IF(_xlpm._infoTextFull="",0,FIND("___"&amp;$D4&amp;"___",_xlpm._infoTextFull)+LEN("___"&amp;$D4&amp;"___")),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calculatedColumnFormula>
    </tableColumn>
    <tableColumn id="29" xr3:uid="{970FBE0C-8474-4F6B-831A-577602629B86}" name="Inactive" dataDxfId="572">
      <calculatedColumnFormula array="1">IF(OR($B4="",NOT($AD4)),FALSE,SimpleLookup($B4,Questions!$A:$Q))</calculatedColumnFormula>
    </tableColumn>
    <tableColumn id="18" xr3:uid="{620C040A-86BF-4936-812F-EE3721BC82D8}" name="QI Text Mismatch QA2 and QA6" dataDxfId="571">
      <calculatedColumnFormula array="1">IF(AND($B4=Questions!$A$41,IFERROR(SimpleLookup(Questions!$A$36,$B:$F)=Definitions!$O$5,FALSE),$D4=Definitions!$A$5),
Questions!$A$36&amp;" "&amp;Questions!$B$36&amp;CHAR(10)&amp;CHAR(187)&amp;" "&amp;SimpleLookup(Questions!$A$36,$B:$D)&amp;CHAR(10)&amp;SimpleLookup(Questions!$A$36,$B:$E)&amp;CHAR(10)&amp;CHAR(187)&amp;" "&amp;Definitions!$O$5&amp;CHAR(10)&amp;CHAR(10)&amp;
"is incosistent with"&amp;CHAR(10)&amp;CHAR(10)&amp;
$B4&amp;" "&amp;SimpleLookup($B4,Questions!$A:$B)&amp;CHAR(10)&amp;CHAR(187)&amp;" "&amp;$D4,
"")</calculatedColumnFormula>
    </tableColumn>
    <tableColumn id="19" xr3:uid="{9B418FBA-9FA0-497D-BFE3-9B886227A715}" name="QI ID Mismatch QA2 and QA62" dataDxfId="570">
      <calculatedColumnFormula array="1">CreateID($AN$3,$AM4&lt;&gt;"")</calculatedColumnFormula>
    </tableColumn>
    <tableColumn id="31" xr3:uid="{24C8A91A-C1A8-48AB-B2F0-91C8F851FCBD}" name="QI Text Support Time Too Short" dataDxfId="569">
      <calculatedColumnFormula>IF(OR($D4="",OFFSET($D4,1,0)=""),"",
IF(AND($B4=Questions!$A$59,OFFSET($B4,1,0)=Questions!$A$60),
IF(MATCH($D4,Definitions!$AW:$AW,0)&gt;MATCH(OFFSET($D4,1,0),Definitions!AW:AW,0),$B4&amp;" "&amp;$L4&amp;": "&amp;$D4&amp;CHAR(10)&amp;"&lt;---&gt;"&amp;CHAR(10)&amp;OFFSET($B4,1,0)&amp;" "&amp;OFFSET($L4,1,0)&amp;": "&amp;OFFSET($D4,1,0),""),
""))</calculatedColumnFormula>
    </tableColumn>
    <tableColumn id="33" xr3:uid="{F9F42103-231E-403B-B090-9988657CB6D5}" name="QI ID Support Time Too Short" dataDxfId="568">
      <calculatedColumnFormula array="1">CreateID($AP$3,$AO4&lt;&gt;"")</calculatedColumnFormula>
    </tableColumn>
    <tableColumn id="34" xr3:uid="{E5C98C60-EBEC-4815-A41D-8D8A1655CF32}" name="QI Text Mismatch QI7 and QI14" dataDxfId="567">
      <calculatedColumnFormula array="1">IF($B4=Questions!$A$18,
  _xlfn.LET(
    _xlpm._impactValue7,IFERROR(SimpleLookup(SimpleLookup($F4,Definitions!$H:$J),Definitions!$Q:$R),0),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"&amp;$F4&amp;CHAR(10)&amp;"&lt;---&gt;"&amp;CHAR(10)&amp;Questions!$A$30&amp;": "&amp;_xlpm._impactName14,
        ""))),
  "")</calculatedColumnFormula>
    </tableColumn>
    <tableColumn id="35" xr3:uid="{CEA184BC-E9BD-4E1F-85C0-76C8BB866322}" name="QI ID Mismatch QI7 and QI14" dataDxfId="566">
      <calculatedColumnFormula array="1">CreateID($AR$3,$AQ4&lt;&gt;"")</calculatedColumnFormula>
    </tableColumn>
  </tableColumns>
  <tableStyleInfo name="TableStyleDark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5E832E2-F38B-4731-B2D0-153CD57B346E}" name="Table26710" displayName="Table26710" ref="A2:H20" totalsRowShown="0" headerRowDxfId="565" dataDxfId="564">
  <autoFilter ref="A2:H20" xr:uid="{45D5F579-B153-490D-8DA5-723313A84BC5}"/>
  <tableColumns count="8">
    <tableColumn id="1" xr3:uid="{5A082914-8DA8-4256-9320-39126C20D47E}" name="ID" dataDxfId="563">
      <calculatedColumnFormula array="1">IF($G3="","",INDEX('Damage Scenarios'!A:A,$G3))</calculatedColumnFormula>
    </tableColumn>
    <tableColumn id="2" xr3:uid="{EED7A269-11B5-46C4-83EE-AA169C52A137}" name="Damage Scenario" dataDxfId="562">
      <calculatedColumnFormula array="1">IF($G3="","",INDEX('Damage Scenarios'!J:J,$G3))</calculatedColumnFormula>
    </tableColumn>
    <tableColumn id="8" xr3:uid="{69BC9B5A-1ECB-4AF7-91FA-195F7E3D7E1D}" name="Damage Level" dataDxfId="561">
      <calculatedColumnFormula array="1">IF($G3="","",INDEX('Damage Scenarios'!M:M,$G3))</calculatedColumnFormula>
    </tableColumn>
    <tableColumn id="5" xr3:uid="{0A33E33C-5803-43FF-94AB-16FC4A2C6859}" name="Related Questions and Answers / Explanation" dataDxfId="560">
      <calculatedColumnFormula array="1">IF($G3="","",INDEX('Damage Scenarios'!$O:$O,$G3))</calculatedColumnFormula>
    </tableColumn>
    <tableColumn id="7" xr3:uid="{2483CD7B-CB21-4AFB-BA7D-08C42993AD27}" name="Comment" dataDxfId="559"/>
    <tableColumn id="3" xr3:uid="{95F62DF1-3A6F-497F-A779-60C4499F88E4}" name="Shadow ID" dataDxfId="558">
      <calculatedColumnFormula array="1">CreateID($F$2,$A3&lt;&gt;"")</calculatedColumnFormula>
    </tableColumn>
    <tableColumn id="4" xr3:uid="{CB723C27-8BD6-4469-A17D-2DE83A80930D}" name="Row" dataDxfId="557">
      <calculatedColumnFormula>IFERROR(MATCH(ROW()-ROW($G$2),'Damage Scenarios'!$S:$S,0),"")</calculatedColumnFormula>
    </tableColumn>
    <tableColumn id="6" xr3:uid="{A14713C8-BFB1-4E57-A932-35CAC06F80C3}" name="Task ID" dataDxfId="556">
      <calculatedColumnFormula array="1">CreateTaskID($H$2,$H:$H,Tasks!$B$17,$E3)</calculatedColumnFormula>
    </tableColumn>
  </tableColumns>
  <tableStyleInfo name="DarkCustom"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C5E483-9DAD-4F95-838F-1C5204C03D30}" name="Table8" displayName="Table8" ref="A2:AX102" totalsRowShown="0" headerRowDxfId="555" dataDxfId="554">
  <autoFilter ref="A2:AX102" xr:uid="{6EC5E483-9DAD-4F95-838F-1C5204C03D30}"/>
  <tableColumns count="50">
    <tableColumn id="1" xr3:uid="{45247A1E-DA07-4728-8802-AE28F8CC79A7}" name="R ID" dataDxfId="553">
      <calculatedColumnFormula array="1">IF($B3="","","R"&amp;RemoveDelimiter(SUBSTITUTE(SUBSTITUTE($K3,"AS",""),",","-"),"-"))</calculatedColumnFormula>
    </tableColumn>
    <tableColumn id="2" xr3:uid="{A4C5AF19-60B7-4F6F-A92F-5957A247E9F3}" name="Attack Path" dataDxfId="552">
      <calculatedColumnFormula array="1">IF($L3="","",_xlfn.LET(
_xlpm._finalAttackStep,$L3,
_xlpm._prepAttacks,RemoveFirstElement(_xlpm._finalAttackStep&amp;","&amp;$K3),
_xlpm._prepAttackNames,IFERROR(LookupNames(_xlpm._prepAttacks,'Attack Steps'!$A:$B),""),
_xlpm._delimiter,REPT(CHAR(150),55),
$L3&amp;" "&amp;SimpleLookup($L3,'Attack Steps'!$A:$B)&amp;
IF(_xlpm._prepAttackNames="","",CHAR(10)&amp;_xlpm._delimiter&amp;CHAR(10)&amp;_xlpm._prepAttackNames)))</calculatedColumnFormula>
    </tableColumn>
    <tableColumn id="10" xr3:uid="{89B547F6-4042-4819-908B-B63367DECAEA}" name="Damage Scenarios" dataDxfId="551">
      <calculatedColumnFormula array="1">IFERROR(LookupNames($M3,'Damage Scenarios'!$A:$V),"")</calculatedColumnFormula>
    </tableColumn>
    <tableColumn id="12" xr3:uid="{F8A4FE99-BC9F-4F21-9F77-B92A4CAC6BF4}" name="Damage Level" dataDxfId="550">
      <calculatedColumnFormula>IFERROR(IF($T3=0,"",INDEX(Definitions!$Q:$Q,MATCH($T3,Definitions!$R:$R,0))),"")</calculatedColumnFormula>
    </tableColumn>
    <tableColumn id="100" xr3:uid="{BE64A4FE-88A9-46FE-8B19-CE40F8B16FCD}" name="Factor Explanation " dataDxfId="549">
      <calculatedColumnFormula array="1">IF($K3="","",_xlfn.LET(
_xlpm._listOfAttackSteps,$K3,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calculatedColumnFormula>
    </tableColumn>
    <tableColumn id="13" xr3:uid="{6EB8A93B-03C3-43B4-B6EF-A98078DF236D}" name="RAP" dataDxfId="548">
      <calculatedColumnFormula>IF($A3="","",IFERROR(VLOOKUP($W3,Definitions!$V:$W,COLUMNS(Definitions!$V:$W),TRUE),""))</calculatedColumnFormula>
    </tableColumn>
    <tableColumn id="14" xr3:uid="{1E814807-B485-4D45-9CDF-133565C67FF3}" name="Risk Level" dataDxfId="547">
      <calculatedColumnFormula>IFERROR(IF(OR($D3="",$F3=""),
"",
VLOOKUP($D3,Definitions!$AH:$AM,MATCH($F3,Definitions!$AH$3:$AM$3,0),FALSE)),
"")</calculatedColumnFormula>
    </tableColumn>
    <tableColumn id="22" xr3:uid="{86A53339-9271-4A07-90BF-BA25D53150C9}" name="Shadow ID" dataDxfId="546">
      <calculatedColumnFormula array="1">CreateID($H$2,$A3&lt;&gt;"")</calculatedColumnFormula>
    </tableColumn>
    <tableColumn id="3" xr3:uid="{14A15C01-1071-4C8B-A12B-CD523A41165C}" name="AP Shadow ID" dataDxfId="545">
      <calculatedColumnFormula array="1">IF(ROW()=ROW($I$2)+1,
1,
INDEX($I:$I,ROW()-1)+IF(INDEX($S:$S,ROW()-1),1,0))</calculatedColumnFormula>
    </tableColumn>
    <tableColumn id="4" xr3:uid="{BC592AE6-1D66-454D-86DD-CD7402F6AB74}" name="Active AP #" dataDxfId="544">
      <calculatedColumnFormula>COUNTIF(OFFSET($I$2,1,0,ROW()-ROW($I$2),1),$I3)</calculatedColumnFormula>
    </tableColumn>
    <tableColumn id="9" xr3:uid="{192ADA88-C54D-42FA-A6AA-2B7273C32D96}" name="Active AP" dataDxfId="543">
      <calculatedColumnFormula>IF($Q3="","",_xlfn.LET(
_xlpm._aps,$Q3,
_xlpm._firstPos,FIND("$",SUBSTITUTE(_xlpm._aps,"§","$",$J3))+1,
_xlpm._lastPos,FIND("$",SUBSTITUTE(_xlpm._aps,"§","$",$J3+1)),
MID(_xlpm._aps,_xlpm._firstPos,_xlpm._lastPos-_xlpm._firstPos)))</calculatedColumnFormula>
    </tableColumn>
    <tableColumn id="23" xr3:uid="{2DF67DE2-445B-44FB-9B75-E90D1A295396}" name="Attack Step Causing Damages" dataDxfId="542">
      <calculatedColumnFormula array="1">IF($P3="","",INDEX('Attack Steps'!$A:$A,$P3))</calculatedColumnFormula>
    </tableColumn>
    <tableColumn id="11" xr3:uid="{3C13B548-3A10-477E-88EF-E7E90C6B5699}" name="DS IDs" dataDxfId="541">
      <calculatedColumnFormula array="1">IF($P3="","",INDEX('Attack Steps'!$U:$U,$P3))</calculatedColumnFormula>
    </tableColumn>
    <tableColumn id="58" xr3:uid="{C3EB2B31-AC19-4746-80B1-B1CB9AD2910E}" name="Damage Transformation" dataDxfId="540">
      <calculatedColumnFormula array="1">_xlfn.LET(_xlpm._dm,SanitizeInput(GetValuesWithFallback(SanitizeInput($AA3),Assumptions!$A:$J,Countermeasures!$A:$J,"",",",FALSE)),
IF(_xlpm._dm="","",","&amp;_xlpm._dm))</calculatedColumnFormula>
    </tableColumn>
    <tableColumn id="57" xr3:uid="{FBAAE969-2441-4705-96B2-DA17BCF39A3F}" name="Transformed DS IDs" dataDxfId="539">
      <calculatedColumnFormula array="1">ApplyDamageMitigation($M3,$N3,"")</calculatedColumnFormula>
    </tableColumn>
    <tableColumn id="5" xr3:uid="{A04EA2FA-4162-44A1-945A-555EFDEC825F}" name="Attack Paths Row" dataDxfId="538">
      <calculatedColumnFormula>IFERROR(MATCH($I3,'Attack Steps'!$W:$W,0),"")</calculatedColumnFormula>
    </tableColumn>
    <tableColumn id="6" xr3:uid="{71BA7FB6-C7BE-4D6B-BDFC-457CD35445DF}" name="Attack Paths String" dataDxfId="537">
      <calculatedColumnFormula array="1">IF($P3="","","§"&amp;INDEX('Attack Steps'!$T:$T,$P3))</calculatedColumnFormula>
    </tableColumn>
    <tableColumn id="7" xr3:uid="{4C60EBF5-2649-4F55-8EDF-814E335731B5}" name="# APs" dataDxfId="536">
      <calculatedColumnFormula array="1">IF($P3="","",INDEX('Attack Steps'!$X:$X,$P3))</calculatedColumnFormula>
    </tableColumn>
    <tableColumn id="8" xr3:uid="{EDDCA556-C663-42DB-B596-26F2CF6FC1C6}" name="Last AP?" dataDxfId="535">
      <calculatedColumnFormula>$J3=$R3</calculatedColumnFormula>
    </tableColumn>
    <tableColumn id="15" xr3:uid="{6743D925-2725-4C91-9E26-4C62B286C566}" name="DL" dataDxfId="534">
      <calculatedColumnFormula array="1">IF($M3="",0,OperateOnList($M3,_xlfn.LAMBDA(_xlpm._x,SimpleLookup(_xlpm._x,'Damage Scenarios'!$A:$U)),_xlfn.LAMBDA(_xlpm._x,_xlpm._y,MAX(_xlpm._x,_xlpm._y))))</calculatedColumnFormula>
    </tableColumn>
    <tableColumn id="59" xr3:uid="{6BF14F1F-E081-4537-9959-AB42DFF35E55}" name="DL after transformation" dataDxfId="533">
      <calculatedColumnFormula array="1">IF($O3="",0,OperateOnList($O3,_xlfn.LAMBDA(_xlpm._x,SimpleLookup(_xlpm._x,'Damage Scenarios'!$A:$U)),_xlfn.LAMBDA(_xlpm._x,_xlpm._y,MAX(_xlpm._x,_xlpm._y))))</calculatedColumnFormula>
    </tableColumn>
    <tableColumn id="60" xr3:uid="{FE59068E-4236-43A8-8183-54014D737FC3}" name="New Damage Level" dataDxfId="532">
      <calculatedColumnFormula>IF($U3=0,"",INDEX(Definitions!$Q:$Q,MATCH($U3,Definitions!$R:$R,0)))</calculatedColumnFormula>
    </tableColumn>
    <tableColumn id="21" xr3:uid="{93BB1209-DA93-4717-8B36-3DD233594C5C}" name="SUM" dataDxfId="531">
      <calculatedColumnFormula array="1">IF($K3="",0,_xlfn.LET(
_xlpm._listOfAttackSteps,$K3,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calculatedColumnFormula>
    </tableColumn>
    <tableColumn id="24" xr3:uid="{3E0B0474-545F-44B7-9F33-C071C0BEF776}" name="All IDs" dataDxfId="530">
      <calculatedColumnFormula array="1">IF(ROW()=ROW($X$2)+1,"",INDEX($X:$X,ROW()-1))&amp;IF($A3="","",$A3&amp;",")</calculatedColumnFormula>
    </tableColumn>
    <tableColumn id="25" xr3:uid="{C921547D-B964-4649-B3E3-8596018BC439}" name="AP Search" dataDxfId="529">
      <calculatedColumnFormula array="1">CreateSearchString($K3)</calculatedColumnFormula>
    </tableColumn>
    <tableColumn id="26" xr3:uid="{A0229379-D857-468E-A652-B43397495503}" name="Risk Level Value" dataDxfId="528">
      <calculatedColumnFormula array="1">IF($G3="",0,SimpleLookup($G3,Definitions!$AE:$AF))</calculatedColumnFormula>
    </tableColumn>
    <tableColumn id="27" xr3:uid="{8D2E60C5-B639-4D42-9474-BC05F999BC32}" name="Selected Countermeasures" dataDxfId="527">
      <calculatedColumnFormula array="1">SanitizeInput(InverseLookup($A3,Mitigation!$U$2,Mitigation!$J$2,1,Helper!$B$5,","))</calculatedColumnFormula>
    </tableColumn>
    <tableColumn id="53" xr3:uid="{BF20D7CE-F66C-494A-B87E-A7C4A5E4DDAB}" name="N-SUM" dataDxfId="526">
      <calculatedColumnFormula array="1">IF($K3="",0,_xlfn.LET(
_xlpm._listOfAttackStepsAndMitigations,$K3&amp;$AA3,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calculatedColumnFormula>
    </tableColumn>
    <tableColumn id="64" xr3:uid="{455335F7-CCF6-4A87-937D-28764FC2948F}" name="N-RAP-Calculated" dataDxfId="525">
      <calculatedColumnFormula>IFERROR(VLOOKUP($AB3,Definitions!$V:$W,COLUMNS(Definitions!$V:$W),TRUE),"")</calculatedColumnFormula>
    </tableColumn>
    <tableColumn id="65" xr3:uid="{DFF8548A-A08E-4065-A9CB-B33CDC90D2DC}" name="N-RAP-Inline" dataDxfId="524">
      <calculatedColumnFormula>_xlfn.LET(
_xlpm._comments,GetValues($K3,Mitigation!$A:$O,"","",FALSE),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calculatedColumnFormula>
    </tableColumn>
    <tableColumn id="54" xr3:uid="{7360A2B6-1EC1-4F7E-947B-C5F9D36F43A3}" name="N-RAP" dataDxfId="523">
      <calculatedColumnFormula array="1">_xlfn.LET(
_xlpm._rapRange,Definitions!$W:$W,
_xlpm._calculatedRAP,$AC3,
_xlpm._inlineRAP,$AD3,
_xlpm._calculatedRAPValue,IF(_xlpm._calculatedRAP="",0,MATCH(_xlpm._calculatedRAP,_xlpm._rapRange,0)),
_xlpm._inlineRAPValue,IF(_xlpm._inlineRAP="",0,MATCH(_xlpm._inlineRAP,_xlpm._rapRange,0)),
_xlpm._maxRAP,MAX(_xlpm._calculatedRAPValue,_xlpm._inlineRAPValue),
IF(_xlpm._maxRAP=0,"",INDEX(_xlpm._rapRange,_xlpm._maxRAP)))</calculatedColumnFormula>
    </tableColumn>
    <tableColumn id="55" xr3:uid="{EBFC4F2E-9F9A-4755-9263-17A98EC98285}" name="N-Risk Level" dataDxfId="522">
      <calculatedColumnFormula>IFERROR(IF(OR($V3="",$AE3=""),
Definitions!$AE$4,
VLOOKUP($V3,Definitions!$AH:$AM,MATCH($AE3,Definitions!$AH$3:$AM$3,0),FALSE)),
"")</calculatedColumnFormula>
    </tableColumn>
    <tableColumn id="56" xr3:uid="{BCB7B7FD-BF16-45B3-BED4-B82AE7CEF8AA}" name="N-Risk Value" dataDxfId="521">
      <calculatedColumnFormula array="1">IF($AF3="",0,SimpleLookup($AF3,Definitions!$AE:$AF))</calculatedColumnFormula>
    </tableColumn>
    <tableColumn id="84" xr3:uid="{E57CECBA-93CC-4075-84E3-B02B463DA809}" name="Confirmed Countermeasures in Tracing" dataDxfId="520">
      <calculatedColumnFormula array="1">IFERROR(SimpleLookup($A3,Tracing!$B:$Z),"")</calculatedColumnFormula>
    </tableColumn>
    <tableColumn id="97" xr3:uid="{D0569ACE-3DD8-473C-A7BF-CB86254E8363}" name="CT-Damage Transformation" dataDxfId="519">
      <calculatedColumnFormula array="1">_xlfn.LET(_xlpm._dm,SanitizeInput(GetValuesWithFallback(SanitizeInput($AH3),Assumptions!$A:$J,Countermeasures!$A:$J,"",",",FALSE)),
IF(_xlpm._dm="","",","&amp;_xlpm._dm))</calculatedColumnFormula>
    </tableColumn>
    <tableColumn id="98" xr3:uid="{103343C1-5DA7-446B-B0E4-88F5944268D0}" name="CT-Transformed DS IDs" dataDxfId="518">
      <calculatedColumnFormula array="1">ApplyDamageMitigation($M3,$AI3,"")</calculatedColumnFormula>
    </tableColumn>
    <tableColumn id="95" xr3:uid="{C5EA4097-03EF-4D06-8D42-077EC77892D8}" name="CT-DL after transformation" dataDxfId="517">
      <calculatedColumnFormula array="1">CalculateMaxFromList($AJ3,0,'Damage Scenarios'!$A:$U)</calculatedColumnFormula>
    </tableColumn>
    <tableColumn id="96" xr3:uid="{AFCF8EE4-FE38-440D-8DC2-6CDD90158D76}" name="CT-New Damage Level" dataDxfId="516">
      <calculatedColumnFormula>IF($AK3=0,"",INDEX(Definitions!$Q:$Q,MATCH($AK3,Definitions!$R:$R,0)))</calculatedColumnFormula>
    </tableColumn>
    <tableColumn id="78" xr3:uid="{AA714F0B-02F4-40CA-AFC9-31E73860D4DA}" name="T-SUM" dataDxfId="515">
      <calculatedColumnFormula array="1">IF($K3="",0,_xlfn.LET(
_xlpm._listOfAttackStepsAndMitigations,$K3&amp;$AH3,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calculatedColumnFormula>
    </tableColumn>
    <tableColumn id="79" xr3:uid="{7A2E11C0-A825-4157-B4DE-AC91FC0FC82F}" name="T-RAP-Calculated" dataDxfId="514">
      <calculatedColumnFormula>IFERROR(VLOOKUP($AM3,Definitions!$V:$W,COLUMNS(Definitions!$V:$W),TRUE),"")</calculatedColumnFormula>
    </tableColumn>
    <tableColumn id="80" xr3:uid="{618C35E8-4432-4D29-8EC6-9FE08280DDC4}" name="T-RAP-Inline" dataDxfId="513">
      <calculatedColumnFormula>_xlfn.LET(
_xlpm._comments,SimpleLookup($A3,Tracing!$B:$AB),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calculatedColumnFormula>
    </tableColumn>
    <tableColumn id="81" xr3:uid="{64E03F34-0971-45F5-934B-27260EFD52EC}" name="T-RAP" dataDxfId="512">
      <calculatedColumnFormula array="1">_xlfn.LET(
_xlpm._rapRange,Definitions!$W:$W,
_xlpm._calculatedRAP,$AN3,
_xlpm._inlineRAP,$AO3,
_xlpm._calculatedRAPValue,IF(_xlpm._calculatedRAP="",0,MATCH(_xlpm._calculatedRAP,_xlpm._rapRange,0)),
_xlpm._inlineRAPValue,IF(_xlpm._inlineRAP="",0,MATCH(_xlpm._inlineRAP,_xlpm._rapRange,0)),
_xlpm._maxRAP,MAX(_xlpm._calculatedRAPValue,_xlpm._inlineRAPValue),
IF(_xlpm._maxRAP=0,"",INDEX(_xlpm._rapRange,_xlpm._maxRAP)))</calculatedColumnFormula>
    </tableColumn>
    <tableColumn id="82" xr3:uid="{0A8A6516-871C-4583-84CC-37DBB8DD01A1}" name="T-Risk Level" dataDxfId="511">
      <calculatedColumnFormula>IFERROR(IF(OR($AL3="",$AP3=""),
Definitions!$AE$4,
VLOOKUP($AL3,Definitions!$AH:$AM,MATCH($AP3,Definitions!$AH$3:$AM$3,0),FALSE)),
"")</calculatedColumnFormula>
    </tableColumn>
    <tableColumn id="83" xr3:uid="{E177740E-F574-44DA-950E-4B0F3876B6D9}" name="T-Risk Value" dataDxfId="510">
      <calculatedColumnFormula array="1">IF($AQ3="",0,SimpleLookup($AQ3,Definitions!$AE:$AF))</calculatedColumnFormula>
    </tableColumn>
    <tableColumn id="61" xr3:uid="{E92BA750-A6E4-4E39-87F5-AD27FDBB2574}" name="Is last risk?" dataDxfId="509">
      <calculatedColumnFormula>OR(AND($S3,$I3=Helper!$B$7),$I3&gt;Helper!$B$7)</calculatedColumnFormula>
    </tableColumn>
    <tableColumn id="62" xr3:uid="{0D6342D4-9C6D-40E4-B328-27DECD3112DA}" name="QI Text Table Too Small" dataDxfId="508">
      <calculatedColumnFormula>IF(NOT(OR($AS3,AND(NOT($AS3),OFFSET($AS3,1,0)&lt;&gt;""))),"Please enlarge the table!","")</calculatedColumnFormula>
    </tableColumn>
    <tableColumn id="63" xr3:uid="{D10C34BF-39A0-4119-B990-3D5660D476DD}" name="QI ID Table Too Small" dataDxfId="507">
      <calculatedColumnFormula array="1">CreateID($AU$2,$AT3&lt;&gt;"")</calculatedColumnFormula>
    </tableColumn>
    <tableColumn id="66" xr3:uid="{F32A3731-951F-4D6A-92DF-D0A075E191B9}" name="QI Missing Risk Text" dataDxfId="506">
      <calculatedColumnFormula>IF(IFERROR(MATCH(","&amp;A3&amp;",",'Risk Treatment'!$AT:$AT,0)&gt;0,FALSE),"",$A3)</calculatedColumnFormula>
    </tableColumn>
    <tableColumn id="67" xr3:uid="{751B4DE1-8EC1-4FB1-AF0E-C08F1ED5F05F}" name="QI Missing Risk ID" dataDxfId="505">
      <calculatedColumnFormula array="1">CreateID($AW$2,$AV3&lt;&gt;"")</calculatedColumnFormula>
    </tableColumn>
    <tableColumn id="16" xr3:uid="{F2844953-69C0-49D3-BB11-879F67C670B4}" name="Mitigations Search" dataDxfId="504">
      <calculatedColumnFormula array="1">CreateSearchString($AA3)</calculatedColumnFormula>
    </tableColumn>
  </tableColumns>
  <tableStyleInfo name="DarkCustom"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E1586E8-292F-4B21-8FC9-0C6683106FD9}" name="Table18" displayName="Table18" ref="A2:AN43" totalsRowShown="0" headerRowDxfId="503" dataDxfId="502">
  <autoFilter ref="A2:AN43" xr:uid="{1E1586E8-292F-4B21-8FC9-0C6683106FD9}"/>
  <tableColumns count="40">
    <tableColumn id="1" xr3:uid="{0D605A5B-CCB9-47B6-B402-765C0FAFA0BC}" name="AS ID" dataDxfId="501">
      <calculatedColumnFormula array="1">IF($R3=0,"",INDEX('Attack Steps'!A:A,$R3))</calculatedColumnFormula>
    </tableColumn>
    <tableColumn id="4" xr3:uid="{6ECB78E3-DA2C-41AE-9296-A1F5A92AFFC7}" name="Attack Step" dataDxfId="500">
      <calculatedColumnFormula array="1">IF($R3=0,"",INDEX('Attack Steps'!B:B,$R3))</calculatedColumnFormula>
    </tableColumn>
    <tableColumn id="21" xr3:uid="{B2CCEC3F-BD8F-498C-B0AE-8F3544A97C7A}" name="Diplay at most # APs (empty = all)" dataDxfId="499">
      <calculatedColumnFormula>3</calculatedColumnFormula>
    </tableColumn>
    <tableColumn id="38" xr3:uid="{0A7F3D51-20C1-4008-8492-E083DF62BC20}" name="Dominating Attack Paths " dataDxfId="498">
      <calculatedColumnFormula array="1">_xlfn.LET(
_xlpm._displayLimit,$C3,
_xlpm._risks,$S3,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calculatedColumnFormula>
    </tableColumn>
    <tableColumn id="6" xr3:uid="{E1E19956-44A2-47D4-B868-6767784A9CCE}" name="Highest Risk with this_x000a_Attack Step" dataDxfId="497">
      <calculatedColumnFormula array="1">_xlfn.LET(_xlpm._riskValue,CalculateMaxFromList($T3,0,Risks!$A:$Z),
INDEX(Definitions!$AE:$AE,MATCH(_xlpm._riskValue,Definitions!$AF:$AF,0)))</calculatedColumnFormula>
    </tableColumn>
    <tableColumn id="7" xr3:uid="{9FCB3063-4002-4ABA-948A-44CB74A5913A}" name="Proposed Counter-measures" dataDxfId="496">
      <calculatedColumnFormula array="1">IF($A3="","",SUBSTITUTE(RemoveDelimiter(SanitizeInput(SimpleLookup($A3,'Attack Steps'!$A:$AA)),","),",",", "))</calculatedColumnFormula>
    </tableColumn>
    <tableColumn id="19" xr3:uid="{79E6C916-11DD-4DC7-9169-5830E302AE20}" name="Proposed Active Assumptions" dataDxfId="495">
      <calculatedColumnFormula array="1">IF($A3="","",SUBSTITUTE(RemoveDelimiter(SanitizeInput(SimpleLookup($A3,'Attack Steps'!$A:$AB)),","),",",", "))</calculatedColumnFormula>
    </tableColumn>
    <tableColumn id="20" xr3:uid="{8286EE9F-450E-4937-BEFE-A2D72F200224}" name="Potential Additional Assumptions" dataDxfId="494">
      <calculatedColumnFormula array="1">IF($A3="","",_xlfn.LET(
_xlpm._proposedActive,SanitizeInput($G3),
_xlpm._proposedAll,SimpleLookup($A3,'Attack Steps'!$A:$AC),
_xlpm._proposedDiff,FilterElementsFromList(_xlpm._proposedAll,_xlpm._proposedActive,FALSE,","),
SUBSTITUTE(RemoveDelimiter(SanitizeInput(_xlpm._proposedDiff),","),",",", ")))</calculatedColumnFormula>
    </tableColumn>
    <tableColumn id="11" xr3:uid="{3C1941C6-C4BE-4B93-969B-4B9AB5601130}" name="Proposed Countermeasures and Assumptions" dataDxfId="493">
      <calculatedColumnFormula array="1">RemoveDelimiter(GetValuesWithFallback(SanitizeInput($F3)&amp;SanitizeInput($G3)&amp;SanitizeInput($H3),Countermeasures!$A:$B,Assumptions!$A:$B," ",","&amp;CHAR(10),TRUE),","&amp;CHAR(10))</calculatedColumnFormula>
    </tableColumn>
    <tableColumn id="9" xr3:uid="{3CDC5C25-AA0F-479F-A232-7A035304EB6F}" name="C and A IDs" dataDxfId="492"/>
    <tableColumn id="10" xr3:uid="{9CF4BC42-A908-4ADF-AF1F-90EDCC731E46}" name="Countermeasures and Assumptions" dataDxfId="491">
      <calculatedColumnFormula array="1">RemoveDelimiter(GetValuesWithFallback(SanitizeInput($J3),Countermeasures!$A:$B,Assumptions!$A:$B," ",","&amp;CHAR(10),TRUE),","&amp;CHAR(10))</calculatedColumnFormula>
    </tableColumn>
    <tableColumn id="22" xr3:uid="{648A62A9-2384-4389-8020-BD8A7F723064}" name="Diplay at most # APs_x000a_(empty = all) " dataDxfId="490">
      <calculatedColumnFormula>3</calculatedColumnFormula>
    </tableColumn>
    <tableColumn id="37" xr3:uid="{3ABA6933-2CEF-43DD-8B0E-56D93C7FA8BC}" name="Dominating Attack Paths" dataDxfId="489">
      <calculatedColumnFormula array="1">_xlfn.LET(
_xlpm._displayLimit,$L3,
_xlpm._risks,$V3,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calculatedColumnFormula>
    </tableColumn>
    <tableColumn id="12" xr3:uid="{98708134-3FCB-4F27-B7C5-85B3493A07A8}" name="Highest Remaining Risk with this_x000a_Attack Step" dataDxfId="488">
      <calculatedColumnFormula>INDEX(Definitions!$AE:$AE,MATCH($W3,Definitions!$AF:$AF,0))</calculatedColumnFormula>
    </tableColumn>
    <tableColumn id="5" xr3:uid="{BA083CCE-F5FD-4CF3-BD9D-0589066ED612}" name="Comment_x000a_To add a countermeasure or assumption:_x000a_{&lt;C or A&gt; &lt;Name&gt;[: &lt;RAP&gt;]}_x000a_RAP Options: Basic, Enhanced-Basic, Moderate, High, Beyond High" dataDxfId="487"/>
    <tableColumn id="2" xr3:uid="{E4478E06-B838-44E0-8AFF-20D2E158BEFD}" name="Shadow ID" dataDxfId="486">
      <calculatedColumnFormula array="1">CreateID($P$2,$A3&lt;&gt;"")</calculatedColumnFormula>
    </tableColumn>
    <tableColumn id="40" xr3:uid="{D40AF293-F869-40E0-ACDC-E6FCF75D5BB7}" name="Task ID" dataDxfId="485">
      <calculatedColumnFormula array="1">CreateTaskID($Q$2,$Q:$Q,Tasks!$B$17,$O3)</calculatedColumnFormula>
    </tableColumn>
    <tableColumn id="3" xr3:uid="{95E41F55-0CC3-4E1F-85DE-1BD39A593340}" name="Row" dataDxfId="484">
      <calculatedColumnFormula>IFERROR(MATCH(ROW()-ROW($R$2),'Attack Steps'!$R:$R,0),0)</calculatedColumnFormula>
    </tableColumn>
    <tableColumn id="39" xr3:uid="{451CF008-6D64-4978-ACAF-3BCD86D30656}" name="Dominating Risks Initial" dataDxfId="483">
      <calculatedColumnFormula array="1">CalculateMaxAndElements($T3,0,"",Risks!$A:$Z)</calculatedColumnFormula>
    </tableColumn>
    <tableColumn id="23" xr3:uid="{BE568EBE-06C8-4016-B9B1-EC784F30068B}" name="Risks" dataDxfId="482">
      <calculatedColumnFormula array="1">InverseLookup($A3,Risks!$Y$2,Risks!$A$2,1,Helper!$B$1,",")</calculatedColumnFormula>
    </tableColumn>
    <tableColumn id="34" xr3:uid="{38BE368E-1B48-4579-915E-8F88F528B460}" name="C&amp;A Search" dataDxfId="481">
      <calculatedColumnFormula>IF($T3="","",","&amp;$T3)</calculatedColumnFormula>
    </tableColumn>
    <tableColumn id="35" xr3:uid="{9E3D8A3B-19C5-4120-84BC-A19E0FDD8DD4}" name="N-Risk" dataDxfId="480">
      <calculatedColumnFormula array="1">CalculateMaxAndElements($T3,0,"",Risks!$A:$AG)</calculatedColumnFormula>
    </tableColumn>
    <tableColumn id="36" xr3:uid="{F1101795-8FE5-405A-8F90-14675CA203B9}" name="N-Risk Value" dataDxfId="479">
      <calculatedColumnFormula>IF($V3="","",VALUE(LEFT($V3,FIND(":",$V3)-1)))</calculatedColumnFormula>
    </tableColumn>
    <tableColumn id="8" xr3:uid="{2670F1D6-D29A-4D1B-B3AF-4919D2598310}" name="Mitigation Search" dataDxfId="478">
      <calculatedColumnFormula array="1">IF($J3="","",","&amp;SanitizeInput($J3))</calculatedColumnFormula>
    </tableColumn>
    <tableColumn id="13" xr3:uid="{8EA693EF-B6A7-4AB0-8711-11723A107127}" name="Active Attack Step" dataDxfId="477">
      <calculatedColumnFormula array="1">INDEX('Attack Steps'!$AE:$AE,$R3)</calculatedColumnFormula>
    </tableColumn>
    <tableColumn id="14" xr3:uid="{843AF9F8-0254-4C7F-B3F6-7ADAB9341C93}" name="Additional Assumption ID" dataDxfId="476">
      <calculatedColumnFormula array="1">CreateID($Z$2,IFERROR(FIND(Definitions!$AR$4,$O3)&gt;0,FALSE))</calculatedColumnFormula>
    </tableColumn>
    <tableColumn id="15" xr3:uid="{01568FAC-25D1-48AF-9C19-B358F618276F}" name="# Additional Assumptions" dataDxfId="475">
      <calculatedColumnFormula>_xlfn.LET(
_xlpm._comment,$O3,
_xlpm._keyWord,Definitions!$AR$4,
_xlpm._diffLen,LEN(_xlpm._comment)-LEN(SUBSTITUTE(_xlpm._comment,_xlpm._keyWord,"")),
_xlpm._diffLen/LEN(_xlpm._keyWord))</calculatedColumnFormula>
    </tableColumn>
    <tableColumn id="16" xr3:uid="{DB228F7E-13C4-4EA8-82CF-9D75DBB2B363}" name="Additional Countermeasure ID" dataDxfId="474">
      <calculatedColumnFormula array="1">CreateID($AB$2,IFERROR(FIND(Definitions!$AR$5,$O3)&gt;0,FALSE))</calculatedColumnFormula>
    </tableColumn>
    <tableColumn id="17" xr3:uid="{BB7733EF-5D91-4124-A440-20EFAD29C47C}" name="# Additional Countermeasures" dataDxfId="473">
      <calculatedColumnFormula>_xlfn.LET(
_xlpm._comment,$O3,
_xlpm._keyWord,Definitions!$AR$5,
_xlpm._diffLen,LEN(_xlpm._comment)-LEN(SUBSTITUTE(_xlpm._comment,_xlpm._keyWord,"")),
_xlpm._diffLen/LEN(_xlpm._keyWord))</calculatedColumnFormula>
    </tableColumn>
    <tableColumn id="18" xr3:uid="{D5F76828-7345-437F-8A5C-D1E39D10987A}" name="Assigned C&amp;A Search" dataDxfId="472">
      <calculatedColumnFormula array="1">CreateSearchString($J3)</calculatedColumnFormula>
    </tableColumn>
    <tableColumn id="24" xr3:uid="{435F8DED-FC9E-4ED0-B0B6-94E7A3675990}" name="QI Mitigation and Proposal Do Not Match Text" dataDxfId="471">
      <calculatedColumnFormula array="1">_xlfn.LET(
_xlpm._selected,SanitizeInput($J3),
_xlpm._catalogOptions,SanitizeInput($F3)&amp;SanitizeInput($G3)&amp;SanitizeInput($H3),
_xlpm._selectedNotInOptions,FilterElementsFromList(_xlpm._selected,_xlpm._catalogOptions,FALSE,","),
IF(_xlpm._selectedNotInOptions="","",$A3&amp;" "&amp;$B3&amp;": "&amp;SUBSTITUTE(RemoveDelimiter(_xlpm._selectedNotInOptions,","),",",", ")))</calculatedColumnFormula>
    </tableColumn>
    <tableColumn id="25" xr3:uid="{55757DDE-A459-4B6C-9C3D-8DF27361D0E1}" name="QI Mitigation ID" dataDxfId="470">
      <calculatedColumnFormula array="1">CreateID($AF$2,$AE3&lt;&gt;"")</calculatedColumnFormula>
    </tableColumn>
    <tableColumn id="26" xr3:uid="{138DED28-E7E7-48B0-85FD-BD60A410D08D}" name="Additional Mitigations" dataDxfId="469">
      <calculatedColumnFormula array="1">_xlfn.LET(
_xlpm._delimiter,","&amp;CHAR(10),
_xlpm._assumptions,ParseAllMitigationsFromComment($A3,"-","A",$O3,Definitions!$AR$4,Definitions!$AS$4,Definitions!$AR$6,_xlpm._delimiter,1),
_xlpm._countermeasures,ParseAllMitigationsFromComment($A3,"-","C",$O3,Definitions!$AR$5,Definitions!$AS$5,Definitions!$AR$6,_xlpm._delimiter,1),
IF(_xlpm._countermeasures="",RemoveDelimiter(_xlpm._assumptions,_xlpm._delimiter),_xlpm._assumptions&amp;RemoveDelimiter(_xlpm._countermeasures,_xlpm._delimiter)))</calculatedColumnFormula>
    </tableColumn>
    <tableColumn id="29" xr3:uid="{0CB93791-F47A-407E-BCDE-A29B79376474}" name="C27 Search" dataDxfId="468">
      <calculatedColumnFormula array="1">CreateSearchString(SanitizeInput($J3)&amp;GetValuesIgnoreErrors(SanitizeInput($J3),Countermeasures!$A:$H,"",",",FALSE))</calculatedColumnFormula>
    </tableColumn>
    <tableColumn id="27" xr3:uid="{85DD36FE-DF47-4FB1-84E4-FD8EA358ADEE}" name="QI QA11 and C27 inconsistent Text" dataDxfId="467">
      <calculatedColumnFormula array="1">IF(AND(IFERROR(FIND(","&amp;Countermeasures!$A$31&amp;",",$AH3)&gt;0,FALSE),Countermeasures!$AB$31=TRUE,SimpleLookup(Questions!$A$48,Questionnaire!$B:$D)=Definitions!$A$5),$A3&amp;" "&amp;$B3,"")</calculatedColumnFormula>
    </tableColumn>
    <tableColumn id="28" xr3:uid="{969ADB02-D011-4BB2-B9B5-4BD36C6567E3}" name="QI QA11 and C27 inconsistent ID" dataDxfId="466">
      <calculatedColumnFormula array="1">CreateID($AJ$2,$AI3&lt;&gt;"")</calculatedColumnFormula>
    </tableColumn>
    <tableColumn id="30" xr3:uid="{53E897AD-E0D1-494F-99C6-528DB95384CF}" name="QI Mitigation Assigned to Inactive AS Text" dataDxfId="465">
      <calculatedColumnFormula>IF(AND($Y3=FALSE,$J3&lt;&gt;""),$A3&amp;" "&amp;$B3,"")</calculatedColumnFormula>
    </tableColumn>
    <tableColumn id="31" xr3:uid="{0E74F3CD-953A-4E59-B97E-42706070FBA2}" name="QI Mitigation Assigned to Inactive AS ID" dataDxfId="464">
      <calculatedColumnFormula array="1">CreateID($AL$2,$AK3&lt;&gt;"")</calculatedColumnFormula>
    </tableColumn>
    <tableColumn id="32" xr3:uid="{2E64D96E-E3DA-4A7F-86BA-E722C3E1B579}" name="QI ID Error Text" dataDxfId="463">
      <calculatedColumnFormula>IF(IFERROR(FIND("ERROR:",$K3)&gt;0,FALSE),$A3&amp;" "&amp;$B3,"")</calculatedColumnFormula>
    </tableColumn>
    <tableColumn id="33" xr3:uid="{41A08AD0-AA4D-4403-96D3-14882B000BD2}" name="QI ID Error ID" dataDxfId="462">
      <calculatedColumnFormula array="1">CreateID($AN$2,$AM3&lt;&gt;"")</calculatedColumnFormula>
    </tableColumn>
  </tableColumns>
  <tableStyleInfo name="DarkCustom"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5FAF794-7F53-49AE-A371-226F75A2D420}" name="Table14" displayName="Table14" ref="C4:AW5" totalsRowShown="0" headerRowDxfId="461" dataDxfId="460">
  <autoFilter ref="C4:AW5" xr:uid="{25FAF794-7F53-49AE-A371-226F75A2D420}"/>
  <tableColumns count="47">
    <tableColumn id="1" xr3:uid="{20F6A696-D529-41E4-AB51-4842D042A777}" name="R ID" dataDxfId="459"/>
    <tableColumn id="2" xr3:uid="{2F3B36F2-2F94-4B77-94A1-B54A216E5704}" name="Attack Path" dataDxfId="458">
      <calculatedColumnFormula array="1">IF($C5="","",IF($W5=-1,"ERROR: Unknown ID: "&amp;$C5,INDEX(Risks!B:B,$W5)))</calculatedColumnFormula>
    </tableColumn>
    <tableColumn id="3" xr3:uid="{2F28C638-E55B-4563-A07D-6A6851770A3F}" name="Damage Scenarios" dataDxfId="457">
      <calculatedColumnFormula array="1">IF($W5=-1,"",INDEX(Risks!C:C,$W5))</calculatedColumnFormula>
    </tableColumn>
    <tableColumn id="4" xr3:uid="{D64577D3-05B5-4DF3-9F8E-74AA9EEC826C}" name="Damage Level" dataDxfId="456">
      <calculatedColumnFormula array="1">IF($W5=-1,"",INDEX(Risks!D:D,$W5))</calculatedColumnFormula>
    </tableColumn>
    <tableColumn id="29" xr3:uid="{914AE4ED-9083-4D2C-88C0-96B297B125EE}" name="Factor Explanation " dataDxfId="455">
      <calculatedColumnFormula array="1">IF($W5=-1,"",INDEX(Risks!E:E,$W5))</calculatedColumnFormula>
    </tableColumn>
    <tableColumn id="5" xr3:uid="{2CD66465-88F6-4B6E-B0B9-DF6216CC16C8}" name="RAP" dataDxfId="454">
      <calculatedColumnFormula array="1">IF($W5=-1,"",INDEX(Risks!F:F,$W5))</calculatedColumnFormula>
    </tableColumn>
    <tableColumn id="6" xr3:uid="{E62E7A7A-A455-446F-A7CE-6087A7EA4898}" name="Risk Level" dataDxfId="453">
      <calculatedColumnFormula array="1">IF($W5=-1,"",INDEX(Risks!G:G,$W5))</calculatedColumnFormula>
    </tableColumn>
    <tableColumn id="15" xr3:uid="{29B54699-5336-45BA-BFD7-F97D0F8DE470}" name="Countermeasures and Assumptions" dataDxfId="452">
      <calculatedColumnFormula array="1">_xlfn.LET(
_xlpm._assignedMitigations,IF($C5="","",IFERROR(RemoveDelimiter(GetValuesWithFallback($AW5,Countermeasures!$A:$B,Assumptions!$A:$B," ",","&amp;CHAR(10),TRUE),","&amp;CHAR(10)),"Error: Unknown risk ID "&amp;$C5)),
_xlpm._inlineMitigations,$AQ5,
_xlpm._assignedMitigations&amp;
IF(OR(_xlpm._assignedMitigations="",_xlpm._inlineMitigations=""),"",","&amp;CHAR(10))&amp;
_xlpm._inlineMitigations)</calculatedColumnFormula>
    </tableColumn>
    <tableColumn id="18" xr3:uid="{5B1BF5B6-12D1-482B-B500-FEF3A9CA3E4B}" name="Damage Scenarios " dataDxfId="451">
      <calculatedColumnFormula array="1">IF($W5=-1,"",RemoveDelimiter(GetValues(INDEX(Risks!O:O,$W5),'DS Overview'!$A:$B," ",","&amp;CHAR(10),TRUE),","&amp;CHAR(10)))</calculatedColumnFormula>
    </tableColumn>
    <tableColumn id="12" xr3:uid="{239ED527-2A65-4C55-B9B0-9B785C646C83}" name="Damage Level " dataDxfId="450">
      <calculatedColumnFormula array="1">IF($C5="","",SimpleLookup($C5,Risks!$A:$V))</calculatedColumnFormula>
    </tableColumn>
    <tableColumn id="28" xr3:uid="{44A1E103-0C59-4654-AF0D-C07CA4149DCE}" name="Factor Explanation" dataDxfId="449">
      <calculatedColumnFormula array="1">_xlfn.LET(
_xlpm._calculatedRAP,IFERROR(SimpleLookup($C5,Risks!$A:$AC),""),
_xlpm._inlineRAP,IFERROR(SimpleLookup($C5,Risks!$A:$AD),""),
_xlpm._calculatedValue,IFERROR(MATCH(_xlpm._calculatedRAP,Definitions!$W:$W,0),0),
_xlpm._inlineValue,IFERROR(MATCH(_xlpm._inlineRAP,Definitions!$W:$W,0),0),
_xlpm._mitigationSheetAddress,CELL("address",Mitigation!$A$2),
_xlpm._sheetNameStart,FIND("]",_xlpm._mitigationSheetAddress),
_xlpm._sheetNameEnd,FIND("!",_xlpm._mitigationSheetAddress),
_xlpm._mitigationSheetName,SUBSTITUTE(MID(_xlpm._mitigationSheetAddress,_xlpm._sheetNameStart+1,_xlpm._sheetNameEnd-_xlpm._sheetNameStart-1),"'",""),
IF(_xlpm._calculatedValue+_xlpm._inlineValue=0,"",
IF(_xlpm._calculatedValue&gt;=_xlpm._inlineValue,$AP5,
_xlpm._mitigationSheetName&amp;" sheet "&amp;_xlfn.UNICHAR(8702)&amp;" Comment column:"&amp;CHAR(10)&amp;$AQ5)))</calculatedColumnFormula>
    </tableColumn>
    <tableColumn id="13" xr3:uid="{55B97DF0-0709-489E-BC3E-F36D7676D9D4}" name="RAP " dataDxfId="448">
      <calculatedColumnFormula array="1">IF($C5="","",SimpleLookup($C5,Risks!$A:$AE))</calculatedColumnFormula>
    </tableColumn>
    <tableColumn id="14" xr3:uid="{4C9C6200-B8DD-436A-970D-49A5C22966A9}" name="Remaining Risk Level " dataDxfId="447">
      <calculatedColumnFormula array="1">IF($C5="","",SimpleLookup($C5,Risks!$A:$AF))</calculatedColumnFormula>
    </tableColumn>
    <tableColumn id="21" xr3:uid="{30AF35FA-68EC-45D4-9A8B-3E8C5B20C1CE}" name="Risk Treatment Proposal" dataDxfId="446">
      <calculatedColumnFormula>IF($C5="","",IF($AA5&lt;=Definitions!$AF$6,Definitions!$M$4,""))</calculatedColumnFormula>
    </tableColumn>
    <tableColumn id="20" xr3:uid="{37ACC67B-C880-4988-B0A8-AC173A594185}" name="Manual Risk Treatment" dataDxfId="445"/>
    <tableColumn id="19" xr3:uid="{3E586777-F2E9-4038-A053-146F8F5DC9B5}" name="Risk Treatment Decision" dataDxfId="444">
      <calculatedColumnFormula>IF($Q5="",$P5,$Q5)</calculatedColumnFormula>
    </tableColumn>
    <tableColumn id="22" xr3:uid="{28EF1F57-DD63-4C6B-B73E-5D2CF9C30D8E}" name="Risk Treatment Rationale / Explanation" dataDxfId="443"/>
    <tableColumn id="7" xr3:uid="{F75CB738-9372-4E88-885C-BDC3B7549286}" name="Comment" dataDxfId="442"/>
    <tableColumn id="8" xr3:uid="{DBCEA39E-8965-48DF-8A73-821479E2D20A}" name="Shadow ID" dataDxfId="441">
      <calculatedColumnFormula array="1">CreateID($U$4,C5&lt;&gt;"")</calculatedColumnFormula>
    </tableColumn>
    <tableColumn id="9" xr3:uid="{59668012-AC49-4722-B0DF-1A72D8D04F9A}" name="Task ID" dataDxfId="440">
      <calculatedColumnFormula array="1">CreateTaskID($V$4,$V:$V,Tasks!$B$17,$T5)</calculatedColumnFormula>
    </tableColumn>
    <tableColumn id="10" xr3:uid="{96739635-D4E0-42D7-A9F4-2FDF55213656}" name="Row" dataDxfId="439">
      <calculatedColumnFormula>IFERROR(MATCH($C5,Risks!$A:$A,0),-1)</calculatedColumnFormula>
    </tableColumn>
    <tableColumn id="11" xr3:uid="{C4B8A31F-9D65-4A6F-A18C-0B5103084FC9}" name="All IDs" dataDxfId="438">
      <calculatedColumnFormula array="1">IF(ROW()=ROW($X$4)+1,"",INDEX($X:$X,ROW()-1))&amp;IF($C5="","",$C5&amp;",")</calculatedColumnFormula>
    </tableColumn>
    <tableColumn id="16" xr3:uid="{62815361-8DEC-408E-ABFB-C3901E14934C}" name="AS IDs" dataDxfId="437">
      <calculatedColumnFormula array="1">IF($W5=-1,"",INDEX(Risks!K:K,$W5))</calculatedColumnFormula>
    </tableColumn>
    <tableColumn id="17" xr3:uid="{BC88EBE8-E6DB-4CCE-A706-98AD23C4027E}" name="Countermeasure IDs" dataDxfId="436">
      <calculatedColumnFormula array="1">GetValues($Y5,'Attack Steps'!$A:$AA,"","",FALSE)</calculatedColumnFormula>
    </tableColumn>
    <tableColumn id="23" xr3:uid="{6265DBCA-27CC-4BC4-BAF6-8F23F56C20C5}" name="RL Value" dataDxfId="435">
      <calculatedColumnFormula array="1">IF($O5="",0,SimpleLookup($O5,Definitions!$AE:$AF))</calculatedColumnFormula>
    </tableColumn>
    <tableColumn id="26" xr3:uid="{52BCB431-2571-4D6B-BA49-F3A8138968D5}" name="[QI Text] Missing Rationale" dataDxfId="434">
      <calculatedColumnFormula>IF(AND($Q5&lt;&gt;"",$S5=""),$C5&amp;" "&amp;$D5,"")</calculatedColumnFormula>
    </tableColumn>
    <tableColumn id="24" xr3:uid="{81C0E997-E091-4207-8F30-A9D4DA35D730}" name="[QI ID] Missing Rationale" dataDxfId="433">
      <calculatedColumnFormula array="1">CreateID($AC$4,AND($C5&lt;&gt;"",$AB5&lt;&gt;""))</calculatedColumnFormula>
    </tableColumn>
    <tableColumn id="25" xr3:uid="{32B4B0A7-5E74-4307-AC3E-0A9D23094048}" name="QI Text No Risk Treatment" dataDxfId="432">
      <calculatedColumnFormula>IF(AND($P5="",$Q5=""),$C5&amp;" "&amp;$D5,"")</calculatedColumnFormula>
    </tableColumn>
    <tableColumn id="27" xr3:uid="{A078A2A6-D457-44D4-9BC9-0B13CD28D34E}" name="QI ID No Risk Treatment" dataDxfId="431">
      <calculatedColumnFormula array="1">CreateID($AE$4,AND($C5&lt;&gt;"",$AD5&lt;&gt;""))</calculatedColumnFormula>
    </tableColumn>
    <tableColumn id="30" xr3:uid="{8295C635-DE2C-4D9D-86B4-68A3CA16B7A9}" name="Annex I 1.3 Search (Treatment not Accept)" dataDxfId="430">
      <calculatedColumnFormula array="1">_xlfn.LET(
_xlpm._letters,IF(AND($R5&lt;&gt;"",$R5&lt;&gt;Definitions!$M$4),SimpleLookup(SimpleLookup($C5,Risks!$A:$L),'Attack Steps'!$A:$P),""),
IF(_xlpm._letters="","",","&amp;SanitizeInput(_xlpm._letters)))</calculatedColumnFormula>
    </tableColumn>
    <tableColumn id="31" xr3:uid="{60406E9B-3040-41FD-8F48-781987570BC4}" name="Annex I 1.3 Text" dataDxfId="429">
      <calculatedColumnFormula>IF($AF5="","",$C5&amp;" ["&amp;$R5&amp;"]: "&amp;$S5)</calculatedColumnFormula>
    </tableColumn>
    <tableColumn id="32" xr3:uid="{906A9AC2-DBAD-4085-8C9E-AC05C0B8F91C}" name="Additional Assumption ID (Rationale)" dataDxfId="428">
      <calculatedColumnFormula array="1">CreateID($AH$4,IFERROR(FIND(Definitions!$AR$4,$S5)&gt;0,FALSE))</calculatedColumnFormula>
    </tableColumn>
    <tableColumn id="33" xr3:uid="{73199F9C-BB60-4D47-B3AD-AFA628A956C7}" name="# Additional Assumptions (Rationale)" dataDxfId="427">
      <calculatedColumnFormula>_xlfn.LET(
_xlpm._comment,$S5,
_xlpm._keyWord,Definitions!$AR$4,
_xlpm._diffLen,LEN(_xlpm._comment)-LEN(SUBSTITUTE(_xlpm._comment,_xlpm._keyWord,"")),
_xlpm._diffLen/LEN(_xlpm._keyWord))</calculatedColumnFormula>
    </tableColumn>
    <tableColumn id="34" xr3:uid="{64A09D42-EC7B-40BD-B055-30B8970F27E3}" name="Additional Assumption ID (Comment)" dataDxfId="426">
      <calculatedColumnFormula array="1">CreateID($AJ$4,IFERROR(FIND(Definitions!$AR$4,$T5)&gt;0,FALSE))</calculatedColumnFormula>
    </tableColumn>
    <tableColumn id="35" xr3:uid="{C8DB4F97-8596-4191-90D1-1D1075E4434A}" name="# Additional Assumptions (Comment)" dataDxfId="425">
      <calculatedColumnFormula>_xlfn.LET(
_xlpm._comment,$T5,
_xlpm._keyWord,Definitions!$AR$4,
_xlpm._diffLen,LEN(_xlpm._comment)-LEN(SUBSTITUTE(_xlpm._comment,_xlpm._keyWord,"")),
_xlpm._diffLen/LEN(_xlpm._keyWord))</calculatedColumnFormula>
    </tableColumn>
    <tableColumn id="36" xr3:uid="{B591F16C-7B08-4440-AE01-05F938635236}" name="Additional Countermeasure ID (Rationale)" dataDxfId="424">
      <calculatedColumnFormula array="1">CreateID($AL$4,IFERROR(FIND(Definitions!$AR$5,$S5)&gt;0,FALSE))</calculatedColumnFormula>
    </tableColumn>
    <tableColumn id="37" xr3:uid="{6731AEE6-8E00-4C20-A8AF-0E3D5A844A01}" name="# Additional Countermeasure (Rationale)" dataDxfId="423">
      <calculatedColumnFormula>_xlfn.LET(
_xlpm._comment,$S5,
_xlpm._keyWord,Definitions!$AR$5,
_xlpm._diffLen,LEN(_xlpm._comment)-LEN(SUBSTITUTE(_xlpm._comment,_xlpm._keyWord,"")),
_xlpm._diffLen/LEN(_xlpm._keyWord))</calculatedColumnFormula>
    </tableColumn>
    <tableColumn id="38" xr3:uid="{308EDA64-D714-4E49-8CBE-C322C20D6835}" name="Additional Countermeasure ID (Comment)" dataDxfId="422">
      <calculatedColumnFormula array="1">CreateID($AN$4,IFERROR(FIND(Definitions!$AR$5,$T5)&gt;0,FALSE))</calculatedColumnFormula>
    </tableColumn>
    <tableColumn id="39" xr3:uid="{15CC3AB6-2608-4AF4-B7AC-8889445C2B7F}" name="# Additional Countermeasure (Comment)" dataDxfId="421">
      <calculatedColumnFormula>_xlfn.LET(
_xlpm._comment,$T5,
_xlpm._keyWord,Definitions!$AR$5,
_xlpm._diffLen,LEN(_xlpm._comment)-LEN(SUBSTITUTE(_xlpm._comment,_xlpm._keyWord,"")),
_xlpm._diffLen/LEN(_xlpm._keyWord))</calculatedColumnFormula>
    </tableColumn>
    <tableColumn id="40" xr3:uid="{0A9AA3F9-A71E-438B-9C7A-4C02DDD66DC3}" name="Remaining Risk Factor Explanation" dataDxfId="420">
      <calculatedColumnFormula array="1">IF($C5="","",_xlfn.LET(
_xlpm._list,SimpleLookup($C5,Risks!$A:$K)&amp;SimpleLookup($C5,Risks!$A:$AA),
_xlpm._numberOfFactors,MAX(Definitions!$AB:$AB),
OperateOnRange(
  'Attack Steps'!$H$2,
  TRUE,
  _xlpm._numberOfFactors,
  0,
  _xlfn.LAMBDA(_xlpm._factorClass,_xlfn.LET(
    _xlpm._maxForFactor,OperateOnList(
      _xlpm._list,
      _xlfn.LAMBDA(_xlpm._element,_xlfn.LET(
        _xlpm._factorNum,COLUMN(_xlpm._factorClass)-COLUMN('Attack Steps'!$H$2),
        _xlpm._factorName,IFERROR(VLOOKUP(_xlpm._element,'Attack Steps'!$A:$L,COLUMNS('Attack Steps'!$A:$H)+_xlpm._factorNum,FALSE),
          IFERROR(VLOOKUP(_xlpm._element,Countermeasures!$A:$P,COLUMNS(Countermeasures!$A:$L)+_xlpm._factorNum,FALSE),
            VLOOKUP(_xlpm._element,Assumptions!$A:$P,COLUMNS(Assumptions!$A:$L)+_xlpm._factorNum,FALSE))),
        IF(_xlpm._factorName="",0,SimpleLookup(_xlpm._factorName,Definitions!$Z:$AA)))),
      _xlfn.LAMBDA(_xlpm._x,_xlpm._y,MAX(_xlpm._x,_xlpm._y))),
    _xlpm._elementsWithMaxFactor,FilterListByCriterion(_xlpm._list,_xlpm._maxForFactor,_xlfn.LAMBDA(_xlpm._element,_xlfn.LET(
      _xlpm._factorNum,COLUMN(_xlpm._factorClass)-COLUMN('Attack Steps'!$H$2),
      _xlpm._factorName,IFERROR(VLOOKUP(_xlpm._element,'Attack Steps'!$A:$L,COLUMNS('Attack Steps'!$A:$H)+_xlpm._factorNum,FALSE),
        IFERROR(VLOOKUP(_xlpm._element,Countermeasures!$A:$P,COLUMNS(Countermeasures!$A:$L)+_xlpm._factorNum,FALSE),
          VLOOKUP(_xlpm._element,Assumptions!$A:$P,COLUMNS(Assumptions!$A:$L)+_xlpm._factorNum,FALSE))),
      IF(_xlpm._factorName="",0,SimpleLookup(_xlpm._factorName,Definitions!$Z:$AA)))),
      _xlfn.LAMBDA(_xlpm._x,_xlpm._y,_xlpm._x=_xlpm._y),", "),
    _xlpm._factorClass&amp;" ["&amp;_xlpm._maxForFactor&amp;"]: "&amp;RemoveDelimiter(_xlpm._elementsWithMaxFactor,", "))),
  _xlfn.LAMBDA(_xlpm._x,_xlpm._y,_xlpm._x&amp;CHAR(10)&amp;_xlpm._y))))</calculatedColumnFormula>
    </tableColumn>
    <tableColumn id="41" xr3:uid="{C477A5FF-3193-4700-BC1D-5C131DBF3251}" name="Inline Mitigations" dataDxfId="419">
      <calculatedColumnFormula array="1">RemoveDelimiter(GetValues($Y5,Mitigation!$A:$AG,"",","&amp;CHAR(10),FALSE),","&amp;CHAR(10))</calculatedColumnFormula>
    </tableColumn>
    <tableColumn id="42" xr3:uid="{4A7F3279-BE62-4863-9F53-55936AAA4B9B}" name="QI Incorrect Risk ID Text" dataDxfId="418">
      <calculatedColumnFormula array="1">IF($C5="","",IF(ISERROR(SimpleLookup($C5,Risks!$A:$A)),$C5,""))</calculatedColumnFormula>
    </tableColumn>
    <tableColumn id="43" xr3:uid="{57874AB1-FC3D-4C12-9207-D90A3969A7DB}" name="QI Incorrect Risk ID ID" dataDxfId="417">
      <calculatedColumnFormula array="1">CreateID($AS$4,$AR5&lt;&gt;"")</calculatedColumnFormula>
    </tableColumn>
    <tableColumn id="47" xr3:uid="{40342AE8-E634-4973-990A-FB344CC2E65F}" name="Risk ID Search" dataDxfId="416">
      <calculatedColumnFormula array="1">CreateSearchString($C5)</calculatedColumnFormula>
    </tableColumn>
    <tableColumn id="44" xr3:uid="{D68EF1DB-8247-4B0B-9CEA-161BBFC1DFD5}" name="QI Duplicate Risk ID Text" dataDxfId="415">
      <calculatedColumnFormula>IF($C5="","",IF(MATCH($C5,$C:$C,0)=ROW($C5),"",$C5))</calculatedColumnFormula>
    </tableColumn>
    <tableColumn id="45" xr3:uid="{640455FE-86FB-41C2-BDB7-2121E8E1DD71}" name="QI Duplicate Risk ID" dataDxfId="414">
      <calculatedColumnFormula array="1">CreateID($AV$4,$AU5&lt;&gt;"")</calculatedColumnFormula>
    </tableColumn>
    <tableColumn id="46" xr3:uid="{E10DE7BD-AF4D-4795-B8F0-EC9F66D26AF0}" name="Assigned Mitigations" dataDxfId="413">
      <calculatedColumnFormula array="1">IF($C5="","",
_xlfn.LET(_xlpm._ids,SanitizeInput(SimpleLookup($C5,Risks!$A:$AA)),
_xlpm._assumptionIDs,SortList(_xlpm._ids,Assumptions!$A:$U,Helper!$B$6,"",",",TRUE),
_xlpm._countermeasureIDs,SortList(_xlpm._ids,Countermeasures!$A:$U,Helper!$B$4,"",",",TRUE),
_xlpm._sortedIDs,_xlpm._assumptionIDs&amp;_xlpm._countermeasureIDs,
_xlpm._sortedIDs))</calculatedColumnFormula>
    </tableColumn>
  </tableColumns>
  <tableStyleInfo name="DarkCustom"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5022DC-48BF-4E06-921E-2393FB49372E}" name="Table267103" displayName="Table267103" ref="A17:AT101" totalsRowShown="0" headerRowDxfId="412" dataDxfId="411">
  <autoFilter ref="A17:AT101" xr:uid="{45D5F579-B153-490D-8DA5-723313A84BC5}"/>
  <tableColumns count="46">
    <tableColumn id="1" xr3:uid="{9BDAC4D6-D41B-4936-BE4D-37CE32075F44}" name="ID" dataDxfId="410">
      <calculatedColumnFormula>_xlfn.LET(
_xlpm._isAssumption,$M18,
_xlpm._row,$N18,
_xlpm._numActiveAssumptions,Helper!$B$8,
_xlpm._numActiveCountermeasures,Helper!$B$9,
_xlpm._numAdditionalAssumptions,Helper!$B$10,
_xlpm._numAdditionalCountermeasures,Helper!$B$11,
IF(_xlpm._isAssumption,
IF(_xlpm._row&gt;_xlpm._numActiveAssumptions,
$Y18&amp;"-A"&amp;$T18,
INDEX(Assumptions!A:A,MATCH(_xlpm._row,Assumptions!$AC:$AC,0))),
IF(_xlpm._row&gt;_xlpm._numActiveCountermeasures+_xlpm._numAdditionalCountermeasures,"",
IF(_xlpm._row&gt;_xlpm._numActiveCountermeasures,
$Y18&amp;"-C"&amp;$T18,
INDEX(Countermeasures!$A:$A,MATCH(_xlpm._row,Countermeasures!$AE:$AE,0))))))</calculatedColumnFormula>
    </tableColumn>
    <tableColumn id="2" xr3:uid="{06E79E11-4C55-4433-8B5A-EBB9D087C9F8}" name="Name" dataDxfId="409">
      <calculatedColumnFormula array="1">IF($A18="","",
_xlfn.LET(
_xlpm._isAssumption,$M18,
_xlpm._isAdditionalElement,$O18,
IF(_xlpm._isAdditionalElement,
IF(_xlpm._isAssumption,
ParseElementsFromComment($X18,Definitions!$AR$4,Definitions!$AS$4,Definitions!$AR$6,$T18),
ParseElementsFromComment($X18,Definitions!$AR$5,Definitions!$AS$5,Definitions!$AR$6,$T18)),
_xlfn.LET(_xlpm._value,IF($A18="","",IF($M18,SimpleLookup($A18,Assumptions!$A:$B),SimpleLookup($A18,Countermeasures!$A:$B))),IF(_xlpm._value="","",_xlpm._value)))))</calculatedColumnFormula>
    </tableColumn>
    <tableColumn id="4" xr3:uid="{D351B706-6712-49D2-961F-5E30BE87334D}" name="Stakeholder" dataDxfId="408">
      <calculatedColumnFormula array="1">IF($A18="","",IF($M18,IFERROR(SimpleLookup($A18,Assumptions!$A:$E),""),Definitions!$AO$4))</calculatedColumnFormula>
    </tableColumn>
    <tableColumn id="18" xr3:uid="{318B475C-84BD-42A1-8DA1-EF6C664ECC82}" name="Additional Information" dataDxfId="407">
      <calculatedColumnFormula>_xlfn.LET(
_xlpm._dividerTop,REPT(_xlfn.UNICHAR(9552),63)&amp;CHAR(10),
_xlpm._dividerHeader,CHAR(10)&amp;REPT(CHAR(150),81)&amp;CHAR(10),
_xlpm._relatedQuestions,IF($AD18="","",_xlpm._dividerTop&amp;"Comments of related questions / answers:"&amp;_xlpm._dividerHeader&amp;$AD18),
_xlpm._assignedToAttackSteps,IF($AE18="","",_xlpm._dividerTop&amp;"Assigned to attack steps:"&amp;_xlpm._dividerHeader&amp;$AE18),
_xlpm._definedInContextOfElement,IF($AF18="","",_xlpm._dividerTop&amp;"Defined in the context of:"&amp;_xlpm._dividerHeader&amp;$AF18),
_xlpm._dependantCountermeasures,IF($AG18="","",_xlpm._dividerTop&amp;"Dependency of countermeasures:"&amp;_xlpm._dividerHeader&amp;$AG18),
_xlpm._defaultElementText,IF($AI18="","",_xlpm._dividerTop&amp;"Default "&amp;IF($M18,"assumption","countermeasure")&amp;":"&amp;_xlpm._dividerHeader&amp;$AI18),
_xlpm._relatedQuestions&amp;
IF(AND(_xlpm._relatedQuestions&lt;&gt;"",_xlpm._assignedToAttackSteps&lt;&gt;""),CHAR(10),"")&amp;_xlpm._assignedToAttackSteps&amp;
IF(AND(OR(_xlpm._relatedQuestions&lt;&gt;"",_xlpm._assignedToAttackSteps&lt;&gt;""),_xlpm._definedInContextOfElement&lt;&gt;""),CHAR(10),"")&amp;_xlpm._definedInContextOfElement&amp;
IF(AND(OR(_xlpm._relatedQuestions&lt;&gt;"",_xlpm._assignedToAttackSteps&lt;&gt;"",_xlpm._definedInContextOfElement&lt;&gt;""),_xlpm._dependantCountermeasures&lt;&gt;""),CHAR(10),"")&amp;_xlpm._dependantCountermeasures&amp;
IF(AND(OR(_xlpm._relatedQuestions&lt;&gt;"",_xlpm._assignedToAttackSteps&lt;&gt;"",_xlpm._definedInContextOfElement&lt;&gt;"",_xlpm._dependantCountermeasures&lt;&gt;""),_xlpm._defaultElementText&lt;&gt;""),CHAR(10),"")&amp;_xlpm._defaultElementText)</calculatedColumnFormula>
    </tableColumn>
    <tableColumn id="24" xr3:uid="{AF7286E0-04A8-42B3-9C28-3FCEC86504AF}" name="Go to ID" dataDxfId="406"/>
    <tableColumn id="29" xr3:uid="{68E197BC-4A89-4C41-A236-0E5AA76BBBF2}" name="Link" dataDxfId="405" dataCellStyle="Hyperlink">
      <calculatedColumnFormula>IF(AND($E18&lt;&gt;"",$AH18=""),"Error: Unknown ID: "&amp;$E18,
IF($A18="","",HYPERLINK("#"&amp;IF($AH18="",$AC18,$AH18),"click me")))</calculatedColumnFormula>
    </tableColumn>
    <tableColumn id="32" xr3:uid="{53304C70-69C1-4AC9-84AC-13B9D228D698}" name="Reference" dataDxfId="404" dataCellStyle="Hyperlink">
      <calculatedColumnFormula array="1">_xlfn.LET(_xlpm._val,IFERROR(SimpleLookup($A18,Countermeasures!$A:$S),IFERROR(SimpleLookup($A18,Assumptions!$A:$S),"")),IF(_xlpm._val="","",_xlpm._val))</calculatedColumnFormula>
    </tableColumn>
    <tableColumn id="40" xr3:uid="{E8B77245-D35E-4DAE-96EC-893FA4D721FD}" name="Diplay at most # APs (empty = all)" dataDxfId="403" dataCellStyle="Hyperlink">
      <calculatedColumnFormula>""</calculatedColumnFormula>
    </tableColumn>
    <tableColumn id="37" xr3:uid="{08645174-E7D2-4392-AB83-2D348BAE3E7E}" name="Highest Risks Without This" dataDxfId="402" dataCellStyle="Hyperlink">
      <calculatedColumnFormula>IF($O18,$AR18,$AO18)</calculatedColumnFormula>
    </tableColumn>
    <tableColumn id="39" xr3:uid="{69DC64A5-8709-4394-91EA-87FFD60A0FD1}" name="Highest Risks With This" dataDxfId="401" dataCellStyle="Hyperlink">
      <calculatedColumnFormula>IF($O18,$AS18,$AP18)</calculatedColumnFormula>
    </tableColumn>
    <tableColumn id="7" xr3:uid="{14CCFF67-A935-4604-B91C-8AF4703E4753}" name="Comment" dataDxfId="400">
      <calculatedColumnFormula array="1">_xlfn.LET(_xlpm._value,IF($A18="","",IFERROR(IF($M18,SimpleLookup($A18,Assumptions!$A:$T),SimpleLookup($A18,Countermeasures!$A:$T)),"")),
IF(_xlpm._value="","",_xlpm._value))</calculatedColumnFormula>
    </tableColumn>
    <tableColumn id="3" xr3:uid="{D6100916-7785-4443-8D6C-0FF78B3BBC0B}" name="Shadow ID" dataDxfId="399">
      <calculatedColumnFormula array="1">CreateID($L$17,$A18&lt;&gt;"")</calculatedColumnFormula>
    </tableColumn>
    <tableColumn id="10" xr3:uid="{A9F86B2A-3922-4542-ADB7-16B49AB470C7}" name="Is Assumption" dataDxfId="398">
      <calculatedColumnFormula>_xlfn.LET(_xlpm._row,ROW()-ROW($N$17),
_xlpm._numActiveAssumptions,Helper!$B$8,
_xlpm._numAdditionalAssumptions,SUM(Table24['# Elements]),
_xlpm._row&lt;=_xlpm._numActiveAssumptions+_xlpm._numAdditionalAssumptions)</calculatedColumnFormula>
    </tableColumn>
    <tableColumn id="9" xr3:uid="{1A218F1B-969E-4AF3-9322-13DC10544CF5}" name="Row" dataDxfId="397">
      <calculatedColumnFormula>_xlfn.LET(_xlpm._row,ROW()-ROW($N$17),
_xlpm._numActiveAssumptions,Helper!$B$8,
_xlpm._numAdditionalAssumptions,Helper!$B$10,
_xlpm._isAssumption,$M18,
_xlpm._elementID,IF(_xlpm._isAssumption,_xlpm._row,_xlpm._row-_xlpm._numActiveAssumptions-_xlpm._numAdditionalAssumptions),
_xlpm._elementID)</calculatedColumnFormula>
    </tableColumn>
    <tableColumn id="5" xr3:uid="{59C4CD10-5FAD-422A-A6A1-F6B1430096E9}" name="Is Additional Element" dataDxfId="396">
      <calculatedColumnFormula>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calculatedColumnFormula>
    </tableColumn>
    <tableColumn id="6" xr3:uid="{FEDE7A8A-A1BC-44D8-B832-156642565607}" name="Additional Sheet ID" dataDxfId="395">
      <calculatedColumnFormula array="1">IF($O18,
IF(ROW()=ROW($P$17)+1,1,INDEX($P:$P,ROW()-1)+IF(INDEX($W:$W,ROW()-1),1,0)),
1)</calculatedColumnFormula>
    </tableColumn>
    <tableColumn id="8" xr3:uid="{95106E64-FCCF-44F2-BFE7-962C312A0186}" name="Number of Elements For This Sheet" dataDxfId="394">
      <calculatedColumnFormula array="1">IF($O18=TRUE,
_xlfn.LET(
_xlpm._isAssumption,$M18,
_xlpm._indexRange,IF(_xlpm._isAssumption,Table24['# Elements],Table25['# Elements]),
_xlpm._lookupRow,$Z18,
INDEX(_xlpm._indexRange,_xlpm._lookupRow)),
"")</calculatedColumnFormula>
    </tableColumn>
    <tableColumn id="11" xr3:uid="{52BE6782-B571-452F-AC3F-D0791CBB393A}" name="Comment ID" dataDxfId="393">
      <calculatedColumnFormula array="1">IF($Q18="","",_xlfn.LET(
_xlpm._prevRow,ROW()-1,
IF(OR(INDEX($Q:$Q,_xlpm._prevRow)&lt;&gt;$Q18,INDEX($P:$P,_xlpm._prevRow)&lt;&gt;$P18),
1,
INDEX($R:$R,_xlpm._prevRow)+IF(INDEX($V:$V,_xlpm._prevRow),1,0))))</calculatedColumnFormula>
    </tableColumn>
    <tableColumn id="12" xr3:uid="{3FF4D859-33D3-47E4-8A8A-783D02816BED}" name="Number of Elements for this ID" dataDxfId="392">
      <calculatedColumnFormula array="1">IF($R18="","",_xlfn.LET(
_xlpm._isAssumption,$M18,
_xlpm._sheetRow,$Z18,
_xlpm._sheetName,$AA18,
_xlpm._elementIDRange,IF(_xlpm._isAssumption,Table24[Element ID Column],Table25[Element ID Column]),
_xlpm._numberOfElementsRange,IF(_xlpm._isAssumption,Table24[Number of Elements Column],Table25[Number of Elements Column]),
SimpleLookup($R18,INDIRECT("'"&amp;_xlpm._sheetName&amp;"'!"&amp;INDEX(_xlpm._elementIDRange,_xlpm._sheetRow)&amp;":"&amp;INDEX(_xlpm._numberOfElementsRange,_xlpm._sheetRow)))))</calculatedColumnFormula>
    </tableColumn>
    <tableColumn id="13" xr3:uid="{6F0F927A-F741-452A-9F00-D0EA20C18D69}" name="Element Within Comment ID" dataDxfId="391">
      <calculatedColumnFormula array="1">IF($R18="","",IF(OR(INDEX($R:$R,ROW()-1)&lt;&gt;$R18,INDEX($P:$P,ROW()-1)&lt;&gt;$P18),1,INDEX($T:$T,ROW()-1)+1))</calculatedColumnFormula>
    </tableColumn>
    <tableColumn id="33" xr3:uid="{7C61F2E2-B961-4EDA-A39C-4BA869570D31}" name="Accumulated Elements for This Sheet" dataDxfId="390">
      <calculatedColumnFormula>COUNTIFS(
OFFSET($O$17,1,0,ROW()-ROW($O$17),1),TRUE,
OFFSET($P$17,1,0,ROW()-ROW($P$17),1),$P18,
OFFSET($M$17,1,0,ROW()-ROW($M$17),1),$M18)</calculatedColumnFormula>
    </tableColumn>
    <tableColumn id="14" xr3:uid="{0008E350-B429-4C61-B873-1BAAB08A35BE}" name="Is Last Element for the Comment" dataDxfId="389">
      <calculatedColumnFormula>IF($O18,$S18=$T18,"")</calculatedColumnFormula>
    </tableColumn>
    <tableColumn id="17" xr3:uid="{61BD81E6-4643-402C-B8CE-5EF72B623600}" name="Last Element for the Sheet" dataDxfId="388">
      <calculatedColumnFormula>_xlfn.LET(
_xlpm._isAssumption,$M18,
_xlpm._numberOfElementsRange,IF(_xlpm._isAssumption,Table24['# Elements],Table25['# Elements]),
_xlpm._sheetRow,$Z18,
IF($O18,AND($V18,$U18=$Q18),FALSE))</calculatedColumnFormula>
    </tableColumn>
    <tableColumn id="15" xr3:uid="{46AF7F47-D64C-4C70-BFA5-8558C00B8306}" name="Comment Content" dataDxfId="387">
      <calculatedColumnFormula array="1">IF($O18,
_xlfn.LET(
_xlpm._elementID,$R18,
_xlpm._isAssumption,$M18,
_xlpm._sheetRow,$Z18,
_xlpm._sheetName,$AA18,
_xlpm._elementRow,$AB18,
_xlpm._resultColumnLetter,IF(_xlpm._isAssumption,INDEX(Table24[Comment Column],_xlpm._sheetRow),INDEX(Table25[Comment Column],_xlpm._sheetRow)),
INDEX(INDIRECT("'"&amp;_xlpm._sheetName&amp;"'!"&amp;_xlpm._resultColumnLetter&amp;":"&amp;_xlpm._resultColumnLetter),_xlpm._elementRow)),
"")</calculatedColumnFormula>
    </tableColumn>
    <tableColumn id="16" xr3:uid="{6B805C75-7948-4DA7-BEE2-307217C24F57}" name="ID for Additional Element" dataDxfId="386">
      <calculatedColumnFormula array="1">IF($O18,
_xlfn.LET(
_xlpm._elementID,$R18,
_xlpm._isAssumption,$M18,
_xlpm._sheetRow,$Z18,
_xlpm._sheetName,$AA18,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calculatedColumnFormula>
    </tableColumn>
    <tableColumn id="21" xr3:uid="{534012BB-7031-4283-8DAB-4363E4E1C152}" name="Row in Lookup Tables" dataDxfId="385">
      <calculatedColumnFormula>IF($O18=TRUE,
_xlfn.LET(
_xlpm._isAssumption,$M18,
_xlpm._searchRange,IF(_xlpm._isAssumption,Table24[Task Sheet Shadow ID],Table25[Task Sheet Shadow ID]),
MATCH($P18,_xlpm._searchRange,0)),
"")</calculatedColumnFormula>
    </tableColumn>
    <tableColumn id="22" xr3:uid="{6A6FCF54-EAD9-45C8-A6EF-932BBEF829D2}" name="Sheet Name" dataDxfId="384">
      <calculatedColumnFormula array="1">IF($O18,
_xlfn.LET(
_xlpm._isAssumption,$M18,
_xlpm._sheetRow,$Z18,
IF(_xlpm._isAssumption,INDEX(Table24[Sheet Name],_xlpm._sheetRow),INDEX(Table25[Sheet Name],_xlpm._sheetRow))),
"")</calculatedColumnFormula>
    </tableColumn>
    <tableColumn id="20" xr3:uid="{65D5713C-DB88-47AA-BEBE-DFB6A8EA99A9}" name="Row Within Sheet" dataDxfId="383">
      <calculatedColumnFormula array="1">IF($O18,
_xlfn.LET(
_xlpm._elementID,$R18,
_xlpm._isAssumption,$M18,
_xlpm._sheetRow,$Z18,
_xlpm._sheetName,$AA18,
_xlpm._elementIDColumnLetter,IF(_xlpm._isAssumption,INDEX(Table24[Element ID Column],_xlpm._sheetRow),INDEX(Table25[Element ID Column],_xlpm._sheetRow)),
MATCH(_xlpm._elementID,INDIRECT("'"&amp;_xlpm._sheetName&amp;"'!"&amp;_xlpm._elementIDColumnLetter&amp;":"&amp;_xlpm._elementIDColumnLetter),0)),
"")</calculatedColumnFormula>
    </tableColumn>
    <tableColumn id="19" xr3:uid="{5DF15F45-667B-46FE-AA46-EDF2013CA7A4}" name="Link Text Implicit" dataDxfId="382">
      <calculatedColumnFormula array="1">IF($A18="","",_xlfn.LET(
_xlpm._isAssumption,$M18,
_xlpm._isAdditionalElement,$O18,
_xlpm._sheetRow,$Z18,
_xlpm._sheetName,$AA18,
_xlpm._columnLetter,INDEX(IF(_xlpm._isAdditionalElement,Table24[Comment Column],Table25[Comment Column]),_xlpm._sheetRow),
_xlpm._sheetReference,IF(_xlpm._isAssumption,IF(_xlpm._isAdditionalElement,
CELL("address",INDEX(INDIRECT("'"&amp;_xlpm._sheetName&amp;"'!"&amp;_xlpm._columnLetter&amp;":"&amp;_xlpm._columnLetter),$AB18)),
CELL("address",INDEX(Assumptions!$A:$A,MATCH($A18,Assumptions!$A:$A,0),1))),
IF(_xlpm._isAdditionalElement,
CELL("address",INDEX(INDIRECT("'"&amp;_xlpm._sheetName&amp;"'!"&amp;_xlpm._columnLetter&amp;":"&amp;_xlpm._columnLetter),$AB18)),
CELL("address",INDEX(Countermeasures!$A:$A,MATCH($A18,Countermeasures!$A:$A,0),1)))),
_xlpm._start,FIND("]",_xlpm._sheetReference),
"'"&amp;SUBSTITUTE(SUBSTITUTE(RIGHT(_xlpm._sheetReference,LEN(_xlpm._sheetReference)-_xlpm._start),"'",""),"!","'!")))</calculatedColumnFormula>
    </tableColumn>
    <tableColumn id="23" xr3:uid="{4B7E02AF-E6DA-4C1F-BE6A-FFB9088919C7}" name="Comments of Related Elements" dataDxfId="381">
      <calculatedColumnFormula array="1">IF(NOT($O18),
_xlfn.LET(_xlpm._value,IF($A18="","",IF($M18,SimpleLookup($A18,Assumptions!$A:$AG),SimpleLookup($A18,Countermeasures!$A:$AJ))),
IF(_xlpm._value="","",_xlpm._value)),
"")</calculatedColumnFormula>
    </tableColumn>
    <tableColumn id="26" xr3:uid="{F269089C-5F70-4BC1-9AC0-11844A2D7C69}" name="Assigned to Attack Steps" dataDxfId="380">
      <calculatedColumnFormula array="1">LookupNames(InverseLookup($A18,Mitigation!$AD$2,Mitigation!$A$2,1,Helper!$B$5,","),'Attack Steps'!$A:$B)</calculatedColumnFormula>
    </tableColumn>
    <tableColumn id="27" xr3:uid="{10E7C7C2-DF0D-48B0-9E9E-23CE81B6B19F}" name="Defined in the Context of Element" dataDxfId="379">
      <calculatedColumnFormula array="1">IF($O18,
_xlfn.LET(
_xlpm._in,$A18,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calculatedColumnFormula>
    </tableColumn>
    <tableColumn id="28" xr3:uid="{7FFB1342-3373-4045-B704-1EF6100B0B5E}" name="Dependant Elements" dataDxfId="378">
      <calculatedColumnFormula array="1">_xlfn.LET(
_xlpm._countermeasures,InverseLookup($A18,Countermeasures!$AC$2,Countermeasures!$A$2,1,Helper!$B$4,","),
LookupNames(_xlpm._countermeasures,Countermeasures!$A:$B))</calculatedColumnFormula>
    </tableColumn>
    <tableColumn id="25" xr3:uid="{2E170806-75A5-4B13-B71F-09286CC59C38}" name="Link Text Explicit" dataDxfId="377">
      <calculatedColumnFormula array="1">IF($E18="","",_xlfn.LET(
_xlpm._id,$E18,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calculatedColumnFormula>
    </tableColumn>
    <tableColumn id="30" xr3:uid="{9B329A66-FB3E-4E93-856E-B9F5E66B9033}" name="Text for Default Elements" dataDxfId="376">
      <calculatedColumnFormula array="1">IF(OR($A18="",$O18),"",_xlfn.LET(
_xlpm._answers,IF($M18,SimpleLookup($A18,Assumptions!$A:$F),SimpleLookup($A18,Countermeasures!$A:$D)),
IF(_xlpm._answers="*",IF($M18,SimpleLookup($A18,Assumptions!$A:$C),SimpleLookup($A18,Countermeasures!$A:$C)),"")))</calculatedColumnFormula>
    </tableColumn>
    <tableColumn id="31" xr3:uid="{BA05F0FC-8ACD-49B9-A201-7AB170F506C8}" name="Additional Element - Mapping to Annex I 1.3 Search (currently not used)" dataDxfId="375">
      <calculatedColumnFormula array="1">IF(NOT($O18),"",_xlfn.LET(
_xlpm._mappedInMitigation,IFERROR(VLOOKUP($Y18,'Attack Steps'!$A:$P,COLUMNS('Attack Steps'!$A:$P),FALSE),""),
CreateSearchString(_xlpm._mappedInMitigation)))</calculatedColumnFormula>
    </tableColumn>
    <tableColumn id="34" xr3:uid="{1891CFAE-8FF9-42C8-8358-55FC50477821}" name="Is Last?" dataDxfId="374">
      <calculatedColumnFormula>ROW()-ROW($AK$17)=Helper!$B$15</calculatedColumnFormula>
    </tableColumn>
    <tableColumn id="35" xr3:uid="{A14EC6E9-5BBD-4781-B961-CA3E448624D6}" name="QI Text Table Too Small" dataDxfId="373">
      <calculatedColumnFormula>IF(IFERROR(MATCH(TRUE,$AK:$AK,0)&gt;0,FALSE),"",IF(OFFSET($AK18,1,0)="","Please enlarge the table!",""))</calculatedColumnFormula>
    </tableColumn>
    <tableColumn id="36" xr3:uid="{F9123B28-0CA7-403B-8985-21AC44178F34}" name="QI ID Table Too Small" dataDxfId="372">
      <calculatedColumnFormula array="1">CreateID($AM$17,$AL18&lt;&gt;"")</calculatedColumnFormula>
    </tableColumn>
    <tableColumn id="38" xr3:uid="{50D48DF3-9FB2-413F-A4F4-B37FC16D68A1}" name="List of Risk Levels Without This Regular Mitigation" dataDxfId="371">
      <calculatedColumnFormula array="1">IF($O18,"",
_xlfn.LET(
_xlpm._this,SanitizeInput($A18)&amp;AT18,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calculatedColumnFormula>
    </tableColumn>
    <tableColumn id="41" xr3:uid="{A3F8F2FC-3DA1-4BDB-BFF9-9F7A3EABD720}" name="Highest Risks Without Regular Mitigation" dataDxfId="370">
      <calculatedColumnFormula array="1">IF($O18,"",_xlfn.LET(
_xlpm._listOfRisksAndLevels,SanitizeInput($AN18),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_xlpm._shortenedList,IF($H18="",_xlpm._risksWithMaxValue,
  IF(LEN(_xlpm._risksWithMaxValue)-LEN(SUBSTITUTE(_xlpm._risksWithMaxValue,",",""))&lt;=$H18,_xlpm._risksWithMaxValue,
    LEFT(_xlpm._risksWithMaxValue,FIND(CHAR(1),SUBSTITUTE(_xlpm._risksWithMaxValue,",",CHAR(1),$H18))))),
IF(_xlpm._maxRiskValue="","",
  _xlpm._lineMainSeparator&amp;
  INDEX(Definitions!$AE:$AE,MATCH(_xlpm._maxRiskValue,Definitions!$AF:$AF,0))&amp;CHAR(10)&amp;
  _xlpm._lineMainSeparator&amp;
  RemoveDelimiter(GetValues(_xlpm._shortenedList,Risks!$A:$B," ",CHAR(10)&amp;_xlpm._lineMainSeparator,TRUE),CHAR(10)&amp;_xlpm._lineMainSeparator))))</calculatedColumnFormula>
    </tableColumn>
    <tableColumn id="42" xr3:uid="{C04CD682-53FB-450E-9FAE-281D1D9A5763}" name="Highest Risks With Regular Mitigation" dataDxfId="369">
      <calculatedColumnFormula array="1">IF($O18,"",_xlfn.LET(
_xlpm._lineMainSeparator,REPT(_xlfn.UNICHAR(9552),63)&amp;CHAR(10),
_xlpm._affectedRisks,InverseLookupList(SanitizeInput($A18)&amp;$AT18,Risks!$AX$2,Risks!$A$2,Helper!$B$1,","),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_xlpm._shortenedList,IF($H18="",_xlpm._risksWithMaxValue,
  IF(LEN(_xlpm._risksWithMaxValue)-LEN(SUBSTITUTE(_xlpm._risksWithMaxValue,",",""))&lt;=$H18,_xlpm._risksWithMaxValue,
    LEFT(_xlpm._risksWithMaxValue,FIND(CHAR(1),SUBSTITUTE(_xlpm._risksWithMaxValue,",",CHAR(1),$H18))))),
IF(_xlpm._maxRiskValue="","",
  _xlpm._lineMainSeparator&amp;
  INDEX(Definitions!$AE:$AE,MATCH(_xlpm._maxRiskValue,Definitions!$AF:$AF,0))&amp;CHAR(10)&amp;
  _xlpm._lineMainSeparator&amp;
  RemoveDelimiter(GetValues(_xlpm._shortenedList,Risks!$A:$B," ",CHAR(10)&amp;_xlpm._lineMainSeparator,TRUE),CHAR(10)&amp;_xlpm._lineMainSeparator))))</calculatedColumnFormula>
    </tableColumn>
    <tableColumn id="43" xr3:uid="{B2D7B8E7-B47F-41B5-862F-0564A8B86B47}" name="List of Risk Levels Without This Inline Mitigation" dataDxfId="368">
      <calculatedColumnFormula array="1">IF(NOT($O18),"",
_xlfn.LET(
_xlpm._potentialASID,$Y18,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_xlpm._commentsFiltered,SUBSTITUTE(GetValues(_xlpm._attackSteps,Mitigation!$A:$O,"","",FALSE),$X18,""),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calculatedColumnFormula>
    </tableColumn>
    <tableColumn id="44" xr3:uid="{A0A1B33F-D224-44DD-8ECB-4B748851D24A}" name="Highest Risks Without Inline Mitigation" dataDxfId="367">
      <calculatedColumnFormula array="1">IF(NOT($O18),"",_xlfn.LET(
_xlpm._listOfRisksAndLevels,SanitizeInput($AQ18),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_xlpm._shortenedList,IF($H18="",_xlpm._risksWithMaxValue,
  IF(LEN(_xlpm._risksWithMaxValue)-LEN(SUBSTITUTE(_xlpm._risksWithMaxValue,",",""))&lt;=$H18,_xlpm._risksWithMaxValue,
    LEFT(_xlpm._risksWithMaxValue,FIND(CHAR(1),SUBSTITUTE(_xlpm._risksWithMaxValue,",",CHAR(1),$H18))))),
IF(_xlpm._maxRiskValue="","",
  _xlpm._lineMainSeparator&amp;
  INDEX(Definitions!$AE:$AE,MATCH(_xlpm._maxRiskValue,Definitions!$AF:$AF,0))&amp;CHAR(10)&amp;
  _xlpm._lineMainSeparator&amp;
  RemoveDelimiter(GetValues(_xlpm._shortenedList,Risks!$A:$B," ",CHAR(10)&amp;_xlpm._lineMainSeparator,TRUE),CHAR(10)&amp;_xlpm._lineMainSeparator))))</calculatedColumnFormula>
    </tableColumn>
    <tableColumn id="45" xr3:uid="{783195CF-65A4-4E77-9EDF-50EB4FAD8D84}" name="Highest Risks With Inline Mitigation" dataDxfId="366">
      <calculatedColumnFormula array="1">IF(NOT($O18),"",
_xlfn.LET(
_xlpm._lineMainSeparator,REPT(_xlfn.UNICHAR(9552),63)&amp;CHAR(10),
_xlpm._potentialASID,$Y18,
_xlpm._risk,IFERROR(SimpleLookup(_xlpm._potentialASID,Mitigation!$A:$N),""),
_xlpm._attackPaths,IFERROR(SimpleLookup(_xlpm._potentialASID,Mitigation!$A:$M),""),
IF(_xlpm._risk="","",
_xlpm._lineMainSeparator&amp;
_xlpm._risk&amp;CHAR(10)&amp;
_xlpm._lineMainSeparator&amp;
_xlpm._attackPaths)))</calculatedColumnFormula>
    </tableColumn>
    <tableColumn id="46" xr3:uid="{10711D65-CF08-4923-AAF1-17AFDBEF0B8E}" name="Is Dependency Of" dataDxfId="365">
      <calculatedColumnFormula array="1">InverseLookup($A18,Countermeasures!$AA$2,Countermeasures!$A$2,1,Helper!$B$4,",")</calculatedColumnFormula>
    </tableColumn>
  </tableColumns>
  <tableStyleInfo name="DarkCustom"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18B8116-DFCB-4C79-97B3-4212039E7E3A}" name="Table24" displayName="Table24" ref="L2:T7" totalsRowShown="0" headerRowDxfId="364" dataDxfId="363">
  <autoFilter ref="L2:T7" xr:uid="{C18B8116-DFCB-4C79-97B3-4212039E7E3A}"/>
  <tableColumns count="9">
    <tableColumn id="1" xr3:uid="{4B792EA9-40FD-4C95-B543-CE730C0DB3E2}" name="Sheet Name" dataDxfId="362">
      <calculatedColumnFormula>IF(B3="","",_xlfn.LET(
_xlpm._in,B3,
_xlpm._start,FIND("]",_xlpm._in)+1,
SUBSTITUTE(MID(_xlpm._in,_xlpm._start,FIND("!",_xlpm._in)-_xlpm._start),"'","")))</calculatedColumnFormula>
    </tableColumn>
    <tableColumn id="2" xr3:uid="{359C19C3-94AB-4BAE-B21A-7514F2A6F70C}" name="Comment Column" dataDxfId="361">
      <calculatedColumnFormula>IF($L3="","",_xlfn.LET(
_xlpm._in,B3,
_xlpm._start,FIND("$",_xlpm._in)+1,
MID(_xlpm._in,_xlpm._start,FIND("$",SUBSTITUTE(_xlpm._in,"$","§",1))-_xlpm._start)))</calculatedColumnFormula>
    </tableColumn>
    <tableColumn id="3" xr3:uid="{03EB1276-AD4A-46D0-9F70-CA79E8054823}" name="Element ID Column" dataDxfId="360">
      <calculatedColumnFormula>IF($L3="","",_xlfn.LET(
_xlpm._in,C3,
_xlpm._start,FIND("$",_xlpm._in)+1,
MID(_xlpm._in,_xlpm._start,FIND("$",SUBSTITUTE(_xlpm._in,"$","§",1))-_xlpm._start)))</calculatedColumnFormula>
    </tableColumn>
    <tableColumn id="4" xr3:uid="{1BFD18E5-582D-487C-9214-C935BD8E44F9}" name="Number of Comments with Elements" dataDxfId="359">
      <calculatedColumnFormula>IF($L3="","",MAX(INDIRECT("'"&amp;$L3&amp;"'!"&amp;$N3&amp;":"&amp;$N3)))</calculatedColumnFormula>
    </tableColumn>
    <tableColumn id="7" xr3:uid="{3E8867BB-9864-4A39-9DBD-DB323236A31D}" name="Number of Elements Column" dataDxfId="358">
      <calculatedColumnFormula>IF($L3="","",_xlfn.LET(
_xlpm._in,D3,
_xlpm._start,FIND("$",_xlpm._in)+1,
MID(_xlpm._in,_xlpm._start,FIND("$",SUBSTITUTE(_xlpm._in,"$","§",1))-_xlpm._start)))</calculatedColumnFormula>
    </tableColumn>
    <tableColumn id="8" xr3:uid="{2ACBE34D-D1CD-4D59-AEC5-52CAE4E3A629}" name="# Elements" dataDxfId="357">
      <calculatedColumnFormula>IF($L3="","",SUM(INDIRECT("'"&amp;$L3&amp;"'!"&amp;$P3&amp;":"&amp;$P3)))</calculatedColumnFormula>
    </tableColumn>
    <tableColumn id="5" xr3:uid="{878CC9D5-EBD8-4E2F-B092-58E4D2CD6E40}" name="Task Sheet Shadow ID" dataDxfId="356">
      <calculatedColumnFormula array="1">CreateID($R$2,AND($Q3&lt;&gt;0,$Q3&lt;&gt;""))</calculatedColumnFormula>
    </tableColumn>
    <tableColumn id="6" xr3:uid="{A8E4FEA8-1DAD-4D25-9389-7CC0D3E65E06}" name="Header Row" dataDxfId="355">
      <calculatedColumnFormula>IF($B3="","",RIGHT($B3,LEN($B3)-FIND("$",SUBSTITUTE($B3,"$","§",1))))</calculatedColumnFormula>
    </tableColumn>
    <tableColumn id="9" xr3:uid="{D4392BF7-1A53-4721-8B8A-EF858FA06731}" name="Sheet ID Column" dataDxfId="354">
      <calculatedColumnFormula>IF($L3="","",_xlfn.LET(
_xlpm._in,F3,
_xlpm._start,FIND("$",_xlpm._in)+1,
MID(_xlpm._in,_xlpm._start,FIND("$",SUBSTITUTE(_xlpm._in,"$","§",1))-_xlpm._start)))</calculatedColumnFormula>
    </tableColumn>
  </tableColumns>
  <tableStyleInfo name="DarkCustom"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83228E2-7077-48F0-81D5-644013C0D48F}" name="Table25" displayName="Table25" ref="L9:T14" totalsRowShown="0" headerRowDxfId="353" dataDxfId="352">
  <autoFilter ref="L9:T14" xr:uid="{983228E2-7077-48F0-81D5-644013C0D48F}"/>
  <tableColumns count="9">
    <tableColumn id="1" xr3:uid="{4B432976-635E-4B00-A358-5C0A44116765}" name="Sheet Name" dataDxfId="351">
      <calculatedColumnFormula>IF(B10="","",_xlfn.LET(
_xlpm._in,B10,
_xlpm._start,FIND("]",_xlpm._in)+1,
SUBSTITUTE(MID(_xlpm._in,_xlpm._start,FIND("!",_xlpm._in)-_xlpm._start),"'","")))</calculatedColumnFormula>
    </tableColumn>
    <tableColumn id="2" xr3:uid="{13CEBF34-53E5-4BA4-BA72-2B44929D110A}" name="Comment Column" dataDxfId="350">
      <calculatedColumnFormula>IF($L10="","",_xlfn.LET(
_xlpm._in,B10,
_xlpm._start,FIND("$",_xlpm._in)+1,
MID(_xlpm._in,_xlpm._start,FIND("$",SUBSTITUTE(_xlpm._in,"$","§",1))-_xlpm._start)))</calculatedColumnFormula>
    </tableColumn>
    <tableColumn id="3" xr3:uid="{4035C742-8887-4F13-827F-8AB31E089090}" name="Element ID Column" dataDxfId="349">
      <calculatedColumnFormula>IF($L10="","",_xlfn.LET(
_xlpm._in,C10,
_xlpm._start,FIND("$",_xlpm._in)+1,
MID(_xlpm._in,_xlpm._start,FIND("$",SUBSTITUTE(_xlpm._in,"$","§",1))-_xlpm._start)))</calculatedColumnFormula>
    </tableColumn>
    <tableColumn id="4" xr3:uid="{87C06AAA-AA68-487B-9D4C-E08AC8FB6C6A}" name="Number of Comments with Elements" dataDxfId="348">
      <calculatedColumnFormula>IF($L10="","",MAX(INDIRECT("'"&amp;$L10&amp;"'!"&amp;$N10&amp;":"&amp;$N10)))</calculatedColumnFormula>
    </tableColumn>
    <tableColumn id="5" xr3:uid="{B710DAC6-76E6-46C6-B1B4-0E643E10B85E}" name="Number of Elements Column" dataDxfId="347">
      <calculatedColumnFormula>IF($L10="","",_xlfn.LET(
_xlpm._in,D10,
_xlpm._start,FIND("$",_xlpm._in)+1,
MID(_xlpm._in,_xlpm._start,FIND("$",SUBSTITUTE(_xlpm._in,"$","§",1))-_xlpm._start)))</calculatedColumnFormula>
    </tableColumn>
    <tableColumn id="6" xr3:uid="{DAFE4950-B547-4E69-8108-4C12FCD873A3}" name="# Elements" dataDxfId="346">
      <calculatedColumnFormula>IF($L10="","",SUM(INDIRECT("'"&amp;$L10&amp;"'!"&amp;$P10&amp;":"&amp;$P10)))</calculatedColumnFormula>
    </tableColumn>
    <tableColumn id="7" xr3:uid="{F4F71BAA-AEEA-4BFD-92AA-497C0DEDC74F}" name="Task Sheet Shadow ID" dataDxfId="345">
      <calculatedColumnFormula array="1">CreateID($R$9,AND($Q10&lt;&gt;0,$Q10&lt;&gt;""))</calculatedColumnFormula>
    </tableColumn>
    <tableColumn id="8" xr3:uid="{A96F48E5-437A-4DE8-BB44-FFB928A39707}" name="Header Row" dataDxfId="344">
      <calculatedColumnFormula>IF($B10="","",RIGHT($B10,LEN($B10)-FIND("$",SUBSTITUTE($B10,"$","§",1))))</calculatedColumnFormula>
    </tableColumn>
    <tableColumn id="9" xr3:uid="{4F46FEB7-DC72-4D75-87CC-324B71252806}" name="Sheet ID Column" dataDxfId="343">
      <calculatedColumnFormula>IF($L10="","",_xlfn.LET(
_xlpm._in,F10,
_xlpm._start,FIND("$",_xlpm._in)+1,
MID(_xlpm._in,_xlpm._start,FIND("$",SUBSTITUTE(_xlpm._in,"$","§",1))-_xlpm._start)))</calculatedColumnFormula>
    </tableColumn>
  </tableColumns>
  <tableStyleInfo name="DarkCustom"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332443C-90AC-48AF-860A-BFA2A798C195}" name="Table16" displayName="Table16" ref="A2:H15" totalsRowShown="0" headerRowDxfId="342" dataDxfId="341">
  <autoFilter ref="A2:H15" xr:uid="{A332443C-90AC-48AF-860A-BFA2A798C195}"/>
  <tableColumns count="8">
    <tableColumn id="1" xr3:uid="{81A831B3-E67E-41E4-BEF1-A290078D23EA}" name="Letter" dataDxfId="340"/>
    <tableColumn id="3" xr3:uid="{0AE8F6A0-D2E9-4168-BC89-E96EC030A4C8}" name="Products with digital elements shall…" dataDxfId="339"/>
    <tableColumn id="2" xr3:uid="{FCC00931-303C-4932-81E6-50CE752B2EB6}" name="Implemented by" dataDxfId="338">
      <calculatedColumnFormula array="1">_xlfn.LET(
_xlpm._countermeasures,InverseLookup($A3,Countermeasures!$AF$2,Countermeasures!$A$2,1,Helper!$B$4,","),
_xlpm._assumptions,InverseLookup($A3,Assumptions!$AD$2,Assumptions!$A$2,1,Helper!$B$6,","),
_xlpm._indirectCountermeasures,InverseLookup($A3,Countermeasures!$AM$2,Countermeasures!$A$2,1,Helper!$B$4,","),
_xlpm._indirectAssumptions,InverseLookup($A3,Assumptions!$AJ$2,Assumptions!$A$2,1,Helper!$B$6,","),
_xlpm._sortedCountermeasures,SortList(_xlpm._countermeasures&amp;_xlpm._indirectCountermeasures,Countermeasures!$A:$U,Helper!$B$4,"",",",TRUE),
_xlpm._sortedAssumptions,SortList(_xlpm._assumptions&amp;_xlpm._indirectAssumptions,Assumptions!$A:$U,Helper!$B$6,"",",",TRUE),
SUBSTITUTE(RemoveDelimiter(_xlpm._sortedCountermeasures&amp;_xlpm._sortedAssumptions,","),",",", "))</calculatedColumnFormula>
    </tableColumn>
    <tableColumn id="4" xr3:uid="{7AE1A964-5BAB-4F02-8260-69703579FFA0}" name="Countermeasure / Assumption Names" dataDxfId="337">
      <calculatedColumnFormula array="1">_xlfn.LET(
_xlpm._countermeasures,RemoveDelimiter(GetValuesIgnoreErrors(SanitizeInput($C3),Countermeasures!$A:$B," ",","&amp;CHAR(10),TRUE),","&amp;CHAR(10)),
_xlpm._assumptions,RemoveDelimiter(GetValuesIgnoreErrors(SanitizeInput($C3),Assumptions!$A:$AE," ",","&amp;CHAR(10),TRUE),","&amp;CHAR(10)),
_xlpm._delimiter,CHAR(10)&amp;REPT(CHAR(150),65)&amp;CHAR(10),
_xlpm._countermeasures&amp;IF(OR(_xlpm._countermeasures="",_xlpm._assumptions=""),"",_xlpm._delimiter)&amp;_xlpm._assumptions)</calculatedColumnFormula>
    </tableColumn>
    <tableColumn id="5" xr3:uid="{7E7E1539-B7C2-4323-B9DB-B445F2074AB6}" name="Explicit Risk Treatment" dataDxfId="336">
      <calculatedColumnFormula array="1">RemoveDelimiter(InverseLookup($A3,'Risk Treatment'!$AF$4,'Risk Treatment'!$AG$4,1,10000,","&amp;CHAR(10)),","&amp;CHAR(10))</calculatedColumnFormula>
    </tableColumn>
    <tableColumn id="6" xr3:uid="{786300E3-EC4B-4B69-A3B5-D86606024279}" name="Comment" dataDxfId="335"/>
    <tableColumn id="7" xr3:uid="{F74077DC-8CFC-47DD-B97C-B410F9858021}" name="Shadow ID" dataDxfId="334">
      <calculatedColumnFormula array="1">CreateID($G$2,$A3&lt;&gt;"")</calculatedColumnFormula>
    </tableColumn>
    <tableColumn id="8" xr3:uid="{159F03C0-F36A-490D-9FD3-CB1F3B9F4D0E}" name="Task ID" dataDxfId="333">
      <calculatedColumnFormula array="1">CreateTaskID($H$2,$H:$H,Tasks!$B$17,$F3)</calculatedColumnFormula>
    </tableColumn>
  </tableColumns>
  <tableStyleInfo name="DarkCustom"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3666D3A-95F2-412A-A1B8-5399A73D9B1B}" name="Table1413" displayName="Table1413" ref="B5:AF6" totalsRowShown="0" headerRowDxfId="332" dataDxfId="331">
  <autoFilter ref="B5:AF6" xr:uid="{25FAF794-7F53-49AE-A371-226F75A2D420}"/>
  <tableColumns count="31">
    <tableColumn id="1" xr3:uid="{795716F9-2863-415E-9B48-4EB4A476E0C1}" name="R ID" dataDxfId="330">
      <calculatedColumnFormula>OFFSET(Risks!$A$2,ROW()-ROW($B$5),0)</calculatedColumnFormula>
    </tableColumn>
    <tableColumn id="2" xr3:uid="{20FE046F-66CA-4EA0-A9C7-7E209A4258C8}" name="Attack Path" dataDxfId="329">
      <calculatedColumnFormula array="1">IF($B6="","",IFERROR(SimpleLookup($B6,'Risk Treatment'!$C:D),"Please ensure that all risks are covered in the "&amp;Helper!$G$14&amp;" sheet. Currently, these risks are not covered: "&amp;'Risk Treatment'!$D$2&amp;"."))</calculatedColumnFormula>
    </tableColumn>
    <tableColumn id="3" xr3:uid="{EADACF54-96BA-4EB4-BE98-315889A48725}" name="Damage Scenarios" dataDxfId="328">
      <calculatedColumnFormula array="1">IF($B6="","",IFERROR(SimpleLookup($B6,'Risk Treatment'!$C:K),"Please ensure that all risks are covered in the "&amp;Helper!$G$14&amp;" sheet. Currently, these risks are not covered: "&amp;'Risk Treatment'!$D$2&amp;"."))</calculatedColumnFormula>
    </tableColumn>
    <tableColumn id="4" xr3:uid="{DBD11729-2751-4660-841F-5598C81103E8}" name="Damage Level" dataDxfId="327">
      <calculatedColumnFormula array="1">IF($B6="","",IFERROR(SimpleLookup($B6,'Risk Treatment'!$C:L),"Please ensure that all risks are covered in the "&amp;Helper!$G$14&amp;" sheet. Currently, these risks are not covered: "&amp;'Risk Treatment'!$D$2&amp;"."))</calculatedColumnFormula>
    </tableColumn>
    <tableColumn id="29" xr3:uid="{64258BB7-3B13-4A1E-8CA6-71AAF8B60FE3}" name="Factor Explanation " dataDxfId="326">
      <calculatedColumnFormula array="1">IF($B6="","",IFERROR(SimpleLookup($B6,'Risk Treatment'!$C:M),"Please ensure that all risks are covered in the "&amp;Helper!$G$14&amp;" sheet. Currently, these risks are not covered: "&amp;'Risk Treatment'!$D$2&amp;"."))</calculatedColumnFormula>
    </tableColumn>
    <tableColumn id="5" xr3:uid="{E6CEA315-FAC9-4127-837D-CF0FCBA97A50}" name="RAP" dataDxfId="325">
      <calculatedColumnFormula array="1">IF($B6="","",IFERROR(SimpleLookup($B6,'Risk Treatment'!$C:N),"Please ensure that all risks are covered in the "&amp;Helper!$G$14&amp;" sheet. Currently, these risks are not covered: "&amp;'Risk Treatment'!$D$2&amp;"."))</calculatedColumnFormula>
    </tableColumn>
    <tableColumn id="46" xr3:uid="{6AA5E5F7-81D3-4E4E-992D-0C69756A4A2B}" name="Planned Countermeasures and Assumptions" dataDxfId="324">
      <calculatedColumnFormula array="1">IF($B6="","",IFERROR(SimpleLookup($B6,'Risk Treatment'!$C:J),"Please ensure that all risks are covered in the "&amp;Helper!$G$14&amp;" sheet. Currently, these risks are not covered: "&amp;'Risk Treatment'!$D$2&amp;"."))</calculatedColumnFormula>
    </tableColumn>
    <tableColumn id="6" xr3:uid="{9E4F4FCA-FD3E-442A-A462-58BF2889D483}" name="Risk Level_x000a_(Planned)" dataDxfId="323">
      <calculatedColumnFormula array="1">IF($B6="","",IFERROR(SimpleLookup($B6,'Risk Treatment'!$C:O),"Please ensure that all risks are covered in the "&amp;Helper!$G$14&amp;" sheet. Currently, these risks are not covered: "&amp;'Risk Treatment'!$D$2&amp;"."))</calculatedColumnFormula>
    </tableColumn>
    <tableColumn id="15" xr3:uid="{42F93DAF-897E-4647-A4B3-E8122FA95D8D}" name="Confirmed Countermeasures and Assumptions" dataDxfId="322">
      <calculatedColumnFormula array="1">_xlfn.LET(
_xlpm._assignedMitigations,IF($B6="","",IFERROR(RemoveDelimiter(GetValuesWithFallback($Z6,Countermeasures!$A:$B,Assumptions!$A:$B," ",","&amp;CHAR(10),TRUE),","&amp;CHAR(10)),"Error: Unknown risk ID "&amp;$B6)),
_xlpm._inlineMitigations,$AE6,
_xlpm._assignedMitigations&amp;
IF(OR(_xlpm._assignedMitigations="",_xlpm._inlineMitigations=""),"",","&amp;CHAR(10))&amp;
_xlpm._inlineMitigations)</calculatedColumnFormula>
    </tableColumn>
    <tableColumn id="18" xr3:uid="{37BAB6CC-62E6-45E9-8065-24C045AA16F1}" name="Damage Scenarios " dataDxfId="321">
      <calculatedColumnFormula array="1">IF($AC6=-1,"",RemoveDelimiter(GetValues(INDEX(Risks!AJ:AJ,$AC6),'DS Overview'!$A:$B," ",","&amp;CHAR(10),TRUE),","&amp;CHAR(10)))</calculatedColumnFormula>
    </tableColumn>
    <tableColumn id="12" xr3:uid="{7A7FCC37-2AE3-4ACD-9F6F-57B186899DBC}" name="Damage Level " dataDxfId="320">
      <calculatedColumnFormula array="1">IF($AC6=-1,"",INDEX(Risks!AL:AL,$AC6))</calculatedColumnFormula>
    </tableColumn>
    <tableColumn id="28" xr3:uid="{A7C3B488-6A93-42DC-A918-41FCFDCCE571}" name="Factor Explanation" dataDxfId="319">
      <calculatedColumnFormula array="1">_xlfn.LET(
_xlpm._calculatedRAP,IFERROR(SimpleLookup($B6,Risks!$A:$AC),""),
_xlpm._inlineRAP,IFERROR(SimpleLookup($B6,Risks!$A:$AD),""),
_xlpm._calculatedValue,IFERROR(MATCH(_xlpm._calculatedRAP,Definitions!$W:$W,0),0),
_xlpm._inlineValue,IFERROR(MATCH(_xlpm._inlineRAP,Definitions!$W:$W,0),0),
_xlpm._mitigationSheetAddress,CELL("address",Mitigation!$A$2),
_xlpm._sheetNameStart,FIND("]",_xlpm._mitigationSheetAddress),
_xlpm._sheetNameEnd,FIND("!",_xlpm._mitigationSheetAddress),
_xlpm._mitigationSheetName,SUBSTITUTE(MID(_xlpm._mitigationSheetAddress,_xlpm._sheetNameStart+1,_xlpm._sheetNameEnd-_xlpm._sheetNameStart-1),"'",""),
IF(_xlpm._calculatedValue+_xlpm._inlineValue=0,"",
IF(_xlpm._calculatedValue&gt;=_xlpm._inlineValue,$AD6,
_xlpm._mitigationSheetName&amp;" sheet "&amp;_xlfn.UNICHAR(8702)&amp;" Comment column:"&amp;CHAR(10)&amp;$AE6)))</calculatedColumnFormula>
    </tableColumn>
    <tableColumn id="13" xr3:uid="{20FB0F0A-9B26-4957-BF04-CA7136919679}" name="RAP " dataDxfId="318">
      <calculatedColumnFormula array="1">IF($AC6=-1,"",INDEX(Risks!AP:AP,$AC6))</calculatedColumnFormula>
    </tableColumn>
    <tableColumn id="14" xr3:uid="{22F57FA3-D28A-42B6-B901-73CB09CEA1ED}" name="Remaining Risk Level " dataDxfId="317">
      <calculatedColumnFormula array="1">IF($AC6=-1,"",INDEX(Risks!AQ:AQ,$AC6))</calculatedColumnFormula>
    </tableColumn>
    <tableColumn id="21" xr3:uid="{3687041B-9435-424E-B40E-2CBD91DDF122}" name="Risk Treatment Proposal" dataDxfId="316">
      <calculatedColumnFormula>IF($C6="","",IF($AF6&lt;=Definitions!$AF$6,Definitions!$M$4,""))</calculatedColumnFormula>
    </tableColumn>
    <tableColumn id="20" xr3:uid="{208FEA1D-4DF1-4A56-B3C8-9691E1766808}" name="Manual Risk Treatment" dataDxfId="315"/>
    <tableColumn id="19" xr3:uid="{835F2F37-13F0-4D5E-86C3-73A7944CAF1C}" name="Risk Treatment Decision" dataDxfId="314">
      <calculatedColumnFormula>IF($Q6="",$P6,$Q6)</calculatedColumnFormula>
    </tableColumn>
    <tableColumn id="22" xr3:uid="{2ACE89B8-9FB4-4763-BFB6-2AE9AB84E9D0}" name="Risk Treatment Rationale / Explanation" dataDxfId="313"/>
    <tableColumn id="7" xr3:uid="{D2667FC5-E359-4215-B5BB-06329BDEE694}" name="Comment" dataDxfId="312"/>
    <tableColumn id="8" xr3:uid="{6EAA8E9D-E04D-4794-B043-979D4450371D}" name="Shadow ID" dataDxfId="311">
      <calculatedColumnFormula array="1">CreateID($U$5,B6&lt;&gt;"")</calculatedColumnFormula>
    </tableColumn>
    <tableColumn id="9" xr3:uid="{0D681C1E-0BEE-4126-B70B-84448BF470BB}" name="Task ID" dataDxfId="310">
      <calculatedColumnFormula array="1">CreateTaskID($V$5,$V:$V,Tasks!$B$17,$T6)</calculatedColumnFormula>
    </tableColumn>
    <tableColumn id="47" xr3:uid="{95A7040E-7A72-43D3-ABDC-4ECEE409FFAE}" name="Planned C&amp;A" dataDxfId="309">
      <calculatedColumnFormula array="1">IF($B6="","",SimpleLookup($B6,'Risk Treatment'!$C:$AW))</calculatedColumnFormula>
    </tableColumn>
    <tableColumn id="51" xr3:uid="{9BC31122-C207-41D8-8648-838EBEE4962C}" name="Planned Inline C&amp;A Full" dataDxfId="308">
      <calculatedColumnFormula array="1">IF($B6="","",_xlfn.LET(_xlpm._attackSteps,SimpleLookup($B6,'Risk Treatment'!$C:$Y),GetValues(_xlpm._attackSteps,Mitigation!$A:$AG,"",CHAR(1),FALSE)))</calculatedColumnFormula>
    </tableColumn>
    <tableColumn id="48" xr3:uid="{8F6DA137-AB10-4E21-AC53-43A0C8461DF5}" name="Planned Inline C&amp;A" dataDxfId="307">
      <calculatedColumnFormula array="1">_xlfn.LAMBDA(_xlpm._inlineMitigationString,_xlpm._delimiter,
IF(_xlpm._inlineMitigationString="","",
_xlfn.LET(
_xlpm._id,LEFT(_xlpm._inlineMitigationString,FIND(" ",_xlpm._inlineMitigationString)-1),
_xlpm._remainingString,RIGHT(_xlpm._inlineMitigationString,LEN(_xlpm._inlineMitigationString)-FIND(_xlpm._delimiter,_xlpm._inlineMitigationString)),
_xlpm._id&amp;","&amp;
ParseInlineMitigationString(_xlpm._remainingString,_xlpm._delimiter))))($X6,CHAR(1))</calculatedColumnFormula>
    </tableColumn>
    <tableColumn id="49" xr3:uid="{1E24C2D6-E30D-4B2F-B36F-A02034B8477F}" name="Confirmed C&amp;A" dataDxfId="306">
      <calculatedColumnFormula array="1">FilterElementsFromList($W6,Helper!$J$4,TRUE,",")</calculatedColumnFormula>
    </tableColumn>
    <tableColumn id="50" xr3:uid="{CE0CF2B2-486A-4B85-B050-F70C835055B1}" name="Confirmed Inline C&amp;A" dataDxfId="305">
      <calculatedColumnFormula array="1">FilterElementsFromList($Y6,Helper!$J$4,TRUE,",")</calculatedColumnFormula>
    </tableColumn>
    <tableColumn id="52" xr3:uid="{4998B1E4-9E75-4471-BE02-70A7EA8387AA}" name="Confirmed Inline C&amp;A Full" dataDxfId="304">
      <calculatedColumnFormula array="1">_xlfn.LAMBDA(_xlpm._inlineCandAString,_xlpm._confirmedCandAIDs,_xlpm._delimiterSearchString,_xlpm._delimiterResultString,
IF(_xlpm._inlineCandAString="","",_xlfn.LET(
_xlpm._delimiterPos,FIND(_xlpm._delimiterSearchString,_xlpm._inlineCandAString),
_xlpm._inlineCorA,LEFT(_xlpm._inlineCandAString,_xlpm._delimiterPos-1),
_xlpm._id,LEFT(_xlpm._inlineCorA,FIND(" ",_xlpm._inlineCorA)-1),
_xlpm._remainingString,RIGHT(_xlpm._inlineCandAString,LEN(_xlpm._inlineCandAString)-_xlpm._delimiterPos),
IF(IFERROR(FIND(","&amp;_xlpm._id&amp;",",_xlpm._confirmedCandAIDs)&gt;0,FALSE),"{"&amp;_xlpm._inlineCorA&amp;"}"&amp;_xlpm._delimiterResultString,"")&amp;
CreateConfirmedInlineMitigations(_xlpm._remainingString,_xlpm._confirmedCandAIDs,_xlpm._delimiterSearchString,_xlpm._delimiterResultString))))($X6,CreateSearchString($AA6),CHAR(1),","&amp;CHAR(10))</calculatedColumnFormula>
    </tableColumn>
    <tableColumn id="54" xr3:uid="{3FA456C9-7E5B-40FD-B3DE-F67B23C3F9D9}" name="Row" dataDxfId="303">
      <calculatedColumnFormula>IFERROR(MATCH($B6,Risks!$A:$A,0),-1)</calculatedColumnFormula>
    </tableColumn>
    <tableColumn id="55" xr3:uid="{DE15309B-5624-4836-A051-26C7FF56579F}" name="Remaining Risk Factor Explanation" dataDxfId="302">
      <calculatedColumnFormula array="1">IF($B6="","",_xlfn.LET(
_xlpm._list,SimpleLookup($B6,Risks!$A:$K)&amp;SimpleLookup($B6,Risks!$A:$AH),
_xlpm._numberOfFactors,MAX(Definitions!$AB:$AB),
OperateOnRange(
  'Attack Steps'!$H$2,
  TRUE,
  _xlpm._numberOfFactors,
  0,
  _xlfn.LAMBDA(_xlpm._factorClass,_xlfn.LET(
    _xlpm._maxForFactor,OperateOnList(
      _xlpm._list,
      _xlfn.LAMBDA(_xlpm._element,_xlfn.LET(
        _xlpm._factorNum,COLUMN(_xlpm._factorClass)-COLUMN('Attack Steps'!$H$2),
        _xlpm._factorName,IFERROR(VLOOKUP(_xlpm._element,'Attack Steps'!$A:$L,COLUMNS('Attack Steps'!$A:$H)+_xlpm._factorNum,FALSE),
          IFERROR(VLOOKUP(_xlpm._element,Countermeasures!$A:$P,COLUMNS(Countermeasures!$A:$L)+_xlpm._factorNum,FALSE),
            VLOOKUP(_xlpm._element,Assumptions!$A:$P,COLUMNS(Assumptions!$A:$L)+_xlpm._factorNum,FALSE))),
        IF(_xlpm._factorName="",0,SimpleLookup(_xlpm._factorName,Definitions!$Z:$AA)))),
      _xlfn.LAMBDA(_xlpm._x,_xlpm._y,MAX(_xlpm._x,_xlpm._y))),
    _xlpm._elementsWithMaxFactor,FilterListByCriterion(_xlpm._list,_xlpm._maxForFactor,_xlfn.LAMBDA(_xlpm._element,_xlfn.LET(
      _xlpm._factorNum,COLUMN(_xlpm._factorClass)-COLUMN('Attack Steps'!$H$2),
      _xlpm._factorName,IFERROR(VLOOKUP(_xlpm._element,'Attack Steps'!$A:$L,COLUMNS('Attack Steps'!$A:$H)+_xlpm._factorNum,FALSE),
        IFERROR(VLOOKUP(_xlpm._element,Countermeasures!$A:$P,COLUMNS(Countermeasures!$A:$L)+_xlpm._factorNum,FALSE),
          VLOOKUP(_xlpm._element,Assumptions!$A:$P,COLUMNS(Assumptions!$A:$L)+_xlpm._factorNum,FALSE))),
      IF(_xlpm._factorName="",0,SimpleLookup(_xlpm._factorName,Definitions!$Z:$AA)))),
      _xlfn.LAMBDA(_xlpm._x,_xlpm._y,_xlpm._x=_xlpm._y),", "),
    _xlpm._factorClass&amp;" ["&amp;_xlpm._maxForFactor&amp;"]: "&amp;RemoveDelimiter(_xlpm._elementsWithMaxFactor,", "))),
  _xlfn.LAMBDA(_xlpm._x,_xlpm._y,_xlpm._x&amp;CHAR(10)&amp;_xlpm._y))))</calculatedColumnFormula>
    </tableColumn>
    <tableColumn id="56" xr3:uid="{45FAEAEE-D9E9-4D70-BC02-E3C22FB2B96B}" name="Inline Mitigations" dataDxfId="301">
      <calculatedColumnFormula array="1">RemoveDelimiter(SUBSTITUTE(SUBSTITUTE($AB6,"{",""),"}",""),","&amp;CHAR(10))</calculatedColumnFormula>
    </tableColumn>
    <tableColumn id="10" xr3:uid="{15F2E99C-6BFF-43EF-9B94-5A6E558A1953}" name="RL Value" dataDxfId="300">
      <calculatedColumnFormula array="1">IF($O6="",0,SimpleLookup($O6,Definitions!$AE:$AF))</calculatedColumnFormula>
    </tableColumn>
  </tableColumns>
  <tableStyleInfo name="DarkCustom"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7D003C-5EFA-43D8-A426-AE288738CF16}" name="Table10" displayName="Table10" ref="A19:I68" totalsRowShown="0" headerRowDxfId="299" dataDxfId="298">
  <autoFilter ref="A19:I68" xr:uid="{7A7D003C-5EFA-43D8-A426-AE288738CF16}"/>
  <tableColumns count="9">
    <tableColumn id="1" xr3:uid="{1AC9F569-582D-424E-B97C-594E53A7FF04}" name="Element" dataDxfId="297">
      <calculatedColumnFormula array="1">IF($E20="","",
HYPERLINK("#'"&amp;INDEX(Table11[Sheet Name],$F20)&amp;"'!"&amp;INDEX(Table11[ID Column],$F20)&amp;$G20,
IF(LEN(H20)&gt;255,LEFT(H20,250)&amp;" …",H20)))</calculatedColumnFormula>
    </tableColumn>
    <tableColumn id="2" xr3:uid="{080D287F-4962-4A52-BE17-6034EC2BB54E}" name="Comment (click to follow the link)" dataDxfId="296">
      <calculatedColumnFormula array="1">IF($E20="","",HYPERLINK("#'"&amp;INDEX(Table11[Sheet Name],$F20)&amp;"'!"&amp;INDEX(Table11[Comment Column],$F20)&amp;$G20,
IF(LEN(I20)&gt;255,LEFT(I20,250)&amp;" …",I20)))</calculatedColumnFormula>
    </tableColumn>
    <tableColumn id="3" xr3:uid="{E5AD00A6-9BE4-4DE2-830C-D59A24D8526C}" name="Task Sheet ID" dataDxfId="295">
      <calculatedColumnFormula array="1">IFERROR(IF(ROW()=ROW($C$19)+1,1,INDEX($C:$C,ROW()-1))+
IF(INDEX($E:$E,ROW()-1)=TRUE,1,0),"")</calculatedColumnFormula>
    </tableColumn>
    <tableColumn id="4" xr3:uid="{B29EB7E0-2838-4072-9242-5CC8327FB903}" name="Task #" dataDxfId="294">
      <calculatedColumnFormula>COUNTIF(OFFSET($C$19,1,0,ROW()-ROW($D$19),1),$C20)</calculatedColumnFormula>
    </tableColumn>
    <tableColumn id="5" xr3:uid="{521C90F2-944B-4111-AABB-53753346E238}" name="Final Entry?" dataDxfId="293">
      <calculatedColumnFormula array="1">IFERROR(INDEX(Table11[Number of Tasks],$F20)=$D20,"")</calculatedColumnFormula>
    </tableColumn>
    <tableColumn id="6" xr3:uid="{874D8738-BE21-4724-B439-76A1ED990986}" name="Row" dataDxfId="292">
      <calculatedColumnFormula>IFERROR(MATCH($C20,Table11[Task Sheet Shadow ID],0),"")</calculatedColumnFormula>
    </tableColumn>
    <tableColumn id="7" xr3:uid="{66F3B6A0-A988-401D-9BEF-A0785C8B042E}" name="Element Row" dataDxfId="291">
      <calculatedColumnFormula array="1">IFERROR(_xlfn.LET(
_xlpm._column,INDEX(Table11[Task ID Column],$F20),
MATCH($D20,INDIRECT("'"&amp;INDEX(Table11[Sheet Name],$F20)&amp;"'!"&amp;_xlpm._column&amp;":"&amp;_xlpm._column),0)),"")</calculatedColumnFormula>
    </tableColumn>
    <tableColumn id="8" xr3:uid="{FE5E70A6-94E5-41F7-AB55-F5884495DFC6}" name="Element Text" dataDxfId="290">
      <calculatedColumnFormula array="1">IF($G20="","",(_xlfn.LET(
_xlpm._columnID,INDEX(Table11[ID Column],$F20),
_xlpm._columnName,INDEX(Table11[Name Column],$F20),
INDEX(INDIRECT("'"&amp;INDEX(Table11[Sheet Name],$F20)&amp;"'!"&amp;_xlpm._columnID&amp;":"&amp;_xlpm._columnID),$G20)&amp;" "&amp;
INDEX(INDIRECT("'"&amp;INDEX(Table11[Sheet Name],$F20)&amp;"'!"&amp;_xlpm._columnName&amp;":"&amp;_xlpm._columnName),$G20))))</calculatedColumnFormula>
    </tableColumn>
    <tableColumn id="9" xr3:uid="{4ADB7E1A-4352-4354-9707-213CA6CCA691}" name="Comment Text" dataDxfId="289">
      <calculatedColumnFormula array="1">IF($G20="","",(_xlfn.LET(
_xlpm._columnID,INDEX(Table11[Comment Column],$F20),
INDEX(INDIRECT("'"&amp;INDEX(Table11[Sheet Name],$F20)&amp;"'!"&amp;_xlpm._columnID&amp;":"&amp;_xlpm._columnID),$G20))))</calculatedColumnFormula>
    </tableColumn>
  </tableColumns>
  <tableStyleInfo name="DarkCustom"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641CE4-5A0B-4302-8B19-5F8671F14BC4}" name="Table11" displayName="Table11" ref="E1:L15" totalsRowShown="0" headerRowDxfId="288" dataDxfId="287">
  <autoFilter ref="E1:L15" xr:uid="{01641CE4-5A0B-4302-8B19-5F8671F14BC4}"/>
  <tableColumns count="8">
    <tableColumn id="1" xr3:uid="{5B3E3612-5C1C-4B3F-89BF-093F5D00AEB1}" name="Sheet Name" dataDxfId="286">
      <calculatedColumnFormula>IF(A2="","",_xlfn.LET(
_xlpm._in,A2,
_xlpm._start,FIND("]",_xlpm._in)+1,
SUBSTITUTE(MID(_xlpm._in,_xlpm._start,FIND("!",_xlpm._in)-_xlpm._start),"'","")))</calculatedColumnFormula>
    </tableColumn>
    <tableColumn id="2" xr3:uid="{50173C6F-F0F8-417E-8ED5-83423E9B9329}" name="ID Column" dataDxfId="285">
      <calculatedColumnFormula>IF($E2="","",_xlfn.LET(
_xlpm._in,A2,
_xlpm._start,FIND("$",_xlpm._in)+1,
MID(_xlpm._in,_xlpm._start,FIND("$",SUBSTITUTE(_xlpm._in,"$","§",1))-_xlpm._start)))</calculatedColumnFormula>
    </tableColumn>
    <tableColumn id="3" xr3:uid="{733E5B04-E975-4E65-9B2C-6FAC1F649539}" name="Name Column" dataDxfId="284">
      <calculatedColumnFormula>IF($E2="","",_xlfn.LET(
_xlpm._in,B2,
_xlpm._start,FIND("$",_xlpm._in)+1,
MID(_xlpm._in,_xlpm._start,FIND("$",SUBSTITUTE(_xlpm._in,"$","§",1))-_xlpm._start)))</calculatedColumnFormula>
    </tableColumn>
    <tableColumn id="4" xr3:uid="{26118C0A-570C-4ED7-AA84-777ECBAD1B9E}" name="Comment Column" dataDxfId="283">
      <calculatedColumnFormula>IF($E2="","",_xlfn.LET(
_xlpm._in,C2,
_xlpm._start,FIND("$",_xlpm._in)+1,
MID(_xlpm._in,_xlpm._start,FIND("$",SUBSTITUTE(_xlpm._in,"$","§",1))-_xlpm._start)))</calculatedColumnFormula>
    </tableColumn>
    <tableColumn id="5" xr3:uid="{43B83268-1E12-41A0-9D08-6D333790FD49}" name="Task ID Column" dataDxfId="282">
      <calculatedColumnFormula>IF($E2="","",_xlfn.LET(
_xlpm._in,D2,
_xlpm._start,FIND("$",_xlpm._in)+1,
MID(_xlpm._in,_xlpm._start,FIND("$",SUBSTITUTE(_xlpm._in,"$","§",1))-_xlpm._start)))</calculatedColumnFormula>
    </tableColumn>
    <tableColumn id="6" xr3:uid="{E9C3566E-CD0A-410A-BAA2-F2C040D0D412}" name="Number of Tasks" dataDxfId="281">
      <calculatedColumnFormula>IF($E2="","",MAX(INDIRECT("'"&amp;$E2&amp;"'!"&amp;$I2&amp;":"&amp;$I2)))</calculatedColumnFormula>
    </tableColumn>
    <tableColumn id="7" xr3:uid="{9ACC561B-3500-4567-B218-E7537558EEAD}" name="Task Sheet Shadow ID" dataDxfId="280">
      <calculatedColumnFormula array="1">CreateID($K$1,IF($J2="",FALSE,$J2&gt;0))</calculatedColumnFormula>
    </tableColumn>
    <tableColumn id="8" xr3:uid="{B1C2EB65-71EA-41B4-A283-C86FDB54F51F}" name="Header Row" dataDxfId="279">
      <calculatedColumnFormula>IF($A2="","",RIGHT($A2,LEN($A2)-FIND("$",SUBSTITUTE($A2,"$","§",1))))</calculatedColumnFormula>
    </tableColumn>
  </tableColumns>
  <tableStyleInfo name="DarkCustom"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DFD8D6A-628F-4A09-A7E5-2081D420ABE6}" name="Table5" displayName="Table5" ref="L2:Q27" totalsRowShown="0" headerRowDxfId="278" dataDxfId="277">
  <autoFilter ref="L2:Q27" xr:uid="{EDFD8D6A-628F-4A09-A7E5-2081D420ABE6}"/>
  <tableColumns count="6">
    <tableColumn id="1" xr3:uid="{36A370E7-3FD2-4943-AC9B-1F37A4389456}" name="Sheet" dataDxfId="276">
      <calculatedColumnFormula>IF($I3="","",_xlfn.LET(_xlpm._in,$I3,_xlpm._start,FIND("]",_xlpm._in)+1,
"'"&amp;SUBSTITUTE(MID(_xlpm._in,_xlpm._start,FIND("!",_xlpm._in)-_xlpm._start),"'","")&amp;"'!"))</calculatedColumnFormula>
    </tableColumn>
    <tableColumn id="7" xr3:uid="{DC74CA79-8083-41DB-93D6-42280AF05214}" name="Element ID Letter" dataDxfId="275">
      <calculatedColumnFormula>IF(K3="","",
_xlfn.LET(_xlpm._in,K3,
_xlpm._start,FIND("$",_xlpm._in)+1,
_xlpm._column,SUBSTITUTE(MID(_xlpm._in,_xlpm._start,FIND("$",SUBSTITUTE(_xlpm._in,"$","§",1))-_xlpm._start),"'",""),
_xlpm._column))</calculatedColumnFormula>
    </tableColumn>
    <tableColumn id="2" xr3:uid="{9AC93903-C81E-4784-B5C1-FCBD1C9C5435}" name="Text Range" dataDxfId="274">
      <calculatedColumnFormula>IF(I3="","",
_xlfn.LET(_xlpm._in,I3,
_xlpm._start,FIND("$",_xlpm._in)+1,
_xlpm._column,SUBSTITUTE(MID(_xlpm._in,_xlpm._start,FIND("$",SUBSTITUTE(_xlpm._in,"$","§",1))-_xlpm._start),"'",""),
$M3&amp;":"&amp;_xlpm._column))</calculatedColumnFormula>
    </tableColumn>
    <tableColumn id="3" xr3:uid="{282FCC1A-3B5C-4801-8615-E01F0D43F77E}" name="ID Column" dataDxfId="273">
      <calculatedColumnFormula>IF(J3="","",
_xlfn.LET(_xlpm._in,J3,
_xlpm._start,FIND("$",_xlpm._in)+1,
_xlpm._column,SUBSTITUTE(MID(_xlpm._in,_xlpm._start,FIND("$",SUBSTITUTE(_xlpm._in,"$","§",1))-_xlpm._start),"'",""),
_xlpm._column&amp;":"&amp;_xlpm._column))</calculatedColumnFormula>
    </tableColumn>
    <tableColumn id="4" xr3:uid="{AB9D9354-0367-482B-9F53-269884D45201}" name="Element ID Column" dataDxfId="272">
      <calculatedColumnFormula>IF($L3="","",$M3&amp;":"&amp;$M3)</calculatedColumnFormula>
    </tableColumn>
    <tableColumn id="5" xr3:uid="{9A5E191C-E479-44FC-860A-D7E685C07217}" name="Triggering IDs" dataDxfId="271">
      <calculatedColumnFormula array="1">GetQualityIssues($L3,$P3,$O3,1,",")</calculatedColumnFormula>
    </tableColumn>
  </tableColumns>
  <tableStyleInfo name="DarkCustom"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54E45B1-9F2B-4819-8301-8CAAF3F82D04}" name="Table27" displayName="Table27" ref="B6:C30" totalsRowShown="0" headerRowDxfId="270" dataDxfId="269">
  <autoFilter ref="B6:C30" xr:uid="{E54E45B1-9F2B-4819-8301-8CAAF3F82D04}"/>
  <tableColumns count="2">
    <tableColumn id="1" xr3:uid="{565604F4-3440-499C-B9AA-3DF54671F385}" name="Sheet" dataDxfId="268">
      <calculatedColumnFormula>_xlfn.LET(
_xlpm._sheetName,OFFSET(Definitions!$BA$3,ROW()-ROW($B$6),0),
IF(_xlpm._sheetName="","",_xlpm._sheetName))</calculatedColumnFormula>
    </tableColumn>
    <tableColumn id="2" xr3:uid="{F2A8457D-3E0E-478E-8798-F92134BDCB9B}" name="Export String (copy to MS Word)" dataDxfId="267">
      <calculatedColumnFormula array="1">_xlfn.LET(
_xlpm._delimiter,","&amp;CHAR(10),
_xlpm._isLast,AND($B7&lt;&gt;"",OFFSET($B7,1,0)=""),
_xlpm._result,JSONParseSheets(ROW()-ROW($C$6),Definitions!$BA$3,Definitions!$BB$3,Definitions!$BC$3,Definitions!$BD$3,$B$1,$B$2,$B$3,_xlpm._delimiter),
SUBSTITUTE(IF(_xlpm._isLast,RemoveDelimiter(_xlpm._result,_xlpm._delimiter),_xlpm._result),","&amp;CHAR(10)&amp;CHAR(10)&amp;"]",CHAR(10)&amp;"]"))</calculatedColumnFormula>
    </tableColumn>
  </tableColumns>
  <tableStyleInfo name="DarkCustom"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1E6222B-320D-4583-9E2E-03CD7BDA9C99}" name="Table23" displayName="Table23" ref="G3:K23" totalsRowShown="0" headerRowDxfId="266" dataDxfId="265">
  <autoFilter ref="G3:K23" xr:uid="{A1E6222B-320D-4583-9E2E-03CD7BDA9C99}"/>
  <tableColumns count="5">
    <tableColumn id="1" xr3:uid="{008A17AD-36DD-45F6-834C-7B55597DC768}" name="Category" dataDxfId="264">
      <calculatedColumnFormula>$E$8</calculatedColumnFormula>
    </tableColumn>
    <tableColumn id="2" xr3:uid="{23B210D4-7ACF-4453-B070-83F3F95C6EFB}" name="Name" dataDxfId="263"/>
    <tableColumn id="3" xr3:uid="{D1981869-CEDF-4120-8602-DF1D8CB53116}" name="Description" dataDxfId="262"/>
    <tableColumn id="4" xr3:uid="{7A78C5E9-B1E7-4B82-9CBA-38B5D3170914}" name="Damage Level" dataDxfId="261"/>
    <tableColumn id="5" xr3:uid="{7DC7420E-CE8F-4E81-B085-D18218D317EC}" name="Not first of Category" dataDxfId="260">
      <calculatedColumnFormula>OFFSET($G4,-1,0)=$G4</calculatedColumnFormula>
    </tableColumn>
  </tableColumns>
  <tableStyleInfo name="Invisible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7C8DC10-6D2A-40EC-A89F-231A64641168}" name="Table26" displayName="Table26" ref="Y3:AC26" totalsRowShown="0" headerRowDxfId="259" dataDxfId="258">
  <autoFilter ref="Y3:AC26" xr:uid="{97C8DC10-6D2A-40EC-A89F-231A64641168}"/>
  <tableColumns count="5">
    <tableColumn id="1" xr3:uid="{D866D1DB-70EF-4AE9-82B4-ED7343C3099E}" name="Class" dataDxfId="257"/>
    <tableColumn id="2" xr3:uid="{B1217BBE-43A0-4469-9D77-C4DB335A8C8D}" name="Factor" dataDxfId="256"/>
    <tableColumn id="3" xr3:uid="{656B1B84-8C17-4243-B4CF-97B5AB4FE828}" name="Value" dataDxfId="255"/>
    <tableColumn id="4" xr3:uid="{CD43E30D-AF3E-498F-973C-BACCA4DD1A5F}" name="Class ID" dataDxfId="254">
      <calculatedColumnFormula array="1">IF(ROW()=ROW($AB$3)+1,0,INDEX($AB:$AB,ROW()-1))+
IF($Y4=INDEX($Y:$Y,ROW()-1),0,1)</calculatedColumnFormula>
    </tableColumn>
    <tableColumn id="5" xr3:uid="{E05E8D8E-ADFB-430E-A697-31F850C8198B}" name="Not first of Category" dataDxfId="253">
      <calculatedColumnFormula>OFFSET($AB4,-1,0)=$AB4</calculatedColumnFormula>
    </tableColumn>
  </tableColumns>
  <tableStyleInfo name="Invisible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570E9EA-8550-43DF-8444-EF65FBA2528A}" name="Table15" displayName="Table15" ref="A3:R60" totalsRowShown="0" headerRowDxfId="252" dataDxfId="251">
  <autoFilter ref="A3:R60" xr:uid="{6570E9EA-8550-43DF-8444-EF65FBA2528A}"/>
  <tableColumns count="18">
    <tableColumn id="1" xr3:uid="{EFB6E2AE-2F14-4276-9B86-E3A4FDDA7993}" name="ID" dataDxfId="250"/>
    <tableColumn id="2" xr3:uid="{AF932777-549F-4481-B99D-316700A1DE7D}" name="Text" dataDxfId="249"/>
    <tableColumn id="3" xr3:uid="{F6E59E74-01E8-4639-B19B-3AF21B61B998}" name="Indentation" dataDxfId="248"/>
    <tableColumn id="13" xr3:uid="{C1F24F1C-CA3B-4FB6-9C4F-FDA258B7CE71}" name="Is a Question" dataDxfId="247">
      <calculatedColumnFormula>IF($A4="","",IF(LEFT($A4,1)="Q","x",""))</calculatedColumnFormula>
    </tableColumn>
    <tableColumn id="4" xr3:uid="{108C451F-F7F4-4E46-B5A9-823D2A10AE04}" name="Options Range Header" dataDxfId="246"/>
    <tableColumn id="5" xr3:uid="{7F95F5C5-CC2D-41B7-B2D9-6B085CD85821}" name="Height" dataDxfId="245"/>
    <tableColumn id="6" xr3:uid="{1E4032E3-44CA-4544-AD67-BE289A8AFEA4}" name="Resulting Options" dataDxfId="244">
      <calculatedColumnFormula array="1">IF($F4=0,"",RemoveDelimiter(OperateOnRange(INDIRECT($E4),FALSE,$F4,0,_xlfn.LAMBDA(_xlpm._x,_xlpm._x),_xlfn.LAMBDA(_xlpm._x,_xlpm._y,_xlpm._x&amp;CHAR(10)&amp;_xlpm._y)),CHAR(10)))</calculatedColumnFormula>
    </tableColumn>
    <tableColumn id="7" xr3:uid="{55366810-DD7B-469B-A55E-1AC3B230AA76}" name="Info Text" dataDxfId="243"/>
    <tableColumn id="8" xr3:uid="{11C50565-30D8-41B3-91A0-0EAAD8851D81}" name="Options Range Header " dataDxfId="242"/>
    <tableColumn id="9" xr3:uid="{F1092559-D414-42BB-A03F-ED7A073D2264}" name="Height " dataDxfId="241"/>
    <tableColumn id="10" xr3:uid="{248D5ADA-600A-4FC7-BA09-22F8BA7F07F6}" name="Resulting Options " dataDxfId="240">
      <calculatedColumnFormula array="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IF(LEN(_xlpm._optionsRanges)&lt;=_xlpm._endOfFirstElement,"",CHAR(10)&amp;ShowResultingOptions(RIGHT(_xlpm._optionsRanges,LEN(_xlpm._optionsRanges)-_xlpm._endOfFirstElement),RIGHT(_xlpm._optionsHeights,LEN(_xlpm._optionsHeights)-_xlpm._endOfFirstElementH))))))($I4,$J4),
CHAR(10))</calculatedColumnFormula>
    </tableColumn>
    <tableColumn id="11" xr3:uid="{FB57CBEF-942D-46A8-B532-B34EAE54E220}" name="Info Text " dataDxfId="239"/>
    <tableColumn id="12" xr3:uid="{52EB9D29-EF48-4FAE-922E-D0A490CA979E}" name="Inactive On" dataDxfId="238"/>
    <tableColumn id="17" xr3:uid="{9F6D41ED-F5EA-46C6-8B86-CB41A8D67B36}" name="Comment" dataDxfId="237"/>
    <tableColumn id="14" xr3:uid="{DF88AF4C-E434-43E5-BD2C-941752B7CF3D}" name="Shadow ID" dataDxfId="236">
      <calculatedColumnFormula array="1">CreateID($O$3,$A4&lt;&gt;"")</calculatedColumnFormula>
    </tableColumn>
    <tableColumn id="18" xr3:uid="{9DA4DC0B-32AB-448C-A39F-97E6F8629AA7}" name="Task ID" dataDxfId="235">
      <calculatedColumnFormula array="1">CreateTaskID($P$3,$P:$P,Tasks!$B$17,$N4)</calculatedColumnFormula>
    </tableColumn>
    <tableColumn id="15" xr3:uid="{4B8864F0-ECE0-404F-9AE1-5CEA1EEAF668}" name="Is Inactive" dataDxfId="234">
      <calculatedColumnFormula array="1">IF($M4="",FALSE,CheckRelevance(SanitizeInput($M4),Questionnaire!$AB:$AB))</calculatedColumnFormula>
    </tableColumn>
    <tableColumn id="19" xr3:uid="{07DAA999-E0FB-45C5-B9EC-3A18907944A3}" name="Question Shadow ID" dataDxfId="233">
      <calculatedColumnFormula array="1">CreateID($R$3,AND($A4&lt;&gt;"",$D4&lt;&gt;""))</calculatedColumnFormula>
    </tableColumn>
  </tableColumns>
  <tableStyleInfo name="DarkCustom"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5EB1E3-0E7E-4D43-9BBF-434AF561776C}" name="Table2678185" displayName="Table2678185" ref="A2:V21" totalsRowShown="0" headerRowDxfId="232" dataDxfId="231">
  <autoFilter ref="A2:V21" xr:uid="{45D5F579-B153-490D-8DA5-723313A84BC5}"/>
  <tableColumns count="22">
    <tableColumn id="1" xr3:uid="{E689B570-C7E0-4C71-873B-B7C576D442BC}" name="ID" dataDxfId="230"/>
    <tableColumn id="4" xr3:uid="{9873F40F-F869-4286-A4F5-DADB5392AE05}" name="Q ID" dataDxfId="229"/>
    <tableColumn id="6" xr3:uid="{1A0AA7F3-36CB-4E6A-A425-ECBFC9FE52D3}" name="Question" dataDxfId="228">
      <calculatedColumnFormula array="1">IF($B3="","",IFERROR(SimpleLookup($B3,Questions!$A:$B),"Error: Unknown ID: "&amp;$B3))</calculatedColumnFormula>
    </tableColumn>
    <tableColumn id="13" xr3:uid="{D1189F80-DD4C-495C-AAAC-708CFA39F0E5}" name="Is Active?" dataDxfId="227">
      <calculatedColumnFormula>_xlfn.LET(
_xlpm._dsID,$A3,_xlpm._qID,$B3,_xlpm._dynamicReference,$F3,_xlpm._firstAnswer,$H3,_xlpm._secondAnswer,$I3,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calculatedColumnFormula>
    </tableColumn>
    <tableColumn id="2" xr3:uid="{A3FEDDF8-5437-4AE3-BA48-2C90C308D5B8}" name="Damage Scenario Static Text Prefix" dataDxfId="226"/>
    <tableColumn id="7" xr3:uid="{C2E8CE39-1ABA-4D7E-80B6-451232F1DBC4}" name="Questionnaire Provides Damage Criterion?" dataDxfId="225"/>
    <tableColumn id="8" xr3:uid="{9C1EE979-4305-4684-B333-5161DF4D4202}" name="Damage Scenario Static Text Suffix" dataDxfId="224"/>
    <tableColumn id="30" xr3:uid="{D4694575-49AD-40D2-BC20-47FD0501CD23}" name="Answer 1" dataDxfId="223">
      <calculatedColumnFormula array="1">IF($B3="","",_xlfn.LET(_xlpm._value,SimpleLookup($B3,Questionnaire!$B:$D),IF(_xlpm._value="","",_xlpm._value)))</calculatedColumnFormula>
    </tableColumn>
    <tableColumn id="29" xr3:uid="{0C28845A-0294-4CD2-94D8-87834BF4E0F0}" name="Answer 2" dataDxfId="222">
      <calculatedColumnFormula array="1">IF($B3="","",_xlfn.LET(_xlpm._value,SimpleLookup($B3,Questionnaire!$B:$F),IF(_xlpm._value="","",_xlpm._value)))</calculatedColumnFormula>
    </tableColumn>
    <tableColumn id="9" xr3:uid="{34DED894-B3B2-4AF9-81F3-52B5B79B18D0}" name="Damage Scenario Text (depends on answers to questionnaire)" dataDxfId="221">
      <calculatedColumnFormula>IF($D3="","",_xlfn.LET(
_xlpm._dynamicText,$I3,
_xlpm._ds,$E3&amp;IF($F3="","",_xlpm._dynamicText)&amp;$G3,
IF(_xlpm._ds="","",IF(AND($F3&lt;&gt;"",_xlpm._dynamicText=""),"",_xlpm._ds))))</calculatedColumnFormula>
    </tableColumn>
    <tableColumn id="11" xr3:uid="{FB1366F2-8E22-410F-B1DE-8EC6A18250CA}" name="Explicit Damage Criterion" dataDxfId="220"/>
    <tableColumn id="17" xr3:uid="{4E1677F3-EB65-4D35-9E2A-E36850960B1D}" name="Active Damage Criterion" dataDxfId="219">
      <calculatedColumnFormula>IF($D3="x",
IF($K3="",$I3,$K3),
"")</calculatedColumnFormula>
    </tableColumn>
    <tableColumn id="26" xr3:uid="{C20C78BC-ABF6-48C1-A062-517BB32FD444}" name="Damage Level" dataDxfId="218">
      <calculatedColumnFormula array="1">IF($L3="","",IFERROR(SimpleLookup($L3,Definitions!$H:$J),""))</calculatedColumnFormula>
    </tableColumn>
    <tableColumn id="18" xr3:uid="{A8D53DD3-24FB-4855-B0A5-0815DE893A88}" name="Explicit Explanation Text" dataDxfId="217"/>
    <tableColumn id="14" xr3:uid="{F4D383FD-FB8F-4AB3-8C13-FB9FF3FC3284}" name="Explanation Text" dataDxfId="216">
      <calculatedColumnFormula array="1">IF($N3&lt;&gt;"",$N3,_xlfn.LET(
_xlpm._qID,$B3,_xlpm._firstAnswer,$H3,_xlpm._secondAnswer,$I3,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calculatedColumnFormula>
    </tableColumn>
    <tableColumn id="5" xr3:uid="{F675418D-5720-40E6-8009-B08ECFF903E2}" name="Comment" dataDxfId="215"/>
    <tableColumn id="3" xr3:uid="{882CB7C7-C639-49E0-B01E-1EE020871141}" name="Shadow ID" dataDxfId="214">
      <calculatedColumnFormula array="1">CreateID($Q$2,$A3&lt;&gt;"")</calculatedColumnFormula>
    </tableColumn>
    <tableColumn id="31" xr3:uid="{EC2E73C9-83CD-4B01-9539-4007F6CAA956}" name="Task ID" dataDxfId="213">
      <calculatedColumnFormula array="1">CreateTaskID($R$2,$R:$R,Tasks!$B$17,$P3)</calculatedColumnFormula>
    </tableColumn>
    <tableColumn id="10" xr3:uid="{1BD51C1E-0D44-45C5-ACDF-4BC12759C478}" name="Active DS Shadow ID" dataDxfId="212">
      <calculatedColumnFormula array="1">CreateID($S$2,$D3="x")</calculatedColumnFormula>
    </tableColumn>
    <tableColumn id="16" xr3:uid="{ED936433-A23F-4746-A385-A9D2061E169B}" name="Active DS ID" dataDxfId="211">
      <calculatedColumnFormula>IF($D3="","",$A3)</calculatedColumnFormula>
    </tableColumn>
    <tableColumn id="15" xr3:uid="{59E7F584-F257-455D-BF54-173E3505D361}" name="Damage Value" dataDxfId="210">
      <calculatedColumnFormula array="1">IF($M3="",0,SimpleLookup($M3,Definitions!$Q:$R))</calculatedColumnFormula>
    </tableColumn>
    <tableColumn id="12" xr3:uid="{BDE0E43F-59BD-414F-A92E-89FE36A6C5A3}" name="Damage Scenario with Damage Level" dataDxfId="209">
      <calculatedColumnFormula>IF($J3="","",$J3&amp;" ["&amp;$M3&amp;"]")</calculatedColumnFormula>
    </tableColumn>
  </tableColumns>
  <tableStyleInfo name="DarkCustom"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8D143FF-4C6A-41E9-9E9F-4AEEF7910D21}" name="Table267" displayName="Table267" ref="A2:AG43" totalsRowShown="0" headerRowDxfId="208" dataDxfId="207">
  <autoFilter ref="A2:AG43" xr:uid="{45D5F579-B153-490D-8DA5-723313A84BC5}"/>
  <tableColumns count="33">
    <tableColumn id="1" xr3:uid="{9D451374-C9CA-4E5F-8873-0D5F8D8D4353}" name="ID" dataDxfId="206"/>
    <tableColumn id="2" xr3:uid="{0993B13A-B860-494A-AF5A-77FA35A3DB11}" name="Attack Step" dataDxfId="205"/>
    <tableColumn id="6" xr3:uid="{E4667205-120E-483A-8DC7-83706F7FCBA1}" name="Prep IDs" dataDxfId="204"/>
    <tableColumn id="16" xr3:uid="{09807DD8-5A38-40A2-A503-0C2415B2A0AA}" name="Prerequisite Attack Steps" dataDxfId="203">
      <calculatedColumnFormula array="1">LookupNames($C3,$A:$B)</calculatedColumnFormula>
    </tableColumn>
    <tableColumn id="20" xr3:uid="{80EA3C98-F986-4869-B529-B7EEF01E563C}" name="Q IDs" dataDxfId="202"/>
    <tableColumn id="21" xr3:uid="{21459552-6F4F-4651-8168-C46F41E08839}" name="Related Question (for damage scenarios)" dataDxfId="201">
      <calculatedColumnFormula array="1">RemoveDelimiter(GetValues(SanitizeInput($E3),Questions!$A:$B,"   ",CHAR(10),TRUE),CHAR(10))</calculatedColumnFormula>
    </tableColumn>
    <tableColumn id="18" xr3:uid="{48B2D763-F982-42A0-B61C-D3AAAC64C2FB}" name="Active Damage Scenarios" dataDxfId="200">
      <calculatedColumnFormula array="1">LookupNames($U3,'Damage Scenarios'!$A:$J)</calculatedColumnFormula>
    </tableColumn>
    <tableColumn id="7" xr3:uid="{C2B25AD3-73A3-4A37-A240-5D240296FA7F}" name="Elapsed Time" dataDxfId="199"/>
    <tableColumn id="8" xr3:uid="{E57BC080-9DA7-42FC-9293-0689839BD5A7}" name="Expertise" dataDxfId="198"/>
    <tableColumn id="9" xr3:uid="{A20676E4-0028-427E-BE98-3AFA1874B3E5}" name="Knowledge of TOE" dataDxfId="197"/>
    <tableColumn id="10" xr3:uid="{5C7F1A35-3C71-44D0-883C-EA4D41F6C167}" name="Window of Opportunity" dataDxfId="196"/>
    <tableColumn id="11" xr3:uid="{69A601C0-0FDE-4DBF-9C30-EA0B5F53E102}" name="Equipment" dataDxfId="195"/>
    <tableColumn id="34" xr3:uid="{521D9ED7-8F10-4667-BE46-8ABF03871AF0}" name="RAP" dataDxfId="194">
      <calculatedColumnFormula>IF($A3="","",IFERROR(VLOOKUP($Y3,Definitions!$V:$W,COLUMNS(Definitions!$V:$W),TRUE),""))</calculatedColumnFormula>
    </tableColumn>
    <tableColumn id="12" xr3:uid="{C51668DF-6DBA-4D50-84F7-C1D5C419943C}" name="Required answers for this attack step" dataDxfId="193"/>
    <tableColumn id="27" xr3:uid="{AF484147-5CF1-4477-B76A-C40871CE0DBF}" name="Answer Names" dataDxfId="192">
      <calculatedColumnFormula array="1">OperateOnList(
  SanitizeInput($N3),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calculatedColumnFormula>
    </tableColumn>
    <tableColumn id="17" xr3:uid="{B8FB711F-CFC0-40A3-9C5B-AFBC49A93A7D}" name="Mapping to CRA, Annex I (1.2)" dataDxfId="191"/>
    <tableColumn id="5" xr3:uid="{1FECA1CA-FFFA-4F35-A35D-DEA1D12EBE0C}" name="Comment" dataDxfId="190"/>
    <tableColumn id="3" xr3:uid="{5F105420-498C-495E-9DB4-CBDA7E959AC2}" name="Shadow ID" dataDxfId="189">
      <calculatedColumnFormula array="1">CreateID($R$2,$A3&lt;&gt;"")</calculatedColumnFormula>
    </tableColumn>
    <tableColumn id="15" xr3:uid="{7733E57E-7EF1-4691-A021-FECA17A866CD}" name="Active  Based on Answers?" dataDxfId="188">
      <calculatedColumnFormula>OR(CheckRelevance(SanitizeInput(N3),Questionnaire!$J:$J),CheckRelevance(SanitizeInput(N3),Questionnaire!$K:$K))</calculatedColumnFormula>
    </tableColumn>
    <tableColumn id="4" xr3:uid="{93B4A87E-AD63-409E-9FBF-81318CEB859F}" name="Creates Attack Paths" dataDxfId="187">
      <calculatedColumnFormula array="1">IF(AND($N3&lt;&gt;"",$S3=FALSE),"",
IF(AND($S3,$C3=""),$A3&amp;",§","")&amp;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GenerateAttackPaths(RemoveFirstElement(_xlpm._in),_xlpm._apRange,_xlpm._ownID))))(SanitizeInput($C3),$A:$T,$A3))</calculatedColumnFormula>
    </tableColumn>
    <tableColumn id="19" xr3:uid="{C978D61E-2EE2-49C7-9AB5-1F665E0A85B4}" name="Active DS" dataDxfId="186">
      <calculatedColumnFormula array="1">GetValues(SanitizeInput($E3),'Damage Scenarios'!$B:$T,"",",",FALSE)</calculatedColumnFormula>
    </tableColumn>
    <tableColumn id="30" xr3:uid="{20BC824F-2FF8-4DC1-8581-7E11D9CC69C0}" name="Creates Risk" dataDxfId="185">
      <calculatedColumnFormula>AND($T3&lt;&gt;"",$U3&lt;&gt;"")</calculatedColumnFormula>
    </tableColumn>
    <tableColumn id="23" xr3:uid="{FDE8A6C9-DD4D-4ECC-B2F6-9B8B05132FC0}" name="AP Shadow ID" dataDxfId="184">
      <calculatedColumnFormula array="1">CreateID($W$2,$V3)</calculatedColumnFormula>
    </tableColumn>
    <tableColumn id="24" xr3:uid="{EA8FC9C0-6B24-4711-A041-95CC4D798F22}" name="# APs" dataDxfId="183">
      <calculatedColumnFormula>IF($V3,LEN($T3)-LEN(SUBSTITUTE($T3,"§","")),0)</calculatedColumnFormula>
    </tableColumn>
    <tableColumn id="35" xr3:uid="{0681A2C0-80F6-4023-96E2-6CDF9A6698D3}" name="SUM" dataDxfId="182">
      <calculatedColumnFormula array="1">OperateOnRange(
  $H3,
  TRUE,
  Helper!$B$16,
  0,
  _xlfn.LAMBDA(_xlpm._factor,IF(_xlpm._factor="",0,SimpleLookup(_xlpm._factor,Definitions!$Z:$AA))),
  _xlfn.LAMBDA(_xlpm._x,_xlpm._y,_xlpm._x+_xlpm._y))</calculatedColumnFormula>
    </tableColumn>
    <tableColumn id="13" xr3:uid="{98FC25E3-BD4C-40B0-BC4C-076E585B23A0}" name="Task ID" dataDxfId="181">
      <calculatedColumnFormula array="1">CreateTaskID($Z$2,$Z:$Z,Tasks!$B$17,$Q3)</calculatedColumnFormula>
    </tableColumn>
    <tableColumn id="14" xr3:uid="{F2F43B3C-680D-4908-BA17-50377C65E426}" name="Countermeasures" dataDxfId="180">
      <calculatedColumnFormula array="1">InverseLookup($A3,Countermeasures!$Y$2,Countermeasures!$A$2,1,Helper!$B$4,",")</calculatedColumnFormula>
    </tableColumn>
    <tableColumn id="22" xr3:uid="{9E37E05A-2180-435E-9674-FEBC5832213A}" name="Active Assumptions Proposal" dataDxfId="179">
      <calculatedColumnFormula array="1">InverseLookup($A3,Assumptions!$Y$2,Assumptions!$A$2,1,Helper!$B$6,",")</calculatedColumnFormula>
    </tableColumn>
    <tableColumn id="32" xr3:uid="{F288107A-FC64-40B7-AD9D-0827C54E50A0}" name="Assumptions" dataDxfId="178">
      <calculatedColumnFormula array="1">InverseLookup($A3,Assumptions!$Z$2,Assumptions!$A$2,1,Helper!$B$6,",")</calculatedColumnFormula>
    </tableColumn>
    <tableColumn id="31" xr3:uid="{6E4349E9-0D08-4963-B6EC-B83C16EE9E1E}" name="Prep Attack Search" dataDxfId="177">
      <calculatedColumnFormula array="1">IF($V3,
CreateSearchString(SUBSTITUTE($T3,"§","")),
"")</calculatedColumnFormula>
    </tableColumn>
    <tableColumn id="33" xr3:uid="{31D39839-926C-4B7E-854B-695417D9DD5F}" name="Is Active Attack Step" dataDxfId="176">
      <calculatedColumnFormula>IFERROR(_xlfn.XMATCH("*,"&amp;$A3&amp;",*",$AD:$AD,2)&gt;0,FALSE)</calculatedColumnFormula>
    </tableColumn>
    <tableColumn id="25" xr3:uid="{96562A20-8D3B-4AF5-9004-F4DDC3FBCE9E}" name="QI Answer Selection Impossible Text" dataDxfId="175">
      <calculatedColumnFormula array="1">_xlfn.SWITCH($N3,
"*","",
"","",
_xlfn.LET(
_xlpm._answers,SUBSTITUTE(SanitizeInput($N3),"&amp;",","),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IF(_xlpm._questionIDUndefined,$A3&amp;" - "&amp;_xlpm._question&amp;": ERROR: Unknown question ID.",
        IF(_xlpm._firstAnswerIsValidOption,"",$A3&amp;" - "&amp;_xlpm._question&amp;": First answer ("&amp;_xlpm._firstAnswer&amp;") is not a valid option.")&amp;
        IF(_xlpm._secondAnswerRequired,IF(_xlpm._secondAnswerProvided,"",$A3&amp;" - "&amp;_xlpm._question&amp;": Second answer required but not provided."),"")&amp;
        IF(NOT(_xlpm._secondAnswerRequired),IF(_xlpm._secondAnswerProvided,$A3&amp;" - "&amp;_xlpm._question&amp;": Second answer ("&amp;_xlpm._secondAnswer&amp;") provided but the question only supports one answer.",""),"")&amp;
        IF(_xlpm._secondAnswerIsValidOption,"",$A3&amp;" - "&amp;_xlpm._question&amp;": Second answer ("&amp;_xlpm._secondAnswer&amp;") is not a valid option.")))),
  _xlfn.LAMBDA(_xlpm._x,_xlpm._y,_xlpm._x&amp;IF(_xlpm._x="","",CHAR(10))&amp;_xlpm._y))))</calculatedColumnFormula>
    </tableColumn>
    <tableColumn id="26" xr3:uid="{E268F09F-B60F-4FC0-BBAC-81AEA6772510}" name="QI Answer Selection Impossible ID" dataDxfId="174">
      <calculatedColumnFormula array="1">CreateID($AG$2,$AF3&lt;&gt;"")</calculatedColumnFormula>
    </tableColumn>
  </tableColumns>
  <tableStyleInfo name="DarkCustom"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7FA2B44-4363-4083-B913-410BF8B51487}" name="Table2678" displayName="Table2678" ref="A2:AM44" totalsRowShown="0" headerRowDxfId="173" dataDxfId="172">
  <autoFilter ref="A2:AM44" xr:uid="{45D5F579-B153-490D-8DA5-723313A84BC5}"/>
  <tableColumns count="39">
    <tableColumn id="1" xr3:uid="{2152A5D1-93C9-473F-BBC9-B9E30BBE9E0D}" name="ID" dataDxfId="171"/>
    <tableColumn id="2" xr3:uid="{22A39497-37EF-4785-B598-9C857BFCBC78}" name="Assumption" dataDxfId="170"/>
    <tableColumn id="8" xr3:uid="{C7B215B4-F548-43F9-9282-33655014E34D}" name="Description" dataDxfId="169"/>
    <tableColumn id="41" xr3:uid="{C01FD5C9-2B1B-46C5-9F06-A1C29B7F9151}" name="Requirements" dataDxfId="168"/>
    <tableColumn id="22" xr3:uid="{41483DEE-7886-4CBC-A6B0-F8CCCDAAFFA1}" name="Stakeholder" dataDxfId="167"/>
    <tableColumn id="4" xr3:uid="{EBC75E0F-7BAD-4AB1-9C03-3369773E2C12}" name="Answers" dataDxfId="166"/>
    <tableColumn id="20" xr3:uid="{0B95D192-9B96-4E7B-83F0-EF5BC122A047}" name="Answer Names" dataDxfId="165">
      <calculatedColumnFormula array="1">OperateOnList(
  SanitizeInput($F3),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calculatedColumnFormula>
    </tableColumn>
    <tableColumn id="10" xr3:uid="{67C5FE34-79CD-490B-9B0D-165C992A9BF0}" name="AS IDs" dataDxfId="164"/>
    <tableColumn id="9" xr3:uid="{ADD29807-6EB5-4AFB-B4CD-F3A75BD33802}" name="Attack Steps" dataDxfId="163">
      <calculatedColumnFormula array="1">LookupNames($H3,'Attack Steps'!$A:$B)</calculatedColumnFormula>
    </tableColumn>
    <tableColumn id="26" xr3:uid="{FB0A155D-07A8-4F77-868A-B8C39C933D86}" name="DSTs" dataDxfId="162"/>
    <tableColumn id="25" xr3:uid="{1D6CB586-B1CC-4AFF-8C6B-8DB6C57C83C1}" name="Damage Scenario Transformation" dataDxfId="161">
      <calculatedColumnFormula array="1">IF($J3="","",SUBSTITUTE(SUBSTITUTE(SUBSTITUTE(SUBSTITUTE(SUBSTITUTE(SUBSTITUTE(SUBSTITUTE(SUBSTITUTE(SUBSTITUTE(
GetTransformation(SanitizeInput($J3),'Damage Scenarios'!$A:$J,COLUMNS('Damage Scenarios'!$A:$J),CHAR(10),"[#0][#1][#2]")&amp;"§",
"[#1][#2]",""),
"[#2]",""),
"[#0][#1]","[#1]"),
"[#0]","Removes:"&amp;CHAR(10)),
"[#1]","Transforms:"&amp;CHAR(10)),
CHAR(10)&amp;"§",""),
"§",""),
CHAR(10),CHAR(10)&amp;"   "),
"   "&amp;"Transforms:","Transforms:"))</calculatedColumnFormula>
    </tableColumn>
    <tableColumn id="11" xr3:uid="{E4C33FA1-02CF-42D0-91DC-65AEACA71094}" name="Elapsed Time" dataDxfId="160"/>
    <tableColumn id="12" xr3:uid="{09A244C9-7FED-46E1-9EE8-DCF29EA75763}" name="Expertise" dataDxfId="159"/>
    <tableColumn id="15" xr3:uid="{7F90689B-1101-4B02-8810-9573AB88ECDC}" name="Knowledge of TOE" dataDxfId="158"/>
    <tableColumn id="13" xr3:uid="{6F0919C8-2584-43D5-9E8D-B445346786A7}" name="Window of Opportunity" dataDxfId="157"/>
    <tableColumn id="14" xr3:uid="{547E5F8B-CE28-46FE-ABB2-1C9A9DAEE036}" name="Equipment" dataDxfId="156"/>
    <tableColumn id="29" xr3:uid="{734473B7-42F3-4DB6-B596-7F9CAC8AF2C1}" name="RAP" dataDxfId="155">
      <calculatedColumnFormula>IF($A3="","",IFERROR(VLOOKUP($AA3,Definitions!$V:$W,COLUMNS(Definitions!$V:$W),TRUE),""))</calculatedColumnFormula>
    </tableColumn>
    <tableColumn id="23" xr3:uid="{CFAEF806-EA2F-4647-B86F-B82FFE532D28}" name="Mapping to CRA, Annex I (1.2)" dataDxfId="154"/>
    <tableColumn id="39" xr3:uid="{A67DE806-D9BB-4BF7-AEA3-9058C2AF650F}" name="Reference" dataDxfId="153"/>
    <tableColumn id="5" xr3:uid="{895824EE-3AC0-4476-BC90-D30B6D469C8F}" name="Comment" dataDxfId="152"/>
    <tableColumn id="3" xr3:uid="{A4764B2A-450F-4675-9FCA-76E24BE4DFF8}" name="Shadow ID" dataDxfId="151">
      <calculatedColumnFormula array="1">CreateID($U$2,$A3&lt;&gt;"")</calculatedColumnFormula>
    </tableColumn>
    <tableColumn id="6" xr3:uid="{98029C22-9F3B-474C-AB76-41624F67FC31}" name="Active for Proposal?" dataDxfId="150">
      <calculatedColumnFormula>OR(CheckRelevance(SanitizeInput(F3),Questionnaire!$J:$J),IFERROR(_xlfn.XMATCH("*,"&amp;$A3&amp;",*",Countermeasures!$AC:$AC,2)&gt;0,FALSE))</calculatedColumnFormula>
    </tableColumn>
    <tableColumn id="27" xr3:uid="{906963D0-6B92-42E3-B9C1-4FFEBD762A24}" name="Active in Risk Treatment?" dataDxfId="149">
      <calculatedColumnFormula>IFERROR(_xlfn.XMATCH("*,"&amp;$A3&amp;",*",Mitigation!$X:$X,2)&gt;0,FALSE)</calculatedColumnFormula>
    </tableColumn>
    <tableColumn id="7" xr3:uid="{2ED572E5-8235-4313-B20C-16C99042F758}" name="Task ID" dataDxfId="148">
      <calculatedColumnFormula array="1">CreateTaskID($X$2,$X:$X,Tasks!$B$17,$T3)</calculatedColumnFormula>
    </tableColumn>
    <tableColumn id="38" xr3:uid="{0932B43A-E971-46FD-A418-0FCEA8993687}" name="Proposal Search" dataDxfId="147">
      <calculatedColumnFormula array="1">IF(OR($H3="",NOT($V3)),"",","&amp;SanitizeInput($H3))</calculatedColumnFormula>
    </tableColumn>
    <tableColumn id="16" xr3:uid="{22026B8A-E6A9-4586-8532-73C442687CF4}" name="Attack Step Search" dataDxfId="146">
      <calculatedColumnFormula array="1">CreateSearchString($H3)</calculatedColumnFormula>
    </tableColumn>
    <tableColumn id="31" xr3:uid="{172EF1BF-4709-4530-99DC-0495152CBFB8}" name="SUM" dataDxfId="145">
      <calculatedColumnFormula array="1">OperateOnRange(
  $L3,
  TRUE,
  Helper!$B$16,
  0,
  _xlfn.LAMBDA(_xlpm._factor,IF(_xlpm._factor="",0,SimpleLookup(_xlpm._factor,Definitions!$Z:$AA))),
  _xlfn.LAMBDA(_xlpm._x,_xlpm._y,_xlpm._x+_xlpm._y))</calculatedColumnFormula>
    </tableColumn>
    <tableColumn id="24" xr3:uid="{B7406DDF-1260-4703-8925-57FB52A8CCB2}" name="Damage Transformation Search If Active" dataDxfId="144">
      <calculatedColumnFormula array="1">SUBSTITUTE(IF($W3,IF($J3="","",","&amp;SanitizeInput($J3)),""),"&gt;",",")</calculatedColumnFormula>
    </tableColumn>
    <tableColumn id="28" xr3:uid="{466B6048-DFC4-4822-9CB8-08D92CE2A503}" name="Active Assumption ID" dataDxfId="143">
      <calculatedColumnFormula array="1">CreateID($AC$2,OR($V3,$W3))</calculatedColumnFormula>
    </tableColumn>
    <tableColumn id="30" xr3:uid="{D4259439-30A9-4254-B20F-778C3EA5CCFA}" name="Active Assumption Annex I Search" dataDxfId="142">
      <calculatedColumnFormula array="1">IF(OR($V3,$W3),IF($R3="","",","&amp;SanitizeInput($R3)),"")</calculatedColumnFormula>
    </tableColumn>
    <tableColumn id="32" xr3:uid="{65E8CA65-2FFF-4555-A73E-0FDDA7BABC5F}" name="Annex I Text" dataDxfId="141">
      <calculatedColumnFormula>$B3&amp;" ["&amp;$E3&amp;"]"</calculatedColumnFormula>
    </tableColumn>
    <tableColumn id="34" xr3:uid="{BCD16270-0DD7-4752-A239-8534E7AE0D96}" name="Triggering Answer IDs" dataDxfId="140">
      <calculatedColumnFormula array="1">IF($F3="*","",InverseLookupList(SanitizeInput($F3),Questionnaire!$AB$3,Questionnaire!$B$3,Helper!$B$12,","))</calculatedColumnFormula>
    </tableColumn>
    <tableColumn id="33" xr3:uid="{6C9B7F8B-69B7-4A26-985B-AA0B2401602B}" name="Triggering Answers and Their Comments" dataDxfId="139">
      <calculatedColumnFormula array="1">RemoveDelimiter(GetValues($AF3,Questionnaire!$B:$H," ",CHAR(10)&amp;CHAR(10),TRUE),CHAR(10)&amp;CHAR(10))</calculatedColumnFormula>
    </tableColumn>
    <tableColumn id="35" xr3:uid="{8C64B6F0-FEE2-490C-8D6F-0DF95C62509C}" name="Triggering Answer Search" dataDxfId="138">
      <calculatedColumnFormula array="1">CreateSearchString($AF3)</calculatedColumnFormula>
    </tableColumn>
    <tableColumn id="36" xr3:uid="{8A313254-48C2-4623-B05E-65706CB24FFD}" name="Mitigated Attack Steps" dataDxfId="137">
      <calculatedColumnFormula array="1">InverseLookup($A3,Mitigation!$AD$2,Mitigation!$A$2,1,Helper!$B$5,",")</calculatedColumnFormula>
    </tableColumn>
    <tableColumn id="37" xr3:uid="{8A94AFC7-8E42-4103-AE30-19941715259E}" name="Mitigated Attack Steps Mapped to Annex Search" dataDxfId="136">
      <calculatedColumnFormula array="1">CreateSearchString(GetValues($AI3,'Attack Steps'!$A:$P,"",",",FALSE))</calculatedColumnFormula>
    </tableColumn>
    <tableColumn id="40" xr3:uid="{54448978-8B4C-483E-BF1A-4DB61E63360D}" name="Own ID for Catalog Lookup" dataDxfId="135">
      <calculatedColumnFormula>IF($A3="","",$A3)</calculatedColumnFormula>
    </tableColumn>
    <tableColumn id="18" xr3:uid="{C31B357C-DF7D-496C-9284-468F00565152}" name="QI Answer Selection Impossible Text" dataDxfId="134">
      <calculatedColumnFormula array="1">_xlfn.SWITCH($F3,
"*","",
"","",
_xlfn.LET(
_xlpm._answers,SUBSTITUTE(SanitizeInput($F3),"&amp;",","),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IF(_xlpm._questionIDUndefined,$A3&amp;" - "&amp;_xlpm._question&amp;": ERROR: Unknown question ID.",
        IF(_xlpm._firstAnswerIsValidOption,"",$A3&amp;" - "&amp;_xlpm._question&amp;": First answer ("&amp;_xlpm._firstAnswer&amp;") is not a valid option.")&amp;
        IF(_xlpm._secondAnswerRequired,IF(_xlpm._secondAnswerProvided,"",$A3&amp;" - "&amp;_xlpm._question&amp;": Second answer required but not provided."),"")&amp;
        IF(NOT(_xlpm._secondAnswerRequired),IF(_xlpm._secondAnswerProvided,$A3&amp;" - "&amp;_xlpm._question&amp;": Second answer ("&amp;_xlpm._secondAnswer&amp;") provided but the question only supports one answer.",""),"")&amp;
        IF(_xlpm._secondAnswerIsValidOption,"",$A3&amp;" - "&amp;_xlpm._question&amp;": Second answer ("&amp;_xlpm._secondAnswer&amp;") is not a valid option.")))),
  _xlfn.LAMBDA(_xlpm._x,_xlpm._y,_xlpm._x&amp;IF(_xlpm._x="","",CHAR(10))&amp;_xlpm._y))))</calculatedColumnFormula>
    </tableColumn>
    <tableColumn id="19" xr3:uid="{70640166-0C48-4EEA-BC63-F7CC712FC02A}" name="QI Answer Selection Impossible ID" dataDxfId="133">
      <calculatedColumnFormula array="1">CreateID($AM$2,$AL3&lt;&gt;"")</calculatedColumnFormula>
    </tableColumn>
  </tableColumns>
  <tableStyleInfo name="DarkCustom"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E7CA1BD-7906-4BD4-A896-77F6E3F01628}" name="Table267818" displayName="Table267818" ref="A2:AP67" totalsRowShown="0" headerRowDxfId="132" dataDxfId="131">
  <autoFilter ref="A2:AP67" xr:uid="{45D5F579-B153-490D-8DA5-723313A84BC5}"/>
  <tableColumns count="42">
    <tableColumn id="1" xr3:uid="{0868707C-82DC-4B79-9F2D-1463D9BCB81C}" name="ID" dataDxfId="130"/>
    <tableColumn id="2" xr3:uid="{2B74D419-D98E-4010-94A7-B12D2CB6D5B0}" name="Countermeasure" dataDxfId="129"/>
    <tableColumn id="8" xr3:uid="{59994B44-BFD0-40BC-9A83-79392C2555E9}" name="Description" dataDxfId="128"/>
    <tableColumn id="35" xr3:uid="{DA30C0FF-8943-454E-90D2-9EB7FE85DA73}" name="Answers" dataDxfId="127"/>
    <tableColumn id="17" xr3:uid="{ADD2835F-2883-47D8-A1E4-57CE73E8DF4E}" name="Answer Names" dataDxfId="126">
      <calculatedColumnFormula array="1">OperateOnList(
  SanitizeInput($D3),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calculatedColumnFormula>
    </tableColumn>
    <tableColumn id="4" xr3:uid="{A04A0603-07CF-4F20-85DE-E65A6B39E8E4}" name="Attack Step IDs" dataDxfId="125"/>
    <tableColumn id="20" xr3:uid="{78434455-F3CB-481F-BFA5-C9932F971150}" name="Mitigated Attack Step Names" dataDxfId="124">
      <calculatedColumnFormula array="1">LookupNames($F3,'Attack Steps'!$A:$B)</calculatedColumnFormula>
    </tableColumn>
    <tableColumn id="23" xr3:uid="{AFE16DBA-82B8-4F4F-A553-333924EE0BBD}" name="PR IDs" dataDxfId="123"/>
    <tableColumn id="24" xr3:uid="{0534C527-55E9-4186-8E5B-56C3CFF0FCA3}" name="Prerequisites" dataDxfId="122">
      <calculatedColumnFormula array="1">RemoveDelimiter(GetValuesWithFallback(SanitizeInput($H3),$A:$B,Assumptions!$A:$B," ",","&amp;CHAR(10),TRUE),","&amp;CHAR(10))</calculatedColumnFormula>
    </tableColumn>
    <tableColumn id="25" xr3:uid="{6D1077A9-EFB1-44B4-AE24-79C3132B5C73}" name="DSTs" dataDxfId="121"/>
    <tableColumn id="26" xr3:uid="{A9473169-ABC2-4DC5-BEA3-7E10880DAF1B}" name="Damage Scenario Transformation" dataDxfId="120">
      <calculatedColumnFormula array="1">IF($J3="","",SUBSTITUTE(SUBSTITUTE(SUBSTITUTE(SUBSTITUTE(SUBSTITUTE(SUBSTITUTE(SUBSTITUTE(SUBSTITUTE(SUBSTITUTE(
GetTransformation(SanitizeInput($J3),'Damage Scenarios'!$A:$J,COLUMNS('Damage Scenarios'!$A:$J),CHAR(10),"[#0][#1][#2]")&amp;"§",
"[#1][#2]",""),
"[#2]",""),
"[#0][#1]","[#1]"),
"[#0]","Removes:"&amp;CHAR(10)),
"[#1]","Transforms:"&amp;CHAR(10)),
CHAR(10)&amp;"§",""),
"§",""),
CHAR(10),CHAR(10)&amp;"   "),
"   "&amp;"Transforms:","Transforms:"))</calculatedColumnFormula>
    </tableColumn>
    <tableColumn id="11" xr3:uid="{FFF97CB1-8D59-4A55-98F5-B681285C47C3}" name="Elapsed Time" dataDxfId="119"/>
    <tableColumn id="12" xr3:uid="{C518660F-0664-4ADE-B00B-DC52F476EBF1}" name="Expertise" dataDxfId="118"/>
    <tableColumn id="13" xr3:uid="{6670F752-C437-435F-9DE8-5EC7069B62FA}" name="Knowledge of TOE" dataDxfId="117"/>
    <tableColumn id="14" xr3:uid="{27C6358D-1F7C-4F30-9F5E-5D81E84C7DB3}" name="Window of Opportunity" dataDxfId="116"/>
    <tableColumn id="10" xr3:uid="{1E7B42CD-D38C-4A38-B0C9-439655FC6CB5}" name="Equipment" dataDxfId="115"/>
    <tableColumn id="21" xr3:uid="{64E2DB5B-D9FE-46A6-B9EC-4155FE48F62C}" name="RAP" dataDxfId="114">
      <calculatedColumnFormula>IF($A3="","",IFERROR(VLOOKUP($Z3,Definitions!$V:$W,COLUMNS(Definitions!$V:$W),TRUE),""))</calculatedColumnFormula>
    </tableColumn>
    <tableColumn id="34" xr3:uid="{7C72FBC0-6FE2-4651-8FAA-07A3990DFC79}" name="Mapping to CRA, Annex I (1.2)" dataDxfId="113"/>
    <tableColumn id="42" xr3:uid="{568A7E39-794F-4860-B925-6A19C126E5AE}" name="Reference" dataDxfId="112"/>
    <tableColumn id="5" xr3:uid="{C121419B-07B4-453B-9FEF-2B1F57C7A733}" name="Comment" dataDxfId="111"/>
    <tableColumn id="3" xr3:uid="{E4171181-874B-4424-BFC9-229EC4DC8230}" name="Shadow ID" dataDxfId="110">
      <calculatedColumnFormula array="1">CreateID($U$2,$A3&lt;&gt;"")</calculatedColumnFormula>
    </tableColumn>
    <tableColumn id="6" xr3:uid="{0A33B27F-48A7-4F80-B89F-FADC4233DAEA}" name="Active for Proposal?" dataDxfId="109">
      <calculatedColumnFormula array="1">CheckRelevance(SanitizeInput(F3),Questionnaire!$J:$J)</calculatedColumnFormula>
    </tableColumn>
    <tableColumn id="29" xr3:uid="{D8060DC2-6939-49F7-8394-4AE30AC2E902}" name="Active in Risk Treatment?" dataDxfId="108">
      <calculatedColumnFormula>IFERROR(_xlfn.XMATCH("*,"&amp;$A3&amp;",*",Mitigation!$X:$X,2)&gt;0,FALSE)</calculatedColumnFormula>
    </tableColumn>
    <tableColumn id="7" xr3:uid="{996E21A4-5432-462B-96B3-CD6C57F2DD38}" name="Task ID" dataDxfId="107">
      <calculatedColumnFormula array="1">CreateTaskID($X$2,$X:$X,Tasks!$B$17,$T3)</calculatedColumnFormula>
    </tableColumn>
    <tableColumn id="9" xr3:uid="{FC4353CD-3674-4284-A668-819C7528376D}" name="Attack Step Search" dataDxfId="106">
      <calculatedColumnFormula array="1">CreateSearchString($F3)</calculatedColumnFormula>
    </tableColumn>
    <tableColumn id="22" xr3:uid="{AC55C0CB-C186-40DE-AC12-67B2C58D10C4}" name="SUM" dataDxfId="105">
      <calculatedColumnFormula array="1">OperateOnRange(
  $L3,
  TRUE,
  Helper!$B$16,
  0,
  _xlfn.LAMBDA(_xlpm._factor,IF(_xlpm._factor="",0,SimpleLookup(_xlpm._factor,Definitions!$Z:$AA))),
  _xlfn.LAMBDA(_xlpm._x,_xlpm._y,_xlpm._x+_xlpm._y))</calculatedColumnFormula>
    </tableColumn>
    <tableColumn id="32" xr3:uid="{B6A54317-F7C8-4AB4-8B6C-E923B022F9B1}" name="Dependency Search" dataDxfId="104">
      <calculatedColumnFormula array="1">CreateSearchString($H3)</calculatedColumnFormula>
    </tableColumn>
    <tableColumn id="31" xr3:uid="{DDA14D9D-D940-4652-A0C6-81FFDC36AE3F}" name="Active Or Transitively Active as Dependency" dataDxfId="103">
      <calculatedColumnFormula array="1">IF($A3="",FALSE,
OR($AG3,_xlfn.LAMBDA(_xlpm._ownID,_xlpm._searchHeader,_xlpm._resultHeader,_xlpm._elementCount,_xlpm._delimiter,_xlpm._activeInTreatmentRange,_xlpm._activeByAnswersRange,_xlpm._dependencies,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InverseLookup(_xlpm._ownID,_xlpm._searchHeader,_xlpm._resultHeader,1,_xlpm._elementCount,_xlpm._delimiter))))))($A3,$AA$2,$A$2,Helper!$B$4,",",$A:$W,$A:$AG,InverseLookup($A3,$AA$2,$A$2,1,Helper!$B$4,","))))</calculatedColumnFormula>
    </tableColumn>
    <tableColumn id="27" xr3:uid="{9C2806A4-6B13-4670-9A46-1F6A28B6B6FF}" name="Dependency Search If Active" dataDxfId="102">
      <calculatedColumnFormula array="1">IF(OR($W3,$AB3,$AG3),CreateSearchString($H3),"")</calculatedColumnFormula>
    </tableColumn>
    <tableColumn id="28" xr3:uid="{415853A5-ACDF-4308-9BFC-4ED8434E22D3}" name="Damage Scenario Search If Active" dataDxfId="101">
      <calculatedColumnFormula array="1">SUBSTITUTE(IF($W3,CreateSearchString($J3),""),"&gt;",",")</calculatedColumnFormula>
    </tableColumn>
    <tableColumn id="30" xr3:uid="{2910946F-B050-4A12-8918-5E95E88A11F8}" name="Active Countermeasure ID" dataDxfId="100">
      <calculatedColumnFormula array="1">CreateID($AE$2,$AB3)</calculatedColumnFormula>
    </tableColumn>
    <tableColumn id="33" xr3:uid="{70B0EDC3-F75A-4815-914C-E4A6C63706A5}" name="Annex I Active Countermeasure Search" dataDxfId="99">
      <calculatedColumnFormula array="1">IF($AB3,CreateSearchString($R3),"")</calculatedColumnFormula>
    </tableColumn>
    <tableColumn id="36" xr3:uid="{13CB50D3-3AEA-4D19-9B53-B42F0C92D210}" name="Active Based on Answers" dataDxfId="98">
      <calculatedColumnFormula>OR(CheckRelevance(SanitizeInput($D3),Questionnaire!$J:$J),CheckRelevance(SanitizeInput($D3),Questionnaire!$K:$K))</calculatedColumnFormula>
    </tableColumn>
    <tableColumn id="44" xr3:uid="{F1C1DE6F-44D1-405C-ADDB-E61A3745CF55}" name="Filtered Preconditions" dataDxfId="97">
      <calculatedColumnFormula array="1">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FilterPreconditionCandidates(RemoveFirstElement(_xlpm._preconditionCandidates),_xlpm._searchColumn,_xlpm._delimiter))))(SanitizeInput($D3),Questionnaire!$AB:$AB,",")</calculatedColumnFormula>
    </tableColumn>
    <tableColumn id="37" xr3:uid="{DCA15EC8-10C1-43A2-A29A-2E7EE05EE1D0}" name="Triggering Answer IDs" dataDxfId="96">
      <calculatedColumnFormula array="1">IF($D3="*","",InverseLookupList($AH3,Questionnaire!$AB$3,Questionnaire!$B$3,Helper!$B$12,","))</calculatedColumnFormula>
    </tableColumn>
    <tableColumn id="38" xr3:uid="{F8022849-8EA0-4C3C-B559-33ADE1AAE7EF}" name="Triggering Answers and Their Comments" dataDxfId="95">
      <calculatedColumnFormula array="1">RemoveDelimiter(GetValues($AI3,Questionnaire!$B:$H," ",CHAR(10)&amp;CHAR(10),TRUE),CHAR(10)&amp;CHAR(10))</calculatedColumnFormula>
    </tableColumn>
    <tableColumn id="39" xr3:uid="{23F29541-A31D-4145-8BEF-0E4A46A7D2AB}" name="Triggering Answer Search" dataDxfId="94">
      <calculatedColumnFormula array="1">CreateSearchString($AI3)</calculatedColumnFormula>
    </tableColumn>
    <tableColumn id="40" xr3:uid="{E4656E51-6CBC-482C-9FD1-DBD968847E44}" name="Mitigates Attack Steps" dataDxfId="93">
      <calculatedColumnFormula array="1">InverseLookup($A3,Mitigation!$AD$2,Mitigation!$A$2,1,Helper!$B$5,",")</calculatedColumnFormula>
    </tableColumn>
    <tableColumn id="41" xr3:uid="{C7220B0F-F48F-4BBB-87E6-31FD4F002430}" name="Mitigated Attack Steps Mapped to Annex Search" dataDxfId="92">
      <calculatedColumnFormula array="1">CreateSearchString(GetValues($AL3,'Attack Steps'!$A:$P,"",",",FALSE))</calculatedColumnFormula>
    </tableColumn>
    <tableColumn id="43" xr3:uid="{99A91787-A506-4399-92D5-C81A4124AF07}" name="Own ID for Catalog Lookup" dataDxfId="91">
      <calculatedColumnFormula>IF($A3="","",$A3)</calculatedColumnFormula>
    </tableColumn>
    <tableColumn id="15" xr3:uid="{C0F7E5FA-65D0-4D7B-801C-8784627902BD}" name="QI Answer Selection Impossible Text" dataDxfId="90">
      <calculatedColumnFormula array="1">_xlfn.SWITCH($D3,
"*","",
"","",
_xlfn.LET(
_xlpm._answers,SUBSTITUTE(SanitizeInput($D3),"&amp;",","),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IF(_xlpm._questionIDUndefined,$A3&amp;" - "&amp;_xlpm._question&amp;": ERROR: Unknown question ID.",
        IF(_xlpm._firstAnswerIsValidOption,"",$A3&amp;" - "&amp;_xlpm._question&amp;": First answer ("&amp;_xlpm._firstAnswer&amp;") is not a valid option.")&amp;
        IF(_xlpm._secondAnswerRequired,IF(_xlpm._secondAnswerProvided,"",$A3&amp;" - "&amp;_xlpm._question&amp;": Second answer required but not provided."),"")&amp;
        IF(NOT(_xlpm._secondAnswerRequired),IF(_xlpm._secondAnswerProvided,$A3&amp;" - "&amp;_xlpm._question&amp;": Second answer ("&amp;_xlpm._secondAnswer&amp;") provided but the question only supports one answer.",""),"")&amp;
        IF(_xlpm._secondAnswerIsValidOption,"",$A3&amp;" - "&amp;_xlpm._question&amp;": Second answer ("&amp;_xlpm._secondAnswer&amp;") is not a valid option.")))),
  _xlfn.LAMBDA(_xlpm._x,_xlpm._y,_xlpm._x&amp;IF(_xlpm._x="","",CHAR(10))&amp;_xlpm._y))))</calculatedColumnFormula>
    </tableColumn>
    <tableColumn id="16" xr3:uid="{C4368614-3EA3-494F-9FC9-A76862988002}" name="QI Answer Selection Impossible ID" dataDxfId="89">
      <calculatedColumnFormula array="1">CreateID($AP$2,$AO3&lt;&gt;"")</calculatedColumnFormula>
    </tableColumn>
  </tableColumns>
  <tableStyleInfo name="DarkCustom"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printerSettings" Target="../printerSettings/printerSettings4.bin"/><Relationship Id="rId1" Type="http://schemas.openxmlformats.org/officeDocument/2006/relationships/hyperlink" Target="mailto:cybersecurity@SICK.de" TargetMode="Externa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rinterSettings" Target="../printerSettings/printerSettings11.bin"/><Relationship Id="rId4"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000EF-2AE7-4ABA-B6D3-951A33E387AC}">
  <sheetPr>
    <tabColor theme="1"/>
  </sheetPr>
  <dimension ref="A2"/>
  <sheetViews>
    <sheetView tabSelected="1" workbookViewId="0">
      <selection activeCell="I21" sqref="I21"/>
    </sheetView>
  </sheetViews>
  <sheetFormatPr defaultColWidth="9.140625" defaultRowHeight="15" x14ac:dyDescent="0.25"/>
  <cols>
    <col min="1" max="16384" width="9.140625" style="2"/>
  </cols>
  <sheetData>
    <row r="2" spans="1:1" x14ac:dyDescent="0.25">
      <c r="A2" s="2" t="s">
        <v>1692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AB078-A124-42A9-882E-4001CB207088}">
  <sheetPr>
    <tabColor theme="1"/>
    <outlinePr summaryBelow="0"/>
  </sheetPr>
  <dimension ref="A1:M263"/>
  <sheetViews>
    <sheetView workbookViewId="0"/>
  </sheetViews>
  <sheetFormatPr defaultColWidth="9.140625" defaultRowHeight="15" outlineLevelRow="1" x14ac:dyDescent="0.25"/>
  <cols>
    <col min="1" max="1" width="20.7109375" style="4" customWidth="1"/>
    <col min="2" max="2" width="60.7109375" style="4" customWidth="1"/>
    <col min="3" max="4" width="60.7109375" style="2" customWidth="1"/>
    <col min="5" max="5" width="14.5703125" style="2" hidden="1" customWidth="1"/>
    <col min="6" max="6" width="16" style="2" hidden="1" customWidth="1"/>
    <col min="7" max="7" width="14.5703125" style="2" hidden="1" customWidth="1"/>
    <col min="8" max="8" width="9.85546875" style="2" hidden="1" customWidth="1"/>
    <col min="9" max="9" width="23.7109375" style="2" hidden="1" customWidth="1"/>
    <col min="10" max="10" width="9.140625" style="2" hidden="1" customWidth="1"/>
    <col min="11" max="11" width="34.5703125" style="2" hidden="1" customWidth="1"/>
    <col min="12" max="12" width="36.7109375" style="2" hidden="1" customWidth="1"/>
    <col min="13" max="13" width="21.7109375" style="2" hidden="1" customWidth="1"/>
    <col min="14" max="16384" width="9.140625" style="2"/>
  </cols>
  <sheetData>
    <row r="1" spans="1:4" s="76" customFormat="1" ht="18.75" x14ac:dyDescent="0.3">
      <c r="A1" s="74" t="s">
        <v>1076</v>
      </c>
      <c r="B1" s="75"/>
      <c r="C1" s="75"/>
      <c r="D1" s="75"/>
    </row>
    <row r="2" spans="1:4" s="76" customFormat="1" ht="18.75" x14ac:dyDescent="0.3">
      <c r="A2" s="112"/>
      <c r="B2" s="71" t="str" cm="1">
        <f t="array" aca="1" ref="B2" ca="1">HYPERLINK("#"&amp;GetReferenceText(Definitions!$C$4),"(0) Tailor the assessment model and the catalogs.")</f>
        <v>(0) Tailor the assessment model and the catalogs.</v>
      </c>
    </row>
    <row r="3" spans="1:4" s="76" customFormat="1" ht="30" customHeight="1" x14ac:dyDescent="0.3">
      <c r="A3" s="112"/>
      <c r="B3" s="119" t="s">
        <v>1713</v>
      </c>
      <c r="C3" s="119"/>
      <c r="D3" s="119"/>
    </row>
    <row r="4" spans="1:4" x14ac:dyDescent="0.25">
      <c r="A4" s="42"/>
      <c r="B4" s="71" t="str" cm="1">
        <f t="array" aca="1" ref="B4" ca="1">HYPERLINK("#"&amp;GetReferenceText(Documentation!$C$2),"(1) Provide basic information in the Documentation sheet.")</f>
        <v>(1) Provide basic information in the Documentation sheet.</v>
      </c>
    </row>
    <row r="5" spans="1:4" x14ac:dyDescent="0.25">
      <c r="A5" s="42"/>
      <c r="B5" s="71" t="str" cm="1">
        <f t="array" aca="1" ref="B5" ca="1">HYPERLINK("#"&amp;GetReferenceText(Questionnaire!$D$6),"(2) Answer the questions in the Questionnaire sheet. Fill all marked boxes.")</f>
        <v>(2) Answer the questions in the Questionnaire sheet. Fill all marked boxes.</v>
      </c>
    </row>
    <row r="6" spans="1:4" x14ac:dyDescent="0.25">
      <c r="A6" s="42"/>
      <c r="B6" s="71" t="str" cm="1">
        <f t="array" aca="1" ref="B6" ca="1">HYPERLINK("#"&amp;GetReferenceText(Risks!$A$2),"(3) Ensure that the table in the Risks sheet is large enough to calculate all attack paths.")</f>
        <v>(3) Ensure that the table in the Risks sheet is large enough to calculate all attack paths.</v>
      </c>
    </row>
    <row r="7" spans="1:4" ht="45" customHeight="1" x14ac:dyDescent="0.25">
      <c r="A7" s="42"/>
      <c r="B7" s="119" t="s">
        <v>1075</v>
      </c>
      <c r="C7" s="119"/>
      <c r="D7" s="119"/>
    </row>
    <row r="8" spans="1:4" x14ac:dyDescent="0.25">
      <c r="A8" s="42"/>
      <c r="B8" s="71" t="str" cm="1">
        <f t="array" aca="1" ref="B8" ca="1">HYPERLINK("#"&amp;GetReferenceText(Mitigation!$J$3),"(4) Assign assumptions and countermeasures mitigating specific attack steps in the Mitigation sheet.")</f>
        <v>(4) Assign assumptions and countermeasures mitigating specific attack steps in the Mitigation sheet.</v>
      </c>
    </row>
    <row r="9" spans="1:4" ht="30" customHeight="1" x14ac:dyDescent="0.25">
      <c r="A9" s="42"/>
      <c r="B9" s="119" t="s">
        <v>1527</v>
      </c>
      <c r="C9" s="119"/>
      <c r="D9" s="119"/>
    </row>
    <row r="10" spans="1:4" x14ac:dyDescent="0.25">
      <c r="A10" s="42"/>
      <c r="B10" s="71" t="str" cm="1">
        <f t="array" aca="1" ref="B10" ca="1">HYPERLINK("#"&amp;GetReferenceText('Risk Treatment'!$A$5),"(5) Make risk treatment decisions in the Risk Treatment sheet.")</f>
        <v>(5) Make risk treatment decisions in the Risk Treatment sheet.</v>
      </c>
    </row>
    <row r="11" spans="1:4" x14ac:dyDescent="0.25">
      <c r="A11" s="42"/>
      <c r="B11" s="2"/>
    </row>
    <row r="12" spans="1:4" s="76" customFormat="1" ht="37.5" x14ac:dyDescent="0.3">
      <c r="A12" s="77" t="s">
        <v>671</v>
      </c>
      <c r="B12" s="75"/>
      <c r="C12" s="75"/>
      <c r="D12" s="75"/>
    </row>
    <row r="13" spans="1:4" x14ac:dyDescent="0.25">
      <c r="A13" s="42"/>
      <c r="B13" s="2" t="s">
        <v>781</v>
      </c>
    </row>
    <row r="14" spans="1:4" x14ac:dyDescent="0.25">
      <c r="A14" s="42"/>
      <c r="B14" s="2" t="s">
        <v>674</v>
      </c>
    </row>
    <row r="15" spans="1:4" x14ac:dyDescent="0.25">
      <c r="A15" s="42"/>
      <c r="B15" s="2" t="s">
        <v>725</v>
      </c>
    </row>
    <row r="16" spans="1:4" x14ac:dyDescent="0.25">
      <c r="A16" s="42"/>
      <c r="B16" s="40" t="s">
        <v>672</v>
      </c>
    </row>
    <row r="17" spans="1:4" x14ac:dyDescent="0.25">
      <c r="A17" s="42"/>
      <c r="B17" s="2" t="s">
        <v>1082</v>
      </c>
    </row>
    <row r="18" spans="1:4" x14ac:dyDescent="0.25">
      <c r="A18" s="42"/>
      <c r="B18" s="2" t="s">
        <v>1083</v>
      </c>
    </row>
    <row r="19" spans="1:4" x14ac:dyDescent="0.25">
      <c r="A19" s="15"/>
    </row>
    <row r="20" spans="1:4" x14ac:dyDescent="0.25">
      <c r="A20" s="46" t="s">
        <v>616</v>
      </c>
      <c r="B20" s="47" t="s">
        <v>609</v>
      </c>
      <c r="C20" s="52"/>
      <c r="D20" s="52"/>
    </row>
    <row r="21" spans="1:4" x14ac:dyDescent="0.25">
      <c r="A21" s="43" t="s">
        <v>617</v>
      </c>
      <c r="B21" s="4" t="s">
        <v>1563</v>
      </c>
    </row>
    <row r="22" spans="1:4" x14ac:dyDescent="0.25">
      <c r="A22" s="44" t="s">
        <v>740</v>
      </c>
      <c r="B22" s="2" t="s">
        <v>756</v>
      </c>
    </row>
    <row r="23" spans="1:4" x14ac:dyDescent="0.25">
      <c r="A23" s="41" t="s">
        <v>739</v>
      </c>
      <c r="B23" s="2" t="s">
        <v>738</v>
      </c>
    </row>
    <row r="24" spans="1:4" x14ac:dyDescent="0.25">
      <c r="A24" s="45" t="s">
        <v>618</v>
      </c>
      <c r="B24" s="4" t="s">
        <v>619</v>
      </c>
    </row>
    <row r="25" spans="1:4" x14ac:dyDescent="0.25">
      <c r="A25" s="92" t="s">
        <v>622</v>
      </c>
      <c r="B25" s="2" t="s">
        <v>1468</v>
      </c>
    </row>
    <row r="26" spans="1:4" x14ac:dyDescent="0.25">
      <c r="A26" s="41"/>
    </row>
    <row r="27" spans="1:4" x14ac:dyDescent="0.25">
      <c r="A27" s="46" t="s">
        <v>736</v>
      </c>
      <c r="B27" s="47" t="s">
        <v>609</v>
      </c>
      <c r="C27" s="52"/>
      <c r="D27" s="52"/>
    </row>
    <row r="28" spans="1:4" x14ac:dyDescent="0.25">
      <c r="A28" s="41" t="s">
        <v>621</v>
      </c>
      <c r="B28" s="2" t="s">
        <v>774</v>
      </c>
    </row>
    <row r="29" spans="1:4" x14ac:dyDescent="0.25">
      <c r="A29" s="48" t="s">
        <v>622</v>
      </c>
      <c r="B29" s="2" t="s">
        <v>755</v>
      </c>
    </row>
    <row r="30" spans="1:4" x14ac:dyDescent="0.25">
      <c r="A30" s="53" t="s">
        <v>735</v>
      </c>
      <c r="B30" s="4" t="s">
        <v>737</v>
      </c>
    </row>
    <row r="31" spans="1:4" x14ac:dyDescent="0.25">
      <c r="A31" s="49" t="s">
        <v>735</v>
      </c>
      <c r="B31" s="4" t="s">
        <v>623</v>
      </c>
    </row>
    <row r="32" spans="1:4" x14ac:dyDescent="0.25">
      <c r="A32" s="73" t="s">
        <v>1077</v>
      </c>
      <c r="B32" s="2" t="s">
        <v>1521</v>
      </c>
    </row>
    <row r="34" spans="1:13" s="76" customFormat="1" ht="18.75" x14ac:dyDescent="0.3">
      <c r="A34" s="74" t="s">
        <v>1078</v>
      </c>
      <c r="B34" s="74"/>
      <c r="C34" s="74"/>
      <c r="D34" s="74"/>
    </row>
    <row r="35" spans="1:13" x14ac:dyDescent="0.25">
      <c r="A35" s="10" t="s">
        <v>388</v>
      </c>
      <c r="B35" s="10" t="s">
        <v>614</v>
      </c>
      <c r="C35" s="9" t="s">
        <v>609</v>
      </c>
      <c r="D35" s="2" t="s">
        <v>2</v>
      </c>
      <c r="E35" s="2" t="s">
        <v>613</v>
      </c>
      <c r="F35" s="2" t="s">
        <v>615</v>
      </c>
      <c r="G35" s="2" t="s">
        <v>214</v>
      </c>
      <c r="H35" s="2" t="s">
        <v>611</v>
      </c>
      <c r="I35" s="2" t="s">
        <v>1141</v>
      </c>
      <c r="K35" s="1" t="s">
        <v>612</v>
      </c>
      <c r="L35" s="2" t="s">
        <v>670</v>
      </c>
      <c r="M35" s="2" t="s">
        <v>1025</v>
      </c>
    </row>
    <row r="36" spans="1:13" ht="30" outlineLevel="1" x14ac:dyDescent="0.25">
      <c r="A36" s="10" t="str" cm="1">
        <f t="array" aca="1" ref="A36" ca="1">IF(INDEX($H:$H,ROW()-1)&lt;&gt;$H36,$E36,"")</f>
        <v>Version History</v>
      </c>
      <c r="B36" s="50" t="str" cm="1">
        <f t="array" aca="1" ref="B36" ca="1">IF($K36="","",_xlfn.LET(
_xlpm._fullName,IF($L36="",SUBSTITUTE(SUBSTITUTE(INDIRECT($K36),CHAR(10)," "),"  "," "),$L36),
_xlpm._truncatedName,IF(LEN(_xlpm._fullName)&gt;250,LEFT(_xlpm._fullName,250)&amp;"[…]",_xlpm._fullName),
HYPERLINK("#'"&amp;$E36&amp;"'!"&amp;$F36&amp;$G36,
_xlpm._truncatedName)))</f>
        <v>Template Version History</v>
      </c>
      <c r="C36" s="10" t="s">
        <v>662</v>
      </c>
      <c r="D36" s="10"/>
      <c r="E36" s="9" t="str">
        <f t="shared" ref="E36:E40" ca="1" si="0">IF($K36="","",_xlfn.LET(
_xlpm._in,$K36,
_xlpm._start,FIND("]",_xlpm._in)+1,
SUBSTITUTE(MID(_xlpm._in,_xlpm._start,FIND("!",_xlpm._in)-_xlpm._start),"'","")))</f>
        <v>Version History</v>
      </c>
      <c r="F36" s="9" t="str">
        <f t="shared" ref="F36:F40" ca="1" si="1">IF($K36="","",_xlfn.LET(
_xlpm._in,SUBSTITUTE($K36,"$","§",1),
_xlpm._start,FIND("§",_xlpm._in)+1,
SUBSTITUTE(MID(_xlpm._in,_xlpm._start,FIND("$",_xlpm._in)-_xlpm._start),"'","")))</f>
        <v>B</v>
      </c>
      <c r="G36" s="9" t="str">
        <f t="shared" ref="G36:G40" ca="1" si="2">IF($K36="","",RIGHT($K36,LEN($K36)-FIND("$",SUBSTITUTE($K36,"$","§",1))))</f>
        <v>1</v>
      </c>
      <c r="H36" s="9" cm="1">
        <f t="array" aca="1" ref="H36" ca="1">CreateID($H$35,$E36&lt;&gt;INDEX($E:$E,ROW()-1))</f>
        <v>1</v>
      </c>
      <c r="I36" s="9" t="str" cm="1">
        <f t="array" aca="1" ref="I36" ca="1">INDIRECT($K36)</f>
        <v>Template Version History</v>
      </c>
      <c r="K36" s="1" t="str" cm="1">
        <f t="array" aca="1" ref="K36" ca="1">CELL("address",'Version History'!$B$1)</f>
        <v>'[QuBA-libre.xlsx]Version History'!$B$1</v>
      </c>
    </row>
    <row r="37" spans="1:13" ht="30" outlineLevel="1" x14ac:dyDescent="0.25">
      <c r="A37" s="10" t="str" cm="1">
        <f t="array" aca="1" ref="A37" ca="1">IF(INDEX($H:$H,ROW()-1)&lt;&gt;$H37,$E37,"")</f>
        <v/>
      </c>
      <c r="B37" s="50" t="str" cm="1">
        <f t="array" aca="1" ref="B37" ca="1">IF($K37="","",_xlfn.LET(
_xlpm._fullName,IF($L37="",SUBSTITUTE(SUBSTITUTE(INDIRECT($K37),CHAR(10)," "),"  "," "),$L37),
_xlpm._truncatedName,IF(LEN(_xlpm._fullName)&gt;250,LEFT(_xlpm._fullName,250)&amp;"[…]",_xlpm._fullName),
HYPERLINK("#'"&amp;$E37&amp;"'!"&amp;$F37&amp;$G37,
_xlpm._truncatedName)))</f>
        <v>Definitions and Damage Scenarios Version History</v>
      </c>
      <c r="C37" s="10" t="s">
        <v>1177</v>
      </c>
      <c r="D37" s="10"/>
      <c r="E37" s="9" t="str">
        <f t="shared" ca="1" si="0"/>
        <v>Version History</v>
      </c>
      <c r="F37" s="9" t="str">
        <f t="shared" ca="1" si="1"/>
        <v>B</v>
      </c>
      <c r="G37" s="9" t="str">
        <f t="shared" ca="1" si="2"/>
        <v>6</v>
      </c>
      <c r="H37" s="9" cm="1">
        <f t="array" aca="1" ref="H37" ca="1">CreateID($H$35,$E37&lt;&gt;INDEX($E:$E,ROW()-1))</f>
        <v>1</v>
      </c>
      <c r="I37" s="9" t="str" cm="1">
        <f t="array" aca="1" ref="I37" ca="1">INDIRECT($K37)</f>
        <v>Definitions and Damage Scenarios Version History</v>
      </c>
      <c r="K37" s="1" t="str" cm="1">
        <f t="array" aca="1" ref="K37" ca="1">CELL("address",'Version History'!$B$6)</f>
        <v>'[QuBA-libre.xlsx]Version History'!$B$6</v>
      </c>
    </row>
    <row r="38" spans="1:13" outlineLevel="1" x14ac:dyDescent="0.25">
      <c r="A38" s="10" t="str" cm="1">
        <f t="array" aca="1" ref="A38" ca="1">IF(INDEX($H:$H,ROW()-1)&lt;&gt;$H38,$E38,"")</f>
        <v/>
      </c>
      <c r="B38" s="50" t="str" cm="1">
        <f t="array" aca="1" ref="B38" ca="1">IF($K38="","",_xlfn.LET(
_xlpm._fullName,IF($L38="",SUBSTITUTE(SUBSTITUTE(INDIRECT($K38),CHAR(10)," "),"  "," "),$L38),
_xlpm._truncatedName,IF(LEN(_xlpm._fullName)&gt;250,LEFT(_xlpm._fullName,250)&amp;"[…]",_xlpm._fullName),
HYPERLINK("#'"&amp;$E38&amp;"'!"&amp;$F38&amp;$G38,
_xlpm._truncatedName)))</f>
        <v>Attack Steps Version History</v>
      </c>
      <c r="C38" s="10" t="s">
        <v>663</v>
      </c>
      <c r="D38" s="10"/>
      <c r="E38" s="9" t="str">
        <f t="shared" ca="1" si="0"/>
        <v>Version History</v>
      </c>
      <c r="F38" s="9" t="str">
        <f t="shared" ca="1" si="1"/>
        <v>B</v>
      </c>
      <c r="G38" s="9" t="str">
        <f t="shared" ca="1" si="2"/>
        <v>11</v>
      </c>
      <c r="H38" s="9" cm="1">
        <f t="array" aca="1" ref="H38" ca="1">CreateID($H$35,$E38&lt;&gt;INDEX($E:$E,ROW()-1))</f>
        <v>1</v>
      </c>
      <c r="I38" s="9" t="str" cm="1">
        <f t="array" aca="1" ref="I38" ca="1">INDIRECT($K38)</f>
        <v>Attack Steps Version History</v>
      </c>
      <c r="K38" s="1" t="str" cm="1">
        <f t="array" aca="1" ref="K38" ca="1">CELL("address",'Version History'!$B$11)</f>
        <v>'[QuBA-libre.xlsx]Version History'!$B$11</v>
      </c>
    </row>
    <row r="39" spans="1:13" outlineLevel="1" x14ac:dyDescent="0.25">
      <c r="A39" s="10" t="str" cm="1">
        <f t="array" aca="1" ref="A39" ca="1">IF(INDEX($H:$H,ROW()-1)&lt;&gt;$H39,$E39,"")</f>
        <v/>
      </c>
      <c r="B39" s="50" t="str" cm="1">
        <f t="array" aca="1" ref="B39" ca="1">IF($K39="","",_xlfn.LET(
_xlpm._fullName,IF($L39="",SUBSTITUTE(SUBSTITUTE(INDIRECT($K39),CHAR(10)," "),"  "," "),$L39),
_xlpm._truncatedName,IF(LEN(_xlpm._fullName)&gt;250,LEFT(_xlpm._fullName,250)&amp;"[…]",_xlpm._fullName),
HYPERLINK("#'"&amp;$E39&amp;"'!"&amp;$F39&amp;$G39,
_xlpm._truncatedName)))</f>
        <v>Assumptions Version History</v>
      </c>
      <c r="C39" s="10" t="s">
        <v>664</v>
      </c>
      <c r="D39" s="10"/>
      <c r="E39" s="9" t="str">
        <f t="shared" ca="1" si="0"/>
        <v>Version History</v>
      </c>
      <c r="F39" s="9" t="str">
        <f t="shared" ca="1" si="1"/>
        <v>B</v>
      </c>
      <c r="G39" s="9" t="str">
        <f t="shared" ca="1" si="2"/>
        <v>16</v>
      </c>
      <c r="H39" s="9" cm="1">
        <f t="array" aca="1" ref="H39" ca="1">CreateID($H$35,$E39&lt;&gt;INDEX($E:$E,ROW()-1))</f>
        <v>1</v>
      </c>
      <c r="I39" s="9" t="str" cm="1">
        <f t="array" aca="1" ref="I39" ca="1">INDIRECT($K39)</f>
        <v>Assumptions Version History</v>
      </c>
      <c r="K39" s="1" t="str" cm="1">
        <f t="array" aca="1" ref="K39" ca="1">CELL("address",'Version History'!$B$16)</f>
        <v>'[QuBA-libre.xlsx]Version History'!$B$16</v>
      </c>
    </row>
    <row r="40" spans="1:13" outlineLevel="1" x14ac:dyDescent="0.25">
      <c r="A40" s="10" t="str" cm="1">
        <f t="array" aca="1" ref="A40" ca="1">IF(INDEX($H:$H,ROW()-1)&lt;&gt;$H40,$E40,"")</f>
        <v/>
      </c>
      <c r="B40" s="50" t="str" cm="1">
        <f t="array" aca="1" ref="B40" ca="1">IF($K40="","",_xlfn.LET(
_xlpm._fullName,IF($L40="",SUBSTITUTE(SUBSTITUTE(INDIRECT($K40),CHAR(10)," "),"  "," "),$L40),
_xlpm._truncatedName,IF(LEN(_xlpm._fullName)&gt;250,LEFT(_xlpm._fullName,250)&amp;"[…]",_xlpm._fullName),
HYPERLINK("#'"&amp;$E40&amp;"'!"&amp;$F40&amp;$G40,
_xlpm._truncatedName)))</f>
        <v>Countermeasures Version History</v>
      </c>
      <c r="C40" s="10" t="s">
        <v>665</v>
      </c>
      <c r="D40" s="10"/>
      <c r="E40" s="9" t="str">
        <f t="shared" ca="1" si="0"/>
        <v>Version History</v>
      </c>
      <c r="F40" s="9" t="str">
        <f t="shared" ca="1" si="1"/>
        <v>B</v>
      </c>
      <c r="G40" s="9" t="str">
        <f t="shared" ca="1" si="2"/>
        <v>21</v>
      </c>
      <c r="H40" s="9" cm="1">
        <f t="array" aca="1" ref="H40" ca="1">CreateID($H$35,$E40&lt;&gt;INDEX($E:$E,ROW()-1))</f>
        <v>1</v>
      </c>
      <c r="I40" s="9" t="str" cm="1">
        <f t="array" aca="1" ref="I40" ca="1">INDIRECT($K40)</f>
        <v>Countermeasures Version History</v>
      </c>
      <c r="K40" s="1" t="str" cm="1">
        <f t="array" aca="1" ref="K40" ca="1">CELL("address",'Version History'!$B$21)</f>
        <v>'[QuBA-libre.xlsx]Version History'!$B$21</v>
      </c>
    </row>
    <row r="41" spans="1:13" x14ac:dyDescent="0.25">
      <c r="A41" s="10" t="str" cm="1">
        <f t="array" aca="1" ref="A41" ca="1">IF(INDEX($H:$H,ROW()-1)&lt;&gt;$H41,$E41,"")</f>
        <v>Definitions</v>
      </c>
      <c r="B41" s="50" t="str" cm="1">
        <f t="array" aca="1" ref="B41" ca="1">IF($K41="","",_xlfn.LET(
_xlpm._fullName,IF($L41="",SUBSTITUTE(SUBSTITUTE(INDIRECT($K41),CHAR(10)," "),"  "," "),$L41),
_xlpm._truncatedName,IF(LEN(_xlpm._fullName)&gt;250,LEFT(_xlpm._fullName,250)&amp;"[…]",_xlpm._fullName),
HYPERLINK("#'"&amp;$E41&amp;"'!"&amp;$F41&amp;$G41,
_xlpm._truncatedName)))</f>
        <v>Yes / No</v>
      </c>
      <c r="C41" s="10" t="s">
        <v>610</v>
      </c>
      <c r="D41" s="10"/>
      <c r="E41" s="9" t="str">
        <f t="shared" ref="E41:E49" ca="1" si="3">IF($K41="","",_xlfn.LET(
_xlpm._in,$K41,
_xlpm._start,FIND("]",_xlpm._in)+1,
SUBSTITUTE(MID(_xlpm._in,_xlpm._start,FIND("!",_xlpm._in)-_xlpm._start),"'","")))</f>
        <v>Definitions</v>
      </c>
      <c r="F41" s="9" t="str">
        <f t="shared" ref="F41:F55" ca="1" si="4">IF($K41="","",_xlfn.LET(
_xlpm._in,SUBSTITUTE($K41,"$","§",1),
_xlpm._start,FIND("§",_xlpm._in)+1,
SUBSTITUTE(MID(_xlpm._in,_xlpm._start,FIND("$",_xlpm._in)-_xlpm._start),"'","")))</f>
        <v>A</v>
      </c>
      <c r="G41" s="9" t="str">
        <f t="shared" ref="G41:G55" ca="1" si="5">IF($K41="","",RIGHT($K41,LEN($K41)-FIND("$",SUBSTITUTE($K41,"$","§",1))))</f>
        <v>2</v>
      </c>
      <c r="H41" s="9" cm="1">
        <f t="array" aca="1" ref="H41" ca="1">CreateID($H$35,$E41&lt;&gt;INDEX($E:$E,ROW()-1))</f>
        <v>2</v>
      </c>
      <c r="I41" s="9" t="str" cm="1">
        <f t="array" aca="1" ref="I41" ca="1">INDIRECT($K41)</f>
        <v>Yes / No</v>
      </c>
      <c r="K41" s="2" t="str" cm="1">
        <f t="array" aca="1" ref="K41" ca="1">CELL("address",Definitions!$A$2)</f>
        <v>'[QuBA-libre.xlsx]Definitions'!$A$2</v>
      </c>
    </row>
    <row r="42" spans="1:13" x14ac:dyDescent="0.25">
      <c r="A42" s="10" t="str" cm="1">
        <f t="array" aca="1" ref="A42" ca="1">IF(INDEX($H:$H,ROW()-1)&lt;&gt;$H42,$E42,"")</f>
        <v/>
      </c>
      <c r="B42" s="50" t="str" cm="1">
        <f t="array" aca="1" ref="B42" ca="1">IF($K42="","",_xlfn.LET(
_xlpm._fullName,IF($L42="",SUBSTITUTE(SUBSTITUTE(INDIRECT($K42),CHAR(10)," "),"  "," "),$L42),
_xlpm._truncatedName,IF(LEN(_xlpm._fullName)&gt;250,LEFT(_xlpm._fullName,250)&amp;"[…]",_xlpm._fullName),
HYPERLINK("#'"&amp;$E42&amp;"'!"&amp;$F42&amp;$G42,
_xlpm._truncatedName)))</f>
        <v>Company Name</v>
      </c>
      <c r="C42" s="10" t="s">
        <v>1136</v>
      </c>
      <c r="D42" s="10"/>
      <c r="E42" s="9" t="str">
        <f ca="1">IF($K42="","",_xlfn.LET(
_xlpm._in,$K42,
_xlpm._start,FIND("]",_xlpm._in)+1,
SUBSTITUTE(MID(_xlpm._in,_xlpm._start,FIND("!",_xlpm._in)-_xlpm._start),"'","")))</f>
        <v>Definitions</v>
      </c>
      <c r="F42" s="9" t="str">
        <f ca="1">IF($K42="","",_xlfn.LET(
_xlpm._in,SUBSTITUTE($K42,"$","§",1),
_xlpm._start,FIND("§",_xlpm._in)+1,
SUBSTITUTE(MID(_xlpm._in,_xlpm._start,FIND("$",_xlpm._in)-_xlpm._start),"'","")))</f>
        <v>C</v>
      </c>
      <c r="G42" s="9" t="str">
        <f ca="1">IF($K42="","",RIGHT($K42,LEN($K42)-FIND("$",SUBSTITUTE($K42,"$","§",1))))</f>
        <v>2</v>
      </c>
      <c r="H42" s="9" cm="1">
        <f t="array" aca="1" ref="H42" ca="1">CreateID($H$35,$E42&lt;&gt;INDEX($E:$E,ROW()-1))</f>
        <v>2</v>
      </c>
      <c r="I42" s="9" t="str" cm="1">
        <f t="array" aca="1" ref="I42" ca="1">INDIRECT($K42)</f>
        <v>Company Name</v>
      </c>
      <c r="K42" s="2" t="str" cm="1">
        <f t="array" aca="1" ref="K42" ca="1">CELL("address",Definitions!$C$2)</f>
        <v>'[QuBA-libre.xlsx]Definitions'!$C$2</v>
      </c>
    </row>
    <row r="43" spans="1:13" ht="30" outlineLevel="1" x14ac:dyDescent="0.25">
      <c r="A43" s="10" t="str" cm="1">
        <f t="array" aca="1" ref="A43" ca="1">IF(INDEX($H:$H,ROW()-1)&lt;&gt;$H43,$E43,"")</f>
        <v/>
      </c>
      <c r="B43" s="50" t="str" cm="1">
        <f t="array" aca="1" ref="B43" ca="1">IF($K43="","",_xlfn.LET(
_xlpm._fullName,IF($L43="",SUBSTITUTE(SUBSTITUTE(INDIRECT($K43),CHAR(10)," "),"  "," "),$L43),
_xlpm._truncatedName,IF(LEN(_xlpm._fullName)&gt;250,LEFT(_xlpm._fullName,250)&amp;"[…]",_xlpm._fullName),
HYPERLINK("#'"&amp;$E43&amp;"'!"&amp;$F43&amp;$G43,
_xlpm._truncatedName)))</f>
        <v>Damage Categories</v>
      </c>
      <c r="C43" s="10" t="s">
        <v>1693</v>
      </c>
      <c r="D43" s="10"/>
      <c r="E43" s="9" t="str">
        <f t="shared" ca="1" si="3"/>
        <v>Definitions</v>
      </c>
      <c r="F43" s="9" t="str">
        <f t="shared" ca="1" si="4"/>
        <v>E</v>
      </c>
      <c r="G43" s="9" t="str">
        <f t="shared" ca="1" si="5"/>
        <v>2</v>
      </c>
      <c r="H43" s="9" cm="1">
        <f t="array" aca="1" ref="H43" ca="1">CreateID($H$35,$E43&lt;&gt;INDEX($E:$E,ROW()-1))</f>
        <v>2</v>
      </c>
      <c r="I43" s="9" t="str" cm="1">
        <f t="array" aca="1" ref="I43" ca="1">INDIRECT($K43)</f>
        <v>Damage Categories</v>
      </c>
      <c r="K43" s="2" t="str" cm="1">
        <f t="array" aca="1" ref="K43" ca="1">CELL("address",Definitions!$E$2)</f>
        <v>'[QuBA-libre.xlsx]Definitions'!$E$2</v>
      </c>
    </row>
    <row r="44" spans="1:13" outlineLevel="1" x14ac:dyDescent="0.25">
      <c r="A44" s="10" t="str" cm="1">
        <f t="array" aca="1" ref="A44" ca="1">IF(INDEX($H:$H,ROW()-1)&lt;&gt;$H44,$E44,"")</f>
        <v/>
      </c>
      <c r="B44" s="50" t="str" cm="1">
        <f t="array" aca="1" ref="B44" ca="1">IF($K44="","",_xlfn.LET(
_xlpm._fullName,IF($L44="",SUBSTITUTE(SUBSTITUTE(INDIRECT($K44),CHAR(10)," "),"  "," "),$L44),
_xlpm._truncatedName,IF(LEN(_xlpm._fullName)&gt;250,LEFT(_xlpm._fullName,250)&amp;"[…]",_xlpm._fullName),
HYPERLINK("#'"&amp;$E44&amp;"'!"&amp;$F44&amp;$G44,
_xlpm._truncatedName)))</f>
        <v>Damage Criteria</v>
      </c>
      <c r="C44" s="10" t="s">
        <v>1694</v>
      </c>
      <c r="D44" s="10"/>
      <c r="E44" s="9" t="str">
        <f t="shared" ca="1" si="3"/>
        <v>Definitions</v>
      </c>
      <c r="F44" s="9" t="str">
        <f t="shared" ca="1" si="4"/>
        <v>G</v>
      </c>
      <c r="G44" s="9" t="str">
        <f t="shared" ca="1" si="5"/>
        <v>2</v>
      </c>
      <c r="H44" s="9" cm="1">
        <f t="array" aca="1" ref="H44" ca="1">CreateID($H$35,$E44&lt;&gt;INDEX($E:$E,ROW()-1))</f>
        <v>2</v>
      </c>
      <c r="I44" s="9" t="str" cm="1">
        <f t="array" aca="1" ref="I44" ca="1">INDIRECT($K44)</f>
        <v>Damage Criteria</v>
      </c>
      <c r="K44" s="2" t="str" cm="1">
        <f t="array" aca="1" ref="K44" ca="1">CELL("address",Definitions!$G$2)</f>
        <v>'[QuBA-libre.xlsx]Definitions'!$G$2</v>
      </c>
    </row>
    <row r="45" spans="1:13" outlineLevel="1" x14ac:dyDescent="0.25">
      <c r="A45" s="10" t="str" cm="1">
        <f t="array" aca="1" ref="A45" ca="1">IF(INDEX($H:$H,ROW()-1)&lt;&gt;$H45,$E45,"")</f>
        <v/>
      </c>
      <c r="B45" s="50" t="str" cm="1">
        <f t="array" aca="1" ref="B45" ca="1">IF($K45="","",_xlfn.LET(
_xlpm._fullName,IF($L45="",SUBSTITUTE(SUBSTITUTE(INDIRECT($K45),CHAR(10)," "),"  "," "),$L45),
_xlpm._truncatedName,IF(LEN(_xlpm._fullName)&gt;250,LEFT(_xlpm._fullName,250)&amp;"[…]",_xlpm._fullName),
HYPERLINK("#'"&amp;$E45&amp;"'!"&amp;$F45&amp;$G45,
_xlpm._truncatedName)))</f>
        <v>Risk Treatment</v>
      </c>
      <c r="C45" s="10" t="s">
        <v>1109</v>
      </c>
      <c r="D45" s="10"/>
      <c r="E45" s="9" t="str">
        <f t="shared" ca="1" si="3"/>
        <v>Definitions</v>
      </c>
      <c r="F45" s="9" t="str">
        <f t="shared" ca="1" si="4"/>
        <v>M</v>
      </c>
      <c r="G45" s="9" t="str">
        <f t="shared" ca="1" si="5"/>
        <v>2</v>
      </c>
      <c r="H45" s="9" cm="1">
        <f t="array" aca="1" ref="H45" ca="1">CreateID($H$35,$E45&lt;&gt;INDEX($E:$E,ROW()-1))</f>
        <v>2</v>
      </c>
      <c r="I45" s="9" t="str" cm="1">
        <f t="array" aca="1" ref="I45" ca="1">INDIRECT($K45)</f>
        <v>Risk Treatment</v>
      </c>
      <c r="K45" s="2" t="str" cm="1">
        <f t="array" aca="1" ref="K45" ca="1">CELL("address",Definitions!$M$2)</f>
        <v>'[QuBA-libre.xlsx]Definitions'!$M$2</v>
      </c>
    </row>
    <row r="46" spans="1:13" ht="30" outlineLevel="1" x14ac:dyDescent="0.25">
      <c r="A46" s="10" t="str" cm="1">
        <f t="array" aca="1" ref="A46" ca="1">IF(INDEX($H:$H,ROW()-1)&lt;&gt;$H46,$E46,"")</f>
        <v/>
      </c>
      <c r="B46" s="50" t="str" cm="1">
        <f t="array" aca="1" ref="B46" ca="1">IF($K46="","",_xlfn.LET(
_xlpm._fullName,IF($L46="",SUBSTITUTE(SUBSTITUTE(INDIRECT($K46),CHAR(10)," "),"  "," "),$L46),
_xlpm._truncatedName,IF(LEN(_xlpm._fullName)&gt;250,LEFT(_xlpm._fullName,250)&amp;"[…]",_xlpm._fullName),
HYPERLINK("#'"&amp;$E46&amp;"'!"&amp;$F46&amp;$G46,
_xlpm._truncatedName)))</f>
        <v>Type of gateway</v>
      </c>
      <c r="C46" s="10" t="s">
        <v>1110</v>
      </c>
      <c r="D46" s="10"/>
      <c r="E46" s="9" t="str">
        <f t="shared" ca="1" si="3"/>
        <v>Definitions</v>
      </c>
      <c r="F46" s="9" t="str">
        <f t="shared" ca="1" si="4"/>
        <v>O</v>
      </c>
      <c r="G46" s="9" t="str">
        <f t="shared" ca="1" si="5"/>
        <v>2</v>
      </c>
      <c r="H46" s="9" cm="1">
        <f t="array" aca="1" ref="H46" ca="1">CreateID($H$35,$E46&lt;&gt;INDEX($E:$E,ROW()-1))</f>
        <v>2</v>
      </c>
      <c r="I46" s="9" t="str" cm="1">
        <f t="array" aca="1" ref="I46" ca="1">INDIRECT($K46)</f>
        <v>Type of gateway</v>
      </c>
      <c r="K46" s="2" t="str" cm="1">
        <f t="array" aca="1" ref="K46" ca="1">CELL("address",Definitions!$O$2)</f>
        <v>'[QuBA-libre.xlsx]Definitions'!$O$2</v>
      </c>
    </row>
    <row r="47" spans="1:13" ht="30" outlineLevel="1" x14ac:dyDescent="0.25">
      <c r="A47" s="10" t="str" cm="1">
        <f t="array" aca="1" ref="A47" ca="1">IF(INDEX($H:$H,ROW()-1)&lt;&gt;$H47,$E47,"")</f>
        <v/>
      </c>
      <c r="B47" s="50" t="str" cm="1">
        <f t="array" aca="1" ref="B47" ca="1">IF($K47="","",_xlfn.LET(
_xlpm._fullName,IF($L47="",SUBSTITUTE(SUBSTITUTE(INDIRECT($K47),CHAR(10)," "),"  "," "),$L47),
_xlpm._truncatedName,IF(LEN(_xlpm._fullName)&gt;250,LEFT(_xlpm._fullName,250)&amp;"[…]",_xlpm._fullName),
HYPERLINK("#'"&amp;$E47&amp;"'!"&amp;$F47&amp;$G47,
_xlpm._truncatedName)))</f>
        <v>Damage Levels</v>
      </c>
      <c r="C47" s="10" t="s">
        <v>1695</v>
      </c>
      <c r="D47" s="10"/>
      <c r="E47" s="9" t="str">
        <f t="shared" ca="1" si="3"/>
        <v>Definitions</v>
      </c>
      <c r="F47" s="9" t="str">
        <f t="shared" ca="1" si="4"/>
        <v>Q</v>
      </c>
      <c r="G47" s="9" t="str">
        <f t="shared" ca="1" si="5"/>
        <v>2</v>
      </c>
      <c r="H47" s="9" cm="1">
        <f t="array" aca="1" ref="H47" ca="1">CreateID($H$35,$E47&lt;&gt;INDEX($E:$E,ROW()-1))</f>
        <v>2</v>
      </c>
      <c r="I47" s="9" t="str" cm="1">
        <f t="array" aca="1" ref="I47" ca="1">INDIRECT($K47)</f>
        <v>Damage Levels</v>
      </c>
      <c r="K47" s="2" t="str" cm="1">
        <f t="array" aca="1" ref="K47" ca="1">CELL("address",Definitions!$Q$2)</f>
        <v>'[QuBA-libre.xlsx]Definitions'!$Q$2</v>
      </c>
    </row>
    <row r="48" spans="1:13" ht="30" outlineLevel="1" x14ac:dyDescent="0.25">
      <c r="A48" s="10" t="str" cm="1">
        <f t="array" aca="1" ref="A48" ca="1">IF(INDEX($H:$H,ROW()-1)&lt;&gt;$H48,$E48,"")</f>
        <v/>
      </c>
      <c r="B48" s="50" t="str" cm="1">
        <f t="array" aca="1" ref="B48" ca="1">IF($K48="","",_xlfn.LET(
_xlpm._fullName,IF($L48="",SUBSTITUTE(SUBSTITUTE(INDIRECT($K48),CHAR(10)," "),"  "," "),$L48),
_xlpm._truncatedName,IF(LEN(_xlpm._fullName)&gt;250,LEFT(_xlpm._fullName,250)&amp;"[…]",_xlpm._fullName),
HYPERLINK("#'"&amp;$E48&amp;"'!"&amp;$F48&amp;$G48,
_xlpm._truncatedName)))</f>
        <v>Line Width</v>
      </c>
      <c r="C48" s="10" t="s">
        <v>1111</v>
      </c>
      <c r="D48" s="10"/>
      <c r="E48" s="9" t="str">
        <f t="shared" ca="1" si="3"/>
        <v>Definitions</v>
      </c>
      <c r="F48" s="9" t="str">
        <f t="shared" ca="1" si="4"/>
        <v>T</v>
      </c>
      <c r="G48" s="9" t="str">
        <f t="shared" ca="1" si="5"/>
        <v>2</v>
      </c>
      <c r="H48" s="9" cm="1">
        <f t="array" aca="1" ref="H48" ca="1">CreateID($H$35,$E48&lt;&gt;INDEX($E:$E,ROW()-1))</f>
        <v>2</v>
      </c>
      <c r="I48" s="9" t="str" cm="1">
        <f t="array" aca="1" ref="I48" ca="1">INDIRECT($K48)</f>
        <v>Line Width</v>
      </c>
      <c r="K48" s="2" t="str" cm="1">
        <f t="array" aca="1" ref="K48" ca="1">CELL("address",Definitions!$T$2)</f>
        <v>'[QuBA-libre.xlsx]Definitions'!$T$2</v>
      </c>
    </row>
    <row r="49" spans="1:11" ht="30" outlineLevel="1" x14ac:dyDescent="0.25">
      <c r="A49" s="10" t="str" cm="1">
        <f t="array" aca="1" ref="A49" ca="1">IF(INDEX($H:$H,ROW()-1)&lt;&gt;$H49,$E49,"")</f>
        <v/>
      </c>
      <c r="B49" s="50" t="str" cm="1">
        <f t="array" aca="1" ref="B49" ca="1">IF($K49="","",_xlfn.LET(
_xlpm._fullName,IF($L49="",SUBSTITUTE(SUBSTITUTE(INDIRECT($K49),CHAR(10)," "),"  "," "),$L49),
_xlpm._truncatedName,IF(LEN(_xlpm._fullName)&gt;250,LEFT(_xlpm._fullName,250)&amp;"[…]",_xlpm._fullName),
HYPERLINK("#'"&amp;$E49&amp;"'!"&amp;$F49&amp;$G49,
_xlpm._truncatedName)))</f>
        <v>Required Attack Potential</v>
      </c>
      <c r="C49" s="10" t="s">
        <v>1696</v>
      </c>
      <c r="D49" s="10"/>
      <c r="E49" s="9" t="str">
        <f t="shared" ca="1" si="3"/>
        <v>Definitions</v>
      </c>
      <c r="F49" s="9" t="str">
        <f t="shared" ca="1" si="4"/>
        <v>V</v>
      </c>
      <c r="G49" s="9" t="str">
        <f t="shared" ca="1" si="5"/>
        <v>2</v>
      </c>
      <c r="H49" s="9" cm="1">
        <f t="array" aca="1" ref="H49" ca="1">CreateID($H$35,$E49&lt;&gt;INDEX($E:$E,ROW()-1))</f>
        <v>2</v>
      </c>
      <c r="I49" s="9" t="str" cm="1">
        <f t="array" aca="1" ref="I49" ca="1">INDIRECT($K49)</f>
        <v>Required Attack Potential</v>
      </c>
      <c r="K49" s="2" t="str" cm="1">
        <f t="array" aca="1" ref="K49" ca="1">CELL("address",Definitions!$V$2)</f>
        <v>'[QuBA-libre.xlsx]Definitions'!$V$2</v>
      </c>
    </row>
    <row r="50" spans="1:11" ht="30" outlineLevel="1" x14ac:dyDescent="0.25">
      <c r="A50" s="10" t="str" cm="1">
        <f t="array" aca="1" ref="A50" ca="1">IF(INDEX($H:$H,ROW()-1)&lt;&gt;$H50,$E50,"")</f>
        <v/>
      </c>
      <c r="B50" s="50" t="str" cm="1">
        <f t="array" aca="1" ref="B50" ca="1">IF($K50="","",_xlfn.LET(
_xlpm._fullName,IF($L50="",SUBSTITUTE(SUBSTITUTE(INDIRECT($K50),CHAR(10)," "),"  "," "),$L50),
_xlpm._truncatedName,IF(LEN(_xlpm._fullName)&gt;250,LEFT(_xlpm._fullName,250)&amp;"[…]",_xlpm._fullName),
HYPERLINK("#'"&amp;$E50&amp;"'!"&amp;$F50&amp;$G50,
_xlpm._truncatedName)))</f>
        <v>Required Attack Potential - Factors</v>
      </c>
      <c r="C50" s="10" t="s">
        <v>1697</v>
      </c>
      <c r="D50" s="10"/>
      <c r="E50" s="9" t="str">
        <f t="shared" ref="E50:E55" ca="1" si="6">IF($K50="","",_xlfn.LET(
_xlpm._in,$K50,
_xlpm._start,FIND("]",_xlpm._in)+1,
SUBSTITUTE(MID(_xlpm._in,_xlpm._start,FIND("!",_xlpm._in)-_xlpm._start),"'","")))</f>
        <v>Definitions</v>
      </c>
      <c r="F50" s="9" t="str">
        <f t="shared" ca="1" si="4"/>
        <v>Y</v>
      </c>
      <c r="G50" s="9" t="str">
        <f t="shared" ca="1" si="5"/>
        <v>2</v>
      </c>
      <c r="H50" s="9" cm="1">
        <f t="array" aca="1" ref="H50" ca="1">CreateID($H$35,$E50&lt;&gt;INDEX($E:$E,ROW()-1))</f>
        <v>2</v>
      </c>
      <c r="I50" s="9" t="str" cm="1">
        <f t="array" aca="1" ref="I50" ca="1">INDIRECT($K50)</f>
        <v>Required Attack Potential - Factors</v>
      </c>
      <c r="K50" s="2" t="str" cm="1">
        <f t="array" aca="1" ref="K50" ca="1">CELL("address",Definitions!$Y$2)</f>
        <v>'[QuBA-libre.xlsx]Definitions'!$Y$2</v>
      </c>
    </row>
    <row r="51" spans="1:11" ht="30" outlineLevel="1" x14ac:dyDescent="0.25">
      <c r="A51" s="10" t="str" cm="1">
        <f t="array" aca="1" ref="A51" ca="1">IF(INDEX($H:$H,ROW()-1)&lt;&gt;$H51,$E51,"")</f>
        <v/>
      </c>
      <c r="B51" s="50" t="str" cm="1">
        <f t="array" aca="1" ref="B51" ca="1">IF($K51="","",_xlfn.LET(
_xlpm._fullName,IF($L51="",SUBSTITUTE(SUBSTITUTE(INDIRECT($K51),CHAR(10)," "),"  "," "),$L51),
_xlpm._truncatedName,IF(LEN(_xlpm._fullName)&gt;250,LEFT(_xlpm._fullName,250)&amp;"[…]",_xlpm._fullName),
HYPERLINK("#'"&amp;$E51&amp;"'!"&amp;$F51&amp;$G51,
_xlpm._truncatedName)))</f>
        <v>Risk Values</v>
      </c>
      <c r="C51" s="10" t="s">
        <v>1698</v>
      </c>
      <c r="D51" s="10"/>
      <c r="E51" s="9" t="str">
        <f t="shared" ca="1" si="6"/>
        <v>Definitions</v>
      </c>
      <c r="F51" s="9" t="str">
        <f t="shared" ca="1" si="4"/>
        <v>AE</v>
      </c>
      <c r="G51" s="9" t="str">
        <f t="shared" ca="1" si="5"/>
        <v>2</v>
      </c>
      <c r="H51" s="9" cm="1">
        <f t="array" aca="1" ref="H51" ca="1">CreateID($H$35,$E51&lt;&gt;INDEX($E:$E,ROW()-1))</f>
        <v>2</v>
      </c>
      <c r="I51" s="9" t="str" cm="1">
        <f t="array" aca="1" ref="I51" ca="1">INDIRECT($K51)</f>
        <v>Risk Values</v>
      </c>
      <c r="K51" s="2" t="str" cm="1">
        <f t="array" aca="1" ref="K51" ca="1">CELL("address",Definitions!$AE$2)</f>
        <v>'[QuBA-libre.xlsx]Definitions'!$AE$2</v>
      </c>
    </row>
    <row r="52" spans="1:11" ht="30" outlineLevel="1" x14ac:dyDescent="0.25">
      <c r="A52" s="10" t="str" cm="1">
        <f t="array" aca="1" ref="A52" ca="1">IF(INDEX($H:$H,ROW()-1)&lt;&gt;$H52,$E52,"")</f>
        <v/>
      </c>
      <c r="B52" s="50" t="str" cm="1">
        <f t="array" aca="1" ref="B52" ca="1">IF($K52="","",_xlfn.LET(
_xlpm._fullName,IF($L52="",SUBSTITUTE(SUBSTITUTE(INDIRECT($K52),CHAR(10)," "),"  "," "),$L52),
_xlpm._truncatedName,IF(LEN(_xlpm._fullName)&gt;250,LEFT(_xlpm._fullName,250)&amp;"[…]",_xlpm._fullName),
HYPERLINK("#'"&amp;$E52&amp;"'!"&amp;$F52&amp;$G52,
_xlpm._truncatedName)))</f>
        <v>Risk Matrix</v>
      </c>
      <c r="C52" s="10" t="s">
        <v>1699</v>
      </c>
      <c r="D52" s="10"/>
      <c r="E52" s="9" t="str">
        <f t="shared" ca="1" si="6"/>
        <v>Definitions</v>
      </c>
      <c r="F52" s="9" t="str">
        <f t="shared" ca="1" si="4"/>
        <v>AH</v>
      </c>
      <c r="G52" s="9" t="str">
        <f t="shared" ca="1" si="5"/>
        <v>2</v>
      </c>
      <c r="H52" s="9" cm="1">
        <f t="array" aca="1" ref="H52" ca="1">CreateID($H$35,$E52&lt;&gt;INDEX($E:$E,ROW()-1))</f>
        <v>2</v>
      </c>
      <c r="I52" s="9" t="str" cm="1">
        <f t="array" aca="1" ref="I52" ca="1">INDIRECT($K52)</f>
        <v>Risk Matrix</v>
      </c>
      <c r="K52" s="2" t="str" cm="1">
        <f t="array" aca="1" ref="K52" ca="1">CELL("address",Definitions!$AH$2)</f>
        <v>'[QuBA-libre.xlsx]Definitions'!$AH$2</v>
      </c>
    </row>
    <row r="53" spans="1:11" ht="75" outlineLevel="1" x14ac:dyDescent="0.25">
      <c r="A53" s="10" t="str" cm="1">
        <f t="array" aca="1" ref="A53" ca="1">IF(INDEX($H:$H,ROW()-1)&lt;&gt;$H53,$E53,"")</f>
        <v/>
      </c>
      <c r="B53" s="50" t="str" cm="1">
        <f t="array" aca="1" ref="B53" ca="1">IF($K53="","",_xlfn.LET(
_xlpm._fullName,IF($L53="",SUBSTITUTE(SUBSTITUTE(INDIRECT($K53),CHAR(10)," "),"  "," "),$L53),
_xlpm._truncatedName,IF(LEN(_xlpm._fullName)&gt;250,LEFT(_xlpm._fullName,250)&amp;"[…]",_xlpm._fullName),
HYPERLINK("#'"&amp;$E53&amp;"'!"&amp;$F53&amp;$G53,
_xlpm._truncatedName)))</f>
        <v>Stakeholders</v>
      </c>
      <c r="C53" s="10" t="s">
        <v>1112</v>
      </c>
      <c r="D53" s="10"/>
      <c r="E53" s="9" t="str">
        <f t="shared" ca="1" si="6"/>
        <v>Definitions</v>
      </c>
      <c r="F53" s="9" t="str">
        <f t="shared" ca="1" si="4"/>
        <v>AO</v>
      </c>
      <c r="G53" s="9" t="str">
        <f t="shared" ca="1" si="5"/>
        <v>2</v>
      </c>
      <c r="H53" s="9" cm="1">
        <f t="array" aca="1" ref="H53" ca="1">CreateID($H$35,$E53&lt;&gt;INDEX($E:$E,ROW()-1))</f>
        <v>2</v>
      </c>
      <c r="I53" s="9" t="str" cm="1">
        <f t="array" aca="1" ref="I53" ca="1">INDIRECT($K53)</f>
        <v>Stakeholders</v>
      </c>
      <c r="K53" s="2" t="str" cm="1">
        <f t="array" aca="1" ref="K53" ca="1">CELL("address",Definitions!$AO$2)</f>
        <v>'[QuBA-libre.xlsx]Definitions'!$AO$2</v>
      </c>
    </row>
    <row r="54" spans="1:11" ht="60" outlineLevel="1" x14ac:dyDescent="0.25">
      <c r="A54" s="10" t="str" cm="1">
        <f t="array" aca="1" ref="A54" ca="1">IF(INDEX($H:$H,ROW()-1)&lt;&gt;$H54,$E54,"")</f>
        <v/>
      </c>
      <c r="B54" s="50" t="str" cm="1">
        <f t="array" aca="1" ref="B54" ca="1">IF($K54="","",_xlfn.LET(
_xlpm._fullName,IF($L54="",SUBSTITUTE(SUBSTITUTE(INDIRECT($K54),CHAR(10)," "),"  "," "),$L54),
_xlpm._truncatedName,IF(LEN(_xlpm._fullName)&gt;250,LEFT(_xlpm._fullName,250)&amp;"[…]",_xlpm._fullName),
HYPERLINK("#'"&amp;$E54&amp;"'!"&amp;$F54&amp;$G54,
_xlpm._truncatedName)))</f>
        <v>Additional assumptions / countermeasures</v>
      </c>
      <c r="C54" s="10" t="s">
        <v>1113</v>
      </c>
      <c r="D54" s="10"/>
      <c r="E54" s="9" t="str">
        <f t="shared" ca="1" si="6"/>
        <v>Definitions</v>
      </c>
      <c r="F54" s="9" t="str">
        <f t="shared" ca="1" si="4"/>
        <v>AQ</v>
      </c>
      <c r="G54" s="9" t="str">
        <f t="shared" ca="1" si="5"/>
        <v>2</v>
      </c>
      <c r="H54" s="9" cm="1">
        <f t="array" aca="1" ref="H54" ca="1">CreateID($H$35,$E54&lt;&gt;INDEX($E:$E,ROW()-1))</f>
        <v>2</v>
      </c>
      <c r="I54" s="9" t="str" cm="1">
        <f t="array" aca="1" ref="I54" ca="1">INDIRECT($K54)</f>
        <v>Additional assumptions / countermeasures</v>
      </c>
      <c r="K54" s="2" t="str" cm="1">
        <f t="array" aca="1" ref="K54" ca="1">CELL("address",Definitions!$AQ$2)</f>
        <v>'[QuBA-libre.xlsx]Definitions'!$AQ$2</v>
      </c>
    </row>
    <row r="55" spans="1:11" ht="120" outlineLevel="1" x14ac:dyDescent="0.25">
      <c r="A55" s="10" t="str" cm="1">
        <f t="array" aca="1" ref="A55" ca="1">IF(INDEX($H:$H,ROW()-1)&lt;&gt;$H55,$E55,"")</f>
        <v/>
      </c>
      <c r="B55" s="50" t="str" cm="1">
        <f t="array" aca="1" ref="B55" ca="1">IF($K55="","",_xlfn.LET(
_xlpm._fullName,IF($L55="",SUBSTITUTE(SUBSTITUTE(INDIRECT($K55),CHAR(10)," "),"  "," "),$L55),
_xlpm._truncatedName,IF(LEN(_xlpm._fullName)&gt;250,LEFT(_xlpm._fullName,250)&amp;"[…]",_xlpm._fullName),
HYPERLINK("#'"&amp;$E55&amp;"'!"&amp;$F55&amp;$G55,
_xlpm._truncatedName)))</f>
        <v>Display Blue Box</v>
      </c>
      <c r="C55" s="10" t="s">
        <v>1114</v>
      </c>
      <c r="D55" s="10"/>
      <c r="E55" s="9" t="str">
        <f t="shared" ca="1" si="6"/>
        <v>Definitions</v>
      </c>
      <c r="F55" s="9" t="str">
        <f t="shared" ca="1" si="4"/>
        <v>AU</v>
      </c>
      <c r="G55" s="9" t="str">
        <f t="shared" ca="1" si="5"/>
        <v>2</v>
      </c>
      <c r="H55" s="9" cm="1">
        <f t="array" aca="1" ref="H55" ca="1">CreateID($H$35,$E55&lt;&gt;INDEX($E:$E,ROW()-1))</f>
        <v>2</v>
      </c>
      <c r="I55" s="9" t="str" cm="1">
        <f t="array" aca="1" ref="I55" ca="1">INDIRECT($K55)</f>
        <v>Display Blue Box</v>
      </c>
      <c r="K55" s="2" t="str" cm="1">
        <f t="array" aca="1" ref="K55" ca="1">CELL("address",Definitions!$AU$2)</f>
        <v>'[QuBA-libre.xlsx]Definitions'!$AU$2</v>
      </c>
    </row>
    <row r="56" spans="1:11" ht="30" outlineLevel="1" x14ac:dyDescent="0.25">
      <c r="A56" s="10" t="str" cm="1">
        <f t="array" aca="1" ref="A56" ca="1">IF(INDEX($H:$H,ROW()-1)&lt;&gt;$H56,$E56,"")</f>
        <v/>
      </c>
      <c r="B56" s="50" t="str" cm="1">
        <f t="array" aca="1" ref="B56" ca="1">IF($K56="","",_xlfn.LET(
_xlpm._fullName,IF($L56="",SUBSTITUTE(SUBSTITUTE(INDIRECT($K56),CHAR(10)," "),"  "," "),$L56),
_xlpm._truncatedName,IF(LEN(_xlpm._fullName)&gt;250,LEFT(_xlpm._fullName,250)&amp;"[…]",_xlpm._fullName),
HYPERLINK("#'"&amp;$E56&amp;"'!"&amp;$F56&amp;$G56,
_xlpm._truncatedName)))</f>
        <v>Product Life Time / Support Duration</v>
      </c>
      <c r="C56" s="10" t="s">
        <v>1267</v>
      </c>
      <c r="D56" s="10"/>
      <c r="E56" s="9" t="str">
        <f t="shared" ref="E56:E57" ca="1" si="7">IF($K56="","",_xlfn.LET(
_xlpm._in,$K56,
_xlpm._start,FIND("]",_xlpm._in)+1,
SUBSTITUTE(MID(_xlpm._in,_xlpm._start,FIND("!",_xlpm._in)-_xlpm._start),"'","")))</f>
        <v>Definitions</v>
      </c>
      <c r="F56" s="9" t="str">
        <f t="shared" ref="F56:F57" ca="1" si="8">IF($K56="","",_xlfn.LET(
_xlpm._in,SUBSTITUTE($K56,"$","§",1),
_xlpm._start,FIND("§",_xlpm._in)+1,
SUBSTITUTE(MID(_xlpm._in,_xlpm._start,FIND("$",_xlpm._in)-_xlpm._start),"'","")))</f>
        <v>AW</v>
      </c>
      <c r="G56" s="9" t="str">
        <f t="shared" ref="G56:G57" ca="1" si="9">IF($K56="","",RIGHT($K56,LEN($K56)-FIND("$",SUBSTITUTE($K56,"$","§",1))))</f>
        <v>2</v>
      </c>
      <c r="H56" s="9" cm="1">
        <f t="array" aca="1" ref="H56" ca="1">CreateID($H$35,$E56&lt;&gt;INDEX($E:$E,ROW()-1))</f>
        <v>2</v>
      </c>
      <c r="I56" s="9" t="str" cm="1">
        <f t="array" aca="1" ref="I56" ca="1">INDIRECT($K56)</f>
        <v>Product Life Time / Support Duration</v>
      </c>
      <c r="K56" s="2" t="str" cm="1">
        <f t="array" aca="1" ref="K56" ca="1">CELL("address",Definitions!$AW$2)</f>
        <v>'[QuBA-libre.xlsx]Definitions'!$AW$2</v>
      </c>
    </row>
    <row r="57" spans="1:11" outlineLevel="1" x14ac:dyDescent="0.25">
      <c r="A57" s="10" t="str" cm="1">
        <f t="array" aca="1" ref="A57" ca="1">IF(INDEX($H:$H,ROW()-1)&lt;&gt;$H57,$E57,"")</f>
        <v/>
      </c>
      <c r="B57" s="50" t="str" cm="1">
        <f t="array" aca="1" ref="B57" ca="1">IF($K57="","",_xlfn.LET(
_xlpm._fullName,IF($L57="",SUBSTITUTE(SUBSTITUTE(INDIRECT($K57),CHAR(10)," "),"  "," "),$L57),
_xlpm._truncatedName,IF(LEN(_xlpm._fullName)&gt;250,LEFT(_xlpm._fullName,250)&amp;"[…]",_xlpm._fullName),
HYPERLINK("#'"&amp;$E57&amp;"'!"&amp;$F57&amp;$G57,
_xlpm._truncatedName)))</f>
        <v>Helper Link</v>
      </c>
      <c r="C57" s="10" t="s">
        <v>1135</v>
      </c>
      <c r="D57" s="10"/>
      <c r="E57" s="9" t="str">
        <f t="shared" ca="1" si="7"/>
        <v>Definitions</v>
      </c>
      <c r="F57" s="9" t="str">
        <f t="shared" ca="1" si="8"/>
        <v>AY</v>
      </c>
      <c r="G57" s="9" t="str">
        <f t="shared" ca="1" si="9"/>
        <v>2</v>
      </c>
      <c r="H57" s="9" cm="1">
        <f t="array" aca="1" ref="H57" ca="1">CreateID($H$35,$E57&lt;&gt;INDEX($E:$E,ROW()-1))</f>
        <v>2</v>
      </c>
      <c r="I57" s="9" t="str" cm="1">
        <f t="array" aca="1" ref="I57" ca="1">INDIRECT($K57)</f>
        <v>Helper Link</v>
      </c>
      <c r="K57" s="2" t="str" cm="1">
        <f t="array" aca="1" ref="K57" ca="1">CELL("address",Definitions!$AY$2)</f>
        <v>'[QuBA-libre.xlsx]Definitions'!$AY$2</v>
      </c>
    </row>
    <row r="58" spans="1:11" ht="165" outlineLevel="1" x14ac:dyDescent="0.25">
      <c r="A58" s="10" t="str" cm="1">
        <f t="array" aca="1" ref="A58" ca="1">IF(INDEX($H:$H,ROW()-1)&lt;&gt;$H58,$E58,"")</f>
        <v/>
      </c>
      <c r="B58" s="50" t="str" cm="1">
        <f t="array" aca="1" ref="B58" ca="1">IF($K58="","",_xlfn.LET(
_xlpm._fullName,IF($L58="",SUBSTITUTE(SUBSTITUTE(INDIRECT($K58),CHAR(10)," "),"  "," "),$L58),
_xlpm._truncatedName,IF(LEN(_xlpm._fullName)&gt;250,LEFT(_xlpm._fullName,250)&amp;"[…]",_xlpm._fullName),
HYPERLINK("#'"&amp;$E58&amp;"'!"&amp;$F58&amp;$G58,
_xlpm._truncatedName)))</f>
        <v>JSON Export</v>
      </c>
      <c r="C58" s="10" t="s">
        <v>1160</v>
      </c>
      <c r="D58" s="10" t="s">
        <v>1161</v>
      </c>
      <c r="E58" s="9" t="str">
        <f ca="1">IF($K58="","",_xlfn.LET(
_xlpm._in,$K58,
_xlpm._start,FIND("]",_xlpm._in)+1,
SUBSTITUTE(MID(_xlpm._in,_xlpm._start,FIND("!",_xlpm._in)-_xlpm._start),"'","")))</f>
        <v>Definitions</v>
      </c>
      <c r="F58" s="9" t="str">
        <f ca="1">IF($K58="","",_xlfn.LET(
_xlpm._in,SUBSTITUTE($K58,"$","§",1),
_xlpm._start,FIND("§",_xlpm._in)+1,
SUBSTITUTE(MID(_xlpm._in,_xlpm._start,FIND("$",_xlpm._in)-_xlpm._start),"'","")))</f>
        <v>BA</v>
      </c>
      <c r="G58" s="9" t="str">
        <f ca="1">IF($K58="","",RIGHT($K58,LEN($K58)-FIND("$",SUBSTITUTE($K58,"$","§",1))))</f>
        <v>2</v>
      </c>
      <c r="H58" s="9" cm="1">
        <f t="array" aca="1" ref="H58" ca="1">CreateID($H$35,$E58&lt;&gt;INDEX($E:$E,ROW()-1))</f>
        <v>2</v>
      </c>
      <c r="I58" s="9" t="str" cm="1">
        <f t="array" aca="1" ref="I58" ca="1">INDIRECT($K58)</f>
        <v>JSON Export</v>
      </c>
      <c r="K58" s="2" t="str" cm="1">
        <f t="array" aca="1" ref="K58" ca="1">CELL("address",Definitions!$BA$2)</f>
        <v>'[QuBA-libre.xlsx]Definitions'!$BA$2</v>
      </c>
    </row>
    <row r="59" spans="1:11" ht="30" outlineLevel="1" x14ac:dyDescent="0.25">
      <c r="A59" s="10" t="str" cm="1">
        <f t="array" aca="1" ref="A59" ca="1">IF(INDEX($H:$H,ROW()-1)&lt;&gt;$H59,$E59,"")</f>
        <v/>
      </c>
      <c r="B59" s="50" t="str" cm="1">
        <f t="array" aca="1" ref="B59" ca="1">IF($K59="","",_xlfn.LET(
_xlpm._fullName,IF($L59="",SUBSTITUTE(SUBSTITUTE(INDIRECT($K59),CHAR(10)," "),"  "," "),$L59),
_xlpm._truncatedName,IF(LEN(_xlpm._fullName)&gt;250,LEFT(_xlpm._fullName,250)&amp;"[…]",_xlpm._fullName),
HYPERLINK("#'"&amp;$E59&amp;"'!"&amp;$F59&amp;$G59,
_xlpm._truncatedName)))</f>
        <v>Supply Chain Answers</v>
      </c>
      <c r="C59" s="10" t="s">
        <v>1450</v>
      </c>
      <c r="D59" s="10"/>
      <c r="E59" s="9" t="str">
        <f ca="1">IF($K59="","",_xlfn.LET(
_xlpm._in,$K59,
_xlpm._start,FIND("]",_xlpm._in)+1,
SUBSTITUTE(MID(_xlpm._in,_xlpm._start,FIND("!",_xlpm._in)-_xlpm._start),"'","")))</f>
        <v>Definitions</v>
      </c>
      <c r="F59" s="9" t="str">
        <f ca="1">IF($K59="","",_xlfn.LET(
_xlpm._in,SUBSTITUTE($K59,"$","§",1),
_xlpm._start,FIND("§",_xlpm._in)+1,
SUBSTITUTE(MID(_xlpm._in,_xlpm._start,FIND("$",_xlpm._in)-_xlpm._start),"'","")))</f>
        <v>BF</v>
      </c>
      <c r="G59" s="9" t="str">
        <f ca="1">IF($K59="","",RIGHT($K59,LEN($K59)-FIND("$",SUBSTITUTE($K59,"$","§",1))))</f>
        <v>2</v>
      </c>
      <c r="H59" s="9" cm="1">
        <f t="array" aca="1" ref="H59" ca="1">CreateID($H$35,$E59&lt;&gt;INDEX($E:$E,ROW()-1))</f>
        <v>2</v>
      </c>
      <c r="I59" s="9" t="str" cm="1">
        <f t="array" aca="1" ref="I59" ca="1">INDIRECT($K59)</f>
        <v>Supply Chain Answers</v>
      </c>
      <c r="K59" s="2" t="str" cm="1">
        <f t="array" aca="1" ref="K59" ca="1">CELL("address",Definitions!$BF$2)</f>
        <v>'[QuBA-libre.xlsx]Definitions'!$BF$2</v>
      </c>
    </row>
    <row r="60" spans="1:11" ht="30" outlineLevel="1" x14ac:dyDescent="0.25">
      <c r="A60" s="10" t="str" cm="1">
        <f t="array" aca="1" ref="A60" ca="1">IF(INDEX($H:$H,ROW()-1)&lt;&gt;$H60,$E60,"")</f>
        <v/>
      </c>
      <c r="B60" s="50" t="str" cm="1">
        <f t="array" aca="1" ref="B60" ca="1">IF($K60="","",_xlfn.LET(
_xlpm._fullName,IF($L60="",SUBSTITUTE(SUBSTITUTE(INDIRECT($K60),CHAR(10)," "),"  "," "),$L60),
_xlpm._truncatedName,IF(LEN(_xlpm._fullName)&gt;250,LEFT(_xlpm._fullName,250)&amp;"[…]",_xlpm._fullName),
HYPERLINK("#'"&amp;$E60&amp;"'!"&amp;$F60&amp;$G60,
_xlpm._truncatedName)))</f>
        <v>Secure Production</v>
      </c>
      <c r="C60" s="10" t="s">
        <v>1447</v>
      </c>
      <c r="D60" s="10" t="s">
        <v>1182</v>
      </c>
      <c r="E60" s="9" t="str">
        <f t="shared" ref="E60:E61" ca="1" si="10">IF($K60="","",_xlfn.LET(
_xlpm._in,$K60,
_xlpm._start,FIND("]",_xlpm._in)+1,
SUBSTITUTE(MID(_xlpm._in,_xlpm._start,FIND("!",_xlpm._in)-_xlpm._start),"'","")))</f>
        <v>Definitions</v>
      </c>
      <c r="F60" s="9" t="str">
        <f t="shared" ref="F60:F61" ca="1" si="11">IF($K60="","",_xlfn.LET(
_xlpm._in,SUBSTITUTE($K60,"$","§",1),
_xlpm._start,FIND("§",_xlpm._in)+1,
SUBSTITUTE(MID(_xlpm._in,_xlpm._start,FIND("$",_xlpm._in)-_xlpm._start),"'","")))</f>
        <v>BI</v>
      </c>
      <c r="G60" s="9" t="str">
        <f t="shared" ref="G60:G61" ca="1" si="12">IF($K60="","",RIGHT($K60,LEN($K60)-FIND("$",SUBSTITUTE($K60,"$","§",1))))</f>
        <v>2</v>
      </c>
      <c r="H60" s="9" cm="1">
        <f t="array" aca="1" ref="H60" ca="1">CreateID($H$35,$E60&lt;&gt;INDEX($E:$E,ROW()-1))</f>
        <v>2</v>
      </c>
      <c r="I60" s="9" t="str" cm="1">
        <f t="array" aca="1" ref="I60" ca="1">INDIRECT($K60)</f>
        <v>Secure Production</v>
      </c>
      <c r="K60" s="2" t="str" cm="1">
        <f t="array" aca="1" ref="K60" ca="1">CELL("address",Definitions!$BI$2)</f>
        <v>'[QuBA-libre.xlsx]Definitions'!$BI$2</v>
      </c>
    </row>
    <row r="61" spans="1:11" ht="30" outlineLevel="1" x14ac:dyDescent="0.25">
      <c r="A61" s="10" t="str" cm="1">
        <f t="array" aca="1" ref="A61" ca="1">IF(INDEX($H:$H,ROW()-1)&lt;&gt;$H61,$E61,"")</f>
        <v/>
      </c>
      <c r="B61" s="50" t="str" cm="1">
        <f t="array" aca="1" ref="B61" ca="1">IF($K61="","",_xlfn.LET(
_xlpm._fullName,IF($L61="",SUBSTITUTE(SUBSTITUTE(INDIRECT($K61),CHAR(10)," "),"  "," "),$L61),
_xlpm._truncatedName,IF(LEN(_xlpm._fullName)&gt;250,LEFT(_xlpm._fullName,250)&amp;"[…]",_xlpm._fullName),
HYPERLINK("#'"&amp;$E61&amp;"'!"&amp;$F61&amp;$G61,
_xlpm._truncatedName)))</f>
        <v>Supply Chain Security</v>
      </c>
      <c r="C61" s="10" t="s">
        <v>1447</v>
      </c>
      <c r="D61" s="10" t="s">
        <v>1183</v>
      </c>
      <c r="E61" s="9" t="str">
        <f t="shared" ca="1" si="10"/>
        <v>Definitions</v>
      </c>
      <c r="F61" s="9" t="str">
        <f t="shared" ca="1" si="11"/>
        <v>BK</v>
      </c>
      <c r="G61" s="9" t="str">
        <f t="shared" ca="1" si="12"/>
        <v>2</v>
      </c>
      <c r="H61" s="9" cm="1">
        <f t="array" aca="1" ref="H61" ca="1">CreateID($H$35,$E61&lt;&gt;INDEX($E:$E,ROW()-1))</f>
        <v>2</v>
      </c>
      <c r="I61" s="9" t="str" cm="1">
        <f t="array" aca="1" ref="I61" ca="1">INDIRECT($K61)</f>
        <v>Supply Chain Security</v>
      </c>
      <c r="K61" s="2" t="str" cm="1">
        <f t="array" aca="1" ref="K61" ca="1">CELL("address",Definitions!$BK$2)</f>
        <v>'[QuBA-libre.xlsx]Definitions'!$BK$2</v>
      </c>
    </row>
    <row r="62" spans="1:11" ht="30" x14ac:dyDescent="0.25">
      <c r="A62" s="10" t="str" cm="1">
        <f t="array" aca="1" ref="A62" ca="1">IF(INDEX($H:$H,ROW()-1)&lt;&gt;$H62,$E62,"")</f>
        <v>Questions</v>
      </c>
      <c r="B62" s="50" t="str" cm="1">
        <f t="array" aca="1" ref="B62" ca="1">IF($K62="","",_xlfn.LET(
_xlpm._fullName,IF($L62="",SUBSTITUTE(SUBSTITUTE(INDIRECT($K62),CHAR(10)," "),"  "," "),$L62),
_xlpm._truncatedName,IF(LEN(_xlpm._fullName)&gt;250,LEFT(_xlpm._fullName,250)&amp;"[…]",_xlpm._fullName),
HYPERLINK("#'"&amp;$E62&amp;"'!"&amp;$F62&amp;$G62,
_xlpm._truncatedName)))</f>
        <v>ID</v>
      </c>
      <c r="C62" s="10" t="s">
        <v>1018</v>
      </c>
      <c r="D62" s="10" t="s">
        <v>1019</v>
      </c>
      <c r="E62" s="9" t="str">
        <f t="shared" ref="E62:E74" ca="1" si="13">IF($K62="","",_xlfn.LET(
_xlpm._in,$K62,
_xlpm._start,FIND("]",_xlpm._in)+1,
SUBSTITUTE(MID(_xlpm._in,_xlpm._start,FIND("!",_xlpm._in)-_xlpm._start),"'","")))</f>
        <v>Questions</v>
      </c>
      <c r="F62" s="9" t="str">
        <f t="shared" ref="F62:F74" ca="1" si="14">IF($K62="","",_xlfn.LET(
_xlpm._in,SUBSTITUTE($K62,"$","§",1),
_xlpm._start,FIND("§",_xlpm._in)+1,
SUBSTITUTE(MID(_xlpm._in,_xlpm._start,FIND("$",_xlpm._in)-_xlpm._start),"'","")))</f>
        <v>A</v>
      </c>
      <c r="G62" s="9" t="str">
        <f t="shared" ref="G62:G74" ca="1" si="15">IF($K62="","",RIGHT($K62,LEN($K62)-FIND("$",SUBSTITUTE($K62,"$","§",1))))</f>
        <v>3</v>
      </c>
      <c r="H62" s="9" cm="1">
        <f t="array" aca="1" ref="H62" ca="1">CreateID($H$35,$E62&lt;&gt;INDEX($E:$E,ROW()-1))</f>
        <v>3</v>
      </c>
      <c r="I62" s="9" t="str" cm="1">
        <f t="array" aca="1" ref="I62" ca="1">INDIRECT($K62)</f>
        <v>ID</v>
      </c>
      <c r="K62" s="2" t="str" cm="1">
        <f t="array" aca="1" ref="K62" ca="1">CELL("address",Questions!$A$3)</f>
        <v>'[QuBA-libre.xlsx]Questions'!$A$3</v>
      </c>
    </row>
    <row r="63" spans="1:11" outlineLevel="1" x14ac:dyDescent="0.25">
      <c r="A63" s="10" t="str" cm="1">
        <f t="array" aca="1" ref="A63" ca="1">IF(INDEX($H:$H,ROW()-1)&lt;&gt;$H63,$E63,"")</f>
        <v/>
      </c>
      <c r="B63" s="50" t="str" cm="1">
        <f t="array" aca="1" ref="B63" ca="1">IF($K63="","",_xlfn.LET(
_xlpm._fullName,IF($L63="",SUBSTITUTE(SUBSTITUTE(INDIRECT($K63),CHAR(10)," "),"  "," "),$L63),
_xlpm._truncatedName,IF(LEN(_xlpm._fullName)&gt;250,LEFT(_xlpm._fullName,250)&amp;"[…]",_xlpm._fullName),
HYPERLINK("#'"&amp;$E63&amp;"'!"&amp;$F63&amp;$G63,
_xlpm._truncatedName)))</f>
        <v>Text</v>
      </c>
      <c r="C63" s="10" t="s">
        <v>1115</v>
      </c>
      <c r="D63" s="10"/>
      <c r="E63" s="9" t="str">
        <f t="shared" ca="1" si="13"/>
        <v>Questions</v>
      </c>
      <c r="F63" s="9" t="str">
        <f t="shared" ca="1" si="14"/>
        <v>B</v>
      </c>
      <c r="G63" s="9" t="str">
        <f t="shared" ca="1" si="15"/>
        <v>3</v>
      </c>
      <c r="H63" s="9" cm="1">
        <f t="array" aca="1" ref="H63" ca="1">CreateID($H$35,$E63&lt;&gt;INDEX($E:$E,ROW()-1))</f>
        <v>3</v>
      </c>
      <c r="I63" s="9" t="str" cm="1">
        <f t="array" aca="1" ref="I63" ca="1">INDIRECT($K63)</f>
        <v>Text</v>
      </c>
      <c r="K63" s="2" t="str" cm="1">
        <f t="array" aca="1" ref="K63" ca="1">CELL("address",Questions!$B$3)</f>
        <v>'[QuBA-libre.xlsx]Questions'!$B$3</v>
      </c>
    </row>
    <row r="64" spans="1:11" ht="30" outlineLevel="1" x14ac:dyDescent="0.25">
      <c r="A64" s="10" t="str" cm="1">
        <f t="array" aca="1" ref="A64" ca="1">IF(INDEX($H:$H,ROW()-1)&lt;&gt;$H64,$E64,"")</f>
        <v/>
      </c>
      <c r="B64" s="50" t="str" cm="1">
        <f t="array" aca="1" ref="B64" ca="1">IF($K64="","",_xlfn.LET(
_xlpm._fullName,IF($L64="",SUBSTITUTE(SUBSTITUTE(INDIRECT($K64),CHAR(10)," "),"  "," "),$L64),
_xlpm._truncatedName,IF(LEN(_xlpm._fullName)&gt;250,LEFT(_xlpm._fullName,250)&amp;"[…]",_xlpm._fullName),
HYPERLINK("#'"&amp;$E64&amp;"'!"&amp;$F64&amp;$G64,
_xlpm._truncatedName)))</f>
        <v>Indentation</v>
      </c>
      <c r="C64" s="10" t="s">
        <v>1021</v>
      </c>
      <c r="D64" s="10" t="s">
        <v>1022</v>
      </c>
      <c r="E64" s="9" t="str">
        <f t="shared" ca="1" si="13"/>
        <v>Questions</v>
      </c>
      <c r="F64" s="9" t="str">
        <f t="shared" ca="1" si="14"/>
        <v>C</v>
      </c>
      <c r="G64" s="9" t="str">
        <f t="shared" ca="1" si="15"/>
        <v>3</v>
      </c>
      <c r="H64" s="9" cm="1">
        <f t="array" aca="1" ref="H64" ca="1">CreateID($H$35,$E64&lt;&gt;INDEX($E:$E,ROW()-1))</f>
        <v>3</v>
      </c>
      <c r="I64" s="9" t="str" cm="1">
        <f t="array" aca="1" ref="I64" ca="1">INDIRECT($K64)</f>
        <v>Indentation</v>
      </c>
      <c r="K64" s="2" t="str" cm="1">
        <f t="array" aca="1" ref="K64" ca="1">CELL("address",Questions!$C$3)</f>
        <v>'[QuBA-libre.xlsx]Questions'!$C$3</v>
      </c>
    </row>
    <row r="65" spans="1:13" ht="30" outlineLevel="1" x14ac:dyDescent="0.25">
      <c r="A65" s="10" t="str" cm="1">
        <f t="array" aca="1" ref="A65" ca="1">IF(INDEX($H:$H,ROW()-1)&lt;&gt;$H65,$E65,"")</f>
        <v/>
      </c>
      <c r="B65" s="50" t="str" cm="1">
        <f t="array" aca="1" ref="B65" ca="1">IF($K65="","",_xlfn.LET(
_xlpm._fullName,IF($L65="",SUBSTITUTE(SUBSTITUTE(INDIRECT($K65),CHAR(10)," "),"  "," "),$L65),
_xlpm._truncatedName,IF(LEN(_xlpm._fullName)&gt;250,LEFT(_xlpm._fullName,250)&amp;"[…]",_xlpm._fullName),
HYPERLINK("#'"&amp;$E65&amp;"'!"&amp;$F65&amp;$G65,
_xlpm._truncatedName)))</f>
        <v>Is a Question</v>
      </c>
      <c r="C65" s="10" t="s">
        <v>1024</v>
      </c>
      <c r="D65" s="10" t="s">
        <v>1023</v>
      </c>
      <c r="E65" s="9" t="str">
        <f t="shared" ca="1" si="13"/>
        <v>Questions</v>
      </c>
      <c r="F65" s="9" t="str">
        <f t="shared" ca="1" si="14"/>
        <v>D</v>
      </c>
      <c r="G65" s="9" t="str">
        <f t="shared" ca="1" si="15"/>
        <v>3</v>
      </c>
      <c r="H65" s="9" cm="1">
        <f t="array" aca="1" ref="H65" ca="1">CreateID($H$35,$E65&lt;&gt;INDEX($E:$E,ROW()-1))</f>
        <v>3</v>
      </c>
      <c r="I65" s="9" t="str" cm="1">
        <f t="array" aca="1" ref="I65" ca="1">INDIRECT($K65)</f>
        <v>Is a Question</v>
      </c>
      <c r="K65" s="2" t="str" cm="1">
        <f t="array" aca="1" ref="K65" ca="1">CELL("address",Questions!$D$3)</f>
        <v>'[QuBA-libre.xlsx]Questions'!$D$3</v>
      </c>
    </row>
    <row r="66" spans="1:13" ht="45" outlineLevel="1" x14ac:dyDescent="0.25">
      <c r="A66" s="10" t="str" cm="1">
        <f t="array" aca="1" ref="A66" ca="1">IF(INDEX($H:$H,ROW()-1)&lt;&gt;$H66,$E66,"")</f>
        <v/>
      </c>
      <c r="B66" s="50" t="str" cm="1">
        <f t="array" aca="1" ref="B66" ca="1">IF($K66="","",_xlfn.LET(
_xlpm._fullName,IF($L66="",SUBSTITUTE(SUBSTITUTE(INDIRECT($K66),CHAR(10)," "),"  "," "),$L66),
_xlpm._truncatedName,IF(LEN(_xlpm._fullName)&gt;250,LEFT(_xlpm._fullName,250)&amp;"[…]",_xlpm._fullName),
HYPERLINK("#'"&amp;$E66&amp;"'!"&amp;$F66&amp;$G66,
_xlpm._truncatedName)))</f>
        <v>Options Range Header</v>
      </c>
      <c r="C66" s="10" t="s">
        <v>1027</v>
      </c>
      <c r="D66" s="10" t="str">
        <f ca="1">"Use this formula (replace A1 with the correct value): "&amp;_xlfn.FORMULATEXT(M66)</f>
        <v>Use this formula (replace A1 with the correct value): =CELL("address";A1)</v>
      </c>
      <c r="E66" s="9" t="str">
        <f t="shared" ca="1" si="13"/>
        <v>Questions</v>
      </c>
      <c r="F66" s="9" t="str">
        <f t="shared" ca="1" si="14"/>
        <v>E</v>
      </c>
      <c r="G66" s="9" t="str">
        <f t="shared" ca="1" si="15"/>
        <v>3</v>
      </c>
      <c r="H66" s="9" cm="1">
        <f t="array" aca="1" ref="H66" ca="1">CreateID($H$35,$E66&lt;&gt;INDEX($E:$E,ROW()-1))</f>
        <v>3</v>
      </c>
      <c r="I66" s="9" t="str" cm="1">
        <f t="array" aca="1" ref="I66" ca="1">INDIRECT($K66)</f>
        <v>Options Range Header</v>
      </c>
      <c r="K66" s="2" t="str" cm="1">
        <f t="array" aca="1" ref="K66" ca="1">CELL("address",Questions!$E$3)</f>
        <v>'[QuBA-libre.xlsx]Questions'!$E$3</v>
      </c>
      <c r="M66" s="2" t="str" cm="1">
        <f t="array" aca="1" ref="M66" ca="1">CELL("address",A1)</f>
        <v>$A$1</v>
      </c>
    </row>
    <row r="67" spans="1:13" ht="30" outlineLevel="1" x14ac:dyDescent="0.25">
      <c r="A67" s="10" t="str" cm="1">
        <f t="array" aca="1" ref="A67" ca="1">IF(INDEX($H:$H,ROW()-1)&lt;&gt;$H67,$E67,"")</f>
        <v/>
      </c>
      <c r="B67" s="50" t="str" cm="1">
        <f t="array" aca="1" ref="B67" ca="1">IF($K67="","",_xlfn.LET(
_xlpm._fullName,IF($L67="",SUBSTITUTE(SUBSTITUTE(INDIRECT($K67),CHAR(10)," "),"  "," "),$L67),
_xlpm._truncatedName,IF(LEN(_xlpm._fullName)&gt;250,LEFT(_xlpm._fullName,250)&amp;"[…]",_xlpm._fullName),
HYPERLINK("#'"&amp;$E67&amp;"'!"&amp;$F67&amp;$G67,
_xlpm._truncatedName)))</f>
        <v>Height</v>
      </c>
      <c r="C67" s="10" t="s">
        <v>1026</v>
      </c>
      <c r="D67" s="10" t="str">
        <f ca="1">"Use this formula (replace A1 with the correct values): "&amp;_xlfn.FORMULATEXT(M67)</f>
        <v>Use this formula (replace A1 with the correct values): =ROWS(A1:A1)</v>
      </c>
      <c r="E67" s="9" t="str">
        <f t="shared" ca="1" si="13"/>
        <v>Questions</v>
      </c>
      <c r="F67" s="9" t="str">
        <f t="shared" ca="1" si="14"/>
        <v>F</v>
      </c>
      <c r="G67" s="9" t="str">
        <f t="shared" ca="1" si="15"/>
        <v>3</v>
      </c>
      <c r="H67" s="9" cm="1">
        <f t="array" aca="1" ref="H67" ca="1">CreateID($H$35,$E67&lt;&gt;INDEX($E:$E,ROW()-1))</f>
        <v>3</v>
      </c>
      <c r="I67" s="9" t="str" cm="1">
        <f t="array" aca="1" ref="I67" ca="1">INDIRECT($K67)</f>
        <v>Height</v>
      </c>
      <c r="K67" s="2" t="str" cm="1">
        <f t="array" aca="1" ref="K67" ca="1">CELL("address",Questions!$F$3)</f>
        <v>'[QuBA-libre.xlsx]Questions'!$F$3</v>
      </c>
      <c r="M67" s="2">
        <f>ROWS(A1:A1)</f>
        <v>1</v>
      </c>
    </row>
    <row r="68" spans="1:13" ht="30" outlineLevel="1" x14ac:dyDescent="0.25">
      <c r="A68" s="10" t="str" cm="1">
        <f t="array" aca="1" ref="A68" ca="1">IF(INDEX($H:$H,ROW()-1)&lt;&gt;$H68,$E68,"")</f>
        <v/>
      </c>
      <c r="B68" s="50" t="str" cm="1">
        <f t="array" aca="1" ref="B68" ca="1">IF($K68="","",_xlfn.LET(
_xlpm._fullName,IF($L68="",SUBSTITUTE(SUBSTITUTE(INDIRECT($K68),CHAR(10)," "),"  "," "),$L68),
_xlpm._truncatedName,IF(LEN(_xlpm._fullName)&gt;250,LEFT(_xlpm._fullName,250)&amp;"[…]",_xlpm._fullName),
HYPERLINK("#'"&amp;$E68&amp;"'!"&amp;$F68&amp;$G68,
_xlpm._truncatedName)))</f>
        <v>Resulting Options</v>
      </c>
      <c r="C68" s="10" t="s">
        <v>1028</v>
      </c>
      <c r="D68" s="10"/>
      <c r="E68" s="9" t="str">
        <f t="shared" ca="1" si="13"/>
        <v>Questions</v>
      </c>
      <c r="F68" s="9" t="str">
        <f t="shared" ca="1" si="14"/>
        <v>G</v>
      </c>
      <c r="G68" s="9" t="str">
        <f t="shared" ca="1" si="15"/>
        <v>3</v>
      </c>
      <c r="H68" s="9" cm="1">
        <f t="array" aca="1" ref="H68" ca="1">CreateID($H$35,$E68&lt;&gt;INDEX($E:$E,ROW()-1))</f>
        <v>3</v>
      </c>
      <c r="I68" s="9" t="str" cm="1">
        <f t="array" aca="1" ref="I68" ca="1">INDIRECT($K68)</f>
        <v>Resulting Options</v>
      </c>
      <c r="K68" s="2" t="str" cm="1">
        <f t="array" aca="1" ref="K68" ca="1">CELL("address",Questions!$G$3)</f>
        <v>'[QuBA-libre.xlsx]Questions'!$G$3</v>
      </c>
    </row>
    <row r="69" spans="1:13" ht="60" outlineLevel="1" x14ac:dyDescent="0.25">
      <c r="A69" s="10" t="str" cm="1">
        <f t="array" aca="1" ref="A69" ca="1">IF(INDEX($H:$H,ROW()-1)&lt;&gt;$H69,$E69,"")</f>
        <v/>
      </c>
      <c r="B69" s="50" t="str" cm="1">
        <f t="array" aca="1" ref="B69" ca="1">IF($K69="","",_xlfn.LET(
_xlpm._fullName,IF($L69="",SUBSTITUTE(SUBSTITUTE(INDIRECT($K69),CHAR(10)," "),"  "," "),$L69),
_xlpm._truncatedName,IF(LEN(_xlpm._fullName)&gt;250,LEFT(_xlpm._fullName,250)&amp;"[…]",_xlpm._fullName),
HYPERLINK("#'"&amp;$E69&amp;"'!"&amp;$F69&amp;$G69,
_xlpm._truncatedName)))</f>
        <v>Info Text</v>
      </c>
      <c r="C69" s="10" t="s">
        <v>1029</v>
      </c>
      <c r="D69" s="10" t="s">
        <v>1031</v>
      </c>
      <c r="E69" s="9" t="str">
        <f t="shared" ca="1" si="13"/>
        <v>Questions</v>
      </c>
      <c r="F69" s="9" t="str">
        <f t="shared" ca="1" si="14"/>
        <v>H</v>
      </c>
      <c r="G69" s="9" t="str">
        <f t="shared" ca="1" si="15"/>
        <v>3</v>
      </c>
      <c r="H69" s="9" cm="1">
        <f t="array" aca="1" ref="H69" ca="1">CreateID($H$35,$E69&lt;&gt;INDEX($E:$E,ROW()-1))</f>
        <v>3</v>
      </c>
      <c r="I69" s="9" t="str" cm="1">
        <f t="array" aca="1" ref="I69" ca="1">INDIRECT($K69)</f>
        <v>Info Text</v>
      </c>
      <c r="K69" s="2" t="str" cm="1">
        <f t="array" aca="1" ref="K69" ca="1">CELL("address",Questions!$H$3)</f>
        <v>'[QuBA-libre.xlsx]Questions'!$H$3</v>
      </c>
    </row>
    <row r="70" spans="1:13" ht="150" outlineLevel="1" x14ac:dyDescent="0.25">
      <c r="A70" s="10" t="str" cm="1">
        <f t="array" aca="1" ref="A70" ca="1">IF(INDEX($H:$H,ROW()-1)&lt;&gt;$H70,$E70,"")</f>
        <v/>
      </c>
      <c r="B70" s="50" t="str" cm="1">
        <f t="array" aca="1" ref="B70" ca="1">IF($K70="","",_xlfn.LET(
_xlpm._fullName,IF($L70="",SUBSTITUTE(SUBSTITUTE(INDIRECT($K70),CHAR(10)," "),"  "," "),$L70),
_xlpm._truncatedName,IF(LEN(_xlpm._fullName)&gt;250,LEFT(_xlpm._fullName,250)&amp;"[…]",_xlpm._fullName),
HYPERLINK("#'"&amp;$E70&amp;"'!"&amp;$F70&amp;$G70,
_xlpm._truncatedName)))</f>
        <v xml:space="preserve">Options Range Header </v>
      </c>
      <c r="C70" s="10" t="s">
        <v>1477</v>
      </c>
      <c r="D70" s="10" t="str">
        <f ca="1">"Use this formula (replace A1 with the correct value) to reference the topmost cell: "&amp;_xlfn.FORMULATEXT(M70)&amp;"
Example:
Yes:
&lt;Reference&gt;
No:"</f>
        <v>Use this formula (replace A1 with the correct value) to reference the topmost cell: =CELL("address";A1)
Example:
Yes:
&lt;Reference&gt;
No:</v>
      </c>
      <c r="E70" s="9" t="str">
        <f t="shared" ca="1" si="13"/>
        <v>Questions</v>
      </c>
      <c r="F70" s="9" t="str">
        <f t="shared" ca="1" si="14"/>
        <v>I</v>
      </c>
      <c r="G70" s="9" t="str">
        <f t="shared" ca="1" si="15"/>
        <v>3</v>
      </c>
      <c r="H70" s="9" cm="1">
        <f t="array" aca="1" ref="H70" ca="1">CreateID($H$35,$E70&lt;&gt;INDEX($E:$E,ROW()-1))</f>
        <v>3</v>
      </c>
      <c r="I70" s="9" t="str" cm="1">
        <f t="array" aca="1" ref="I70" ca="1">INDIRECT($K70)</f>
        <v xml:space="preserve">Options Range Header </v>
      </c>
      <c r="K70" s="2" t="str" cm="1">
        <f t="array" aca="1" ref="K70" ca="1">CELL("address",Questions!$I$3)</f>
        <v>'[QuBA-libre.xlsx]Questions'!$I$3</v>
      </c>
      <c r="M70" s="2" t="str" cm="1">
        <f t="array" aca="1" ref="M70" ca="1">CELL("address",A1)</f>
        <v>$A$1</v>
      </c>
    </row>
    <row r="71" spans="1:13" ht="90" outlineLevel="1" x14ac:dyDescent="0.25">
      <c r="A71" s="10" t="str" cm="1">
        <f t="array" aca="1" ref="A71" ca="1">IF(INDEX($H:$H,ROW()-1)&lt;&gt;$H71,$E71,"")</f>
        <v/>
      </c>
      <c r="B71" s="50" t="str" cm="1">
        <f t="array" aca="1" ref="B71" ca="1">IF($K71="","",_xlfn.LET(
_xlpm._fullName,IF($L71="",SUBSTITUTE(SUBSTITUTE(INDIRECT($K71),CHAR(10)," "),"  "," "),$L71),
_xlpm._truncatedName,IF(LEN(_xlpm._fullName)&gt;250,LEFT(_xlpm._fullName,250)&amp;"[…]",_xlpm._fullName),
HYPERLINK("#'"&amp;$E71&amp;"'!"&amp;$F71&amp;$G71,
_xlpm._truncatedName)))</f>
        <v xml:space="preserve">Height </v>
      </c>
      <c r="C71" s="10" t="s">
        <v>1478</v>
      </c>
      <c r="D71" s="10" t="str">
        <f ca="1">"Use this formula (replace A1 with the correct values) to calculate the height: "&amp;_xlfn.FORMULATEXT(M71)&amp;"
Example:
Yes: 2
No: 0"</f>
        <v>Use this formula (replace A1 with the correct values) to calculate the height: =ROWS(A1:A1)
Example:
Yes: 2
No: 0</v>
      </c>
      <c r="E71" s="9" t="str">
        <f t="shared" ca="1" si="13"/>
        <v>Questions</v>
      </c>
      <c r="F71" s="9" t="str">
        <f t="shared" ca="1" si="14"/>
        <v>J</v>
      </c>
      <c r="G71" s="9" t="str">
        <f t="shared" ca="1" si="15"/>
        <v>3</v>
      </c>
      <c r="H71" s="9" cm="1">
        <f t="array" aca="1" ref="H71" ca="1">CreateID($H$35,$E71&lt;&gt;INDEX($E:$E,ROW()-1))</f>
        <v>3</v>
      </c>
      <c r="I71" s="9" t="str" cm="1">
        <f t="array" aca="1" ref="I71" ca="1">INDIRECT($K71)</f>
        <v xml:space="preserve">Height </v>
      </c>
      <c r="K71" s="2" t="str" cm="1">
        <f t="array" aca="1" ref="K71" ca="1">CELL("address",Questions!$J$3)</f>
        <v>'[QuBA-libre.xlsx]Questions'!$J$3</v>
      </c>
      <c r="M71" s="2">
        <f>ROWS(A1:A1)</f>
        <v>1</v>
      </c>
    </row>
    <row r="72" spans="1:13" ht="30" outlineLevel="1" x14ac:dyDescent="0.25">
      <c r="A72" s="10" t="str" cm="1">
        <f t="array" aca="1" ref="A72" ca="1">IF(INDEX($H:$H,ROW()-1)&lt;&gt;$H72,$E72,"")</f>
        <v/>
      </c>
      <c r="B72" s="50" t="str" cm="1">
        <f t="array" aca="1" ref="B72" ca="1">IF($K72="","",_xlfn.LET(
_xlpm._fullName,IF($L72="",SUBSTITUTE(SUBSTITUTE(INDIRECT($K72),CHAR(10)," "),"  "," "),$L72),
_xlpm._truncatedName,IF(LEN(_xlpm._fullName)&gt;250,LEFT(_xlpm._fullName,250)&amp;"[…]",_xlpm._fullName),
HYPERLINK("#'"&amp;$E72&amp;"'!"&amp;$F72&amp;$G72,
_xlpm._truncatedName)))</f>
        <v xml:space="preserve">Resulting Options </v>
      </c>
      <c r="C72" s="10" t="s">
        <v>1028</v>
      </c>
      <c r="D72" s="10"/>
      <c r="E72" s="9" t="str">
        <f t="shared" ca="1" si="13"/>
        <v>Questions</v>
      </c>
      <c r="F72" s="9" t="str">
        <f t="shared" ca="1" si="14"/>
        <v>K</v>
      </c>
      <c r="G72" s="9" t="str">
        <f t="shared" ca="1" si="15"/>
        <v>3</v>
      </c>
      <c r="H72" s="9" cm="1">
        <f t="array" aca="1" ref="H72" ca="1">CreateID($H$35,$E72&lt;&gt;INDEX($E:$E,ROW()-1))</f>
        <v>3</v>
      </c>
      <c r="I72" s="9" t="str" cm="1">
        <f t="array" aca="1" ref="I72" ca="1">INDIRECT($K72)</f>
        <v xml:space="preserve">Resulting Options </v>
      </c>
      <c r="K72" s="2" t="str" cm="1">
        <f t="array" aca="1" ref="K72" ca="1">CELL("address",Questions!$K$3)</f>
        <v>'[QuBA-libre.xlsx]Questions'!$K$3</v>
      </c>
    </row>
    <row r="73" spans="1:13" ht="210" outlineLevel="1" x14ac:dyDescent="0.25">
      <c r="A73" s="10" t="str" cm="1">
        <f t="array" aca="1" ref="A73" ca="1">IF(INDEX($H:$H,ROW()-1)&lt;&gt;$H73,$E73,"")</f>
        <v/>
      </c>
      <c r="B73" s="50" t="str" cm="1">
        <f t="array" aca="1" ref="B73" ca="1">IF($K73="","",_xlfn.LET(
_xlpm._fullName,IF($L73="",SUBSTITUTE(SUBSTITUTE(INDIRECT($K73),CHAR(10)," "),"  "," "),$L73),
_xlpm._truncatedName,IF(LEN(_xlpm._fullName)&gt;250,LEFT(_xlpm._fullName,250)&amp;"[…]",_xlpm._fullName),
HYPERLINK("#'"&amp;$E73&amp;"'!"&amp;$F73&amp;$G73,
_xlpm._truncatedName)))</f>
        <v xml:space="preserve">Info Text </v>
      </c>
      <c r="C73" s="10" t="s">
        <v>1479</v>
      </c>
      <c r="D73" s="10" t="s">
        <v>1480</v>
      </c>
      <c r="E73" s="9" t="str">
        <f t="shared" ca="1" si="13"/>
        <v>Questions</v>
      </c>
      <c r="F73" s="9" t="str">
        <f t="shared" ca="1" si="14"/>
        <v>L</v>
      </c>
      <c r="G73" s="9" t="str">
        <f t="shared" ca="1" si="15"/>
        <v>3</v>
      </c>
      <c r="H73" s="9" cm="1">
        <f t="array" aca="1" ref="H73" ca="1">CreateID($H$35,$E73&lt;&gt;INDEX($E:$E,ROW()-1))</f>
        <v>3</v>
      </c>
      <c r="I73" s="9" t="str" cm="1">
        <f t="array" aca="1" ref="I73" ca="1">INDIRECT($K73)</f>
        <v xml:space="preserve">Info Text </v>
      </c>
      <c r="K73" s="2" t="str" cm="1">
        <f t="array" aca="1" ref="K73" ca="1">CELL("address",Questions!$L$3)</f>
        <v>'[QuBA-libre.xlsx]Questions'!$L$3</v>
      </c>
    </row>
    <row r="74" spans="1:13" ht="75" outlineLevel="1" x14ac:dyDescent="0.25">
      <c r="A74" s="10" t="str" cm="1">
        <f t="array" aca="1" ref="A74" ca="1">IF(INDEX($H:$H,ROW()-1)&lt;&gt;$H74,$E74,"")</f>
        <v/>
      </c>
      <c r="B74" s="50" t="str" cm="1">
        <f t="array" aca="1" ref="B74" ca="1">IF($K74="","",_xlfn.LET(
_xlpm._fullName,IF($L74="",SUBSTITUTE(SUBSTITUTE(INDIRECT($K74),CHAR(10)," "),"  "," "),$L74),
_xlpm._truncatedName,IF(LEN(_xlpm._fullName)&gt;250,LEFT(_xlpm._fullName,250)&amp;"[…]",_xlpm._fullName),
HYPERLINK("#'"&amp;$E74&amp;"'!"&amp;$F74&amp;$G74,
_xlpm._truncatedName)))</f>
        <v>Inactive On</v>
      </c>
      <c r="C74" s="10" t="s">
        <v>1030</v>
      </c>
      <c r="D74" s="10" t="s">
        <v>1032</v>
      </c>
      <c r="E74" s="9" t="str">
        <f t="shared" ca="1" si="13"/>
        <v>Questions</v>
      </c>
      <c r="F74" s="9" t="str">
        <f t="shared" ca="1" si="14"/>
        <v>M</v>
      </c>
      <c r="G74" s="9" t="str">
        <f t="shared" ca="1" si="15"/>
        <v>3</v>
      </c>
      <c r="H74" s="9" cm="1">
        <f t="array" aca="1" ref="H74" ca="1">CreateID($H$35,$E74&lt;&gt;INDEX($E:$E,ROW()-1))</f>
        <v>3</v>
      </c>
      <c r="I74" s="9" t="str" cm="1">
        <f t="array" aca="1" ref="I74" ca="1">INDIRECT($K74)</f>
        <v>Inactive On</v>
      </c>
      <c r="K74" s="2" t="str" cm="1">
        <f t="array" aca="1" ref="K74" ca="1">CELL("address",Questions!$M$3)</f>
        <v>'[QuBA-libre.xlsx]Questions'!$M$3</v>
      </c>
    </row>
    <row r="75" spans="1:13" outlineLevel="1" x14ac:dyDescent="0.25">
      <c r="A75" s="10" t="str" cm="1">
        <f t="array" aca="1" ref="A75" ca="1">IF(INDEX($H:$H,ROW()-1)&lt;&gt;$H75,$E75,"")</f>
        <v/>
      </c>
      <c r="B75" s="50" t="str" cm="1">
        <f t="array" aca="1" ref="B75" ca="1">IF($K75="","",_xlfn.LET(
_xlpm._fullName,IF($L75="",SUBSTITUTE(SUBSTITUTE(INDIRECT($K75),CHAR(10)," "),"  "," "),$L75),
_xlpm._truncatedName,IF(LEN(_xlpm._fullName)&gt;250,LEFT(_xlpm._fullName,250)&amp;"[…]",_xlpm._fullName),
HYPERLINK("#'"&amp;$E75&amp;"'!"&amp;$F75&amp;$G75,
_xlpm._truncatedName)))</f>
        <v>Comment</v>
      </c>
      <c r="C75" s="10" t="s">
        <v>638</v>
      </c>
      <c r="D75" s="10"/>
      <c r="E75" s="9" t="str">
        <f ca="1">IF($K75="","",_xlfn.LET(
_xlpm._in,$K75,
_xlpm._start,FIND("]",_xlpm._in)+1,
SUBSTITUTE(MID(_xlpm._in,_xlpm._start,FIND("!",_xlpm._in)-_xlpm._start),"'","")))</f>
        <v>Questions</v>
      </c>
      <c r="F75" s="9" t="str">
        <f ca="1">IF($K75="","",_xlfn.LET(
_xlpm._in,SUBSTITUTE($K75,"$","§",1),
_xlpm._start,FIND("§",_xlpm._in)+1,
SUBSTITUTE(MID(_xlpm._in,_xlpm._start,FIND("$",_xlpm._in)-_xlpm._start),"'","")))</f>
        <v>N</v>
      </c>
      <c r="G75" s="9" t="str">
        <f ca="1">IF($K75="","",RIGHT($K75,LEN($K75)-FIND("$",SUBSTITUTE($K75,"$","§",1))))</f>
        <v>3</v>
      </c>
      <c r="H75" s="9" cm="1">
        <f t="array" aca="1" ref="H75" ca="1">CreateID($H$35,$E75&lt;&gt;INDEX($E:$E,ROW()-1))</f>
        <v>3</v>
      </c>
      <c r="I75" s="9" t="str" cm="1">
        <f t="array" aca="1" ref="I75" ca="1">INDIRECT($K75)</f>
        <v>Comment</v>
      </c>
      <c r="K75" s="2" t="str" cm="1">
        <f t="array" aca="1" ref="K75" ca="1">CELL("address",Questions!$N$3)</f>
        <v>'[QuBA-libre.xlsx]Questions'!$N$3</v>
      </c>
    </row>
    <row r="76" spans="1:13" x14ac:dyDescent="0.25">
      <c r="A76" s="10" t="str" cm="1">
        <f t="array" aca="1" ref="A76" ca="1">IF(INDEX($H:$H,ROW()-1)&lt;&gt;$H76,$E76,"")</f>
        <v>Damage Scenarios</v>
      </c>
      <c r="B76" s="50" t="str" cm="1">
        <f t="array" aca="1" ref="B76" ca="1">IF($K76="","",_xlfn.LET(
_xlpm._fullName,IF($L76="",SUBSTITUTE(SUBSTITUTE(INDIRECT($K76),CHAR(10)," "),"  "," "),$L76),
_xlpm._truncatedName,IF(LEN(_xlpm._fullName)&gt;250,LEFT(_xlpm._fullName,250)&amp;"[…]",_xlpm._fullName),
HYPERLINK("#'"&amp;$E76&amp;"'!"&amp;$F76&amp;$G76,
_xlpm._truncatedName)))</f>
        <v>ID</v>
      </c>
      <c r="C76" s="10" t="s">
        <v>675</v>
      </c>
      <c r="D76" s="10"/>
      <c r="E76" s="9" t="str">
        <f t="shared" ref="E76:E91" ca="1" si="16">IF($K76="","",_xlfn.LET(
_xlpm._in,$K76,
_xlpm._start,FIND("]",_xlpm._in)+1,
SUBSTITUTE(MID(_xlpm._in,_xlpm._start,FIND("!",_xlpm._in)-_xlpm._start),"'","")))</f>
        <v>Damage Scenarios</v>
      </c>
      <c r="F76" s="9" t="str">
        <f t="shared" ref="F76:F91" ca="1" si="17">IF($K76="","",_xlfn.LET(
_xlpm._in,SUBSTITUTE($K76,"$","§",1),
_xlpm._start,FIND("§",_xlpm._in)+1,
SUBSTITUTE(MID(_xlpm._in,_xlpm._start,FIND("$",_xlpm._in)-_xlpm._start),"'","")))</f>
        <v>A</v>
      </c>
      <c r="G76" s="9" t="str">
        <f t="shared" ref="G76:G91" ca="1" si="18">IF($K76="","",RIGHT($K76,LEN($K76)-FIND("$",SUBSTITUTE($K76,"$","§",1))))</f>
        <v>2</v>
      </c>
      <c r="H76" s="9" cm="1">
        <f t="array" aca="1" ref="H76" ca="1">CreateID($H$35,$E76&lt;&gt;INDEX($E:$E,ROW()-1))</f>
        <v>4</v>
      </c>
      <c r="I76" s="9" t="str" cm="1">
        <f t="array" aca="1" ref="I76" ca="1">INDIRECT($K76)</f>
        <v>ID</v>
      </c>
      <c r="K76" s="2" t="str" cm="1">
        <f t="array" aca="1" ref="K76" ca="1">CELL("address",OFFSET('Damage Scenarios'!$A$2,0,ROW()-ROW($K$76)))</f>
        <v>'[QuBA-libre.xlsx]Damage Scenarios'!$A$2</v>
      </c>
    </row>
    <row r="77" spans="1:13" ht="30" outlineLevel="1" x14ac:dyDescent="0.25">
      <c r="A77" s="10" t="str" cm="1">
        <f t="array" aca="1" ref="A77" ca="1">IF(INDEX($H:$H,ROW()-1)&lt;&gt;$H77,$E77,"")</f>
        <v/>
      </c>
      <c r="B77" s="50" t="str" cm="1">
        <f t="array" aca="1" ref="B77" ca="1">IF($K77="","",_xlfn.LET(
_xlpm._fullName,IF($L77="",SUBSTITUTE(SUBSTITUTE(INDIRECT($K77),CHAR(10)," "),"  "," "),$L77),
_xlpm._truncatedName,IF(LEN(_xlpm._fullName)&gt;250,LEFT(_xlpm._fullName,250)&amp;"[…]",_xlpm._fullName),
HYPERLINK("#'"&amp;$E77&amp;"'!"&amp;$F77&amp;$G77,
_xlpm._truncatedName)))</f>
        <v>Q ID</v>
      </c>
      <c r="C77" s="10" t="s">
        <v>620</v>
      </c>
      <c r="D77" s="10"/>
      <c r="E77" s="9" t="str">
        <f t="shared" ca="1" si="16"/>
        <v>Damage Scenarios</v>
      </c>
      <c r="F77" s="9" t="str">
        <f t="shared" ca="1" si="17"/>
        <v>B</v>
      </c>
      <c r="G77" s="9" t="str">
        <f t="shared" ca="1" si="18"/>
        <v>2</v>
      </c>
      <c r="H77" s="9" cm="1">
        <f t="array" aca="1" ref="H77" ca="1">CreateID($H$35,$E77&lt;&gt;INDEX($E:$E,ROW()-1))</f>
        <v>4</v>
      </c>
      <c r="I77" s="9" t="str" cm="1">
        <f t="array" aca="1" ref="I77" ca="1">INDIRECT($K77)</f>
        <v>Q ID</v>
      </c>
      <c r="K77" s="2" t="str" cm="1">
        <f t="array" aca="1" ref="K77" ca="1">CELL("address",OFFSET('Damage Scenarios'!$A$2,0,ROW()-ROW($K$76)))</f>
        <v>'[QuBA-libre.xlsx]Damage Scenarios'!$B$2</v>
      </c>
    </row>
    <row r="78" spans="1:13" ht="30" outlineLevel="1" x14ac:dyDescent="0.25">
      <c r="A78" s="10" t="str" cm="1">
        <f t="array" aca="1" ref="A78" ca="1">IF(INDEX($H:$H,ROW()-1)&lt;&gt;$H78,$E78,"")</f>
        <v/>
      </c>
      <c r="B78" s="50" t="str" cm="1">
        <f t="array" aca="1" ref="B78" ca="1">IF($K78="","",_xlfn.LET(
_xlpm._fullName,IF($L78="",SUBSTITUTE(SUBSTITUTE(INDIRECT($K78),CHAR(10)," "),"  "," "),$L78),
_xlpm._truncatedName,IF(LEN(_xlpm._fullName)&gt;250,LEFT(_xlpm._fullName,250)&amp;"[…]",_xlpm._fullName),
HYPERLINK("#'"&amp;$E78&amp;"'!"&amp;$F78&amp;$G78,
_xlpm._truncatedName)))</f>
        <v>Question</v>
      </c>
      <c r="C78" s="10" t="s">
        <v>624</v>
      </c>
      <c r="D78" s="10"/>
      <c r="E78" s="9" t="str">
        <f t="shared" ca="1" si="16"/>
        <v>Damage Scenarios</v>
      </c>
      <c r="F78" s="9" t="str">
        <f t="shared" ca="1" si="17"/>
        <v>C</v>
      </c>
      <c r="G78" s="9" t="str">
        <f t="shared" ca="1" si="18"/>
        <v>2</v>
      </c>
      <c r="H78" s="9" cm="1">
        <f t="array" aca="1" ref="H78" ca="1">CreateID($H$35,$E78&lt;&gt;INDEX($E:$E,ROW()-1))</f>
        <v>4</v>
      </c>
      <c r="I78" s="9" t="str" cm="1">
        <f t="array" aca="1" ref="I78" ca="1">INDIRECT($K78)</f>
        <v>Question</v>
      </c>
      <c r="K78" s="2" t="str" cm="1">
        <f t="array" aca="1" ref="K78" ca="1">CELL("address",OFFSET('Damage Scenarios'!$A$2,0,ROW()-ROW($K$76)))</f>
        <v>'[QuBA-libre.xlsx]Damage Scenarios'!$C$2</v>
      </c>
    </row>
    <row r="79" spans="1:13" ht="30" outlineLevel="1" x14ac:dyDescent="0.25">
      <c r="A79" s="10" t="str" cm="1">
        <f t="array" aca="1" ref="A79" ca="1">IF(INDEX($H:$H,ROW()-1)&lt;&gt;$H79,$E79,"")</f>
        <v/>
      </c>
      <c r="B79" s="50" t="str" cm="1">
        <f t="array" aca="1" ref="B79" ca="1">IF($K79="","",_xlfn.LET(
_xlpm._fullName,IF($L79="",SUBSTITUTE(SUBSTITUTE(INDIRECT($K79),CHAR(10)," "),"  "," "),$L79),
_xlpm._truncatedName,IF(LEN(_xlpm._fullName)&gt;250,LEFT(_xlpm._fullName,250)&amp;"[…]",_xlpm._fullName),
HYPERLINK("#'"&amp;$E79&amp;"'!"&amp;$F79&amp;$G79,
_xlpm._truncatedName)))</f>
        <v>Is Active?</v>
      </c>
      <c r="C79" s="10" t="s">
        <v>754</v>
      </c>
      <c r="D79" s="10"/>
      <c r="E79" s="9" t="str">
        <f t="shared" ca="1" si="16"/>
        <v>Damage Scenarios</v>
      </c>
      <c r="F79" s="9" t="str">
        <f t="shared" ca="1" si="17"/>
        <v>D</v>
      </c>
      <c r="G79" s="9" t="str">
        <f t="shared" ca="1" si="18"/>
        <v>2</v>
      </c>
      <c r="H79" s="9" cm="1">
        <f t="array" aca="1" ref="H79" ca="1">CreateID($H$35,$E79&lt;&gt;INDEX($E:$E,ROW()-1))</f>
        <v>4</v>
      </c>
      <c r="I79" s="9" t="str" cm="1">
        <f t="array" aca="1" ref="I79" ca="1">INDIRECT($K79)</f>
        <v>Is Active?</v>
      </c>
      <c r="K79" s="2" t="str" cm="1">
        <f t="array" aca="1" ref="K79" ca="1">CELL("address",OFFSET('Damage Scenarios'!$A$2,0,ROW()-ROW($K$76)))</f>
        <v>'[QuBA-libre.xlsx]Damage Scenarios'!$D$2</v>
      </c>
    </row>
    <row r="80" spans="1:13" ht="45" outlineLevel="1" x14ac:dyDescent="0.25">
      <c r="A80" s="10" t="str" cm="1">
        <f t="array" aca="1" ref="A80" ca="1">IF(INDEX($H:$H,ROW()-1)&lt;&gt;$H80,$E80,"")</f>
        <v/>
      </c>
      <c r="B80" s="50" t="str" cm="1">
        <f t="array" aca="1" ref="B80" ca="1">IF($K80="","",_xlfn.LET(
_xlpm._fullName,IF($L80="",SUBSTITUTE(SUBSTITUTE(INDIRECT($K80),CHAR(10)," "),"  "," "),$L80),
_xlpm._truncatedName,IF(LEN(_xlpm._fullName)&gt;250,LEFT(_xlpm._fullName,250)&amp;"[…]",_xlpm._fullName),
HYPERLINK("#'"&amp;$E80&amp;"'!"&amp;$F80&amp;$G80,
_xlpm._truncatedName)))</f>
        <v>Damage Scenario Static Text Prefix</v>
      </c>
      <c r="C80" s="10" t="s">
        <v>626</v>
      </c>
      <c r="D80" s="10"/>
      <c r="E80" s="9" t="str">
        <f t="shared" ca="1" si="16"/>
        <v>Damage Scenarios</v>
      </c>
      <c r="F80" s="9" t="str">
        <f t="shared" ca="1" si="17"/>
        <v>E</v>
      </c>
      <c r="G80" s="9" t="str">
        <f t="shared" ca="1" si="18"/>
        <v>2</v>
      </c>
      <c r="H80" s="9" cm="1">
        <f t="array" aca="1" ref="H80" ca="1">CreateID($H$35,$E80&lt;&gt;INDEX($E:$E,ROW()-1))</f>
        <v>4</v>
      </c>
      <c r="I80" s="9" t="str" cm="1">
        <f t="array" aca="1" ref="I80" ca="1">INDIRECT($K80)</f>
        <v>Damage Scenario Static Text Prefix</v>
      </c>
      <c r="K80" s="2" t="str" cm="1">
        <f t="array" aca="1" ref="K80" ca="1">CELL("address",OFFSET('Damage Scenarios'!$A$2,0,ROW()-ROW($K$76)))</f>
        <v>'[QuBA-libre.xlsx]Damage Scenarios'!$E$2</v>
      </c>
    </row>
    <row r="81" spans="1:11" ht="30" outlineLevel="1" x14ac:dyDescent="0.25">
      <c r="A81" s="10" t="str" cm="1">
        <f t="array" aca="1" ref="A81" ca="1">IF(INDEX($H:$H,ROW()-1)&lt;&gt;$H81,$E81,"")</f>
        <v/>
      </c>
      <c r="B81" s="50" t="str" cm="1">
        <f t="array" aca="1" ref="B81" ca="1">IF($K81="","",_xlfn.LET(
_xlpm._fullName,IF($L81="",SUBSTITUTE(SUBSTITUTE(INDIRECT($K81),CHAR(10)," "),"  "," "),$L81),
_xlpm._truncatedName,IF(LEN(_xlpm._fullName)&gt;250,LEFT(_xlpm._fullName,250)&amp;"[…]",_xlpm._fullName),
HYPERLINK("#'"&amp;$E81&amp;"'!"&amp;$F81&amp;$G81,
_xlpm._truncatedName)))</f>
        <v>Questionnaire Provides Damage Criterion?</v>
      </c>
      <c r="C81" s="10" t="s">
        <v>787</v>
      </c>
      <c r="D81" s="10"/>
      <c r="E81" s="9" t="str">
        <f t="shared" ca="1" si="16"/>
        <v>Damage Scenarios</v>
      </c>
      <c r="F81" s="9" t="str">
        <f t="shared" ca="1" si="17"/>
        <v>F</v>
      </c>
      <c r="G81" s="9" t="str">
        <f t="shared" ca="1" si="18"/>
        <v>2</v>
      </c>
      <c r="H81" s="9" cm="1">
        <f t="array" aca="1" ref="H81" ca="1">CreateID($H$35,$E81&lt;&gt;INDEX($E:$E,ROW()-1))</f>
        <v>4</v>
      </c>
      <c r="I81" s="9" t="str" cm="1">
        <f t="array" aca="1" ref="I81" ca="1">INDIRECT($K81)</f>
        <v>Questionnaire Provides Damage Criterion?</v>
      </c>
      <c r="K81" s="2" t="str" cm="1">
        <f t="array" aca="1" ref="K81" ca="1">CELL("address",OFFSET('Damage Scenarios'!$A$2,0,ROW()-ROW($K$76)))</f>
        <v>'[QuBA-libre.xlsx]Damage Scenarios'!$F$2</v>
      </c>
    </row>
    <row r="82" spans="1:11" outlineLevel="1" x14ac:dyDescent="0.25">
      <c r="A82" s="10" t="str" cm="1">
        <f t="array" aca="1" ref="A82" ca="1">IF(INDEX($H:$H,ROW()-1)&lt;&gt;$H82,$E82,"")</f>
        <v/>
      </c>
      <c r="B82" s="50" t="str" cm="1">
        <f t="array" aca="1" ref="B82" ca="1">IF($K82="","",_xlfn.LET(
_xlpm._fullName,IF($L82="",SUBSTITUTE(SUBSTITUTE(INDIRECT($K82),CHAR(10)," "),"  "," "),$L82),
_xlpm._truncatedName,IF(LEN(_xlpm._fullName)&gt;250,LEFT(_xlpm._fullName,250)&amp;"[…]",_xlpm._fullName),
HYPERLINK("#'"&amp;$E82&amp;"'!"&amp;$F82&amp;$G82,
_xlpm._truncatedName)))</f>
        <v>Damage Scenario Static Text Suffix</v>
      </c>
      <c r="C82" s="10" t="s">
        <v>627</v>
      </c>
      <c r="D82" s="10"/>
      <c r="E82" s="9" t="str">
        <f t="shared" ca="1" si="16"/>
        <v>Damage Scenarios</v>
      </c>
      <c r="F82" s="9" t="str">
        <f t="shared" ca="1" si="17"/>
        <v>G</v>
      </c>
      <c r="G82" s="9" t="str">
        <f t="shared" ca="1" si="18"/>
        <v>2</v>
      </c>
      <c r="H82" s="9" cm="1">
        <f t="array" aca="1" ref="H82" ca="1">CreateID($H$35,$E82&lt;&gt;INDEX($E:$E,ROW()-1))</f>
        <v>4</v>
      </c>
      <c r="I82" s="9" t="str" cm="1">
        <f t="array" aca="1" ref="I82" ca="1">INDIRECT($K82)</f>
        <v>Damage Scenario Static Text Suffix</v>
      </c>
      <c r="K82" s="2" t="str" cm="1">
        <f t="array" aca="1" ref="K82" ca="1">CELL("address",OFFSET('Damage Scenarios'!$A$2,0,ROW()-ROW($K$76)))</f>
        <v>'[QuBA-libre.xlsx]Damage Scenarios'!$G$2</v>
      </c>
    </row>
    <row r="83" spans="1:11" ht="30" outlineLevel="1" x14ac:dyDescent="0.25">
      <c r="A83" s="10" t="str" cm="1">
        <f t="array" aca="1" ref="A83" ca="1">IF(INDEX($H:$H,ROW()-1)&lt;&gt;$H83,$E83,"")</f>
        <v/>
      </c>
      <c r="B83" s="50" t="str" cm="1">
        <f t="array" aca="1" ref="B83" ca="1">IF($K83="","",_xlfn.LET(
_xlpm._fullName,IF($L83="",SUBSTITUTE(SUBSTITUTE(INDIRECT($K83),CHAR(10)," "),"  "," "),$L83),
_xlpm._truncatedName,IF(LEN(_xlpm._fullName)&gt;250,LEFT(_xlpm._fullName,250)&amp;"[…]",_xlpm._fullName),
HYPERLINK("#'"&amp;$E83&amp;"'!"&amp;$F83&amp;$G83,
_xlpm._truncatedName)))</f>
        <v>Answer 1</v>
      </c>
      <c r="C83" s="10" t="s">
        <v>1116</v>
      </c>
      <c r="D83" s="10"/>
      <c r="E83" s="9" t="str">
        <f t="shared" ca="1" si="16"/>
        <v>Damage Scenarios</v>
      </c>
      <c r="F83" s="9" t="str">
        <f t="shared" ca="1" si="17"/>
        <v>H</v>
      </c>
      <c r="G83" s="9" t="str">
        <f t="shared" ca="1" si="18"/>
        <v>2</v>
      </c>
      <c r="H83" s="9" cm="1">
        <f t="array" aca="1" ref="H83" ca="1">CreateID($H$35,$E83&lt;&gt;INDEX($E:$E,ROW()-1))</f>
        <v>4</v>
      </c>
      <c r="I83" s="9" t="str" cm="1">
        <f t="array" aca="1" ref="I83" ca="1">INDIRECT($K83)</f>
        <v>Answer 1</v>
      </c>
      <c r="K83" s="2" t="str" cm="1">
        <f t="array" aca="1" ref="K83" ca="1">CELL("address",OFFSET('Damage Scenarios'!$A$2,0,ROW()-ROW($K$76)))</f>
        <v>'[QuBA-libre.xlsx]Damage Scenarios'!$H$2</v>
      </c>
    </row>
    <row r="84" spans="1:11" ht="30" outlineLevel="1" x14ac:dyDescent="0.25">
      <c r="A84" s="10" t="str" cm="1">
        <f t="array" aca="1" ref="A84" ca="1">IF(INDEX($H:$H,ROW()-1)&lt;&gt;$H84,$E84,"")</f>
        <v/>
      </c>
      <c r="B84" s="50" t="str" cm="1">
        <f t="array" aca="1" ref="B84" ca="1">IF($K84="","",_xlfn.LET(
_xlpm._fullName,IF($L84="",SUBSTITUTE(SUBSTITUTE(INDIRECT($K84),CHAR(10)," "),"  "," "),$L84),
_xlpm._truncatedName,IF(LEN(_xlpm._fullName)&gt;250,LEFT(_xlpm._fullName,250)&amp;"[…]",_xlpm._fullName),
HYPERLINK("#'"&amp;$E84&amp;"'!"&amp;$F84&amp;$G84,
_xlpm._truncatedName)))</f>
        <v>Answer 2</v>
      </c>
      <c r="C84" s="10" t="s">
        <v>1117</v>
      </c>
      <c r="D84" s="10"/>
      <c r="E84" s="9" t="str">
        <f t="shared" ca="1" si="16"/>
        <v>Damage Scenarios</v>
      </c>
      <c r="F84" s="9" t="str">
        <f t="shared" ca="1" si="17"/>
        <v>I</v>
      </c>
      <c r="G84" s="9" t="str">
        <f t="shared" ca="1" si="18"/>
        <v>2</v>
      </c>
      <c r="H84" s="9" cm="1">
        <f t="array" aca="1" ref="H84" ca="1">CreateID($H$35,$E84&lt;&gt;INDEX($E:$E,ROW()-1))</f>
        <v>4</v>
      </c>
      <c r="I84" s="9" t="str" cm="1">
        <f t="array" aca="1" ref="I84" ca="1">INDIRECT($K84)</f>
        <v>Answer 2</v>
      </c>
      <c r="K84" s="2" t="str" cm="1">
        <f t="array" aca="1" ref="K84" ca="1">CELL("address",OFFSET('Damage Scenarios'!$A$2,0,ROW()-ROW($K$76)))</f>
        <v>'[QuBA-libre.xlsx]Damage Scenarios'!$I$2</v>
      </c>
    </row>
    <row r="85" spans="1:11" outlineLevel="1" x14ac:dyDescent="0.25">
      <c r="A85" s="10" t="str" cm="1">
        <f t="array" aca="1" ref="A85" ca="1">IF(INDEX($H:$H,ROW()-1)&lt;&gt;$H85,$E85,"")</f>
        <v/>
      </c>
      <c r="B85" s="50" t="str" cm="1">
        <f t="array" aca="1" ref="B85" ca="1">IF($K85="","",_xlfn.LET(
_xlpm._fullName,IF($L85="",SUBSTITUTE(SUBSTITUTE(INDIRECT($K85),CHAR(10)," "),"  "," "),$L85),
_xlpm._truncatedName,IF(LEN(_xlpm._fullName)&gt;250,LEFT(_xlpm._fullName,250)&amp;"[…]",_xlpm._fullName),
HYPERLINK("#'"&amp;$E85&amp;"'!"&amp;$F85&amp;$G85,
_xlpm._truncatedName)))</f>
        <v>Damage Scenario Text (depends on answers to questionnaire)</v>
      </c>
      <c r="C85" s="10" t="s">
        <v>625</v>
      </c>
      <c r="D85" s="10"/>
      <c r="E85" s="9" t="str">
        <f t="shared" ca="1" si="16"/>
        <v>Damage Scenarios</v>
      </c>
      <c r="F85" s="9" t="str">
        <f t="shared" ca="1" si="17"/>
        <v>J</v>
      </c>
      <c r="G85" s="9" t="str">
        <f t="shared" ca="1" si="18"/>
        <v>2</v>
      </c>
      <c r="H85" s="9" cm="1">
        <f t="array" aca="1" ref="H85" ca="1">CreateID($H$35,$E85&lt;&gt;INDEX($E:$E,ROW()-1))</f>
        <v>4</v>
      </c>
      <c r="I85" s="9" t="str" cm="1">
        <f t="array" aca="1" ref="I85" ca="1">INDIRECT($K85)</f>
        <v>Damage Scenario Text (depends on answers to questionnaire)</v>
      </c>
      <c r="K85" s="2" t="str" cm="1">
        <f t="array" aca="1" ref="K85" ca="1">CELL("address",OFFSET('Damage Scenarios'!$A$2,0,ROW()-ROW($K$76)))</f>
        <v>'[QuBA-libre.xlsx]Damage Scenarios'!$J$2</v>
      </c>
    </row>
    <row r="86" spans="1:11" ht="30" outlineLevel="1" x14ac:dyDescent="0.25">
      <c r="A86" s="10" t="str" cm="1">
        <f t="array" aca="1" ref="A86" ca="1">IF(INDEX($H:$H,ROW()-1)&lt;&gt;$H86,$E86,"")</f>
        <v/>
      </c>
      <c r="B86" s="50" t="str" cm="1">
        <f t="array" aca="1" ref="B86" ca="1">IF($K86="","",_xlfn.LET(
_xlpm._fullName,IF($L86="",SUBSTITUTE(SUBSTITUTE(INDIRECT($K86),CHAR(10)," "),"  "," "),$L86),
_xlpm._truncatedName,IF(LEN(_xlpm._fullName)&gt;250,LEFT(_xlpm._fullName,250)&amp;"[…]",_xlpm._fullName),
HYPERLINK("#'"&amp;$E86&amp;"'!"&amp;$F86&amp;$G86,
_xlpm._truncatedName)))</f>
        <v>Explicit Damage Criterion</v>
      </c>
      <c r="C86" s="10" t="s">
        <v>798</v>
      </c>
      <c r="D86" s="10"/>
      <c r="E86" s="9" t="str">
        <f ca="1">IF($K86="","",_xlfn.LET(
_xlpm._in,$K86,
_xlpm._start,FIND("]",_xlpm._in)+1,
SUBSTITUTE(MID(_xlpm._in,_xlpm._start,FIND("!",_xlpm._in)-_xlpm._start),"'","")))</f>
        <v>Damage Scenarios</v>
      </c>
      <c r="F86" s="9" t="str">
        <f ca="1">IF($K86="","",_xlfn.LET(
_xlpm._in,SUBSTITUTE($K86,"$","§",1),
_xlpm._start,FIND("§",_xlpm._in)+1,
SUBSTITUTE(MID(_xlpm._in,_xlpm._start,FIND("$",_xlpm._in)-_xlpm._start),"'","")))</f>
        <v>K</v>
      </c>
      <c r="G86" s="9" t="str">
        <f ca="1">IF($K86="","",RIGHT($K86,LEN($K86)-FIND("$",SUBSTITUTE($K86,"$","§",1))))</f>
        <v>2</v>
      </c>
      <c r="H86" s="9" cm="1">
        <f t="array" aca="1" ref="H86" ca="1">CreateID($H$35,$E86&lt;&gt;INDEX($E:$E,ROW()-1))</f>
        <v>4</v>
      </c>
      <c r="I86" s="9" t="str" cm="1">
        <f t="array" aca="1" ref="I86" ca="1">INDIRECT($K86)</f>
        <v>Explicit Damage Criterion</v>
      </c>
      <c r="K86" s="2" t="str" cm="1">
        <f t="array" aca="1" ref="K86" ca="1">CELL("address",OFFSET('Damage Scenarios'!$A$2,0,ROW()-ROW($K$76)))</f>
        <v>'[QuBA-libre.xlsx]Damage Scenarios'!$K$2</v>
      </c>
    </row>
    <row r="87" spans="1:11" ht="60" outlineLevel="1" x14ac:dyDescent="0.25">
      <c r="A87" s="10" t="str" cm="1">
        <f t="array" aca="1" ref="A87" ca="1">IF(INDEX($H:$H,ROW()-1)&lt;&gt;$H87,$E87,"")</f>
        <v/>
      </c>
      <c r="B87" s="50" t="str" cm="1">
        <f t="array" aca="1" ref="B87" ca="1">IF($K87="","",_xlfn.LET(
_xlpm._fullName,IF($L87="",SUBSTITUTE(SUBSTITUTE(INDIRECT($K87),CHAR(10)," "),"  "," "),$L87),
_xlpm._truncatedName,IF(LEN(_xlpm._fullName)&gt;250,LEFT(_xlpm._fullName,250)&amp;"[…]",_xlpm._fullName),
HYPERLINK("#'"&amp;$E87&amp;"'!"&amp;$F87&amp;$G87,
_xlpm._truncatedName)))</f>
        <v>Active Damage Criterion</v>
      </c>
      <c r="C87" s="10" t="s">
        <v>789</v>
      </c>
      <c r="D87" s="10"/>
      <c r="E87" s="9" t="str">
        <f ca="1">IF($K87="","",_xlfn.LET(
_xlpm._in,$K87,
_xlpm._start,FIND("]",_xlpm._in)+1,
SUBSTITUTE(MID(_xlpm._in,_xlpm._start,FIND("!",_xlpm._in)-_xlpm._start),"'","")))</f>
        <v>Damage Scenarios</v>
      </c>
      <c r="F87" s="9" t="str">
        <f ca="1">IF($K87="","",_xlfn.LET(
_xlpm._in,SUBSTITUTE($K87,"$","§",1),
_xlpm._start,FIND("§",_xlpm._in)+1,
SUBSTITUTE(MID(_xlpm._in,_xlpm._start,FIND("$",_xlpm._in)-_xlpm._start),"'","")))</f>
        <v>L</v>
      </c>
      <c r="G87" s="9" t="str">
        <f ca="1">IF($K87="","",RIGHT($K87,LEN($K87)-FIND("$",SUBSTITUTE($K87,"$","§",1))))</f>
        <v>2</v>
      </c>
      <c r="H87" s="9" cm="1">
        <f t="array" aca="1" ref="H87" ca="1">CreateID($H$35,$E87&lt;&gt;INDEX($E:$E,ROW()-1))</f>
        <v>4</v>
      </c>
      <c r="I87" s="9" t="str" cm="1">
        <f t="array" aca="1" ref="I87" ca="1">INDIRECT($K87)</f>
        <v>Active Damage Criterion</v>
      </c>
      <c r="K87" s="2" t="str" cm="1">
        <f t="array" aca="1" ref="K87" ca="1">CELL("address",OFFSET('Damage Scenarios'!$A$2,0,ROW()-ROW($K$76)))</f>
        <v>'[QuBA-libre.xlsx]Damage Scenarios'!$L$2</v>
      </c>
    </row>
    <row r="88" spans="1:11" ht="30" outlineLevel="1" x14ac:dyDescent="0.25">
      <c r="A88" s="10" t="str" cm="1">
        <f t="array" aca="1" ref="A88" ca="1">IF(INDEX($H:$H,ROW()-1)&lt;&gt;$H88,$E88,"")</f>
        <v/>
      </c>
      <c r="B88" s="50" t="str" cm="1">
        <f t="array" aca="1" ref="B88" ca="1">IF($K88="","",_xlfn.LET(
_xlpm._fullName,IF($L88="",SUBSTITUTE(SUBSTITUTE(INDIRECT($K88),CHAR(10)," "),"  "," "),$L88),
_xlpm._truncatedName,IF(LEN(_xlpm._fullName)&gt;250,LEFT(_xlpm._fullName,250)&amp;"[…]",_xlpm._fullName),
HYPERLINK("#'"&amp;$E88&amp;"'!"&amp;$F88&amp;$G88,
_xlpm._truncatedName)))</f>
        <v>Damage Level</v>
      </c>
      <c r="C88" s="10" t="s">
        <v>761</v>
      </c>
      <c r="D88" s="10"/>
      <c r="E88" s="9" t="str">
        <f ca="1">IF($K88="","",_xlfn.LET(
_xlpm._in,$K88,
_xlpm._start,FIND("]",_xlpm._in)+1,
SUBSTITUTE(MID(_xlpm._in,_xlpm._start,FIND("!",_xlpm._in)-_xlpm._start),"'","")))</f>
        <v>Damage Scenarios</v>
      </c>
      <c r="F88" s="9" t="str">
        <f ca="1">IF($K88="","",_xlfn.LET(
_xlpm._in,SUBSTITUTE($K88,"$","§",1),
_xlpm._start,FIND("§",_xlpm._in)+1,
SUBSTITUTE(MID(_xlpm._in,_xlpm._start,FIND("$",_xlpm._in)-_xlpm._start),"'","")))</f>
        <v>M</v>
      </c>
      <c r="G88" s="9" t="str">
        <f ca="1">IF($K88="","",RIGHT($K88,LEN($K88)-FIND("$",SUBSTITUTE($K88,"$","§",1))))</f>
        <v>2</v>
      </c>
      <c r="H88" s="9" cm="1">
        <f t="array" aca="1" ref="H88" ca="1">CreateID($H$35,$E88&lt;&gt;INDEX($E:$E,ROW()-1))</f>
        <v>4</v>
      </c>
      <c r="I88" s="9" t="str" cm="1">
        <f t="array" aca="1" ref="I88" ca="1">INDIRECT($K88)</f>
        <v>Damage Level</v>
      </c>
      <c r="K88" s="2" t="str" cm="1">
        <f t="array" aca="1" ref="K88" ca="1">CELL("address",OFFSET('Damage Scenarios'!$A$2,0,ROW()-ROW($K$76)))</f>
        <v>'[QuBA-libre.xlsx]Damage Scenarios'!$M$2</v>
      </c>
    </row>
    <row r="89" spans="1:11" ht="30" outlineLevel="1" x14ac:dyDescent="0.25">
      <c r="A89" s="10" t="str" cm="1">
        <f t="array" aca="1" ref="A89" ca="1">IF(INDEX($H:$H,ROW()-1)&lt;&gt;$H89,$E89,"")</f>
        <v/>
      </c>
      <c r="B89" s="50" t="str" cm="1">
        <f t="array" aca="1" ref="B89" ca="1">IF($K89="","",_xlfn.LET(
_xlpm._fullName,IF($L89="",SUBSTITUTE(SUBSTITUTE(INDIRECT($K89),CHAR(10)," "),"  "," "),$L89),
_xlpm._truncatedName,IF(LEN(_xlpm._fullName)&gt;250,LEFT(_xlpm._fullName,250)&amp;"[…]",_xlpm._fullName),
HYPERLINK("#'"&amp;$E89&amp;"'!"&amp;$F89&amp;$G89,
_xlpm._truncatedName)))</f>
        <v>Explicit Explanation Text</v>
      </c>
      <c r="C89" s="10" t="s">
        <v>791</v>
      </c>
      <c r="D89" s="10"/>
      <c r="E89" s="9" t="str">
        <f ca="1">IF($K89="","",_xlfn.LET(
_xlpm._in,$K89,
_xlpm._start,FIND("]",_xlpm._in)+1,
SUBSTITUTE(MID(_xlpm._in,_xlpm._start,FIND("!",_xlpm._in)-_xlpm._start),"'","")))</f>
        <v>Damage Scenarios</v>
      </c>
      <c r="F89" s="9" t="str">
        <f ca="1">IF($K89="","",_xlfn.LET(
_xlpm._in,SUBSTITUTE($K89,"$","§",1),
_xlpm._start,FIND("§",_xlpm._in)+1,
SUBSTITUTE(MID(_xlpm._in,_xlpm._start,FIND("$",_xlpm._in)-_xlpm._start),"'","")))</f>
        <v>N</v>
      </c>
      <c r="G89" s="9" t="str">
        <f ca="1">IF($K89="","",RIGHT($K89,LEN($K89)-FIND("$",SUBSTITUTE($K89,"$","§",1))))</f>
        <v>2</v>
      </c>
      <c r="H89" s="9" cm="1">
        <f t="array" aca="1" ref="H89" ca="1">CreateID($H$35,$E89&lt;&gt;INDEX($E:$E,ROW()-1))</f>
        <v>4</v>
      </c>
      <c r="I89" s="9" t="str" cm="1">
        <f t="array" aca="1" ref="I89" ca="1">INDIRECT($K89)</f>
        <v>Explicit Explanation Text</v>
      </c>
      <c r="K89" s="2" t="str" cm="1">
        <f t="array" aca="1" ref="K89" ca="1">CELL("address",OFFSET('Damage Scenarios'!$A$2,0,ROW()-ROW($K$76)))</f>
        <v>'[QuBA-libre.xlsx]Damage Scenarios'!$N$2</v>
      </c>
    </row>
    <row r="90" spans="1:11" ht="45" outlineLevel="1" x14ac:dyDescent="0.25">
      <c r="A90" s="10" t="str" cm="1">
        <f t="array" aca="1" ref="A90" ca="1">IF(INDEX($H:$H,ROW()-1)&lt;&gt;$H90,$E90,"")</f>
        <v/>
      </c>
      <c r="B90" s="50" t="str" cm="1">
        <f t="array" aca="1" ref="B90" ca="1">IF($K90="","",_xlfn.LET(
_xlpm._fullName,IF($L90="",SUBSTITUTE(SUBSTITUTE(INDIRECT($K90),CHAR(10)," "),"  "," "),$L90),
_xlpm._truncatedName,IF(LEN(_xlpm._fullName)&gt;250,LEFT(_xlpm._fullName,250)&amp;"[…]",_xlpm._fullName),
HYPERLINK("#'"&amp;$E90&amp;"'!"&amp;$F90&amp;$G90,
_xlpm._truncatedName)))</f>
        <v>Explanation Text</v>
      </c>
      <c r="C90" s="10" t="s">
        <v>792</v>
      </c>
      <c r="D90" s="10"/>
      <c r="E90" s="9" t="str">
        <f ca="1">IF($K90="","",_xlfn.LET(
_xlpm._in,$K90,
_xlpm._start,FIND("]",_xlpm._in)+1,
SUBSTITUTE(MID(_xlpm._in,_xlpm._start,FIND("!",_xlpm._in)-_xlpm._start),"'","")))</f>
        <v>Damage Scenarios</v>
      </c>
      <c r="F90" s="9" t="str">
        <f ca="1">IF($K90="","",_xlfn.LET(
_xlpm._in,SUBSTITUTE($K90,"$","§",1),
_xlpm._start,FIND("§",_xlpm._in)+1,
SUBSTITUTE(MID(_xlpm._in,_xlpm._start,FIND("$",_xlpm._in)-_xlpm._start),"'","")))</f>
        <v>O</v>
      </c>
      <c r="G90" s="9" t="str">
        <f ca="1">IF($K90="","",RIGHT($K90,LEN($K90)-FIND("$",SUBSTITUTE($K90,"$","§",1))))</f>
        <v>2</v>
      </c>
      <c r="H90" s="9" cm="1">
        <f t="array" aca="1" ref="H90" ca="1">CreateID($H$35,$E90&lt;&gt;INDEX($E:$E,ROW()-1))</f>
        <v>4</v>
      </c>
      <c r="I90" s="9" t="str" cm="1">
        <f t="array" aca="1" ref="I90" ca="1">INDIRECT($K90)</f>
        <v>Explanation Text</v>
      </c>
      <c r="K90" s="2" t="str" cm="1">
        <f t="array" aca="1" ref="K90" ca="1">CELL("address",OFFSET('Damage Scenarios'!$A$2,0,ROW()-ROW($K$76)))</f>
        <v>'[QuBA-libre.xlsx]Damage Scenarios'!$O$2</v>
      </c>
    </row>
    <row r="91" spans="1:11" outlineLevel="1" x14ac:dyDescent="0.25">
      <c r="A91" s="10" t="str" cm="1">
        <f t="array" aca="1" ref="A91" ca="1">IF(INDEX($H:$H,ROW()-1)&lt;&gt;$H91,$E91,"")</f>
        <v/>
      </c>
      <c r="B91" s="50" t="str" cm="1">
        <f t="array" aca="1" ref="B91" ca="1">IF($K91="","",_xlfn.LET(
_xlpm._fullName,IF($L91="",SUBSTITUTE(SUBSTITUTE(INDIRECT($K91),CHAR(10)," "),"  "," "),$L91),
_xlpm._truncatedName,IF(LEN(_xlpm._fullName)&gt;250,LEFT(_xlpm._fullName,250)&amp;"[…]",_xlpm._fullName),
HYPERLINK("#'"&amp;$E91&amp;"'!"&amp;$F91&amp;$G91,
_xlpm._truncatedName)))</f>
        <v>Comment</v>
      </c>
      <c r="C91" s="10" t="s">
        <v>638</v>
      </c>
      <c r="D91" s="10"/>
      <c r="E91" s="9" t="str">
        <f t="shared" ca="1" si="16"/>
        <v>Damage Scenarios</v>
      </c>
      <c r="F91" s="9" t="str">
        <f t="shared" ca="1" si="17"/>
        <v>P</v>
      </c>
      <c r="G91" s="9" t="str">
        <f t="shared" ca="1" si="18"/>
        <v>2</v>
      </c>
      <c r="H91" s="9" cm="1">
        <f t="array" aca="1" ref="H91" ca="1">CreateID($H$35,$E91&lt;&gt;INDEX($E:$E,ROW()-1))</f>
        <v>4</v>
      </c>
      <c r="I91" s="9" t="str" cm="1">
        <f t="array" aca="1" ref="I91" ca="1">INDIRECT($K91)</f>
        <v>Comment</v>
      </c>
      <c r="K91" s="2" t="str" cm="1">
        <f t="array" aca="1" ref="K91" ca="1">CELL("address",OFFSET('Damage Scenarios'!$A$2,0,ROW()-ROW($K$76)))</f>
        <v>'[QuBA-libre.xlsx]Damage Scenarios'!$P$2</v>
      </c>
    </row>
    <row r="92" spans="1:11" x14ac:dyDescent="0.25">
      <c r="A92" s="10" t="str" cm="1">
        <f t="array" aca="1" ref="A92" ca="1">IF(INDEX($H:$H,ROW()-1)&lt;&gt;$H92,$E92,"")</f>
        <v>Attack Steps</v>
      </c>
      <c r="B92" s="50" t="str" cm="1">
        <f t="array" aca="1" ref="B92" ca="1">IF($K92="","",_xlfn.LET(
_xlpm._fullName,IF($L92="",SUBSTITUTE(SUBSTITUTE(INDIRECT($K92),CHAR(10)," "),"  "," "),$L92),
_xlpm._truncatedName,IF(LEN(_xlpm._fullName)&gt;250,LEFT(_xlpm._fullName,250)&amp;"[…]",_xlpm._fullName),
HYPERLINK("#'"&amp;$E92&amp;"'!"&amp;$F92&amp;$G92,
_xlpm._truncatedName)))</f>
        <v>ID</v>
      </c>
      <c r="C92" s="10" t="s">
        <v>676</v>
      </c>
      <c r="D92" s="10"/>
      <c r="E92" s="9" t="str">
        <f t="shared" ref="E92:E107" ca="1" si="19">IF($K92="","",_xlfn.LET(
_xlpm._in,$K92,
_xlpm._start,FIND("]",_xlpm._in)+1,
SUBSTITUTE(MID(_xlpm._in,_xlpm._start,FIND("!",_xlpm._in)-_xlpm._start),"'","")))</f>
        <v>Attack Steps</v>
      </c>
      <c r="F92" s="9" t="str">
        <f t="shared" ref="F92:F107" ca="1" si="20">IF($K92="","",_xlfn.LET(
_xlpm._in,SUBSTITUTE($K92,"$","§",1),
_xlpm._start,FIND("§",_xlpm._in)+1,
SUBSTITUTE(MID(_xlpm._in,_xlpm._start,FIND("$",_xlpm._in)-_xlpm._start),"'","")))</f>
        <v>A</v>
      </c>
      <c r="G92" s="9" t="str">
        <f t="shared" ref="G92:G107" ca="1" si="21">IF($K92="","",RIGHT($K92,LEN($K92)-FIND("$",SUBSTITUTE($K92,"$","§",1))))</f>
        <v>2</v>
      </c>
      <c r="H92" s="9" cm="1">
        <f t="array" aca="1" ref="H92" ca="1">CreateID($H$35,$E92&lt;&gt;INDEX($E:$E,ROW()-1))</f>
        <v>5</v>
      </c>
      <c r="I92" s="9" t="str" cm="1">
        <f t="array" aca="1" ref="I92" ca="1">INDIRECT($K92)</f>
        <v>ID</v>
      </c>
      <c r="K92" s="2" t="str" cm="1">
        <f t="array" aca="1" ref="K92" ca="1">CELL("address",OFFSET('Attack Steps'!$A$2,0,ROW()-ROW($K$92)))</f>
        <v>'[QuBA-libre.xlsx]Attack Steps'!$A$2</v>
      </c>
    </row>
    <row r="93" spans="1:11" outlineLevel="1" x14ac:dyDescent="0.25">
      <c r="A93" s="10" t="str" cm="1">
        <f t="array" aca="1" ref="A93" ca="1">IF(INDEX($H:$H,ROW()-1)&lt;&gt;$H93,$E93,"")</f>
        <v/>
      </c>
      <c r="B93" s="50" t="str" cm="1">
        <f t="array" aca="1" ref="B93" ca="1">IF($K93="","",_xlfn.LET(
_xlpm._fullName,IF($L93="",SUBSTITUTE(SUBSTITUTE(INDIRECT($K93),CHAR(10)," "),"  "," "),$L93),
_xlpm._truncatedName,IF(LEN(_xlpm._fullName)&gt;250,LEFT(_xlpm._fullName,250)&amp;"[…]",_xlpm._fullName),
HYPERLINK("#'"&amp;$E93&amp;"'!"&amp;$F93&amp;$G93,
_xlpm._truncatedName)))</f>
        <v>Attack Step</v>
      </c>
      <c r="C93" s="10" t="s">
        <v>628</v>
      </c>
      <c r="D93" s="10"/>
      <c r="E93" s="9" t="str">
        <f t="shared" ca="1" si="19"/>
        <v>Attack Steps</v>
      </c>
      <c r="F93" s="9" t="str">
        <f t="shared" ca="1" si="20"/>
        <v>B</v>
      </c>
      <c r="G93" s="9" t="str">
        <f t="shared" ca="1" si="21"/>
        <v>2</v>
      </c>
      <c r="H93" s="9" cm="1">
        <f t="array" aca="1" ref="H93" ca="1">CreateID($H$35,$E93&lt;&gt;INDEX($E:$E,ROW()-1))</f>
        <v>5</v>
      </c>
      <c r="I93" s="9" t="str" cm="1">
        <f t="array" aca="1" ref="I93" ca="1">INDIRECT($K93)</f>
        <v>Attack Step</v>
      </c>
      <c r="K93" s="2" t="str" cm="1">
        <f t="array" aca="1" ref="K93" ca="1">CELL("address",OFFSET('Attack Steps'!$A$2,0,ROW()-ROW($K$92)))</f>
        <v>'[QuBA-libre.xlsx]Attack Steps'!$B$2</v>
      </c>
    </row>
    <row r="94" spans="1:11" ht="75" outlineLevel="1" x14ac:dyDescent="0.25">
      <c r="A94" s="10" t="str" cm="1">
        <f t="array" aca="1" ref="A94" ca="1">IF(INDEX($H:$H,ROW()-1)&lt;&gt;$H94,$E94,"")</f>
        <v/>
      </c>
      <c r="B94" s="50" t="str" cm="1">
        <f t="array" aca="1" ref="B94" ca="1">IF($K94="","",_xlfn.LET(
_xlpm._fullName,IF($L94="",SUBSTITUTE(SUBSTITUTE(INDIRECT($K94),CHAR(10)," "),"  "," "),$L94),
_xlpm._truncatedName,IF(LEN(_xlpm._fullName)&gt;250,LEFT(_xlpm._fullName,250)&amp;"[…]",_xlpm._fullName),
HYPERLINK("#'"&amp;$E94&amp;"'!"&amp;$F94&amp;$G94,
_xlpm._truncatedName)))</f>
        <v>Prep IDs</v>
      </c>
      <c r="C94" s="10" t="s">
        <v>637</v>
      </c>
      <c r="D94" s="10"/>
      <c r="E94" s="9" t="str">
        <f t="shared" ca="1" si="19"/>
        <v>Attack Steps</v>
      </c>
      <c r="F94" s="9" t="str">
        <f t="shared" ca="1" si="20"/>
        <v>C</v>
      </c>
      <c r="G94" s="9" t="str">
        <f t="shared" ca="1" si="21"/>
        <v>2</v>
      </c>
      <c r="H94" s="9" cm="1">
        <f t="array" aca="1" ref="H94" ca="1">CreateID($H$35,$E94&lt;&gt;INDEX($E:$E,ROW()-1))</f>
        <v>5</v>
      </c>
      <c r="I94" s="9" t="str" cm="1">
        <f t="array" aca="1" ref="I94" ca="1">INDIRECT($K94)</f>
        <v>Prep IDs</v>
      </c>
      <c r="K94" s="2" t="str" cm="1">
        <f t="array" aca="1" ref="K94" ca="1">CELL("address",OFFSET('Attack Steps'!$A$2,0,ROW()-ROW($K$92)))</f>
        <v>'[QuBA-libre.xlsx]Attack Steps'!$C$2</v>
      </c>
    </row>
    <row r="95" spans="1:11" ht="30" outlineLevel="1" x14ac:dyDescent="0.25">
      <c r="A95" s="10" t="str" cm="1">
        <f t="array" aca="1" ref="A95" ca="1">IF(INDEX($H:$H,ROW()-1)&lt;&gt;$H95,$E95,"")</f>
        <v/>
      </c>
      <c r="B95" s="50" t="str" cm="1">
        <f t="array" aca="1" ref="B95" ca="1">IF($K95="","",_xlfn.LET(
_xlpm._fullName,IF($L95="",SUBSTITUTE(SUBSTITUTE(INDIRECT($K95),CHAR(10)," "),"  "," "),$L95),
_xlpm._truncatedName,IF(LEN(_xlpm._fullName)&gt;250,LEFT(_xlpm._fullName,250)&amp;"[…]",_xlpm._fullName),
HYPERLINK("#'"&amp;$E95&amp;"'!"&amp;$F95&amp;$G95,
_xlpm._truncatedName)))</f>
        <v>Prerequisite Attack Steps</v>
      </c>
      <c r="C95" s="10" t="s">
        <v>631</v>
      </c>
      <c r="D95" s="10"/>
      <c r="E95" s="9" t="str">
        <f t="shared" ca="1" si="19"/>
        <v>Attack Steps</v>
      </c>
      <c r="F95" s="9" t="str">
        <f t="shared" ca="1" si="20"/>
        <v>D</v>
      </c>
      <c r="G95" s="9" t="str">
        <f t="shared" ca="1" si="21"/>
        <v>2</v>
      </c>
      <c r="H95" s="9" cm="1">
        <f t="array" aca="1" ref="H95" ca="1">CreateID($H$35,$E95&lt;&gt;INDEX($E:$E,ROW()-1))</f>
        <v>5</v>
      </c>
      <c r="I95" s="9" t="str" cm="1">
        <f t="array" aca="1" ref="I95" ca="1">INDIRECT($K95)</f>
        <v>Prerequisite Attack Steps</v>
      </c>
      <c r="K95" s="2" t="str" cm="1">
        <f t="array" aca="1" ref="K95" ca="1">CELL("address",OFFSET('Attack Steps'!$A$2,0,ROW()-ROW($K$92)))</f>
        <v>'[QuBA-libre.xlsx]Attack Steps'!$D$2</v>
      </c>
    </row>
    <row r="96" spans="1:11" ht="45" outlineLevel="1" x14ac:dyDescent="0.25">
      <c r="A96" s="10" t="str" cm="1">
        <f t="array" aca="1" ref="A96" ca="1">IF(INDEX($H:$H,ROW()-1)&lt;&gt;$H96,$E96,"")</f>
        <v/>
      </c>
      <c r="B96" s="50" t="str" cm="1">
        <f t="array" aca="1" ref="B96" ca="1">IF($K96="","",_xlfn.LET(
_xlpm._fullName,IF($L96="",SUBSTITUTE(SUBSTITUTE(INDIRECT($K96),CHAR(10)," "),"  "," "),$L96),
_xlpm._truncatedName,IF(LEN(_xlpm._fullName)&gt;250,LEFT(_xlpm._fullName,250)&amp;"[…]",_xlpm._fullName),
HYPERLINK("#'"&amp;$E96&amp;"'!"&amp;$F96&amp;$G96,
_xlpm._truncatedName)))</f>
        <v>Q IDs</v>
      </c>
      <c r="C96" s="10" t="s">
        <v>1119</v>
      </c>
      <c r="D96" s="10" t="s">
        <v>1120</v>
      </c>
      <c r="E96" s="9" t="str">
        <f t="shared" ca="1" si="19"/>
        <v>Attack Steps</v>
      </c>
      <c r="F96" s="9" t="str">
        <f t="shared" ca="1" si="20"/>
        <v>E</v>
      </c>
      <c r="G96" s="9" t="str">
        <f t="shared" ca="1" si="21"/>
        <v>2</v>
      </c>
      <c r="H96" s="9" cm="1">
        <f t="array" aca="1" ref="H96" ca="1">CreateID($H$35,$E96&lt;&gt;INDEX($E:$E,ROW()-1))</f>
        <v>5</v>
      </c>
      <c r="I96" s="9" t="str" cm="1">
        <f t="array" aca="1" ref="I96" ca="1">INDIRECT($K96)</f>
        <v>Q IDs</v>
      </c>
      <c r="K96" s="2" t="str" cm="1">
        <f t="array" aca="1" ref="K96" ca="1">CELL("address",OFFSET('Attack Steps'!$A$2,0,ROW()-ROW($K$92)))</f>
        <v>'[QuBA-libre.xlsx]Attack Steps'!$E$2</v>
      </c>
    </row>
    <row r="97" spans="1:11" outlineLevel="1" x14ac:dyDescent="0.25">
      <c r="A97" s="10" t="str" cm="1">
        <f t="array" aca="1" ref="A97" ca="1">IF(INDEX($H:$H,ROW()-1)&lt;&gt;$H97,$E97,"")</f>
        <v/>
      </c>
      <c r="B97" s="50" t="str" cm="1">
        <f t="array" aca="1" ref="B97" ca="1">IF($K97="","",_xlfn.LET(
_xlpm._fullName,IF($L97="",SUBSTITUTE(SUBSTITUTE(INDIRECT($K97),CHAR(10)," "),"  "," "),$L97),
_xlpm._truncatedName,IF(LEN(_xlpm._fullName)&gt;250,LEFT(_xlpm._fullName,250)&amp;"[…]",_xlpm._fullName),
HYPERLINK("#'"&amp;$E97&amp;"'!"&amp;$F97&amp;$G97,
_xlpm._truncatedName)))</f>
        <v>Related Question (for damage scenarios)</v>
      </c>
      <c r="C97" s="10" t="s">
        <v>630</v>
      </c>
      <c r="D97" s="10"/>
      <c r="E97" s="9" t="str">
        <f t="shared" ca="1" si="19"/>
        <v>Attack Steps</v>
      </c>
      <c r="F97" s="9" t="str">
        <f t="shared" ca="1" si="20"/>
        <v>F</v>
      </c>
      <c r="G97" s="9" t="str">
        <f t="shared" ca="1" si="21"/>
        <v>2</v>
      </c>
      <c r="H97" s="9" cm="1">
        <f t="array" aca="1" ref="H97" ca="1">CreateID($H$35,$E97&lt;&gt;INDEX($E:$E,ROW()-1))</f>
        <v>5</v>
      </c>
      <c r="I97" s="9" t="str" cm="1">
        <f t="array" aca="1" ref="I97" ca="1">INDIRECT($K97)</f>
        <v>Related Question (for damage scenarios)</v>
      </c>
      <c r="K97" s="2" t="str" cm="1">
        <f t="array" aca="1" ref="K97" ca="1">CELL("address",OFFSET('Attack Steps'!$A$2,0,ROW()-ROW($K$92)))</f>
        <v>'[QuBA-libre.xlsx]Attack Steps'!$F$2</v>
      </c>
    </row>
    <row r="98" spans="1:11" ht="30" outlineLevel="1" x14ac:dyDescent="0.25">
      <c r="A98" s="10" t="str" cm="1">
        <f t="array" aca="1" ref="A98" ca="1">IF(INDEX($H:$H,ROW()-1)&lt;&gt;$H98,$E98,"")</f>
        <v/>
      </c>
      <c r="B98" s="50" t="str" cm="1">
        <f t="array" aca="1" ref="B98" ca="1">IF($K98="","",_xlfn.LET(
_xlpm._fullName,IF($L98="",SUBSTITUTE(SUBSTITUTE(INDIRECT($K98),CHAR(10)," "),"  "," "),$L98),
_xlpm._truncatedName,IF(LEN(_xlpm._fullName)&gt;250,LEFT(_xlpm._fullName,250)&amp;"[…]",_xlpm._fullName),
HYPERLINK("#'"&amp;$E98&amp;"'!"&amp;$F98&amp;$G98,
_xlpm._truncatedName)))</f>
        <v>Active Damage Scenarios</v>
      </c>
      <c r="C98" s="10" t="s">
        <v>629</v>
      </c>
      <c r="D98" s="10"/>
      <c r="E98" s="9" t="str">
        <f t="shared" ca="1" si="19"/>
        <v>Attack Steps</v>
      </c>
      <c r="F98" s="9" t="str">
        <f t="shared" ca="1" si="20"/>
        <v>G</v>
      </c>
      <c r="G98" s="9" t="str">
        <f t="shared" ca="1" si="21"/>
        <v>2</v>
      </c>
      <c r="H98" s="9" cm="1">
        <f t="array" aca="1" ref="H98" ca="1">CreateID($H$35,$E98&lt;&gt;INDEX($E:$E,ROW()-1))</f>
        <v>5</v>
      </c>
      <c r="I98" s="9" t="str" cm="1">
        <f t="array" aca="1" ref="I98" ca="1">INDIRECT($K98)</f>
        <v>Active Damage Scenarios</v>
      </c>
      <c r="K98" s="2" t="str" cm="1">
        <f t="array" aca="1" ref="K98" ca="1">CELL("address",OFFSET('Attack Steps'!$A$2,0,ROW()-ROW($K$92)))</f>
        <v>'[QuBA-libre.xlsx]Attack Steps'!$G$2</v>
      </c>
    </row>
    <row r="99" spans="1:11" outlineLevel="1" x14ac:dyDescent="0.25">
      <c r="A99" s="10" t="str" cm="1">
        <f t="array" aca="1" ref="A99" ca="1">IF(INDEX($H:$H,ROW()-1)&lt;&gt;$H99,$E99,"")</f>
        <v/>
      </c>
      <c r="B99" s="50" t="str" cm="1">
        <f t="array" aca="1" ref="B99" ca="1">IF($K99="","",_xlfn.LET(
_xlpm._fullName,IF($L99="",SUBSTITUTE(SUBSTITUTE(INDIRECT($K99),CHAR(10)," "),"  "," "),$L99),
_xlpm._truncatedName,IF(LEN(_xlpm._fullName)&gt;250,LEFT(_xlpm._fullName,250)&amp;"[…]",_xlpm._fullName),
HYPERLINK("#'"&amp;$E99&amp;"'!"&amp;$F99&amp;$G99,
_xlpm._truncatedName)))</f>
        <v>Elapsed Time</v>
      </c>
      <c r="C99" s="10" t="s">
        <v>632</v>
      </c>
      <c r="D99" s="10"/>
      <c r="E99" s="9" t="str">
        <f t="shared" ca="1" si="19"/>
        <v>Attack Steps</v>
      </c>
      <c r="F99" s="9" t="str">
        <f t="shared" ca="1" si="20"/>
        <v>H</v>
      </c>
      <c r="G99" s="9" t="str">
        <f t="shared" ca="1" si="21"/>
        <v>2</v>
      </c>
      <c r="H99" s="9" cm="1">
        <f t="array" aca="1" ref="H99" ca="1">CreateID($H$35,$E99&lt;&gt;INDEX($E:$E,ROW()-1))</f>
        <v>5</v>
      </c>
      <c r="I99" s="9" t="str" cm="1">
        <f t="array" aca="1" ref="I99" ca="1">INDIRECT($K99)</f>
        <v>Elapsed Time</v>
      </c>
      <c r="K99" s="2" t="str" cm="1">
        <f t="array" aca="1" ref="K99" ca="1">CELL("address",OFFSET('Attack Steps'!$A$2,0,ROW()-ROW($K$92)))</f>
        <v>'[QuBA-libre.xlsx]Attack Steps'!$H$2</v>
      </c>
    </row>
    <row r="100" spans="1:11" outlineLevel="1" x14ac:dyDescent="0.25">
      <c r="A100" s="10" t="str" cm="1">
        <f t="array" aca="1" ref="A100" ca="1">IF(INDEX($H:$H,ROW()-1)&lt;&gt;$H100,$E100,"")</f>
        <v/>
      </c>
      <c r="B100" s="50" t="str" cm="1">
        <f t="array" aca="1" ref="B100" ca="1">IF($K100="","",_xlfn.LET(
_xlpm._fullName,IF($L100="",SUBSTITUTE(SUBSTITUTE(INDIRECT($K100),CHAR(10)," "),"  "," "),$L100),
_xlpm._truncatedName,IF(LEN(_xlpm._fullName)&gt;250,LEFT(_xlpm._fullName,250)&amp;"[…]",_xlpm._fullName),
HYPERLINK("#'"&amp;$E100&amp;"'!"&amp;$F100&amp;$G100,
_xlpm._truncatedName)))</f>
        <v>Expertise</v>
      </c>
      <c r="C100" s="10" t="s">
        <v>633</v>
      </c>
      <c r="D100" s="10"/>
      <c r="E100" s="9" t="str">
        <f t="shared" ca="1" si="19"/>
        <v>Attack Steps</v>
      </c>
      <c r="F100" s="9" t="str">
        <f t="shared" ca="1" si="20"/>
        <v>I</v>
      </c>
      <c r="G100" s="9" t="str">
        <f t="shared" ca="1" si="21"/>
        <v>2</v>
      </c>
      <c r="H100" s="9" cm="1">
        <f t="array" aca="1" ref="H100" ca="1">CreateID($H$35,$E100&lt;&gt;INDEX($E:$E,ROW()-1))</f>
        <v>5</v>
      </c>
      <c r="I100" s="9" t="str" cm="1">
        <f t="array" aca="1" ref="I100" ca="1">INDIRECT($K100)</f>
        <v>Expertise</v>
      </c>
      <c r="K100" s="2" t="str" cm="1">
        <f t="array" aca="1" ref="K100" ca="1">CELL("address",OFFSET('Attack Steps'!$A$2,0,ROW()-ROW($K$92)))</f>
        <v>'[QuBA-libre.xlsx]Attack Steps'!$I$2</v>
      </c>
    </row>
    <row r="101" spans="1:11" outlineLevel="1" x14ac:dyDescent="0.25">
      <c r="A101" s="10" t="str" cm="1">
        <f t="array" aca="1" ref="A101" ca="1">IF(INDEX($H:$H,ROW()-1)&lt;&gt;$H101,$E101,"")</f>
        <v/>
      </c>
      <c r="B101" s="50" t="str" cm="1">
        <f t="array" aca="1" ref="B101" ca="1">IF($K101="","",_xlfn.LET(
_xlpm._fullName,IF($L101="",SUBSTITUTE(SUBSTITUTE(INDIRECT($K101),CHAR(10)," "),"  "," "),$L101),
_xlpm._truncatedName,IF(LEN(_xlpm._fullName)&gt;250,LEFT(_xlpm._fullName,250)&amp;"[…]",_xlpm._fullName),
HYPERLINK("#'"&amp;$E101&amp;"'!"&amp;$F101&amp;$G101,
_xlpm._truncatedName)))</f>
        <v>Knowledge of TOE</v>
      </c>
      <c r="C101" s="10" t="s">
        <v>634</v>
      </c>
      <c r="D101" s="10"/>
      <c r="E101" s="9" t="str">
        <f t="shared" ca="1" si="19"/>
        <v>Attack Steps</v>
      </c>
      <c r="F101" s="9" t="str">
        <f t="shared" ca="1" si="20"/>
        <v>J</v>
      </c>
      <c r="G101" s="9" t="str">
        <f t="shared" ca="1" si="21"/>
        <v>2</v>
      </c>
      <c r="H101" s="9" cm="1">
        <f t="array" aca="1" ref="H101" ca="1">CreateID($H$35,$E101&lt;&gt;INDEX($E:$E,ROW()-1))</f>
        <v>5</v>
      </c>
      <c r="I101" s="9" t="str" cm="1">
        <f t="array" aca="1" ref="I101" ca="1">INDIRECT($K101)</f>
        <v>Knowledge of TOE</v>
      </c>
      <c r="K101" s="2" t="str" cm="1">
        <f t="array" aca="1" ref="K101" ca="1">CELL("address",OFFSET('Attack Steps'!$A$2,0,ROW()-ROW($K$92)))</f>
        <v>'[QuBA-libre.xlsx]Attack Steps'!$J$2</v>
      </c>
    </row>
    <row r="102" spans="1:11" outlineLevel="1" x14ac:dyDescent="0.25">
      <c r="A102" s="10" t="str" cm="1">
        <f t="array" aca="1" ref="A102" ca="1">IF(INDEX($H:$H,ROW()-1)&lt;&gt;$H102,$E102,"")</f>
        <v/>
      </c>
      <c r="B102" s="50" t="str" cm="1">
        <f t="array" aca="1" ref="B102" ca="1">IF($K102="","",_xlfn.LET(
_xlpm._fullName,IF($L102="",SUBSTITUTE(SUBSTITUTE(INDIRECT($K102),CHAR(10)," "),"  "," "),$L102),
_xlpm._truncatedName,IF(LEN(_xlpm._fullName)&gt;250,LEFT(_xlpm._fullName,250)&amp;"[…]",_xlpm._fullName),
HYPERLINK("#'"&amp;$E102&amp;"'!"&amp;$F102&amp;$G102,
_xlpm._truncatedName)))</f>
        <v>Window of Opportunity</v>
      </c>
      <c r="C102" s="10" t="s">
        <v>635</v>
      </c>
      <c r="D102" s="10"/>
      <c r="E102" s="9" t="str">
        <f t="shared" ca="1" si="19"/>
        <v>Attack Steps</v>
      </c>
      <c r="F102" s="9" t="str">
        <f t="shared" ca="1" si="20"/>
        <v>K</v>
      </c>
      <c r="G102" s="9" t="str">
        <f t="shared" ca="1" si="21"/>
        <v>2</v>
      </c>
      <c r="H102" s="9" cm="1">
        <f t="array" aca="1" ref="H102" ca="1">CreateID($H$35,$E102&lt;&gt;INDEX($E:$E,ROW()-1))</f>
        <v>5</v>
      </c>
      <c r="I102" s="9" t="str" cm="1">
        <f t="array" aca="1" ref="I102" ca="1">INDIRECT($K102)</f>
        <v>Window of Opportunity</v>
      </c>
      <c r="K102" s="2" t="str" cm="1">
        <f t="array" aca="1" ref="K102" ca="1">CELL("address",OFFSET('Attack Steps'!$A$2,0,ROW()-ROW($K$92)))</f>
        <v>'[QuBA-libre.xlsx]Attack Steps'!$K$2</v>
      </c>
    </row>
    <row r="103" spans="1:11" outlineLevel="1" x14ac:dyDescent="0.25">
      <c r="A103" s="10" t="str" cm="1">
        <f t="array" aca="1" ref="A103" ca="1">IF(INDEX($H:$H,ROW()-1)&lt;&gt;$H103,$E103,"")</f>
        <v/>
      </c>
      <c r="B103" s="50" t="str" cm="1">
        <f t="array" aca="1" ref="B103" ca="1">IF($K103="","",_xlfn.LET(
_xlpm._fullName,IF($L103="",SUBSTITUTE(SUBSTITUTE(INDIRECT($K103),CHAR(10)," "),"  "," "),$L103),
_xlpm._truncatedName,IF(LEN(_xlpm._fullName)&gt;250,LEFT(_xlpm._fullName,250)&amp;"[…]",_xlpm._fullName),
HYPERLINK("#'"&amp;$E103&amp;"'!"&amp;$F103&amp;$G103,
_xlpm._truncatedName)))</f>
        <v>Equipment</v>
      </c>
      <c r="C103" s="10" t="s">
        <v>636</v>
      </c>
      <c r="D103" s="10"/>
      <c r="E103" s="9" t="str">
        <f t="shared" ca="1" si="19"/>
        <v>Attack Steps</v>
      </c>
      <c r="F103" s="9" t="str">
        <f t="shared" ca="1" si="20"/>
        <v>L</v>
      </c>
      <c r="G103" s="9" t="str">
        <f t="shared" ca="1" si="21"/>
        <v>2</v>
      </c>
      <c r="H103" s="9" cm="1">
        <f t="array" aca="1" ref="H103" ca="1">CreateID($H$35,$E103&lt;&gt;INDEX($E:$E,ROW()-1))</f>
        <v>5</v>
      </c>
      <c r="I103" s="9" t="str" cm="1">
        <f t="array" aca="1" ref="I103" ca="1">INDIRECT($K103)</f>
        <v>Equipment</v>
      </c>
      <c r="K103" s="2" t="str" cm="1">
        <f t="array" aca="1" ref="K103" ca="1">CELL("address",OFFSET('Attack Steps'!$A$2,0,ROW()-ROW($K$92)))</f>
        <v>'[QuBA-libre.xlsx]Attack Steps'!$L$2</v>
      </c>
    </row>
    <row r="104" spans="1:11" outlineLevel="1" x14ac:dyDescent="0.25">
      <c r="A104" s="10" t="str" cm="1">
        <f t="array" aca="1" ref="A104" ca="1">IF(INDEX($H:$H,ROW()-1)&lt;&gt;$H104,$E104,"")</f>
        <v/>
      </c>
      <c r="B104" s="50" t="str" cm="1">
        <f t="array" aca="1" ref="B104" ca="1">IF($K104="","",_xlfn.LET(
_xlpm._fullName,IF($L104="",SUBSTITUTE(SUBSTITUTE(INDIRECT($K104),CHAR(10)," "),"  "," "),$L104),
_xlpm._truncatedName,IF(LEN(_xlpm._fullName)&gt;250,LEFT(_xlpm._fullName,250)&amp;"[…]",_xlpm._fullName),
HYPERLINK("#'"&amp;$E104&amp;"'!"&amp;$F104&amp;$G104,
_xlpm._truncatedName)))</f>
        <v>RAP</v>
      </c>
      <c r="C104" s="10" t="s">
        <v>648</v>
      </c>
      <c r="D104" s="10"/>
      <c r="E104" s="9" t="str">
        <f t="shared" ca="1" si="19"/>
        <v>Attack Steps</v>
      </c>
      <c r="F104" s="9" t="str">
        <f t="shared" ca="1" si="20"/>
        <v>M</v>
      </c>
      <c r="G104" s="9" t="str">
        <f t="shared" ca="1" si="21"/>
        <v>2</v>
      </c>
      <c r="H104" s="9" cm="1">
        <f t="array" aca="1" ref="H104" ca="1">CreateID($H$35,$E104&lt;&gt;INDEX($E:$E,ROW()-1))</f>
        <v>5</v>
      </c>
      <c r="I104" s="9" t="str" cm="1">
        <f t="array" aca="1" ref="I104" ca="1">INDIRECT($K104)</f>
        <v>RAP</v>
      </c>
      <c r="K104" s="2" t="str" cm="1">
        <f t="array" aca="1" ref="K104" ca="1">CELL("address",OFFSET('Attack Steps'!$A$2,0,ROW()-ROW($K$92)))</f>
        <v>'[QuBA-libre.xlsx]Attack Steps'!$M$2</v>
      </c>
    </row>
    <row r="105" spans="1:11" ht="45" outlineLevel="1" x14ac:dyDescent="0.25">
      <c r="A105" s="10" t="str" cm="1">
        <f t="array" aca="1" ref="A105" ca="1">IF(INDEX($H:$H,ROW()-1)&lt;&gt;$H105,$E105,"")</f>
        <v/>
      </c>
      <c r="B105" s="50" t="str" cm="1">
        <f t="array" aca="1" ref="B105" ca="1">IF($K105="","",_xlfn.LET(
_xlpm._fullName,IF($L105="",SUBSTITUTE(SUBSTITUTE(INDIRECT($K105),CHAR(10)," "),"  "," "),$L105),
_xlpm._truncatedName,IF(LEN(_xlpm._fullName)&gt;250,LEFT(_xlpm._fullName,250)&amp;"[…]",_xlpm._fullName),
HYPERLINK("#'"&amp;$E105&amp;"'!"&amp;$F105&amp;$G105,
_xlpm._truncatedName)))</f>
        <v>Required answers for this attack step</v>
      </c>
      <c r="C105" s="10" t="s">
        <v>1442</v>
      </c>
      <c r="D105" s="10" t="s">
        <v>1118</v>
      </c>
      <c r="E105" s="9" t="str">
        <f t="shared" ca="1" si="19"/>
        <v>Attack Steps</v>
      </c>
      <c r="F105" s="9" t="str">
        <f t="shared" ca="1" si="20"/>
        <v>N</v>
      </c>
      <c r="G105" s="9" t="str">
        <f t="shared" ca="1" si="21"/>
        <v>2</v>
      </c>
      <c r="H105" s="9" cm="1">
        <f t="array" aca="1" ref="H105" ca="1">CreateID($H$35,$E105&lt;&gt;INDEX($E:$E,ROW()-1))</f>
        <v>5</v>
      </c>
      <c r="I105" s="9" t="str" cm="1">
        <f t="array" aca="1" ref="I105" ca="1">INDIRECT($K105)</f>
        <v>Required answers for this attack step</v>
      </c>
      <c r="K105" s="2" t="str" cm="1">
        <f t="array" aca="1" ref="K105" ca="1">CELL("address",OFFSET('Attack Steps'!$A$2,0,ROW()-ROW($K$92)))</f>
        <v>'[QuBA-libre.xlsx]Attack Steps'!$N$2</v>
      </c>
    </row>
    <row r="106" spans="1:11" outlineLevel="1" x14ac:dyDescent="0.25">
      <c r="A106" s="10" t="str" cm="1">
        <f t="array" aca="1" ref="A106" ca="1">IF(INDEX($H:$H,ROW()-1)&lt;&gt;$H106,$E106,"")</f>
        <v/>
      </c>
      <c r="B106" s="50" t="str" cm="1">
        <f t="array" aca="1" ref="B106" ca="1">IF($K106="","",_xlfn.LET(
_xlpm._fullName,IF($L106="",SUBSTITUTE(SUBSTITUTE(INDIRECT($K106),CHAR(10)," "),"  "," "),$L106),
_xlpm._truncatedName,IF(LEN(_xlpm._fullName)&gt;250,LEFT(_xlpm._fullName,250)&amp;"[…]",_xlpm._fullName),
HYPERLINK("#'"&amp;$E106&amp;"'!"&amp;$F106&amp;$G106,
_xlpm._truncatedName)))</f>
        <v>Answer Names</v>
      </c>
      <c r="C106" s="10" t="s">
        <v>1539</v>
      </c>
      <c r="D106" s="10"/>
      <c r="E106" s="9" t="str">
        <f ca="1">IF($K106="","",_xlfn.LET(
_xlpm._in,$K106,
_xlpm._start,FIND("]",_xlpm._in)+1,
SUBSTITUTE(MID(_xlpm._in,_xlpm._start,FIND("!",_xlpm._in)-_xlpm._start),"'","")))</f>
        <v>Attack Steps</v>
      </c>
      <c r="F106" s="9" t="str">
        <f ca="1">IF($K106="","",_xlfn.LET(
_xlpm._in,SUBSTITUTE($K106,"$","§",1),
_xlpm._start,FIND("§",_xlpm._in)+1,
SUBSTITUTE(MID(_xlpm._in,_xlpm._start,FIND("$",_xlpm._in)-_xlpm._start),"'","")))</f>
        <v>O</v>
      </c>
      <c r="G106" s="9" t="str">
        <f ca="1">IF($K106="","",RIGHT($K106,LEN($K106)-FIND("$",SUBSTITUTE($K106,"$","§",1))))</f>
        <v>2</v>
      </c>
      <c r="H106" s="9" cm="1">
        <f t="array" aca="1" ref="H106" ca="1">CreateID($H$35,$E106&lt;&gt;INDEX($E:$E,ROW()-1))</f>
        <v>5</v>
      </c>
      <c r="I106" s="9" t="str" cm="1">
        <f t="array" aca="1" ref="I106" ca="1">INDIRECT($K106)</f>
        <v>Answer Names</v>
      </c>
      <c r="K106" s="2" t="str" cm="1">
        <f t="array" aca="1" ref="K106" ca="1">CELL("address",OFFSET('Attack Steps'!$A$2,0,ROW()-ROW($K$92)))</f>
        <v>'[QuBA-libre.xlsx]Attack Steps'!$O$2</v>
      </c>
    </row>
    <row r="107" spans="1:11" ht="30" outlineLevel="1" x14ac:dyDescent="0.25">
      <c r="A107" s="10" t="str" cm="1">
        <f t="array" aca="1" ref="A107" ca="1">IF(INDEX($H:$H,ROW()-1)&lt;&gt;$H107,$E107,"")</f>
        <v/>
      </c>
      <c r="B107" s="50" t="str" cm="1">
        <f t="array" aca="1" ref="B107" ca="1">IF($K107="","",_xlfn.LET(
_xlpm._fullName,IF($L107="",SUBSTITUTE(SUBSTITUTE(INDIRECT($K107),CHAR(10)," "),"  "," "),$L107),
_xlpm._truncatedName,IF(LEN(_xlpm._fullName)&gt;250,LEFT(_xlpm._fullName,250)&amp;"[…]",_xlpm._fullName),
HYPERLINK("#'"&amp;$E107&amp;"'!"&amp;$F107&amp;$G107,
_xlpm._truncatedName)))</f>
        <v>Mapping to CRA, Annex I (1.2)</v>
      </c>
      <c r="C107" s="10" t="s">
        <v>1455</v>
      </c>
      <c r="D107" s="10"/>
      <c r="E107" s="9" t="str">
        <f t="shared" ca="1" si="19"/>
        <v>Attack Steps</v>
      </c>
      <c r="F107" s="9" t="str">
        <f t="shared" ca="1" si="20"/>
        <v>P</v>
      </c>
      <c r="G107" s="9" t="str">
        <f t="shared" ca="1" si="21"/>
        <v>2</v>
      </c>
      <c r="H107" s="9" cm="1">
        <f t="array" aca="1" ref="H107" ca="1">CreateID($H$35,$E107&lt;&gt;INDEX($E:$E,ROW()-1))</f>
        <v>5</v>
      </c>
      <c r="I107" s="9" t="str" cm="1">
        <f t="array" aca="1" ref="I107" ca="1">INDIRECT($K107)</f>
        <v>Mapping to CRA, Annex I (1.2)</v>
      </c>
      <c r="K107" s="2" t="str" cm="1">
        <f t="array" aca="1" ref="K107" ca="1">CELL("address",OFFSET('Attack Steps'!$A$2,0,ROW()-ROW($K$92)))</f>
        <v>'[QuBA-libre.xlsx]Attack Steps'!$P$2</v>
      </c>
    </row>
    <row r="108" spans="1:11" outlineLevel="1" x14ac:dyDescent="0.25">
      <c r="A108" s="10" t="str" cm="1">
        <f t="array" aca="1" ref="A108" ca="1">IF(INDEX($H:$H,ROW()-1)&lt;&gt;$H108,$E108,"")</f>
        <v/>
      </c>
      <c r="B108" s="50" t="str" cm="1">
        <f t="array" aca="1" ref="B108" ca="1">IF($K108="","",_xlfn.LET(
_xlpm._fullName,IF($L108="",SUBSTITUTE(SUBSTITUTE(INDIRECT($K108),CHAR(10)," "),"  "," "),$L108),
_xlpm._truncatedName,IF(LEN(_xlpm._fullName)&gt;250,LEFT(_xlpm._fullName,250)&amp;"[…]",_xlpm._fullName),
HYPERLINK("#'"&amp;$E108&amp;"'!"&amp;$F108&amp;$G108,
_xlpm._truncatedName)))</f>
        <v>Comment</v>
      </c>
      <c r="C108" s="10" t="s">
        <v>638</v>
      </c>
      <c r="D108" s="10"/>
      <c r="E108" s="9" t="str">
        <f ca="1">IF($K108="","",_xlfn.LET(
_xlpm._in,$K108,
_xlpm._start,FIND("]",_xlpm._in)+1,
SUBSTITUTE(MID(_xlpm._in,_xlpm._start,FIND("!",_xlpm._in)-_xlpm._start),"'","")))</f>
        <v>Attack Steps</v>
      </c>
      <c r="F108" s="9" t="str">
        <f ca="1">IF($K108="","",_xlfn.LET(
_xlpm._in,SUBSTITUTE($K108,"$","§",1),
_xlpm._start,FIND("§",_xlpm._in)+1,
SUBSTITUTE(MID(_xlpm._in,_xlpm._start,FIND("$",_xlpm._in)-_xlpm._start),"'","")))</f>
        <v>Q</v>
      </c>
      <c r="G108" s="9" t="str">
        <f ca="1">IF($K108="","",RIGHT($K108,LEN($K108)-FIND("$",SUBSTITUTE($K108,"$","§",1))))</f>
        <v>2</v>
      </c>
      <c r="H108" s="9" cm="1">
        <f t="array" aca="1" ref="H108" ca="1">CreateID($H$35,$E108&lt;&gt;INDEX($E:$E,ROW()-1))</f>
        <v>5</v>
      </c>
      <c r="I108" s="9" t="str" cm="1">
        <f t="array" aca="1" ref="I108" ca="1">INDIRECT($K108)</f>
        <v>Comment</v>
      </c>
      <c r="K108" s="2" t="str" cm="1">
        <f t="array" aca="1" ref="K108" ca="1">CELL("address",OFFSET('Attack Steps'!$A$2,0,ROW()-ROW($K$92)))</f>
        <v>'[QuBA-libre.xlsx]Attack Steps'!$Q$2</v>
      </c>
    </row>
    <row r="109" spans="1:11" x14ac:dyDescent="0.25">
      <c r="A109" s="10" t="str" cm="1">
        <f t="array" aca="1" ref="A109" ca="1">IF(INDEX($H:$H,ROW()-1)&lt;&gt;$H109,$E109,"")</f>
        <v>Assumptions</v>
      </c>
      <c r="B109" s="50" t="str" cm="1">
        <f t="array" aca="1" ref="B109" ca="1">IF($K109="","",_xlfn.LET(
_xlpm._fullName,IF($L109="",SUBSTITUTE(SUBSTITUTE(INDIRECT($K109),CHAR(10)," "),"  "," "),$L109),
_xlpm._truncatedName,IF(LEN(_xlpm._fullName)&gt;250,LEFT(_xlpm._fullName,250)&amp;"[…]",_xlpm._fullName),
HYPERLINK("#'"&amp;$E109&amp;"'!"&amp;$F109&amp;$G109,
_xlpm._truncatedName)))</f>
        <v>ID</v>
      </c>
      <c r="C109" s="10" t="s">
        <v>677</v>
      </c>
      <c r="D109" s="10"/>
      <c r="E109" s="9" t="str">
        <f t="shared" ref="E109:E127" ca="1" si="22">IF($K109="","",_xlfn.LET(
_xlpm._in,$K109,
_xlpm._start,FIND("]",_xlpm._in)+1,
SUBSTITUTE(MID(_xlpm._in,_xlpm._start,FIND("!",_xlpm._in)-_xlpm._start),"'","")))</f>
        <v>Assumptions</v>
      </c>
      <c r="F109" s="9" t="str">
        <f t="shared" ref="F109:F127" ca="1" si="23">IF($K109="","",_xlfn.LET(
_xlpm._in,SUBSTITUTE($K109,"$","§",1),
_xlpm._start,FIND("§",_xlpm._in)+1,
SUBSTITUTE(MID(_xlpm._in,_xlpm._start,FIND("$",_xlpm._in)-_xlpm._start),"'","")))</f>
        <v>A</v>
      </c>
      <c r="G109" s="9" t="str">
        <f t="shared" ref="G109:G127" ca="1" si="24">IF($K109="","",RIGHT($K109,LEN($K109)-FIND("$",SUBSTITUTE($K109,"$","§",1))))</f>
        <v>2</v>
      </c>
      <c r="H109" s="9" cm="1">
        <f t="array" aca="1" ref="H109" ca="1">CreateID($H$35,$E109&lt;&gt;INDEX($E:$E,ROW()-1))</f>
        <v>6</v>
      </c>
      <c r="I109" s="9" t="str" cm="1">
        <f t="array" aca="1" ref="I109" ca="1">INDIRECT($K109)</f>
        <v>ID</v>
      </c>
      <c r="K109" s="2" t="str" cm="1">
        <f t="array" aca="1" ref="K109" ca="1">CELL("address",OFFSET(Assumptions!$A$2,0,ROW()-ROW($K$109)))</f>
        <v>'[QuBA-libre.xlsx]Assumptions'!$A$2</v>
      </c>
    </row>
    <row r="110" spans="1:11" ht="45" outlineLevel="1" x14ac:dyDescent="0.25">
      <c r="A110" s="10" t="str" cm="1">
        <f t="array" aca="1" ref="A110" ca="1">IF(INDEX($H:$H,ROW()-1)&lt;&gt;$H110,$E110,"")</f>
        <v/>
      </c>
      <c r="B110" s="50" t="str" cm="1">
        <f t="array" aca="1" ref="B110" ca="1">IF($K110="","",_xlfn.LET(
_xlpm._fullName,IF($L110="",SUBSTITUTE(SUBSTITUTE(INDIRECT($K110),CHAR(10)," "),"  "," "),$L110),
_xlpm._truncatedName,IF(LEN(_xlpm._fullName)&gt;250,LEFT(_xlpm._fullName,250)&amp;"[…]",_xlpm._fullName),
HYPERLINK("#'"&amp;$E110&amp;"'!"&amp;$F110&amp;$G110,
_xlpm._truncatedName)))</f>
        <v>Assumption</v>
      </c>
      <c r="C110" s="10" t="s">
        <v>1700</v>
      </c>
      <c r="D110" s="10"/>
      <c r="E110" s="9" t="str">
        <f t="shared" ca="1" si="22"/>
        <v>Assumptions</v>
      </c>
      <c r="F110" s="9" t="str">
        <f t="shared" ca="1" si="23"/>
        <v>B</v>
      </c>
      <c r="G110" s="9" t="str">
        <f t="shared" ca="1" si="24"/>
        <v>2</v>
      </c>
      <c r="H110" s="9" cm="1">
        <f t="array" aca="1" ref="H110" ca="1">CreateID($H$35,$E110&lt;&gt;INDEX($E:$E,ROW()-1))</f>
        <v>6</v>
      </c>
      <c r="I110" s="9" t="str" cm="1">
        <f t="array" aca="1" ref="I110" ca="1">INDIRECT($K110)</f>
        <v>Assumption</v>
      </c>
      <c r="K110" s="2" t="str" cm="1">
        <f t="array" aca="1" ref="K110" ca="1">CELL("address",OFFSET(Assumptions!$A$2,0,ROW()-ROW($K$109)))</f>
        <v>'[QuBA-libre.xlsx]Assumptions'!$B$2</v>
      </c>
    </row>
    <row r="111" spans="1:11" outlineLevel="1" x14ac:dyDescent="0.25">
      <c r="A111" s="10" t="str" cm="1">
        <f t="array" aca="1" ref="A111" ca="1">IF(INDEX($H:$H,ROW()-1)&lt;&gt;$H111,$E111,"")</f>
        <v/>
      </c>
      <c r="B111" s="50" t="str" cm="1">
        <f t="array" aca="1" ref="B111" ca="1">IF($K111="","",_xlfn.LET(
_xlpm._fullName,IF($L111="",SUBSTITUTE(SUBSTITUTE(INDIRECT($K111),CHAR(10)," "),"  "," "),$L111),
_xlpm._truncatedName,IF(LEN(_xlpm._fullName)&gt;250,LEFT(_xlpm._fullName,250)&amp;"[…]",_xlpm._fullName),
HYPERLINK("#'"&amp;$E111&amp;"'!"&amp;$F111&amp;$G111,
_xlpm._truncatedName)))</f>
        <v>Description</v>
      </c>
      <c r="C111" s="10" t="s">
        <v>639</v>
      </c>
      <c r="D111" s="10"/>
      <c r="E111" s="9" t="str">
        <f t="shared" ca="1" si="22"/>
        <v>Assumptions</v>
      </c>
      <c r="F111" s="9" t="str">
        <f t="shared" ca="1" si="23"/>
        <v>C</v>
      </c>
      <c r="G111" s="9" t="str">
        <f t="shared" ca="1" si="24"/>
        <v>2</v>
      </c>
      <c r="H111" s="9" cm="1">
        <f t="array" aca="1" ref="H111" ca="1">CreateID($H$35,$E111&lt;&gt;INDEX($E:$E,ROW()-1))</f>
        <v>6</v>
      </c>
      <c r="I111" s="9" t="str" cm="1">
        <f t="array" aca="1" ref="I111" ca="1">INDIRECT($K111)</f>
        <v>Description</v>
      </c>
      <c r="K111" s="2" t="str" cm="1">
        <f t="array" aca="1" ref="K111" ca="1">CELL("address",OFFSET(Assumptions!$A$2,0,ROW()-ROW($K$109)))</f>
        <v>'[QuBA-libre.xlsx]Assumptions'!$C$2</v>
      </c>
    </row>
    <row r="112" spans="1:11" ht="30" outlineLevel="1" x14ac:dyDescent="0.25">
      <c r="A112" s="10" t="str" cm="1">
        <f t="array" aca="1" ref="A112" ca="1">IF(INDEX($H:$H,ROW()-1)&lt;&gt;$H112,$E112,"")</f>
        <v/>
      </c>
      <c r="B112" s="50" t="str" cm="1">
        <f t="array" aca="1" ref="B112" ca="1">IF($K112="","",_xlfn.LET(
_xlpm._fullName,IF($L112="",SUBSTITUTE(SUBSTITUTE(INDIRECT($K112),CHAR(10)," "),"  "," "),$L112),
_xlpm._truncatedName,IF(LEN(_xlpm._fullName)&gt;250,LEFT(_xlpm._fullName,250)&amp;"[…]",_xlpm._fullName),
HYPERLINK("#'"&amp;$E112&amp;"'!"&amp;$F112&amp;$G112,
_xlpm._truncatedName)))</f>
        <v>Requirements</v>
      </c>
      <c r="C112" s="10" t="s">
        <v>1325</v>
      </c>
      <c r="D112" s="10"/>
      <c r="E112" s="9" t="str">
        <f ca="1">IF($K112="","",_xlfn.LET(
_xlpm._in,$K112,
_xlpm._start,FIND("]",_xlpm._in)+1,
SUBSTITUTE(MID(_xlpm._in,_xlpm._start,FIND("!",_xlpm._in)-_xlpm._start),"'","")))</f>
        <v>Assumptions</v>
      </c>
      <c r="F112" s="9" t="str">
        <f ca="1">IF($K112="","",_xlfn.LET(
_xlpm._in,SUBSTITUTE($K112,"$","§",1),
_xlpm._start,FIND("§",_xlpm._in)+1,
SUBSTITUTE(MID(_xlpm._in,_xlpm._start,FIND("$",_xlpm._in)-_xlpm._start),"'","")))</f>
        <v>D</v>
      </c>
      <c r="G112" s="9" t="str">
        <f ca="1">IF($K112="","",RIGHT($K112,LEN($K112)-FIND("$",SUBSTITUTE($K112,"$","§",1))))</f>
        <v>2</v>
      </c>
      <c r="H112" s="9" cm="1">
        <f t="array" aca="1" ref="H112" ca="1">CreateID($H$35,$E112&lt;&gt;INDEX($E:$E,ROW()-1))</f>
        <v>6</v>
      </c>
      <c r="I112" s="9" t="str" cm="1">
        <f t="array" aca="1" ref="I112" ca="1">INDIRECT($K112)</f>
        <v>Requirements</v>
      </c>
      <c r="K112" s="2" t="str" cm="1">
        <f t="array" aca="1" ref="K112" ca="1">CELL("address",OFFSET(Assumptions!$A$2,0,ROW()-ROW($K$109)))</f>
        <v>'[QuBA-libre.xlsx]Assumptions'!$D$2</v>
      </c>
    </row>
    <row r="113" spans="1:11" ht="45" outlineLevel="1" x14ac:dyDescent="0.25">
      <c r="A113" s="10" t="str" cm="1">
        <f t="array" aca="1" ref="A113" ca="1">IF(INDEX($H:$H,ROW()-1)&lt;&gt;$H113,$E113,"")</f>
        <v/>
      </c>
      <c r="B113" s="50" t="str" cm="1">
        <f t="array" aca="1" ref="B113" ca="1">IF($K113="","",_xlfn.LET(
_xlpm._fullName,IF($L113="",SUBSTITUTE(SUBSTITUTE(INDIRECT($K113),CHAR(10)," "),"  "," "),$L113),
_xlpm._truncatedName,IF(LEN(_xlpm._fullName)&gt;250,LEFT(_xlpm._fullName,250)&amp;"[…]",_xlpm._fullName),
HYPERLINK("#'"&amp;$E113&amp;"'!"&amp;$F113&amp;$G113,
_xlpm._truncatedName)))</f>
        <v>Stakeholder</v>
      </c>
      <c r="C113" s="10" t="s">
        <v>640</v>
      </c>
      <c r="D113" s="10"/>
      <c r="E113" s="9" t="str">
        <f t="shared" ca="1" si="22"/>
        <v>Assumptions</v>
      </c>
      <c r="F113" s="9" t="str">
        <f t="shared" ca="1" si="23"/>
        <v>E</v>
      </c>
      <c r="G113" s="9" t="str">
        <f t="shared" ca="1" si="24"/>
        <v>2</v>
      </c>
      <c r="H113" s="9" cm="1">
        <f t="array" aca="1" ref="H113" ca="1">CreateID($H$35,$E113&lt;&gt;INDEX($E:$E,ROW()-1))</f>
        <v>6</v>
      </c>
      <c r="I113" s="9" t="str" cm="1">
        <f t="array" aca="1" ref="I113" ca="1">INDIRECT($K113)</f>
        <v>Stakeholder</v>
      </c>
      <c r="K113" s="2" t="str" cm="1">
        <f t="array" aca="1" ref="K113" ca="1">CELL("address",OFFSET(Assumptions!$A$2,0,ROW()-ROW($K$109)))</f>
        <v>'[QuBA-libre.xlsx]Assumptions'!$E$2</v>
      </c>
    </row>
    <row r="114" spans="1:11" ht="45" outlineLevel="1" x14ac:dyDescent="0.25">
      <c r="A114" s="10" t="str" cm="1">
        <f t="array" aca="1" ref="A114" ca="1">IF(INDEX($H:$H,ROW()-1)&lt;&gt;$H114,$E114,"")</f>
        <v/>
      </c>
      <c r="B114" s="50" t="str" cm="1">
        <f t="array" aca="1" ref="B114" ca="1">IF($K114="","",_xlfn.LET(
_xlpm._fullName,IF($L114="",SUBSTITUTE(SUBSTITUTE(INDIRECT($K114),CHAR(10)," "),"  "," "),$L114),
_xlpm._truncatedName,IF(LEN(_xlpm._fullName)&gt;250,LEFT(_xlpm._fullName,250)&amp;"[…]",_xlpm._fullName),
HYPERLINK("#'"&amp;$E114&amp;"'!"&amp;$F114&amp;$G114,
_xlpm._truncatedName)))</f>
        <v>Answers</v>
      </c>
      <c r="C114" s="10" t="s">
        <v>1121</v>
      </c>
      <c r="D114" s="10" t="s">
        <v>1122</v>
      </c>
      <c r="E114" s="9" t="str">
        <f t="shared" ca="1" si="22"/>
        <v>Assumptions</v>
      </c>
      <c r="F114" s="9" t="str">
        <f t="shared" ca="1" si="23"/>
        <v>F</v>
      </c>
      <c r="G114" s="9" t="str">
        <f t="shared" ca="1" si="24"/>
        <v>2</v>
      </c>
      <c r="H114" s="9" cm="1">
        <f t="array" aca="1" ref="H114" ca="1">CreateID($H$35,$E114&lt;&gt;INDEX($E:$E,ROW()-1))</f>
        <v>6</v>
      </c>
      <c r="I114" s="9" t="str" cm="1">
        <f t="array" aca="1" ref="I114" ca="1">INDIRECT($K114)</f>
        <v>Answers</v>
      </c>
      <c r="K114" s="2" t="str" cm="1">
        <f t="array" aca="1" ref="K114" ca="1">CELL("address",OFFSET(Assumptions!$A$2,0,ROW()-ROW($K$109)))</f>
        <v>'[QuBA-libre.xlsx]Assumptions'!$F$2</v>
      </c>
    </row>
    <row r="115" spans="1:11" outlineLevel="1" x14ac:dyDescent="0.25">
      <c r="A115" s="10" t="str" cm="1">
        <f t="array" aca="1" ref="A115" ca="1">IF(INDEX($H:$H,ROW()-1)&lt;&gt;$H115,$E115,"")</f>
        <v/>
      </c>
      <c r="B115" s="50" t="str" cm="1">
        <f t="array" aca="1" ref="B115" ca="1">IF($K115="","",_xlfn.LET(
_xlpm._fullName,IF($L115="",SUBSTITUTE(SUBSTITUTE(INDIRECT($K115),CHAR(10)," "),"  "," "),$L115),
_xlpm._truncatedName,IF(LEN(_xlpm._fullName)&gt;250,LEFT(_xlpm._fullName,250)&amp;"[…]",_xlpm._fullName),
HYPERLINK("#'"&amp;$E115&amp;"'!"&amp;$F115&amp;$G115,
_xlpm._truncatedName)))</f>
        <v>Answer Names</v>
      </c>
      <c r="C115" s="10" t="s">
        <v>1539</v>
      </c>
      <c r="D115" s="10"/>
      <c r="E115" s="9" t="str">
        <f ca="1">IF($K115="","",_xlfn.LET(
_xlpm._in,$K115,
_xlpm._start,FIND("]",_xlpm._in)+1,
SUBSTITUTE(MID(_xlpm._in,_xlpm._start,FIND("!",_xlpm._in)-_xlpm._start),"'","")))</f>
        <v>Assumptions</v>
      </c>
      <c r="F115" s="9" t="str">
        <f ca="1">IF($K115="","",_xlfn.LET(
_xlpm._in,SUBSTITUTE($K115,"$","§",1),
_xlpm._start,FIND("§",_xlpm._in)+1,
SUBSTITUTE(MID(_xlpm._in,_xlpm._start,FIND("$",_xlpm._in)-_xlpm._start),"'","")))</f>
        <v>G</v>
      </c>
      <c r="G115" s="9" t="str">
        <f ca="1">IF($K115="","",RIGHT($K115,LEN($K115)-FIND("$",SUBSTITUTE($K115,"$","§",1))))</f>
        <v>2</v>
      </c>
      <c r="H115" s="9" cm="1">
        <f t="array" aca="1" ref="H115" ca="1">CreateID($H$35,$E115&lt;&gt;INDEX($E:$E,ROW()-1))</f>
        <v>6</v>
      </c>
      <c r="I115" s="9" t="str" cm="1">
        <f t="array" aca="1" ref="I115" ca="1">INDIRECT($K115)</f>
        <v>Answer Names</v>
      </c>
      <c r="K115" s="2" t="str" cm="1">
        <f t="array" aca="1" ref="K115" ca="1">CELL("address",OFFSET(Assumptions!$A$2,0,ROW()-ROW($K$109)))</f>
        <v>'[QuBA-libre.xlsx]Assumptions'!$G$2</v>
      </c>
    </row>
    <row r="116" spans="1:11" ht="60" outlineLevel="1" x14ac:dyDescent="0.25">
      <c r="A116" s="10" t="str" cm="1">
        <f t="array" aca="1" ref="A116" ca="1">IF(INDEX($H:$H,ROW()-1)&lt;&gt;$H116,$E116,"")</f>
        <v/>
      </c>
      <c r="B116" s="50" t="str" cm="1">
        <f t="array" aca="1" ref="B116" ca="1">IF($K116="","",_xlfn.LET(
_xlpm._fullName,IF($L116="",SUBSTITUTE(SUBSTITUTE(INDIRECT($K116),CHAR(10)," "),"  "," "),$L116),
_xlpm._truncatedName,IF(LEN(_xlpm._fullName)&gt;250,LEFT(_xlpm._fullName,250)&amp;"[…]",_xlpm._fullName),
HYPERLINK("#'"&amp;$E116&amp;"'!"&amp;$F116&amp;$G116,
_xlpm._truncatedName)))</f>
        <v>AS IDs</v>
      </c>
      <c r="C116" s="10" t="s">
        <v>642</v>
      </c>
      <c r="D116" s="10"/>
      <c r="E116" s="9" t="str">
        <f t="shared" ca="1" si="22"/>
        <v>Assumptions</v>
      </c>
      <c r="F116" s="9" t="str">
        <f t="shared" ca="1" si="23"/>
        <v>H</v>
      </c>
      <c r="G116" s="9" t="str">
        <f t="shared" ca="1" si="24"/>
        <v>2</v>
      </c>
      <c r="H116" s="9" cm="1">
        <f t="array" aca="1" ref="H116" ca="1">CreateID($H$35,$E116&lt;&gt;INDEX($E:$E,ROW()-1))</f>
        <v>6</v>
      </c>
      <c r="I116" s="9" t="str" cm="1">
        <f t="array" aca="1" ref="I116" ca="1">INDIRECT($K116)</f>
        <v>AS IDs</v>
      </c>
      <c r="K116" s="2" t="str" cm="1">
        <f t="array" aca="1" ref="K116" ca="1">CELL("address",OFFSET(Assumptions!$A$2,0,ROW()-ROW($K$109)))</f>
        <v>'[QuBA-libre.xlsx]Assumptions'!$H$2</v>
      </c>
    </row>
    <row r="117" spans="1:11" outlineLevel="1" x14ac:dyDescent="0.25">
      <c r="A117" s="10" t="str" cm="1">
        <f t="array" aca="1" ref="A117" ca="1">IF(INDEX($H:$H,ROW()-1)&lt;&gt;$H117,$E117,"")</f>
        <v/>
      </c>
      <c r="B117" s="50" t="str" cm="1">
        <f t="array" aca="1" ref="B117" ca="1">IF($K117="","",_xlfn.LET(
_xlpm._fullName,IF($L117="",SUBSTITUTE(SUBSTITUTE(INDIRECT($K117),CHAR(10)," "),"  "," "),$L117),
_xlpm._truncatedName,IF(LEN(_xlpm._fullName)&gt;250,LEFT(_xlpm._fullName,250)&amp;"[…]",_xlpm._fullName),
HYPERLINK("#'"&amp;$E117&amp;"'!"&amp;$F117&amp;$G117,
_xlpm._truncatedName)))</f>
        <v>Attack Steps</v>
      </c>
      <c r="C117" s="10" t="s">
        <v>641</v>
      </c>
      <c r="D117" s="10"/>
      <c r="E117" s="9" t="str">
        <f t="shared" ca="1" si="22"/>
        <v>Assumptions</v>
      </c>
      <c r="F117" s="9" t="str">
        <f t="shared" ca="1" si="23"/>
        <v>I</v>
      </c>
      <c r="G117" s="9" t="str">
        <f t="shared" ca="1" si="24"/>
        <v>2</v>
      </c>
      <c r="H117" s="9" cm="1">
        <f t="array" aca="1" ref="H117" ca="1">CreateID($H$35,$E117&lt;&gt;INDEX($E:$E,ROW()-1))</f>
        <v>6</v>
      </c>
      <c r="I117" s="9" t="str" cm="1">
        <f t="array" aca="1" ref="I117" ca="1">INDIRECT($K117)</f>
        <v>Attack Steps</v>
      </c>
      <c r="K117" s="2" t="str" cm="1">
        <f t="array" aca="1" ref="K117" ca="1">CELL("address",OFFSET(Assumptions!$A$2,0,ROW()-ROW($K$109)))</f>
        <v>'[QuBA-libre.xlsx]Assumptions'!$I$2</v>
      </c>
    </row>
    <row r="118" spans="1:11" ht="60" outlineLevel="1" x14ac:dyDescent="0.25">
      <c r="A118" s="10" t="str" cm="1">
        <f t="array" aca="1" ref="A118" ca="1">IF(INDEX($H:$H,ROW()-1)&lt;&gt;$H118,$E118,"")</f>
        <v/>
      </c>
      <c r="B118" s="50" t="str" cm="1">
        <f t="array" aca="1" ref="B118" ca="1">IF($K118="","",_xlfn.LET(
_xlpm._fullName,IF($L118="",SUBSTITUTE(SUBSTITUTE(INDIRECT($K118),CHAR(10)," "),"  "," "),$L118),
_xlpm._truncatedName,IF(LEN(_xlpm._fullName)&gt;250,LEFT(_xlpm._fullName,250)&amp;"[…]",_xlpm._fullName),
HYPERLINK("#'"&amp;$E118&amp;"'!"&amp;$F118&amp;$G118,
_xlpm._truncatedName)))</f>
        <v>DSTs</v>
      </c>
      <c r="C118" s="10" t="s">
        <v>1123</v>
      </c>
      <c r="D118" s="10" t="s">
        <v>1124</v>
      </c>
      <c r="E118" s="9" t="str">
        <f t="shared" ca="1" si="22"/>
        <v>Assumptions</v>
      </c>
      <c r="F118" s="9" t="str">
        <f t="shared" ca="1" si="23"/>
        <v>J</v>
      </c>
      <c r="G118" s="9" t="str">
        <f t="shared" ca="1" si="24"/>
        <v>2</v>
      </c>
      <c r="H118" s="9" cm="1">
        <f t="array" aca="1" ref="H118" ca="1">CreateID($H$35,$E118&lt;&gt;INDEX($E:$E,ROW()-1))</f>
        <v>6</v>
      </c>
      <c r="I118" s="9" t="str" cm="1">
        <f t="array" aca="1" ref="I118" ca="1">INDIRECT($K118)</f>
        <v>DSTs</v>
      </c>
      <c r="K118" s="2" t="str" cm="1">
        <f t="array" aca="1" ref="K118" ca="1">CELL("address",OFFSET(Assumptions!$A$2,0,ROW()-ROW($K$109)))</f>
        <v>'[QuBA-libre.xlsx]Assumptions'!$J$2</v>
      </c>
    </row>
    <row r="119" spans="1:11" ht="75" outlineLevel="1" x14ac:dyDescent="0.25">
      <c r="A119" s="10" t="str" cm="1">
        <f t="array" aca="1" ref="A119" ca="1">IF(INDEX($H:$H,ROW()-1)&lt;&gt;$H119,$E119,"")</f>
        <v/>
      </c>
      <c r="B119" s="50" t="str" cm="1">
        <f t="array" aca="1" ref="B119" ca="1">IF($K119="","",_xlfn.LET(
_xlpm._fullName,IF($L119="",SUBSTITUTE(SUBSTITUTE(INDIRECT($K119),CHAR(10)," "),"  "," "),$L119),
_xlpm._truncatedName,IF(LEN(_xlpm._fullName)&gt;250,LEFT(_xlpm._fullName,250)&amp;"[…]",_xlpm._fullName),
HYPERLINK("#'"&amp;$E119&amp;"'!"&amp;$F119&amp;$G119,
_xlpm._truncatedName)))</f>
        <v>Damage Scenario Transformation</v>
      </c>
      <c r="C119" s="10" t="s">
        <v>658</v>
      </c>
      <c r="D119" s="10"/>
      <c r="E119" s="9" t="str">
        <f t="shared" ca="1" si="22"/>
        <v>Assumptions</v>
      </c>
      <c r="F119" s="9" t="str">
        <f t="shared" ca="1" si="23"/>
        <v>K</v>
      </c>
      <c r="G119" s="9" t="str">
        <f t="shared" ca="1" si="24"/>
        <v>2</v>
      </c>
      <c r="H119" s="9" cm="1">
        <f t="array" aca="1" ref="H119" ca="1">CreateID($H$35,$E119&lt;&gt;INDEX($E:$E,ROW()-1))</f>
        <v>6</v>
      </c>
      <c r="I119" s="9" t="str" cm="1">
        <f t="array" aca="1" ref="I119" ca="1">INDIRECT($K119)</f>
        <v>Damage Scenario Transformation</v>
      </c>
      <c r="K119" s="2" t="str" cm="1">
        <f t="array" aca="1" ref="K119" ca="1">CELL("address",OFFSET(Assumptions!$A$2,0,ROW()-ROW($K$109)))</f>
        <v>'[QuBA-libre.xlsx]Assumptions'!$K$2</v>
      </c>
    </row>
    <row r="120" spans="1:11" outlineLevel="1" x14ac:dyDescent="0.25">
      <c r="A120" s="10" t="str" cm="1">
        <f t="array" aca="1" ref="A120" ca="1">IF(INDEX($H:$H,ROW()-1)&lt;&gt;$H120,$E120,"")</f>
        <v/>
      </c>
      <c r="B120" s="50" t="str" cm="1">
        <f t="array" aca="1" ref="B120" ca="1">IF($K120="","",_xlfn.LET(
_xlpm._fullName,IF($L120="",SUBSTITUTE(SUBSTITUTE(INDIRECT($K120),CHAR(10)," "),"  "," "),$L120),
_xlpm._truncatedName,IF(LEN(_xlpm._fullName)&gt;250,LEFT(_xlpm._fullName,250)&amp;"[…]",_xlpm._fullName),
HYPERLINK("#'"&amp;$E120&amp;"'!"&amp;$F120&amp;$G120,
_xlpm._truncatedName)))</f>
        <v>Elapsed Time</v>
      </c>
      <c r="C120" s="10" t="s">
        <v>643</v>
      </c>
      <c r="D120" s="10"/>
      <c r="E120" s="9" t="str">
        <f t="shared" ca="1" si="22"/>
        <v>Assumptions</v>
      </c>
      <c r="F120" s="9" t="str">
        <f t="shared" ca="1" si="23"/>
        <v>L</v>
      </c>
      <c r="G120" s="9" t="str">
        <f t="shared" ca="1" si="24"/>
        <v>2</v>
      </c>
      <c r="H120" s="9" cm="1">
        <f t="array" aca="1" ref="H120" ca="1">CreateID($H$35,$E120&lt;&gt;INDEX($E:$E,ROW()-1))</f>
        <v>6</v>
      </c>
      <c r="I120" s="9" t="str" cm="1">
        <f t="array" aca="1" ref="I120" ca="1">INDIRECT($K120)</f>
        <v>Elapsed Time</v>
      </c>
      <c r="K120" s="2" t="str" cm="1">
        <f t="array" aca="1" ref="K120" ca="1">CELL("address",OFFSET(Assumptions!$A$2,0,ROW()-ROW($K$109)))</f>
        <v>'[QuBA-libre.xlsx]Assumptions'!$L$2</v>
      </c>
    </row>
    <row r="121" spans="1:11" outlineLevel="1" x14ac:dyDescent="0.25">
      <c r="A121" s="10" t="str" cm="1">
        <f t="array" aca="1" ref="A121" ca="1">IF(INDEX($H:$H,ROW()-1)&lt;&gt;$H121,$E121,"")</f>
        <v/>
      </c>
      <c r="B121" s="50" t="str" cm="1">
        <f t="array" aca="1" ref="B121" ca="1">IF($K121="","",_xlfn.LET(
_xlpm._fullName,IF($L121="",SUBSTITUTE(SUBSTITUTE(INDIRECT($K121),CHAR(10)," "),"  "," "),$L121),
_xlpm._truncatedName,IF(LEN(_xlpm._fullName)&gt;250,LEFT(_xlpm._fullName,250)&amp;"[…]",_xlpm._fullName),
HYPERLINK("#'"&amp;$E121&amp;"'!"&amp;$F121&amp;$G121,
_xlpm._truncatedName)))</f>
        <v>Expertise</v>
      </c>
      <c r="C121" s="10" t="s">
        <v>644</v>
      </c>
      <c r="D121" s="10"/>
      <c r="E121" s="9" t="str">
        <f t="shared" ca="1" si="22"/>
        <v>Assumptions</v>
      </c>
      <c r="F121" s="9" t="str">
        <f t="shared" ca="1" si="23"/>
        <v>M</v>
      </c>
      <c r="G121" s="9" t="str">
        <f t="shared" ca="1" si="24"/>
        <v>2</v>
      </c>
      <c r="H121" s="9" cm="1">
        <f t="array" aca="1" ref="H121" ca="1">CreateID($H$35,$E121&lt;&gt;INDEX($E:$E,ROW()-1))</f>
        <v>6</v>
      </c>
      <c r="I121" s="9" t="str" cm="1">
        <f t="array" aca="1" ref="I121" ca="1">INDIRECT($K121)</f>
        <v>Expertise</v>
      </c>
      <c r="K121" s="2" t="str" cm="1">
        <f t="array" aca="1" ref="K121" ca="1">CELL("address",OFFSET(Assumptions!$A$2,0,ROW()-ROW($K$109)))</f>
        <v>'[QuBA-libre.xlsx]Assumptions'!$M$2</v>
      </c>
    </row>
    <row r="122" spans="1:11" outlineLevel="1" x14ac:dyDescent="0.25">
      <c r="A122" s="10" t="str" cm="1">
        <f t="array" aca="1" ref="A122" ca="1">IF(INDEX($H:$H,ROW()-1)&lt;&gt;$H122,$E122,"")</f>
        <v/>
      </c>
      <c r="B122" s="50" t="str" cm="1">
        <f t="array" aca="1" ref="B122" ca="1">IF($K122="","",_xlfn.LET(
_xlpm._fullName,IF($L122="",SUBSTITUTE(SUBSTITUTE(INDIRECT($K122),CHAR(10)," "),"  "," "),$L122),
_xlpm._truncatedName,IF(LEN(_xlpm._fullName)&gt;250,LEFT(_xlpm._fullName,250)&amp;"[…]",_xlpm._fullName),
HYPERLINK("#'"&amp;$E122&amp;"'!"&amp;$F122&amp;$G122,
_xlpm._truncatedName)))</f>
        <v>Knowledge of TOE</v>
      </c>
      <c r="C122" s="10" t="s">
        <v>645</v>
      </c>
      <c r="D122" s="10"/>
      <c r="E122" s="9" t="str">
        <f t="shared" ca="1" si="22"/>
        <v>Assumptions</v>
      </c>
      <c r="F122" s="9" t="str">
        <f t="shared" ca="1" si="23"/>
        <v>N</v>
      </c>
      <c r="G122" s="9" t="str">
        <f t="shared" ca="1" si="24"/>
        <v>2</v>
      </c>
      <c r="H122" s="9" cm="1">
        <f t="array" aca="1" ref="H122" ca="1">CreateID($H$35,$E122&lt;&gt;INDEX($E:$E,ROW()-1))</f>
        <v>6</v>
      </c>
      <c r="I122" s="9" t="str" cm="1">
        <f t="array" aca="1" ref="I122" ca="1">INDIRECT($K122)</f>
        <v>Knowledge of TOE</v>
      </c>
      <c r="K122" s="2" t="str" cm="1">
        <f t="array" aca="1" ref="K122" ca="1">CELL("address",OFFSET(Assumptions!$A$2,0,ROW()-ROW($K$109)))</f>
        <v>'[QuBA-libre.xlsx]Assumptions'!$N$2</v>
      </c>
    </row>
    <row r="123" spans="1:11" outlineLevel="1" x14ac:dyDescent="0.25">
      <c r="A123" s="10" t="str" cm="1">
        <f t="array" aca="1" ref="A123" ca="1">IF(INDEX($H:$H,ROW()-1)&lt;&gt;$H123,$E123,"")</f>
        <v/>
      </c>
      <c r="B123" s="50" t="str" cm="1">
        <f t="array" aca="1" ref="B123" ca="1">IF($K123="","",_xlfn.LET(
_xlpm._fullName,IF($L123="",SUBSTITUTE(SUBSTITUTE(INDIRECT($K123),CHAR(10)," "),"  "," "),$L123),
_xlpm._truncatedName,IF(LEN(_xlpm._fullName)&gt;250,LEFT(_xlpm._fullName,250)&amp;"[…]",_xlpm._fullName),
HYPERLINK("#'"&amp;$E123&amp;"'!"&amp;$F123&amp;$G123,
_xlpm._truncatedName)))</f>
        <v>Window of Opportunity</v>
      </c>
      <c r="C123" s="10" t="s">
        <v>646</v>
      </c>
      <c r="D123" s="10"/>
      <c r="E123" s="9" t="str">
        <f t="shared" ca="1" si="22"/>
        <v>Assumptions</v>
      </c>
      <c r="F123" s="9" t="str">
        <f t="shared" ca="1" si="23"/>
        <v>O</v>
      </c>
      <c r="G123" s="9" t="str">
        <f t="shared" ca="1" si="24"/>
        <v>2</v>
      </c>
      <c r="H123" s="9" cm="1">
        <f t="array" aca="1" ref="H123" ca="1">CreateID($H$35,$E123&lt;&gt;INDEX($E:$E,ROW()-1))</f>
        <v>6</v>
      </c>
      <c r="I123" s="9" t="str" cm="1">
        <f t="array" aca="1" ref="I123" ca="1">INDIRECT($K123)</f>
        <v>Window of Opportunity</v>
      </c>
      <c r="K123" s="2" t="str" cm="1">
        <f t="array" aca="1" ref="K123" ca="1">CELL("address",OFFSET(Assumptions!$A$2,0,ROW()-ROW($K$109)))</f>
        <v>'[QuBA-libre.xlsx]Assumptions'!$O$2</v>
      </c>
    </row>
    <row r="124" spans="1:11" outlineLevel="1" x14ac:dyDescent="0.25">
      <c r="A124" s="10" t="str" cm="1">
        <f t="array" aca="1" ref="A124" ca="1">IF(INDEX($H:$H,ROW()-1)&lt;&gt;$H124,$E124,"")</f>
        <v/>
      </c>
      <c r="B124" s="50" t="str" cm="1">
        <f t="array" aca="1" ref="B124" ca="1">IF($K124="","",_xlfn.LET(
_xlpm._fullName,IF($L124="",SUBSTITUTE(SUBSTITUTE(INDIRECT($K124),CHAR(10)," "),"  "," "),$L124),
_xlpm._truncatedName,IF(LEN(_xlpm._fullName)&gt;250,LEFT(_xlpm._fullName,250)&amp;"[…]",_xlpm._fullName),
HYPERLINK("#'"&amp;$E124&amp;"'!"&amp;$F124&amp;$G124,
_xlpm._truncatedName)))</f>
        <v>Equipment</v>
      </c>
      <c r="C124" s="10" t="s">
        <v>647</v>
      </c>
      <c r="D124" s="10"/>
      <c r="E124" s="9" t="str">
        <f t="shared" ca="1" si="22"/>
        <v>Assumptions</v>
      </c>
      <c r="F124" s="9" t="str">
        <f t="shared" ca="1" si="23"/>
        <v>P</v>
      </c>
      <c r="G124" s="9" t="str">
        <f t="shared" ca="1" si="24"/>
        <v>2</v>
      </c>
      <c r="H124" s="9" cm="1">
        <f t="array" aca="1" ref="H124" ca="1">CreateID($H$35,$E124&lt;&gt;INDEX($E:$E,ROW()-1))</f>
        <v>6</v>
      </c>
      <c r="I124" s="9" t="str" cm="1">
        <f t="array" aca="1" ref="I124" ca="1">INDIRECT($K124)</f>
        <v>Equipment</v>
      </c>
      <c r="K124" s="2" t="str" cm="1">
        <f t="array" aca="1" ref="K124" ca="1">CELL("address",OFFSET(Assumptions!$A$2,0,ROW()-ROW($K$109)))</f>
        <v>'[QuBA-libre.xlsx]Assumptions'!$P$2</v>
      </c>
    </row>
    <row r="125" spans="1:11" outlineLevel="1" x14ac:dyDescent="0.25">
      <c r="A125" s="10" t="str" cm="1">
        <f t="array" aca="1" ref="A125" ca="1">IF(INDEX($H:$H,ROW()-1)&lt;&gt;$H125,$E125,"")</f>
        <v/>
      </c>
      <c r="B125" s="50" t="str" cm="1">
        <f t="array" aca="1" ref="B125" ca="1">IF($K125="","",_xlfn.LET(
_xlpm._fullName,IF($L125="",SUBSTITUTE(SUBSTITUTE(INDIRECT($K125),CHAR(10)," "),"  "," "),$L125),
_xlpm._truncatedName,IF(LEN(_xlpm._fullName)&gt;250,LEFT(_xlpm._fullName,250)&amp;"[…]",_xlpm._fullName),
HYPERLINK("#'"&amp;$E125&amp;"'!"&amp;$F125&amp;$G125,
_xlpm._truncatedName)))</f>
        <v>RAP</v>
      </c>
      <c r="C125" s="10" t="s">
        <v>648</v>
      </c>
      <c r="D125" s="10"/>
      <c r="E125" s="9" t="str">
        <f t="shared" ca="1" si="22"/>
        <v>Assumptions</v>
      </c>
      <c r="F125" s="9" t="str">
        <f t="shared" ca="1" si="23"/>
        <v>Q</v>
      </c>
      <c r="G125" s="9" t="str">
        <f t="shared" ca="1" si="24"/>
        <v>2</v>
      </c>
      <c r="H125" s="9" cm="1">
        <f t="array" aca="1" ref="H125" ca="1">CreateID($H$35,$E125&lt;&gt;INDEX($E:$E,ROW()-1))</f>
        <v>6</v>
      </c>
      <c r="I125" s="9" t="str" cm="1">
        <f t="array" aca="1" ref="I125" ca="1">INDIRECT($K125)</f>
        <v>RAP</v>
      </c>
      <c r="K125" s="2" t="str" cm="1">
        <f t="array" aca="1" ref="K125" ca="1">CELL("address",OFFSET(Assumptions!$A$2,0,ROW()-ROW($K$109)))</f>
        <v>'[QuBA-libre.xlsx]Assumptions'!$Q$2</v>
      </c>
    </row>
    <row r="126" spans="1:11" ht="30" outlineLevel="1" x14ac:dyDescent="0.25">
      <c r="A126" s="10" t="str" cm="1">
        <f t="array" aca="1" ref="A126" ca="1">IF(INDEX($H:$H,ROW()-1)&lt;&gt;$H126,$E126,"")</f>
        <v/>
      </c>
      <c r="B126" s="50" t="str" cm="1">
        <f t="array" aca="1" ref="B126" ca="1">IF($K126="","",_xlfn.LET(
_xlpm._fullName,IF($L126="",SUBSTITUTE(SUBSTITUTE(INDIRECT($K126),CHAR(10)," "),"  "," "),$L126),
_xlpm._truncatedName,IF(LEN(_xlpm._fullName)&gt;250,LEFT(_xlpm._fullName,250)&amp;"[…]",_xlpm._fullName),
HYPERLINK("#'"&amp;$E126&amp;"'!"&amp;$F126&amp;$G126,
_xlpm._truncatedName)))</f>
        <v>Mapping to CRA, Annex I (1.2)</v>
      </c>
      <c r="C126" s="10" t="s">
        <v>1456</v>
      </c>
      <c r="D126" s="10"/>
      <c r="E126" s="9" t="str">
        <f t="shared" ca="1" si="22"/>
        <v>Assumptions</v>
      </c>
      <c r="F126" s="9" t="str">
        <f t="shared" ca="1" si="23"/>
        <v>R</v>
      </c>
      <c r="G126" s="9" t="str">
        <f t="shared" ca="1" si="24"/>
        <v>2</v>
      </c>
      <c r="H126" s="9" cm="1">
        <f t="array" aca="1" ref="H126" ca="1">CreateID($H$35,$E126&lt;&gt;INDEX($E:$E,ROW()-1))</f>
        <v>6</v>
      </c>
      <c r="I126" s="9" t="str" cm="1">
        <f t="array" aca="1" ref="I126" ca="1">INDIRECT($K126)</f>
        <v>Mapping to CRA, Annex I (1.2)</v>
      </c>
      <c r="K126" s="2" t="str" cm="1">
        <f t="array" aca="1" ref="K126" ca="1">CELL("address",OFFSET(Assumptions!$A$2,0,ROW()-ROW($K$109)))</f>
        <v>'[QuBA-libre.xlsx]Assumptions'!$R$2</v>
      </c>
    </row>
    <row r="127" spans="1:11" ht="30" outlineLevel="1" x14ac:dyDescent="0.25">
      <c r="A127" s="10" t="str" cm="1">
        <f t="array" aca="1" ref="A127" ca="1">IF(INDEX($H:$H,ROW()-1)&lt;&gt;$H127,$E127,"")</f>
        <v/>
      </c>
      <c r="B127" s="50" t="str" cm="1">
        <f t="array" aca="1" ref="B127" ca="1">IF($K127="","",_xlfn.LET(
_xlpm._fullName,IF($L127="",SUBSTITUTE(SUBSTITUTE(INDIRECT($K127),CHAR(10)," "),"  "," "),$L127),
_xlpm._truncatedName,IF(LEN(_xlpm._fullName)&gt;250,LEFT(_xlpm._fullName,250)&amp;"[…]",_xlpm._fullName),
HYPERLINK("#'"&amp;$E127&amp;"'!"&amp;$F127&amp;$G127,
_xlpm._truncatedName)))</f>
        <v>Reference</v>
      </c>
      <c r="C127" s="10" t="s">
        <v>1482</v>
      </c>
      <c r="D127" s="10"/>
      <c r="E127" s="9" t="str">
        <f t="shared" ca="1" si="22"/>
        <v>Assumptions</v>
      </c>
      <c r="F127" s="9" t="str">
        <f t="shared" ca="1" si="23"/>
        <v>S</v>
      </c>
      <c r="G127" s="9" t="str">
        <f t="shared" ca="1" si="24"/>
        <v>2</v>
      </c>
      <c r="H127" s="9" cm="1">
        <f t="array" aca="1" ref="H127" ca="1">CreateID($H$35,$E127&lt;&gt;INDEX($E:$E,ROW()-1))</f>
        <v>6</v>
      </c>
      <c r="I127" s="9" t="str" cm="1">
        <f t="array" aca="1" ref="I127" ca="1">INDIRECT($K127)</f>
        <v>Reference</v>
      </c>
      <c r="K127" s="2" t="str" cm="1">
        <f t="array" aca="1" ref="K127" ca="1">CELL("address",OFFSET(Assumptions!$A$2,0,ROW()-ROW($K$109)))</f>
        <v>'[QuBA-libre.xlsx]Assumptions'!$S$2</v>
      </c>
    </row>
    <row r="128" spans="1:11" outlineLevel="1" x14ac:dyDescent="0.25">
      <c r="A128" s="10" t="str" cm="1">
        <f t="array" aca="1" ref="A128" ca="1">IF(INDEX($H:$H,ROW()-1)&lt;&gt;$H128,$E128,"")</f>
        <v/>
      </c>
      <c r="B128" s="50" t="str" cm="1">
        <f t="array" aca="1" ref="B128" ca="1">IF($K128="","",_xlfn.LET(
_xlpm._fullName,IF($L128="",SUBSTITUTE(SUBSTITUTE(INDIRECT($K128),CHAR(10)," "),"  "," "),$L128),
_xlpm._truncatedName,IF(LEN(_xlpm._fullName)&gt;250,LEFT(_xlpm._fullName,250)&amp;"[…]",_xlpm._fullName),
HYPERLINK("#'"&amp;$E128&amp;"'!"&amp;$F128&amp;$G128,
_xlpm._truncatedName)))</f>
        <v>Comment</v>
      </c>
      <c r="C128" s="10" t="s">
        <v>638</v>
      </c>
      <c r="D128" s="10"/>
      <c r="E128" s="9" t="str">
        <f ca="1">IF($K128="","",_xlfn.LET(
_xlpm._in,$K128,
_xlpm._start,FIND("]",_xlpm._in)+1,
SUBSTITUTE(MID(_xlpm._in,_xlpm._start,FIND("!",_xlpm._in)-_xlpm._start),"'","")))</f>
        <v>Assumptions</v>
      </c>
      <c r="F128" s="9" t="str">
        <f ca="1">IF($K128="","",_xlfn.LET(
_xlpm._in,SUBSTITUTE($K128,"$","§",1),
_xlpm._start,FIND("§",_xlpm._in)+1,
SUBSTITUTE(MID(_xlpm._in,_xlpm._start,FIND("$",_xlpm._in)-_xlpm._start),"'","")))</f>
        <v>T</v>
      </c>
      <c r="G128" s="9" t="str">
        <f ca="1">IF($K128="","",RIGHT($K128,LEN($K128)-FIND("$",SUBSTITUTE($K128,"$","§",1))))</f>
        <v>2</v>
      </c>
      <c r="H128" s="9" cm="1">
        <f t="array" aca="1" ref="H128" ca="1">CreateID($H$35,$E128&lt;&gt;INDEX($E:$E,ROW()-1))</f>
        <v>6</v>
      </c>
      <c r="I128" s="9" t="str" cm="1">
        <f t="array" aca="1" ref="I128" ca="1">INDIRECT($K128)</f>
        <v>Comment</v>
      </c>
      <c r="K128" s="2" t="str" cm="1">
        <f t="array" aca="1" ref="K128" ca="1">CELL("address",OFFSET(Assumptions!$A$2,0,ROW()-ROW($K$109)))</f>
        <v>'[QuBA-libre.xlsx]Assumptions'!$T$2</v>
      </c>
    </row>
    <row r="129" spans="1:11" ht="60" x14ac:dyDescent="0.25">
      <c r="A129" s="10" t="str" cm="1">
        <f t="array" aca="1" ref="A129" ca="1">IF(INDEX($H:$H,ROW()-1)&lt;&gt;$H129,$E129,"")</f>
        <v>Countermeasures</v>
      </c>
      <c r="B129" s="50" t="str" cm="1">
        <f t="array" aca="1" ref="B129" ca="1">IF($K129="","",_xlfn.LET(
_xlpm._fullName,IF($L129="",SUBSTITUTE(SUBSTITUTE(INDIRECT($K129),CHAR(10)," "),"  "," "),$L129),
_xlpm._truncatedName,IF(LEN(_xlpm._fullName)&gt;250,LEFT(_xlpm._fullName,250)&amp;"[…]",_xlpm._fullName),
HYPERLINK("#'"&amp;$E129&amp;"'!"&amp;$F129&amp;$G129,
_xlpm._truncatedName)))</f>
        <v>ID</v>
      </c>
      <c r="C129" s="10" t="s">
        <v>1701</v>
      </c>
      <c r="D129" s="10"/>
      <c r="E129" s="9" t="str">
        <f t="shared" ref="E129:E148" ca="1" si="25">IF($K129="","",_xlfn.LET(
_xlpm._in,$K129,
_xlpm._start,FIND("]",_xlpm._in)+1,
SUBSTITUTE(MID(_xlpm._in,_xlpm._start,FIND("!",_xlpm._in)-_xlpm._start),"'","")))</f>
        <v>Countermeasures</v>
      </c>
      <c r="F129" s="9" t="str">
        <f t="shared" ref="F129:F148" ca="1" si="26">IF($K129="","",_xlfn.LET(
_xlpm._in,SUBSTITUTE($K129,"$","§",1),
_xlpm._start,FIND("§",_xlpm._in)+1,
SUBSTITUTE(MID(_xlpm._in,_xlpm._start,FIND("$",_xlpm._in)-_xlpm._start),"'","")))</f>
        <v>A</v>
      </c>
      <c r="G129" s="9" t="str">
        <f t="shared" ref="G129:G148" ca="1" si="27">IF($K129="","",RIGHT($K129,LEN($K129)-FIND("$",SUBSTITUTE($K129,"$","§",1))))</f>
        <v>2</v>
      </c>
      <c r="H129" s="9" cm="1">
        <f t="array" aca="1" ref="H129" ca="1">CreateID($H$35,$E129&lt;&gt;INDEX($E:$E,ROW()-1))</f>
        <v>7</v>
      </c>
      <c r="I129" s="9" t="str" cm="1">
        <f t="array" aca="1" ref="I129" ca="1">INDIRECT($K129)</f>
        <v>ID</v>
      </c>
      <c r="K129" s="2" t="str" cm="1">
        <f t="array" aca="1" ref="K129" ca="1">CELL("address",OFFSET(Countermeasures!$A$2,0,ROW()-ROW($K$129)))</f>
        <v>'[QuBA-libre.xlsx]Countermeasures'!$A$2</v>
      </c>
    </row>
    <row r="130" spans="1:11" ht="45" outlineLevel="1" x14ac:dyDescent="0.25">
      <c r="A130" s="10" t="str" cm="1">
        <f t="array" aca="1" ref="A130" ca="1">IF(INDEX($H:$H,ROW()-1)&lt;&gt;$H130,$E130,"")</f>
        <v/>
      </c>
      <c r="B130" s="50" t="str" cm="1">
        <f t="array" aca="1" ref="B130" ca="1">IF($K130="","",_xlfn.LET(
_xlpm._fullName,IF($L130="",SUBSTITUTE(SUBSTITUTE(INDIRECT($K130),CHAR(10)," "),"  "," "),$L130),
_xlpm._truncatedName,IF(LEN(_xlpm._fullName)&gt;250,LEFT(_xlpm._fullName,250)&amp;"[…]",_xlpm._fullName),
HYPERLINK("#'"&amp;$E130&amp;"'!"&amp;$F130&amp;$G130,
_xlpm._truncatedName)))</f>
        <v>Countermeasure</v>
      </c>
      <c r="C130" s="10" t="s">
        <v>1490</v>
      </c>
      <c r="D130" s="10"/>
      <c r="E130" s="9" t="str">
        <f t="shared" ca="1" si="25"/>
        <v>Countermeasures</v>
      </c>
      <c r="F130" s="9" t="str">
        <f t="shared" ca="1" si="26"/>
        <v>B</v>
      </c>
      <c r="G130" s="9" t="str">
        <f t="shared" ca="1" si="27"/>
        <v>2</v>
      </c>
      <c r="H130" s="9" cm="1">
        <f t="array" aca="1" ref="H130" ca="1">CreateID($H$35,$E130&lt;&gt;INDEX($E:$E,ROW()-1))</f>
        <v>7</v>
      </c>
      <c r="I130" s="9" t="str" cm="1">
        <f t="array" aca="1" ref="I130" ca="1">INDIRECT($K130)</f>
        <v>Countermeasure</v>
      </c>
      <c r="K130" s="2" t="str" cm="1">
        <f t="array" aca="1" ref="K130" ca="1">CELL("address",OFFSET(Countermeasures!$A$2,0,ROW()-ROW($K$129)))</f>
        <v>'[QuBA-libre.xlsx]Countermeasures'!$B$2</v>
      </c>
    </row>
    <row r="131" spans="1:11" outlineLevel="1" x14ac:dyDescent="0.25">
      <c r="A131" s="10" t="str" cm="1">
        <f t="array" aca="1" ref="A131" ca="1">IF(INDEX($H:$H,ROW()-1)&lt;&gt;$H131,$E131,"")</f>
        <v/>
      </c>
      <c r="B131" s="50" t="str" cm="1">
        <f t="array" aca="1" ref="B131" ca="1">IF($K131="","",_xlfn.LET(
_xlpm._fullName,IF($L131="",SUBSTITUTE(SUBSTITUTE(INDIRECT($K131),CHAR(10)," "),"  "," "),$L131),
_xlpm._truncatedName,IF(LEN(_xlpm._fullName)&gt;250,LEFT(_xlpm._fullName,250)&amp;"[…]",_xlpm._fullName),
HYPERLINK("#'"&amp;$E131&amp;"'!"&amp;$F131&amp;$G131,
_xlpm._truncatedName)))</f>
        <v>Description</v>
      </c>
      <c r="C131" s="10" t="s">
        <v>649</v>
      </c>
      <c r="D131" s="10"/>
      <c r="E131" s="9" t="str">
        <f t="shared" ca="1" si="25"/>
        <v>Countermeasures</v>
      </c>
      <c r="F131" s="9" t="str">
        <f t="shared" ca="1" si="26"/>
        <v>C</v>
      </c>
      <c r="G131" s="9" t="str">
        <f t="shared" ca="1" si="27"/>
        <v>2</v>
      </c>
      <c r="H131" s="9" cm="1">
        <f t="array" aca="1" ref="H131" ca="1">CreateID($H$35,$E131&lt;&gt;INDEX($E:$E,ROW()-1))</f>
        <v>7</v>
      </c>
      <c r="I131" s="9" t="str" cm="1">
        <f t="array" aca="1" ref="I131" ca="1">INDIRECT($K131)</f>
        <v>Description</v>
      </c>
      <c r="K131" s="2" t="str" cm="1">
        <f t="array" aca="1" ref="K131" ca="1">CELL("address",OFFSET(Countermeasures!$A$2,0,ROW()-ROW($K$129)))</f>
        <v>'[QuBA-libre.xlsx]Countermeasures'!$C$2</v>
      </c>
    </row>
    <row r="132" spans="1:11" ht="45" outlineLevel="1" x14ac:dyDescent="0.25">
      <c r="A132" s="10" t="str" cm="1">
        <f t="array" aca="1" ref="A132" ca="1">IF(INDEX($H:$H,ROW()-1)&lt;&gt;$H132,$E132,"")</f>
        <v/>
      </c>
      <c r="B132" s="50" t="str" cm="1">
        <f t="array" aca="1" ref="B132" ca="1">IF($K132="","",_xlfn.LET(
_xlpm._fullName,IF($L132="",SUBSTITUTE(SUBSTITUTE(INDIRECT($K132),CHAR(10)," "),"  "," "),$L132),
_xlpm._truncatedName,IF(LEN(_xlpm._fullName)&gt;250,LEFT(_xlpm._fullName,250)&amp;"[…]",_xlpm._fullName),
HYPERLINK("#'"&amp;$E132&amp;"'!"&amp;$F132&amp;$G132,
_xlpm._truncatedName)))</f>
        <v>Answers</v>
      </c>
      <c r="C132" s="10" t="s">
        <v>1125</v>
      </c>
      <c r="D132" s="10" t="s">
        <v>1126</v>
      </c>
      <c r="E132" s="9" t="str">
        <f t="shared" ca="1" si="25"/>
        <v>Countermeasures</v>
      </c>
      <c r="F132" s="9" t="str">
        <f t="shared" ca="1" si="26"/>
        <v>D</v>
      </c>
      <c r="G132" s="9" t="str">
        <f t="shared" ca="1" si="27"/>
        <v>2</v>
      </c>
      <c r="H132" s="9" cm="1">
        <f t="array" aca="1" ref="H132" ca="1">CreateID($H$35,$E132&lt;&gt;INDEX($E:$E,ROW()-1))</f>
        <v>7</v>
      </c>
      <c r="I132" s="9" t="str" cm="1">
        <f t="array" aca="1" ref="I132" ca="1">INDIRECT($K132)</f>
        <v>Answers</v>
      </c>
      <c r="K132" s="2" t="str" cm="1">
        <f t="array" aca="1" ref="K132" ca="1">CELL("address",OFFSET(Countermeasures!$A$2,0,ROW()-ROW($K$129)))</f>
        <v>'[QuBA-libre.xlsx]Countermeasures'!$D$2</v>
      </c>
    </row>
    <row r="133" spans="1:11" outlineLevel="1" x14ac:dyDescent="0.25">
      <c r="A133" s="10" t="str" cm="1">
        <f t="array" aca="1" ref="A133" ca="1">IF(INDEX($H:$H,ROW()-1)&lt;&gt;$H133,$E133,"")</f>
        <v/>
      </c>
      <c r="B133" s="50" t="str" cm="1">
        <f t="array" aca="1" ref="B133" ca="1">IF($K133="","",_xlfn.LET(
_xlpm._fullName,IF($L133="",SUBSTITUTE(SUBSTITUTE(INDIRECT($K133),CHAR(10)," "),"  "," "),$L133),
_xlpm._truncatedName,IF(LEN(_xlpm._fullName)&gt;250,LEFT(_xlpm._fullName,250)&amp;"[…]",_xlpm._fullName),
HYPERLINK("#'"&amp;$E133&amp;"'!"&amp;$F133&amp;$G133,
_xlpm._truncatedName)))</f>
        <v>Answer Names</v>
      </c>
      <c r="C133" s="10" t="s">
        <v>1539</v>
      </c>
      <c r="D133" s="10"/>
      <c r="E133" s="9" t="str">
        <f ca="1">IF($K133="","",_xlfn.LET(
_xlpm._in,$K133,
_xlpm._start,FIND("]",_xlpm._in)+1,
SUBSTITUTE(MID(_xlpm._in,_xlpm._start,FIND("!",_xlpm._in)-_xlpm._start),"'","")))</f>
        <v>Countermeasures</v>
      </c>
      <c r="F133" s="9" t="str">
        <f ca="1">IF($K133="","",_xlfn.LET(
_xlpm._in,SUBSTITUTE($K133,"$","§",1),
_xlpm._start,FIND("§",_xlpm._in)+1,
SUBSTITUTE(MID(_xlpm._in,_xlpm._start,FIND("$",_xlpm._in)-_xlpm._start),"'","")))</f>
        <v>E</v>
      </c>
      <c r="G133" s="9" t="str">
        <f ca="1">IF($K133="","",RIGHT($K133,LEN($K133)-FIND("$",SUBSTITUTE($K133,"$","§",1))))</f>
        <v>2</v>
      </c>
      <c r="H133" s="9" cm="1">
        <f t="array" aca="1" ref="H133" ca="1">CreateID($H$35,$E133&lt;&gt;INDEX($E:$E,ROW()-1))</f>
        <v>7</v>
      </c>
      <c r="I133" s="9" t="str" cm="1">
        <f t="array" aca="1" ref="I133" ca="1">INDIRECT($K133)</f>
        <v>Answer Names</v>
      </c>
      <c r="K133" s="2" t="str" cm="1">
        <f t="array" aca="1" ref="K133" ca="1">CELL("address",OFFSET(Countermeasures!$A$2,0,ROW()-ROW($K$129)))</f>
        <v>'[QuBA-libre.xlsx]Countermeasures'!$E$2</v>
      </c>
    </row>
    <row r="134" spans="1:11" ht="60" outlineLevel="1" x14ac:dyDescent="0.25">
      <c r="A134" s="10" t="str" cm="1">
        <f t="array" aca="1" ref="A134" ca="1">IF(INDEX($H:$H,ROW()-1)&lt;&gt;$H134,$E134,"")</f>
        <v/>
      </c>
      <c r="B134" s="50" t="str" cm="1">
        <f t="array" aca="1" ref="B134" ca="1">IF($K134="","",_xlfn.LET(
_xlpm._fullName,IF($L134="",SUBSTITUTE(SUBSTITUTE(INDIRECT($K134),CHAR(10)," "),"  "," "),$L134),
_xlpm._truncatedName,IF(LEN(_xlpm._fullName)&gt;250,LEFT(_xlpm._fullName,250)&amp;"[…]",_xlpm._fullName),
HYPERLINK("#'"&amp;$E134&amp;"'!"&amp;$F134&amp;$G134,
_xlpm._truncatedName)))</f>
        <v>Attack Step IDs</v>
      </c>
      <c r="C134" s="10" t="s">
        <v>650</v>
      </c>
      <c r="D134" s="10"/>
      <c r="E134" s="9" t="str">
        <f t="shared" ca="1" si="25"/>
        <v>Countermeasures</v>
      </c>
      <c r="F134" s="9" t="str">
        <f t="shared" ca="1" si="26"/>
        <v>F</v>
      </c>
      <c r="G134" s="9" t="str">
        <f t="shared" ca="1" si="27"/>
        <v>2</v>
      </c>
      <c r="H134" s="9" cm="1">
        <f t="array" aca="1" ref="H134" ca="1">CreateID($H$35,$E134&lt;&gt;INDEX($E:$E,ROW()-1))</f>
        <v>7</v>
      </c>
      <c r="I134" s="9" t="str" cm="1">
        <f t="array" aca="1" ref="I134" ca="1">INDIRECT($K134)</f>
        <v>Attack Step IDs</v>
      </c>
      <c r="K134" s="2" t="str" cm="1">
        <f t="array" aca="1" ref="K134" ca="1">CELL("address",OFFSET(Countermeasures!$A$2,0,ROW()-ROW($K$129)))</f>
        <v>'[QuBA-libre.xlsx]Countermeasures'!$F$2</v>
      </c>
    </row>
    <row r="135" spans="1:11" outlineLevel="1" x14ac:dyDescent="0.25">
      <c r="A135" s="10" t="str" cm="1">
        <f t="array" aca="1" ref="A135" ca="1">IF(INDEX($H:$H,ROW()-1)&lt;&gt;$H135,$E135,"")</f>
        <v/>
      </c>
      <c r="B135" s="50" t="str" cm="1">
        <f t="array" aca="1" ref="B135" ca="1">IF($K135="","",_xlfn.LET(
_xlpm._fullName,IF($L135="",SUBSTITUTE(SUBSTITUTE(INDIRECT($K135),CHAR(10)," "),"  "," "),$L135),
_xlpm._truncatedName,IF(LEN(_xlpm._fullName)&gt;250,LEFT(_xlpm._fullName,250)&amp;"[…]",_xlpm._fullName),
HYPERLINK("#'"&amp;$E135&amp;"'!"&amp;$F135&amp;$G135,
_xlpm._truncatedName)))</f>
        <v>Mitigated Attack Step Names</v>
      </c>
      <c r="C135" s="10" t="s">
        <v>641</v>
      </c>
      <c r="D135" s="10"/>
      <c r="E135" s="9" t="str">
        <f t="shared" ca="1" si="25"/>
        <v>Countermeasures</v>
      </c>
      <c r="F135" s="9" t="str">
        <f t="shared" ca="1" si="26"/>
        <v>G</v>
      </c>
      <c r="G135" s="9" t="str">
        <f t="shared" ca="1" si="27"/>
        <v>2</v>
      </c>
      <c r="H135" s="9" cm="1">
        <f t="array" aca="1" ref="H135" ca="1">CreateID($H$35,$E135&lt;&gt;INDEX($E:$E,ROW()-1))</f>
        <v>7</v>
      </c>
      <c r="I135" s="9" t="str" cm="1">
        <f t="array" aca="1" ref="I135" ca="1">INDIRECT($K135)</f>
        <v>Mitigated Attack Step Names</v>
      </c>
      <c r="K135" s="2" t="str" cm="1">
        <f t="array" aca="1" ref="K135" ca="1">CELL("address",OFFSET(Countermeasures!$A$2,0,ROW()-ROW($K$129)))</f>
        <v>'[QuBA-libre.xlsx]Countermeasures'!$G$2</v>
      </c>
    </row>
    <row r="136" spans="1:11" ht="30" outlineLevel="1" x14ac:dyDescent="0.25">
      <c r="A136" s="10" t="str" cm="1">
        <f t="array" aca="1" ref="A136" ca="1">IF(INDEX($H:$H,ROW()-1)&lt;&gt;$H136,$E136,"")</f>
        <v/>
      </c>
      <c r="B136" s="50" t="str" cm="1">
        <f t="array" aca="1" ref="B136" ca="1">IF($K136="","",_xlfn.LET(
_xlpm._fullName,IF($L136="",SUBSTITUTE(SUBSTITUTE(INDIRECT($K136),CHAR(10)," "),"  "," "),$L136),
_xlpm._truncatedName,IF(LEN(_xlpm._fullName)&gt;250,LEFT(_xlpm._fullName,250)&amp;"[…]",_xlpm._fullName),
HYPERLINK("#'"&amp;$E136&amp;"'!"&amp;$F136&amp;$G136,
_xlpm._truncatedName)))</f>
        <v>PR IDs</v>
      </c>
      <c r="C136" s="10" t="s">
        <v>651</v>
      </c>
      <c r="D136" s="10"/>
      <c r="E136" s="9" t="str">
        <f t="shared" ca="1" si="25"/>
        <v>Countermeasures</v>
      </c>
      <c r="F136" s="9" t="str">
        <f t="shared" ca="1" si="26"/>
        <v>H</v>
      </c>
      <c r="G136" s="9" t="str">
        <f t="shared" ca="1" si="27"/>
        <v>2</v>
      </c>
      <c r="H136" s="9" cm="1">
        <f t="array" aca="1" ref="H136" ca="1">CreateID($H$35,$E136&lt;&gt;INDEX($E:$E,ROW()-1))</f>
        <v>7</v>
      </c>
      <c r="I136" s="9" t="str" cm="1">
        <f t="array" aca="1" ref="I136" ca="1">INDIRECT($K136)</f>
        <v>PR IDs</v>
      </c>
      <c r="K136" s="2" t="str" cm="1">
        <f t="array" aca="1" ref="K136" ca="1">CELL("address",OFFSET(Countermeasures!$A$2,0,ROW()-ROW($K$129)))</f>
        <v>'[QuBA-libre.xlsx]Countermeasures'!$H$2</v>
      </c>
    </row>
    <row r="137" spans="1:11" ht="30" outlineLevel="1" x14ac:dyDescent="0.25">
      <c r="A137" s="10" t="str" cm="1">
        <f t="array" aca="1" ref="A137" ca="1">IF(INDEX($H:$H,ROW()-1)&lt;&gt;$H137,$E137,"")</f>
        <v/>
      </c>
      <c r="B137" s="50" t="str" cm="1">
        <f t="array" aca="1" ref="B137" ca="1">IF($K137="","",_xlfn.LET(
_xlpm._fullName,IF($L137="",SUBSTITUTE(SUBSTITUTE(INDIRECT($K137),CHAR(10)," "),"  "," "),$L137),
_xlpm._truncatedName,IF(LEN(_xlpm._fullName)&gt;250,LEFT(_xlpm._fullName,250)&amp;"[…]",_xlpm._fullName),
HYPERLINK("#'"&amp;$E137&amp;"'!"&amp;$F137&amp;$G137,
_xlpm._truncatedName)))</f>
        <v>Prerequisites</v>
      </c>
      <c r="C137" s="10" t="s">
        <v>652</v>
      </c>
      <c r="D137" s="10"/>
      <c r="E137" s="9" t="str">
        <f t="shared" ca="1" si="25"/>
        <v>Countermeasures</v>
      </c>
      <c r="F137" s="9" t="str">
        <f t="shared" ca="1" si="26"/>
        <v>I</v>
      </c>
      <c r="G137" s="9" t="str">
        <f t="shared" ca="1" si="27"/>
        <v>2</v>
      </c>
      <c r="H137" s="9" cm="1">
        <f t="array" aca="1" ref="H137" ca="1">CreateID($H$35,$E137&lt;&gt;INDEX($E:$E,ROW()-1))</f>
        <v>7</v>
      </c>
      <c r="I137" s="9" t="str" cm="1">
        <f t="array" aca="1" ref="I137" ca="1">INDIRECT($K137)</f>
        <v>Prerequisites</v>
      </c>
      <c r="K137" s="2" t="str" cm="1">
        <f t="array" aca="1" ref="K137" ca="1">CELL("address",OFFSET(Countermeasures!$A$2,0,ROW()-ROW($K$129)))</f>
        <v>'[QuBA-libre.xlsx]Countermeasures'!$I$2</v>
      </c>
    </row>
    <row r="138" spans="1:11" ht="60" outlineLevel="1" x14ac:dyDescent="0.25">
      <c r="A138" s="10" t="str" cm="1">
        <f t="array" aca="1" ref="A138" ca="1">IF(INDEX($H:$H,ROW()-1)&lt;&gt;$H138,$E138,"")</f>
        <v/>
      </c>
      <c r="B138" s="50" t="str" cm="1">
        <f t="array" aca="1" ref="B138" ca="1">IF($K138="","",_xlfn.LET(
_xlpm._fullName,IF($L138="",SUBSTITUTE(SUBSTITUTE(INDIRECT($K138),CHAR(10)," "),"  "," "),$L138),
_xlpm._truncatedName,IF(LEN(_xlpm._fullName)&gt;250,LEFT(_xlpm._fullName,250)&amp;"[…]",_xlpm._fullName),
HYPERLINK("#'"&amp;$E138&amp;"'!"&amp;$F138&amp;$G138,
_xlpm._truncatedName)))</f>
        <v>DSTs</v>
      </c>
      <c r="C138" s="10" t="s">
        <v>1123</v>
      </c>
      <c r="D138" s="10" t="s">
        <v>1124</v>
      </c>
      <c r="E138" s="9" t="str">
        <f t="shared" ca="1" si="25"/>
        <v>Countermeasures</v>
      </c>
      <c r="F138" s="9" t="str">
        <f t="shared" ca="1" si="26"/>
        <v>J</v>
      </c>
      <c r="G138" s="9" t="str">
        <f t="shared" ca="1" si="27"/>
        <v>2</v>
      </c>
      <c r="H138" s="9" cm="1">
        <f t="array" aca="1" ref="H138" ca="1">CreateID($H$35,$E138&lt;&gt;INDEX($E:$E,ROW()-1))</f>
        <v>7</v>
      </c>
      <c r="I138" s="9" t="str" cm="1">
        <f t="array" aca="1" ref="I138" ca="1">INDIRECT($K138)</f>
        <v>DSTs</v>
      </c>
      <c r="K138" s="2" t="str" cm="1">
        <f t="array" aca="1" ref="K138" ca="1">CELL("address",OFFSET(Countermeasures!$A$2,0,ROW()-ROW($K$129)))</f>
        <v>'[QuBA-libre.xlsx]Countermeasures'!$J$2</v>
      </c>
    </row>
    <row r="139" spans="1:11" ht="75" outlineLevel="1" x14ac:dyDescent="0.25">
      <c r="A139" s="10" t="str" cm="1">
        <f t="array" aca="1" ref="A139" ca="1">IF(INDEX($H:$H,ROW()-1)&lt;&gt;$H139,$E139,"")</f>
        <v/>
      </c>
      <c r="B139" s="50" t="str" cm="1">
        <f t="array" aca="1" ref="B139" ca="1">IF($K139="","",_xlfn.LET(
_xlpm._fullName,IF($L139="",SUBSTITUTE(SUBSTITUTE(INDIRECT($K139),CHAR(10)," "),"  "," "),$L139),
_xlpm._truncatedName,IF(LEN(_xlpm._fullName)&gt;250,LEFT(_xlpm._fullName,250)&amp;"[…]",_xlpm._fullName),
HYPERLINK("#'"&amp;$E139&amp;"'!"&amp;$F139&amp;$G139,
_xlpm._truncatedName)))</f>
        <v>Damage Scenario Transformation</v>
      </c>
      <c r="C139" s="10" t="s">
        <v>1127</v>
      </c>
      <c r="D139" s="10"/>
      <c r="E139" s="9" t="str">
        <f t="shared" ca="1" si="25"/>
        <v>Countermeasures</v>
      </c>
      <c r="F139" s="9" t="str">
        <f t="shared" ca="1" si="26"/>
        <v>K</v>
      </c>
      <c r="G139" s="9" t="str">
        <f t="shared" ca="1" si="27"/>
        <v>2</v>
      </c>
      <c r="H139" s="9" cm="1">
        <f t="array" aca="1" ref="H139" ca="1">CreateID($H$35,$E139&lt;&gt;INDEX($E:$E,ROW()-1))</f>
        <v>7</v>
      </c>
      <c r="I139" s="9" t="str" cm="1">
        <f t="array" aca="1" ref="I139" ca="1">INDIRECT($K139)</f>
        <v>Damage Scenario Transformation</v>
      </c>
      <c r="K139" s="2" t="str" cm="1">
        <f t="array" aca="1" ref="K139" ca="1">CELL("address",OFFSET(Countermeasures!$A$2,0,ROW()-ROW($K$129)))</f>
        <v>'[QuBA-libre.xlsx]Countermeasures'!$K$2</v>
      </c>
    </row>
    <row r="140" spans="1:11" outlineLevel="1" x14ac:dyDescent="0.25">
      <c r="A140" s="10" t="str" cm="1">
        <f t="array" aca="1" ref="A140" ca="1">IF(INDEX($H:$H,ROW()-1)&lt;&gt;$H140,$E140,"")</f>
        <v/>
      </c>
      <c r="B140" s="50" t="str" cm="1">
        <f t="array" aca="1" ref="B140" ca="1">IF($K140="","",_xlfn.LET(
_xlpm._fullName,IF($L140="",SUBSTITUTE(SUBSTITUTE(INDIRECT($K140),CHAR(10)," "),"  "," "),$L140),
_xlpm._truncatedName,IF(LEN(_xlpm._fullName)&gt;250,LEFT(_xlpm._fullName,250)&amp;"[…]",_xlpm._fullName),
HYPERLINK("#'"&amp;$E140&amp;"'!"&amp;$F140&amp;$G140,
_xlpm._truncatedName)))</f>
        <v>Elapsed Time</v>
      </c>
      <c r="C140" s="10" t="s">
        <v>653</v>
      </c>
      <c r="D140" s="10"/>
      <c r="E140" s="9" t="str">
        <f t="shared" ca="1" si="25"/>
        <v>Countermeasures</v>
      </c>
      <c r="F140" s="9" t="str">
        <f t="shared" ca="1" si="26"/>
        <v>L</v>
      </c>
      <c r="G140" s="9" t="str">
        <f t="shared" ca="1" si="27"/>
        <v>2</v>
      </c>
      <c r="H140" s="9" cm="1">
        <f t="array" aca="1" ref="H140" ca="1">CreateID($H$35,$E140&lt;&gt;INDEX($E:$E,ROW()-1))</f>
        <v>7</v>
      </c>
      <c r="I140" s="9" t="str" cm="1">
        <f t="array" aca="1" ref="I140" ca="1">INDIRECT($K140)</f>
        <v>Elapsed Time</v>
      </c>
      <c r="K140" s="2" t="str" cm="1">
        <f t="array" aca="1" ref="K140" ca="1">CELL("address",OFFSET(Countermeasures!$A$2,0,ROW()-ROW($K$129)))</f>
        <v>'[QuBA-libre.xlsx]Countermeasures'!$L$2</v>
      </c>
    </row>
    <row r="141" spans="1:11" outlineLevel="1" x14ac:dyDescent="0.25">
      <c r="A141" s="10" t="str" cm="1">
        <f t="array" aca="1" ref="A141" ca="1">IF(INDEX($H:$H,ROW()-1)&lt;&gt;$H141,$E141,"")</f>
        <v/>
      </c>
      <c r="B141" s="50" t="str" cm="1">
        <f t="array" aca="1" ref="B141" ca="1">IF($K141="","",_xlfn.LET(
_xlpm._fullName,IF($L141="",SUBSTITUTE(SUBSTITUTE(INDIRECT($K141),CHAR(10)," "),"  "," "),$L141),
_xlpm._truncatedName,IF(LEN(_xlpm._fullName)&gt;250,LEFT(_xlpm._fullName,250)&amp;"[…]",_xlpm._fullName),
HYPERLINK("#'"&amp;$E141&amp;"'!"&amp;$F141&amp;$G141,
_xlpm._truncatedName)))</f>
        <v>Expertise</v>
      </c>
      <c r="C141" s="10" t="s">
        <v>654</v>
      </c>
      <c r="D141" s="10"/>
      <c r="E141" s="9" t="str">
        <f t="shared" ca="1" si="25"/>
        <v>Countermeasures</v>
      </c>
      <c r="F141" s="9" t="str">
        <f t="shared" ca="1" si="26"/>
        <v>M</v>
      </c>
      <c r="G141" s="9" t="str">
        <f t="shared" ca="1" si="27"/>
        <v>2</v>
      </c>
      <c r="H141" s="9" cm="1">
        <f t="array" aca="1" ref="H141" ca="1">CreateID($H$35,$E141&lt;&gt;INDEX($E:$E,ROW()-1))</f>
        <v>7</v>
      </c>
      <c r="I141" s="9" t="str" cm="1">
        <f t="array" aca="1" ref="I141" ca="1">INDIRECT($K141)</f>
        <v>Expertise</v>
      </c>
      <c r="K141" s="2" t="str" cm="1">
        <f t="array" aca="1" ref="K141" ca="1">CELL("address",OFFSET(Countermeasures!$A$2,0,ROW()-ROW($K$129)))</f>
        <v>'[QuBA-libre.xlsx]Countermeasures'!$M$2</v>
      </c>
    </row>
    <row r="142" spans="1:11" outlineLevel="1" x14ac:dyDescent="0.25">
      <c r="A142" s="10" t="str" cm="1">
        <f t="array" aca="1" ref="A142" ca="1">IF(INDEX($H:$H,ROW()-1)&lt;&gt;$H142,$E142,"")</f>
        <v/>
      </c>
      <c r="B142" s="50" t="str" cm="1">
        <f t="array" aca="1" ref="B142" ca="1">IF($K142="","",_xlfn.LET(
_xlpm._fullName,IF($L142="",SUBSTITUTE(SUBSTITUTE(INDIRECT($K142),CHAR(10)," "),"  "," "),$L142),
_xlpm._truncatedName,IF(LEN(_xlpm._fullName)&gt;250,LEFT(_xlpm._fullName,250)&amp;"[…]",_xlpm._fullName),
HYPERLINK("#'"&amp;$E142&amp;"'!"&amp;$F142&amp;$G142,
_xlpm._truncatedName)))</f>
        <v>Knowledge of TOE</v>
      </c>
      <c r="C142" s="10" t="s">
        <v>655</v>
      </c>
      <c r="D142" s="10"/>
      <c r="E142" s="9" t="str">
        <f t="shared" ca="1" si="25"/>
        <v>Countermeasures</v>
      </c>
      <c r="F142" s="9" t="str">
        <f t="shared" ca="1" si="26"/>
        <v>N</v>
      </c>
      <c r="G142" s="9" t="str">
        <f t="shared" ca="1" si="27"/>
        <v>2</v>
      </c>
      <c r="H142" s="9" cm="1">
        <f t="array" aca="1" ref="H142" ca="1">CreateID($H$35,$E142&lt;&gt;INDEX($E:$E,ROW()-1))</f>
        <v>7</v>
      </c>
      <c r="I142" s="9" t="str" cm="1">
        <f t="array" aca="1" ref="I142" ca="1">INDIRECT($K142)</f>
        <v>Knowledge of TOE</v>
      </c>
      <c r="K142" s="2" t="str" cm="1">
        <f t="array" aca="1" ref="K142" ca="1">CELL("address",OFFSET(Countermeasures!$A$2,0,ROW()-ROW($K$129)))</f>
        <v>'[QuBA-libre.xlsx]Countermeasures'!$N$2</v>
      </c>
    </row>
    <row r="143" spans="1:11" ht="30" outlineLevel="1" x14ac:dyDescent="0.25">
      <c r="A143" s="10" t="str" cm="1">
        <f t="array" aca="1" ref="A143" ca="1">IF(INDEX($H:$H,ROW()-1)&lt;&gt;$H143,$E143,"")</f>
        <v/>
      </c>
      <c r="B143" s="50" t="str" cm="1">
        <f t="array" aca="1" ref="B143" ca="1">IF($K143="","",_xlfn.LET(
_xlpm._fullName,IF($L143="",SUBSTITUTE(SUBSTITUTE(INDIRECT($K143),CHAR(10)," "),"  "," "),$L143),
_xlpm._truncatedName,IF(LEN(_xlpm._fullName)&gt;250,LEFT(_xlpm._fullName,250)&amp;"[…]",_xlpm._fullName),
HYPERLINK("#'"&amp;$E143&amp;"'!"&amp;$F143&amp;$G143,
_xlpm._truncatedName)))</f>
        <v>Window of Opportunity</v>
      </c>
      <c r="C143" s="10" t="s">
        <v>656</v>
      </c>
      <c r="D143" s="10"/>
      <c r="E143" s="9" t="str">
        <f t="shared" ca="1" si="25"/>
        <v>Countermeasures</v>
      </c>
      <c r="F143" s="9" t="str">
        <f t="shared" ca="1" si="26"/>
        <v>O</v>
      </c>
      <c r="G143" s="9" t="str">
        <f t="shared" ca="1" si="27"/>
        <v>2</v>
      </c>
      <c r="H143" s="9" cm="1">
        <f t="array" aca="1" ref="H143" ca="1">CreateID($H$35,$E143&lt;&gt;INDEX($E:$E,ROW()-1))</f>
        <v>7</v>
      </c>
      <c r="I143" s="9" t="str" cm="1">
        <f t="array" aca="1" ref="I143" ca="1">INDIRECT($K143)</f>
        <v>Window of Opportunity</v>
      </c>
      <c r="K143" s="2" t="str" cm="1">
        <f t="array" aca="1" ref="K143" ca="1">CELL("address",OFFSET(Countermeasures!$A$2,0,ROW()-ROW($K$129)))</f>
        <v>'[QuBA-libre.xlsx]Countermeasures'!$O$2</v>
      </c>
    </row>
    <row r="144" spans="1:11" outlineLevel="1" x14ac:dyDescent="0.25">
      <c r="A144" s="10" t="str" cm="1">
        <f t="array" aca="1" ref="A144" ca="1">IF(INDEX($H:$H,ROW()-1)&lt;&gt;$H144,$E144,"")</f>
        <v/>
      </c>
      <c r="B144" s="50" t="str" cm="1">
        <f t="array" aca="1" ref="B144" ca="1">IF($K144="","",_xlfn.LET(
_xlpm._fullName,IF($L144="",SUBSTITUTE(SUBSTITUTE(INDIRECT($K144),CHAR(10)," "),"  "," "),$L144),
_xlpm._truncatedName,IF(LEN(_xlpm._fullName)&gt;250,LEFT(_xlpm._fullName,250)&amp;"[…]",_xlpm._fullName),
HYPERLINK("#'"&amp;$E144&amp;"'!"&amp;$F144&amp;$G144,
_xlpm._truncatedName)))</f>
        <v>Equipment</v>
      </c>
      <c r="C144" s="10" t="s">
        <v>657</v>
      </c>
      <c r="D144" s="10"/>
      <c r="E144" s="9" t="str">
        <f t="shared" ca="1" si="25"/>
        <v>Countermeasures</v>
      </c>
      <c r="F144" s="9" t="str">
        <f t="shared" ca="1" si="26"/>
        <v>P</v>
      </c>
      <c r="G144" s="9" t="str">
        <f t="shared" ca="1" si="27"/>
        <v>2</v>
      </c>
      <c r="H144" s="9" cm="1">
        <f t="array" aca="1" ref="H144" ca="1">CreateID($H$35,$E144&lt;&gt;INDEX($E:$E,ROW()-1))</f>
        <v>7</v>
      </c>
      <c r="I144" s="9" t="str" cm="1">
        <f t="array" aca="1" ref="I144" ca="1">INDIRECT($K144)</f>
        <v>Equipment</v>
      </c>
      <c r="K144" s="2" t="str" cm="1">
        <f t="array" aca="1" ref="K144" ca="1">CELL("address",OFFSET(Countermeasures!$A$2,0,ROW()-ROW($K$129)))</f>
        <v>'[QuBA-libre.xlsx]Countermeasures'!$P$2</v>
      </c>
    </row>
    <row r="145" spans="1:11" outlineLevel="1" x14ac:dyDescent="0.25">
      <c r="A145" s="10" t="str" cm="1">
        <f t="array" aca="1" ref="A145" ca="1">IF(INDEX($H:$H,ROW()-1)&lt;&gt;$H145,$E145,"")</f>
        <v/>
      </c>
      <c r="B145" s="50" t="str" cm="1">
        <f t="array" aca="1" ref="B145" ca="1">IF($K145="","",_xlfn.LET(
_xlpm._fullName,IF($L145="",SUBSTITUTE(SUBSTITUTE(INDIRECT($K145),CHAR(10)," "),"  "," "),$L145),
_xlpm._truncatedName,IF(LEN(_xlpm._fullName)&gt;250,LEFT(_xlpm._fullName,250)&amp;"[…]",_xlpm._fullName),
HYPERLINK("#'"&amp;$E145&amp;"'!"&amp;$F145&amp;$G145,
_xlpm._truncatedName)))</f>
        <v>RAP</v>
      </c>
      <c r="C145" s="10" t="s">
        <v>648</v>
      </c>
      <c r="D145" s="10"/>
      <c r="E145" s="9" t="str">
        <f t="shared" ca="1" si="25"/>
        <v>Countermeasures</v>
      </c>
      <c r="F145" s="9" t="str">
        <f t="shared" ca="1" si="26"/>
        <v>Q</v>
      </c>
      <c r="G145" s="9" t="str">
        <f t="shared" ca="1" si="27"/>
        <v>2</v>
      </c>
      <c r="H145" s="9" cm="1">
        <f t="array" aca="1" ref="H145" ca="1">CreateID($H$35,$E145&lt;&gt;INDEX($E:$E,ROW()-1))</f>
        <v>7</v>
      </c>
      <c r="I145" s="9" t="str" cm="1">
        <f t="array" aca="1" ref="I145" ca="1">INDIRECT($K145)</f>
        <v>RAP</v>
      </c>
      <c r="K145" s="2" t="str" cm="1">
        <f t="array" aca="1" ref="K145" ca="1">CELL("address",OFFSET(Countermeasures!$A$2,0,ROW()-ROW($K$129)))</f>
        <v>'[QuBA-libre.xlsx]Countermeasures'!$Q$2</v>
      </c>
    </row>
    <row r="146" spans="1:11" ht="30" outlineLevel="1" x14ac:dyDescent="0.25">
      <c r="A146" s="10" t="str" cm="1">
        <f t="array" aca="1" ref="A146" ca="1">IF(INDEX($H:$H,ROW()-1)&lt;&gt;$H146,$E146,"")</f>
        <v/>
      </c>
      <c r="B146" s="50" t="str" cm="1">
        <f t="array" aca="1" ref="B146" ca="1">IF($K146="","",_xlfn.LET(
_xlpm._fullName,IF($L146="",SUBSTITUTE(SUBSTITUTE(INDIRECT($K146),CHAR(10)," "),"  "," "),$L146),
_xlpm._truncatedName,IF(LEN(_xlpm._fullName)&gt;250,LEFT(_xlpm._fullName,250)&amp;"[…]",_xlpm._fullName),
HYPERLINK("#'"&amp;$E146&amp;"'!"&amp;$F146&amp;$G146,
_xlpm._truncatedName)))</f>
        <v>Mapping to CRA, Annex I (1.2)</v>
      </c>
      <c r="C146" s="10" t="s">
        <v>1457</v>
      </c>
      <c r="D146" s="10"/>
      <c r="E146" s="9" t="str">
        <f t="shared" ca="1" si="25"/>
        <v>Countermeasures</v>
      </c>
      <c r="F146" s="9" t="str">
        <f t="shared" ca="1" si="26"/>
        <v>R</v>
      </c>
      <c r="G146" s="9" t="str">
        <f t="shared" ca="1" si="27"/>
        <v>2</v>
      </c>
      <c r="H146" s="9" cm="1">
        <f t="array" aca="1" ref="H146" ca="1">CreateID($H$35,$E146&lt;&gt;INDEX($E:$E,ROW()-1))</f>
        <v>7</v>
      </c>
      <c r="I146" s="9" t="str" cm="1">
        <f t="array" aca="1" ref="I146" ca="1">INDIRECT($K146)</f>
        <v>Mapping to CRA, Annex I (1.2)</v>
      </c>
      <c r="K146" s="2" t="str" cm="1">
        <f t="array" aca="1" ref="K146" ca="1">CELL("address",OFFSET(Countermeasures!$A$2,0,ROW()-ROW($K$129)))</f>
        <v>'[QuBA-libre.xlsx]Countermeasures'!$R$2</v>
      </c>
    </row>
    <row r="147" spans="1:11" ht="30" outlineLevel="1" x14ac:dyDescent="0.25">
      <c r="A147" s="10" t="str" cm="1">
        <f t="array" aca="1" ref="A147" ca="1">IF(INDEX($H:$H,ROW()-1)&lt;&gt;$H147,$E147,"")</f>
        <v/>
      </c>
      <c r="B147" s="50" t="str" cm="1">
        <f t="array" aca="1" ref="B147" ca="1">IF($K147="","",_xlfn.LET(
_xlpm._fullName,IF($L147="",SUBSTITUTE(SUBSTITUTE(INDIRECT($K147),CHAR(10)," "),"  "," "),$L147),
_xlpm._truncatedName,IF(LEN(_xlpm._fullName)&gt;250,LEFT(_xlpm._fullName,250)&amp;"[…]",_xlpm._fullName),
HYPERLINK("#'"&amp;$E147&amp;"'!"&amp;$F147&amp;$G147,
_xlpm._truncatedName)))</f>
        <v>Reference</v>
      </c>
      <c r="C147" s="10" t="s">
        <v>1483</v>
      </c>
      <c r="D147" s="10"/>
      <c r="E147" s="9" t="str">
        <f t="shared" ca="1" si="25"/>
        <v>Countermeasures</v>
      </c>
      <c r="F147" s="9" t="str">
        <f t="shared" ca="1" si="26"/>
        <v>S</v>
      </c>
      <c r="G147" s="9" t="str">
        <f t="shared" ca="1" si="27"/>
        <v>2</v>
      </c>
      <c r="H147" s="9" cm="1">
        <f t="array" aca="1" ref="H147" ca="1">CreateID($H$35,$E147&lt;&gt;INDEX($E:$E,ROW()-1))</f>
        <v>7</v>
      </c>
      <c r="I147" s="9" t="str" cm="1">
        <f t="array" aca="1" ref="I147" ca="1">INDIRECT($K147)</f>
        <v>Reference</v>
      </c>
      <c r="K147" s="2" t="str" cm="1">
        <f t="array" aca="1" ref="K147" ca="1">CELL("address",OFFSET(Countermeasures!$A$2,0,ROW()-ROW($K$129)))</f>
        <v>'[QuBA-libre.xlsx]Countermeasures'!$S$2</v>
      </c>
    </row>
    <row r="148" spans="1:11" outlineLevel="1" x14ac:dyDescent="0.25">
      <c r="A148" s="10" t="str" cm="1">
        <f t="array" aca="1" ref="A148" ca="1">IF(INDEX($H:$H,ROW()-1)&lt;&gt;$H148,$E148,"")</f>
        <v/>
      </c>
      <c r="B148" s="50" t="str" cm="1">
        <f t="array" aca="1" ref="B148" ca="1">IF($K148="","",_xlfn.LET(
_xlpm._fullName,IF($L148="",SUBSTITUTE(SUBSTITUTE(INDIRECT($K148),CHAR(10)," "),"  "," "),$L148),
_xlpm._truncatedName,IF(LEN(_xlpm._fullName)&gt;250,LEFT(_xlpm._fullName,250)&amp;"[…]",_xlpm._fullName),
HYPERLINK("#'"&amp;$E148&amp;"'!"&amp;$F148&amp;$G148,
_xlpm._truncatedName)))</f>
        <v>Comment</v>
      </c>
      <c r="C148" s="10" t="s">
        <v>638</v>
      </c>
      <c r="D148" s="10"/>
      <c r="E148" s="9" t="str">
        <f t="shared" ca="1" si="25"/>
        <v>Countermeasures</v>
      </c>
      <c r="F148" s="9" t="str">
        <f t="shared" ca="1" si="26"/>
        <v>T</v>
      </c>
      <c r="G148" s="9" t="str">
        <f t="shared" ca="1" si="27"/>
        <v>2</v>
      </c>
      <c r="H148" s="9" cm="1">
        <f t="array" aca="1" ref="H148" ca="1">CreateID($H$35,$E148&lt;&gt;INDEX($E:$E,ROW()-1))</f>
        <v>7</v>
      </c>
      <c r="I148" s="9" t="str" cm="1">
        <f t="array" aca="1" ref="I148" ca="1">INDIRECT($K148)</f>
        <v>Comment</v>
      </c>
      <c r="K148" s="2" t="str" cm="1">
        <f t="array" aca="1" ref="K148" ca="1">CELL("address",OFFSET(Countermeasures!$A$2,0,ROW()-ROW($K$129)))</f>
        <v>'[QuBA-libre.xlsx]Countermeasures'!$T$2</v>
      </c>
    </row>
    <row r="149" spans="1:11" x14ac:dyDescent="0.25">
      <c r="A149" s="72" t="str" cm="1">
        <f t="array" aca="1" ref="A149" ca="1">IF(INDEX($H:$H,ROW()-1)&lt;&gt;$H149,$E149,"")</f>
        <v>Documentation</v>
      </c>
      <c r="B149" s="50" t="str" cm="1">
        <f t="array" aca="1" ref="B149" ca="1">IF($K149="","",_xlfn.LET(
_xlpm._fullName,IF($L149="",SUBSTITUTE(SUBSTITUTE(INDIRECT($K149),CHAR(10)," "),"  "," "),$L149),
_xlpm._truncatedName,IF(LEN(_xlpm._fullName)&gt;250,LEFT(_xlpm._fullName,250)&amp;"[…]",_xlpm._fullName),
HYPERLINK("#'"&amp;$E149&amp;"'!"&amp;$F149&amp;$G149,
_xlpm._truncatedName)))</f>
        <v>Target of Evaluation</v>
      </c>
      <c r="C149" s="10" t="s">
        <v>659</v>
      </c>
      <c r="D149" s="10"/>
      <c r="E149" s="9" t="str">
        <f t="shared" ref="E149:E171" ca="1" si="28">IF($K149="","",_xlfn.LET(
_xlpm._in,$K149,
_xlpm._start,FIND("]",_xlpm._in)+1,
SUBSTITUTE(MID(_xlpm._in,_xlpm._start,FIND("!",_xlpm._in)-_xlpm._start),"'","")))</f>
        <v>Documentation</v>
      </c>
      <c r="F149" s="9" t="str">
        <f t="shared" ref="F149:F171" ca="1" si="29">IF($K149="","",_xlfn.LET(
_xlpm._in,SUBSTITUTE($K149,"$","§",1),
_xlpm._start,FIND("§",_xlpm._in)+1,
SUBSTITUTE(MID(_xlpm._in,_xlpm._start,FIND("$",_xlpm._in)-_xlpm._start),"'","")))</f>
        <v>B</v>
      </c>
      <c r="G149" s="9" t="str">
        <f t="shared" ref="G149:G171" ca="1" si="30">IF($K149="","",RIGHT($K149,LEN($K149)-FIND("$",SUBSTITUTE($K149,"$","§",1))))</f>
        <v>2</v>
      </c>
      <c r="H149" s="9" cm="1">
        <f t="array" aca="1" ref="H149" ca="1">CreateID($H$35,$E149&lt;&gt;INDEX($E:$E,ROW()-1))</f>
        <v>8</v>
      </c>
      <c r="I149" s="9" t="str" cm="1">
        <f t="array" aca="1" ref="I149" ca="1">INDIRECT($K149)</f>
        <v>Target of Evaluation</v>
      </c>
      <c r="K149" s="2" t="str" cm="1">
        <f t="array" aca="1" ref="K149" ca="1">CELL("address",Documentation!B2)</f>
        <v>'[QuBA-libre.xlsx]Documentation'!$B$2</v>
      </c>
    </row>
    <row r="150" spans="1:11" outlineLevel="1" x14ac:dyDescent="0.25">
      <c r="A150" s="10" t="str" cm="1">
        <f t="array" aca="1" ref="A150" ca="1">IF(INDEX($H:$H,ROW()-1)&lt;&gt;$H150,$E150,"")</f>
        <v/>
      </c>
      <c r="B150" s="50" t="str" cm="1">
        <f t="array" aca="1" ref="B150" ca="1">IF($K150="","",_xlfn.LET(
_xlpm._fullName,IF($L150="",SUBSTITUTE(SUBSTITUTE(INDIRECT($K150),CHAR(10)," "),"  "," "),$L150),
_xlpm._truncatedName,IF(LEN(_xlpm._fullName)&gt;250,LEFT(_xlpm._fullName,250)&amp;"[…]",_xlpm._fullName),
HYPERLINK("#'"&amp;$E150&amp;"'!"&amp;$F150&amp;$G150,
_xlpm._truncatedName)))</f>
        <v>Author</v>
      </c>
      <c r="C150" s="10" t="s">
        <v>660</v>
      </c>
      <c r="D150" s="10"/>
      <c r="E150" s="9" t="str">
        <f t="shared" ca="1" si="28"/>
        <v>Documentation</v>
      </c>
      <c r="F150" s="9" t="str">
        <f t="shared" ca="1" si="29"/>
        <v>B</v>
      </c>
      <c r="G150" s="9" t="str">
        <f t="shared" ca="1" si="30"/>
        <v>4</v>
      </c>
      <c r="H150" s="9" cm="1">
        <f t="array" aca="1" ref="H150" ca="1">CreateID($H$35,$E150&lt;&gt;INDEX($E:$E,ROW()-1))</f>
        <v>8</v>
      </c>
      <c r="I150" s="9" t="str" cm="1">
        <f t="array" aca="1" ref="I150" ca="1">INDIRECT($K150)</f>
        <v>Author</v>
      </c>
      <c r="K150" s="2" t="str" cm="1">
        <f t="array" aca="1" ref="K150" ca="1">CELL("address",Documentation!B4)</f>
        <v>'[QuBA-libre.xlsx]Documentation'!$B$4</v>
      </c>
    </row>
    <row r="151" spans="1:11" outlineLevel="1" x14ac:dyDescent="0.25">
      <c r="A151" s="10" t="str" cm="1">
        <f t="array" aca="1" ref="A151" ca="1">IF(INDEX($H:$H,ROW()-1)&lt;&gt;$H151,$E151,"")</f>
        <v/>
      </c>
      <c r="B151" s="50" t="str" cm="1">
        <f t="array" aca="1" ref="B151" ca="1">IF($K151="","",_xlfn.LET(
_xlpm._fullName,IF($L151="",SUBSTITUTE(SUBSTITUTE(INDIRECT($K151),CHAR(10)," "),"  "," "),$L151),
_xlpm._truncatedName,IF(LEN(_xlpm._fullName)&gt;250,LEFT(_xlpm._fullName,250)&amp;"[…]",_xlpm._fullName),
HYPERLINK("#'"&amp;$E151&amp;"'!"&amp;$F151&amp;$G151,
_xlpm._truncatedName)))</f>
        <v>PM Contact</v>
      </c>
      <c r="C151" s="10" t="s">
        <v>1714</v>
      </c>
      <c r="D151" s="10"/>
      <c r="E151" s="9" t="str">
        <f t="shared" ca="1" si="28"/>
        <v>Documentation</v>
      </c>
      <c r="F151" s="9" t="str">
        <f t="shared" ca="1" si="29"/>
        <v>B</v>
      </c>
      <c r="G151" s="9" t="str">
        <f t="shared" ca="1" si="30"/>
        <v>6</v>
      </c>
      <c r="H151" s="9" cm="1">
        <f t="array" aca="1" ref="H151" ca="1">CreateID($H$35,$E151&lt;&gt;INDEX($E:$E,ROW()-1))</f>
        <v>8</v>
      </c>
      <c r="I151" s="9" t="str" cm="1">
        <f t="array" aca="1" ref="I151" ca="1">INDIRECT($K151)</f>
        <v>PM Contact</v>
      </c>
      <c r="K151" s="2" t="str" cm="1">
        <f t="array" aca="1" ref="K151" ca="1">CELL("address",Documentation!B6)</f>
        <v>'[QuBA-libre.xlsx]Documentation'!$B$6</v>
      </c>
    </row>
    <row r="152" spans="1:11" outlineLevel="1" x14ac:dyDescent="0.25">
      <c r="A152" s="10" t="str" cm="1">
        <f t="array" aca="1" ref="A152" ca="1">IF(INDEX($H:$H,ROW()-1)&lt;&gt;$H152,$E152,"")</f>
        <v/>
      </c>
      <c r="B152" s="50" t="str" cm="1">
        <f t="array" aca="1" ref="B152" ca="1">IF($K152="","",_xlfn.LET(
_xlpm._fullName,IF($L152="",SUBSTITUTE(SUBSTITUTE(INDIRECT($K152),CHAR(10)," "),"  "," "),$L152),
_xlpm._truncatedName,IF(LEN(_xlpm._fullName)&gt;250,LEFT(_xlpm._fullName,250)&amp;"[…]",_xlpm._fullName),
HYPERLINK("#'"&amp;$E152&amp;"'!"&amp;$F152&amp;$G152,
_xlpm._truncatedName)))</f>
        <v>RD Contact</v>
      </c>
      <c r="C152" s="10" t="s">
        <v>1715</v>
      </c>
      <c r="D152" s="10"/>
      <c r="E152" s="9" t="str">
        <f t="shared" ref="E152:E154" ca="1" si="31">IF($K152="","",_xlfn.LET(
_xlpm._in,$K152,
_xlpm._start,FIND("]",_xlpm._in)+1,
SUBSTITUTE(MID(_xlpm._in,_xlpm._start,FIND("!",_xlpm._in)-_xlpm._start),"'","")))</f>
        <v>Documentation</v>
      </c>
      <c r="F152" s="9" t="str">
        <f t="shared" ref="F152:F154" ca="1" si="32">IF($K152="","",_xlfn.LET(
_xlpm._in,SUBSTITUTE($K152,"$","§",1),
_xlpm._start,FIND("§",_xlpm._in)+1,
SUBSTITUTE(MID(_xlpm._in,_xlpm._start,FIND("$",_xlpm._in)-_xlpm._start),"'","")))</f>
        <v>B</v>
      </c>
      <c r="G152" s="9" t="str">
        <f t="shared" ref="G152:G154" ca="1" si="33">IF($K152="","",RIGHT($K152,LEN($K152)-FIND("$",SUBSTITUTE($K152,"$","§",1))))</f>
        <v>8</v>
      </c>
      <c r="H152" s="9" cm="1">
        <f t="array" aca="1" ref="H152" ca="1">CreateID($H$35,$E152&lt;&gt;INDEX($E:$E,ROW()-1))</f>
        <v>8</v>
      </c>
      <c r="I152" s="9" t="str" cm="1">
        <f t="array" aca="1" ref="I152" ca="1">INDIRECT($K152)</f>
        <v>RD Contact</v>
      </c>
      <c r="K152" s="2" t="str" cm="1">
        <f t="array" aca="1" ref="K152" ca="1">CELL("address",Documentation!B8)</f>
        <v>'[QuBA-libre.xlsx]Documentation'!$B$8</v>
      </c>
    </row>
    <row r="153" spans="1:11" outlineLevel="1" x14ac:dyDescent="0.25">
      <c r="A153" s="10" t="str" cm="1">
        <f t="array" aca="1" ref="A153" ca="1">IF(INDEX($H:$H,ROW()-1)&lt;&gt;$H153,$E153,"")</f>
        <v/>
      </c>
      <c r="B153" s="50" t="str" cm="1">
        <f t="array" aca="1" ref="B153" ca="1">IF($K153="","",_xlfn.LET(
_xlpm._fullName,IF($L153="",SUBSTITUTE(SUBSTITUTE(INDIRECT($K153),CHAR(10)," "),"  "," "),$L153),
_xlpm._truncatedName,IF(LEN(_xlpm._fullName)&gt;250,LEFT(_xlpm._fullName,250)&amp;"[…]",_xlpm._fullName),
HYPERLINK("#'"&amp;$E153&amp;"'!"&amp;$F153&amp;$G153,
_xlpm._truncatedName)))</f>
        <v>CSS</v>
      </c>
      <c r="C153" s="10" t="s">
        <v>1702</v>
      </c>
      <c r="D153" s="10"/>
      <c r="E153" s="9" t="str">
        <f t="shared" ca="1" si="31"/>
        <v>Documentation</v>
      </c>
      <c r="F153" s="9" t="str">
        <f t="shared" ca="1" si="32"/>
        <v>B</v>
      </c>
      <c r="G153" s="9" t="str">
        <f t="shared" ca="1" si="33"/>
        <v>10</v>
      </c>
      <c r="H153" s="9" cm="1">
        <f t="array" aca="1" ref="H153" ca="1">CreateID($H$35,$E153&lt;&gt;INDEX($E:$E,ROW()-1))</f>
        <v>8</v>
      </c>
      <c r="I153" s="9" t="str" cm="1">
        <f t="array" aca="1" ref="I153" ca="1">INDIRECT($K153)</f>
        <v>CSS</v>
      </c>
      <c r="K153" s="2" t="str" cm="1">
        <f t="array" aca="1" ref="K153" ca="1">CELL("address",Documentation!B10)</f>
        <v>'[QuBA-libre.xlsx]Documentation'!$B$10</v>
      </c>
    </row>
    <row r="154" spans="1:11" ht="30" outlineLevel="1" x14ac:dyDescent="0.25">
      <c r="A154" s="10" t="str" cm="1">
        <f t="array" aca="1" ref="A154" ca="1">IF(INDEX($H:$H,ROW()-1)&lt;&gt;$H154,$E154,"")</f>
        <v/>
      </c>
      <c r="B154" s="50" t="str" cm="1">
        <f t="array" aca="1" ref="B154" ca="1">IF($K154="","",_xlfn.LET(
_xlpm._fullName,IF($L154="",SUBSTITUTE(SUBSTITUTE(INDIRECT($K154),CHAR(10)," "),"  "," "),$L154),
_xlpm._truncatedName,IF(LEN(_xlpm._fullName)&gt;250,LEFT(_xlpm._fullName,250)&amp;"[…]",_xlpm._fullName),
HYPERLINK("#'"&amp;$E154&amp;"'!"&amp;$F154&amp;$G154,
_xlpm._truncatedName)))</f>
        <v>CSTS</v>
      </c>
      <c r="C154" s="10" t="s">
        <v>1703</v>
      </c>
      <c r="D154" s="10"/>
      <c r="E154" s="9" t="str">
        <f t="shared" ca="1" si="31"/>
        <v>Documentation</v>
      </c>
      <c r="F154" s="9" t="str">
        <f t="shared" ca="1" si="32"/>
        <v>B</v>
      </c>
      <c r="G154" s="9" t="str">
        <f t="shared" ca="1" si="33"/>
        <v>12</v>
      </c>
      <c r="H154" s="9" cm="1">
        <f t="array" aca="1" ref="H154" ca="1">CreateID($H$35,$E154&lt;&gt;INDEX($E:$E,ROW()-1))</f>
        <v>8</v>
      </c>
      <c r="I154" s="9" t="str" cm="1">
        <f t="array" aca="1" ref="I154" ca="1">INDIRECT($K154)</f>
        <v>CSTS</v>
      </c>
      <c r="K154" s="2" t="str" cm="1">
        <f t="array" aca="1" ref="K154" ca="1">CELL("address",Documentation!B12)</f>
        <v>'[QuBA-libre.xlsx]Documentation'!$B$12</v>
      </c>
    </row>
    <row r="155" spans="1:11" outlineLevel="1" x14ac:dyDescent="0.25">
      <c r="A155" s="10" t="str" cm="1">
        <f t="array" aca="1" ref="A155" ca="1">IF(INDEX($H:$H,ROW()-1)&lt;&gt;$H155,$E155,"")</f>
        <v/>
      </c>
      <c r="B155" s="50" t="str" cm="1">
        <f t="array" aca="1" ref="B155" ca="1">IF($K155="","",_xlfn.LET(
_xlpm._fullName,IF($L155="",SUBSTITUTE(SUBSTITUTE(INDIRECT($K155),CHAR(10)," "),"  "," "),$L155),
_xlpm._truncatedName,IF(LEN(_xlpm._fullName)&gt;250,LEFT(_xlpm._fullName,250)&amp;"[…]",_xlpm._fullName),
HYPERLINK("#'"&amp;$E155&amp;"'!"&amp;$F155&amp;$G155,
_xlpm._truncatedName)))</f>
        <v>Template Release</v>
      </c>
      <c r="C155" s="10" t="s">
        <v>1200</v>
      </c>
      <c r="D155" s="10"/>
      <c r="E155" s="9" t="str">
        <f ca="1">IF($K155="","",_xlfn.LET(
_xlpm._in,$K155,
_xlpm._start,FIND("]",_xlpm._in)+1,
SUBSTITUTE(MID(_xlpm._in,_xlpm._start,FIND("!",_xlpm._in)-_xlpm._start),"'","")))</f>
        <v>Documentation</v>
      </c>
      <c r="F155" s="9" t="str">
        <f ca="1">IF($K155="","",_xlfn.LET(
_xlpm._in,SUBSTITUTE($K155,"$","§",1),
_xlpm._start,FIND("§",_xlpm._in)+1,
SUBSTITUTE(MID(_xlpm._in,_xlpm._start,FIND("$",_xlpm._in)-_xlpm._start),"'","")))</f>
        <v>B</v>
      </c>
      <c r="G155" s="9" t="str">
        <f ca="1">IF($K155="","",RIGHT($K155,LEN($K155)-FIND("$",SUBSTITUTE($K155,"$","§",1))))</f>
        <v>14</v>
      </c>
      <c r="H155" s="9" cm="1">
        <f t="array" aca="1" ref="H155" ca="1">CreateID($H$35,$E155&lt;&gt;INDEX($E:$E,ROW()-1))</f>
        <v>8</v>
      </c>
      <c r="I155" s="9" t="str" cm="1">
        <f t="array" aca="1" ref="I155" ca="1">INDIRECT($K155)</f>
        <v>Template Release</v>
      </c>
      <c r="K155" s="2" t="str" cm="1">
        <f t="array" aca="1" ref="K155" ca="1">CELL("address",Documentation!B14)</f>
        <v>'[QuBA-libre.xlsx]Documentation'!$B$14</v>
      </c>
    </row>
    <row r="156" spans="1:11" ht="45" outlineLevel="1" x14ac:dyDescent="0.25">
      <c r="A156" s="10" t="str" cm="1">
        <f t="array" aca="1" ref="A156" ca="1">IF(INDEX($H:$H,ROW()-1)&lt;&gt;$H156,$E156,"")</f>
        <v/>
      </c>
      <c r="B156" s="50" t="str" cm="1">
        <f t="array" aca="1" ref="B156" ca="1">IF($K156="","",_xlfn.LET(
_xlpm._fullName,IF($L156="",SUBSTITUTE(SUBSTITUTE(INDIRECT($K156),CHAR(10)," "),"  "," "),$L156),
_xlpm._truncatedName,IF(LEN(_xlpm._fullName)&gt;250,LEFT(_xlpm._fullName,250)&amp;"[…]",_xlpm._fullName),
HYPERLINK("#'"&amp;$E156&amp;"'!"&amp;$F156&amp;$G156,
_xlpm._truncatedName)))</f>
        <v>QuBA Change History</v>
      </c>
      <c r="C156" s="10" t="s">
        <v>661</v>
      </c>
      <c r="D156" s="10" t="s">
        <v>1201</v>
      </c>
      <c r="E156" s="9" t="str">
        <f t="shared" ca="1" si="28"/>
        <v>Documentation</v>
      </c>
      <c r="F156" s="9" t="str">
        <f t="shared" ca="1" si="29"/>
        <v>B</v>
      </c>
      <c r="G156" s="9" t="str">
        <f t="shared" ca="1" si="30"/>
        <v>16</v>
      </c>
      <c r="H156" s="9" cm="1">
        <f t="array" aca="1" ref="H156" ca="1">CreateID($H$35,$E156&lt;&gt;INDEX($E:$E,ROW()-1))</f>
        <v>8</v>
      </c>
      <c r="I156" s="9" t="str" cm="1">
        <f t="array" aca="1" ref="I156" ca="1">INDIRECT($K156)</f>
        <v>QuBA Change History</v>
      </c>
      <c r="K156" s="2" t="str" cm="1">
        <f t="array" aca="1" ref="K156" ca="1">CELL("address",Documentation!B16)</f>
        <v>'[QuBA-libre.xlsx]Documentation'!$B$16</v>
      </c>
    </row>
    <row r="157" spans="1:11" ht="30" outlineLevel="1" x14ac:dyDescent="0.25">
      <c r="A157" s="10" t="str" cm="1">
        <f t="array" aca="1" ref="A157" ca="1">IF(INDEX($H:$H,ROW()-1)&lt;&gt;$H157,$E157,"")</f>
        <v/>
      </c>
      <c r="B157" s="50" t="str" cm="1">
        <f t="array" aca="1" ref="B157" ca="1">IF($K157="","",_xlfn.LET(
_xlpm._fullName,IF($L157="",SUBSTITUTE(SUBSTITUTE(INDIRECT($K157),CHAR(10)," "),"  "," "),$L157),
_xlpm._truncatedName,IF(LEN(_xlpm._fullName)&gt;250,LEFT(_xlpm._fullName,250)&amp;"[…]",_xlpm._fullName),
HYPERLINK("#'"&amp;$E157&amp;"'!"&amp;$F157&amp;$G157,
_xlpm._truncatedName)))</f>
        <v>Illustration / photos of the product, including component / data flow / sequence diagrams, if available.</v>
      </c>
      <c r="C157" s="10" t="s">
        <v>1475</v>
      </c>
      <c r="D157" s="10"/>
      <c r="E157" s="9" t="str">
        <f ca="1">IF($K157="","",_xlfn.LET(
_xlpm._in,$K157,
_xlpm._start,FIND("]",_xlpm._in)+1,
SUBSTITUTE(MID(_xlpm._in,_xlpm._start,FIND("!",_xlpm._in)-_xlpm._start),"'","")))</f>
        <v>Documentation</v>
      </c>
      <c r="F157" s="9" t="str">
        <f ca="1">IF($K157="","",_xlfn.LET(
_xlpm._in,SUBSTITUTE($K157,"$","§",1),
_xlpm._start,FIND("§",_xlpm._in)+1,
SUBSTITUTE(MID(_xlpm._in,_xlpm._start,FIND("$",_xlpm._in)-_xlpm._start),"'","")))</f>
        <v>B</v>
      </c>
      <c r="G157" s="9" t="str">
        <f ca="1">IF($K157="","",RIGHT($K157,LEN($K157)-FIND("$",SUBSTITUTE($K157,"$","§",1))))</f>
        <v>25</v>
      </c>
      <c r="H157" s="9" cm="1">
        <f t="array" aca="1" ref="H157" ca="1">CreateID($H$35,$E157&lt;&gt;INDEX($E:$E,ROW()-1))</f>
        <v>8</v>
      </c>
      <c r="I157" s="9" t="str" cm="1">
        <f t="array" aca="1" ref="I157" ca="1">INDIRECT($K157)</f>
        <v>Illustration / photos of the product, including component / data flow / sequence diagrams, if available.</v>
      </c>
      <c r="K157" s="2" t="str" cm="1">
        <f t="array" aca="1" ref="K157" ca="1">CELL("address",Documentation!B25)</f>
        <v>'[QuBA-libre.xlsx]Documentation'!$B$25</v>
      </c>
    </row>
    <row r="158" spans="1:11" outlineLevel="1" x14ac:dyDescent="0.25">
      <c r="A158" s="10" t="str" cm="1">
        <f t="array" aca="1" ref="A158" ca="1">IF(INDEX($H:$H,ROW()-1)&lt;&gt;$H158,$E158,"")</f>
        <v/>
      </c>
      <c r="B158" s="50" t="str" cm="1">
        <f t="array" aca="1" ref="B158" ca="1">IF($K158="","",_xlfn.LET(
_xlpm._fullName,IF($L158="",SUBSTITUTE(SUBSTITUTE(INDIRECT($K158),CHAR(10)," "),"  "," "),$L158),
_xlpm._truncatedName,IF(LEN(_xlpm._fullName)&gt;250,LEFT(_xlpm._fullName,250)&amp;"[…]",_xlpm._fullName),
HYPERLINK("#'"&amp;$E158&amp;"'!"&amp;$F158&amp;$G158,
_xlpm._truncatedName)))</f>
        <v>Description of the TOE (Target of Evaluation)</v>
      </c>
      <c r="C158" s="10" t="s">
        <v>1138</v>
      </c>
      <c r="D158" s="10" t="s">
        <v>1716</v>
      </c>
      <c r="E158" s="9" t="str">
        <f ca="1">IF($K158="","",_xlfn.LET(
_xlpm._in,$K158,
_xlpm._start,FIND("]",_xlpm._in)+1,
SUBSTITUTE(MID(_xlpm._in,_xlpm._start,FIND("!",_xlpm._in)-_xlpm._start),"'","")))</f>
        <v>Documentation</v>
      </c>
      <c r="F158" s="9" t="str">
        <f ca="1">IF($K158="","",_xlfn.LET(
_xlpm._in,SUBSTITUTE($K158,"$","§",1),
_xlpm._start,FIND("§",_xlpm._in)+1,
SUBSTITUTE(MID(_xlpm._in,_xlpm._start,FIND("$",_xlpm._in)-_xlpm._start),"'","")))</f>
        <v>G</v>
      </c>
      <c r="G158" s="9" t="str">
        <f ca="1">IF($K158="","",RIGHT($K158,LEN($K158)-FIND("$",SUBSTITUTE($K158,"$","§",1))))</f>
        <v>2</v>
      </c>
      <c r="H158" s="9" cm="1">
        <f t="array" aca="1" ref="H158" ca="1">CreateID($H$35,$E158&lt;&gt;INDEX($E:$E,ROW()-1))</f>
        <v>8</v>
      </c>
      <c r="I158" s="9" t="str" cm="1">
        <f t="array" aca="1" ref="I158" ca="1">INDIRECT($K158)</f>
        <v>Description of the TOE (Target of Evaluation)</v>
      </c>
      <c r="K158" s="2" t="str" cm="1">
        <f t="array" aca="1" ref="K158" ca="1">CELL("address",Documentation!G2)</f>
        <v>'[QuBA-libre.xlsx]Documentation'!$G$2</v>
      </c>
    </row>
    <row r="159" spans="1:11" ht="30" x14ac:dyDescent="0.25">
      <c r="A159" s="72" t="str" cm="1">
        <f t="array" aca="1" ref="A159" ca="1">IF(INDEX($H:$H,ROW()-1)&lt;&gt;$H159,$E159,"")</f>
        <v>Questionnaire</v>
      </c>
      <c r="B159" s="50" t="str" cm="1">
        <f t="array" aca="1" ref="B159" ca="1">IF($K159="","",_xlfn.LET(
_xlpm._fullName,IF($L159="",SUBSTITUTE(SUBSTITUTE(INDIRECT($K159),CHAR(10)," "),"  "," "),$L159),
_xlpm._truncatedName,IF(LEN(_xlpm._fullName)&gt;250,LEFT(_xlpm._fullName,250)&amp;"[…]",_xlpm._fullName),
HYPERLINK("#'"&amp;$E159&amp;"'!"&amp;$F159&amp;$G159,
_xlpm._truncatedName)))</f>
        <v>ID</v>
      </c>
      <c r="C159" s="10" t="s">
        <v>1020</v>
      </c>
      <c r="D159" s="10"/>
      <c r="E159" s="9" t="str">
        <f t="shared" ca="1" si="28"/>
        <v>Questionnaire</v>
      </c>
      <c r="F159" s="9" t="str">
        <f t="shared" ca="1" si="29"/>
        <v>B</v>
      </c>
      <c r="G159" s="9" t="str">
        <f t="shared" ca="1" si="30"/>
        <v>2</v>
      </c>
      <c r="H159" s="9" cm="1">
        <f t="array" aca="1" ref="H159" ca="1">CreateID($H$35,$E159&lt;&gt;INDEX($E:$E,ROW()-1))</f>
        <v>9</v>
      </c>
      <c r="I159" s="9" t="str" cm="1">
        <f t="array" aca="1" ref="I159" ca="1">INDIRECT($K159)</f>
        <v>ID</v>
      </c>
      <c r="K159" s="2" t="str" cm="1">
        <f t="array" aca="1" ref="K159" ca="1">CELL("address",OFFSET(Questionnaire!$B$2,0,ROW()-ROW($K$159)))</f>
        <v>'[QuBA-libre.xlsx]Questionnaire'!$B$2</v>
      </c>
    </row>
    <row r="160" spans="1:11" ht="75" outlineLevel="1" x14ac:dyDescent="0.25">
      <c r="A160" s="10" t="str" cm="1">
        <f t="array" aca="1" ref="A160" ca="1">IF(INDEX($H:$H,ROW()-1)&lt;&gt;$H160,$E160,"")</f>
        <v/>
      </c>
      <c r="B160" s="50" t="str" cm="1">
        <f t="array" aca="1" ref="B160" ca="1">IF($K160="","",_xlfn.LET(
_xlpm._fullName,IF($L160="",SUBSTITUTE(SUBSTITUTE(INDIRECT($K160),CHAR(10)," "),"  "," "),$L160),
_xlpm._truncatedName,IF(LEN(_xlpm._fullName)&gt;250,LEFT(_xlpm._fullName,250)&amp;"[…]",_xlpm._fullName),
HYPERLINK("#'"&amp;$E160&amp;"'!"&amp;$F160&amp;$G160,
_xlpm._truncatedName)))</f>
        <v>Question</v>
      </c>
      <c r="C160" s="10" t="s">
        <v>1128</v>
      </c>
      <c r="D160" s="10" t="s">
        <v>1129</v>
      </c>
      <c r="E160" s="9" t="str">
        <f t="shared" ca="1" si="28"/>
        <v>Questionnaire</v>
      </c>
      <c r="F160" s="9" t="str">
        <f t="shared" ca="1" si="29"/>
        <v>C</v>
      </c>
      <c r="G160" s="9" t="str">
        <f t="shared" ca="1" si="30"/>
        <v>2</v>
      </c>
      <c r="H160" s="9" cm="1">
        <f t="array" aca="1" ref="H160" ca="1">CreateID($H$35,$E160&lt;&gt;INDEX($E:$E,ROW()-1))</f>
        <v>9</v>
      </c>
      <c r="I160" s="9" t="str" cm="1">
        <f t="array" aca="1" ref="I160" ca="1">INDIRECT($K160)</f>
        <v>Question</v>
      </c>
      <c r="K160" s="2" t="str" cm="1">
        <f t="array" aca="1" ref="K160" ca="1">CELL("address",OFFSET(Questionnaire!$B$2,0,ROW()-ROW($K$159)))</f>
        <v>'[QuBA-libre.xlsx]Questionnaire'!$C$2</v>
      </c>
    </row>
    <row r="161" spans="1:11" ht="30" outlineLevel="1" x14ac:dyDescent="0.25">
      <c r="A161" s="10" t="str" cm="1">
        <f t="array" aca="1" ref="A161" ca="1">IF(INDEX($H:$H,ROW()-1)&lt;&gt;$H161,$E161,"")</f>
        <v/>
      </c>
      <c r="B161" s="50" t="str" cm="1">
        <f t="array" aca="1" ref="B161" ca="1">IF($K161="","",_xlfn.LET(
_xlpm._fullName,IF($L161="",SUBSTITUTE(SUBSTITUTE(INDIRECT($K161),CHAR(10)," "),"  "," "),$L161),
_xlpm._truncatedName,IF(LEN(_xlpm._fullName)&gt;250,LEFT(_xlpm._fullName,250)&amp;"[…]",_xlpm._fullName),
HYPERLINK("#'"&amp;$E161&amp;"'!"&amp;$F161&amp;$G161,
_xlpm._truncatedName)))</f>
        <v>Answer 1</v>
      </c>
      <c r="C161" s="10" t="s">
        <v>673</v>
      </c>
      <c r="D161" s="10"/>
      <c r="E161" s="9" t="str">
        <f t="shared" ca="1" si="28"/>
        <v>Questionnaire</v>
      </c>
      <c r="F161" s="9" t="str">
        <f t="shared" ca="1" si="29"/>
        <v>D</v>
      </c>
      <c r="G161" s="9" t="str">
        <f t="shared" ca="1" si="30"/>
        <v>2</v>
      </c>
      <c r="H161" s="9" cm="1">
        <f t="array" aca="1" ref="H161" ca="1">CreateID($H$35,$E161&lt;&gt;INDEX($E:$E,ROW()-1))</f>
        <v>9</v>
      </c>
      <c r="I161" s="9" t="str" cm="1">
        <f t="array" aca="1" ref="I161" ca="1">INDIRECT($K161)</f>
        <v>Answer 1</v>
      </c>
      <c r="K161" s="2" t="str" cm="1">
        <f t="array" aca="1" ref="K161" ca="1">CELL("address",OFFSET(Questionnaire!$B$2,0,ROW()-ROW($K$159)))</f>
        <v>'[QuBA-libre.xlsx]Questionnaire'!$D$2</v>
      </c>
    </row>
    <row r="162" spans="1:11" ht="30" outlineLevel="1" x14ac:dyDescent="0.25">
      <c r="A162" s="10" t="str" cm="1">
        <f t="array" aca="1" ref="A162" ca="1">IF(INDEX($H:$H,ROW()-1)&lt;&gt;$H162,$E162,"")</f>
        <v/>
      </c>
      <c r="B162" s="50" t="str" cm="1">
        <f t="array" aca="1" ref="B162" ca="1">IF($K162="","",_xlfn.LET(
_xlpm._fullName,IF($L162="",SUBSTITUTE(SUBSTITUTE(INDIRECT($K162),CHAR(10)," "),"  "," "),$L162),
_xlpm._truncatedName,IF(LEN(_xlpm._fullName)&gt;250,LEFT(_xlpm._fullName,250)&amp;"[…]",_xlpm._fullName),
HYPERLINK("#'"&amp;$E162&amp;"'!"&amp;$F162&amp;$G162,
_xlpm._truncatedName)))</f>
        <v>Additional Question</v>
      </c>
      <c r="C162" s="10" t="s">
        <v>666</v>
      </c>
      <c r="D162" s="10"/>
      <c r="E162" s="9" t="str">
        <f t="shared" ca="1" si="28"/>
        <v>Questionnaire</v>
      </c>
      <c r="F162" s="9" t="str">
        <f t="shared" ca="1" si="29"/>
        <v>E</v>
      </c>
      <c r="G162" s="9" t="str">
        <f t="shared" ca="1" si="30"/>
        <v>2</v>
      </c>
      <c r="H162" s="9" cm="1">
        <f t="array" aca="1" ref="H162" ca="1">CreateID($H$35,$E162&lt;&gt;INDEX($E:$E,ROW()-1))</f>
        <v>9</v>
      </c>
      <c r="I162" s="9" t="str" cm="1">
        <f t="array" aca="1" ref="I162" ca="1">INDIRECT($K162)</f>
        <v>Additional Question</v>
      </c>
      <c r="K162" s="2" t="str" cm="1">
        <f t="array" aca="1" ref="K162" ca="1">CELL("address",OFFSET(Questionnaire!$B$2,0,ROW()-ROW($K$159)))</f>
        <v>'[QuBA-libre.xlsx]Questionnaire'!$E$2</v>
      </c>
    </row>
    <row r="163" spans="1:11" ht="45" outlineLevel="1" x14ac:dyDescent="0.25">
      <c r="A163" s="10" t="str" cm="1">
        <f t="array" aca="1" ref="A163" ca="1">IF(INDEX($H:$H,ROW()-1)&lt;&gt;$H163,$E163,"")</f>
        <v/>
      </c>
      <c r="B163" s="50" t="str" cm="1">
        <f t="array" aca="1" ref="B163" ca="1">IF($K163="","",_xlfn.LET(
_xlpm._fullName,IF($L163="",SUBSTITUTE(SUBSTITUTE(INDIRECT($K163),CHAR(10)," "),"  "," "),$L163),
_xlpm._truncatedName,IF(LEN(_xlpm._fullName)&gt;250,LEFT(_xlpm._fullName,250)&amp;"[…]",_xlpm._fullName),
HYPERLINK("#'"&amp;$E163&amp;"'!"&amp;$F163&amp;$G163,
_xlpm._truncatedName)))</f>
        <v>Answer 2</v>
      </c>
      <c r="C163" s="10" t="s">
        <v>667</v>
      </c>
      <c r="D163" s="10"/>
      <c r="E163" s="9" t="str">
        <f t="shared" ca="1" si="28"/>
        <v>Questionnaire</v>
      </c>
      <c r="F163" s="9" t="str">
        <f t="shared" ca="1" si="29"/>
        <v>F</v>
      </c>
      <c r="G163" s="9" t="str">
        <f t="shared" ca="1" si="30"/>
        <v>2</v>
      </c>
      <c r="H163" s="9" cm="1">
        <f t="array" aca="1" ref="H163" ca="1">CreateID($H$35,$E163&lt;&gt;INDEX($E:$E,ROW()-1))</f>
        <v>9</v>
      </c>
      <c r="I163" s="9" t="str" cm="1">
        <f t="array" aca="1" ref="I163" ca="1">INDIRECT($K163)</f>
        <v>Answer 2</v>
      </c>
      <c r="K163" s="2" t="str" cm="1">
        <f t="array" aca="1" ref="K163" ca="1">CELL("address",OFFSET(Questionnaire!$B$2,0,ROW()-ROW($K$159)))</f>
        <v>'[QuBA-libre.xlsx]Questionnaire'!$F$2</v>
      </c>
    </row>
    <row r="164" spans="1:11" ht="75" outlineLevel="1" x14ac:dyDescent="0.25">
      <c r="A164" s="10" t="str" cm="1">
        <f t="array" aca="1" ref="A164" ca="1">IF(INDEX($H:$H,ROW()-1)&lt;&gt;$H164,$E164,"")</f>
        <v/>
      </c>
      <c r="B164" s="50" t="str" cm="1">
        <f t="array" aca="1" ref="B164" ca="1">IF($K164="","",_xlfn.LET(
_xlpm._fullName,IF($L164="",SUBSTITUTE(SUBSTITUTE(INDIRECT($K164),CHAR(10)," "),"  "," "),$L164),
_xlpm._truncatedName,IF(LEN(_xlpm._fullName)&gt;250,LEFT(_xlpm._fullName,250)&amp;"[…]",_xlpm._fullName),
HYPERLINK("#'"&amp;$E164&amp;"'!"&amp;$F164&amp;$G164,
_xlpm._truncatedName)))</f>
        <v>Additional information and instructions</v>
      </c>
      <c r="C164" s="10" t="s">
        <v>668</v>
      </c>
      <c r="D164" s="10"/>
      <c r="E164" s="9" t="str">
        <f t="shared" ca="1" si="28"/>
        <v>Questionnaire</v>
      </c>
      <c r="F164" s="9" t="str">
        <f t="shared" ca="1" si="29"/>
        <v>G</v>
      </c>
      <c r="G164" s="9" t="str">
        <f t="shared" ca="1" si="30"/>
        <v>2</v>
      </c>
      <c r="H164" s="9" cm="1">
        <f t="array" aca="1" ref="H164" ca="1">CreateID($H$35,$E164&lt;&gt;INDEX($E:$E,ROW()-1))</f>
        <v>9</v>
      </c>
      <c r="I164" s="9" t="str" cm="1">
        <f t="array" aca="1" ref="I164" ca="1">INDIRECT($K164)</f>
        <v>Additional information and instructions</v>
      </c>
      <c r="K164" s="2" t="str" cm="1">
        <f t="array" aca="1" ref="K164" ca="1">CELL("address",OFFSET(Questionnaire!$B$2,0,ROW()-ROW($K$159)))</f>
        <v>'[QuBA-libre.xlsx]Questionnaire'!$G$2</v>
      </c>
    </row>
    <row r="165" spans="1:11" ht="105" outlineLevel="1" x14ac:dyDescent="0.25">
      <c r="A165" s="10" t="str" cm="1">
        <f t="array" aca="1" ref="A165" ca="1">IF(INDEX($H:$H,ROW()-1)&lt;&gt;$H165,$E165,"")</f>
        <v/>
      </c>
      <c r="B165" s="50" t="str" cm="1">
        <f t="array" aca="1" ref="B165" ca="1">IF($K165="","",_xlfn.LET(
_xlpm._fullName,IF($L165="",SUBSTITUTE(SUBSTITUTE(INDIRECT($K165),CHAR(10)," "),"  "," "),$L165),
_xlpm._truncatedName,IF(LEN(_xlpm._fullName)&gt;250,LEFT(_xlpm._fullName,250)&amp;"[…]",_xlpm._fullName),
HYPERLINK("#'"&amp;$E165&amp;"'!"&amp;$F165&amp;$G165,
_xlpm._truncatedName)))</f>
        <v>Rationale / provide details on the processed data</v>
      </c>
      <c r="C165" s="10" t="s">
        <v>1130</v>
      </c>
      <c r="D165" s="10" t="s">
        <v>1131</v>
      </c>
      <c r="E165" s="9" t="str">
        <f t="shared" ca="1" si="28"/>
        <v>Questionnaire</v>
      </c>
      <c r="F165" s="9" t="str">
        <f t="shared" ca="1" si="29"/>
        <v>H</v>
      </c>
      <c r="G165" s="9" t="str">
        <f t="shared" ca="1" si="30"/>
        <v>2</v>
      </c>
      <c r="H165" s="9" cm="1">
        <f t="array" aca="1" ref="H165" ca="1">CreateID($H$35,$E165&lt;&gt;INDEX($E:$E,ROW()-1))</f>
        <v>9</v>
      </c>
      <c r="I165" s="9" t="str" cm="1">
        <f t="array" aca="1" ref="I165" ca="1">INDIRECT($K165)</f>
        <v>Rationale / provide details on the processed data</v>
      </c>
      <c r="K165" s="2" t="str" cm="1">
        <f t="array" aca="1" ref="K165" ca="1">CELL("address",OFFSET(Questionnaire!$B$2,0,ROW()-ROW($K$159)))</f>
        <v>'[QuBA-libre.xlsx]Questionnaire'!$H$2</v>
      </c>
    </row>
    <row r="166" spans="1:11" ht="30" x14ac:dyDescent="0.25">
      <c r="A166" s="10" t="str" cm="1">
        <f t="array" aca="1" ref="A166" ca="1">IF(INDEX($H:$H,ROW()-1)&lt;&gt;$H166,$E166,"")</f>
        <v>DS Overview</v>
      </c>
      <c r="B166" s="50" t="str" cm="1">
        <f t="array" aca="1" ref="B166" ca="1">IF($K166="","",_xlfn.LET(
_xlpm._fullName,IF($L166="",SUBSTITUTE(SUBSTITUTE(INDIRECT($K166),CHAR(10)," "),"  "," "),$L166),
_xlpm._truncatedName,IF(LEN(_xlpm._fullName)&gt;250,LEFT(_xlpm._fullName,250)&amp;"[…]",_xlpm._fullName),
HYPERLINK("#'"&amp;$E166&amp;"'!"&amp;$F166&amp;$G166,
_xlpm._truncatedName)))</f>
        <v>ID</v>
      </c>
      <c r="C166" s="10" t="s">
        <v>679</v>
      </c>
      <c r="D166" s="10"/>
      <c r="E166" s="9" t="str">
        <f t="shared" ca="1" si="28"/>
        <v>DS Overview</v>
      </c>
      <c r="F166" s="9" t="str">
        <f t="shared" ca="1" si="29"/>
        <v>A</v>
      </c>
      <c r="G166" s="9" t="str">
        <f t="shared" ca="1" si="30"/>
        <v>2</v>
      </c>
      <c r="H166" s="9" cm="1">
        <f t="array" aca="1" ref="H166" ca="1">CreateID($H$35,$E166&lt;&gt;INDEX($E:$E,ROW()-1))</f>
        <v>10</v>
      </c>
      <c r="I166" s="9" t="str" cm="1">
        <f t="array" aca="1" ref="I166" ca="1">INDIRECT($K166)</f>
        <v>ID</v>
      </c>
      <c r="K166" s="2" t="str" cm="1">
        <f t="array" aca="1" ref="K166" ca="1">CELL("address",OFFSET('DS Overview'!$A$2,0,ROW()-ROW($K$166)))</f>
        <v>'[QuBA-libre.xlsx]DS Overview'!$A$2</v>
      </c>
    </row>
    <row r="167" spans="1:11" outlineLevel="1" x14ac:dyDescent="0.25">
      <c r="A167" s="10" t="str" cm="1">
        <f t="array" aca="1" ref="A167" ca="1">IF(INDEX($H:$H,ROW()-1)&lt;&gt;$H167,$E167,"")</f>
        <v/>
      </c>
      <c r="B167" s="50" t="str" cm="1">
        <f t="array" aca="1" ref="B167" ca="1">IF($K167="","",_xlfn.LET(
_xlpm._fullName,IF($L167="",SUBSTITUTE(SUBSTITUTE(INDIRECT($K167),CHAR(10)," "),"  "," "),$L167),
_xlpm._truncatedName,IF(LEN(_xlpm._fullName)&gt;250,LEFT(_xlpm._fullName,250)&amp;"[…]",_xlpm._fullName),
HYPERLINK("#'"&amp;$E167&amp;"'!"&amp;$F167&amp;$G167,
_xlpm._truncatedName)))</f>
        <v>Damage Scenario</v>
      </c>
      <c r="C167" s="10" t="s">
        <v>678</v>
      </c>
      <c r="D167" s="10"/>
      <c r="E167" s="9" t="str">
        <f t="shared" ca="1" si="28"/>
        <v>DS Overview</v>
      </c>
      <c r="F167" s="9" t="str">
        <f t="shared" ca="1" si="29"/>
        <v>B</v>
      </c>
      <c r="G167" s="9" t="str">
        <f t="shared" ca="1" si="30"/>
        <v>2</v>
      </c>
      <c r="H167" s="9" cm="1">
        <f t="array" aca="1" ref="H167" ca="1">CreateID($H$35,$E167&lt;&gt;INDEX($E:$E,ROW()-1))</f>
        <v>10</v>
      </c>
      <c r="I167" s="9" t="str" cm="1">
        <f t="array" aca="1" ref="I167" ca="1">INDIRECT($K167)</f>
        <v>Damage Scenario</v>
      </c>
      <c r="K167" s="2" t="str" cm="1">
        <f t="array" aca="1" ref="K167" ca="1">CELL("address",OFFSET('DS Overview'!$A$2,0,ROW()-ROW($K$166)))</f>
        <v>'[QuBA-libre.xlsx]DS Overview'!$B$2</v>
      </c>
    </row>
    <row r="168" spans="1:11" ht="45" outlineLevel="1" x14ac:dyDescent="0.25">
      <c r="A168" s="10" t="str" cm="1">
        <f t="array" aca="1" ref="A168" ca="1">IF(INDEX($H:$H,ROW()-1)&lt;&gt;$H168,$E168,"")</f>
        <v/>
      </c>
      <c r="B168" s="50" t="str" cm="1">
        <f t="array" aca="1" ref="B168" ca="1">IF($K168="","",_xlfn.LET(
_xlpm._fullName,IF($L168="",SUBSTITUTE(SUBSTITUTE(INDIRECT($K168),CHAR(10)," "),"  "," "),$L168),
_xlpm._truncatedName,IF(LEN(_xlpm._fullName)&gt;250,LEFT(_xlpm._fullName,250)&amp;"[…]",_xlpm._fullName),
HYPERLINK("#'"&amp;$E168&amp;"'!"&amp;$F168&amp;$G168,
_xlpm._truncatedName)))</f>
        <v>Damage Level</v>
      </c>
      <c r="C168" s="10" t="s">
        <v>680</v>
      </c>
      <c r="D168" s="10"/>
      <c r="E168" s="9" t="str">
        <f t="shared" ca="1" si="28"/>
        <v>DS Overview</v>
      </c>
      <c r="F168" s="9" t="str">
        <f t="shared" ca="1" si="29"/>
        <v>C</v>
      </c>
      <c r="G168" s="9" t="str">
        <f t="shared" ca="1" si="30"/>
        <v>2</v>
      </c>
      <c r="H168" s="9" cm="1">
        <f t="array" aca="1" ref="H168" ca="1">CreateID($H$35,$E168&lt;&gt;INDEX($E:$E,ROW()-1))</f>
        <v>10</v>
      </c>
      <c r="I168" s="9" t="str" cm="1">
        <f t="array" aca="1" ref="I168" ca="1">INDIRECT($K168)</f>
        <v>Damage Level</v>
      </c>
      <c r="K168" s="2" t="str" cm="1">
        <f t="array" aca="1" ref="K168" ca="1">CELL("address",OFFSET('DS Overview'!$A$2,0,ROW()-ROW($K$166)))</f>
        <v>'[QuBA-libre.xlsx]DS Overview'!$C$2</v>
      </c>
    </row>
    <row r="169" spans="1:11" ht="30" outlineLevel="1" x14ac:dyDescent="0.25">
      <c r="A169" s="10" t="str" cm="1">
        <f t="array" aca="1" ref="A169" ca="1">IF(INDEX($H:$H,ROW()-1)&lt;&gt;$H169,$E169,"")</f>
        <v/>
      </c>
      <c r="B169" s="50" t="str" cm="1">
        <f t="array" aca="1" ref="B169" ca="1">IF($K169="","",_xlfn.LET(
_xlpm._fullName,IF($L169="",SUBSTITUTE(SUBSTITUTE(INDIRECT($K169),CHAR(10)," "),"  "," "),$L169),
_xlpm._truncatedName,IF(LEN(_xlpm._fullName)&gt;250,LEFT(_xlpm._fullName,250)&amp;"[…]",_xlpm._fullName),
HYPERLINK("#'"&amp;$E169&amp;"'!"&amp;$F169&amp;$G169,
_xlpm._truncatedName)))</f>
        <v>Related Questions and Answers / Explanation</v>
      </c>
      <c r="C169" s="10" t="s">
        <v>681</v>
      </c>
      <c r="D169" s="10"/>
      <c r="E169" s="9" t="str">
        <f t="shared" ca="1" si="28"/>
        <v>DS Overview</v>
      </c>
      <c r="F169" s="9" t="str">
        <f t="shared" ca="1" si="29"/>
        <v>D</v>
      </c>
      <c r="G169" s="9" t="str">
        <f t="shared" ca="1" si="30"/>
        <v>2</v>
      </c>
      <c r="H169" s="9" cm="1">
        <f t="array" aca="1" ref="H169" ca="1">CreateID($H$35,$E169&lt;&gt;INDEX($E:$E,ROW()-1))</f>
        <v>10</v>
      </c>
      <c r="I169" s="9" t="str" cm="1">
        <f t="array" aca="1" ref="I169" ca="1">INDIRECT($K169)</f>
        <v>Related Questions and Answers / Explanation</v>
      </c>
      <c r="K169" s="2" t="str" cm="1">
        <f t="array" aca="1" ref="K169" ca="1">CELL("address",OFFSET('DS Overview'!$A$2,0,ROW()-ROW($K$166)))</f>
        <v>'[QuBA-libre.xlsx]DS Overview'!$D$2</v>
      </c>
    </row>
    <row r="170" spans="1:11" ht="30" x14ac:dyDescent="0.25">
      <c r="A170" s="10" t="str" cm="1">
        <f t="array" aca="1" ref="A170" ca="1">IF(INDEX($H:$H,ROW()-1)&lt;&gt;$H170,$E170,"")</f>
        <v>Risks</v>
      </c>
      <c r="B170" s="50" t="str" cm="1">
        <f t="array" aca="1" ref="B170" ca="1">IF($K170="","",_xlfn.LET(
_xlpm._fullName,IF($L170="",SUBSTITUTE(SUBSTITUTE(INDIRECT($K170),CHAR(10)," "),"  "," "),$L170),
_xlpm._truncatedName,IF(LEN(_xlpm._fullName)&gt;250,LEFT(_xlpm._fullName,250)&amp;"[…]",_xlpm._fullName),
HYPERLINK("#'"&amp;$E170&amp;"'!"&amp;$F170&amp;$G170,
_xlpm._truncatedName)))</f>
        <v>R ID</v>
      </c>
      <c r="C170" s="10" t="s">
        <v>682</v>
      </c>
      <c r="D170" s="10"/>
      <c r="E170" s="9" t="str">
        <f t="shared" ca="1" si="28"/>
        <v>Risks</v>
      </c>
      <c r="F170" s="9" t="str">
        <f t="shared" ca="1" si="29"/>
        <v>A</v>
      </c>
      <c r="G170" s="9" t="str">
        <f t="shared" ca="1" si="30"/>
        <v>2</v>
      </c>
      <c r="H170" s="9" cm="1">
        <f t="array" aca="1" ref="H170" ca="1">CreateID($H$35,$E170&lt;&gt;INDEX($E:$E,ROW()-1))</f>
        <v>11</v>
      </c>
      <c r="I170" s="9" t="str" cm="1">
        <f t="array" aca="1" ref="I170" ca="1">INDIRECT($K170)</f>
        <v>R ID</v>
      </c>
      <c r="K170" s="2" t="str" cm="1">
        <f t="array" aca="1" ref="K170" ca="1">CELL("address",OFFSET(Risks!$A$2,0,ROW()-ROW($K$170)))</f>
        <v>'[QuBA-libre.xlsx]Risks'!$A$2</v>
      </c>
    </row>
    <row r="171" spans="1:11" ht="30" outlineLevel="1" x14ac:dyDescent="0.25">
      <c r="A171" s="10" t="str" cm="1">
        <f t="array" aca="1" ref="A171" ca="1">IF(INDEX($H:$H,ROW()-1)&lt;&gt;$H171,$E171,"")</f>
        <v/>
      </c>
      <c r="B171" s="50" t="str" cm="1">
        <f t="array" aca="1" ref="B171" ca="1">IF($K171="","",_xlfn.LET(
_xlpm._fullName,IF($L171="",SUBSTITUTE(SUBSTITUTE(INDIRECT($K171),CHAR(10)," "),"  "," "),$L171),
_xlpm._truncatedName,IF(LEN(_xlpm._fullName)&gt;250,LEFT(_xlpm._fullName,250)&amp;"[…]",_xlpm._fullName),
HYPERLINK("#'"&amp;$E171&amp;"'!"&amp;$F171&amp;$G171,
_xlpm._truncatedName)))</f>
        <v>Attack Path</v>
      </c>
      <c r="C171" s="10" t="s">
        <v>683</v>
      </c>
      <c r="D171" s="10"/>
      <c r="E171" s="9" t="str">
        <f t="shared" ca="1" si="28"/>
        <v>Risks</v>
      </c>
      <c r="F171" s="9" t="str">
        <f t="shared" ca="1" si="29"/>
        <v>B</v>
      </c>
      <c r="G171" s="9" t="str">
        <f t="shared" ca="1" si="30"/>
        <v>2</v>
      </c>
      <c r="H171" s="9" cm="1">
        <f t="array" aca="1" ref="H171" ca="1">CreateID($H$35,$E171&lt;&gt;INDEX($E:$E,ROW()-1))</f>
        <v>11</v>
      </c>
      <c r="I171" s="9" t="str" cm="1">
        <f t="array" aca="1" ref="I171" ca="1">INDIRECT($K171)</f>
        <v>Attack Path</v>
      </c>
      <c r="K171" s="2" t="str" cm="1">
        <f t="array" aca="1" ref="K171" ca="1">CELL("address",OFFSET(Risks!$A$2,0,ROW()-ROW($K$170)))</f>
        <v>'[QuBA-libre.xlsx]Risks'!$B$2</v>
      </c>
    </row>
    <row r="172" spans="1:11" ht="30" outlineLevel="1" x14ac:dyDescent="0.25">
      <c r="A172" s="10" t="str" cm="1">
        <f t="array" aca="1" ref="A172" ca="1">IF(INDEX($H:$H,ROW()-1)&lt;&gt;$H172,$E172,"")</f>
        <v/>
      </c>
      <c r="B172" s="50" t="str" cm="1">
        <f t="array" aca="1" ref="B172" ca="1">IF($K172="","",_xlfn.LET(
_xlpm._fullName,IF($L172="",SUBSTITUTE(SUBSTITUTE(INDIRECT($K172),CHAR(10)," "),"  "," "),$L172),
_xlpm._truncatedName,IF(LEN(_xlpm._fullName)&gt;250,LEFT(_xlpm._fullName,250)&amp;"[…]",_xlpm._fullName),
HYPERLINK("#'"&amp;$E172&amp;"'!"&amp;$F172&amp;$G172,
_xlpm._truncatedName)))</f>
        <v>Damage Scenarios</v>
      </c>
      <c r="C172" s="10" t="s">
        <v>684</v>
      </c>
      <c r="D172" s="10"/>
      <c r="E172" s="9" t="str">
        <f ca="1">IF($K172="","",_xlfn.LET(
_xlpm._in,$K172,
_xlpm._start,FIND("]",_xlpm._in)+1,
SUBSTITUTE(MID(_xlpm._in,_xlpm._start,FIND("!",_xlpm._in)-_xlpm._start),"'","")))</f>
        <v>Risks</v>
      </c>
      <c r="F172" s="9" t="str">
        <f ca="1">IF($K172="","",_xlfn.LET(
_xlpm._in,SUBSTITUTE($K172,"$","§",1),
_xlpm._start,FIND("§",_xlpm._in)+1,
SUBSTITUTE(MID(_xlpm._in,_xlpm._start,FIND("$",_xlpm._in)-_xlpm._start),"'","")))</f>
        <v>C</v>
      </c>
      <c r="G172" s="9" t="str">
        <f ca="1">IF($K172="","",RIGHT($K172,LEN($K172)-FIND("$",SUBSTITUTE($K172,"$","§",1))))</f>
        <v>2</v>
      </c>
      <c r="H172" s="9" cm="1">
        <f t="array" aca="1" ref="H172" ca="1">CreateID($H$35,$E172&lt;&gt;INDEX($E:$E,ROW()-1))</f>
        <v>11</v>
      </c>
      <c r="I172" s="9" t="str" cm="1">
        <f t="array" aca="1" ref="I172" ca="1">INDIRECT($K172)</f>
        <v>Damage Scenarios</v>
      </c>
      <c r="K172" s="2" t="str" cm="1">
        <f t="array" aca="1" ref="K172" ca="1">CELL("address",OFFSET(Risks!$A$2,0,ROW()-ROW($K$170)))</f>
        <v>'[QuBA-libre.xlsx]Risks'!$C$2</v>
      </c>
    </row>
    <row r="173" spans="1:11" outlineLevel="1" x14ac:dyDescent="0.25">
      <c r="A173" s="10" t="str" cm="1">
        <f t="array" aca="1" ref="A173" ca="1">IF(INDEX($H:$H,ROW()-1)&lt;&gt;$H173,$E173,"")</f>
        <v/>
      </c>
      <c r="B173" s="50" t="str" cm="1">
        <f t="array" aca="1" ref="B173" ca="1">IF($K173="","",_xlfn.LET(
_xlpm._fullName,IF($L173="",SUBSTITUTE(SUBSTITUTE(INDIRECT($K173),CHAR(10)," "),"  "," "),$L173),
_xlpm._truncatedName,IF(LEN(_xlpm._fullName)&gt;250,LEFT(_xlpm._fullName,250)&amp;"[…]",_xlpm._fullName),
HYPERLINK("#'"&amp;$E173&amp;"'!"&amp;$F173&amp;$G173,
_xlpm._truncatedName)))</f>
        <v>Damage Level</v>
      </c>
      <c r="C173" s="10" t="s">
        <v>685</v>
      </c>
      <c r="D173" s="10"/>
      <c r="E173" s="9" t="str">
        <f ca="1">IF($K173="","",_xlfn.LET(
_xlpm._in,$K173,
_xlpm._start,FIND("]",_xlpm._in)+1,
SUBSTITUTE(MID(_xlpm._in,_xlpm._start,FIND("!",_xlpm._in)-_xlpm._start),"'","")))</f>
        <v>Risks</v>
      </c>
      <c r="F173" s="9" t="str">
        <f ca="1">IF($K173="","",_xlfn.LET(
_xlpm._in,SUBSTITUTE($K173,"$","§",1),
_xlpm._start,FIND("§",_xlpm._in)+1,
SUBSTITUTE(MID(_xlpm._in,_xlpm._start,FIND("$",_xlpm._in)-_xlpm._start),"'","")))</f>
        <v>D</v>
      </c>
      <c r="G173" s="9" t="str">
        <f ca="1">IF($K173="","",RIGHT($K173,LEN($K173)-FIND("$",SUBSTITUTE($K173,"$","§",1))))</f>
        <v>2</v>
      </c>
      <c r="H173" s="9" cm="1">
        <f t="array" aca="1" ref="H173" ca="1">CreateID($H$35,$E173&lt;&gt;INDEX($E:$E,ROW()-1))</f>
        <v>11</v>
      </c>
      <c r="I173" s="9" t="str" cm="1">
        <f t="array" aca="1" ref="I173" ca="1">INDIRECT($K173)</f>
        <v>Damage Level</v>
      </c>
      <c r="K173" s="2" t="str" cm="1">
        <f t="array" aca="1" ref="K173" ca="1">CELL("address",OFFSET(Risks!$A$2,0,ROW()-ROW($K$170)))</f>
        <v>'[QuBA-libre.xlsx]Risks'!$D$2</v>
      </c>
    </row>
    <row r="174" spans="1:11" ht="45" outlineLevel="1" x14ac:dyDescent="0.25">
      <c r="A174" s="10" t="str" cm="1">
        <f t="array" aca="1" ref="A174" ca="1">IF(INDEX($H:$H,ROW()-1)&lt;&gt;$H174,$E174,"")</f>
        <v/>
      </c>
      <c r="B174" s="50" t="str" cm="1">
        <f t="array" aca="1" ref="B174" ca="1">IF($K174="","",_xlfn.LET(
_xlpm._fullName,IF($L174="",SUBSTITUTE(SUBSTITUTE(INDIRECT($K174),CHAR(10)," "),"  "," "),$L174),
_xlpm._truncatedName,IF(LEN(_xlpm._fullName)&gt;250,LEFT(_xlpm._fullName,250)&amp;"[…]",_xlpm._fullName),
HYPERLINK("#'"&amp;$E174&amp;"'!"&amp;$F174&amp;$G174,
_xlpm._truncatedName)))</f>
        <v xml:space="preserve">Factor Explanation </v>
      </c>
      <c r="C174" s="10" t="s">
        <v>699</v>
      </c>
      <c r="D174" s="10"/>
      <c r="E174" s="9" t="str">
        <f ca="1">IF($K174="","",_xlfn.LET(
_xlpm._in,$K174,
_xlpm._start,FIND("]",_xlpm._in)+1,
SUBSTITUTE(MID(_xlpm._in,_xlpm._start,FIND("!",_xlpm._in)-_xlpm._start),"'","")))</f>
        <v>Risks</v>
      </c>
      <c r="F174" s="9" t="str">
        <f ca="1">IF($K174="","",_xlfn.LET(
_xlpm._in,SUBSTITUTE($K174,"$","§",1),
_xlpm._start,FIND("§",_xlpm._in)+1,
SUBSTITUTE(MID(_xlpm._in,_xlpm._start,FIND("$",_xlpm._in)-_xlpm._start),"'","")))</f>
        <v>E</v>
      </c>
      <c r="G174" s="9" t="str">
        <f ca="1">IF($K174="","",RIGHT($K174,LEN($K174)-FIND("$",SUBSTITUTE($K174,"$","§",1))))</f>
        <v>2</v>
      </c>
      <c r="H174" s="9" cm="1">
        <f t="array" aca="1" ref="H174" ca="1">CreateID($H$35,$E174&lt;&gt;INDEX($E:$E,ROW()-1))</f>
        <v>11</v>
      </c>
      <c r="I174" s="9" t="str" cm="1">
        <f t="array" aca="1" ref="I174" ca="1">INDIRECT($K174)</f>
        <v xml:space="preserve">Factor Explanation </v>
      </c>
      <c r="K174" s="2" t="str" cm="1">
        <f t="array" aca="1" ref="K174" ca="1">CELL("address",OFFSET(Risks!$A$2,0,ROW()-ROW($K$170)))</f>
        <v>'[QuBA-libre.xlsx]Risks'!$E$2</v>
      </c>
    </row>
    <row r="175" spans="1:11" ht="45" outlineLevel="1" x14ac:dyDescent="0.25">
      <c r="A175" s="10" t="str" cm="1">
        <f t="array" aca="1" ref="A175" ca="1">IF(INDEX($H:$H,ROW()-1)&lt;&gt;$H175,$E175,"")</f>
        <v/>
      </c>
      <c r="B175" s="50" t="str" cm="1">
        <f t="array" aca="1" ref="B175" ca="1">IF($K175="","",_xlfn.LET(
_xlpm._fullName,IF($L175="",SUBSTITUTE(SUBSTITUTE(INDIRECT($K175),CHAR(10)," "),"  "," "),$L175),
_xlpm._truncatedName,IF(LEN(_xlpm._fullName)&gt;250,LEFT(_xlpm._fullName,250)&amp;"[…]",_xlpm._fullName),
HYPERLINK("#'"&amp;$E175&amp;"'!"&amp;$F175&amp;$G175,
_xlpm._truncatedName)))</f>
        <v>RAP</v>
      </c>
      <c r="C175" s="10" t="s">
        <v>686</v>
      </c>
      <c r="D175" s="10"/>
      <c r="E175" s="9" t="str">
        <f ca="1">IF($K175="","",_xlfn.LET(
_xlpm._in,$K175,
_xlpm._start,FIND("]",_xlpm._in)+1,
SUBSTITUTE(MID(_xlpm._in,_xlpm._start,FIND("!",_xlpm._in)-_xlpm._start),"'","")))</f>
        <v>Risks</v>
      </c>
      <c r="F175" s="9" t="str">
        <f ca="1">IF($K175="","",_xlfn.LET(
_xlpm._in,SUBSTITUTE($K175,"$","§",1),
_xlpm._start,FIND("§",_xlpm._in)+1,
SUBSTITUTE(MID(_xlpm._in,_xlpm._start,FIND("$",_xlpm._in)-_xlpm._start),"'","")))</f>
        <v>F</v>
      </c>
      <c r="G175" s="9" t="str">
        <f ca="1">IF($K175="","",RIGHT($K175,LEN($K175)-FIND("$",SUBSTITUTE($K175,"$","§",1))))</f>
        <v>2</v>
      </c>
      <c r="H175" s="9" cm="1">
        <f t="array" aca="1" ref="H175" ca="1">CreateID($H$35,$E175&lt;&gt;INDEX($E:$E,ROW()-1))</f>
        <v>11</v>
      </c>
      <c r="I175" s="9" t="str" cm="1">
        <f t="array" aca="1" ref="I175" ca="1">INDIRECT($K175)</f>
        <v>RAP</v>
      </c>
      <c r="K175" s="2" t="str" cm="1">
        <f t="array" aca="1" ref="K175" ca="1">CELL("address",OFFSET(Risks!$A$2,0,ROW()-ROW($K$170)))</f>
        <v>'[QuBA-libre.xlsx]Risks'!$F$2</v>
      </c>
    </row>
    <row r="176" spans="1:11" ht="30" outlineLevel="1" x14ac:dyDescent="0.25">
      <c r="A176" s="10" t="str" cm="1">
        <f t="array" aca="1" ref="A176" ca="1">IF(INDEX($H:$H,ROW()-1)&lt;&gt;$H176,$E176,"")</f>
        <v/>
      </c>
      <c r="B176" s="50" t="str" cm="1">
        <f t="array" aca="1" ref="B176" ca="1">IF($K176="","",_xlfn.LET(
_xlpm._fullName,IF($L176="",SUBSTITUTE(SUBSTITUTE(INDIRECT($K176),CHAR(10)," "),"  "," "),$L176),
_xlpm._truncatedName,IF(LEN(_xlpm._fullName)&gt;250,LEFT(_xlpm._fullName,250)&amp;"[…]",_xlpm._fullName),
HYPERLINK("#'"&amp;$E176&amp;"'!"&amp;$F176&amp;$G176,
_xlpm._truncatedName)))</f>
        <v>Risk Level</v>
      </c>
      <c r="C176" s="10" t="s">
        <v>709</v>
      </c>
      <c r="D176" s="10"/>
      <c r="E176" s="9" t="str">
        <f ca="1">IF($K176="","",_xlfn.LET(
_xlpm._in,$K176,
_xlpm._start,FIND("]",_xlpm._in)+1,
SUBSTITUTE(MID(_xlpm._in,_xlpm._start,FIND("!",_xlpm._in)-_xlpm._start),"'","")))</f>
        <v>Risks</v>
      </c>
      <c r="F176" s="9" t="str">
        <f ca="1">IF($K176="","",_xlfn.LET(
_xlpm._in,SUBSTITUTE($K176,"$","§",1),
_xlpm._start,FIND("§",_xlpm._in)+1,
SUBSTITUTE(MID(_xlpm._in,_xlpm._start,FIND("$",_xlpm._in)-_xlpm._start),"'","")))</f>
        <v>G</v>
      </c>
      <c r="G176" s="9" t="str">
        <f ca="1">IF($K176="","",RIGHT($K176,LEN($K176)-FIND("$",SUBSTITUTE($K176,"$","§",1))))</f>
        <v>2</v>
      </c>
      <c r="H176" s="9" cm="1">
        <f t="array" aca="1" ref="H176" ca="1">CreateID($H$35,$E176&lt;&gt;INDEX($E:$E,ROW()-1))</f>
        <v>11</v>
      </c>
      <c r="I176" s="9" t="str" cm="1">
        <f t="array" aca="1" ref="I176" ca="1">INDIRECT($K176)</f>
        <v>Risk Level</v>
      </c>
      <c r="K176" s="2" t="str" cm="1">
        <f t="array" aca="1" ref="K176" ca="1">CELL("address",OFFSET(Risks!$A$2,0,ROW()-ROW($K$170)))</f>
        <v>'[QuBA-libre.xlsx]Risks'!$G$2</v>
      </c>
    </row>
    <row r="177" spans="1:12" ht="30" x14ac:dyDescent="0.25">
      <c r="A177" s="72" t="str" cm="1">
        <f t="array" aca="1" ref="A177" ca="1">IF(INDEX($H:$H,ROW()-1)&lt;&gt;$H177,$E177,"")</f>
        <v>Mitigation</v>
      </c>
      <c r="B177" s="50" t="str" cm="1">
        <f t="array" aca="1" ref="B177" ca="1">IF($K177="","",_xlfn.LET(
_xlpm._fullName,IF($L177="",SUBSTITUTE(SUBSTITUTE(INDIRECT($K177),CHAR(10)," "),"  "," "),$L177),
_xlpm._truncatedName,IF(LEN(_xlpm._fullName)&gt;250,LEFT(_xlpm._fullName,250)&amp;"[…]",_xlpm._fullName),
HYPERLINK("#'"&amp;$E177&amp;"'!"&amp;$F177&amp;$G177,
_xlpm._truncatedName)))</f>
        <v>AS ID</v>
      </c>
      <c r="C177" s="10" t="s">
        <v>687</v>
      </c>
      <c r="D177" s="10"/>
      <c r="E177" s="9" t="str">
        <f t="shared" ref="E177:E191" ca="1" si="34">IF($K177="","",_xlfn.LET(
_xlpm._in,$K177,
_xlpm._start,FIND("]",_xlpm._in)+1,
SUBSTITUTE(MID(_xlpm._in,_xlpm._start,FIND("!",_xlpm._in)-_xlpm._start),"'","")))</f>
        <v>Mitigation</v>
      </c>
      <c r="F177" s="9" t="str">
        <f t="shared" ref="F177:F191" ca="1" si="35">IF($K177="","",_xlfn.LET(
_xlpm._in,SUBSTITUTE($K177,"$","§",1),
_xlpm._start,FIND("§",_xlpm._in)+1,
SUBSTITUTE(MID(_xlpm._in,_xlpm._start,FIND("$",_xlpm._in)-_xlpm._start),"'","")))</f>
        <v>A</v>
      </c>
      <c r="G177" s="9" t="str">
        <f t="shared" ref="G177:G191" ca="1" si="36">IF($K177="","",RIGHT($K177,LEN($K177)-FIND("$",SUBSTITUTE($K177,"$","§",1))))</f>
        <v>2</v>
      </c>
      <c r="H177" s="9" cm="1">
        <f t="array" aca="1" ref="H177" ca="1">CreateID($H$35,$E177&lt;&gt;INDEX($E:$E,ROW()-1))</f>
        <v>12</v>
      </c>
      <c r="I177" s="9" t="str" cm="1">
        <f t="array" aca="1" ref="I177" ca="1">INDIRECT($K177)</f>
        <v>AS ID</v>
      </c>
      <c r="K177" s="2" t="str" cm="1">
        <f t="array" aca="1" ref="K177" ca="1">CELL("address",OFFSET(Mitigation!$A$2,0,ROW()-ROW($K$177)))</f>
        <v>'[QuBA-libre.xlsx]Mitigation'!$A$2</v>
      </c>
    </row>
    <row r="178" spans="1:12" outlineLevel="1" x14ac:dyDescent="0.25">
      <c r="A178" s="10" t="str" cm="1">
        <f t="array" aca="1" ref="A178" ca="1">IF(INDEX($H:$H,ROW()-1)&lt;&gt;$H178,$E178,"")</f>
        <v/>
      </c>
      <c r="B178" s="50" t="str" cm="1">
        <f t="array" aca="1" ref="B178" ca="1">IF($K178="","",_xlfn.LET(
_xlpm._fullName,IF($L178="",SUBSTITUTE(SUBSTITUTE(INDIRECT($K178),CHAR(10)," "),"  "," "),$L178),
_xlpm._truncatedName,IF(LEN(_xlpm._fullName)&gt;250,LEFT(_xlpm._fullName,250)&amp;"[…]",_xlpm._fullName),
HYPERLINK("#'"&amp;$E178&amp;"'!"&amp;$F178&amp;$G178,
_xlpm._truncatedName)))</f>
        <v>Attack Step</v>
      </c>
      <c r="C178" s="10" t="s">
        <v>688</v>
      </c>
      <c r="D178" s="10"/>
      <c r="E178" s="9" t="str">
        <f t="shared" ca="1" si="34"/>
        <v>Mitigation</v>
      </c>
      <c r="F178" s="9" t="str">
        <f t="shared" ca="1" si="35"/>
        <v>B</v>
      </c>
      <c r="G178" s="9" t="str">
        <f t="shared" ca="1" si="36"/>
        <v>2</v>
      </c>
      <c r="H178" s="9" cm="1">
        <f t="array" aca="1" ref="H178" ca="1">CreateID($H$35,$E178&lt;&gt;INDEX($E:$E,ROW()-1))</f>
        <v>12</v>
      </c>
      <c r="I178" s="9" t="str" cm="1">
        <f t="array" aca="1" ref="I178" ca="1">INDIRECT($K178)</f>
        <v>Attack Step</v>
      </c>
      <c r="K178" s="2" t="str" cm="1">
        <f t="array" aca="1" ref="K178" ca="1">CELL("address",OFFSET(Mitigation!$A$2,0,ROW()-ROW($K$177)))</f>
        <v>'[QuBA-libre.xlsx]Mitigation'!$B$2</v>
      </c>
    </row>
    <row r="179" spans="1:12" ht="45" outlineLevel="1" x14ac:dyDescent="0.25">
      <c r="A179" s="10" t="str" cm="1">
        <f t="array" aca="1" ref="A179" ca="1">IF(INDEX($H:$H,ROW()-1)&lt;&gt;$H179,$E179,"")</f>
        <v/>
      </c>
      <c r="B179" s="50" t="str" cm="1">
        <f t="array" aca="1" ref="B179" ca="1">IF($K179="","",_xlfn.LET(
_xlpm._fullName,IF($L179="",SUBSTITUTE(SUBSTITUTE(INDIRECT($K179),CHAR(10)," "),"  "," "),$L179),
_xlpm._truncatedName,IF(LEN(_xlpm._fullName)&gt;250,LEFT(_xlpm._fullName,250)&amp;"[…]",_xlpm._fullName),
HYPERLINK("#'"&amp;$E179&amp;"'!"&amp;$F179&amp;$G179,
_xlpm._truncatedName)))</f>
        <v>Diplay at most # APs (empty = all)</v>
      </c>
      <c r="C179" s="10" t="s">
        <v>797</v>
      </c>
      <c r="D179" s="10"/>
      <c r="E179" s="9" t="str">
        <f ca="1">IF($K179="","",_xlfn.LET(
_xlpm._in,$K179,
_xlpm._start,FIND("]",_xlpm._in)+1,
SUBSTITUTE(MID(_xlpm._in,_xlpm._start,FIND("!",_xlpm._in)-_xlpm._start),"'","")))</f>
        <v>Mitigation</v>
      </c>
      <c r="F179" s="9" t="str">
        <f ca="1">IF($K179="","",_xlfn.LET(
_xlpm._in,SUBSTITUTE($K179,"$","§",1),
_xlpm._start,FIND("§",_xlpm._in)+1,
SUBSTITUTE(MID(_xlpm._in,_xlpm._start,FIND("$",_xlpm._in)-_xlpm._start),"'","")))</f>
        <v>C</v>
      </c>
      <c r="G179" s="9" t="str">
        <f ca="1">IF($K179="","",RIGHT($K179,LEN($K179)-FIND("$",SUBSTITUTE($K179,"$","§",1))))</f>
        <v>2</v>
      </c>
      <c r="H179" s="9" cm="1">
        <f t="array" aca="1" ref="H179" ca="1">CreateID($H$35,$E179&lt;&gt;INDEX($E:$E,ROW()-1))</f>
        <v>12</v>
      </c>
      <c r="I179" s="9" t="str" cm="1">
        <f t="array" aca="1" ref="I179" ca="1">INDIRECT($K179)</f>
        <v>Diplay at most # APs (empty = all)</v>
      </c>
      <c r="K179" s="2" t="str" cm="1">
        <f t="array" aca="1" ref="K179" ca="1">CELL("address",OFFSET(Mitigation!$A$2,0,ROW()-ROW($K$177)))</f>
        <v>'[QuBA-libre.xlsx]Mitigation'!$C$2</v>
      </c>
    </row>
    <row r="180" spans="1:12" ht="30" outlineLevel="1" x14ac:dyDescent="0.25">
      <c r="A180" s="10" t="str" cm="1">
        <f t="array" aca="1" ref="A180" ca="1">IF(INDEX($H:$H,ROW()-1)&lt;&gt;$H180,$E180,"")</f>
        <v/>
      </c>
      <c r="B180" s="50" t="str" cm="1">
        <f t="array" aca="1" ref="B180" ca="1">IF($K180="","",_xlfn.LET(
_xlpm._fullName,IF($L180="",SUBSTITUTE(SUBSTITUTE(INDIRECT($K180),CHAR(10)," "),"  "," "),$L180),
_xlpm._truncatedName,IF(LEN(_xlpm._fullName)&gt;250,LEFT(_xlpm._fullName,250)&amp;"[…]",_xlpm._fullName),
HYPERLINK("#'"&amp;$E180&amp;"'!"&amp;$F180&amp;$G180,
_xlpm._truncatedName)))</f>
        <v xml:space="preserve">Dominating Attack Paths </v>
      </c>
      <c r="C180" s="10" t="s">
        <v>689</v>
      </c>
      <c r="D180" s="10"/>
      <c r="E180" s="9" t="str">
        <f t="shared" ca="1" si="34"/>
        <v>Mitigation</v>
      </c>
      <c r="F180" s="9" t="str">
        <f t="shared" ca="1" si="35"/>
        <v>D</v>
      </c>
      <c r="G180" s="9" t="str">
        <f t="shared" ca="1" si="36"/>
        <v>2</v>
      </c>
      <c r="H180" s="9" cm="1">
        <f t="array" aca="1" ref="H180" ca="1">CreateID($H$35,$E180&lt;&gt;INDEX($E:$E,ROW()-1))</f>
        <v>12</v>
      </c>
      <c r="I180" s="9" t="str" cm="1">
        <f t="array" aca="1" ref="I180" ca="1">INDIRECT($K180)</f>
        <v xml:space="preserve">Dominating Attack Paths </v>
      </c>
      <c r="K180" s="2" t="str" cm="1">
        <f t="array" aca="1" ref="K180" ca="1">CELL("address",OFFSET(Mitigation!$A$2,0,ROW()-ROW($K$177)))</f>
        <v>'[QuBA-libre.xlsx]Mitigation'!$D$2</v>
      </c>
    </row>
    <row r="181" spans="1:12" ht="30" outlineLevel="1" x14ac:dyDescent="0.25">
      <c r="A181" s="10" t="str" cm="1">
        <f t="array" aca="1" ref="A181" ca="1">IF(INDEX($H:$H,ROW()-1)&lt;&gt;$H181,$E181,"")</f>
        <v/>
      </c>
      <c r="B181" s="50" t="str" cm="1">
        <f t="array" aca="1" ref="B181" ca="1">IF($K181="","",_xlfn.LET(
_xlpm._fullName,IF($L181="",SUBSTITUTE(SUBSTITUTE(INDIRECT($K181),CHAR(10)," "),"  "," "),$L181),
_xlpm._truncatedName,IF(LEN(_xlpm._fullName)&gt;250,LEFT(_xlpm._fullName,250)&amp;"[…]",_xlpm._fullName),
HYPERLINK("#'"&amp;$E181&amp;"'!"&amp;$F181&amp;$G181,
_xlpm._truncatedName)))</f>
        <v>Highest Risk with this Attack Step</v>
      </c>
      <c r="C181" s="10" t="s">
        <v>690</v>
      </c>
      <c r="D181" s="10"/>
      <c r="E181" s="9" t="str">
        <f t="shared" ca="1" si="34"/>
        <v>Mitigation</v>
      </c>
      <c r="F181" s="9" t="str">
        <f t="shared" ca="1" si="35"/>
        <v>E</v>
      </c>
      <c r="G181" s="9" t="str">
        <f t="shared" ca="1" si="36"/>
        <v>2</v>
      </c>
      <c r="H181" s="9" cm="1">
        <f t="array" aca="1" ref="H181" ca="1">CreateID($H$35,$E181&lt;&gt;INDEX($E:$E,ROW()-1))</f>
        <v>12</v>
      </c>
      <c r="I181" s="9" t="str" cm="1">
        <f t="array" aca="1" ref="I181" ca="1">INDIRECT($K181)</f>
        <v>Highest Risk with this
Attack Step</v>
      </c>
      <c r="K181" s="2" t="str" cm="1">
        <f t="array" aca="1" ref="K181" ca="1">CELL("address",OFFSET(Mitigation!$A$2,0,ROW()-ROW($K$177)))</f>
        <v>'[QuBA-libre.xlsx]Mitigation'!$E$2</v>
      </c>
    </row>
    <row r="182" spans="1:12" ht="45" outlineLevel="1" x14ac:dyDescent="0.25">
      <c r="A182" s="10" t="str" cm="1">
        <f t="array" aca="1" ref="A182" ca="1">IF(INDEX($H:$H,ROW()-1)&lt;&gt;$H182,$E182,"")</f>
        <v/>
      </c>
      <c r="B182" s="50" t="str" cm="1">
        <f t="array" aca="1" ref="B182" ca="1">IF($K182="","",_xlfn.LET(
_xlpm._fullName,IF($L182="",SUBSTITUTE(SUBSTITUTE(INDIRECT($K182),CHAR(10)," "),"  "," "),$L182),
_xlpm._truncatedName,IF(LEN(_xlpm._fullName)&gt;250,LEFT(_xlpm._fullName,250)&amp;"[…]",_xlpm._fullName),
HYPERLINK("#'"&amp;$E182&amp;"'!"&amp;$F182&amp;$G182,
_xlpm._truncatedName)))</f>
        <v>Proposed Countermeasures</v>
      </c>
      <c r="C182" s="10" t="s">
        <v>767</v>
      </c>
      <c r="D182" s="10"/>
      <c r="E182" s="9" t="str">
        <f t="shared" ca="1" si="34"/>
        <v>Mitigation</v>
      </c>
      <c r="F182" s="9" t="str">
        <f t="shared" ca="1" si="35"/>
        <v>F</v>
      </c>
      <c r="G182" s="9" t="str">
        <f t="shared" ca="1" si="36"/>
        <v>2</v>
      </c>
      <c r="H182" s="9" cm="1">
        <f t="array" aca="1" ref="H182" ca="1">CreateID($H$35,$E182&lt;&gt;INDEX($E:$E,ROW()-1))</f>
        <v>12</v>
      </c>
      <c r="I182" s="9" t="str" cm="1">
        <f t="array" aca="1" ref="I182" ca="1">INDIRECT($K182)</f>
        <v>Proposed Counter-measures</v>
      </c>
      <c r="K182" s="2" t="str" cm="1">
        <f t="array" aca="1" ref="K182" ca="1">CELL("address",OFFSET(Mitigation!$A$2,0,ROW()-ROW($K$177)))</f>
        <v>'[QuBA-libre.xlsx]Mitigation'!$F$2</v>
      </c>
      <c r="L182" s="2" t="str" cm="1">
        <f t="array" aca="1" ref="L182" ca="1">SUBSTITUTE(INDIRECT($K182),"-","")</f>
        <v>Proposed Countermeasures</v>
      </c>
    </row>
    <row r="183" spans="1:12" ht="120" outlineLevel="1" x14ac:dyDescent="0.25">
      <c r="A183" s="10" t="str" cm="1">
        <f t="array" aca="1" ref="A183" ca="1">IF(INDEX($H:$H,ROW()-1)&lt;&gt;$H183,$E183,"")</f>
        <v/>
      </c>
      <c r="B183" s="50" t="str" cm="1">
        <f t="array" aca="1" ref="B183" ca="1">IF($K183="","",_xlfn.LET(
_xlpm._fullName,IF($L183="",SUBSTITUTE(SUBSTITUTE(INDIRECT($K183),CHAR(10)," "),"  "," "),$L183),
_xlpm._truncatedName,IF(LEN(_xlpm._fullName)&gt;250,LEFT(_xlpm._fullName,250)&amp;"[…]",_xlpm._fullName),
HYPERLINK("#'"&amp;$E183&amp;"'!"&amp;$F183&amp;$G183,
_xlpm._truncatedName)))</f>
        <v>Proposed Active Assumptions</v>
      </c>
      <c r="C183" s="10" t="s">
        <v>768</v>
      </c>
      <c r="D183" s="10" t="s">
        <v>1074</v>
      </c>
      <c r="E183" s="9" t="str">
        <f ca="1">IF($K183="","",_xlfn.LET(
_xlpm._in,$K183,
_xlpm._start,FIND("]",_xlpm._in)+1,
SUBSTITUTE(MID(_xlpm._in,_xlpm._start,FIND("!",_xlpm._in)-_xlpm._start),"'","")))</f>
        <v>Mitigation</v>
      </c>
      <c r="F183" s="9" t="str">
        <f ca="1">IF($K183="","",_xlfn.LET(
_xlpm._in,SUBSTITUTE($K183,"$","§",1),
_xlpm._start,FIND("§",_xlpm._in)+1,
SUBSTITUTE(MID(_xlpm._in,_xlpm._start,FIND("$",_xlpm._in)-_xlpm._start),"'","")))</f>
        <v>G</v>
      </c>
      <c r="G183" s="9" t="str">
        <f ca="1">IF($K183="","",RIGHT($K183,LEN($K183)-FIND("$",SUBSTITUTE($K183,"$","§",1))))</f>
        <v>2</v>
      </c>
      <c r="H183" s="9" cm="1">
        <f t="array" aca="1" ref="H183" ca="1">CreateID($H$35,$E183&lt;&gt;INDEX($E:$E,ROW()-1))</f>
        <v>12</v>
      </c>
      <c r="I183" s="9" t="str" cm="1">
        <f t="array" aca="1" ref="I183" ca="1">INDIRECT($K183)</f>
        <v>Proposed Active Assumptions</v>
      </c>
      <c r="K183" s="2" t="str" cm="1">
        <f t="array" aca="1" ref="K183" ca="1">CELL("address",OFFSET(Mitigation!$A$2,0,ROW()-ROW($K$177)))</f>
        <v>'[QuBA-libre.xlsx]Mitigation'!$G$2</v>
      </c>
    </row>
    <row r="184" spans="1:12" ht="60" outlineLevel="1" x14ac:dyDescent="0.25">
      <c r="A184" s="10" t="str" cm="1">
        <f t="array" aca="1" ref="A184" ca="1">IF(INDEX($H:$H,ROW()-1)&lt;&gt;$H184,$E184,"")</f>
        <v/>
      </c>
      <c r="B184" s="50" t="str" cm="1">
        <f t="array" aca="1" ref="B184" ca="1">IF($K184="","",_xlfn.LET(
_xlpm._fullName,IF($L184="",SUBSTITUTE(SUBSTITUTE(INDIRECT($K184),CHAR(10)," "),"  "," "),$L184),
_xlpm._truncatedName,IF(LEN(_xlpm._fullName)&gt;250,LEFT(_xlpm._fullName,250)&amp;"[…]",_xlpm._fullName),
HYPERLINK("#'"&amp;$E184&amp;"'!"&amp;$F184&amp;$G184,
_xlpm._truncatedName)))</f>
        <v>Potential Additional Assumptions</v>
      </c>
      <c r="C184" s="10" t="s">
        <v>769</v>
      </c>
      <c r="D184" s="10"/>
      <c r="E184" s="9" t="str">
        <f ca="1">IF($K184="","",_xlfn.LET(
_xlpm._in,$K184,
_xlpm._start,FIND("]",_xlpm._in)+1,
SUBSTITUTE(MID(_xlpm._in,_xlpm._start,FIND("!",_xlpm._in)-_xlpm._start),"'","")))</f>
        <v>Mitigation</v>
      </c>
      <c r="F184" s="9" t="str">
        <f ca="1">IF($K184="","",_xlfn.LET(
_xlpm._in,SUBSTITUTE($K184,"$","§",1),
_xlpm._start,FIND("§",_xlpm._in)+1,
SUBSTITUTE(MID(_xlpm._in,_xlpm._start,FIND("$",_xlpm._in)-_xlpm._start),"'","")))</f>
        <v>H</v>
      </c>
      <c r="G184" s="9" t="str">
        <f ca="1">IF($K184="","",RIGHT($K184,LEN($K184)-FIND("$",SUBSTITUTE($K184,"$","§",1))))</f>
        <v>2</v>
      </c>
      <c r="H184" s="9" cm="1">
        <f t="array" aca="1" ref="H184" ca="1">CreateID($H$35,$E184&lt;&gt;INDEX($E:$E,ROW()-1))</f>
        <v>12</v>
      </c>
      <c r="I184" s="9" t="str" cm="1">
        <f t="array" aca="1" ref="I184" ca="1">INDIRECT($K184)</f>
        <v>Potential Additional Assumptions</v>
      </c>
      <c r="K184" s="2" t="str" cm="1">
        <f t="array" aca="1" ref="K184" ca="1">CELL("address",OFFSET(Mitigation!$A$2,0,ROW()-ROW($K$177)))</f>
        <v>'[QuBA-libre.xlsx]Mitigation'!$H$2</v>
      </c>
    </row>
    <row r="185" spans="1:12" outlineLevel="1" x14ac:dyDescent="0.25">
      <c r="A185" s="10" t="str" cm="1">
        <f t="array" aca="1" ref="A185" ca="1">IF(INDEX($H:$H,ROW()-1)&lt;&gt;$H185,$E185,"")</f>
        <v/>
      </c>
      <c r="B185" s="50" t="str" cm="1">
        <f t="array" aca="1" ref="B185" ca="1">IF($K185="","",_xlfn.LET(
_xlpm._fullName,IF($L185="",SUBSTITUTE(SUBSTITUTE(INDIRECT($K185),CHAR(10)," "),"  "," "),$L185),
_xlpm._truncatedName,IF(LEN(_xlpm._fullName)&gt;250,LEFT(_xlpm._fullName,250)&amp;"[…]",_xlpm._fullName),
HYPERLINK("#'"&amp;$E185&amp;"'!"&amp;$F185&amp;$G185,
_xlpm._truncatedName)))</f>
        <v>Proposed Countermeasures and Assumptions</v>
      </c>
      <c r="C185" s="10" t="s">
        <v>691</v>
      </c>
      <c r="D185" s="10"/>
      <c r="E185" s="9" t="str">
        <f t="shared" ca="1" si="34"/>
        <v>Mitigation</v>
      </c>
      <c r="F185" s="9" t="str">
        <f t="shared" ca="1" si="35"/>
        <v>I</v>
      </c>
      <c r="G185" s="9" t="str">
        <f t="shared" ca="1" si="36"/>
        <v>2</v>
      </c>
      <c r="H185" s="9" cm="1">
        <f t="array" aca="1" ref="H185" ca="1">CreateID($H$35,$E185&lt;&gt;INDEX($E:$E,ROW()-1))</f>
        <v>12</v>
      </c>
      <c r="I185" s="9" t="str" cm="1">
        <f t="array" aca="1" ref="I185" ca="1">INDIRECT($K185)</f>
        <v>Proposed Countermeasures and Assumptions</v>
      </c>
      <c r="K185" s="2" t="str" cm="1">
        <f t="array" aca="1" ref="K185" ca="1">CELL("address",OFFSET(Mitigation!$A$2,0,ROW()-ROW($K$177)))</f>
        <v>'[QuBA-libre.xlsx]Mitigation'!$I$2</v>
      </c>
    </row>
    <row r="186" spans="1:12" ht="120" outlineLevel="1" x14ac:dyDescent="0.25">
      <c r="A186" s="10" t="str" cm="1">
        <f t="array" aca="1" ref="A186" ca="1">IF(INDEX($H:$H,ROW()-1)&lt;&gt;$H186,$E186,"")</f>
        <v/>
      </c>
      <c r="B186" s="50" t="str" cm="1">
        <f t="array" aca="1" ref="B186" ca="1">IF($K186="","",_xlfn.LET(
_xlpm._fullName,IF($L186="",SUBSTITUTE(SUBSTITUTE(INDIRECT($K186),CHAR(10)," "),"  "," "),$L186),
_xlpm._truncatedName,IF(LEN(_xlpm._fullName)&gt;250,LEFT(_xlpm._fullName,250)&amp;"[…]",_xlpm._fullName),
HYPERLINK("#'"&amp;$E186&amp;"'!"&amp;$F186&amp;$G186,
_xlpm._truncatedName)))</f>
        <v>C and A IDs</v>
      </c>
      <c r="C186" s="10" t="s">
        <v>692</v>
      </c>
      <c r="D186" s="10"/>
      <c r="E186" s="9" t="str">
        <f t="shared" ca="1" si="34"/>
        <v>Mitigation</v>
      </c>
      <c r="F186" s="9" t="str">
        <f t="shared" ca="1" si="35"/>
        <v>J</v>
      </c>
      <c r="G186" s="9" t="str">
        <f t="shared" ca="1" si="36"/>
        <v>2</v>
      </c>
      <c r="H186" s="9" cm="1">
        <f t="array" aca="1" ref="H186" ca="1">CreateID($H$35,$E186&lt;&gt;INDEX($E:$E,ROW()-1))</f>
        <v>12</v>
      </c>
      <c r="I186" s="9" t="str" cm="1">
        <f t="array" aca="1" ref="I186" ca="1">INDIRECT($K186)</f>
        <v>C and A IDs</v>
      </c>
      <c r="K186" s="2" t="str" cm="1">
        <f t="array" aca="1" ref="K186" ca="1">CELL("address",OFFSET(Mitigation!$A$2,0,ROW()-ROW($K$177)))</f>
        <v>'[QuBA-libre.xlsx]Mitigation'!$J$2</v>
      </c>
    </row>
    <row r="187" spans="1:12" outlineLevel="1" x14ac:dyDescent="0.25">
      <c r="A187" s="10" t="str" cm="1">
        <f t="array" aca="1" ref="A187" ca="1">IF(INDEX($H:$H,ROW()-1)&lt;&gt;$H187,$E187,"")</f>
        <v/>
      </c>
      <c r="B187" s="50" t="str" cm="1">
        <f t="array" aca="1" ref="B187" ca="1">IF($K187="","",_xlfn.LET(
_xlpm._fullName,IF($L187="",SUBSTITUTE(SUBSTITUTE(INDIRECT($K187),CHAR(10)," "),"  "," "),$L187),
_xlpm._truncatedName,IF(LEN(_xlpm._fullName)&gt;250,LEFT(_xlpm._fullName,250)&amp;"[…]",_xlpm._fullName),
HYPERLINK("#'"&amp;$E187&amp;"'!"&amp;$F187&amp;$G187,
_xlpm._truncatedName)))</f>
        <v>Countermeasures and Assumptions</v>
      </c>
      <c r="C187" s="10" t="s">
        <v>693</v>
      </c>
      <c r="D187" s="10"/>
      <c r="E187" s="9" t="str">
        <f t="shared" ca="1" si="34"/>
        <v>Mitigation</v>
      </c>
      <c r="F187" s="9" t="str">
        <f t="shared" ca="1" si="35"/>
        <v>K</v>
      </c>
      <c r="G187" s="9" t="str">
        <f t="shared" ca="1" si="36"/>
        <v>2</v>
      </c>
      <c r="H187" s="9" cm="1">
        <f t="array" aca="1" ref="H187" ca="1">CreateID($H$35,$E187&lt;&gt;INDEX($E:$E,ROW()-1))</f>
        <v>12</v>
      </c>
      <c r="I187" s="9" t="str" cm="1">
        <f t="array" aca="1" ref="I187" ca="1">INDIRECT($K187)</f>
        <v>Countermeasures and Assumptions</v>
      </c>
      <c r="K187" s="2" t="str" cm="1">
        <f t="array" aca="1" ref="K187" ca="1">CELL("address",OFFSET(Mitigation!$A$2,0,ROW()-ROW($K$177)))</f>
        <v>'[QuBA-libre.xlsx]Mitigation'!$K$2</v>
      </c>
    </row>
    <row r="188" spans="1:12" ht="45" outlineLevel="1" x14ac:dyDescent="0.25">
      <c r="A188" s="10" t="str" cm="1">
        <f t="array" aca="1" ref="A188" ca="1">IF(INDEX($H:$H,ROW()-1)&lt;&gt;$H188,$E188,"")</f>
        <v/>
      </c>
      <c r="B188" s="50" t="str" cm="1">
        <f t="array" aca="1" ref="B188" ca="1">IF($K188="","",_xlfn.LET(
_xlpm._fullName,IF($L188="",SUBSTITUTE(SUBSTITUTE(INDIRECT($K188),CHAR(10)," "),"  "," "),$L188),
_xlpm._truncatedName,IF(LEN(_xlpm._fullName)&gt;250,LEFT(_xlpm._fullName,250)&amp;"[…]",_xlpm._fullName),
HYPERLINK("#'"&amp;$E188&amp;"'!"&amp;$F188&amp;$G188,
_xlpm._truncatedName)))</f>
        <v xml:space="preserve">Diplay at most # APs (empty = all) </v>
      </c>
      <c r="C188" s="10" t="s">
        <v>797</v>
      </c>
      <c r="D188" s="10"/>
      <c r="E188" s="9" t="str">
        <f ca="1">IF($K188="","",_xlfn.LET(
_xlpm._in,$K188,
_xlpm._start,FIND("]",_xlpm._in)+1,
SUBSTITUTE(MID(_xlpm._in,_xlpm._start,FIND("!",_xlpm._in)-_xlpm._start),"'","")))</f>
        <v>Mitigation</v>
      </c>
      <c r="F188" s="9" t="str">
        <f ca="1">IF($K188="","",_xlfn.LET(
_xlpm._in,SUBSTITUTE($K188,"$","§",1),
_xlpm._start,FIND("§",_xlpm._in)+1,
SUBSTITUTE(MID(_xlpm._in,_xlpm._start,FIND("$",_xlpm._in)-_xlpm._start),"'","")))</f>
        <v>L</v>
      </c>
      <c r="G188" s="9" t="str">
        <f ca="1">IF($K188="","",RIGHT($K188,LEN($K188)-FIND("$",SUBSTITUTE($K188,"$","§",1))))</f>
        <v>2</v>
      </c>
      <c r="H188" s="9" cm="1">
        <f t="array" aca="1" ref="H188" ca="1">CreateID($H$35,$E188&lt;&gt;INDEX($E:$E,ROW()-1))</f>
        <v>12</v>
      </c>
      <c r="I188" s="9" t="str" cm="1">
        <f t="array" aca="1" ref="I188" ca="1">INDIRECT($K188)</f>
        <v xml:space="preserve">Diplay at most # APs
(empty = all) </v>
      </c>
      <c r="K188" s="2" t="str" cm="1">
        <f t="array" aca="1" ref="K188" ca="1">CELL("address",OFFSET(Mitigation!$A$2,0,ROW()-ROW($K$177)))</f>
        <v>'[QuBA-libre.xlsx]Mitigation'!$L$2</v>
      </c>
    </row>
    <row r="189" spans="1:12" ht="45" outlineLevel="1" x14ac:dyDescent="0.25">
      <c r="A189" s="10" t="str" cm="1">
        <f t="array" aca="1" ref="A189" ca="1">IF(INDEX($H:$H,ROW()-1)&lt;&gt;$H189,$E189,"")</f>
        <v/>
      </c>
      <c r="B189" s="50" t="str" cm="1">
        <f t="array" aca="1" ref="B189" ca="1">IF($K189="","",_xlfn.LET(
_xlpm._fullName,IF($L189="",SUBSTITUTE(SUBSTITUTE(INDIRECT($K189),CHAR(10)," "),"  "," "),$L189),
_xlpm._truncatedName,IF(LEN(_xlpm._fullName)&gt;250,LEFT(_xlpm._fullName,250)&amp;"[…]",_xlpm._fullName),
HYPERLINK("#'"&amp;$E189&amp;"'!"&amp;$F189&amp;$G189,
_xlpm._truncatedName)))</f>
        <v>Dominating Attack Paths</v>
      </c>
      <c r="C189" s="10" t="s">
        <v>710</v>
      </c>
      <c r="D189" s="10"/>
      <c r="E189" s="9" t="str">
        <f t="shared" ca="1" si="34"/>
        <v>Mitigation</v>
      </c>
      <c r="F189" s="9" t="str">
        <f t="shared" ca="1" si="35"/>
        <v>M</v>
      </c>
      <c r="G189" s="9" t="str">
        <f t="shared" ca="1" si="36"/>
        <v>2</v>
      </c>
      <c r="H189" s="9" cm="1">
        <f t="array" aca="1" ref="H189" ca="1">CreateID($H$35,$E189&lt;&gt;INDEX($E:$E,ROW()-1))</f>
        <v>12</v>
      </c>
      <c r="I189" s="9" t="str" cm="1">
        <f t="array" aca="1" ref="I189" ca="1">INDIRECT($K189)</f>
        <v>Dominating Attack Paths</v>
      </c>
      <c r="K189" s="2" t="str" cm="1">
        <f t="array" aca="1" ref="K189" ca="1">CELL("address",OFFSET(Mitigation!$A$2,0,ROW()-ROW($K$177)))</f>
        <v>'[QuBA-libre.xlsx]Mitigation'!$M$2</v>
      </c>
    </row>
    <row r="190" spans="1:12" ht="45" outlineLevel="1" x14ac:dyDescent="0.25">
      <c r="A190" s="10" t="str" cm="1">
        <f t="array" aca="1" ref="A190" ca="1">IF(INDEX($H:$H,ROW()-1)&lt;&gt;$H190,$E190,"")</f>
        <v/>
      </c>
      <c r="B190" s="50" t="str" cm="1">
        <f t="array" aca="1" ref="B190" ca="1">IF($K190="","",_xlfn.LET(
_xlpm._fullName,IF($L190="",SUBSTITUTE(SUBSTITUTE(INDIRECT($K190),CHAR(10)," "),"  "," "),$L190),
_xlpm._truncatedName,IF(LEN(_xlpm._fullName)&gt;250,LEFT(_xlpm._fullName,250)&amp;"[…]",_xlpm._fullName),
HYPERLINK("#'"&amp;$E190&amp;"'!"&amp;$F190&amp;$G190,
_xlpm._truncatedName)))</f>
        <v>Highest Remaining Risk with this Attack Step</v>
      </c>
      <c r="C190" s="10" t="s">
        <v>694</v>
      </c>
      <c r="D190" s="10"/>
      <c r="E190" s="9" t="str">
        <f t="shared" ca="1" si="34"/>
        <v>Mitigation</v>
      </c>
      <c r="F190" s="9" t="str">
        <f t="shared" ca="1" si="35"/>
        <v>N</v>
      </c>
      <c r="G190" s="9" t="str">
        <f t="shared" ca="1" si="36"/>
        <v>2</v>
      </c>
      <c r="H190" s="9" cm="1">
        <f t="array" aca="1" ref="H190" ca="1">CreateID($H$35,$E190&lt;&gt;INDEX($E:$E,ROW()-1))</f>
        <v>12</v>
      </c>
      <c r="I190" s="9" t="str" cm="1">
        <f t="array" aca="1" ref="I190" ca="1">INDIRECT($K190)</f>
        <v>Highest Remaining Risk with this
Attack Step</v>
      </c>
      <c r="K190" s="2" t="str" cm="1">
        <f t="array" aca="1" ref="K190" ca="1">CELL("address",OFFSET(Mitigation!$A$2,0,ROW()-ROW($K$177)))</f>
        <v>'[QuBA-libre.xlsx]Mitigation'!$N$2</v>
      </c>
    </row>
    <row r="191" spans="1:12" ht="60" outlineLevel="1" x14ac:dyDescent="0.25">
      <c r="A191" s="10" t="str" cm="1">
        <f t="array" aca="1" ref="A191" ca="1">IF(INDEX($H:$H,ROW()-1)&lt;&gt;$H191,$E191,"")</f>
        <v/>
      </c>
      <c r="B191" s="50" t="str" cm="1">
        <f t="array" aca="1" ref="B191" ca="1">IF($K191="","",_xlfn.LET(
_xlpm._fullName,IF($L191="",SUBSTITUTE(SUBSTITUTE(INDIRECT($K191),CHAR(10)," "),"  "," "),$L191),
_xlpm._truncatedName,IF(LEN(_xlpm._fullName)&gt;250,LEFT(_xlpm._fullName,250)&amp;"[…]",_xlpm._fullName),
HYPERLINK("#'"&amp;$E191&amp;"'!"&amp;$F191&amp;$G191,
_xlpm._truncatedName)))</f>
        <v>Comment To add a countermeasure or assumption: {&lt;C or A&gt; &lt;Name&gt;[: &lt;RAP&gt;]} RAP Options: Basic, Enhanced-Basic, Moderate, High, Beyond High</v>
      </c>
      <c r="C191" s="10" t="s">
        <v>711</v>
      </c>
      <c r="D191" s="10" t="s">
        <v>1142</v>
      </c>
      <c r="E191" s="9" t="str">
        <f t="shared" ca="1" si="34"/>
        <v>Mitigation</v>
      </c>
      <c r="F191" s="9" t="str">
        <f t="shared" ca="1" si="35"/>
        <v>O</v>
      </c>
      <c r="G191" s="9" t="str">
        <f t="shared" ca="1" si="36"/>
        <v>2</v>
      </c>
      <c r="H191" s="9" cm="1">
        <f t="array" aca="1" ref="H191" ca="1">CreateID($H$35,$E191&lt;&gt;INDEX($E:$E,ROW()-1))</f>
        <v>12</v>
      </c>
      <c r="I191" s="9" t="str" cm="1">
        <f t="array" aca="1" ref="I191" ca="1">INDIRECT($K191)</f>
        <v>Comment
To add a countermeasure or assumption:
{&lt;C or A&gt; &lt;Name&gt;[: &lt;RAP&gt;]}
RAP Options: Basic, Enhanced-Basic, Moderate, High, Beyond High</v>
      </c>
      <c r="K191" s="2" t="str" cm="1">
        <f t="array" aca="1" ref="K191" ca="1">CELL("address",OFFSET(Mitigation!$A$2,0,ROW()-ROW($K$177)))</f>
        <v>'[QuBA-libre.xlsx]Mitigation'!$O$2</v>
      </c>
    </row>
    <row r="192" spans="1:12" ht="45" x14ac:dyDescent="0.25">
      <c r="A192" s="72" t="str" cm="1">
        <f t="array" aca="1" ref="A192" ca="1">IF(INDEX($H:$H,ROW()-1)&lt;&gt;$H192,$E192,"")</f>
        <v>Risk Treatment</v>
      </c>
      <c r="B192" s="50" t="str" cm="1">
        <f t="array" aca="1" ref="B192" ca="1">IF($K192="","",_xlfn.LET(
_xlpm._fullName,IF($L192="",SUBSTITUTE(SUBSTITUTE(INDIRECT($K192),CHAR(10)," "),"  "," "),$L192),
_xlpm._truncatedName,IF(LEN(_xlpm._fullName)&gt;250,LEFT(_xlpm._fullName,250)&amp;"[…]",_xlpm._fullName),
HYPERLINK("#'"&amp;$E192&amp;"'!"&amp;$F192&amp;$G192,
_xlpm._truncatedName)))</f>
        <v>Helper: All IDs</v>
      </c>
      <c r="C192" s="10" t="s">
        <v>808</v>
      </c>
      <c r="D192" s="10"/>
      <c r="E192" s="9" t="str">
        <f t="shared" ref="E192:E212" ca="1" si="37">IF($K192="","",_xlfn.LET(
_xlpm._in,$K192,
_xlpm._start,FIND("]",_xlpm._in)+1,
SUBSTITUTE(MID(_xlpm._in,_xlpm._start,FIND("!",_xlpm._in)-_xlpm._start),"'","")))</f>
        <v>Risk Treatment</v>
      </c>
      <c r="F192" s="9" t="str">
        <f t="shared" ref="F192:F212" ca="1" si="38">IF($K192="","",_xlfn.LET(
_xlpm._in,SUBSTITUTE($K192,"$","§",1),
_xlpm._start,FIND("§",_xlpm._in)+1,
SUBSTITUTE(MID(_xlpm._in,_xlpm._start,FIND("$",_xlpm._in)-_xlpm._start),"'","")))</f>
        <v>A</v>
      </c>
      <c r="G192" s="9" t="str">
        <f t="shared" ref="G192:G212" ca="1" si="39">IF($K192="","",RIGHT($K192,LEN($K192)-FIND("$",SUBSTITUTE($K192,"$","§",1))))</f>
        <v>4</v>
      </c>
      <c r="H192" s="9" cm="1">
        <f t="array" aca="1" ref="H192" ca="1">CreateID($H$35,$E192&lt;&gt;INDEX($E:$E,ROW()-1))</f>
        <v>13</v>
      </c>
      <c r="I192" s="9" t="str" cm="1">
        <f t="array" aca="1" ref="I192" ca="1">INDIRECT($K192)</f>
        <v>Helper: All IDs</v>
      </c>
      <c r="K192" s="2" t="str" cm="1">
        <f t="array" aca="1" ref="K192" ca="1">CELL("address",OFFSET('Risk Treatment'!$A$4,0,ROW()-ROW($K$192)))</f>
        <v>'[QuBA-libre.xlsx]Risk Treatment'!$A$4</v>
      </c>
    </row>
    <row r="193" spans="1:11" ht="60" outlineLevel="1" x14ac:dyDescent="0.25">
      <c r="A193" s="10" t="str" cm="1">
        <f t="array" aca="1" ref="A193" ca="1">IF(INDEX($H:$H,ROW()-1)&lt;&gt;$H193,$E193,"")</f>
        <v/>
      </c>
      <c r="B193" s="50" t="str" cm="1">
        <f t="array" aca="1" ref="B193" ca="1">IF($K193="","",_xlfn.LET(
_xlpm._fullName,IF($L193="",SUBSTITUTE(SUBSTITUTE(INDIRECT($K193),CHAR(10)," "),"  "," "),$L193),
_xlpm._truncatedName,IF(LEN(_xlpm._fullName)&gt;250,LEFT(_xlpm._fullName,250)&amp;"[…]",_xlpm._fullName),
HYPERLINK("#'"&amp;$E193&amp;"'!"&amp;$F193&amp;$G193,
_xlpm._truncatedName)))</f>
        <v>Open IDs:</v>
      </c>
      <c r="C193" s="10" t="s">
        <v>1143</v>
      </c>
      <c r="D193" s="10"/>
      <c r="E193" s="9" t="str">
        <f ca="1">IF($K193="","",_xlfn.LET(
_xlpm._in,$K193,
_xlpm._start,FIND("]",_xlpm._in)+1,
SUBSTITUTE(MID(_xlpm._in,_xlpm._start,FIND("!",_xlpm._in)-_xlpm._start),"'","")))</f>
        <v>Risk Treatment</v>
      </c>
      <c r="F193" s="9" t="str">
        <f ca="1">IF($K193="","",_xlfn.LET(
_xlpm._in,SUBSTITUTE($K193,"$","§",1),
_xlpm._start,FIND("§",_xlpm._in)+1,
SUBSTITUTE(MID(_xlpm._in,_xlpm._start,FIND("$",_xlpm._in)-_xlpm._start),"'","")))</f>
        <v>C</v>
      </c>
      <c r="G193" s="9" t="str">
        <f ca="1">IF($K193="","",RIGHT($K193,LEN($K193)-FIND("$",SUBSTITUTE($K193,"$","§",1))))</f>
        <v>2</v>
      </c>
      <c r="H193" s="9" cm="1">
        <f t="array" aca="1" ref="H193" ca="1">CreateID($H$35,$E193&lt;&gt;INDEX($E:$E,ROW()-1))</f>
        <v>13</v>
      </c>
      <c r="I193" s="9" t="str" cm="1">
        <f t="array" aca="1" ref="I193" ca="1">INDIRECT($K193)</f>
        <v>Open IDs:</v>
      </c>
      <c r="K193" s="2" t="str" cm="1">
        <f t="array" aca="1" ref="K193" ca="1">CELL("address",'Risk Treatment'!$C$2)</f>
        <v>'[QuBA-libre.xlsx]Risk Treatment'!$C$2</v>
      </c>
    </row>
    <row r="194" spans="1:11" ht="45" outlineLevel="1" x14ac:dyDescent="0.25">
      <c r="A194" s="10" t="str" cm="1">
        <f t="array" aca="1" ref="A194" ca="1">IF(INDEX($H:$H,ROW()-1)&lt;&gt;$H194,$E194,"")</f>
        <v/>
      </c>
      <c r="B194" s="50" t="str" cm="1">
        <f t="array" aca="1" ref="B194" ca="1">IF($K194="","",_xlfn.LET(
_xlpm._fullName,IF($L194="",SUBSTITUTE(SUBSTITUTE(INDIRECT($K194),CHAR(10)," "),"  "," "),$L194),
_xlpm._truncatedName,IF(LEN(_xlpm._fullName)&gt;250,LEFT(_xlpm._fullName,250)&amp;"[…]",_xlpm._fullName),
HYPERLINK("#'"&amp;$E194&amp;"'!"&amp;$F194&amp;$G194,
_xlpm._truncatedName)))</f>
        <v>R ID</v>
      </c>
      <c r="C194" s="10" t="s">
        <v>695</v>
      </c>
      <c r="D194" s="10"/>
      <c r="E194" s="9" t="str">
        <f t="shared" ca="1" si="37"/>
        <v>Risk Treatment</v>
      </c>
      <c r="F194" s="9" t="str">
        <f t="shared" ca="1" si="38"/>
        <v>C</v>
      </c>
      <c r="G194" s="9" t="str">
        <f t="shared" ca="1" si="39"/>
        <v>4</v>
      </c>
      <c r="H194" s="9" cm="1">
        <f t="array" aca="1" ref="H194" ca="1">CreateID($H$35,$E194&lt;&gt;INDEX($E:$E,ROW()-1))</f>
        <v>13</v>
      </c>
      <c r="I194" s="9" t="str" cm="1">
        <f t="array" aca="1" ref="I194" ca="1">INDIRECT($K194)</f>
        <v>R ID</v>
      </c>
      <c r="K194" s="2" t="str" cm="1">
        <f t="array" aca="1" ref="K194" ca="1">CELL("address",OFFSET('Risk Treatment'!$C$4,0,ROW()-ROW($K$194)))</f>
        <v>'[QuBA-libre.xlsx]Risk Treatment'!$C$4</v>
      </c>
    </row>
    <row r="195" spans="1:11" ht="30" outlineLevel="1" x14ac:dyDescent="0.25">
      <c r="A195" s="10" t="str" cm="1">
        <f t="array" aca="1" ref="A195" ca="1">IF(INDEX($H:$H,ROW()-1)&lt;&gt;$H195,$E195,"")</f>
        <v/>
      </c>
      <c r="B195" s="50" t="str" cm="1">
        <f t="array" aca="1" ref="B195" ca="1">IF($K195="","",_xlfn.LET(
_xlpm._fullName,IF($L195="",SUBSTITUTE(SUBSTITUTE(INDIRECT($K195),CHAR(10)," "),"  "," "),$L195),
_xlpm._truncatedName,IF(LEN(_xlpm._fullName)&gt;250,LEFT(_xlpm._fullName,250)&amp;"[…]",_xlpm._fullName),
HYPERLINK("#'"&amp;$E195&amp;"'!"&amp;$F195&amp;$G195,
_xlpm._truncatedName)))</f>
        <v>Attack Path</v>
      </c>
      <c r="C195" s="10" t="s">
        <v>696</v>
      </c>
      <c r="D195" s="10"/>
      <c r="E195" s="9" t="str">
        <f t="shared" ca="1" si="37"/>
        <v>Risk Treatment</v>
      </c>
      <c r="F195" s="9" t="str">
        <f t="shared" ca="1" si="38"/>
        <v>D</v>
      </c>
      <c r="G195" s="9" t="str">
        <f t="shared" ca="1" si="39"/>
        <v>4</v>
      </c>
      <c r="H195" s="9" cm="1">
        <f t="array" aca="1" ref="H195" ca="1">CreateID($H$35,$E195&lt;&gt;INDEX($E:$E,ROW()-1))</f>
        <v>13</v>
      </c>
      <c r="I195" s="9" t="str" cm="1">
        <f t="array" aca="1" ref="I195" ca="1">INDIRECT($K195)</f>
        <v>Attack Path</v>
      </c>
      <c r="K195" s="2" t="str" cm="1">
        <f t="array" aca="1" ref="K195" ca="1">CELL("address",OFFSET('Risk Treatment'!$C$4,0,ROW()-ROW($K$194)))</f>
        <v>'[QuBA-libre.xlsx]Risk Treatment'!$D$4</v>
      </c>
    </row>
    <row r="196" spans="1:11" ht="30" outlineLevel="1" x14ac:dyDescent="0.25">
      <c r="A196" s="10" t="str" cm="1">
        <f t="array" aca="1" ref="A196" ca="1">IF(INDEX($H:$H,ROW()-1)&lt;&gt;$H196,$E196,"")</f>
        <v/>
      </c>
      <c r="B196" s="50" t="str" cm="1">
        <f t="array" aca="1" ref="B196" ca="1">IF($K196="","",_xlfn.LET(
_xlpm._fullName,IF($L196="",SUBSTITUTE(SUBSTITUTE(INDIRECT($K196),CHAR(10)," "),"  "," "),$L196),
_xlpm._truncatedName,IF(LEN(_xlpm._fullName)&gt;250,LEFT(_xlpm._fullName,250)&amp;"[…]",_xlpm._fullName),
HYPERLINK("#'"&amp;$E196&amp;"'!"&amp;$F196&amp;$G196,
_xlpm._truncatedName)))</f>
        <v>Damage Scenarios</v>
      </c>
      <c r="C196" s="10" t="s">
        <v>697</v>
      </c>
      <c r="D196" s="10"/>
      <c r="E196" s="9" t="str">
        <f t="shared" ca="1" si="37"/>
        <v>Risk Treatment</v>
      </c>
      <c r="F196" s="9" t="str">
        <f t="shared" ca="1" si="38"/>
        <v>E</v>
      </c>
      <c r="G196" s="9" t="str">
        <f t="shared" ca="1" si="39"/>
        <v>4</v>
      </c>
      <c r="H196" s="9" cm="1">
        <f t="array" aca="1" ref="H196" ca="1">CreateID($H$35,$E196&lt;&gt;INDEX($E:$E,ROW()-1))</f>
        <v>13</v>
      </c>
      <c r="I196" s="9" t="str" cm="1">
        <f t="array" aca="1" ref="I196" ca="1">INDIRECT($K196)</f>
        <v>Damage Scenarios</v>
      </c>
      <c r="K196" s="2" t="str" cm="1">
        <f t="array" aca="1" ref="K196" ca="1">CELL("address",OFFSET('Risk Treatment'!$C$4,0,ROW()-ROW($K$194)))</f>
        <v>'[QuBA-libre.xlsx]Risk Treatment'!$E$4</v>
      </c>
    </row>
    <row r="197" spans="1:11" ht="30" outlineLevel="1" x14ac:dyDescent="0.25">
      <c r="A197" s="10" t="str" cm="1">
        <f t="array" aca="1" ref="A197" ca="1">IF(INDEX($H:$H,ROW()-1)&lt;&gt;$H197,$E197,"")</f>
        <v/>
      </c>
      <c r="B197" s="50" t="str" cm="1">
        <f t="array" aca="1" ref="B197" ca="1">IF($K197="","",_xlfn.LET(
_xlpm._fullName,IF($L197="",SUBSTITUTE(SUBSTITUTE(INDIRECT($K197),CHAR(10)," "),"  "," "),$L197),
_xlpm._truncatedName,IF(LEN(_xlpm._fullName)&gt;250,LEFT(_xlpm._fullName,250)&amp;"[…]",_xlpm._fullName),
HYPERLINK("#'"&amp;$E197&amp;"'!"&amp;$F197&amp;$G197,
_xlpm._truncatedName)))</f>
        <v>Damage Level</v>
      </c>
      <c r="C197" s="10" t="s">
        <v>698</v>
      </c>
      <c r="D197" s="10"/>
      <c r="E197" s="9" t="str">
        <f t="shared" ca="1" si="37"/>
        <v>Risk Treatment</v>
      </c>
      <c r="F197" s="9" t="str">
        <f t="shared" ca="1" si="38"/>
        <v>F</v>
      </c>
      <c r="G197" s="9" t="str">
        <f t="shared" ca="1" si="39"/>
        <v>4</v>
      </c>
      <c r="H197" s="9" cm="1">
        <f t="array" aca="1" ref="H197" ca="1">CreateID($H$35,$E197&lt;&gt;INDEX($E:$E,ROW()-1))</f>
        <v>13</v>
      </c>
      <c r="I197" s="9" t="str" cm="1">
        <f t="array" aca="1" ref="I197" ca="1">INDIRECT($K197)</f>
        <v>Damage Level</v>
      </c>
      <c r="K197" s="2" t="str" cm="1">
        <f t="array" aca="1" ref="K197" ca="1">CELL("address",OFFSET('Risk Treatment'!$C$4,0,ROW()-ROW($K$194)))</f>
        <v>'[QuBA-libre.xlsx]Risk Treatment'!$F$4</v>
      </c>
    </row>
    <row r="198" spans="1:11" ht="45" outlineLevel="1" x14ac:dyDescent="0.25">
      <c r="A198" s="10" t="str" cm="1">
        <f t="array" aca="1" ref="A198" ca="1">IF(INDEX($H:$H,ROW()-1)&lt;&gt;$H198,$E198,"")</f>
        <v/>
      </c>
      <c r="B198" s="50" t="str" cm="1">
        <f t="array" aca="1" ref="B198" ca="1">IF($K198="","",_xlfn.LET(
_xlpm._fullName,IF($L198="",SUBSTITUTE(SUBSTITUTE(INDIRECT($K198),CHAR(10)," "),"  "," "),$L198),
_xlpm._truncatedName,IF(LEN(_xlpm._fullName)&gt;250,LEFT(_xlpm._fullName,250)&amp;"[…]",_xlpm._fullName),
HYPERLINK("#'"&amp;$E198&amp;"'!"&amp;$F198&amp;$G198,
_xlpm._truncatedName)))</f>
        <v xml:space="preserve">Factor Explanation </v>
      </c>
      <c r="C198" s="10" t="s">
        <v>699</v>
      </c>
      <c r="D198" s="10"/>
      <c r="E198" s="9" t="str">
        <f t="shared" ca="1" si="37"/>
        <v>Risk Treatment</v>
      </c>
      <c r="F198" s="9" t="str">
        <f t="shared" ca="1" si="38"/>
        <v>G</v>
      </c>
      <c r="G198" s="9" t="str">
        <f t="shared" ca="1" si="39"/>
        <v>4</v>
      </c>
      <c r="H198" s="9" cm="1">
        <f t="array" aca="1" ref="H198" ca="1">CreateID($H$35,$E198&lt;&gt;INDEX($E:$E,ROW()-1))</f>
        <v>13</v>
      </c>
      <c r="I198" s="9" t="str" cm="1">
        <f t="array" aca="1" ref="I198" ca="1">INDIRECT($K198)</f>
        <v xml:space="preserve">Factor Explanation </v>
      </c>
      <c r="K198" s="2" t="str" cm="1">
        <f t="array" aca="1" ref="K198" ca="1">CELL("address",OFFSET('Risk Treatment'!$C$4,0,ROW()-ROW($K$194)))</f>
        <v>'[QuBA-libre.xlsx]Risk Treatment'!$G$4</v>
      </c>
    </row>
    <row r="199" spans="1:11" ht="30" outlineLevel="1" x14ac:dyDescent="0.25">
      <c r="A199" s="10" t="str" cm="1">
        <f t="array" aca="1" ref="A199" ca="1">IF(INDEX($H:$H,ROW()-1)&lt;&gt;$H199,$E199,"")</f>
        <v/>
      </c>
      <c r="B199" s="50" t="str" cm="1">
        <f t="array" aca="1" ref="B199" ca="1">IF($K199="","",_xlfn.LET(
_xlpm._fullName,IF($L199="",SUBSTITUTE(SUBSTITUTE(INDIRECT($K199),CHAR(10)," "),"  "," "),$L199),
_xlpm._truncatedName,IF(LEN(_xlpm._fullName)&gt;250,LEFT(_xlpm._fullName,250)&amp;"[…]",_xlpm._fullName),
HYPERLINK("#'"&amp;$E199&amp;"'!"&amp;$F199&amp;$G199,
_xlpm._truncatedName)))</f>
        <v>RAP</v>
      </c>
      <c r="C199" s="10" t="s">
        <v>700</v>
      </c>
      <c r="D199" s="10"/>
      <c r="E199" s="9" t="str">
        <f t="shared" ca="1" si="37"/>
        <v>Risk Treatment</v>
      </c>
      <c r="F199" s="9" t="str">
        <f t="shared" ca="1" si="38"/>
        <v>H</v>
      </c>
      <c r="G199" s="9" t="str">
        <f t="shared" ca="1" si="39"/>
        <v>4</v>
      </c>
      <c r="H199" s="9" cm="1">
        <f t="array" aca="1" ref="H199" ca="1">CreateID($H$35,$E199&lt;&gt;INDEX($E:$E,ROW()-1))</f>
        <v>13</v>
      </c>
      <c r="I199" s="9" t="str" cm="1">
        <f t="array" aca="1" ref="I199" ca="1">INDIRECT($K199)</f>
        <v>RAP</v>
      </c>
      <c r="K199" s="2" t="str" cm="1">
        <f t="array" aca="1" ref="K199" ca="1">CELL("address",OFFSET('Risk Treatment'!$C$4,0,ROW()-ROW($K$194)))</f>
        <v>'[QuBA-libre.xlsx]Risk Treatment'!$H$4</v>
      </c>
    </row>
    <row r="200" spans="1:11" ht="30" outlineLevel="1" x14ac:dyDescent="0.25">
      <c r="A200" s="10" t="str" cm="1">
        <f t="array" aca="1" ref="A200" ca="1">IF(INDEX($H:$H,ROW()-1)&lt;&gt;$H200,$E200,"")</f>
        <v/>
      </c>
      <c r="B200" s="50" t="str" cm="1">
        <f t="array" aca="1" ref="B200" ca="1">IF($K200="","",_xlfn.LET(
_xlpm._fullName,IF($L200="",SUBSTITUTE(SUBSTITUTE(INDIRECT($K200),CHAR(10)," "),"  "," "),$L200),
_xlpm._truncatedName,IF(LEN(_xlpm._fullName)&gt;250,LEFT(_xlpm._fullName,250)&amp;"[…]",_xlpm._fullName),
HYPERLINK("#'"&amp;$E200&amp;"'!"&amp;$F200&amp;$G200,
_xlpm._truncatedName)))</f>
        <v>Risk Level</v>
      </c>
      <c r="C200" s="10" t="s">
        <v>701</v>
      </c>
      <c r="D200" s="10"/>
      <c r="E200" s="9" t="str">
        <f t="shared" ca="1" si="37"/>
        <v>Risk Treatment</v>
      </c>
      <c r="F200" s="9" t="str">
        <f t="shared" ca="1" si="38"/>
        <v>I</v>
      </c>
      <c r="G200" s="9" t="str">
        <f t="shared" ca="1" si="39"/>
        <v>4</v>
      </c>
      <c r="H200" s="9" cm="1">
        <f t="array" aca="1" ref="H200" ca="1">CreateID($H$35,$E200&lt;&gt;INDEX($E:$E,ROW()-1))</f>
        <v>13</v>
      </c>
      <c r="I200" s="9" t="str" cm="1">
        <f t="array" aca="1" ref="I200" ca="1">INDIRECT($K200)</f>
        <v>Risk Level</v>
      </c>
      <c r="K200" s="2" t="str" cm="1">
        <f t="array" aca="1" ref="K200" ca="1">CELL("address",OFFSET('Risk Treatment'!$C$4,0,ROW()-ROW($K$194)))</f>
        <v>'[QuBA-libre.xlsx]Risk Treatment'!$I$4</v>
      </c>
    </row>
    <row r="201" spans="1:11" ht="30" outlineLevel="1" x14ac:dyDescent="0.25">
      <c r="A201" s="10" t="str" cm="1">
        <f t="array" aca="1" ref="A201" ca="1">IF(INDEX($H:$H,ROW()-1)&lt;&gt;$H201,$E201,"")</f>
        <v/>
      </c>
      <c r="B201" s="50" t="str" cm="1">
        <f t="array" aca="1" ref="B201" ca="1">IF($K201="","",_xlfn.LET(
_xlpm._fullName,IF($L201="",SUBSTITUTE(SUBSTITUTE(INDIRECT($K201),CHAR(10)," "),"  "," "),$L201),
_xlpm._truncatedName,IF(LEN(_xlpm._fullName)&gt;250,LEFT(_xlpm._fullName,250)&amp;"[…]",_xlpm._fullName),
HYPERLINK("#'"&amp;$E201&amp;"'!"&amp;$F201&amp;$G201,
_xlpm._truncatedName)))</f>
        <v>Countermeasures and Assumptions</v>
      </c>
      <c r="C201" s="10" t="s">
        <v>702</v>
      </c>
      <c r="D201" s="10"/>
      <c r="E201" s="9" t="str">
        <f t="shared" ca="1" si="37"/>
        <v>Risk Treatment</v>
      </c>
      <c r="F201" s="9" t="str">
        <f t="shared" ca="1" si="38"/>
        <v>J</v>
      </c>
      <c r="G201" s="9" t="str">
        <f t="shared" ca="1" si="39"/>
        <v>4</v>
      </c>
      <c r="H201" s="9" cm="1">
        <f t="array" aca="1" ref="H201" ca="1">CreateID($H$35,$E201&lt;&gt;INDEX($E:$E,ROW()-1))</f>
        <v>13</v>
      </c>
      <c r="I201" s="9" t="str" cm="1">
        <f t="array" aca="1" ref="I201" ca="1">INDIRECT($K201)</f>
        <v>Countermeasures and Assumptions</v>
      </c>
      <c r="K201" s="2" t="str" cm="1">
        <f t="array" aca="1" ref="K201" ca="1">CELL("address",OFFSET('Risk Treatment'!$C$4,0,ROW()-ROW($K$194)))</f>
        <v>'[QuBA-libre.xlsx]Risk Treatment'!$J$4</v>
      </c>
    </row>
    <row r="202" spans="1:11" ht="45" outlineLevel="1" x14ac:dyDescent="0.25">
      <c r="A202" s="10" t="str" cm="1">
        <f t="array" aca="1" ref="A202" ca="1">IF(INDEX($H:$H,ROW()-1)&lt;&gt;$H202,$E202,"")</f>
        <v/>
      </c>
      <c r="B202" s="50" t="str" cm="1">
        <f t="array" aca="1" ref="B202" ca="1">IF($K202="","",_xlfn.LET(
_xlpm._fullName,IF($L202="",SUBSTITUTE(SUBSTITUTE(INDIRECT($K202),CHAR(10)," "),"  "," "),$L202),
_xlpm._truncatedName,IF(LEN(_xlpm._fullName)&gt;250,LEFT(_xlpm._fullName,250)&amp;"[…]",_xlpm._fullName),
HYPERLINK("#'"&amp;$E202&amp;"'!"&amp;$F202&amp;$G202,
_xlpm._truncatedName)))</f>
        <v xml:space="preserve">Damage Scenarios </v>
      </c>
      <c r="C202" s="10" t="s">
        <v>703</v>
      </c>
      <c r="D202" s="10"/>
      <c r="E202" s="9" t="str">
        <f t="shared" ca="1" si="37"/>
        <v>Risk Treatment</v>
      </c>
      <c r="F202" s="9" t="str">
        <f t="shared" ca="1" si="38"/>
        <v>K</v>
      </c>
      <c r="G202" s="9" t="str">
        <f t="shared" ca="1" si="39"/>
        <v>4</v>
      </c>
      <c r="H202" s="9" cm="1">
        <f t="array" aca="1" ref="H202" ca="1">CreateID($H$35,$E202&lt;&gt;INDEX($E:$E,ROW()-1))</f>
        <v>13</v>
      </c>
      <c r="I202" s="9" t="str" cm="1">
        <f t="array" aca="1" ref="I202" ca="1">INDIRECT($K202)</f>
        <v xml:space="preserve">Damage Scenarios </v>
      </c>
      <c r="K202" s="2" t="str" cm="1">
        <f t="array" aca="1" ref="K202" ca="1">CELL("address",OFFSET('Risk Treatment'!$C$4,0,ROW()-ROW($K$194)))</f>
        <v>'[QuBA-libre.xlsx]Risk Treatment'!$K$4</v>
      </c>
    </row>
    <row r="203" spans="1:11" ht="30" outlineLevel="1" x14ac:dyDescent="0.25">
      <c r="A203" s="10" t="str" cm="1">
        <f t="array" aca="1" ref="A203" ca="1">IF(INDEX($H:$H,ROW()-1)&lt;&gt;$H203,$E203,"")</f>
        <v/>
      </c>
      <c r="B203" s="50" t="str" cm="1">
        <f t="array" aca="1" ref="B203" ca="1">IF($K203="","",_xlfn.LET(
_xlpm._fullName,IF($L203="",SUBSTITUTE(SUBSTITUTE(INDIRECT($K203),CHAR(10)," "),"  "," "),$L203),
_xlpm._truncatedName,IF(LEN(_xlpm._fullName)&gt;250,LEFT(_xlpm._fullName,250)&amp;"[…]",_xlpm._fullName),
HYPERLINK("#'"&amp;$E203&amp;"'!"&amp;$F203&amp;$G203,
_xlpm._truncatedName)))</f>
        <v xml:space="preserve">Damage Level </v>
      </c>
      <c r="C203" s="10" t="s">
        <v>704</v>
      </c>
      <c r="D203" s="10"/>
      <c r="E203" s="9" t="str">
        <f t="shared" ca="1" si="37"/>
        <v>Risk Treatment</v>
      </c>
      <c r="F203" s="9" t="str">
        <f t="shared" ca="1" si="38"/>
        <v>L</v>
      </c>
      <c r="G203" s="9" t="str">
        <f t="shared" ca="1" si="39"/>
        <v>4</v>
      </c>
      <c r="H203" s="9" cm="1">
        <f t="array" aca="1" ref="H203" ca="1">CreateID($H$35,$E203&lt;&gt;INDEX($E:$E,ROW()-1))</f>
        <v>13</v>
      </c>
      <c r="I203" s="9" t="str" cm="1">
        <f t="array" aca="1" ref="I203" ca="1">INDIRECT($K203)</f>
        <v xml:space="preserve">Damage Level </v>
      </c>
      <c r="K203" s="2" t="str" cm="1">
        <f t="array" aca="1" ref="K203" ca="1">CELL("address",OFFSET('Risk Treatment'!$C$4,0,ROW()-ROW($K$194)))</f>
        <v>'[QuBA-libre.xlsx]Risk Treatment'!$L$4</v>
      </c>
    </row>
    <row r="204" spans="1:11" ht="30" outlineLevel="1" x14ac:dyDescent="0.25">
      <c r="A204" s="10" t="str" cm="1">
        <f t="array" aca="1" ref="A204" ca="1">IF(INDEX($H:$H,ROW()-1)&lt;&gt;$H204,$E204,"")</f>
        <v/>
      </c>
      <c r="B204" s="50" t="str" cm="1">
        <f t="array" aca="1" ref="B204" ca="1">IF($K204="","",_xlfn.LET(
_xlpm._fullName,IF($L204="",SUBSTITUTE(SUBSTITUTE(INDIRECT($K204),CHAR(10)," "),"  "," "),$L204),
_xlpm._truncatedName,IF(LEN(_xlpm._fullName)&gt;250,LEFT(_xlpm._fullName,250)&amp;"[…]",_xlpm._fullName),
HYPERLINK("#'"&amp;$E204&amp;"'!"&amp;$F204&amp;$G204,
_xlpm._truncatedName)))</f>
        <v>Factor Explanation</v>
      </c>
      <c r="C204" s="10" t="s">
        <v>705</v>
      </c>
      <c r="D204" s="10"/>
      <c r="E204" s="9" t="str">
        <f t="shared" ca="1" si="37"/>
        <v>Risk Treatment</v>
      </c>
      <c r="F204" s="9" t="str">
        <f t="shared" ca="1" si="38"/>
        <v>M</v>
      </c>
      <c r="G204" s="9" t="str">
        <f t="shared" ca="1" si="39"/>
        <v>4</v>
      </c>
      <c r="H204" s="9" cm="1">
        <f t="array" aca="1" ref="H204" ca="1">CreateID($H$35,$E204&lt;&gt;INDEX($E:$E,ROW()-1))</f>
        <v>13</v>
      </c>
      <c r="I204" s="9" t="str" cm="1">
        <f t="array" aca="1" ref="I204" ca="1">INDIRECT($K204)</f>
        <v>Factor Explanation</v>
      </c>
      <c r="K204" s="2" t="str" cm="1">
        <f t="array" aca="1" ref="K204" ca="1">CELL("address",OFFSET('Risk Treatment'!$C$4,0,ROW()-ROW($K$194)))</f>
        <v>'[QuBA-libre.xlsx]Risk Treatment'!$M$4</v>
      </c>
    </row>
    <row r="205" spans="1:11" outlineLevel="1" x14ac:dyDescent="0.25">
      <c r="A205" s="10" t="str" cm="1">
        <f t="array" aca="1" ref="A205" ca="1">IF(INDEX($H:$H,ROW()-1)&lt;&gt;$H205,$E205,"")</f>
        <v/>
      </c>
      <c r="B205" s="50" t="str" cm="1">
        <f t="array" aca="1" ref="B205" ca="1">IF($K205="","",_xlfn.LET(
_xlpm._fullName,IF($L205="",SUBSTITUTE(SUBSTITUTE(INDIRECT($K205),CHAR(10)," "),"  "," "),$L205),
_xlpm._truncatedName,IF(LEN(_xlpm._fullName)&gt;250,LEFT(_xlpm._fullName,250)&amp;"[…]",_xlpm._fullName),
HYPERLINK("#'"&amp;$E205&amp;"'!"&amp;$F205&amp;$G205,
_xlpm._truncatedName)))</f>
        <v xml:space="preserve">RAP </v>
      </c>
      <c r="C205" s="10" t="s">
        <v>706</v>
      </c>
      <c r="D205" s="10"/>
      <c r="E205" s="9" t="str">
        <f t="shared" ca="1" si="37"/>
        <v>Risk Treatment</v>
      </c>
      <c r="F205" s="9" t="str">
        <f t="shared" ca="1" si="38"/>
        <v>N</v>
      </c>
      <c r="G205" s="9" t="str">
        <f t="shared" ca="1" si="39"/>
        <v>4</v>
      </c>
      <c r="H205" s="9" cm="1">
        <f t="array" aca="1" ref="H205" ca="1">CreateID($H$35,$E205&lt;&gt;INDEX($E:$E,ROW()-1))</f>
        <v>13</v>
      </c>
      <c r="I205" s="9" t="str" cm="1">
        <f t="array" aca="1" ref="I205" ca="1">INDIRECT($K205)</f>
        <v xml:space="preserve">RAP </v>
      </c>
      <c r="K205" s="2" t="str" cm="1">
        <f t="array" aca="1" ref="K205" ca="1">CELL("address",OFFSET('Risk Treatment'!$C$4,0,ROW()-ROW($K$194)))</f>
        <v>'[QuBA-libre.xlsx]Risk Treatment'!$N$4</v>
      </c>
    </row>
    <row r="206" spans="1:11" ht="30" outlineLevel="1" x14ac:dyDescent="0.25">
      <c r="A206" s="10" t="str" cm="1">
        <f t="array" aca="1" ref="A206" ca="1">IF(INDEX($H:$H,ROW()-1)&lt;&gt;$H206,$E206,"")</f>
        <v/>
      </c>
      <c r="B206" s="50" t="str" cm="1">
        <f t="array" aca="1" ref="B206" ca="1">IF($K206="","",_xlfn.LET(
_xlpm._fullName,IF($L206="",SUBSTITUTE(SUBSTITUTE(INDIRECT($K206),CHAR(10)," "),"  "," "),$L206),
_xlpm._truncatedName,IF(LEN(_xlpm._fullName)&gt;250,LEFT(_xlpm._fullName,250)&amp;"[…]",_xlpm._fullName),
HYPERLINK("#'"&amp;$E206&amp;"'!"&amp;$F206&amp;$G206,
_xlpm._truncatedName)))</f>
        <v xml:space="preserve">Remaining Risk Level </v>
      </c>
      <c r="C206" s="10" t="s">
        <v>782</v>
      </c>
      <c r="D206" s="10"/>
      <c r="E206" s="9" t="str">
        <f t="shared" ca="1" si="37"/>
        <v>Risk Treatment</v>
      </c>
      <c r="F206" s="9" t="str">
        <f t="shared" ca="1" si="38"/>
        <v>O</v>
      </c>
      <c r="G206" s="9" t="str">
        <f t="shared" ca="1" si="39"/>
        <v>4</v>
      </c>
      <c r="H206" s="9" cm="1">
        <f t="array" aca="1" ref="H206" ca="1">CreateID($H$35,$E206&lt;&gt;INDEX($E:$E,ROW()-1))</f>
        <v>13</v>
      </c>
      <c r="I206" s="9" t="str" cm="1">
        <f t="array" aca="1" ref="I206" ca="1">INDIRECT($K206)</f>
        <v xml:space="preserve">Remaining Risk Level </v>
      </c>
      <c r="K206" s="2" t="str" cm="1">
        <f t="array" aca="1" ref="K206" ca="1">CELL("address",OFFSET('Risk Treatment'!$C$4,0,ROW()-ROW($K$194)))</f>
        <v>'[QuBA-libre.xlsx]Risk Treatment'!$O$4</v>
      </c>
    </row>
    <row r="207" spans="1:11" ht="30" outlineLevel="1" x14ac:dyDescent="0.25">
      <c r="A207" s="10" t="str" cm="1">
        <f t="array" aca="1" ref="A207" ca="1">IF(INDEX($H:$H,ROW()-1)&lt;&gt;$H207,$E207,"")</f>
        <v/>
      </c>
      <c r="B207" s="50" t="str" cm="1">
        <f t="array" aca="1" ref="B207" ca="1">IF($K207="","",_xlfn.LET(
_xlpm._fullName,IF($L207="",SUBSTITUTE(SUBSTITUTE(INDIRECT($K207),CHAR(10)," "),"  "," "),$L207),
_xlpm._truncatedName,IF(LEN(_xlpm._fullName)&gt;250,LEFT(_xlpm._fullName,250)&amp;"[…]",_xlpm._fullName),
HYPERLINK("#'"&amp;$E207&amp;"'!"&amp;$F207&amp;$G207,
_xlpm._truncatedName)))</f>
        <v>Risk Treatment Proposal</v>
      </c>
      <c r="C207" s="10" t="s">
        <v>707</v>
      </c>
      <c r="D207" s="10"/>
      <c r="E207" s="9" t="str">
        <f t="shared" ca="1" si="37"/>
        <v>Risk Treatment</v>
      </c>
      <c r="F207" s="9" t="str">
        <f t="shared" ca="1" si="38"/>
        <v>P</v>
      </c>
      <c r="G207" s="9" t="str">
        <f t="shared" ca="1" si="39"/>
        <v>4</v>
      </c>
      <c r="H207" s="9" cm="1">
        <f t="array" aca="1" ref="H207" ca="1">CreateID($H$35,$E207&lt;&gt;INDEX($E:$E,ROW()-1))</f>
        <v>13</v>
      </c>
      <c r="I207" s="9" t="str" cm="1">
        <f t="array" aca="1" ref="I207" ca="1">INDIRECT($K207)</f>
        <v>Risk Treatment Proposal</v>
      </c>
      <c r="K207" s="2" t="str" cm="1">
        <f t="array" aca="1" ref="K207" ca="1">CELL("address",OFFSET('Risk Treatment'!$C$4,0,ROW()-ROW($K$194)))</f>
        <v>'[QuBA-libre.xlsx]Risk Treatment'!$P$4</v>
      </c>
    </row>
    <row r="208" spans="1:11" ht="60" outlineLevel="1" x14ac:dyDescent="0.25">
      <c r="A208" s="10" t="str" cm="1">
        <f t="array" aca="1" ref="A208" ca="1">IF(INDEX($H:$H,ROW()-1)&lt;&gt;$H208,$E208,"")</f>
        <v/>
      </c>
      <c r="B208" s="50" t="str" cm="1">
        <f t="array" aca="1" ref="B208" ca="1">IF($K208="","",_xlfn.LET(
_xlpm._fullName,IF($L208="",SUBSTITUTE(SUBSTITUTE(INDIRECT($K208),CHAR(10)," "),"  "," "),$L208),
_xlpm._truncatedName,IF(LEN(_xlpm._fullName)&gt;250,LEFT(_xlpm._fullName,250)&amp;"[…]",_xlpm._fullName),
HYPERLINK("#'"&amp;$E208&amp;"'!"&amp;$F208&amp;$G208,
_xlpm._truncatedName)))</f>
        <v>Manual Risk Treatment</v>
      </c>
      <c r="C208" s="10" t="s">
        <v>708</v>
      </c>
      <c r="D208" s="10"/>
      <c r="E208" s="9" t="str">
        <f t="shared" ca="1" si="37"/>
        <v>Risk Treatment</v>
      </c>
      <c r="F208" s="9" t="str">
        <f t="shared" ca="1" si="38"/>
        <v>Q</v>
      </c>
      <c r="G208" s="9" t="str">
        <f t="shared" ca="1" si="39"/>
        <v>4</v>
      </c>
      <c r="H208" s="9" cm="1">
        <f t="array" aca="1" ref="H208" ca="1">CreateID($H$35,$E208&lt;&gt;INDEX($E:$E,ROW()-1))</f>
        <v>13</v>
      </c>
      <c r="I208" s="9" t="str" cm="1">
        <f t="array" aca="1" ref="I208" ca="1">INDIRECT($K208)</f>
        <v>Manual Risk Treatment</v>
      </c>
      <c r="K208" s="2" t="str" cm="1">
        <f t="array" aca="1" ref="K208" ca="1">CELL("address",OFFSET('Risk Treatment'!$C$4,0,ROW()-ROW($K$194)))</f>
        <v>'[QuBA-libre.xlsx]Risk Treatment'!$Q$4</v>
      </c>
    </row>
    <row r="209" spans="1:12" ht="75" outlineLevel="1" x14ac:dyDescent="0.25">
      <c r="A209" s="10" t="str" cm="1">
        <f t="array" aca="1" ref="A209" ca="1">IF(INDEX($H:$H,ROW()-1)&lt;&gt;$H209,$E209,"")</f>
        <v/>
      </c>
      <c r="B209" s="50" t="str" cm="1">
        <f t="array" aca="1" ref="B209" ca="1">IF($K209="","",_xlfn.LET(
_xlpm._fullName,IF($L209="",SUBSTITUTE(SUBSTITUTE(INDIRECT($K209),CHAR(10)," "),"  "," "),$L209),
_xlpm._truncatedName,IF(LEN(_xlpm._fullName)&gt;250,LEFT(_xlpm._fullName,250)&amp;"[…]",_xlpm._fullName),
HYPERLINK("#'"&amp;$E209&amp;"'!"&amp;$F209&amp;$G209,
_xlpm._truncatedName)))</f>
        <v>Risk Treatment Decision</v>
      </c>
      <c r="C209" s="10" t="s">
        <v>713</v>
      </c>
      <c r="D209" s="10"/>
      <c r="E209" s="9" t="str">
        <f t="shared" ca="1" si="37"/>
        <v>Risk Treatment</v>
      </c>
      <c r="F209" s="9" t="str">
        <f t="shared" ca="1" si="38"/>
        <v>R</v>
      </c>
      <c r="G209" s="9" t="str">
        <f t="shared" ca="1" si="39"/>
        <v>4</v>
      </c>
      <c r="H209" s="9" cm="1">
        <f t="array" aca="1" ref="H209" ca="1">CreateID($H$35,$E209&lt;&gt;INDEX($E:$E,ROW()-1))</f>
        <v>13</v>
      </c>
      <c r="I209" s="9" t="str" cm="1">
        <f t="array" aca="1" ref="I209" ca="1">INDIRECT($K209)</f>
        <v>Risk Treatment Decision</v>
      </c>
      <c r="K209" s="2" t="str" cm="1">
        <f t="array" aca="1" ref="K209" ca="1">CELL("address",OFFSET('Risk Treatment'!$C$4,0,ROW()-ROW($K$194)))</f>
        <v>'[QuBA-libre.xlsx]Risk Treatment'!$R$4</v>
      </c>
    </row>
    <row r="210" spans="1:12" outlineLevel="1" x14ac:dyDescent="0.25">
      <c r="A210" s="10" t="str" cm="1">
        <f t="array" aca="1" ref="A210" ca="1">IF(INDEX($H:$H,ROW()-1)&lt;&gt;$H210,$E210,"")</f>
        <v/>
      </c>
      <c r="B210" s="50" t="str" cm="1">
        <f t="array" aca="1" ref="B210" ca="1">IF($K210="","",_xlfn.LET(
_xlpm._fullName,IF($L210="",SUBSTITUTE(SUBSTITUTE(INDIRECT($K210),CHAR(10)," "),"  "," "),$L210),
_xlpm._truncatedName,IF(LEN(_xlpm._fullName)&gt;250,LEFT(_xlpm._fullName,250)&amp;"[…]",_xlpm._fullName),
HYPERLINK("#'"&amp;$E210&amp;"'!"&amp;$F210&amp;$G210,
_xlpm._truncatedName)))</f>
        <v>Risk Treatment Rationale / Explanation</v>
      </c>
      <c r="C210" s="10" t="s">
        <v>1755</v>
      </c>
      <c r="D210" s="10"/>
      <c r="E210" s="9" t="str">
        <f t="shared" ca="1" si="37"/>
        <v>Risk Treatment</v>
      </c>
      <c r="F210" s="9" t="str">
        <f t="shared" ca="1" si="38"/>
        <v>S</v>
      </c>
      <c r="G210" s="9" t="str">
        <f t="shared" ca="1" si="39"/>
        <v>4</v>
      </c>
      <c r="H210" s="9" cm="1">
        <f t="array" aca="1" ref="H210" ca="1">CreateID($H$35,$E210&lt;&gt;INDEX($E:$E,ROW()-1))</f>
        <v>13</v>
      </c>
      <c r="I210" s="9" t="str" cm="1">
        <f t="array" aca="1" ref="I210" ca="1">INDIRECT($K210)</f>
        <v>Risk Treatment Rationale / Explanation</v>
      </c>
      <c r="K210" s="2" t="str" cm="1">
        <f t="array" aca="1" ref="K210" ca="1">CELL("address",OFFSET('Risk Treatment'!$C$4,0,ROW()-ROW($K$194)))</f>
        <v>'[QuBA-libre.xlsx]Risk Treatment'!$S$4</v>
      </c>
    </row>
    <row r="211" spans="1:12" outlineLevel="1" x14ac:dyDescent="0.25">
      <c r="A211" s="10" t="str" cm="1">
        <f t="array" aca="1" ref="A211" ca="1">IF(INDEX($H:$H,ROW()-1)&lt;&gt;$H211,$E211,"")</f>
        <v/>
      </c>
      <c r="B211" s="50" t="str" cm="1">
        <f t="array" aca="1" ref="B211" ca="1">IF($K211="","",_xlfn.LET(
_xlpm._fullName,IF($L211="",SUBSTITUTE(SUBSTITUTE(INDIRECT($K211),CHAR(10)," "),"  "," "),$L211),
_xlpm._truncatedName,IF(LEN(_xlpm._fullName)&gt;250,LEFT(_xlpm._fullName,250)&amp;"[…]",_xlpm._fullName),
HYPERLINK("#'"&amp;$E211&amp;"'!"&amp;$F211&amp;$G211,
_xlpm._truncatedName)))</f>
        <v>Comment</v>
      </c>
      <c r="C211" s="10" t="s">
        <v>638</v>
      </c>
      <c r="D211" s="10"/>
      <c r="E211" s="9" t="str">
        <f t="shared" ca="1" si="37"/>
        <v>Risk Treatment</v>
      </c>
      <c r="F211" s="9" t="str">
        <f t="shared" ca="1" si="38"/>
        <v>T</v>
      </c>
      <c r="G211" s="9" t="str">
        <f t="shared" ca="1" si="39"/>
        <v>4</v>
      </c>
      <c r="H211" s="9" cm="1">
        <f t="array" aca="1" ref="H211" ca="1">CreateID($H$35,$E211&lt;&gt;INDEX($E:$E,ROW()-1))</f>
        <v>13</v>
      </c>
      <c r="I211" s="9" t="str" cm="1">
        <f t="array" aca="1" ref="I211" ca="1">INDIRECT($K211)</f>
        <v>Comment</v>
      </c>
      <c r="K211" s="2" t="str" cm="1">
        <f t="array" aca="1" ref="K211" ca="1">CELL("address",OFFSET('Risk Treatment'!$C$4,0,ROW()-ROW($K$194)))</f>
        <v>'[QuBA-libre.xlsx]Risk Treatment'!$T$4</v>
      </c>
    </row>
    <row r="212" spans="1:12" ht="45" outlineLevel="1" x14ac:dyDescent="0.25">
      <c r="A212" s="10" t="str" cm="1">
        <f t="array" aca="1" ref="A212" ca="1">IF(INDEX($H:$H,ROW()-1)&lt;&gt;$H212,$E212,"")</f>
        <v/>
      </c>
      <c r="B212" s="50" t="str" cm="1">
        <f t="array" aca="1" ref="B212" ca="1">IF($K212="","",_xlfn.LET(
_xlpm._fullName,IF($L212="",SUBSTITUTE(SUBSTITUTE(INDIRECT($K212),CHAR(10)," "),"  "," "),$L212),
_xlpm._truncatedName,IF(LEN(_xlpm._fullName)&gt;250,LEFT(_xlpm._fullName,250)&amp;"[…]",_xlpm._fullName),
HYPERLINK("#'"&amp;$E212&amp;"'!"&amp;$F212&amp;$G212,
_xlpm._truncatedName)))</f>
        <v>Open IDs</v>
      </c>
      <c r="C212" s="10" t="s">
        <v>714</v>
      </c>
      <c r="D212" s="10"/>
      <c r="E212" s="9" t="str">
        <f t="shared" ca="1" si="37"/>
        <v>Risk Treatment</v>
      </c>
      <c r="F212" s="9" t="str">
        <f t="shared" ca="1" si="38"/>
        <v>D</v>
      </c>
      <c r="G212" s="9" t="str">
        <f t="shared" ca="1" si="39"/>
        <v>2</v>
      </c>
      <c r="H212" s="9" cm="1">
        <f t="array" aca="1" ref="H212" ca="1">CreateID($H$35,$E212&lt;&gt;INDEX($E:$E,ROW()-1))</f>
        <v>13</v>
      </c>
      <c r="I212" s="9" t="str" cm="1">
        <f t="array" aca="1" ref="I212" ca="1">INDIRECT($K212)</f>
        <v/>
      </c>
      <c r="K212" s="2" t="str" cm="1">
        <f t="array" aca="1" ref="K212" ca="1">CELL("address",OFFSET('Risk Treatment'!$D$2,0,ROW()-ROW($K$212)))</f>
        <v>'[QuBA-libre.xlsx]Risk Treatment'!$D$2</v>
      </c>
      <c r="L212" s="2" t="s">
        <v>397</v>
      </c>
    </row>
    <row r="213" spans="1:12" ht="45" x14ac:dyDescent="0.25">
      <c r="A213" s="10" t="str" cm="1">
        <f t="array" aca="1" ref="A213" ca="1">IF(INDEX($H:$H,ROW()-1)&lt;&gt;$H213,$E213,"")</f>
        <v>Result</v>
      </c>
      <c r="B213" s="50" t="str" cm="1">
        <f t="array" aca="1" ref="B213" ca="1">IF($K213="","",_xlfn.LET(
_xlpm._fullName,IF($L213="",SUBSTITUTE(SUBSTITUTE(INDIRECT($K213),CHAR(10)," "),"  "," "),$L213),
_xlpm._truncatedName,IF(LEN(_xlpm._fullName)&gt;250,LEFT(_xlpm._fullName,250)&amp;"[…]",_xlpm._fullName),
HYPERLINK("#'"&amp;$E213&amp;"'!"&amp;$F213&amp;$G213,
_xlpm._truncatedName)))</f>
        <v>ID</v>
      </c>
      <c r="C213" s="10" t="s">
        <v>716</v>
      </c>
      <c r="D213" s="10"/>
      <c r="E213" s="9" t="str">
        <f ca="1">IF($K213="","",_xlfn.LET(
_xlpm._in,$K213,
_xlpm._start,FIND("]",_xlpm._in)+1,
SUBSTITUTE(MID(_xlpm._in,_xlpm._start,FIND("!",_xlpm._in)-_xlpm._start),"'","")))</f>
        <v>Result</v>
      </c>
      <c r="F213" s="9" t="str">
        <f ca="1">IF($K213="","",_xlfn.LET(
_xlpm._in,SUBSTITUTE($K213,"$","§",1),
_xlpm._start,FIND("§",_xlpm._in)+1,
SUBSTITUTE(MID(_xlpm._in,_xlpm._start,FIND("$",_xlpm._in)-_xlpm._start),"'","")))</f>
        <v>A</v>
      </c>
      <c r="G213" s="9" t="str">
        <f ca="1">IF($K213="","",RIGHT($K213,LEN($K213)-FIND("$",SUBSTITUTE($K213,"$","§",1))))</f>
        <v>17</v>
      </c>
      <c r="H213" s="9" cm="1">
        <f t="array" aca="1" ref="H213" ca="1">CreateID($H$35,$E213&lt;&gt;INDEX($E:$E,ROW()-1))</f>
        <v>14</v>
      </c>
      <c r="I213" s="9" t="str" cm="1">
        <f t="array" aca="1" ref="I213" ca="1">INDIRECT($K213)</f>
        <v>ID</v>
      </c>
      <c r="K213" s="2" t="str" cm="1">
        <f t="array" aca="1" ref="K213" ca="1">CELL("address",OFFSET(Result!$A$17,0,ROW()-ROW($K$213)))</f>
        <v>'[QuBA-libre.xlsx]Result'!$A$17</v>
      </c>
    </row>
    <row r="214" spans="1:12" ht="30" outlineLevel="1" x14ac:dyDescent="0.25">
      <c r="A214" s="10" t="str" cm="1">
        <f t="array" aca="1" ref="A214" ca="1">IF(INDEX($H:$H,ROW()-1)&lt;&gt;$H214,$E214,"")</f>
        <v/>
      </c>
      <c r="B214" s="50" t="str" cm="1">
        <f t="array" aca="1" ref="B214" ca="1">IF($K214="","",_xlfn.LET(
_xlpm._fullName,IF($L214="",SUBSTITUTE(SUBSTITUTE(INDIRECT($K214),CHAR(10)," "),"  "," "),$L214),
_xlpm._truncatedName,IF(LEN(_xlpm._fullName)&gt;250,LEFT(_xlpm._fullName,250)&amp;"[…]",_xlpm._fullName),
HYPERLINK("#'"&amp;$E214&amp;"'!"&amp;$F214&amp;$G214,
_xlpm._truncatedName)))</f>
        <v>Name</v>
      </c>
      <c r="C214" s="10" t="s">
        <v>715</v>
      </c>
      <c r="D214" s="10"/>
      <c r="E214" s="9" t="str">
        <f t="shared" ref="E214:E261" ca="1" si="40">IF($K214="","",_xlfn.LET(
_xlpm._in,$K214,
_xlpm._start,FIND("]",_xlpm._in)+1,
SUBSTITUTE(MID(_xlpm._in,_xlpm._start,FIND("!",_xlpm._in)-_xlpm._start),"'","")))</f>
        <v>Result</v>
      </c>
      <c r="F214" s="9" t="str">
        <f t="shared" ref="F214:F261" ca="1" si="41">IF($K214="","",_xlfn.LET(
_xlpm._in,SUBSTITUTE($K214,"$","§",1),
_xlpm._start,FIND("§",_xlpm._in)+1,
SUBSTITUTE(MID(_xlpm._in,_xlpm._start,FIND("$",_xlpm._in)-_xlpm._start),"'","")))</f>
        <v>B</v>
      </c>
      <c r="G214" s="9" t="str">
        <f t="shared" ref="G214:G261" ca="1" si="42">IF($K214="","",RIGHT($K214,LEN($K214)-FIND("$",SUBSTITUTE($K214,"$","§",1))))</f>
        <v>17</v>
      </c>
      <c r="H214" s="9" cm="1">
        <f t="array" aca="1" ref="H214" ca="1">CreateID($H$35,$E214&lt;&gt;INDEX($E:$E,ROW()-1))</f>
        <v>14</v>
      </c>
      <c r="I214" s="9" t="str" cm="1">
        <f t="array" aca="1" ref="I214" ca="1">INDIRECT($K214)</f>
        <v>Name</v>
      </c>
      <c r="K214" s="2" t="str" cm="1">
        <f t="array" aca="1" ref="K214" ca="1">CELL("address",OFFSET(Result!$A$17,0,ROW()-ROW($K$213)))</f>
        <v>'[QuBA-libre.xlsx]Result'!$B$17</v>
      </c>
    </row>
    <row r="215" spans="1:12" ht="60" outlineLevel="1" x14ac:dyDescent="0.25">
      <c r="A215" s="10" t="str" cm="1">
        <f t="array" aca="1" ref="A215" ca="1">IF(INDEX($H:$H,ROW()-1)&lt;&gt;$H215,$E215,"")</f>
        <v/>
      </c>
      <c r="B215" s="50" t="str" cm="1">
        <f t="array" aca="1" ref="B215" ca="1">IF($K215="","",_xlfn.LET(
_xlpm._fullName,IF($L215="",SUBSTITUTE(SUBSTITUTE(INDIRECT($K215),CHAR(10)," "),"  "," "),$L215),
_xlpm._truncatedName,IF(LEN(_xlpm._fullName)&gt;250,LEFT(_xlpm._fullName,250)&amp;"[…]",_xlpm._fullName),
HYPERLINK("#'"&amp;$E215&amp;"'!"&amp;$F215&amp;$G215,
_xlpm._truncatedName)))</f>
        <v>Stakeholder</v>
      </c>
      <c r="C215" s="10" t="s">
        <v>717</v>
      </c>
      <c r="D215" s="10"/>
      <c r="E215" s="9" t="str">
        <f t="shared" ca="1" si="40"/>
        <v>Result</v>
      </c>
      <c r="F215" s="9" t="str">
        <f t="shared" ca="1" si="41"/>
        <v>C</v>
      </c>
      <c r="G215" s="9" t="str">
        <f t="shared" ca="1" si="42"/>
        <v>17</v>
      </c>
      <c r="H215" s="9" cm="1">
        <f t="array" aca="1" ref="H215" ca="1">CreateID($H$35,$E215&lt;&gt;INDEX($E:$E,ROW()-1))</f>
        <v>14</v>
      </c>
      <c r="I215" s="9" t="str" cm="1">
        <f t="array" aca="1" ref="I215" ca="1">INDIRECT($K215)</f>
        <v>Stakeholder</v>
      </c>
      <c r="K215" s="2" t="str" cm="1">
        <f t="array" aca="1" ref="K215" ca="1">CELL("address",OFFSET(Result!$A$17,0,ROW()-ROW($K$213)))</f>
        <v>'[QuBA-libre.xlsx]Result'!$C$17</v>
      </c>
    </row>
    <row r="216" spans="1:12" ht="165" outlineLevel="1" x14ac:dyDescent="0.25">
      <c r="A216" s="10" t="str" cm="1">
        <f t="array" aca="1" ref="A216" ca="1">IF(INDEX($H:$H,ROW()-1)&lt;&gt;$H216,$E216,"")</f>
        <v/>
      </c>
      <c r="B216" s="50" t="str" cm="1">
        <f t="array" aca="1" ref="B216" ca="1">IF($K216="","",_xlfn.LET(
_xlpm._fullName,IF($L216="",SUBSTITUTE(SUBSTITUTE(INDIRECT($K216),CHAR(10)," "),"  "," "),$L216),
_xlpm._truncatedName,IF(LEN(_xlpm._fullName)&gt;250,LEFT(_xlpm._fullName,250)&amp;"[…]",_xlpm._fullName),
HYPERLINK("#'"&amp;$E216&amp;"'!"&amp;$F216&amp;$G216,
_xlpm._truncatedName)))</f>
        <v>Additional Information</v>
      </c>
      <c r="C216" s="10" t="s">
        <v>718</v>
      </c>
      <c r="D216" s="10"/>
      <c r="E216" s="9" t="str">
        <f t="shared" ca="1" si="40"/>
        <v>Result</v>
      </c>
      <c r="F216" s="9" t="str">
        <f t="shared" ca="1" si="41"/>
        <v>D</v>
      </c>
      <c r="G216" s="9" t="str">
        <f t="shared" ca="1" si="42"/>
        <v>17</v>
      </c>
      <c r="H216" s="9" cm="1">
        <f t="array" aca="1" ref="H216" ca="1">CreateID($H$35,$E216&lt;&gt;INDEX($E:$E,ROW()-1))</f>
        <v>14</v>
      </c>
      <c r="I216" s="9" t="str" cm="1">
        <f t="array" aca="1" ref="I216" ca="1">INDIRECT($K216)</f>
        <v>Additional Information</v>
      </c>
      <c r="K216" s="2" t="str" cm="1">
        <f t="array" aca="1" ref="K216" ca="1">CELL("address",OFFSET(Result!$A$17,0,ROW()-ROW($K$213)))</f>
        <v>'[QuBA-libre.xlsx]Result'!$D$17</v>
      </c>
    </row>
    <row r="217" spans="1:12" ht="30" outlineLevel="1" x14ac:dyDescent="0.25">
      <c r="A217" s="10" t="str" cm="1">
        <f t="array" aca="1" ref="A217" ca="1">IF(INDEX($H:$H,ROW()-1)&lt;&gt;$H217,$E217,"")</f>
        <v/>
      </c>
      <c r="B217" s="50" t="str" cm="1">
        <f t="array" aca="1" ref="B217" ca="1">IF($K217="","",_xlfn.LET(
_xlpm._fullName,IF($L217="",SUBSTITUTE(SUBSTITUTE(INDIRECT($K217),CHAR(10)," "),"  "," "),$L217),
_xlpm._truncatedName,IF(LEN(_xlpm._fullName)&gt;250,LEFT(_xlpm._fullName,250)&amp;"[…]",_xlpm._fullName),
HYPERLINK("#'"&amp;$E217&amp;"'!"&amp;$F217&amp;$G217,
_xlpm._truncatedName)))</f>
        <v>Go to ID</v>
      </c>
      <c r="C217" s="10" t="s">
        <v>719</v>
      </c>
      <c r="D217" s="10"/>
      <c r="E217" s="9" t="str">
        <f t="shared" ca="1" si="40"/>
        <v>Result</v>
      </c>
      <c r="F217" s="9" t="str">
        <f t="shared" ca="1" si="41"/>
        <v>E</v>
      </c>
      <c r="G217" s="9" t="str">
        <f t="shared" ca="1" si="42"/>
        <v>17</v>
      </c>
      <c r="H217" s="9" cm="1">
        <f t="array" aca="1" ref="H217" ca="1">CreateID($H$35,$E217&lt;&gt;INDEX($E:$E,ROW()-1))</f>
        <v>14</v>
      </c>
      <c r="I217" s="9" t="str" cm="1">
        <f t="array" aca="1" ref="I217" ca="1">INDIRECT($K217)</f>
        <v>Go to ID</v>
      </c>
      <c r="K217" s="2" t="str" cm="1">
        <f t="array" aca="1" ref="K217" ca="1">CELL("address",OFFSET(Result!$A$17,0,ROW()-ROW($K$213)))</f>
        <v>'[QuBA-libre.xlsx]Result'!$E$17</v>
      </c>
    </row>
    <row r="218" spans="1:12" ht="105" outlineLevel="1" x14ac:dyDescent="0.25">
      <c r="A218" s="10" t="str" cm="1">
        <f t="array" aca="1" ref="A218" ca="1">IF(INDEX($H:$H,ROW()-1)&lt;&gt;$H218,$E218,"")</f>
        <v/>
      </c>
      <c r="B218" s="50" t="str" cm="1">
        <f t="array" aca="1" ref="B218" ca="1">IF($K218="","",_xlfn.LET(
_xlpm._fullName,IF($L218="",SUBSTITUTE(SUBSTITUTE(INDIRECT($K218),CHAR(10)," "),"  "," "),$L218),
_xlpm._truncatedName,IF(LEN(_xlpm._fullName)&gt;250,LEFT(_xlpm._fullName,250)&amp;"[…]",_xlpm._fullName),
HYPERLINK("#'"&amp;$E218&amp;"'!"&amp;$F218&amp;$G218,
_xlpm._truncatedName)))</f>
        <v>Link</v>
      </c>
      <c r="C218" s="10" t="s">
        <v>720</v>
      </c>
      <c r="D218" s="10"/>
      <c r="E218" s="9" t="str">
        <f t="shared" ca="1" si="40"/>
        <v>Result</v>
      </c>
      <c r="F218" s="9" t="str">
        <f t="shared" ca="1" si="41"/>
        <v>F</v>
      </c>
      <c r="G218" s="9" t="str">
        <f t="shared" ca="1" si="42"/>
        <v>17</v>
      </c>
      <c r="H218" s="9" cm="1">
        <f t="array" aca="1" ref="H218" ca="1">CreateID($H$35,$E218&lt;&gt;INDEX($E:$E,ROW()-1))</f>
        <v>14</v>
      </c>
      <c r="I218" s="9" t="str" cm="1">
        <f t="array" aca="1" ref="I218" ca="1">INDIRECT($K218)</f>
        <v>Link</v>
      </c>
      <c r="K218" s="2" t="str" cm="1">
        <f t="array" aca="1" ref="K218" ca="1">CELL("address",OFFSET(Result!$A$17,0,ROW()-ROW($K$213)))</f>
        <v>'[QuBA-libre.xlsx]Result'!$F$17</v>
      </c>
    </row>
    <row r="219" spans="1:12" outlineLevel="1" x14ac:dyDescent="0.25">
      <c r="A219" s="10" t="str" cm="1">
        <f t="array" aca="1" ref="A219" ca="1">IF(INDEX($H:$H,ROW()-1)&lt;&gt;$H219,$E219,"")</f>
        <v/>
      </c>
      <c r="B219" s="50" t="str" cm="1">
        <f t="array" aca="1" ref="B219" ca="1">IF($K219="","",_xlfn.LET(
_xlpm._fullName,IF($L219="",SUBSTITUTE(SUBSTITUTE(INDIRECT($K219),CHAR(10)," "),"  "," "),$L219),
_xlpm._truncatedName,IF(LEN(_xlpm._fullName)&gt;250,LEFT(_xlpm._fullName,250)&amp;"[…]",_xlpm._fullName),
HYPERLINK("#'"&amp;$E219&amp;"'!"&amp;$F219&amp;$G219,
_xlpm._truncatedName)))</f>
        <v>Reference</v>
      </c>
      <c r="C219" s="10" t="s">
        <v>1484</v>
      </c>
      <c r="D219" s="10"/>
      <c r="E219" s="9" t="str">
        <f ca="1">IF($K219="","",_xlfn.LET(
_xlpm._in,$K219,
_xlpm._start,FIND("]",_xlpm._in)+1,
SUBSTITUTE(MID(_xlpm._in,_xlpm._start,FIND("!",_xlpm._in)-_xlpm._start),"'","")))</f>
        <v>Result</v>
      </c>
      <c r="F219" s="9" t="str">
        <f ca="1">IF($K219="","",_xlfn.LET(
_xlpm._in,SUBSTITUTE($K219,"$","§",1),
_xlpm._start,FIND("§",_xlpm._in)+1,
SUBSTITUTE(MID(_xlpm._in,_xlpm._start,FIND("$",_xlpm._in)-_xlpm._start),"'","")))</f>
        <v>G</v>
      </c>
      <c r="G219" s="9" t="str">
        <f ca="1">IF($K219="","",RIGHT($K219,LEN($K219)-FIND("$",SUBSTITUTE($K219,"$","§",1))))</f>
        <v>17</v>
      </c>
      <c r="H219" s="9" cm="1">
        <f t="array" aca="1" ref="H219" ca="1">CreateID($H$35,$E219&lt;&gt;INDEX($E:$E,ROW()-1))</f>
        <v>14</v>
      </c>
      <c r="I219" s="9" t="str" cm="1">
        <f t="array" aca="1" ref="I219" ca="1">INDIRECT($K219)</f>
        <v>Reference</v>
      </c>
      <c r="K219" s="2" t="str" cm="1">
        <f t="array" aca="1" ref="K219" ca="1">CELL("address",OFFSET(Result!$A$17,0,ROW()-ROW($K$213)))</f>
        <v>'[QuBA-libre.xlsx]Result'!$G$17</v>
      </c>
    </row>
    <row r="220" spans="1:12" ht="45" outlineLevel="1" x14ac:dyDescent="0.25">
      <c r="A220" s="10" t="str" cm="1">
        <f t="array" aca="1" ref="A220" ca="1">IF(INDEX($H:$H,ROW()-1)&lt;&gt;$H220,$E220,"")</f>
        <v/>
      </c>
      <c r="B220" s="50" t="str" cm="1">
        <f t="array" aca="1" ref="B220" ca="1">IF($K220="","",_xlfn.LET(
_xlpm._fullName,IF($L220="",SUBSTITUTE(SUBSTITUTE(INDIRECT($K220),CHAR(10)," "),"  "," "),$L220),
_xlpm._truncatedName,IF(LEN(_xlpm._fullName)&gt;250,LEFT(_xlpm._fullName,250)&amp;"[…]",_xlpm._fullName),
HYPERLINK("#'"&amp;$E220&amp;"'!"&amp;$F220&amp;$G220,
_xlpm._truncatedName)))</f>
        <v>Diplay at most # APs (empty = all)</v>
      </c>
      <c r="C220" s="10" t="s">
        <v>797</v>
      </c>
      <c r="D220" s="10"/>
      <c r="E220" s="9" t="str">
        <f t="shared" ref="E220:E222" ca="1" si="43">IF($K220="","",_xlfn.LET(
_xlpm._in,$K220,
_xlpm._start,FIND("]",_xlpm._in)+1,
SUBSTITUTE(MID(_xlpm._in,_xlpm._start,FIND("!",_xlpm._in)-_xlpm._start),"'","")))</f>
        <v>Result</v>
      </c>
      <c r="F220" s="9" t="str">
        <f t="shared" ref="F220:F222" ca="1" si="44">IF($K220="","",_xlfn.LET(
_xlpm._in,SUBSTITUTE($K220,"$","§",1),
_xlpm._start,FIND("§",_xlpm._in)+1,
SUBSTITUTE(MID(_xlpm._in,_xlpm._start,FIND("$",_xlpm._in)-_xlpm._start),"'","")))</f>
        <v>H</v>
      </c>
      <c r="G220" s="9" t="str">
        <f t="shared" ref="G220:G222" ca="1" si="45">IF($K220="","",RIGHT($K220,LEN($K220)-FIND("$",SUBSTITUTE($K220,"$","§",1))))</f>
        <v>17</v>
      </c>
      <c r="H220" s="9" cm="1">
        <f t="array" aca="1" ref="H220" ca="1">CreateID($H$35,$E220&lt;&gt;INDEX($E:$E,ROW()-1))</f>
        <v>14</v>
      </c>
      <c r="I220" s="9" t="str" cm="1">
        <f t="array" aca="1" ref="I220" ca="1">INDIRECT($K220)</f>
        <v>Diplay at most # APs (empty = all)</v>
      </c>
      <c r="K220" s="2" t="str" cm="1">
        <f t="array" aca="1" ref="K220" ca="1">CELL("address",OFFSET(Result!$A$17,0,ROW()-ROW($K$213)))</f>
        <v>'[QuBA-libre.xlsx]Result'!$H$17</v>
      </c>
    </row>
    <row r="221" spans="1:12" ht="45" outlineLevel="1" x14ac:dyDescent="0.25">
      <c r="A221" s="10" t="str" cm="1">
        <f t="array" aca="1" ref="A221" ca="1">IF(INDEX($H:$H,ROW()-1)&lt;&gt;$H221,$E221,"")</f>
        <v/>
      </c>
      <c r="B221" s="50" t="str" cm="1">
        <f t="array" aca="1" ref="B221" ca="1">IF($K221="","",_xlfn.LET(
_xlpm._fullName,IF($L221="",SUBSTITUTE(SUBSTITUTE(INDIRECT($K221),CHAR(10)," "),"  "," "),$L221),
_xlpm._truncatedName,IF(LEN(_xlpm._fullName)&gt;250,LEFT(_xlpm._fullName,250)&amp;"[…]",_xlpm._fullName),
HYPERLINK("#'"&amp;$E221&amp;"'!"&amp;$F221&amp;$G221,
_xlpm._truncatedName)))</f>
        <v>Highest Risks Without This</v>
      </c>
      <c r="C221" s="10" t="s">
        <v>1506</v>
      </c>
      <c r="D221" s="10"/>
      <c r="E221" s="9" t="str">
        <f t="shared" ca="1" si="43"/>
        <v>Result</v>
      </c>
      <c r="F221" s="9" t="str">
        <f t="shared" ca="1" si="44"/>
        <v>I</v>
      </c>
      <c r="G221" s="9" t="str">
        <f t="shared" ca="1" si="45"/>
        <v>17</v>
      </c>
      <c r="H221" s="9" cm="1">
        <f t="array" aca="1" ref="H221" ca="1">CreateID($H$35,$E221&lt;&gt;INDEX($E:$E,ROW()-1))</f>
        <v>14</v>
      </c>
      <c r="I221" s="9" t="str" cm="1">
        <f t="array" aca="1" ref="I221" ca="1">INDIRECT($K221)</f>
        <v>Highest Risks Without This</v>
      </c>
      <c r="K221" s="2" t="str" cm="1">
        <f t="array" aca="1" ref="K221" ca="1">CELL("address",OFFSET(Result!$A$17,0,ROW()-ROW($K$213)))</f>
        <v>'[QuBA-libre.xlsx]Result'!$I$17</v>
      </c>
    </row>
    <row r="222" spans="1:12" ht="45" outlineLevel="1" x14ac:dyDescent="0.25">
      <c r="A222" s="10" t="str" cm="1">
        <f t="array" aca="1" ref="A222" ca="1">IF(INDEX($H:$H,ROW()-1)&lt;&gt;$H222,$E222,"")</f>
        <v/>
      </c>
      <c r="B222" s="50" t="str" cm="1">
        <f t="array" aca="1" ref="B222" ca="1">IF($K222="","",_xlfn.LET(
_xlpm._fullName,IF($L222="",SUBSTITUTE(SUBSTITUTE(INDIRECT($K222),CHAR(10)," "),"  "," "),$L222),
_xlpm._truncatedName,IF(LEN(_xlpm._fullName)&gt;250,LEFT(_xlpm._fullName,250)&amp;"[…]",_xlpm._fullName),
HYPERLINK("#'"&amp;$E222&amp;"'!"&amp;$F222&amp;$G222,
_xlpm._truncatedName)))</f>
        <v>Highest Risks With This</v>
      </c>
      <c r="C222" s="10" t="s">
        <v>1507</v>
      </c>
      <c r="D222" s="10"/>
      <c r="E222" s="9" t="str">
        <f t="shared" ca="1" si="43"/>
        <v>Result</v>
      </c>
      <c r="F222" s="9" t="str">
        <f t="shared" ca="1" si="44"/>
        <v>J</v>
      </c>
      <c r="G222" s="9" t="str">
        <f t="shared" ca="1" si="45"/>
        <v>17</v>
      </c>
      <c r="H222" s="9" cm="1">
        <f t="array" aca="1" ref="H222" ca="1">CreateID($H$35,$E222&lt;&gt;INDEX($E:$E,ROW()-1))</f>
        <v>14</v>
      </c>
      <c r="I222" s="9" t="str" cm="1">
        <f t="array" aca="1" ref="I222" ca="1">INDIRECT($K222)</f>
        <v>Highest Risks With This</v>
      </c>
      <c r="K222" s="2" t="str" cm="1">
        <f t="array" aca="1" ref="K222" ca="1">CELL("address",OFFSET(Result!$A$17,0,ROW()-ROW($K$213)))</f>
        <v>'[QuBA-libre.xlsx]Result'!$J$17</v>
      </c>
    </row>
    <row r="223" spans="1:12" ht="30" outlineLevel="1" x14ac:dyDescent="0.25">
      <c r="A223" s="10" t="str" cm="1">
        <f t="array" aca="1" ref="A223" ca="1">IF(INDEX($H:$H,ROW()-1)&lt;&gt;$H223,$E223,"")</f>
        <v/>
      </c>
      <c r="B223" s="50" t="str" cm="1">
        <f t="array" aca="1" ref="B223" ca="1">IF($K223="","",_xlfn.LET(
_xlpm._fullName,IF($L223="",SUBSTITUTE(SUBSTITUTE(INDIRECT($K223),CHAR(10)," "),"  "," "),$L223),
_xlpm._truncatedName,IF(LEN(_xlpm._fullName)&gt;250,LEFT(_xlpm._fullName,250)&amp;"[…]",_xlpm._fullName),
HYPERLINK("#'"&amp;$E223&amp;"'!"&amp;$F223&amp;$G223,
_xlpm._truncatedName)))</f>
        <v>Comment</v>
      </c>
      <c r="C223" s="10" t="s">
        <v>721</v>
      </c>
      <c r="D223" s="10"/>
      <c r="E223" s="9" t="str">
        <f t="shared" ca="1" si="40"/>
        <v>Result</v>
      </c>
      <c r="F223" s="9" t="str">
        <f t="shared" ca="1" si="41"/>
        <v>K</v>
      </c>
      <c r="G223" s="9" t="str">
        <f t="shared" ca="1" si="42"/>
        <v>17</v>
      </c>
      <c r="H223" s="9" cm="1">
        <f t="array" aca="1" ref="H223" ca="1">CreateID($H$35,$E223&lt;&gt;INDEX($E:$E,ROW()-1))</f>
        <v>14</v>
      </c>
      <c r="I223" s="9" t="str" cm="1">
        <f t="array" aca="1" ref="I223" ca="1">INDIRECT($K223)</f>
        <v>Comment</v>
      </c>
      <c r="K223" s="2" t="str" cm="1">
        <f t="array" aca="1" ref="K223" ca="1">CELL("address",OFFSET(Result!$A$17,0,ROW()-ROW($K$213)))</f>
        <v>'[QuBA-libre.xlsx]Result'!$K$17</v>
      </c>
    </row>
    <row r="224" spans="1:12" x14ac:dyDescent="0.25">
      <c r="A224" s="10" t="str" cm="1">
        <f t="array" aca="1" ref="A224" ca="1">IF(INDEX($H:$H,ROW()-1)&lt;&gt;$H224,$E224,"")</f>
        <v>Annex I 1.2 Report</v>
      </c>
      <c r="B224" s="50" t="str" cm="1">
        <f t="array" aca="1" ref="B224" ca="1">IF($K224="","",_xlfn.LET(
_xlpm._fullName,IF($L224="",SUBSTITUTE(SUBSTITUTE(INDIRECT($K224),CHAR(10)," "),"  "," "),$L224),
_xlpm._truncatedName,IF(LEN(_xlpm._fullName)&gt;250,LEFT(_xlpm._fullName,250)&amp;"[…]",_xlpm._fullName),
HYPERLINK("#'"&amp;$E224&amp;"'!"&amp;$F224&amp;$G224,
_xlpm._truncatedName)))</f>
        <v>Letter</v>
      </c>
      <c r="C224" s="10" t="s">
        <v>1458</v>
      </c>
      <c r="D224" s="10"/>
      <c r="E224" s="9" t="str">
        <f t="shared" ca="1" si="40"/>
        <v>Annex I 1.2 Report</v>
      </c>
      <c r="F224" s="9" t="str">
        <f t="shared" ca="1" si="41"/>
        <v>A</v>
      </c>
      <c r="G224" s="9" t="str">
        <f t="shared" ca="1" si="42"/>
        <v>2</v>
      </c>
      <c r="H224" s="9" cm="1">
        <f t="array" aca="1" ref="H224" ca="1">CreateID($H$35,$E224&lt;&gt;INDEX($E:$E,ROW()-1))</f>
        <v>15</v>
      </c>
      <c r="I224" s="9" t="str" cm="1">
        <f t="array" aca="1" ref="I224" ca="1">INDIRECT($K224)</f>
        <v>Letter</v>
      </c>
      <c r="K224" s="2" t="str" cm="1">
        <f t="array" aca="1" ref="K224" ca="1">CELL("address",OFFSET('Annex I 1.2 Report'!$A$2,0,ROW()-ROW($K$224)))</f>
        <v>'[QuBA-libre.xlsx]Annex I 1.2 Report'!$A$2</v>
      </c>
    </row>
    <row r="225" spans="1:11" outlineLevel="1" x14ac:dyDescent="0.25">
      <c r="A225" s="10" t="str" cm="1">
        <f t="array" aca="1" ref="A225" ca="1">IF(INDEX($H:$H,ROW()-1)&lt;&gt;$H225,$E225,"")</f>
        <v/>
      </c>
      <c r="B225" s="50" t="str" cm="1">
        <f t="array" aca="1" ref="B225" ca="1">IF($K225="","",_xlfn.LET(
_xlpm._fullName,IF($L225="",SUBSTITUTE(SUBSTITUTE(INDIRECT($K225),CHAR(10)," "),"  "," "),$L225),
_xlpm._truncatedName,IF(LEN(_xlpm._fullName)&gt;250,LEFT(_xlpm._fullName,250)&amp;"[…]",_xlpm._fullName),
HYPERLINK("#'"&amp;$E225&amp;"'!"&amp;$F225&amp;$G225,
_xlpm._truncatedName)))</f>
        <v>Products with digital elements shall…</v>
      </c>
      <c r="C225" s="10" t="s">
        <v>722</v>
      </c>
      <c r="D225" s="10"/>
      <c r="E225" s="9" t="str">
        <f t="shared" ca="1" si="40"/>
        <v>Annex I 1.2 Report</v>
      </c>
      <c r="F225" s="9" t="str">
        <f t="shared" ca="1" si="41"/>
        <v>B</v>
      </c>
      <c r="G225" s="9" t="str">
        <f t="shared" ca="1" si="42"/>
        <v>2</v>
      </c>
      <c r="H225" s="9" cm="1">
        <f t="array" aca="1" ref="H225" ca="1">CreateID($H$35,$E225&lt;&gt;INDEX($E:$E,ROW()-1))</f>
        <v>15</v>
      </c>
      <c r="I225" s="9" t="str" cm="1">
        <f t="array" aca="1" ref="I225" ca="1">INDIRECT($K225)</f>
        <v>Products with digital elements shall…</v>
      </c>
      <c r="K225" s="2" t="str" cm="1">
        <f t="array" aca="1" ref="K225" ca="1">CELL("address",OFFSET('Annex I 1.2 Report'!$A$2,0,ROW()-ROW($K$224)))</f>
        <v>'[QuBA-libre.xlsx]Annex I 1.2 Report'!$B$2</v>
      </c>
    </row>
    <row r="226" spans="1:11" ht="105" outlineLevel="1" x14ac:dyDescent="0.25">
      <c r="A226" s="10" t="str" cm="1">
        <f t="array" aca="1" ref="A226" ca="1">IF(INDEX($H:$H,ROW()-1)&lt;&gt;$H226,$E226,"")</f>
        <v/>
      </c>
      <c r="B226" s="50" t="str" cm="1">
        <f t="array" aca="1" ref="B226" ca="1">IF($K226="","",_xlfn.LET(
_xlpm._fullName,IF($L226="",SUBSTITUTE(SUBSTITUTE(INDIRECT($K226),CHAR(10)," "),"  "," "),$L226),
_xlpm._truncatedName,IF(LEN(_xlpm._fullName)&gt;250,LEFT(_xlpm._fullName,250)&amp;"[…]",_xlpm._fullName),
HYPERLINK("#'"&amp;$E226&amp;"'!"&amp;$F226&amp;$G226,
_xlpm._truncatedName)))</f>
        <v>Implemented by</v>
      </c>
      <c r="C226" s="10" t="s">
        <v>1459</v>
      </c>
      <c r="D226" s="10"/>
      <c r="E226" s="9" t="str">
        <f t="shared" ca="1" si="40"/>
        <v>Annex I 1.2 Report</v>
      </c>
      <c r="F226" s="9" t="str">
        <f t="shared" ca="1" si="41"/>
        <v>C</v>
      </c>
      <c r="G226" s="9" t="str">
        <f t="shared" ca="1" si="42"/>
        <v>2</v>
      </c>
      <c r="H226" s="9" cm="1">
        <f t="array" aca="1" ref="H226" ca="1">CreateID($H$35,$E226&lt;&gt;INDEX($E:$E,ROW()-1))</f>
        <v>15</v>
      </c>
      <c r="I226" s="9" t="str" cm="1">
        <f t="array" aca="1" ref="I226" ca="1">INDIRECT($K226)</f>
        <v>Implemented by</v>
      </c>
      <c r="K226" s="2" t="str" cm="1">
        <f t="array" aca="1" ref="K226" ca="1">CELL("address",OFFSET('Annex I 1.2 Report'!$A$2,0,ROW()-ROW($K$224)))</f>
        <v>'[QuBA-libre.xlsx]Annex I 1.2 Report'!$C$2</v>
      </c>
    </row>
    <row r="227" spans="1:11" ht="30" outlineLevel="1" x14ac:dyDescent="0.25">
      <c r="A227" s="10" t="str" cm="1">
        <f t="array" aca="1" ref="A227" ca="1">IF(INDEX($H:$H,ROW()-1)&lt;&gt;$H227,$E227,"")</f>
        <v/>
      </c>
      <c r="B227" s="50" t="str" cm="1">
        <f t="array" aca="1" ref="B227" ca="1">IF($K227="","",_xlfn.LET(
_xlpm._fullName,IF($L227="",SUBSTITUTE(SUBSTITUTE(INDIRECT($K227),CHAR(10)," "),"  "," "),$L227),
_xlpm._truncatedName,IF(LEN(_xlpm._fullName)&gt;250,LEFT(_xlpm._fullName,250)&amp;"[…]",_xlpm._fullName),
HYPERLINK("#'"&amp;$E227&amp;"'!"&amp;$F227&amp;$G227,
_xlpm._truncatedName)))</f>
        <v>Countermeasure / Assumption Names</v>
      </c>
      <c r="C227" s="10" t="s">
        <v>723</v>
      </c>
      <c r="D227" s="10"/>
      <c r="E227" s="9" t="str">
        <f t="shared" ca="1" si="40"/>
        <v>Annex I 1.2 Report</v>
      </c>
      <c r="F227" s="9" t="str">
        <f t="shared" ca="1" si="41"/>
        <v>D</v>
      </c>
      <c r="G227" s="9" t="str">
        <f t="shared" ca="1" si="42"/>
        <v>2</v>
      </c>
      <c r="H227" s="9" cm="1">
        <f t="array" aca="1" ref="H227" ca="1">CreateID($H$35,$E227&lt;&gt;INDEX($E:$E,ROW()-1))</f>
        <v>15</v>
      </c>
      <c r="I227" s="9" t="str" cm="1">
        <f t="array" aca="1" ref="I227" ca="1">INDIRECT($K227)</f>
        <v>Countermeasure / Assumption Names</v>
      </c>
      <c r="K227" s="2" t="str" cm="1">
        <f t="array" aca="1" ref="K227" ca="1">CELL("address",OFFSET('Annex I 1.2 Report'!$A$2,0,ROW()-ROW($K$224)))</f>
        <v>'[QuBA-libre.xlsx]Annex I 1.2 Report'!$D$2</v>
      </c>
    </row>
    <row r="228" spans="1:11" ht="45" outlineLevel="1" x14ac:dyDescent="0.25">
      <c r="A228" s="10" t="str" cm="1">
        <f t="array" aca="1" ref="A228" ca="1">IF(INDEX($H:$H,ROW()-1)&lt;&gt;$H228,$E228,"")</f>
        <v/>
      </c>
      <c r="B228" s="50" t="str" cm="1">
        <f t="array" aca="1" ref="B228" ca="1">IF($K228="","",_xlfn.LET(
_xlpm._fullName,IF($L228="",SUBSTITUTE(SUBSTITUTE(INDIRECT($K228),CHAR(10)," "),"  "," "),$L228),
_xlpm._truncatedName,IF(LEN(_xlpm._fullName)&gt;250,LEFT(_xlpm._fullName,250)&amp;"[…]",_xlpm._fullName),
HYPERLINK("#'"&amp;$E228&amp;"'!"&amp;$F228&amp;$G228,
_xlpm._truncatedName)))</f>
        <v>Explicit Risk Treatment</v>
      </c>
      <c r="C228" s="10" t="s">
        <v>724</v>
      </c>
      <c r="D228" s="10"/>
      <c r="E228" s="9" t="str">
        <f t="shared" ca="1" si="40"/>
        <v>Annex I 1.2 Report</v>
      </c>
      <c r="F228" s="9" t="str">
        <f t="shared" ca="1" si="41"/>
        <v>E</v>
      </c>
      <c r="G228" s="9" t="str">
        <f t="shared" ca="1" si="42"/>
        <v>2</v>
      </c>
      <c r="H228" s="9" cm="1">
        <f t="array" aca="1" ref="H228" ca="1">CreateID($H$35,$E228&lt;&gt;INDEX($E:$E,ROW()-1))</f>
        <v>15</v>
      </c>
      <c r="I228" s="9" t="str" cm="1">
        <f t="array" aca="1" ref="I228" ca="1">INDIRECT($K228)</f>
        <v>Explicit Risk Treatment</v>
      </c>
      <c r="K228" s="2" t="str" cm="1">
        <f t="array" aca="1" ref="K228" ca="1">CELL("address",OFFSET('Annex I 1.2 Report'!$A$2,0,ROW()-ROW($K$224)))</f>
        <v>'[QuBA-libre.xlsx]Annex I 1.2 Report'!$E$2</v>
      </c>
    </row>
    <row r="229" spans="1:11" outlineLevel="1" x14ac:dyDescent="0.25">
      <c r="A229" s="10" t="str" cm="1">
        <f t="array" aca="1" ref="A229" ca="1">IF(INDEX($H:$H,ROW()-1)&lt;&gt;$H229,$E229,"")</f>
        <v/>
      </c>
      <c r="B229" s="50" t="str" cm="1">
        <f t="array" aca="1" ref="B229" ca="1">IF($K229="","",_xlfn.LET(
_xlpm._fullName,IF($L229="",SUBSTITUTE(SUBSTITUTE(INDIRECT($K229),CHAR(10)," "),"  "," "),$L229),
_xlpm._truncatedName,IF(LEN(_xlpm._fullName)&gt;250,LEFT(_xlpm._fullName,250)&amp;"[…]",_xlpm._fullName),
HYPERLINK("#'"&amp;$E229&amp;"'!"&amp;$F229&amp;$G229,
_xlpm._truncatedName)))</f>
        <v>Comment</v>
      </c>
      <c r="C229" s="10" t="s">
        <v>638</v>
      </c>
      <c r="D229" s="10"/>
      <c r="E229" s="9" t="str">
        <f t="shared" ca="1" si="40"/>
        <v>Annex I 1.2 Report</v>
      </c>
      <c r="F229" s="9" t="str">
        <f t="shared" ca="1" si="41"/>
        <v>F</v>
      </c>
      <c r="G229" s="9" t="str">
        <f t="shared" ca="1" si="42"/>
        <v>2</v>
      </c>
      <c r="H229" s="9" cm="1">
        <f t="array" aca="1" ref="H229" ca="1">CreateID($H$35,$E229&lt;&gt;INDEX($E:$E,ROW()-1))</f>
        <v>15</v>
      </c>
      <c r="I229" s="9" t="str" cm="1">
        <f t="array" aca="1" ref="I229" ca="1">INDIRECT($K229)</f>
        <v>Comment</v>
      </c>
      <c r="K229" s="2" t="str" cm="1">
        <f t="array" aca="1" ref="K229" ca="1">CELL("address",OFFSET('Annex I 1.2 Report'!$A$2,0,ROW()-ROW($K$224)))</f>
        <v>'[QuBA-libre.xlsx]Annex I 1.2 Report'!$F$2</v>
      </c>
    </row>
    <row r="230" spans="1:11" ht="30" x14ac:dyDescent="0.25">
      <c r="A230" s="10" t="str" cm="1">
        <f t="array" aca="1" ref="A230" ca="1">IF(INDEX($H:$H,ROW()-1)&lt;&gt;$H230,$E230,"")</f>
        <v>Tracing</v>
      </c>
      <c r="B230" s="50" t="str" cm="1">
        <f t="array" aca="1" ref="B230" ca="1">IF($K230="","",_xlfn.LET(
_xlpm._fullName,IF($L230="",SUBSTITUTE(SUBSTITUTE(INDIRECT($K230),CHAR(10)," "),"  "," "),$L230),
_xlpm._truncatedName,IF(LEN(_xlpm._fullName)&gt;250,LEFT(_xlpm._fullName,250)&amp;"[…]",_xlpm._fullName),
HYPERLINK("#'"&amp;$E230&amp;"'!"&amp;$F230&amp;$G230,
_xlpm._truncatedName)))</f>
        <v>Catalog import:</v>
      </c>
      <c r="C230" s="10" t="s">
        <v>1212</v>
      </c>
      <c r="D230" s="10" t="s">
        <v>1704</v>
      </c>
      <c r="E230" s="9" t="str">
        <f t="shared" ref="E230:E247" ca="1" si="46">IF($K230="","",_xlfn.LET(
_xlpm._in,$K230,
_xlpm._start,FIND("]",_xlpm._in)+1,
SUBSTITUTE(MID(_xlpm._in,_xlpm._start,FIND("!",_xlpm._in)-_xlpm._start),"'","")))</f>
        <v>Tracing</v>
      </c>
      <c r="F230" s="9" t="str">
        <f t="shared" ref="F230:F247" ca="1" si="47">IF($K230="","",_xlfn.LET(
_xlpm._in,SUBSTITUTE($K230,"$","§",1),
_xlpm._start,FIND("§",_xlpm._in)+1,
SUBSTITUTE(MID(_xlpm._in,_xlpm._start,FIND("$",_xlpm._in)-_xlpm._start),"'","")))</f>
        <v>B</v>
      </c>
      <c r="G230" s="9" t="str">
        <f t="shared" ref="G230:G247" ca="1" si="48">IF($K230="","",RIGHT($K230,LEN($K230)-FIND("$",SUBSTITUTE($K230,"$","§",1))))</f>
        <v>1</v>
      </c>
      <c r="H230" s="9" cm="1">
        <f t="array" aca="1" ref="H230" ca="1">CreateID($H$35,$E230&lt;&gt;INDEX($E:$E,ROW()-1))</f>
        <v>16</v>
      </c>
      <c r="I230" s="9" t="str" cm="1">
        <f t="array" aca="1" ref="I230" ca="1">INDIRECT($K230)</f>
        <v>Catalog import:</v>
      </c>
      <c r="K230" s="2" t="str" cm="1">
        <f t="array" aca="1" ref="K230" ca="1">CELL("address",Tracing!B1)</f>
        <v>'[QuBA-libre.xlsx]Tracing'!$B$1</v>
      </c>
    </row>
    <row r="231" spans="1:11" ht="30" outlineLevel="1" x14ac:dyDescent="0.25">
      <c r="A231" s="10" t="str" cm="1">
        <f t="array" aca="1" ref="A231" ca="1">IF(INDEX($H:$H,ROW()-1)&lt;&gt;$H231,$E231,"")</f>
        <v/>
      </c>
      <c r="B231" s="50" t="str" cm="1">
        <f t="array" aca="1" ref="B231" ca="1">IF($K231="","",_xlfn.LET(
_xlpm._fullName,IF($L231="",SUBSTITUTE(SUBSTITUTE(INDIRECT($K231),CHAR(10)," "),"  "," "),$L231),
_xlpm._truncatedName,IF(LEN(_xlpm._fullName)&gt;250,LEFT(_xlpm._fullName,250)&amp;"[…]",_xlpm._fullName),
HYPERLINK("#'"&amp;$E231&amp;"'!"&amp;$F231&amp;$G231,
_xlpm._truncatedName)))</f>
        <v>Not confirmed by import:</v>
      </c>
      <c r="C231" s="10" t="s">
        <v>1218</v>
      </c>
      <c r="D231" s="10"/>
      <c r="E231" s="9" t="str">
        <f t="shared" ref="E231:E232" ca="1" si="49">IF($K231="","",_xlfn.LET(
_xlpm._in,$K231,
_xlpm._start,FIND("]",_xlpm._in)+1,
SUBSTITUTE(MID(_xlpm._in,_xlpm._start,FIND("!",_xlpm._in)-_xlpm._start),"'","")))</f>
        <v>Tracing</v>
      </c>
      <c r="F231" s="9" t="str">
        <f t="shared" ref="F231:F232" ca="1" si="50">IF($K231="","",_xlfn.LET(
_xlpm._in,SUBSTITUTE($K231,"$","§",1),
_xlpm._start,FIND("§",_xlpm._in)+1,
SUBSTITUTE(MID(_xlpm._in,_xlpm._start,FIND("$",_xlpm._in)-_xlpm._start),"'","")))</f>
        <v>B</v>
      </c>
      <c r="G231" s="9" t="str">
        <f t="shared" ref="G231:G232" ca="1" si="51">IF($K231="","",RIGHT($K231,LEN($K231)-FIND("$",SUBSTITUTE($K231,"$","§",1))))</f>
        <v>2</v>
      </c>
      <c r="H231" s="9" cm="1">
        <f t="array" aca="1" ref="H231" ca="1">CreateID($H$35,$E231&lt;&gt;INDEX($E:$E,ROW()-1))</f>
        <v>16</v>
      </c>
      <c r="I231" s="9" t="str" cm="1">
        <f t="array" aca="1" ref="I231" ca="1">INDIRECT($K231)</f>
        <v>Not confirmed by import:</v>
      </c>
      <c r="K231" s="2" t="str" cm="1">
        <f t="array" aca="1" ref="K231" ca="1">CELL("address",Tracing!B2)</f>
        <v>'[QuBA-libre.xlsx]Tracing'!$B$2</v>
      </c>
    </row>
    <row r="232" spans="1:11" ht="30" outlineLevel="1" x14ac:dyDescent="0.25">
      <c r="A232" s="10" t="str" cm="1">
        <f t="array" aca="1" ref="A232" ca="1">IF(INDEX($H:$H,ROW()-1)&lt;&gt;$H232,$E232,"")</f>
        <v/>
      </c>
      <c r="B232" s="50" t="str" cm="1">
        <f t="array" aca="1" ref="B232" ca="1">IF($K232="","",_xlfn.LET(
_xlpm._fullName,IF($L232="",SUBSTITUTE(SUBSTITUTE(INDIRECT($K232),CHAR(10)," "),"  "," "),$L232),
_xlpm._truncatedName,IF(LEN(_xlpm._fullName)&gt;250,LEFT(_xlpm._fullName,250)&amp;"[…]",_xlpm._fullName),
HYPERLINK("#'"&amp;$E232&amp;"'!"&amp;$F232&amp;$G232,
_xlpm._truncatedName)))</f>
        <v>Confirm:</v>
      </c>
      <c r="C232" s="10" t="s">
        <v>1241</v>
      </c>
      <c r="D232" s="10" t="s">
        <v>1219</v>
      </c>
      <c r="E232" s="9" t="str">
        <f t="shared" ca="1" si="49"/>
        <v>Tracing</v>
      </c>
      <c r="F232" s="9" t="str">
        <f t="shared" ca="1" si="50"/>
        <v>B</v>
      </c>
      <c r="G232" s="9" t="str">
        <f t="shared" ca="1" si="51"/>
        <v>3</v>
      </c>
      <c r="H232" s="9" cm="1">
        <f t="array" aca="1" ref="H232" ca="1">CreateID($H$35,$E232&lt;&gt;INDEX($E:$E,ROW()-1))</f>
        <v>16</v>
      </c>
      <c r="I232" s="9" t="str" cm="1">
        <f t="array" aca="1" ref="I232" ca="1">INDIRECT($K232)</f>
        <v>Confirm:</v>
      </c>
      <c r="K232" s="2" t="str" cm="1">
        <f t="array" aca="1" ref="K232" ca="1">CELL("address",Tracing!B3)</f>
        <v>'[QuBA-libre.xlsx]Tracing'!$B$3</v>
      </c>
    </row>
    <row r="233" spans="1:11" ht="30" outlineLevel="1" x14ac:dyDescent="0.25">
      <c r="A233" s="10" t="str" cm="1">
        <f t="array" aca="1" ref="A233" ca="1">IF(INDEX($H:$H,ROW()-1)&lt;&gt;$H233,$E233,"")</f>
        <v/>
      </c>
      <c r="B233" s="50" t="str" cm="1">
        <f t="array" aca="1" ref="B233" ca="1">IF($K233="","",_xlfn.LET(
_xlpm._fullName,IF($L233="",SUBSTITUTE(SUBSTITUTE(INDIRECT($K233),CHAR(10)," "),"  "," "),$L233),
_xlpm._truncatedName,IF(LEN(_xlpm._fullName)&gt;250,LEFT(_xlpm._fullName,250)&amp;"[…]",_xlpm._fullName),
HYPERLINK("#'"&amp;$E233&amp;"'!"&amp;$F233&amp;$G233,
_xlpm._truncatedName)))</f>
        <v>R ID</v>
      </c>
      <c r="C233" s="10" t="s">
        <v>1213</v>
      </c>
      <c r="D233" s="10"/>
      <c r="E233" s="9" t="str">
        <f t="shared" ca="1" si="46"/>
        <v>Tracing</v>
      </c>
      <c r="F233" s="9" t="str">
        <f t="shared" ca="1" si="47"/>
        <v>B</v>
      </c>
      <c r="G233" s="9" t="str">
        <f t="shared" ca="1" si="48"/>
        <v>5</v>
      </c>
      <c r="H233" s="9" cm="1">
        <f t="array" aca="1" ref="H233" ca="1">CreateID($H$35,$E233&lt;&gt;INDEX($E:$E,ROW()-1))</f>
        <v>16</v>
      </c>
      <c r="I233" s="9" t="str" cm="1">
        <f t="array" aca="1" ref="I233" ca="1">INDIRECT($K233)</f>
        <v>R ID</v>
      </c>
      <c r="K233" s="2" t="str" cm="1">
        <f t="array" aca="1" ref="K233" ca="1">CELL("address",OFFSET(Tracing!$B$5,0,ROW()-ROW($K$233)))</f>
        <v>'[QuBA-libre.xlsx]Tracing'!$B$5</v>
      </c>
    </row>
    <row r="234" spans="1:11" ht="30" outlineLevel="1" x14ac:dyDescent="0.25">
      <c r="A234" s="10" t="str" cm="1">
        <f t="array" aca="1" ref="A234" ca="1">IF(INDEX($H:$H,ROW()-1)&lt;&gt;$H234,$E234,"")</f>
        <v/>
      </c>
      <c r="B234" s="50" t="str" cm="1">
        <f t="array" aca="1" ref="B234" ca="1">IF($K234="","",_xlfn.LET(
_xlpm._fullName,IF($L234="",SUBSTITUTE(SUBSTITUTE(INDIRECT($K234),CHAR(10)," "),"  "," "),$L234),
_xlpm._truncatedName,IF(LEN(_xlpm._fullName)&gt;250,LEFT(_xlpm._fullName,250)&amp;"[…]",_xlpm._fullName),
HYPERLINK("#'"&amp;$E234&amp;"'!"&amp;$F234&amp;$G234,
_xlpm._truncatedName)))</f>
        <v>Attack Path</v>
      </c>
      <c r="C234" s="10" t="s">
        <v>696</v>
      </c>
      <c r="D234" s="10"/>
      <c r="E234" s="9" t="str">
        <f t="shared" ca="1" si="46"/>
        <v>Tracing</v>
      </c>
      <c r="F234" s="9" t="str">
        <f t="shared" ca="1" si="47"/>
        <v>C</v>
      </c>
      <c r="G234" s="9" t="str">
        <f t="shared" ca="1" si="48"/>
        <v>5</v>
      </c>
      <c r="H234" s="9" cm="1">
        <f t="array" aca="1" ref="H234" ca="1">CreateID($H$35,$E234&lt;&gt;INDEX($E:$E,ROW()-1))</f>
        <v>16</v>
      </c>
      <c r="I234" s="9" t="str" cm="1">
        <f t="array" aca="1" ref="I234" ca="1">INDIRECT($K234)</f>
        <v>Attack Path</v>
      </c>
      <c r="K234" s="2" t="str" cm="1">
        <f t="array" aca="1" ref="K234" ca="1">CELL("address",OFFSET(Tracing!$B$5,0,ROW()-ROW($K$233)))</f>
        <v>'[QuBA-libre.xlsx]Tracing'!$C$5</v>
      </c>
    </row>
    <row r="235" spans="1:11" ht="45" outlineLevel="1" x14ac:dyDescent="0.25">
      <c r="A235" s="10" t="str" cm="1">
        <f t="array" aca="1" ref="A235" ca="1">IF(INDEX($H:$H,ROW()-1)&lt;&gt;$H235,$E235,"")</f>
        <v/>
      </c>
      <c r="B235" s="50" t="str" cm="1">
        <f t="array" aca="1" ref="B235" ca="1">IF($K235="","",_xlfn.LET(
_xlpm._fullName,IF($L235="",SUBSTITUTE(SUBSTITUTE(INDIRECT($K235),CHAR(10)," "),"  "," "),$L235),
_xlpm._truncatedName,IF(LEN(_xlpm._fullName)&gt;250,LEFT(_xlpm._fullName,250)&amp;"[…]",_xlpm._fullName),
HYPERLINK("#'"&amp;$E235&amp;"'!"&amp;$F235&amp;$G235,
_xlpm._truncatedName)))</f>
        <v>Damage Scenarios</v>
      </c>
      <c r="C235" s="10" t="s">
        <v>1220</v>
      </c>
      <c r="D235" s="10"/>
      <c r="E235" s="9" t="str">
        <f t="shared" ca="1" si="46"/>
        <v>Tracing</v>
      </c>
      <c r="F235" s="9" t="str">
        <f t="shared" ca="1" si="47"/>
        <v>D</v>
      </c>
      <c r="G235" s="9" t="str">
        <f t="shared" ca="1" si="48"/>
        <v>5</v>
      </c>
      <c r="H235" s="9" cm="1">
        <f t="array" aca="1" ref="H235" ca="1">CreateID($H$35,$E235&lt;&gt;INDEX($E:$E,ROW()-1))</f>
        <v>16</v>
      </c>
      <c r="I235" s="9" t="str" cm="1">
        <f t="array" aca="1" ref="I235" ca="1">INDIRECT($K235)</f>
        <v>Damage Scenarios</v>
      </c>
      <c r="K235" s="2" t="str" cm="1">
        <f t="array" aca="1" ref="K235" ca="1">CELL("address",OFFSET(Tracing!$B$5,0,ROW()-ROW($K$233)))</f>
        <v>'[QuBA-libre.xlsx]Tracing'!$D$5</v>
      </c>
    </row>
    <row r="236" spans="1:11" ht="30" outlineLevel="1" x14ac:dyDescent="0.25">
      <c r="A236" s="10" t="str" cm="1">
        <f t="array" aca="1" ref="A236" ca="1">IF(INDEX($H:$H,ROW()-1)&lt;&gt;$H236,$E236,"")</f>
        <v/>
      </c>
      <c r="B236" s="50" t="str" cm="1">
        <f t="array" aca="1" ref="B236" ca="1">IF($K236="","",_xlfn.LET(
_xlpm._fullName,IF($L236="",SUBSTITUTE(SUBSTITUTE(INDIRECT($K236),CHAR(10)," "),"  "," "),$L236),
_xlpm._truncatedName,IF(LEN(_xlpm._fullName)&gt;250,LEFT(_xlpm._fullName,250)&amp;"[…]",_xlpm._fullName),
HYPERLINK("#'"&amp;$E236&amp;"'!"&amp;$F236&amp;$G236,
_xlpm._truncatedName)))</f>
        <v>Damage Level</v>
      </c>
      <c r="C236" s="10" t="s">
        <v>704</v>
      </c>
      <c r="D236" s="10"/>
      <c r="E236" s="9" t="str">
        <f t="shared" ca="1" si="46"/>
        <v>Tracing</v>
      </c>
      <c r="F236" s="9" t="str">
        <f t="shared" ca="1" si="47"/>
        <v>E</v>
      </c>
      <c r="G236" s="9" t="str">
        <f t="shared" ca="1" si="48"/>
        <v>5</v>
      </c>
      <c r="H236" s="9" cm="1">
        <f t="array" aca="1" ref="H236" ca="1">CreateID($H$35,$E236&lt;&gt;INDEX($E:$E,ROW()-1))</f>
        <v>16</v>
      </c>
      <c r="I236" s="9" t="str" cm="1">
        <f t="array" aca="1" ref="I236" ca="1">INDIRECT($K236)</f>
        <v>Damage Level</v>
      </c>
      <c r="K236" s="2" t="str" cm="1">
        <f t="array" aca="1" ref="K236" ca="1">CELL("address",OFFSET(Tracing!$B$5,0,ROW()-ROW($K$233)))</f>
        <v>'[QuBA-libre.xlsx]Tracing'!$E$5</v>
      </c>
    </row>
    <row r="237" spans="1:11" ht="30" outlineLevel="1" x14ac:dyDescent="0.25">
      <c r="A237" s="10" t="str" cm="1">
        <f t="array" aca="1" ref="A237" ca="1">IF(INDEX($H:$H,ROW()-1)&lt;&gt;$H237,$E237,"")</f>
        <v/>
      </c>
      <c r="B237" s="50" t="str" cm="1">
        <f t="array" aca="1" ref="B237" ca="1">IF($K237="","",_xlfn.LET(
_xlpm._fullName,IF($L237="",SUBSTITUTE(SUBSTITUTE(INDIRECT($K237),CHAR(10)," "),"  "," "),$L237),
_xlpm._truncatedName,IF(LEN(_xlpm._fullName)&gt;250,LEFT(_xlpm._fullName,250)&amp;"[…]",_xlpm._fullName),
HYPERLINK("#'"&amp;$E237&amp;"'!"&amp;$F237&amp;$G237,
_xlpm._truncatedName)))</f>
        <v xml:space="preserve">Factor Explanation </v>
      </c>
      <c r="C237" s="10" t="s">
        <v>1221</v>
      </c>
      <c r="D237" s="10"/>
      <c r="E237" s="9" t="str">
        <f t="shared" ca="1" si="46"/>
        <v>Tracing</v>
      </c>
      <c r="F237" s="9" t="str">
        <f t="shared" ca="1" si="47"/>
        <v>F</v>
      </c>
      <c r="G237" s="9" t="str">
        <f t="shared" ca="1" si="48"/>
        <v>5</v>
      </c>
      <c r="H237" s="9" cm="1">
        <f t="array" aca="1" ref="H237" ca="1">CreateID($H$35,$E237&lt;&gt;INDEX($E:$E,ROW()-1))</f>
        <v>16</v>
      </c>
      <c r="I237" s="9" t="str" cm="1">
        <f t="array" aca="1" ref="I237" ca="1">INDIRECT($K237)</f>
        <v xml:space="preserve">Factor Explanation </v>
      </c>
      <c r="K237" s="2" t="str" cm="1">
        <f t="array" aca="1" ref="K237" ca="1">CELL("address",OFFSET(Tracing!$B$5,0,ROW()-ROW($K$233)))</f>
        <v>'[QuBA-libre.xlsx]Tracing'!$F$5</v>
      </c>
    </row>
    <row r="238" spans="1:11" ht="30" outlineLevel="1" x14ac:dyDescent="0.25">
      <c r="A238" s="10" t="str" cm="1">
        <f t="array" aca="1" ref="A238" ca="1">IF(INDEX($H:$H,ROW()-1)&lt;&gt;$H238,$E238,"")</f>
        <v/>
      </c>
      <c r="B238" s="50" t="str" cm="1">
        <f t="array" aca="1" ref="B238" ca="1">IF($K238="","",_xlfn.LET(
_xlpm._fullName,IF($L238="",SUBSTITUTE(SUBSTITUTE(INDIRECT($K238),CHAR(10)," "),"  "," "),$L238),
_xlpm._truncatedName,IF(LEN(_xlpm._fullName)&gt;250,LEFT(_xlpm._fullName,250)&amp;"[…]",_xlpm._fullName),
HYPERLINK("#'"&amp;$E238&amp;"'!"&amp;$F238&amp;$G238,
_xlpm._truncatedName)))</f>
        <v>RAP</v>
      </c>
      <c r="C238" s="10" t="s">
        <v>1222</v>
      </c>
      <c r="D238" s="10"/>
      <c r="E238" s="9" t="str">
        <f t="shared" ca="1" si="46"/>
        <v>Tracing</v>
      </c>
      <c r="F238" s="9" t="str">
        <f t="shared" ca="1" si="47"/>
        <v>G</v>
      </c>
      <c r="G238" s="9" t="str">
        <f t="shared" ca="1" si="48"/>
        <v>5</v>
      </c>
      <c r="H238" s="9" cm="1">
        <f t="array" aca="1" ref="H238" ca="1">CreateID($H$35,$E238&lt;&gt;INDEX($E:$E,ROW()-1))</f>
        <v>16</v>
      </c>
      <c r="I238" s="9" t="str" cm="1">
        <f t="array" aca="1" ref="I238" ca="1">INDIRECT($K238)</f>
        <v>RAP</v>
      </c>
      <c r="K238" s="2" t="str" cm="1">
        <f t="array" aca="1" ref="K238" ca="1">CELL("address",OFFSET(Tracing!$B$5,0,ROW()-ROW($K$233)))</f>
        <v>'[QuBA-libre.xlsx]Tracing'!$G$5</v>
      </c>
    </row>
    <row r="239" spans="1:11" outlineLevel="1" x14ac:dyDescent="0.25">
      <c r="A239" s="10" t="str" cm="1">
        <f t="array" aca="1" ref="A239" ca="1">IF(INDEX($H:$H,ROW()-1)&lt;&gt;$H239,$E239,"")</f>
        <v/>
      </c>
      <c r="B239" s="50" t="str" cm="1">
        <f t="array" aca="1" ref="B239" ca="1">IF($K239="","",_xlfn.LET(
_xlpm._fullName,IF($L239="",SUBSTITUTE(SUBSTITUTE(INDIRECT($K239),CHAR(10)," "),"  "," "),$L239),
_xlpm._truncatedName,IF(LEN(_xlpm._fullName)&gt;250,LEFT(_xlpm._fullName,250)&amp;"[…]",_xlpm._fullName),
HYPERLINK("#'"&amp;$E239&amp;"'!"&amp;$F239&amp;$G239,
_xlpm._truncatedName)))</f>
        <v>Planned Countermeasures and Assumptions</v>
      </c>
      <c r="C239" s="10" t="s">
        <v>1225</v>
      </c>
      <c r="D239" s="10"/>
      <c r="E239" s="9" t="str">
        <f t="shared" ca="1" si="46"/>
        <v>Tracing</v>
      </c>
      <c r="F239" s="9" t="str">
        <f t="shared" ca="1" si="47"/>
        <v>H</v>
      </c>
      <c r="G239" s="9" t="str">
        <f t="shared" ca="1" si="48"/>
        <v>5</v>
      </c>
      <c r="H239" s="9" cm="1">
        <f t="array" aca="1" ref="H239" ca="1">CreateID($H$35,$E239&lt;&gt;INDEX($E:$E,ROW()-1))</f>
        <v>16</v>
      </c>
      <c r="I239" s="9" t="str" cm="1">
        <f t="array" aca="1" ref="I239" ca="1">INDIRECT($K239)</f>
        <v>Planned Countermeasures and Assumptions</v>
      </c>
      <c r="K239" s="2" t="str" cm="1">
        <f t="array" aca="1" ref="K239" ca="1">CELL("address",OFFSET(Tracing!$B$5,0,ROW()-ROW($K$233)))</f>
        <v>'[QuBA-libre.xlsx]Tracing'!$H$5</v>
      </c>
    </row>
    <row r="240" spans="1:11" ht="45" outlineLevel="1" x14ac:dyDescent="0.25">
      <c r="A240" s="10" t="str" cm="1">
        <f t="array" aca="1" ref="A240" ca="1">IF(INDEX($H:$H,ROW()-1)&lt;&gt;$H240,$E240,"")</f>
        <v/>
      </c>
      <c r="B240" s="50" t="str" cm="1">
        <f t="array" aca="1" ref="B240" ca="1">IF($K240="","",_xlfn.LET(
_xlpm._fullName,IF($L240="",SUBSTITUTE(SUBSTITUTE(INDIRECT($K240),CHAR(10)," "),"  "," "),$L240),
_xlpm._truncatedName,IF(LEN(_xlpm._fullName)&gt;250,LEFT(_xlpm._fullName,250)&amp;"[…]",_xlpm._fullName),
HYPERLINK("#'"&amp;$E240&amp;"'!"&amp;$F240&amp;$G240,
_xlpm._truncatedName)))</f>
        <v>Risk Level (Planned)</v>
      </c>
      <c r="C240" s="10" t="s">
        <v>1223</v>
      </c>
      <c r="D240" s="10"/>
      <c r="E240" s="9" t="str">
        <f t="shared" ca="1" si="46"/>
        <v>Tracing</v>
      </c>
      <c r="F240" s="9" t="str">
        <f t="shared" ca="1" si="47"/>
        <v>I</v>
      </c>
      <c r="G240" s="9" t="str">
        <f t="shared" ca="1" si="48"/>
        <v>5</v>
      </c>
      <c r="H240" s="9" cm="1">
        <f t="array" aca="1" ref="H240" ca="1">CreateID($H$35,$E240&lt;&gt;INDEX($E:$E,ROW()-1))</f>
        <v>16</v>
      </c>
      <c r="I240" s="9" t="str" cm="1">
        <f t="array" aca="1" ref="I240" ca="1">INDIRECT($K240)</f>
        <v>Risk Level
(Planned)</v>
      </c>
      <c r="K240" s="2" t="str" cm="1">
        <f t="array" aca="1" ref="K240" ca="1">CELL("address",OFFSET(Tracing!$B$5,0,ROW()-ROW($K$233)))</f>
        <v>'[QuBA-libre.xlsx]Tracing'!$I$5</v>
      </c>
    </row>
    <row r="241" spans="1:12" ht="30" outlineLevel="1" x14ac:dyDescent="0.25">
      <c r="A241" s="10" t="str" cm="1">
        <f t="array" aca="1" ref="A241" ca="1">IF(INDEX($H:$H,ROW()-1)&lt;&gt;$H241,$E241,"")</f>
        <v/>
      </c>
      <c r="B241" s="50" t="str" cm="1">
        <f t="array" aca="1" ref="B241" ca="1">IF($K241="","",_xlfn.LET(
_xlpm._fullName,IF($L241="",SUBSTITUTE(SUBSTITUTE(INDIRECT($K241),CHAR(10)," "),"  "," "),$L241),
_xlpm._truncatedName,IF(LEN(_xlpm._fullName)&gt;250,LEFT(_xlpm._fullName,250)&amp;"[…]",_xlpm._fullName),
HYPERLINK("#'"&amp;$E241&amp;"'!"&amp;$F241&amp;$G241,
_xlpm._truncatedName)))</f>
        <v>Confirmed Countermeasures and Assumptions</v>
      </c>
      <c r="C241" s="10" t="s">
        <v>1226</v>
      </c>
      <c r="D241" s="10" t="s">
        <v>1227</v>
      </c>
      <c r="E241" s="9" t="str">
        <f t="shared" ca="1" si="46"/>
        <v>Tracing</v>
      </c>
      <c r="F241" s="9" t="str">
        <f t="shared" ca="1" si="47"/>
        <v>J</v>
      </c>
      <c r="G241" s="9" t="str">
        <f t="shared" ca="1" si="48"/>
        <v>5</v>
      </c>
      <c r="H241" s="9" cm="1">
        <f t="array" aca="1" ref="H241" ca="1">CreateID($H$35,$E241&lt;&gt;INDEX($E:$E,ROW()-1))</f>
        <v>16</v>
      </c>
      <c r="I241" s="9" t="str" cm="1">
        <f t="array" aca="1" ref="I241" ca="1">INDIRECT($K241)</f>
        <v>Confirmed Countermeasures and Assumptions</v>
      </c>
      <c r="K241" s="2" t="str" cm="1">
        <f t="array" aca="1" ref="K241" ca="1">CELL("address",OFFSET(Tracing!$B$5,0,ROW()-ROW($K$233)))</f>
        <v>'[QuBA-libre.xlsx]Tracing'!$J$5</v>
      </c>
    </row>
    <row r="242" spans="1:12" ht="45" outlineLevel="1" x14ac:dyDescent="0.25">
      <c r="A242" s="10" t="str" cm="1">
        <f t="array" aca="1" ref="A242" ca="1">IF(INDEX($H:$H,ROW()-1)&lt;&gt;$H242,$E242,"")</f>
        <v/>
      </c>
      <c r="B242" s="50" t="str" cm="1">
        <f t="array" aca="1" ref="B242" ca="1">IF($K242="","",_xlfn.LET(
_xlpm._fullName,IF($L242="",SUBSTITUTE(SUBSTITUTE(INDIRECT($K242),CHAR(10)," "),"  "," "),$L242),
_xlpm._truncatedName,IF(LEN(_xlpm._fullName)&gt;250,LEFT(_xlpm._fullName,250)&amp;"[…]",_xlpm._fullName),
HYPERLINK("#'"&amp;$E242&amp;"'!"&amp;$F242&amp;$G242,
_xlpm._truncatedName)))</f>
        <v xml:space="preserve">Damage Scenarios </v>
      </c>
      <c r="C242" s="10" t="s">
        <v>1228</v>
      </c>
      <c r="D242" s="10"/>
      <c r="E242" s="9" t="str">
        <f t="shared" ca="1" si="46"/>
        <v>Tracing</v>
      </c>
      <c r="F242" s="9" t="str">
        <f t="shared" ca="1" si="47"/>
        <v>K</v>
      </c>
      <c r="G242" s="9" t="str">
        <f t="shared" ca="1" si="48"/>
        <v>5</v>
      </c>
      <c r="H242" s="9" cm="1">
        <f t="array" aca="1" ref="H242" ca="1">CreateID($H$35,$E242&lt;&gt;INDEX($E:$E,ROW()-1))</f>
        <v>16</v>
      </c>
      <c r="I242" s="9" t="str" cm="1">
        <f t="array" aca="1" ref="I242" ca="1">INDIRECT($K242)</f>
        <v xml:space="preserve">Damage Scenarios </v>
      </c>
      <c r="K242" s="2" t="str" cm="1">
        <f t="array" aca="1" ref="K242" ca="1">CELL("address",OFFSET(Tracing!$B$5,0,ROW()-ROW($K$233)))</f>
        <v>'[QuBA-libre.xlsx]Tracing'!$K$5</v>
      </c>
    </row>
    <row r="243" spans="1:12" ht="30" outlineLevel="1" x14ac:dyDescent="0.25">
      <c r="A243" s="10" t="str" cm="1">
        <f t="array" aca="1" ref="A243" ca="1">IF(INDEX($H:$H,ROW()-1)&lt;&gt;$H243,$E243,"")</f>
        <v/>
      </c>
      <c r="B243" s="50" t="str" cm="1">
        <f t="array" aca="1" ref="B243" ca="1">IF($K243="","",_xlfn.LET(
_xlpm._fullName,IF($L243="",SUBSTITUTE(SUBSTITUTE(INDIRECT($K243),CHAR(10)," "),"  "," "),$L243),
_xlpm._truncatedName,IF(LEN(_xlpm._fullName)&gt;250,LEFT(_xlpm._fullName,250)&amp;"[…]",_xlpm._fullName),
HYPERLINK("#'"&amp;$E243&amp;"'!"&amp;$F243&amp;$G243,
_xlpm._truncatedName)))</f>
        <v xml:space="preserve">Damage Level </v>
      </c>
      <c r="C243" s="10" t="s">
        <v>704</v>
      </c>
      <c r="D243" s="10"/>
      <c r="E243" s="9" t="str">
        <f t="shared" ca="1" si="46"/>
        <v>Tracing</v>
      </c>
      <c r="F243" s="9" t="str">
        <f t="shared" ca="1" si="47"/>
        <v>L</v>
      </c>
      <c r="G243" s="9" t="str">
        <f t="shared" ca="1" si="48"/>
        <v>5</v>
      </c>
      <c r="H243" s="9" cm="1">
        <f t="array" aca="1" ref="H243" ca="1">CreateID($H$35,$E243&lt;&gt;INDEX($E:$E,ROW()-1))</f>
        <v>16</v>
      </c>
      <c r="I243" s="9" t="str" cm="1">
        <f t="array" aca="1" ref="I243" ca="1">INDIRECT($K243)</f>
        <v xml:space="preserve">Damage Level </v>
      </c>
      <c r="K243" s="2" t="str" cm="1">
        <f t="array" aca="1" ref="K243" ca="1">CELL("address",OFFSET(Tracing!$B$5,0,ROW()-ROW($K$233)))</f>
        <v>'[QuBA-libre.xlsx]Tracing'!$L$5</v>
      </c>
    </row>
    <row r="244" spans="1:12" ht="30" outlineLevel="1" x14ac:dyDescent="0.25">
      <c r="A244" s="10" t="str" cm="1">
        <f t="array" aca="1" ref="A244" ca="1">IF(INDEX($H:$H,ROW()-1)&lt;&gt;$H244,$E244,"")</f>
        <v/>
      </c>
      <c r="B244" s="50" t="str" cm="1">
        <f t="array" aca="1" ref="B244" ca="1">IF($K244="","",_xlfn.LET(
_xlpm._fullName,IF($L244="",SUBSTITUTE(SUBSTITUTE(INDIRECT($K244),CHAR(10)," "),"  "," "),$L244),
_xlpm._truncatedName,IF(LEN(_xlpm._fullName)&gt;250,LEFT(_xlpm._fullName,250)&amp;"[…]",_xlpm._fullName),
HYPERLINK("#'"&amp;$E244&amp;"'!"&amp;$F244&amp;$G244,
_xlpm._truncatedName)))</f>
        <v>Factor Explanation</v>
      </c>
      <c r="C244" s="10" t="s">
        <v>1229</v>
      </c>
      <c r="D244" s="10"/>
      <c r="E244" s="9" t="str">
        <f t="shared" ca="1" si="46"/>
        <v>Tracing</v>
      </c>
      <c r="F244" s="9" t="str">
        <f t="shared" ca="1" si="47"/>
        <v>M</v>
      </c>
      <c r="G244" s="9" t="str">
        <f t="shared" ca="1" si="48"/>
        <v>5</v>
      </c>
      <c r="H244" s="9" cm="1">
        <f t="array" aca="1" ref="H244" ca="1">CreateID($H$35,$E244&lt;&gt;INDEX($E:$E,ROW()-1))</f>
        <v>16</v>
      </c>
      <c r="I244" s="9" t="str" cm="1">
        <f t="array" aca="1" ref="I244" ca="1">INDIRECT($K244)</f>
        <v>Factor Explanation</v>
      </c>
      <c r="K244" s="2" t="str" cm="1">
        <f t="array" aca="1" ref="K244" ca="1">CELL("address",OFFSET(Tracing!$B$5,0,ROW()-ROW($K$233)))</f>
        <v>'[QuBA-libre.xlsx]Tracing'!$M$5</v>
      </c>
    </row>
    <row r="245" spans="1:12" ht="30" outlineLevel="1" x14ac:dyDescent="0.25">
      <c r="A245" s="10" t="str" cm="1">
        <f t="array" aca="1" ref="A245" ca="1">IF(INDEX($H:$H,ROW()-1)&lt;&gt;$H245,$E245,"")</f>
        <v/>
      </c>
      <c r="B245" s="50" t="str" cm="1">
        <f t="array" aca="1" ref="B245" ca="1">IF($K245="","",_xlfn.LET(
_xlpm._fullName,IF($L245="",SUBSTITUTE(SUBSTITUTE(INDIRECT($K245),CHAR(10)," "),"  "," "),$L245),
_xlpm._truncatedName,IF(LEN(_xlpm._fullName)&gt;250,LEFT(_xlpm._fullName,250)&amp;"[…]",_xlpm._fullName),
HYPERLINK("#'"&amp;$E245&amp;"'!"&amp;$F245&amp;$G245,
_xlpm._truncatedName)))</f>
        <v xml:space="preserve">RAP </v>
      </c>
      <c r="C245" s="10" t="s">
        <v>1230</v>
      </c>
      <c r="D245" s="10"/>
      <c r="E245" s="9" t="str">
        <f t="shared" ca="1" si="46"/>
        <v>Tracing</v>
      </c>
      <c r="F245" s="9" t="str">
        <f t="shared" ca="1" si="47"/>
        <v>N</v>
      </c>
      <c r="G245" s="9" t="str">
        <f t="shared" ca="1" si="48"/>
        <v>5</v>
      </c>
      <c r="H245" s="9" cm="1">
        <f t="array" aca="1" ref="H245" ca="1">CreateID($H$35,$E245&lt;&gt;INDEX($E:$E,ROW()-1))</f>
        <v>16</v>
      </c>
      <c r="I245" s="9" t="str" cm="1">
        <f t="array" aca="1" ref="I245" ca="1">INDIRECT($K245)</f>
        <v xml:space="preserve">RAP </v>
      </c>
      <c r="K245" s="2" t="str" cm="1">
        <f t="array" aca="1" ref="K245" ca="1">CELL("address",OFFSET(Tracing!$B$5,0,ROW()-ROW($K$233)))</f>
        <v>'[QuBA-libre.xlsx]Tracing'!$N$5</v>
      </c>
    </row>
    <row r="246" spans="1:12" ht="45" outlineLevel="1" x14ac:dyDescent="0.25">
      <c r="A246" s="10" t="str" cm="1">
        <f t="array" aca="1" ref="A246" ca="1">IF(INDEX($H:$H,ROW()-1)&lt;&gt;$H246,$E246,"")</f>
        <v/>
      </c>
      <c r="B246" s="50" t="str" cm="1">
        <f t="array" aca="1" ref="B246" ca="1">IF($K246="","",_xlfn.LET(
_xlpm._fullName,IF($L246="",SUBSTITUTE(SUBSTITUTE(INDIRECT($K246),CHAR(10)," "),"  "," "),$L246),
_xlpm._truncatedName,IF(LEN(_xlpm._fullName)&gt;250,LEFT(_xlpm._fullName,250)&amp;"[…]",_xlpm._fullName),
HYPERLINK("#'"&amp;$E246&amp;"'!"&amp;$F246&amp;$G246,
_xlpm._truncatedName)))</f>
        <v xml:space="preserve">Remaining Risk Level </v>
      </c>
      <c r="C246" s="10" t="s">
        <v>1224</v>
      </c>
      <c r="D246" s="10"/>
      <c r="E246" s="9" t="str">
        <f t="shared" ca="1" si="46"/>
        <v>Tracing</v>
      </c>
      <c r="F246" s="9" t="str">
        <f t="shared" ca="1" si="47"/>
        <v>O</v>
      </c>
      <c r="G246" s="9" t="str">
        <f t="shared" ca="1" si="48"/>
        <v>5</v>
      </c>
      <c r="H246" s="9" cm="1">
        <f t="array" aca="1" ref="H246" ca="1">CreateID($H$35,$E246&lt;&gt;INDEX($E:$E,ROW()-1))</f>
        <v>16</v>
      </c>
      <c r="I246" s="9" t="str" cm="1">
        <f t="array" aca="1" ref="I246" ca="1">INDIRECT($K246)</f>
        <v xml:space="preserve">Remaining Risk Level </v>
      </c>
      <c r="K246" s="2" t="str" cm="1">
        <f t="array" aca="1" ref="K246" ca="1">CELL("address",OFFSET(Tracing!$B$5,0,ROW()-ROW($K$233)))</f>
        <v>'[QuBA-libre.xlsx]Tracing'!$O$5</v>
      </c>
    </row>
    <row r="247" spans="1:12" ht="30" outlineLevel="1" x14ac:dyDescent="0.25">
      <c r="A247" s="10" t="str" cm="1">
        <f t="array" aca="1" ref="A247" ca="1">IF(INDEX($H:$H,ROW()-1)&lt;&gt;$H247,$E247,"")</f>
        <v/>
      </c>
      <c r="B247" s="50" t="str" cm="1">
        <f t="array" aca="1" ref="B247" ca="1">IF($K247="","",_xlfn.LET(
_xlpm._fullName,IF($L247="",SUBSTITUTE(SUBSTITUTE(INDIRECT($K247),CHAR(10)," "),"  "," "),$L247),
_xlpm._truncatedName,IF(LEN(_xlpm._fullName)&gt;250,LEFT(_xlpm._fullName,250)&amp;"[…]",_xlpm._fullName),
HYPERLINK("#'"&amp;$E247&amp;"'!"&amp;$F247&amp;$G247,
_xlpm._truncatedName)))</f>
        <v>Risk Treatment Proposal</v>
      </c>
      <c r="C247" s="10" t="s">
        <v>707</v>
      </c>
      <c r="D247" s="10"/>
      <c r="E247" s="9" t="str">
        <f t="shared" ca="1" si="46"/>
        <v>Tracing</v>
      </c>
      <c r="F247" s="9" t="str">
        <f t="shared" ca="1" si="47"/>
        <v>P</v>
      </c>
      <c r="G247" s="9" t="str">
        <f t="shared" ca="1" si="48"/>
        <v>5</v>
      </c>
      <c r="H247" s="9" cm="1">
        <f t="array" aca="1" ref="H247" ca="1">CreateID($H$35,$E247&lt;&gt;INDEX($E:$E,ROW()-1))</f>
        <v>16</v>
      </c>
      <c r="I247" s="9" t="str" cm="1">
        <f t="array" aca="1" ref="I247" ca="1">INDIRECT($K247)</f>
        <v>Risk Treatment Proposal</v>
      </c>
      <c r="K247" s="2" t="str" cm="1">
        <f t="array" aca="1" ref="K247" ca="1">CELL("address",OFFSET(Tracing!$B$5,0,ROW()-ROW($K$233)))</f>
        <v>'[QuBA-libre.xlsx]Tracing'!$P$5</v>
      </c>
    </row>
    <row r="248" spans="1:12" ht="60" outlineLevel="1" x14ac:dyDescent="0.25">
      <c r="A248" s="10" t="str" cm="1">
        <f t="array" aca="1" ref="A248" ca="1">IF(INDEX($H:$H,ROW()-1)&lt;&gt;$H248,$E248,"")</f>
        <v/>
      </c>
      <c r="B248" s="50" t="str" cm="1">
        <f t="array" aca="1" ref="B248" ca="1">IF($K248="","",_xlfn.LET(
_xlpm._fullName,IF($L248="",SUBSTITUTE(SUBSTITUTE(INDIRECT($K248),CHAR(10)," "),"  "," "),$L248),
_xlpm._truncatedName,IF(LEN(_xlpm._fullName)&gt;250,LEFT(_xlpm._fullName,250)&amp;"[…]",_xlpm._fullName),
HYPERLINK("#'"&amp;$E248&amp;"'!"&amp;$F248&amp;$G248,
_xlpm._truncatedName)))</f>
        <v>Manual Risk Treatment</v>
      </c>
      <c r="C248" s="10" t="s">
        <v>708</v>
      </c>
      <c r="D248" s="10"/>
      <c r="E248" s="9" t="str">
        <f t="shared" ref="E248:E250" ca="1" si="52">IF($K248="","",_xlfn.LET(
_xlpm._in,$K248,
_xlpm._start,FIND("]",_xlpm._in)+1,
SUBSTITUTE(MID(_xlpm._in,_xlpm._start,FIND("!",_xlpm._in)-_xlpm._start),"'","")))</f>
        <v>Tracing</v>
      </c>
      <c r="F248" s="9" t="str">
        <f t="shared" ref="F248:F250" ca="1" si="53">IF($K248="","",_xlfn.LET(
_xlpm._in,SUBSTITUTE($K248,"$","§",1),
_xlpm._start,FIND("§",_xlpm._in)+1,
SUBSTITUTE(MID(_xlpm._in,_xlpm._start,FIND("$",_xlpm._in)-_xlpm._start),"'","")))</f>
        <v>Q</v>
      </c>
      <c r="G248" s="9" t="str">
        <f t="shared" ref="G248:G250" ca="1" si="54">IF($K248="","",RIGHT($K248,LEN($K248)-FIND("$",SUBSTITUTE($K248,"$","§",1))))</f>
        <v>5</v>
      </c>
      <c r="H248" s="9" cm="1">
        <f t="array" aca="1" ref="H248" ca="1">CreateID($H$35,$E248&lt;&gt;INDEX($E:$E,ROW()-1))</f>
        <v>16</v>
      </c>
      <c r="I248" s="9" t="str" cm="1">
        <f t="array" aca="1" ref="I248" ca="1">INDIRECT($K248)</f>
        <v>Manual Risk Treatment</v>
      </c>
      <c r="K248" s="2" t="str" cm="1">
        <f t="array" aca="1" ref="K248" ca="1">CELL("address",OFFSET(Tracing!$B$5,0,ROW()-ROW($K$233)))</f>
        <v>'[QuBA-libre.xlsx]Tracing'!$Q$5</v>
      </c>
    </row>
    <row r="249" spans="1:12" ht="75" outlineLevel="1" x14ac:dyDescent="0.25">
      <c r="A249" s="10" t="str" cm="1">
        <f t="array" aca="1" ref="A249" ca="1">IF(INDEX($H:$H,ROW()-1)&lt;&gt;$H249,$E249,"")</f>
        <v/>
      </c>
      <c r="B249" s="50" t="str" cm="1">
        <f t="array" aca="1" ref="B249" ca="1">IF($K249="","",_xlfn.LET(
_xlpm._fullName,IF($L249="",SUBSTITUTE(SUBSTITUTE(INDIRECT($K249),CHAR(10)," "),"  "," "),$L249),
_xlpm._truncatedName,IF(LEN(_xlpm._fullName)&gt;250,LEFT(_xlpm._fullName,250)&amp;"[…]",_xlpm._fullName),
HYPERLINK("#'"&amp;$E249&amp;"'!"&amp;$F249&amp;$G249,
_xlpm._truncatedName)))</f>
        <v>Risk Treatment Decision</v>
      </c>
      <c r="C249" s="10" t="s">
        <v>713</v>
      </c>
      <c r="D249" s="10"/>
      <c r="E249" s="9" t="str">
        <f t="shared" ca="1" si="52"/>
        <v>Tracing</v>
      </c>
      <c r="F249" s="9" t="str">
        <f t="shared" ca="1" si="53"/>
        <v>R</v>
      </c>
      <c r="G249" s="9" t="str">
        <f t="shared" ca="1" si="54"/>
        <v>5</v>
      </c>
      <c r="H249" s="9" cm="1">
        <f t="array" aca="1" ref="H249" ca="1">CreateID($H$35,$E249&lt;&gt;INDEX($E:$E,ROW()-1))</f>
        <v>16</v>
      </c>
      <c r="I249" s="9" t="str" cm="1">
        <f t="array" aca="1" ref="I249" ca="1">INDIRECT($K249)</f>
        <v>Risk Treatment Decision</v>
      </c>
      <c r="K249" s="2" t="str" cm="1">
        <f t="array" aca="1" ref="K249" ca="1">CELL("address",OFFSET(Tracing!$B$5,0,ROW()-ROW($K$233)))</f>
        <v>'[QuBA-libre.xlsx]Tracing'!$R$5</v>
      </c>
    </row>
    <row r="250" spans="1:12" ht="45" outlineLevel="1" x14ac:dyDescent="0.25">
      <c r="A250" s="10" t="str" cm="1">
        <f t="array" aca="1" ref="A250" ca="1">IF(INDEX($H:$H,ROW()-1)&lt;&gt;$H250,$E250,"")</f>
        <v/>
      </c>
      <c r="B250" s="50" t="str" cm="1">
        <f t="array" aca="1" ref="B250" ca="1">IF($K250="","",_xlfn.LET(
_xlpm._fullName,IF($L250="",SUBSTITUTE(SUBSTITUTE(INDIRECT($K250),CHAR(10)," "),"  "," "),$L250),
_xlpm._truncatedName,IF(LEN(_xlpm._fullName)&gt;250,LEFT(_xlpm._fullName,250)&amp;"[…]",_xlpm._fullName),
HYPERLINK("#'"&amp;$E250&amp;"'!"&amp;$F250&amp;$G250,
_xlpm._truncatedName)))</f>
        <v>Risk Treatment Rationale / Explanation</v>
      </c>
      <c r="C250" s="10" t="s">
        <v>712</v>
      </c>
      <c r="D250" s="10"/>
      <c r="E250" s="9" t="str">
        <f t="shared" ca="1" si="52"/>
        <v>Tracing</v>
      </c>
      <c r="F250" s="9" t="str">
        <f t="shared" ca="1" si="53"/>
        <v>S</v>
      </c>
      <c r="G250" s="9" t="str">
        <f t="shared" ca="1" si="54"/>
        <v>5</v>
      </c>
      <c r="H250" s="9" cm="1">
        <f t="array" aca="1" ref="H250" ca="1">CreateID($H$35,$E250&lt;&gt;INDEX($E:$E,ROW()-1))</f>
        <v>16</v>
      </c>
      <c r="I250" s="9" t="str" cm="1">
        <f t="array" aca="1" ref="I250" ca="1">INDIRECT($K250)</f>
        <v>Risk Treatment Rationale / Explanation</v>
      </c>
      <c r="K250" s="2" t="str" cm="1">
        <f t="array" aca="1" ref="K250" ca="1">CELL("address",OFFSET(Tracing!$B$5,0,ROW()-ROW($K$233)))</f>
        <v>'[QuBA-libre.xlsx]Tracing'!$S$5</v>
      </c>
    </row>
    <row r="251" spans="1:12" outlineLevel="1" x14ac:dyDescent="0.25">
      <c r="A251" s="10" t="str" cm="1">
        <f t="array" aca="1" ref="A251" ca="1">IF(INDEX($H:$H,ROW()-1)&lt;&gt;$H251,$E251,"")</f>
        <v/>
      </c>
      <c r="B251" s="50" t="str" cm="1">
        <f t="array" aca="1" ref="B251" ca="1">IF($K251="","",_xlfn.LET(
_xlpm._fullName,IF($L251="",SUBSTITUTE(SUBSTITUTE(INDIRECT($K251),CHAR(10)," "),"  "," "),$L251),
_xlpm._truncatedName,IF(LEN(_xlpm._fullName)&gt;250,LEFT(_xlpm._fullName,250)&amp;"[…]",_xlpm._fullName),
HYPERLINK("#'"&amp;$E251&amp;"'!"&amp;$F251&amp;$G251,
_xlpm._truncatedName)))</f>
        <v>Comment</v>
      </c>
      <c r="C251" s="10" t="s">
        <v>638</v>
      </c>
      <c r="D251" s="10"/>
      <c r="E251" s="9" t="str">
        <f ca="1">IF($K251="","",_xlfn.LET(
_xlpm._in,$K251,
_xlpm._start,FIND("]",_xlpm._in)+1,
SUBSTITUTE(MID(_xlpm._in,_xlpm._start,FIND("!",_xlpm._in)-_xlpm._start),"'","")))</f>
        <v>Tracing</v>
      </c>
      <c r="F251" s="9" t="str">
        <f ca="1">IF($K251="","",_xlfn.LET(
_xlpm._in,SUBSTITUTE($K251,"$","§",1),
_xlpm._start,FIND("§",_xlpm._in)+1,
SUBSTITUTE(MID(_xlpm._in,_xlpm._start,FIND("$",_xlpm._in)-_xlpm._start),"'","")))</f>
        <v>T</v>
      </c>
      <c r="G251" s="9" t="str">
        <f ca="1">IF($K251="","",RIGHT($K251,LEN($K251)-FIND("$",SUBSTITUTE($K251,"$","§",1))))</f>
        <v>5</v>
      </c>
      <c r="H251" s="9" cm="1">
        <f t="array" aca="1" ref="H251" ca="1">CreateID($H$35,$E251&lt;&gt;INDEX($E:$E,ROW()-1))</f>
        <v>16</v>
      </c>
      <c r="I251" s="9" t="str" cm="1">
        <f t="array" aca="1" ref="I251" ca="1">INDIRECT($K251)</f>
        <v>Comment</v>
      </c>
      <c r="K251" s="2" t="str" cm="1">
        <f t="array" aca="1" ref="K251" ca="1">CELL("address",OFFSET(Tracing!$B$5,0,ROW()-ROW($K$233)))</f>
        <v>'[QuBA-libre.xlsx]Tracing'!$T$5</v>
      </c>
    </row>
    <row r="252" spans="1:12" ht="60" x14ac:dyDescent="0.25">
      <c r="A252" s="10" t="str" cm="1">
        <f t="array" aca="1" ref="A252" ca="1">IF(INDEX($H:$H,ROW()-1)&lt;&gt;$H252,$E252,"")</f>
        <v>Tasks</v>
      </c>
      <c r="B252" s="50" t="str" cm="1">
        <f t="array" aca="1" ref="B252" ca="1">IF($K252="","",_xlfn.LET(
_xlpm._fullName,IF($L252="",SUBSTITUTE(SUBSTITUTE(INDIRECT($K252),CHAR(10)," "),"  "," "),$L252),
_xlpm._truncatedName,IF(LEN(_xlpm._fullName)&gt;250,LEFT(_xlpm._fullName,250)&amp;"[…]",_xlpm._fullName),
HYPERLINK("#'"&amp;$E252&amp;"'!"&amp;$F252&amp;$G252,
_xlpm._truncatedName)))</f>
        <v>Key Word</v>
      </c>
      <c r="C252" s="10" t="s">
        <v>727</v>
      </c>
      <c r="D252" s="10"/>
      <c r="E252" s="9" t="str">
        <f t="shared" ca="1" si="40"/>
        <v>Tasks</v>
      </c>
      <c r="F252" s="9" t="str">
        <f t="shared" ca="1" si="41"/>
        <v>A</v>
      </c>
      <c r="G252" s="9" t="str">
        <f t="shared" ca="1" si="42"/>
        <v>17</v>
      </c>
      <c r="H252" s="9" cm="1">
        <f t="array" aca="1" ref="H252" ca="1">CreateID($H$35,$E252&lt;&gt;INDEX($E:$E,ROW()-1))</f>
        <v>17</v>
      </c>
      <c r="I252" s="9" t="str" cm="1">
        <f t="array" aca="1" ref="I252" ca="1">INDIRECT($K252)</f>
        <v>Key Word:</v>
      </c>
      <c r="K252" s="2" t="str" cm="1">
        <f t="array" aca="1" ref="K252" ca="1">CELL("address",Tasks!$A$17)</f>
        <v>'[QuBA-libre.xlsx]Tasks'!$A$17</v>
      </c>
      <c r="L252" s="2" t="s">
        <v>726</v>
      </c>
    </row>
    <row r="253" spans="1:12" ht="60" outlineLevel="1" x14ac:dyDescent="0.25">
      <c r="A253" s="10" t="str" cm="1">
        <f t="array" aca="1" ref="A253" ca="1">IF(INDEX($H:$H,ROW()-1)&lt;&gt;$H253,$E253,"")</f>
        <v/>
      </c>
      <c r="B253" s="50" t="str" cm="1">
        <f t="array" aca="1" ref="B253" ca="1">IF($K253="","",_xlfn.LET(
_xlpm._fullName,IF($L253="",SUBSTITUTE(SUBSTITUTE(INDIRECT($K253),CHAR(10)," "),"  "," "),$L253),
_xlpm._truncatedName,IF(LEN(_xlpm._fullName)&gt;250,LEFT(_xlpm._fullName,250)&amp;"[…]",_xlpm._fullName),
HYPERLINK("#'"&amp;$E253&amp;"'!"&amp;$F253&amp;$G253,
_xlpm._truncatedName)))</f>
        <v>Element</v>
      </c>
      <c r="C253" s="10" t="s">
        <v>757</v>
      </c>
      <c r="D253" s="10"/>
      <c r="E253" s="9" t="str">
        <f t="shared" ca="1" si="40"/>
        <v>Tasks</v>
      </c>
      <c r="F253" s="9" t="str">
        <f t="shared" ca="1" si="41"/>
        <v>A</v>
      </c>
      <c r="G253" s="9" t="str">
        <f t="shared" ca="1" si="42"/>
        <v>19</v>
      </c>
      <c r="H253" s="9" cm="1">
        <f t="array" aca="1" ref="H253" ca="1">CreateID($H$35,$E253&lt;&gt;INDEX($E:$E,ROW()-1))</f>
        <v>17</v>
      </c>
      <c r="I253" s="9" t="str" cm="1">
        <f t="array" aca="1" ref="I253" ca="1">INDIRECT($K253)</f>
        <v>Element</v>
      </c>
      <c r="K253" s="2" t="str" cm="1">
        <f t="array" aca="1" ref="K253" ca="1">CELL("address",Tasks!$A$19)</f>
        <v>'[QuBA-libre.xlsx]Tasks'!$A$19</v>
      </c>
    </row>
    <row r="254" spans="1:12" ht="45" outlineLevel="1" x14ac:dyDescent="0.25">
      <c r="A254" s="10" t="str" cm="1">
        <f t="array" aca="1" ref="A254" ca="1">IF(INDEX($H:$H,ROW()-1)&lt;&gt;$H254,$E254,"")</f>
        <v/>
      </c>
      <c r="B254" s="50" t="str" cm="1">
        <f t="array" aca="1" ref="B254" ca="1">IF($K254="","",_xlfn.LET(
_xlpm._fullName,IF($L254="",SUBSTITUTE(SUBSTITUTE(INDIRECT($K254),CHAR(10)," "),"  "," "),$L254),
_xlpm._truncatedName,IF(LEN(_xlpm._fullName)&gt;250,LEFT(_xlpm._fullName,250)&amp;"[…]",_xlpm._fullName),
HYPERLINK("#'"&amp;$E254&amp;"'!"&amp;$F254&amp;$G254,
_xlpm._truncatedName)))</f>
        <v>Comment (click to follow the link)</v>
      </c>
      <c r="C254" s="10" t="s">
        <v>758</v>
      </c>
      <c r="D254" s="10"/>
      <c r="E254" s="9" t="str">
        <f t="shared" ca="1" si="40"/>
        <v>Tasks</v>
      </c>
      <c r="F254" s="9" t="str">
        <f t="shared" ca="1" si="41"/>
        <v>B</v>
      </c>
      <c r="G254" s="9" t="str">
        <f t="shared" ca="1" si="42"/>
        <v>19</v>
      </c>
      <c r="H254" s="9" cm="1">
        <f t="array" aca="1" ref="H254" ca="1">CreateID($H$35,$E254&lt;&gt;INDEX($E:$E,ROW()-1))</f>
        <v>17</v>
      </c>
      <c r="I254" s="9" t="str" cm="1">
        <f t="array" aca="1" ref="I254" ca="1">INDIRECT($K254)</f>
        <v>Comment (click to follow the link)</v>
      </c>
      <c r="K254" s="2" t="str" cm="1">
        <f t="array" aca="1" ref="K254" ca="1">CELL("address",Tasks!$B$19)</f>
        <v>'[QuBA-libre.xlsx]Tasks'!$B$19</v>
      </c>
    </row>
    <row r="255" spans="1:12" ht="90" x14ac:dyDescent="0.25">
      <c r="A255" s="10" t="str" cm="1">
        <f t="array" aca="1" ref="A255" ca="1">IF(INDEX($H:$H,ROW()-1)&lt;&gt;$H255,$E255,"")</f>
        <v>Quality Indicators</v>
      </c>
      <c r="B255" s="50" t="str" cm="1">
        <f t="array" aca="1" ref="B255" ca="1">IF($K255="","",_xlfn.LET(
_xlpm._fullName,IF($L255="",SUBSTITUTE(SUBSTITUTE(INDIRECT($K255),CHAR(10)," "),"  "," "),$L255),
_xlpm._truncatedName,IF(LEN(_xlpm._fullName)&gt;250,LEFT(_xlpm._fullName,250)&amp;"[…]",_xlpm._fullName),
HYPERLINK("#'"&amp;$E255&amp;"'!"&amp;$F255&amp;$G255,
_xlpm._truncatedName)))</f>
        <v>#</v>
      </c>
      <c r="C255" s="10" t="s">
        <v>728</v>
      </c>
      <c r="D255" s="10"/>
      <c r="E255" s="9" t="str">
        <f t="shared" ca="1" si="40"/>
        <v>Quality Indicators</v>
      </c>
      <c r="F255" s="9" t="str">
        <f t="shared" ca="1" si="41"/>
        <v>A</v>
      </c>
      <c r="G255" s="9" t="str">
        <f t="shared" ca="1" si="42"/>
        <v>2</v>
      </c>
      <c r="H255" s="9" cm="1">
        <f t="array" aca="1" ref="H255" ca="1">CreateID($H$35,$E255&lt;&gt;INDEX($E:$E,ROW()-1))</f>
        <v>18</v>
      </c>
      <c r="I255" s="9" t="str" cm="1">
        <f t="array" aca="1" ref="I255" ca="1">INDIRECT($K255)</f>
        <v>#</v>
      </c>
      <c r="K255" s="2" t="str" cm="1">
        <f t="array" aca="1" ref="K255" ca="1">CELL("address",OFFSET('Quality Indicators'!$A$2,0,ROW()-ROW($K$255)))</f>
        <v>'[QuBA-libre.xlsx]Quality Indicators'!$A$2</v>
      </c>
    </row>
    <row r="256" spans="1:12" outlineLevel="1" x14ac:dyDescent="0.25">
      <c r="A256" s="10" t="str" cm="1">
        <f t="array" aca="1" ref="A256" ca="1">IF(INDEX($H:$H,ROW()-1)&lt;&gt;$H256,$E256,"")</f>
        <v/>
      </c>
      <c r="B256" s="50" t="str" cm="1">
        <f t="array" aca="1" ref="B256" ca="1">IF($K256="","",_xlfn.LET(
_xlpm._fullName,IF($L256="",SUBSTITUTE(SUBSTITUTE(INDIRECT($K256),CHAR(10)," "),"  "," "),$L256),
_xlpm._truncatedName,IF(LEN(_xlpm._fullName)&gt;250,LEFT(_xlpm._fullName,250)&amp;"[…]",_xlpm._fullName),
HYPERLINK("#'"&amp;$E256&amp;"'!"&amp;$F256&amp;$G256,
_xlpm._truncatedName)))</f>
        <v>Criterion</v>
      </c>
      <c r="C256" s="10" t="s">
        <v>729</v>
      </c>
      <c r="D256" s="10"/>
      <c r="E256" s="9" t="str">
        <f t="shared" ca="1" si="40"/>
        <v>Quality Indicators</v>
      </c>
      <c r="F256" s="9" t="str">
        <f t="shared" ca="1" si="41"/>
        <v>B</v>
      </c>
      <c r="G256" s="9" t="str">
        <f t="shared" ca="1" si="42"/>
        <v>2</v>
      </c>
      <c r="H256" s="9" cm="1">
        <f t="array" aca="1" ref="H256" ca="1">CreateID($H$35,$E256&lt;&gt;INDEX($E:$E,ROW()-1))</f>
        <v>18</v>
      </c>
      <c r="I256" s="9" t="str" cm="1">
        <f t="array" aca="1" ref="I256" ca="1">INDIRECT($K256)</f>
        <v>Criterion</v>
      </c>
      <c r="K256" s="2" t="str" cm="1">
        <f t="array" aca="1" ref="K256" ca="1">CELL("address",OFFSET('Quality Indicators'!$A$2,0,ROW()-ROW($K$255)))</f>
        <v>'[QuBA-libre.xlsx]Quality Indicators'!$B$2</v>
      </c>
    </row>
    <row r="257" spans="1:11" ht="30" outlineLevel="1" x14ac:dyDescent="0.25">
      <c r="A257" s="10" t="str" cm="1">
        <f t="array" aca="1" ref="A257" ca="1">IF(INDEX($H:$H,ROW()-1)&lt;&gt;$H257,$E257,"")</f>
        <v/>
      </c>
      <c r="B257" s="50" t="str" cm="1">
        <f t="array" aca="1" ref="B257" ca="1">IF($K257="","",_xlfn.LET(
_xlpm._fullName,IF($L257="",SUBSTITUTE(SUBSTITUTE(INDIRECT($K257),CHAR(10)," "),"  "," "),$L257),
_xlpm._truncatedName,IF(LEN(_xlpm._fullName)&gt;250,LEFT(_xlpm._fullName,250)&amp;"[…]",_xlpm._fullName),
HYPERLINK("#'"&amp;$E257&amp;"'!"&amp;$F257&amp;$G257,
_xlpm._truncatedName)))</f>
        <v>Triggering Elements</v>
      </c>
      <c r="C257" s="10" t="s">
        <v>730</v>
      </c>
      <c r="D257" s="10"/>
      <c r="E257" s="9" t="str">
        <f t="shared" ca="1" si="40"/>
        <v>Quality Indicators</v>
      </c>
      <c r="F257" s="9" t="str">
        <f t="shared" ca="1" si="41"/>
        <v>C</v>
      </c>
      <c r="G257" s="9" t="str">
        <f t="shared" ca="1" si="42"/>
        <v>2</v>
      </c>
      <c r="H257" s="9" cm="1">
        <f t="array" aca="1" ref="H257" ca="1">CreateID($H$35,$E257&lt;&gt;INDEX($E:$E,ROW()-1))</f>
        <v>18</v>
      </c>
      <c r="I257" s="9" t="str" cm="1">
        <f t="array" aca="1" ref="I257" ca="1">INDIRECT($K257)</f>
        <v>Triggering Elements</v>
      </c>
      <c r="K257" s="2" t="str" cm="1">
        <f t="array" aca="1" ref="K257" ca="1">CELL("address",OFFSET('Quality Indicators'!$A$2,0,ROW()-ROW($K$255)))</f>
        <v>'[QuBA-libre.xlsx]Quality Indicators'!$C$2</v>
      </c>
    </row>
    <row r="258" spans="1:11" ht="30" outlineLevel="1" x14ac:dyDescent="0.25">
      <c r="A258" s="10" t="str" cm="1">
        <f t="array" aca="1" ref="A258" ca="1">IF(INDEX($H:$H,ROW()-1)&lt;&gt;$H258,$E258,"")</f>
        <v/>
      </c>
      <c r="B258" s="50" t="str" cm="1">
        <f t="array" aca="1" ref="B258" ca="1">IF($K258="","",_xlfn.LET(
_xlpm._fullName,IF($L258="",SUBSTITUTE(SUBSTITUTE(INDIRECT($K258),CHAR(10)," "),"  "," "),$L258),
_xlpm._truncatedName,IF(LEN(_xlpm._fullName)&gt;250,LEFT(_xlpm._fullName,250)&amp;"[…]",_xlpm._fullName),
HYPERLINK("#'"&amp;$E258&amp;"'!"&amp;$F258&amp;$G258,
_xlpm._truncatedName)))</f>
        <v>Link to First Element</v>
      </c>
      <c r="C258" s="10" t="s">
        <v>731</v>
      </c>
      <c r="D258" s="10"/>
      <c r="E258" s="9" t="str">
        <f t="shared" ca="1" si="40"/>
        <v>Quality Indicators</v>
      </c>
      <c r="F258" s="9" t="str">
        <f t="shared" ca="1" si="41"/>
        <v>D</v>
      </c>
      <c r="G258" s="9" t="str">
        <f t="shared" ca="1" si="42"/>
        <v>2</v>
      </c>
      <c r="H258" s="9" cm="1">
        <f t="array" aca="1" ref="H258" ca="1">CreateID($H$35,$E258&lt;&gt;INDEX($E:$E,ROW()-1))</f>
        <v>18</v>
      </c>
      <c r="I258" s="9" t="str" cm="1">
        <f t="array" aca="1" ref="I258" ca="1">INDIRECT($K258)</f>
        <v>Link to First Element</v>
      </c>
      <c r="K258" s="2" t="str" cm="1">
        <f t="array" aca="1" ref="K258" ca="1">CELL("address",OFFSET('Quality Indicators'!$A$2,0,ROW()-ROW($K$255)))</f>
        <v>'[QuBA-libre.xlsx]Quality Indicators'!$D$2</v>
      </c>
    </row>
    <row r="259" spans="1:11" outlineLevel="1" x14ac:dyDescent="0.25">
      <c r="A259" s="10" t="str" cm="1">
        <f t="array" aca="1" ref="A259" ca="1">IF(INDEX($H:$H,ROW()-1)&lt;&gt;$H259,$E259,"")</f>
        <v/>
      </c>
      <c r="B259" s="50" t="str" cm="1">
        <f t="array" aca="1" ref="B259" ca="1">IF($K259="","",_xlfn.LET(
_xlpm._fullName,IF($L259="",SUBSTITUTE(SUBSTITUTE(INDIRECT($K259),CHAR(10)," "),"  "," "),$L259),
_xlpm._truncatedName,IF(LEN(_xlpm._fullName)&gt;250,LEFT(_xlpm._fullName,250)&amp;"[…]",_xlpm._fullName),
HYPERLINK("#'"&amp;$E259&amp;"'!"&amp;$F259&amp;$G259,
_xlpm._truncatedName)))</f>
        <v>Open IDs</v>
      </c>
      <c r="C259" s="10" t="s">
        <v>732</v>
      </c>
      <c r="D259" s="10"/>
      <c r="E259" s="9" t="str">
        <f t="shared" ca="1" si="40"/>
        <v>Quality Indicators</v>
      </c>
      <c r="F259" s="9" t="str">
        <f t="shared" ca="1" si="41"/>
        <v>E</v>
      </c>
      <c r="G259" s="9" t="str">
        <f t="shared" ca="1" si="42"/>
        <v>2</v>
      </c>
      <c r="H259" s="9" cm="1">
        <f t="array" aca="1" ref="H259" ca="1">CreateID($H$35,$E259&lt;&gt;INDEX($E:$E,ROW()-1))</f>
        <v>18</v>
      </c>
      <c r="I259" s="9" t="str" cm="1">
        <f t="array" aca="1" ref="I259" ca="1">INDIRECT($K259)</f>
        <v>Open IDs</v>
      </c>
      <c r="K259" s="2" t="str" cm="1">
        <f t="array" aca="1" ref="K259" ca="1">CELL("address",OFFSET('Quality Indicators'!$A$2,0,ROW()-ROW($K$255)))</f>
        <v>'[QuBA-libre.xlsx]Quality Indicators'!$E$2</v>
      </c>
    </row>
    <row r="260" spans="1:11" ht="30" outlineLevel="1" x14ac:dyDescent="0.25">
      <c r="A260" s="10" t="str" cm="1">
        <f t="array" aca="1" ref="A260" ca="1">IF(INDEX($H:$H,ROW()-1)&lt;&gt;$H260,$E260,"")</f>
        <v/>
      </c>
      <c r="B260" s="50" t="str" cm="1">
        <f t="array" aca="1" ref="B260" ca="1">IF($K260="","",_xlfn.LET(
_xlpm._fullName,IF($L260="",SUBSTITUTE(SUBSTITUTE(INDIRECT($K260),CHAR(10)," "),"  "," "),$L260),
_xlpm._truncatedName,IF(LEN(_xlpm._fullName)&gt;250,LEFT(_xlpm._fullName,250)&amp;"[…]",_xlpm._fullName),
HYPERLINK("#'"&amp;$E260&amp;"'!"&amp;$F260&amp;$G260,
_xlpm._truncatedName)))</f>
        <v>OK for IDs</v>
      </c>
      <c r="C260" s="10" t="s">
        <v>733</v>
      </c>
      <c r="D260" s="10"/>
      <c r="E260" s="9" t="str">
        <f t="shared" ca="1" si="40"/>
        <v>Quality Indicators</v>
      </c>
      <c r="F260" s="9" t="str">
        <f t="shared" ca="1" si="41"/>
        <v>F</v>
      </c>
      <c r="G260" s="9" t="str">
        <f t="shared" ca="1" si="42"/>
        <v>2</v>
      </c>
      <c r="H260" s="9" cm="1">
        <f t="array" aca="1" ref="H260" ca="1">CreateID($H$35,$E260&lt;&gt;INDEX($E:$E,ROW()-1))</f>
        <v>18</v>
      </c>
      <c r="I260" s="9" t="str" cm="1">
        <f t="array" aca="1" ref="I260" ca="1">INDIRECT($K260)</f>
        <v>OK for IDs</v>
      </c>
      <c r="K260" s="2" t="str" cm="1">
        <f t="array" aca="1" ref="K260" ca="1">CELL("address",OFFSET('Quality Indicators'!$A$2,0,ROW()-ROW($K$255)))</f>
        <v>'[QuBA-libre.xlsx]Quality Indicators'!$F$2</v>
      </c>
    </row>
    <row r="261" spans="1:11" outlineLevel="1" x14ac:dyDescent="0.25">
      <c r="A261" s="10" t="str" cm="1">
        <f t="array" aca="1" ref="A261" ca="1">IF(INDEX($H:$H,ROW()-1)&lt;&gt;$H261,$E261,"")</f>
        <v/>
      </c>
      <c r="B261" s="50" t="str" cm="1">
        <f t="array" aca="1" ref="B261" ca="1">IF($K261="","",_xlfn.LET(
_xlpm._fullName,IF($L261="",SUBSTITUTE(SUBSTITUTE(INDIRECT($K261),CHAR(10)," "),"  "," "),$L261),
_xlpm._truncatedName,IF(LEN(_xlpm._fullName)&gt;250,LEFT(_xlpm._fullName,250)&amp;"[…]",_xlpm._fullName),
HYPERLINK("#'"&amp;$E261&amp;"'!"&amp;$F261&amp;$G261,
_xlpm._truncatedName)))</f>
        <v>Rationale</v>
      </c>
      <c r="C261" s="10" t="s">
        <v>734</v>
      </c>
      <c r="D261" s="10"/>
      <c r="E261" s="9" t="str">
        <f t="shared" ca="1" si="40"/>
        <v>Quality Indicators</v>
      </c>
      <c r="F261" s="9" t="str">
        <f t="shared" ca="1" si="41"/>
        <v>G</v>
      </c>
      <c r="G261" s="9" t="str">
        <f t="shared" ca="1" si="42"/>
        <v>2</v>
      </c>
      <c r="H261" s="9" cm="1">
        <f t="array" aca="1" ref="H261" ca="1">CreateID($H$35,$E261&lt;&gt;INDEX($E:$E,ROW()-1))</f>
        <v>18</v>
      </c>
      <c r="I261" s="9" t="str" cm="1">
        <f t="array" aca="1" ref="I261" ca="1">INDIRECT($K261)</f>
        <v>Rationale</v>
      </c>
      <c r="K261" s="2" t="str" cm="1">
        <f t="array" aca="1" ref="K261" ca="1">CELL("address",OFFSET('Quality Indicators'!$A$2,0,ROW()-ROW($K$255)))</f>
        <v>'[QuBA-libre.xlsx]Quality Indicators'!$G$2</v>
      </c>
    </row>
    <row r="262" spans="1:11" ht="30" x14ac:dyDescent="0.25">
      <c r="A262" s="10" t="str" cm="1">
        <f t="array" aca="1" ref="A262" ca="1">IF(INDEX($H:$H,ROW()-1)&lt;&gt;$H262,$E262,"")</f>
        <v>JSON</v>
      </c>
      <c r="B262" s="50" t="str" cm="1">
        <f t="array" aca="1" ref="B262" ca="1">IF($K262="","",_xlfn.LET(
_xlpm._fullName,IF($L262="",SUBSTITUTE(SUBSTITUTE(INDIRECT($K262),CHAR(10)," "),"  "," "),$L262),
_xlpm._truncatedName,IF(LEN(_xlpm._fullName)&gt;250,LEFT(_xlpm._fullName,250)&amp;"[…]",_xlpm._fullName),
HYPERLINK("#'"&amp;$E262&amp;"'!"&amp;$F262&amp;$G262,
_xlpm._truncatedName)))</f>
        <v>Sheet</v>
      </c>
      <c r="C262" s="10" t="s">
        <v>1174</v>
      </c>
      <c r="D262" s="10"/>
      <c r="E262" s="9" t="str">
        <f ca="1">IF($K262="","",_xlfn.LET(
_xlpm._in,$K262,
_xlpm._start,FIND("]",_xlpm._in)+1,
SUBSTITUTE(MID(_xlpm._in,_xlpm._start,FIND("!",_xlpm._in)-_xlpm._start),"'","")))</f>
        <v>JSON</v>
      </c>
      <c r="F262" s="9" t="str">
        <f ca="1">IF($K262="","",_xlfn.LET(
_xlpm._in,SUBSTITUTE($K262,"$","§",1),
_xlpm._start,FIND("§",_xlpm._in)+1,
SUBSTITUTE(MID(_xlpm._in,_xlpm._start,FIND("$",_xlpm._in)-_xlpm._start),"'","")))</f>
        <v>B</v>
      </c>
      <c r="G262" s="9" t="str">
        <f ca="1">IF($K262="","",RIGHT($K262,LEN($K262)-FIND("$",SUBSTITUTE($K262,"$","§",1))))</f>
        <v>6</v>
      </c>
      <c r="H262" s="9" cm="1">
        <f t="array" aca="1" ref="H262" ca="1">CreateID($H$35,$E262&lt;&gt;INDEX($E:$E,ROW()-1))</f>
        <v>19</v>
      </c>
      <c r="I262" s="9" t="str" cm="1">
        <f t="array" aca="1" ref="I262" ca="1">INDIRECT($K262)</f>
        <v>Sheet</v>
      </c>
      <c r="K262" s="2" t="str" cm="1">
        <f t="array" aca="1" ref="K262" ca="1">CELL("address",JSON!$B$6)</f>
        <v>'[QuBA-libre.xlsx]JSON'!$B$6</v>
      </c>
    </row>
    <row r="263" spans="1:11" ht="120" outlineLevel="1" x14ac:dyDescent="0.25">
      <c r="A263" s="10" t="str" cm="1">
        <f t="array" aca="1" ref="A263" ca="1">IF(INDEX($H:$H,ROW()-1)&lt;&gt;$H263,$E263,"")</f>
        <v/>
      </c>
      <c r="B263" s="50" t="str" cm="1">
        <f t="array" aca="1" ref="B263" ca="1">IF($K263="","",_xlfn.LET(
_xlpm._fullName,IF($L263="",SUBSTITUTE(SUBSTITUTE(INDIRECT($K263),CHAR(10)," "),"  "," "),$L263),
_xlpm._truncatedName,IF(LEN(_xlpm._fullName)&gt;250,LEFT(_xlpm._fullName,250)&amp;"[…]",_xlpm._fullName),
HYPERLINK("#'"&amp;$E263&amp;"'!"&amp;$F263&amp;$G263,
_xlpm._truncatedName)))</f>
        <v>Export String (copy to MS Word)</v>
      </c>
      <c r="C263" s="10" t="s">
        <v>1175</v>
      </c>
      <c r="D263" s="10" t="s">
        <v>1176</v>
      </c>
      <c r="E263" s="9" t="str">
        <f ca="1">IF($K263="","",_xlfn.LET(
_xlpm._in,$K263,
_xlpm._start,FIND("]",_xlpm._in)+1,
SUBSTITUTE(MID(_xlpm._in,_xlpm._start,FIND("!",_xlpm._in)-_xlpm._start),"'","")))</f>
        <v>JSON</v>
      </c>
      <c r="F263" s="9" t="str">
        <f ca="1">IF($K263="","",_xlfn.LET(
_xlpm._in,SUBSTITUTE($K263,"$","§",1),
_xlpm._start,FIND("§",_xlpm._in)+1,
SUBSTITUTE(MID(_xlpm._in,_xlpm._start,FIND("$",_xlpm._in)-_xlpm._start),"'","")))</f>
        <v>C</v>
      </c>
      <c r="G263" s="9" t="str">
        <f ca="1">IF($K263="","",RIGHT($K263,LEN($K263)-FIND("$",SUBSTITUTE($K263,"$","§",1))))</f>
        <v>6</v>
      </c>
      <c r="H263" s="9" cm="1">
        <f t="array" aca="1" ref="H263" ca="1">CreateID($H$35,$E263&lt;&gt;INDEX($E:$E,ROW()-1))</f>
        <v>19</v>
      </c>
      <c r="I263" s="9" t="str" cm="1">
        <f t="array" aca="1" ref="I263" ca="1">INDIRECT($K263)</f>
        <v>Export String (copy to MS Word)</v>
      </c>
      <c r="K263" s="2" t="str" cm="1">
        <f t="array" aca="1" ref="K263" ca="1">CELL("address",JSON!$C$6)</f>
        <v>'[QuBA-libre.xlsx]JSON'!$C$6</v>
      </c>
    </row>
  </sheetData>
  <mergeCells count="3">
    <mergeCell ref="B9:D9"/>
    <mergeCell ref="B7:D7"/>
    <mergeCell ref="B3:D3"/>
  </mergeCells>
  <conditionalFormatting sqref="A1:A33 A34:D34 A35:A1048576">
    <cfRule type="expression" dxfId="88" priority="6">
      <formula>AND($H1&lt;&gt;"",MOD($H1,2)=0)</formula>
    </cfRule>
    <cfRule type="expression" dxfId="87" priority="7">
      <formula>AND($H1&lt;&gt;"",MOD($H1,2)=1)</formula>
    </cfRule>
  </conditionalFormatting>
  <conditionalFormatting sqref="C4:C6 C8 C10:C33 C35:C1048576">
    <cfRule type="expression" dxfId="86" priority="5">
      <formula>IFERROR(FIND("Calculated:",$C4)&gt;0,FALSE)</formula>
    </cfRule>
  </conditionalFormatting>
  <conditionalFormatting sqref="C1:D2">
    <cfRule type="expression" dxfId="85" priority="4">
      <formula>IFERROR(FIND("Calculated:",$C1)&gt;0,FALSE)</formula>
    </cfRule>
  </conditionalFormatting>
  <conditionalFormatting sqref="D12">
    <cfRule type="expression" dxfId="84" priority="3">
      <formula>IFERROR(FIND("Calculated:",$C12)&gt;0,FALSE)</formula>
    </cfRule>
  </conditionalFormatting>
  <conditionalFormatting sqref="D20">
    <cfRule type="expression" dxfId="83" priority="2">
      <formula>IFERROR(FIND("Calculated:",$C20)&gt;0,FALSE)</formula>
    </cfRule>
  </conditionalFormatting>
  <conditionalFormatting sqref="D27">
    <cfRule type="expression" dxfId="82" priority="1">
      <formula>IFERROR(FIND("Calculated:",$C27)&gt;0,FALSE)</formula>
    </cfRule>
  </conditionalFormatting>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F99B9-7644-4B92-9F3D-774C16B582BD}">
  <sheetPr>
    <tabColor theme="1"/>
    <outlinePr summaryBelow="0"/>
  </sheetPr>
  <dimension ref="A1:S192"/>
  <sheetViews>
    <sheetView zoomScaleNormal="100" workbookViewId="0">
      <pane xSplit="2" ySplit="2" topLeftCell="C39" activePane="bottomRight" state="frozen"/>
      <selection pane="topRight" activeCell="C1" sqref="C1"/>
      <selection pane="bottomLeft" activeCell="A3" sqref="A3"/>
      <selection pane="bottomRight" activeCell="D42" sqref="D42"/>
    </sheetView>
  </sheetViews>
  <sheetFormatPr defaultColWidth="9.140625" defaultRowHeight="15" x14ac:dyDescent="0.25"/>
  <cols>
    <col min="1" max="1" width="10.7109375" style="4" customWidth="1"/>
    <col min="2" max="2" width="40.7109375" style="4" customWidth="1"/>
    <col min="3" max="3" width="10.7109375" style="4" customWidth="1"/>
    <col min="4" max="4" width="72.7109375" style="2" customWidth="1"/>
    <col min="5" max="5" width="45.7109375" style="2" customWidth="1"/>
    <col min="6" max="6" width="20.7109375" style="2" customWidth="1"/>
    <col min="7" max="7" width="75.7109375" style="2" customWidth="1"/>
    <col min="8" max="8" width="12.5703125" style="2" hidden="1" customWidth="1"/>
    <col min="9" max="9" width="14.5703125" style="2" hidden="1" customWidth="1"/>
    <col min="10" max="10" width="16" style="2" hidden="1" customWidth="1"/>
    <col min="11" max="11" width="14.5703125" style="2" hidden="1" customWidth="1"/>
    <col min="12" max="12" width="9.85546875" style="2" hidden="1" customWidth="1"/>
    <col min="13" max="15" width="23.7109375" style="2" hidden="1" customWidth="1"/>
    <col min="16" max="16" width="9.140625" style="2" hidden="1" customWidth="1"/>
    <col min="17" max="17" width="34.5703125" style="2" hidden="1" customWidth="1"/>
    <col min="18" max="18" width="36.7109375" style="2" hidden="1" customWidth="1"/>
    <col min="19" max="19" width="21.7109375" style="2" hidden="1" customWidth="1"/>
    <col min="20" max="16384" width="9.140625" style="2"/>
  </cols>
  <sheetData>
    <row r="1" spans="1:19" s="76" customFormat="1" ht="18.75" x14ac:dyDescent="0.3">
      <c r="A1" s="74" t="s">
        <v>1550</v>
      </c>
      <c r="B1" s="74"/>
      <c r="C1" s="74"/>
      <c r="D1" s="74"/>
      <c r="E1" s="74"/>
      <c r="F1" s="74"/>
      <c r="G1" s="74"/>
      <c r="H1" s="112"/>
    </row>
    <row r="2" spans="1:19" x14ac:dyDescent="0.25">
      <c r="A2" s="10" t="s">
        <v>425</v>
      </c>
      <c r="B2" s="13" t="s">
        <v>48</v>
      </c>
      <c r="C2" s="10" t="s">
        <v>1449</v>
      </c>
      <c r="D2" s="9" t="s">
        <v>1550</v>
      </c>
      <c r="E2" s="8" t="s">
        <v>1551</v>
      </c>
      <c r="F2" s="2" t="s">
        <v>1560</v>
      </c>
      <c r="G2" s="2" t="s">
        <v>1552</v>
      </c>
      <c r="H2" s="2" t="s">
        <v>47</v>
      </c>
      <c r="I2" s="2" t="s">
        <v>613</v>
      </c>
      <c r="J2" s="2" t="s">
        <v>615</v>
      </c>
      <c r="K2" s="2" t="s">
        <v>214</v>
      </c>
      <c r="L2" s="2" t="s">
        <v>611</v>
      </c>
      <c r="M2" s="2" t="s">
        <v>1141</v>
      </c>
      <c r="N2" s="2" t="s">
        <v>1559</v>
      </c>
      <c r="O2" s="2" t="s">
        <v>1561</v>
      </c>
      <c r="Q2" s="1" t="s">
        <v>1553</v>
      </c>
      <c r="R2" s="2" t="s">
        <v>670</v>
      </c>
      <c r="S2" s="2" t="s">
        <v>1025</v>
      </c>
    </row>
    <row r="3" spans="1:19" ht="191.25" x14ac:dyDescent="0.25">
      <c r="A3" s="108" t="str" cm="1">
        <f t="array" aca="1" ref="A3" ca="1">IF($Q3="","",_xlfn.LET(
_xlpm._fullName,IF($R3="",SUBSTITUTE(SUBSTITUTE(INDIRECT($Q3),CHAR(10)," "),"  "," "),$R3),
_xlpm._truncatedName,IF(LEN(_xlpm._fullName)&gt;250,LEFT(_xlpm._fullName,250)&amp;"[…]",_xlpm._fullName),
HYPERLINK("#'"&amp;$I3&amp;"'!"&amp;$J3&amp;$K3,
_xlpm._truncatedName)))</f>
        <v>QI1</v>
      </c>
      <c r="B3" s="106" t="str" cm="1">
        <f t="array" aca="1" ref="B3" ca="1">IF($A3="","",SimpleLookup($A3,Questions!$A:$B))</f>
        <v>Does the product have / support cameras or other sensors that can potentially identify people? (Regarding "supporting a camera / sensor": only answer with Yes if attaching a camera / sensor is in the intended or foreseeable use of the product.)</v>
      </c>
      <c r="C3" s="107" t="s">
        <v>9</v>
      </c>
      <c r="D3" s="110" t="s">
        <v>1562</v>
      </c>
      <c r="E3" s="106" t="str" cm="1">
        <f t="array" aca="1" ref="E3" ca="1">_xlfn.LET(
_xlpm._options,IF($O3="","",SimpleLookup($O3,Questions!$A:$H)),
_xlpm._followUpStart,FIND($C3&amp;":",_xlpm._options)+LEN($C3&amp;":"),
_xlpm._followUpEnd,FIND(CHAR(10),_xlpm._options&amp;CHAR(10),_xlpm._followUpStart),
IF($C3="","",TRIM(MID(_xlpm._options,_xlpm._followUpStart,_xlpm._followUpEnd-_xlpm._followUpStart))))</f>
        <v>Can you argue that the product cannot identify people in its operational environment?</v>
      </c>
      <c r="F3" s="107" t="s">
        <v>9</v>
      </c>
      <c r="G3" s="113" t="s">
        <v>1556</v>
      </c>
      <c r="H3" s="113" cm="1">
        <f t="array" aca="1" ref="H3" ca="1">CreateID($H$2,$A3&lt;&gt;"")</f>
        <v>1</v>
      </c>
      <c r="I3" s="9" t="str">
        <f t="shared" ref="I3:I8" ca="1" si="0">IF($Q3="","",_xlfn.LET(
_xlpm._in,$Q3,
_xlpm._start,FIND("]",_xlpm._in)+1,
SUBSTITUTE(MID(_xlpm._in,_xlpm._start,FIND("!",_xlpm._in)-_xlpm._start),"'","")))</f>
        <v>Questionnaire</v>
      </c>
      <c r="J3" s="9" t="str">
        <f t="shared" ref="J3:J8" ca="1" si="1">IF($Q3="","",_xlfn.LET(
_xlpm._in,SUBSTITUTE($Q3,"$","§",1),
_xlpm._start,FIND("§",_xlpm._in)+1,
SUBSTITUTE(MID(_xlpm._in,_xlpm._start,FIND("$",_xlpm._in)-_xlpm._start),"'","")))</f>
        <v>B</v>
      </c>
      <c r="K3" s="9" t="str">
        <f t="shared" ref="K3:K8" ca="1" si="2">IF($Q3="","",RIGHT($Q3,LEN($Q3)-FIND("$",SUBSTITUTE($Q3,"$","§",1))))</f>
        <v>6</v>
      </c>
      <c r="L3" s="9" cm="1">
        <f t="array" aca="1" ref="L3" ca="1">CreateID($L$2,$I3&lt;&gt;INDEX($I:$I,ROW()-1))</f>
        <v>1</v>
      </c>
      <c r="M3" s="9" t="str" cm="1">
        <f t="array" aca="1" ref="M3" ca="1">IF($Q3="","",INDIRECT($Q3))</f>
        <v>QI1</v>
      </c>
      <c r="N3" s="9" t="str">
        <f t="shared" ref="N3:N7" ca="1" si="3">IF(MOD($H3,2)=0,"D","L")</f>
        <v>L</v>
      </c>
      <c r="O3" s="9" t="str">
        <f t="shared" ref="O3:O8" ca="1" si="4">IF($A3="",OFFSET($O3,-1,0),$A3)</f>
        <v>QI1</v>
      </c>
      <c r="Q3" s="1" t="str" cm="1">
        <f t="array" aca="1" ref="Q3" ca="1">CELL("address",Questionnaire!$B$6)</f>
        <v>'[QuBA-libre.xlsx]Questionnaire'!$B$6</v>
      </c>
    </row>
    <row r="4" spans="1:19" ht="123.75" x14ac:dyDescent="0.25">
      <c r="A4" s="108" t="str" cm="1">
        <f t="array" aca="1" ref="A4" ca="1">IF($Q4="","",_xlfn.LET(
_xlpm._fullName,IF($R4="",SUBSTITUTE(SUBSTITUTE(INDIRECT($Q4),CHAR(10)," "),"  "," "),$R4),
_xlpm._truncatedName,IF(LEN(_xlpm._fullName)&gt;250,LEFT(_xlpm._fullName,250)&amp;"[…]",_xlpm._fullName),
HYPERLINK("#'"&amp;$I4&amp;"'!"&amp;$J4&amp;$K4,
_xlpm._truncatedName)))</f>
        <v/>
      </c>
      <c r="B4" s="106" t="str" cm="1">
        <f t="array" aca="1" ref="B4" ca="1">IF($A4="","",SimpleLookup($A4,Questions!$A:$B))</f>
        <v/>
      </c>
      <c r="C4" s="107"/>
      <c r="D4" s="110"/>
      <c r="E4" s="106" t="str" cm="1">
        <f t="array" aca="1" ref="E4" ca="1">_xlfn.LET(
_xlpm._options,IF($O4="","",SimpleLookup($O4,Questions!$A:$H)),
_xlpm._followUpStart,FIND($C4&amp;":",_xlpm._options)+LEN($C4&amp;":"),
_xlpm._followUpEnd,FIND(CHAR(10),_xlpm._options&amp;CHAR(10),_xlpm._followUpStart),
IF($C4="","",TRIM(MID(_xlpm._options,_xlpm._followUpStart,_xlpm._followUpEnd-_xlpm._followUpStart))))</f>
        <v/>
      </c>
      <c r="F4" s="107"/>
      <c r="G4" s="113" t="s">
        <v>1557</v>
      </c>
      <c r="H4" s="113" cm="1">
        <f t="array" aca="1" ref="H4" ca="1">CreateID($H$2,$A4&lt;&gt;"")</f>
        <v>1</v>
      </c>
      <c r="I4" s="9" t="str">
        <f t="shared" si="0"/>
        <v/>
      </c>
      <c r="J4" s="9" t="str">
        <f t="shared" si="1"/>
        <v/>
      </c>
      <c r="K4" s="9" t="str">
        <f t="shared" si="2"/>
        <v/>
      </c>
      <c r="L4" s="9" cm="1">
        <f t="array" aca="1" ref="L4" ca="1">CreateID($L$2,$I4&lt;&gt;INDEX($I:$I,ROW()-1))</f>
        <v>2</v>
      </c>
      <c r="M4" s="9" t="str" cm="1">
        <f t="array" aca="1" ref="M4" ca="1">IF($Q4="","",INDIRECT($Q4))</f>
        <v/>
      </c>
      <c r="N4" s="9" t="str">
        <f t="shared" ca="1" si="3"/>
        <v>L</v>
      </c>
      <c r="O4" s="9" t="str">
        <f t="shared" ca="1" si="4"/>
        <v>QI1</v>
      </c>
      <c r="Q4" s="1"/>
    </row>
    <row r="5" spans="1:19" ht="180" x14ac:dyDescent="0.25">
      <c r="A5" s="108" t="str" cm="1">
        <f t="array" aca="1" ref="A5" ca="1">IF($Q5="","",_xlfn.LET(
_xlpm._fullName,IF($R5="",SUBSTITUTE(SUBSTITUTE(INDIRECT($Q5),CHAR(10)," "),"  "," "),$R5),
_xlpm._truncatedName,IF(LEN(_xlpm._fullName)&gt;250,LEFT(_xlpm._fullName,250)&amp;"[…]",_xlpm._fullName),
HYPERLINK("#'"&amp;$I5&amp;"'!"&amp;$J5&amp;$K5,
_xlpm._truncatedName)))</f>
        <v/>
      </c>
      <c r="B5" s="106" t="str" cm="1">
        <f t="array" aca="1" ref="B5" ca="1">IF($A5="","",SimpleLookup($A5,Questions!$A:$B))</f>
        <v/>
      </c>
      <c r="C5" s="107"/>
      <c r="D5" s="110"/>
      <c r="E5" s="106" t="str" cm="1">
        <f t="array" aca="1" ref="E5" ca="1">_xlfn.LET(
_xlpm._options,IF($O5="","",SimpleLookup($O5,Questions!$A:$H)),
_xlpm._followUpStart,FIND($C5&amp;":",_xlpm._options)+LEN($C5&amp;":"),
_xlpm._followUpEnd,FIND(CHAR(10),_xlpm._options&amp;CHAR(10),_xlpm._followUpStart),
IF($C5="","",TRIM(MID(_xlpm._options,_xlpm._followUpStart,_xlpm._followUpEnd-_xlpm._followUpStart))))</f>
        <v/>
      </c>
      <c r="F5" s="107"/>
      <c r="G5" s="113" t="s">
        <v>1558</v>
      </c>
      <c r="H5" s="113" cm="1">
        <f t="array" aca="1" ref="H5" ca="1">CreateID($H$2,$A5&lt;&gt;"")</f>
        <v>1</v>
      </c>
      <c r="I5" s="9" t="str">
        <f t="shared" si="0"/>
        <v/>
      </c>
      <c r="J5" s="9" t="str">
        <f t="shared" si="1"/>
        <v/>
      </c>
      <c r="K5" s="9" t="str">
        <f t="shared" si="2"/>
        <v/>
      </c>
      <c r="L5" s="9" cm="1">
        <f t="array" aca="1" ref="L5" ca="1">CreateID($L$2,$I5&lt;&gt;INDEX($I:$I,ROW()-1))</f>
        <v>2</v>
      </c>
      <c r="M5" s="9" t="str" cm="1">
        <f t="array" aca="1" ref="M5" ca="1">IF($Q5="","",INDIRECT($Q5))</f>
        <v/>
      </c>
      <c r="N5" s="9" t="str">
        <f t="shared" ca="1" si="3"/>
        <v>L</v>
      </c>
      <c r="O5" s="9" t="str">
        <f t="shared" ca="1" si="4"/>
        <v>QI1</v>
      </c>
      <c r="Q5" s="1"/>
    </row>
    <row r="6" spans="1:19" ht="371.25" x14ac:dyDescent="0.25">
      <c r="A6" s="108" t="str" cm="1">
        <f t="array" aca="1" ref="A6" ca="1">IF($Q6="","",_xlfn.LET(
_xlpm._fullName,IF($R6="",SUBSTITUTE(SUBSTITUTE(INDIRECT($Q6),CHAR(10)," "),"  "," "),$R6),
_xlpm._truncatedName,IF(LEN(_xlpm._fullName)&gt;250,LEFT(_xlpm._fullName,250)&amp;"[…]",_xlpm._fullName),
HYPERLINK("#'"&amp;$I6&amp;"'!"&amp;$J6&amp;$K6,
_xlpm._truncatedName)))</f>
        <v/>
      </c>
      <c r="B6" s="106" t="str" cm="1">
        <f t="array" aca="1" ref="B6" ca="1">IF($A6="","",SimpleLookup($A6,Questions!$A:$B))</f>
        <v/>
      </c>
      <c r="C6" s="107"/>
      <c r="D6" s="110"/>
      <c r="E6" s="106" t="str" cm="1">
        <f t="array" aca="1" ref="E6" ca="1">_xlfn.LET(
_xlpm._options,IF($O6="","",SimpleLookup($O6,Questions!$A:$H)),
_xlpm._followUpStart,FIND($C6&amp;":",_xlpm._options)+LEN($C6&amp;":"),
_xlpm._followUpEnd,FIND(CHAR(10),_xlpm._options&amp;CHAR(10),_xlpm._followUpStart),
IF($C6="","",TRIM(MID(_xlpm._options,_xlpm._followUpStart,_xlpm._followUpEnd-_xlpm._followUpStart))))</f>
        <v/>
      </c>
      <c r="F6" s="107" t="s">
        <v>10</v>
      </c>
      <c r="G6" s="113" t="s">
        <v>1555</v>
      </c>
      <c r="H6" s="113" cm="1">
        <f t="array" aca="1" ref="H6" ca="1">CreateID($H$2,$A6&lt;&gt;"")</f>
        <v>1</v>
      </c>
      <c r="I6" s="9" t="str">
        <f t="shared" si="0"/>
        <v/>
      </c>
      <c r="J6" s="9" t="str">
        <f t="shared" si="1"/>
        <v/>
      </c>
      <c r="K6" s="9" t="str">
        <f t="shared" si="2"/>
        <v/>
      </c>
      <c r="L6" s="9" cm="1">
        <f t="array" aca="1" ref="L6" ca="1">CreateID($L$2,$I6&lt;&gt;INDEX($I:$I,ROW()-1))</f>
        <v>2</v>
      </c>
      <c r="M6" s="9" t="str" cm="1">
        <f t="array" aca="1" ref="M6" ca="1">IF($Q6="","",INDIRECT($Q6))</f>
        <v/>
      </c>
      <c r="N6" s="9" t="str">
        <f t="shared" ca="1" si="3"/>
        <v>L</v>
      </c>
      <c r="O6" s="9" t="str">
        <f t="shared" ca="1" si="4"/>
        <v>QI1</v>
      </c>
      <c r="Q6" s="1"/>
    </row>
    <row r="7" spans="1:19" ht="96" x14ac:dyDescent="0.25">
      <c r="A7" s="108" t="str" cm="1">
        <f t="array" aca="1" ref="A7" ca="1">IF($Q7="","",_xlfn.LET(
_xlpm._fullName,IF($R7="",SUBSTITUTE(SUBSTITUTE(INDIRECT($Q7),CHAR(10)," "),"  "," "),$R7),
_xlpm._truncatedName,IF(LEN(_xlpm._fullName)&gt;250,LEFT(_xlpm._fullName,250)&amp;"[…]",_xlpm._fullName),
HYPERLINK("#'"&amp;$I7&amp;"'!"&amp;$J7&amp;$K7,
_xlpm._truncatedName)))</f>
        <v/>
      </c>
      <c r="B7" s="106" t="str" cm="1">
        <f t="array" aca="1" ref="B7" ca="1">IF($A7="","",SimpleLookup($A7,Questions!$A:$B))</f>
        <v/>
      </c>
      <c r="C7" s="107" t="s">
        <v>10</v>
      </c>
      <c r="D7" s="110" t="s">
        <v>1554</v>
      </c>
      <c r="E7" s="106" t="str" cm="1">
        <f t="array" aca="1" ref="E7" ca="1">_xlfn.LET(
_xlpm._options,IF($O7="","",SimpleLookup($O7,Questions!$A:$H)),
_xlpm._followUpStart,FIND($C7&amp;":",_xlpm._options)+LEN($C7&amp;":"),
_xlpm._followUpEnd,FIND(CHAR(10),_xlpm._options&amp;CHAR(10),_xlpm._followUpStart),
IF($C7="","",TRIM(MID(_xlpm._options,_xlpm._followUpStart,_xlpm._followUpEnd-_xlpm._followUpStart))))</f>
        <v/>
      </c>
      <c r="F7" s="107"/>
      <c r="G7" s="113"/>
      <c r="H7" s="113" cm="1">
        <f t="array" aca="1" ref="H7" ca="1">CreateID($H$2,$A7&lt;&gt;"")</f>
        <v>1</v>
      </c>
      <c r="I7" s="9" t="str">
        <f t="shared" si="0"/>
        <v/>
      </c>
      <c r="J7" s="9" t="str">
        <f t="shared" si="1"/>
        <v/>
      </c>
      <c r="K7" s="9" t="str">
        <f t="shared" si="2"/>
        <v/>
      </c>
      <c r="L7" s="9" cm="1">
        <f t="array" aca="1" ref="L7" ca="1">CreateID($L$2,$I7&lt;&gt;INDEX($I:$I,ROW()-1))</f>
        <v>2</v>
      </c>
      <c r="M7" s="9" t="str" cm="1">
        <f t="array" aca="1" ref="M7" ca="1">IF($Q7="","",INDIRECT($Q7))</f>
        <v/>
      </c>
      <c r="N7" s="9" t="str">
        <f t="shared" ca="1" si="3"/>
        <v>L</v>
      </c>
      <c r="O7" s="9" t="str">
        <f t="shared" ca="1" si="4"/>
        <v>QI1</v>
      </c>
    </row>
    <row r="8" spans="1:19" ht="180" x14ac:dyDescent="0.25">
      <c r="A8" s="108" t="str" cm="1">
        <f t="array" aca="1" ref="A8" ca="1">IF($Q8="","",_xlfn.LET(
_xlpm._fullName,IF($R8="",SUBSTITUTE(SUBSTITUTE(INDIRECT($Q8),CHAR(10)," "),"  "," "),$R8),
_xlpm._truncatedName,IF(LEN(_xlpm._fullName)&gt;250,LEFT(_xlpm._fullName,250)&amp;"[…]",_xlpm._fullName),
HYPERLINK("#'"&amp;$I8&amp;"'!"&amp;$J8&amp;$K8,
_xlpm._truncatedName)))</f>
        <v>QI2</v>
      </c>
      <c r="B8" s="106" t="str" cm="1">
        <f t="array" aca="1" ref="B8" ca="1">IF($A8="","",SimpleLookup($A8,Questions!$A:$B))</f>
        <v>Does the product process personal data?
Examples: address labels</v>
      </c>
      <c r="C8" s="107" t="s">
        <v>9</v>
      </c>
      <c r="D8" s="110" t="s">
        <v>1705</v>
      </c>
      <c r="E8" s="106" t="str" cm="1">
        <f t="array" aca="1" ref="E8" ca="1">_xlfn.LET(
_xlpm._options,IF($O8="","",SimpleLookup($O8,Questions!$A:$H)),
_xlpm._followUpStart,FIND($C8&amp;":",_xlpm._options)+LEN($C8&amp;":"),
_xlpm._followUpEnd,FIND(CHAR(10),_xlpm._options&amp;CHAR(10),_xlpm._followUpStart),
IF($C8="","",TRIM(MID(_xlpm._options,_xlpm._followUpStart,_xlpm._followUpEnd-_xlpm._followUpStart))))</f>
        <v>What is the criticality of the processed data?</v>
      </c>
      <c r="F8" s="107"/>
      <c r="G8" s="113" t="s">
        <v>1565</v>
      </c>
      <c r="H8" s="113" cm="1">
        <f t="array" aca="1" ref="H8" ca="1">CreateID($H$2,$A8&lt;&gt;"")</f>
        <v>2</v>
      </c>
      <c r="I8" s="9" t="str">
        <f t="shared" ca="1" si="0"/>
        <v>Questionnaire</v>
      </c>
      <c r="J8" s="9" t="str">
        <f t="shared" ca="1" si="1"/>
        <v>B</v>
      </c>
      <c r="K8" s="9" t="str">
        <f t="shared" ca="1" si="2"/>
        <v>7</v>
      </c>
      <c r="L8" s="9" cm="1">
        <f t="array" aca="1" ref="L8" ca="1">CreateID($L$2,$I8&lt;&gt;INDEX($I:$I,ROW()-1))</f>
        <v>3</v>
      </c>
      <c r="M8" s="9" t="str" cm="1">
        <f t="array" aca="1" ref="M8" ca="1">IF($Q8="","",INDIRECT($Q8))</f>
        <v>QI2</v>
      </c>
      <c r="N8" s="9" t="str">
        <f t="shared" ref="N8:N16" ca="1" si="5">IF(MOD($H8,2)=0,"D","L")</f>
        <v>D</v>
      </c>
      <c r="O8" s="9" t="str">
        <f t="shared" ca="1" si="4"/>
        <v>QI2</v>
      </c>
      <c r="Q8" s="2" t="str" cm="1">
        <f t="array" aca="1" ref="Q8" ca="1">CELL("address",Questionnaire!$B$7)</f>
        <v>'[QuBA-libre.xlsx]Questionnaire'!$B$7</v>
      </c>
    </row>
    <row r="9" spans="1:19" ht="101.25" x14ac:dyDescent="0.25">
      <c r="A9" s="108" t="str" cm="1">
        <f t="array" aca="1" ref="A9" ca="1">IF($Q9="","",_xlfn.LET(
_xlpm._fullName,IF($R9="",SUBSTITUTE(SUBSTITUTE(INDIRECT($Q9),CHAR(10)," "),"  "," "),$R9),
_xlpm._truncatedName,IF(LEN(_xlpm._fullName)&gt;250,LEFT(_xlpm._fullName,250)&amp;"[…]",_xlpm._fullName),
HYPERLINK("#'"&amp;$I9&amp;"'!"&amp;$J9&amp;$K9,
_xlpm._truncatedName)))</f>
        <v/>
      </c>
      <c r="B9" s="106" t="str" cm="1">
        <f t="array" aca="1" ref="B9" ca="1">IF($A9="","",SimpleLookup($A9,Questions!$A:$B))</f>
        <v/>
      </c>
      <c r="C9" s="107"/>
      <c r="D9" s="110"/>
      <c r="E9" s="106" t="str" cm="1">
        <f t="array" aca="1" ref="E9" ca="1">_xlfn.LET(
_xlpm._options,IF($O9="","",SimpleLookup($O9,Questions!$A:$H)),
_xlpm._followUpStart,FIND($C9&amp;":",_xlpm._options)+LEN($C9&amp;":"),
_xlpm._followUpEnd,FIND(CHAR(10),_xlpm._options&amp;CHAR(10),_xlpm._followUpStart),
IF($C9="","",TRIM(MID(_xlpm._options,_xlpm._followUpStart,_xlpm._followUpEnd-_xlpm._followUpStart))))</f>
        <v/>
      </c>
      <c r="F9" s="107" t="str">
        <f>Definitions!$H$5</f>
        <v>Personal data (significant)</v>
      </c>
      <c r="G9" s="113" t="s">
        <v>1571</v>
      </c>
      <c r="H9" s="113" cm="1">
        <f t="array" aca="1" ref="H9" ca="1">CreateID($H$2,$A9&lt;&gt;"")</f>
        <v>2</v>
      </c>
      <c r="I9" s="9" t="str">
        <f t="shared" ref="I9:I16" si="6">IF($Q9="","",_xlfn.LET(
_xlpm._in,$Q9,
_xlpm._start,FIND("]",_xlpm._in)+1,
SUBSTITUTE(MID(_xlpm._in,_xlpm._start,FIND("!",_xlpm._in)-_xlpm._start),"'","")))</f>
        <v/>
      </c>
      <c r="J9" s="9" t="str">
        <f t="shared" ref="J9:J16" si="7">IF($Q9="","",_xlfn.LET(
_xlpm._in,SUBSTITUTE($Q9,"$","§",1),
_xlpm._start,FIND("§",_xlpm._in)+1,
SUBSTITUTE(MID(_xlpm._in,_xlpm._start,FIND("$",_xlpm._in)-_xlpm._start),"'","")))</f>
        <v/>
      </c>
      <c r="K9" s="9" t="str">
        <f t="shared" ref="K9:K16" si="8">IF($Q9="","",RIGHT($Q9,LEN($Q9)-FIND("$",SUBSTITUTE($Q9,"$","§",1))))</f>
        <v/>
      </c>
      <c r="L9" s="9" cm="1">
        <f t="array" aca="1" ref="L9" ca="1">CreateID($L$2,$I9&lt;&gt;INDEX($I:$I,ROW()-1))</f>
        <v>4</v>
      </c>
      <c r="M9" s="9" t="str" cm="1">
        <f t="array" aca="1" ref="M9" ca="1">IF($Q9="","",INDIRECT($Q9))</f>
        <v/>
      </c>
      <c r="N9" s="9" t="str">
        <f t="shared" ca="1" si="5"/>
        <v>D</v>
      </c>
      <c r="O9" s="9" t="str">
        <f t="shared" ref="O9:O16" ca="1" si="9">IF($A9="",OFFSET($O9,-1,0),$A9)</f>
        <v>QI2</v>
      </c>
    </row>
    <row r="10" spans="1:19" ht="101.25" x14ac:dyDescent="0.25">
      <c r="A10" s="108" t="str" cm="1">
        <f t="array" aca="1" ref="A10" ca="1">IF($Q10="","",_xlfn.LET(
_xlpm._fullName,IF($R10="",SUBSTITUTE(SUBSTITUTE(INDIRECT($Q10),CHAR(10)," "),"  "," "),$R10),
_xlpm._truncatedName,IF(LEN(_xlpm._fullName)&gt;250,LEFT(_xlpm._fullName,250)&amp;"[…]",_xlpm._fullName),
HYPERLINK("#'"&amp;$I10&amp;"'!"&amp;$J10&amp;$K10,
_xlpm._truncatedName)))</f>
        <v/>
      </c>
      <c r="B10" s="106" t="str" cm="1">
        <f t="array" aca="1" ref="B10" ca="1">IF($A10="","",SimpleLookup($A10,Questions!$A:$B))</f>
        <v/>
      </c>
      <c r="C10" s="107"/>
      <c r="D10" s="110"/>
      <c r="E10" s="106" t="str" cm="1">
        <f t="array" aca="1" ref="E10" ca="1">_xlfn.LET(
_xlpm._options,IF($O10="","",SimpleLookup($O10,Questions!$A:$H)),
_xlpm._followUpStart,FIND($C10&amp;":",_xlpm._options)+LEN($C10&amp;":"),
_xlpm._followUpEnd,FIND(CHAR(10),_xlpm._options&amp;CHAR(10),_xlpm._followUpStart),
IF($C10="","",TRIM(MID(_xlpm._options,_xlpm._followUpStart,_xlpm._followUpEnd-_xlpm._followUpStart))))</f>
        <v/>
      </c>
      <c r="F10" s="107" t="str">
        <f>Definitions!$H$6</f>
        <v>Personal data (ruinous)</v>
      </c>
      <c r="G10" s="113" t="s">
        <v>1572</v>
      </c>
      <c r="H10" s="113" cm="1">
        <f t="array" aca="1" ref="H10" ca="1">CreateID($H$2,$A10&lt;&gt;"")</f>
        <v>2</v>
      </c>
      <c r="I10" s="9" t="str">
        <f t="shared" si="6"/>
        <v/>
      </c>
      <c r="J10" s="9" t="str">
        <f t="shared" si="7"/>
        <v/>
      </c>
      <c r="K10" s="9" t="str">
        <f t="shared" si="8"/>
        <v/>
      </c>
      <c r="L10" s="9" cm="1">
        <f t="array" aca="1" ref="L10" ca="1">CreateID($L$2,$I10&lt;&gt;INDEX($I:$I,ROW()-1))</f>
        <v>4</v>
      </c>
      <c r="M10" s="9" t="str" cm="1">
        <f t="array" aca="1" ref="M10" ca="1">IF($Q10="","",INDIRECT($Q10))</f>
        <v/>
      </c>
      <c r="N10" s="9" t="str">
        <f t="shared" ca="1" si="5"/>
        <v>D</v>
      </c>
      <c r="O10" s="9" t="str">
        <f t="shared" ca="1" si="9"/>
        <v>QI2</v>
      </c>
    </row>
    <row r="11" spans="1:19" ht="123.75" x14ac:dyDescent="0.25">
      <c r="A11" s="108" t="str" cm="1">
        <f t="array" aca="1" ref="A11" ca="1">IF($Q11="","",_xlfn.LET(
_xlpm._fullName,IF($R11="",SUBSTITUTE(SUBSTITUTE(INDIRECT($Q11),CHAR(10)," "),"  "," "),$R11),
_xlpm._truncatedName,IF(LEN(_xlpm._fullName)&gt;250,LEFT(_xlpm._fullName,250)&amp;"[…]",_xlpm._fullName),
HYPERLINK("#'"&amp;$I11&amp;"'!"&amp;$J11&amp;$K11,
_xlpm._truncatedName)))</f>
        <v/>
      </c>
      <c r="B11" s="106" t="str" cm="1">
        <f t="array" aca="1" ref="B11" ca="1">IF($A11="","",SimpleLookup($A11,Questions!$A:$B))</f>
        <v/>
      </c>
      <c r="C11" s="107"/>
      <c r="D11" s="110"/>
      <c r="E11" s="106" t="str" cm="1">
        <f t="array" aca="1" ref="E11" ca="1">_xlfn.LET(
_xlpm._options,IF($O11="","",SimpleLookup($O11,Questions!$A:$H)),
_xlpm._followUpStart,FIND($C11&amp;":",_xlpm._options)+LEN($C11&amp;":"),
_xlpm._followUpEnd,FIND(CHAR(10),_xlpm._options&amp;CHAR(10),_xlpm._followUpStart),
IF($C11="","",TRIM(MID(_xlpm._options,_xlpm._followUpStart,_xlpm._followUpEnd-_xlpm._followUpStart))))</f>
        <v/>
      </c>
      <c r="F11" s="107" t="str">
        <f>Definitions!$H$7</f>
        <v>IP (slightly innovative)</v>
      </c>
      <c r="G11" s="113" t="s">
        <v>1573</v>
      </c>
      <c r="H11" s="113" cm="1">
        <f t="array" aca="1" ref="H11" ca="1">CreateID($H$2,$A11&lt;&gt;"")</f>
        <v>2</v>
      </c>
      <c r="I11" s="9" t="str">
        <f t="shared" si="6"/>
        <v/>
      </c>
      <c r="J11" s="9" t="str">
        <f t="shared" si="7"/>
        <v/>
      </c>
      <c r="K11" s="9" t="str">
        <f t="shared" si="8"/>
        <v/>
      </c>
      <c r="L11" s="9" cm="1">
        <f t="array" aca="1" ref="L11" ca="1">CreateID($L$2,$I11&lt;&gt;INDEX($I:$I,ROW()-1))</f>
        <v>4</v>
      </c>
      <c r="M11" s="9" t="str" cm="1">
        <f t="array" aca="1" ref="M11" ca="1">IF($Q11="","",INDIRECT($Q11))</f>
        <v/>
      </c>
      <c r="N11" s="9" t="str">
        <f t="shared" ca="1" si="5"/>
        <v>D</v>
      </c>
      <c r="O11" s="9" t="str">
        <f t="shared" ca="1" si="9"/>
        <v>QI2</v>
      </c>
    </row>
    <row r="12" spans="1:19" ht="108" x14ac:dyDescent="0.25">
      <c r="A12" s="108" t="str" cm="1">
        <f t="array" aca="1" ref="A12" ca="1">IF($Q12="","",_xlfn.LET(
_xlpm._fullName,IF($R12="",SUBSTITUTE(SUBSTITUTE(INDIRECT($Q12),CHAR(10)," "),"  "," "),$R12),
_xlpm._truncatedName,IF(LEN(_xlpm._fullName)&gt;250,LEFT(_xlpm._fullName,250)&amp;"[…]",_xlpm._fullName),
HYPERLINK("#'"&amp;$I12&amp;"'!"&amp;$J12&amp;$K12,
_xlpm._truncatedName)))</f>
        <v/>
      </c>
      <c r="B12" s="106" t="str" cm="1">
        <f t="array" aca="1" ref="B12" ca="1">IF($A12="","",SimpleLookup($A12,Questions!$A:$B))</f>
        <v/>
      </c>
      <c r="C12" s="107" t="s">
        <v>10</v>
      </c>
      <c r="D12" s="110" t="s">
        <v>1566</v>
      </c>
      <c r="E12" s="106" t="str" cm="1">
        <f t="array" aca="1" ref="E12" ca="1">_xlfn.LET(
_xlpm._options,IF($O12="","",SimpleLookup($O12,Questions!$A:$H)),
_xlpm._followUpStart,FIND($C12&amp;":",_xlpm._options)+LEN($C12&amp;":"),
_xlpm._followUpEnd,FIND(CHAR(10),_xlpm._options&amp;CHAR(10),_xlpm._followUpStart),
IF($C12="","",TRIM(MID(_xlpm._options,_xlpm._followUpStart,_xlpm._followUpEnd-_xlpm._followUpStart))))</f>
        <v/>
      </c>
      <c r="F12" s="107"/>
      <c r="G12" s="113"/>
      <c r="H12" s="113" cm="1">
        <f t="array" aca="1" ref="H12" ca="1">CreateID($H$2,$A12&lt;&gt;"")</f>
        <v>2</v>
      </c>
      <c r="I12" s="9" t="str">
        <f t="shared" si="6"/>
        <v/>
      </c>
      <c r="J12" s="9" t="str">
        <f t="shared" si="7"/>
        <v/>
      </c>
      <c r="K12" s="9" t="str">
        <f t="shared" si="8"/>
        <v/>
      </c>
      <c r="L12" s="9" cm="1">
        <f t="array" aca="1" ref="L12" ca="1">CreateID($L$2,$I12&lt;&gt;INDEX($I:$I,ROW()-1))</f>
        <v>4</v>
      </c>
      <c r="M12" s="9" t="str" cm="1">
        <f t="array" aca="1" ref="M12" ca="1">IF($Q12="","",INDIRECT($Q12))</f>
        <v/>
      </c>
      <c r="N12" s="9" t="str">
        <f t="shared" ca="1" si="5"/>
        <v>D</v>
      </c>
      <c r="O12" s="9" t="str">
        <f t="shared" ca="1" si="9"/>
        <v>QI2</v>
      </c>
    </row>
    <row r="13" spans="1:19" ht="120" x14ac:dyDescent="0.25">
      <c r="A13" s="108" t="str" cm="1">
        <f t="array" aca="1" ref="A13" ca="1">IF($Q13="","",_xlfn.LET(
_xlpm._fullName,IF($R13="",SUBSTITUTE(SUBSTITUTE(INDIRECT($Q13),CHAR(10)," "),"  "," "),$R13),
_xlpm._truncatedName,IF(LEN(_xlpm._fullName)&gt;250,LEFT(_xlpm._fullName,250)&amp;"[…]",_xlpm._fullName),
HYPERLINK("#'"&amp;$I13&amp;"'!"&amp;$J13&amp;$K13,
_xlpm._truncatedName)))</f>
        <v>QI3</v>
      </c>
      <c r="B13" s="106" t="str" cm="1">
        <f t="array" aca="1" ref="B13" ca="1">IF($A13="","",SimpleLookup($A13,Questions!$A:$B))</f>
        <v>Does the product contain &lt;&lt; OEM Name &gt;&gt; or customer intellectual property?
Note: Only IP which is part of / accessible by the firmware / software in the product is in scope of this question. Gaining access to optical and mechanical IP are not covered by this question (and the cybersecurity risk analysis)</v>
      </c>
      <c r="C13" s="107" t="s">
        <v>9</v>
      </c>
      <c r="D13" s="110" t="s">
        <v>1567</v>
      </c>
      <c r="E13" s="106" t="str" cm="1">
        <f t="array" aca="1" ref="E13" ca="1">_xlfn.LET(
_xlpm._options,IF($O13="","",SimpleLookup($O13,Questions!$A:$H)),
_xlpm._followUpStart,FIND($C13&amp;":",_xlpm._options)+LEN($C13&amp;":"),
_xlpm._followUpEnd,FIND(CHAR(10),_xlpm._options&amp;CHAR(10),_xlpm._followUpStart),
IF($C13="","",TRIM(MID(_xlpm._options,_xlpm._followUpStart,_xlpm._followUpEnd-_xlpm._followUpStart))))</f>
        <v>What is the criticality of the intellectual property?</v>
      </c>
      <c r="F13" s="107" t="str">
        <f>Definitions!$H$8</f>
        <v>IP (moderately innovative)</v>
      </c>
      <c r="G13" s="113" t="s">
        <v>1568</v>
      </c>
      <c r="H13" s="113" cm="1">
        <f t="array" aca="1" ref="H13" ca="1">CreateID($H$2,$A13&lt;&gt;"")</f>
        <v>3</v>
      </c>
      <c r="I13" s="9" t="str">
        <f t="shared" ca="1" si="6"/>
        <v>Questionnaire</v>
      </c>
      <c r="J13" s="9" t="str">
        <f t="shared" ca="1" si="7"/>
        <v>B</v>
      </c>
      <c r="K13" s="9" t="str">
        <f t="shared" ca="1" si="8"/>
        <v>9</v>
      </c>
      <c r="L13" s="9" cm="1">
        <f t="array" aca="1" ref="L13" ca="1">CreateID($L$2,$I13&lt;&gt;INDEX($I:$I,ROW()-1))</f>
        <v>5</v>
      </c>
      <c r="M13" s="9" t="str" cm="1">
        <f t="array" aca="1" ref="M13" ca="1">IF($Q13="","",INDIRECT($Q13))</f>
        <v>QI3</v>
      </c>
      <c r="N13" s="9" t="str">
        <f t="shared" ca="1" si="5"/>
        <v>L</v>
      </c>
      <c r="O13" s="9" t="str">
        <f t="shared" ca="1" si="9"/>
        <v>QI3</v>
      </c>
      <c r="Q13" s="2" t="str" cm="1">
        <f t="array" aca="1" ref="Q13" ca="1">CELL("address",Questionnaire!$B$9)</f>
        <v>'[QuBA-libre.xlsx]Questionnaire'!$B$9</v>
      </c>
    </row>
    <row r="14" spans="1:19" ht="22.5" x14ac:dyDescent="0.25">
      <c r="A14" s="108" t="str" cm="1">
        <f t="array" aca="1" ref="A14" ca="1">IF($Q14="","",_xlfn.LET(
_xlpm._fullName,IF($R14="",SUBSTITUTE(SUBSTITUTE(INDIRECT($Q14),CHAR(10)," "),"  "," "),$R14),
_xlpm._truncatedName,IF(LEN(_xlpm._fullName)&gt;250,LEFT(_xlpm._fullName,250)&amp;"[…]",_xlpm._fullName),
HYPERLINK("#'"&amp;$I14&amp;"'!"&amp;$J14&amp;$K14,
_xlpm._truncatedName)))</f>
        <v/>
      </c>
      <c r="B14" s="106" t="str" cm="1">
        <f t="array" aca="1" ref="B14" ca="1">IF($A14="","",SimpleLookup($A14,Questions!$A:$B))</f>
        <v/>
      </c>
      <c r="C14" s="107"/>
      <c r="D14" s="110"/>
      <c r="E14" s="106" t="str" cm="1">
        <f t="array" aca="1" ref="E14" ca="1">_xlfn.LET(
_xlpm._options,IF($O14="","",SimpleLookup($O14,Questions!$A:$H)),
_xlpm._followUpStart,FIND($C14&amp;":",_xlpm._options)+LEN($C14&amp;":"),
_xlpm._followUpEnd,FIND(CHAR(10),_xlpm._options&amp;CHAR(10),_xlpm._followUpStart),
IF($C14="","",TRIM(MID(_xlpm._options,_xlpm._followUpStart,_xlpm._followUpEnd-_xlpm._followUpStart))))</f>
        <v/>
      </c>
      <c r="F14" s="107" t="str">
        <f>Definitions!$H$9</f>
        <v>IP (highly innovative)</v>
      </c>
      <c r="G14" s="113" t="s">
        <v>1569</v>
      </c>
      <c r="H14" s="113" cm="1">
        <f t="array" aca="1" ref="H14" ca="1">CreateID($H$2,$A14&lt;&gt;"")</f>
        <v>3</v>
      </c>
      <c r="I14" s="9" t="str">
        <f t="shared" si="6"/>
        <v/>
      </c>
      <c r="J14" s="9" t="str">
        <f t="shared" si="7"/>
        <v/>
      </c>
      <c r="K14" s="9" t="str">
        <f t="shared" si="8"/>
        <v/>
      </c>
      <c r="L14" s="9" cm="1">
        <f t="array" aca="1" ref="L14" ca="1">CreateID($L$2,$I14&lt;&gt;INDEX($I:$I,ROW()-1))</f>
        <v>6</v>
      </c>
      <c r="M14" s="9" t="str" cm="1">
        <f t="array" aca="1" ref="M14" ca="1">IF($Q14="","",INDIRECT($Q14))</f>
        <v/>
      </c>
      <c r="N14" s="9" t="str">
        <f t="shared" ca="1" si="5"/>
        <v>L</v>
      </c>
      <c r="O14" s="9" t="str">
        <f t="shared" ca="1" si="9"/>
        <v>QI3</v>
      </c>
    </row>
    <row r="15" spans="1:19" ht="22.5" x14ac:dyDescent="0.25">
      <c r="A15" s="108" t="str" cm="1">
        <f t="array" aca="1" ref="A15" ca="1">IF($Q15="","",_xlfn.LET(
_xlpm._fullName,IF($R15="",SUBSTITUTE(SUBSTITUTE(INDIRECT($Q15),CHAR(10)," "),"  "," "),$R15),
_xlpm._truncatedName,IF(LEN(_xlpm._fullName)&gt;250,LEFT(_xlpm._fullName,250)&amp;"[…]",_xlpm._fullName),
HYPERLINK("#'"&amp;$I15&amp;"'!"&amp;$J15&amp;$K15,
_xlpm._truncatedName)))</f>
        <v/>
      </c>
      <c r="B15" s="106" t="str" cm="1">
        <f t="array" aca="1" ref="B15" ca="1">IF($A15="","",SimpleLookup($A15,Questions!$A:$B))</f>
        <v/>
      </c>
      <c r="C15" s="107"/>
      <c r="D15" s="110"/>
      <c r="E15" s="106" t="str" cm="1">
        <f t="array" aca="1" ref="E15" ca="1">_xlfn.LET(
_xlpm._options,IF($O15="","",SimpleLookup($O15,Questions!$A:$H)),
_xlpm._followUpStart,FIND($C15&amp;":",_xlpm._options)+LEN($C15&amp;":"),
_xlpm._followUpEnd,FIND(CHAR(10),_xlpm._options&amp;CHAR(10),_xlpm._followUpStart),
IF($C15="","",TRIM(MID(_xlpm._options,_xlpm._followUpStart,_xlpm._followUpEnd-_xlpm._followUpStart))))</f>
        <v/>
      </c>
      <c r="F15" s="107" t="str">
        <f>Definitions!$H$10</f>
        <v>Low financial damage</v>
      </c>
      <c r="G15" s="113" t="s">
        <v>1570</v>
      </c>
      <c r="H15" s="113" cm="1">
        <f t="array" aca="1" ref="H15" ca="1">CreateID($H$2,$A15&lt;&gt;"")</f>
        <v>3</v>
      </c>
      <c r="I15" s="9" t="str">
        <f t="shared" si="6"/>
        <v/>
      </c>
      <c r="J15" s="9" t="str">
        <f t="shared" si="7"/>
        <v/>
      </c>
      <c r="K15" s="9" t="str">
        <f t="shared" si="8"/>
        <v/>
      </c>
      <c r="L15" s="9" cm="1">
        <f t="array" aca="1" ref="L15" ca="1">CreateID($L$2,$I15&lt;&gt;INDEX($I:$I,ROW()-1))</f>
        <v>6</v>
      </c>
      <c r="M15" s="9" t="str" cm="1">
        <f t="array" aca="1" ref="M15" ca="1">IF($Q15="","",INDIRECT($Q15))</f>
        <v/>
      </c>
      <c r="N15" s="9" t="str">
        <f t="shared" ca="1" si="5"/>
        <v>L</v>
      </c>
      <c r="O15" s="9" t="str">
        <f t="shared" ca="1" si="9"/>
        <v>QI3</v>
      </c>
    </row>
    <row r="16" spans="1:19" x14ac:dyDescent="0.25">
      <c r="A16" s="108" t="str" cm="1">
        <f t="array" aca="1" ref="A16" ca="1">IF($Q16="","",_xlfn.LET(
_xlpm._fullName,IF($R16="",SUBSTITUTE(SUBSTITUTE(INDIRECT($Q16),CHAR(10)," "),"  "," "),$R16),
_xlpm._truncatedName,IF(LEN(_xlpm._fullName)&gt;250,LEFT(_xlpm._fullName,250)&amp;"[…]",_xlpm._fullName),
HYPERLINK("#'"&amp;$I16&amp;"'!"&amp;$J16&amp;$K16,
_xlpm._truncatedName)))</f>
        <v/>
      </c>
      <c r="B16" s="106" t="str" cm="1">
        <f t="array" aca="1" ref="B16" ca="1">IF($A16="","",SimpleLookup($A16,Questions!$A:$B))</f>
        <v/>
      </c>
      <c r="C16" s="107" t="s">
        <v>10</v>
      </c>
      <c r="D16" s="110" t="s">
        <v>1574</v>
      </c>
      <c r="E16" s="106" t="str" cm="1">
        <f t="array" aca="1" ref="E16" ca="1">_xlfn.LET(
_xlpm._options,IF($O16="","",SimpleLookup($O16,Questions!$A:$H)),
_xlpm._followUpStart,FIND($C16&amp;":",_xlpm._options)+LEN($C16&amp;":"),
_xlpm._followUpEnd,FIND(CHAR(10),_xlpm._options&amp;CHAR(10),_xlpm._followUpStart),
IF($C16="","",TRIM(MID(_xlpm._options,_xlpm._followUpStart,_xlpm._followUpEnd-_xlpm._followUpStart))))</f>
        <v/>
      </c>
      <c r="F16" s="107"/>
      <c r="G16" s="113"/>
      <c r="H16" s="113" cm="1">
        <f t="array" aca="1" ref="H16" ca="1">CreateID($H$2,$A16&lt;&gt;"")</f>
        <v>3</v>
      </c>
      <c r="I16" s="9" t="str">
        <f t="shared" si="6"/>
        <v/>
      </c>
      <c r="J16" s="9" t="str">
        <f t="shared" si="7"/>
        <v/>
      </c>
      <c r="K16" s="9" t="str">
        <f t="shared" si="8"/>
        <v/>
      </c>
      <c r="L16" s="9" cm="1">
        <f t="array" aca="1" ref="L16" ca="1">CreateID($L$2,$I16&lt;&gt;INDEX($I:$I,ROW()-1))</f>
        <v>6</v>
      </c>
      <c r="M16" s="9" t="str" cm="1">
        <f t="array" aca="1" ref="M16" ca="1">IF($Q16="","",INDIRECT($Q16))</f>
        <v/>
      </c>
      <c r="N16" s="9" t="str">
        <f t="shared" ca="1" si="5"/>
        <v>L</v>
      </c>
      <c r="O16" s="9" t="str">
        <f t="shared" ca="1" si="9"/>
        <v>QI3</v>
      </c>
    </row>
    <row r="17" spans="1:17" ht="90" x14ac:dyDescent="0.25">
      <c r="A17" s="108" t="str" cm="1">
        <f t="array" aca="1" ref="A17" ca="1">IF($Q17="","",_xlfn.LET(
_xlpm._fullName,IF($R17="",SUBSTITUTE(SUBSTITUTE(INDIRECT($Q17),CHAR(10)," "),"  "," "),$R17),
_xlpm._truncatedName,IF(LEN(_xlpm._fullName)&gt;250,LEFT(_xlpm._fullName,250)&amp;"[…]",_xlpm._fullName),
HYPERLINK("#'"&amp;$I17&amp;"'!"&amp;$J17&amp;$K17,
_xlpm._truncatedName)))</f>
        <v>QI4</v>
      </c>
      <c r="B17" s="106" t="str" cm="1">
        <f t="array" aca="1" ref="B17" ca="1">IF($A17="","",SimpleLookup($A17,Questions!$A:$B))</f>
        <v>Is &lt;&lt; OEM Name &gt;&gt; (typically) obliged to keep the processed / stored data (including third-party IP) confidential by contract or law? (Note that this concerns individual obligations, not the standard product warranty).</v>
      </c>
      <c r="C17" s="107" t="s">
        <v>9</v>
      </c>
      <c r="D17" s="110" t="s">
        <v>1575</v>
      </c>
      <c r="E17" s="106" t="str" cm="1">
        <f t="array" aca="1" ref="E17" ca="1">_xlfn.LET(
_xlpm._options,IF($O17="","",SimpleLookup($O17,Questions!$A:$H)),
_xlpm._followUpStart,FIND($C17&amp;":",_xlpm._options)+LEN($C17&amp;":"),
_xlpm._followUpEnd,FIND(CHAR(10),_xlpm._options&amp;CHAR(10),_xlpm._followUpStart),
IF($C17="","",TRIM(MID(_xlpm._options,_xlpm._followUpStart,_xlpm._followUpEnd-_xlpm._followUpStart))))</f>
        <v>What is the typical / expected value of direct loss, fines for infringements of laws, or violations of contracts?</v>
      </c>
      <c r="F17" s="107"/>
      <c r="G17" s="113" t="str">
        <f>"Classify the potential direct financial damage to "&amp;Definitions!$C$4&amp;" caused by an incident"</f>
        <v>Classify the potential direct financial damage to &lt;&lt; OEM Name &gt;&gt; caused by an incident</v>
      </c>
      <c r="H17" s="113" cm="1">
        <f t="array" aca="1" ref="H17" ca="1">CreateID($H$2,$A17&lt;&gt;"")</f>
        <v>4</v>
      </c>
      <c r="I17" s="9" t="str">
        <f t="shared" ref="I17:I48" ca="1" si="10">IF($Q17="","",_xlfn.LET(
_xlpm._in,$Q17,
_xlpm._start,FIND("]",_xlpm._in)+1,
SUBSTITUTE(MID(_xlpm._in,_xlpm._start,FIND("!",_xlpm._in)-_xlpm._start),"'","")))</f>
        <v>Questionnaire</v>
      </c>
      <c r="J17" s="9" t="str">
        <f t="shared" ref="J17:J48" ca="1" si="11">IF($Q17="","",_xlfn.LET(
_xlpm._in,SUBSTITUTE($Q17,"$","§",1),
_xlpm._start,FIND("§",_xlpm._in)+1,
SUBSTITUTE(MID(_xlpm._in,_xlpm._start,FIND("$",_xlpm._in)-_xlpm._start),"'","")))</f>
        <v>B</v>
      </c>
      <c r="K17" s="9" t="str">
        <f t="shared" ref="K17:K48" ca="1" si="12">IF($Q17="","",RIGHT($Q17,LEN($Q17)-FIND("$",SUBSTITUTE($Q17,"$","§",1))))</f>
        <v>11</v>
      </c>
      <c r="L17" s="9" cm="1">
        <f t="array" aca="1" ref="L17" ca="1">CreateID($L$2,$I17&lt;&gt;INDEX($I:$I,ROW()-1))</f>
        <v>7</v>
      </c>
      <c r="M17" s="9" t="str" cm="1">
        <f t="array" aca="1" ref="M17" ca="1">IF($Q17="","",INDIRECT($Q17))</f>
        <v>QI4</v>
      </c>
      <c r="N17" s="9" t="str">
        <f t="shared" ref="N17:N48" ca="1" si="13">IF(MOD($H17,2)=0,"D","L")</f>
        <v>D</v>
      </c>
      <c r="O17" s="9" t="str">
        <f t="shared" ref="O17:O48" ca="1" si="14">IF($A17="",OFFSET($O17,-1,0),$A17)</f>
        <v>QI4</v>
      </c>
      <c r="Q17" s="2" t="str" cm="1">
        <f t="array" aca="1" ref="Q17" ca="1">CELL("address",Questionnaire!$B$11)</f>
        <v>'[QuBA-libre.xlsx]Questionnaire'!$B$11</v>
      </c>
    </row>
    <row r="18" spans="1:17" ht="33.75" x14ac:dyDescent="0.25">
      <c r="A18" s="108" t="str" cm="1">
        <f t="array" aca="1" ref="A18" ca="1">IF($Q18="","",_xlfn.LET(
_xlpm._fullName,IF($R18="",SUBSTITUTE(SUBSTITUTE(INDIRECT($Q18),CHAR(10)," "),"  "," "),$R18),
_xlpm._truncatedName,IF(LEN(_xlpm._fullName)&gt;250,LEFT(_xlpm._fullName,250)&amp;"[…]",_xlpm._fullName),
HYPERLINK("#'"&amp;$I18&amp;"'!"&amp;$J18&amp;$K18,
_xlpm._truncatedName)))</f>
        <v/>
      </c>
      <c r="B18" s="106" t="str" cm="1">
        <f t="array" aca="1" ref="B18" ca="1">IF($A18="","",SimpleLookup($A18,Questions!$A:$B))</f>
        <v/>
      </c>
      <c r="C18" s="107"/>
      <c r="D18" s="110"/>
      <c r="E18" s="106" t="str" cm="1">
        <f t="array" aca="1" ref="E18" ca="1">_xlfn.LET(
_xlpm._options,IF($O18="","",SimpleLookup($O18,Questions!$A:$H)),
_xlpm._followUpStart,FIND($C18&amp;":",_xlpm._options)+LEN($C18&amp;":"),
_xlpm._followUpEnd,FIND(CHAR(10),_xlpm._options&amp;CHAR(10),_xlpm._followUpStart),
IF($C18="","",TRIM(MID(_xlpm._options,_xlpm._followUpStart,_xlpm._followUpEnd-_xlpm._followUpStart))))</f>
        <v/>
      </c>
      <c r="F18" s="107" t="str">
        <f>Definitions!$H$11</f>
        <v>Medium financial damage</v>
      </c>
      <c r="G18" s="113" t="s">
        <v>1576</v>
      </c>
      <c r="H18" s="113" cm="1">
        <f t="array" aca="1" ref="H18" ca="1">CreateID($H$2,$A18&lt;&gt;"")</f>
        <v>4</v>
      </c>
      <c r="I18" s="9" t="str">
        <f t="shared" si="10"/>
        <v/>
      </c>
      <c r="J18" s="9" t="str">
        <f t="shared" si="11"/>
        <v/>
      </c>
      <c r="K18" s="9" t="str">
        <f t="shared" si="12"/>
        <v/>
      </c>
      <c r="L18" s="9" cm="1">
        <f t="array" aca="1" ref="L18" ca="1">CreateID($L$2,$I18&lt;&gt;INDEX($I:$I,ROW()-1))</f>
        <v>8</v>
      </c>
      <c r="M18" s="9" t="str" cm="1">
        <f t="array" aca="1" ref="M18" ca="1">IF($Q18="","",INDIRECT($Q18))</f>
        <v/>
      </c>
      <c r="N18" s="9" t="str">
        <f t="shared" ca="1" si="13"/>
        <v>D</v>
      </c>
      <c r="O18" s="9" t="str">
        <f t="shared" ca="1" si="14"/>
        <v>QI4</v>
      </c>
    </row>
    <row r="19" spans="1:17" ht="33.75" x14ac:dyDescent="0.25">
      <c r="A19" s="108" t="str" cm="1">
        <f t="array" aca="1" ref="A19" ca="1">IF($Q19="","",_xlfn.LET(
_xlpm._fullName,IF($R19="",SUBSTITUTE(SUBSTITUTE(INDIRECT($Q19),CHAR(10)," "),"  "," "),$R19),
_xlpm._truncatedName,IF(LEN(_xlpm._fullName)&gt;250,LEFT(_xlpm._fullName,250)&amp;"[…]",_xlpm._fullName),
HYPERLINK("#'"&amp;$I19&amp;"'!"&amp;$J19&amp;$K19,
_xlpm._truncatedName)))</f>
        <v/>
      </c>
      <c r="B19" s="106" t="str" cm="1">
        <f t="array" aca="1" ref="B19" ca="1">IF($A19="","",SimpleLookup($A19,Questions!$A:$B))</f>
        <v/>
      </c>
      <c r="C19" s="107"/>
      <c r="D19" s="110"/>
      <c r="E19" s="106" t="str" cm="1">
        <f t="array" aca="1" ref="E19" ca="1">_xlfn.LET(
_xlpm._options,IF($O19="","",SimpleLookup($O19,Questions!$A:$H)),
_xlpm._followUpStart,FIND($C19&amp;":",_xlpm._options)+LEN($C19&amp;":"),
_xlpm._followUpEnd,FIND(CHAR(10),_xlpm._options&amp;CHAR(10),_xlpm._followUpStart),
IF($C19="","",TRIM(MID(_xlpm._options,_xlpm._followUpStart,_xlpm._followUpEnd-_xlpm._followUpStart))))</f>
        <v/>
      </c>
      <c r="F19" s="107" t="str">
        <f>Definitions!$H$12</f>
        <v>High financial damage</v>
      </c>
      <c r="G19" s="113" t="s">
        <v>1577</v>
      </c>
      <c r="H19" s="113" cm="1">
        <f t="array" aca="1" ref="H19" ca="1">CreateID($H$2,$A19&lt;&gt;"")</f>
        <v>4</v>
      </c>
      <c r="I19" s="9" t="str">
        <f t="shared" si="10"/>
        <v/>
      </c>
      <c r="J19" s="9" t="str">
        <f t="shared" si="11"/>
        <v/>
      </c>
      <c r="K19" s="9" t="str">
        <f t="shared" si="12"/>
        <v/>
      </c>
      <c r="L19" s="9" cm="1">
        <f t="array" aca="1" ref="L19" ca="1">CreateID($L$2,$I19&lt;&gt;INDEX($I:$I,ROW()-1))</f>
        <v>8</v>
      </c>
      <c r="M19" s="9" t="str" cm="1">
        <f t="array" aca="1" ref="M19" ca="1">IF($Q19="","",INDIRECT($Q19))</f>
        <v/>
      </c>
      <c r="N19" s="9" t="str">
        <f t="shared" ca="1" si="13"/>
        <v>D</v>
      </c>
      <c r="O19" s="9" t="str">
        <f t="shared" ca="1" si="14"/>
        <v>QI4</v>
      </c>
    </row>
    <row r="20" spans="1:17" ht="45" x14ac:dyDescent="0.25">
      <c r="A20" s="108" t="str" cm="1">
        <f t="array" aca="1" ref="A20" ca="1">IF($Q20="","",_xlfn.LET(
_xlpm._fullName,IF($R20="",SUBSTITUTE(SUBSTITUTE(INDIRECT($Q20),CHAR(10)," "),"  "," "),$R20),
_xlpm._truncatedName,IF(LEN(_xlpm._fullName)&gt;250,LEFT(_xlpm._fullName,250)&amp;"[…]",_xlpm._fullName),
HYPERLINK("#'"&amp;$I20&amp;"'!"&amp;$J20&amp;$K20,
_xlpm._truncatedName)))</f>
        <v/>
      </c>
      <c r="B20" s="106" t="str" cm="1">
        <f t="array" aca="1" ref="B20" ca="1">IF($A20="","",SimpleLookup($A20,Questions!$A:$B))</f>
        <v/>
      </c>
      <c r="C20" s="107"/>
      <c r="D20" s="110"/>
      <c r="E20" s="106" t="str" cm="1">
        <f t="array" aca="1" ref="E20" ca="1">_xlfn.LET(
_xlpm._options,IF($O20="","",SimpleLookup($O20,Questions!$A:$H)),
_xlpm._followUpStart,FIND($C20&amp;":",_xlpm._options)+LEN($C20&amp;":"),
_xlpm._followUpEnd,FIND(CHAR(10),_xlpm._options&amp;CHAR(10),_xlpm._followUpStart),
IF($C20="","",TRIM(MID(_xlpm._options,_xlpm._followUpStart,_xlpm._followUpEnd-_xlpm._followUpStart))))</f>
        <v/>
      </c>
      <c r="F20" s="107" t="str">
        <f>Definitions!$H$13</f>
        <v>Critical financial damage</v>
      </c>
      <c r="G20" s="113" t="s">
        <v>1578</v>
      </c>
      <c r="H20" s="113" cm="1">
        <f t="array" aca="1" ref="H20" ca="1">CreateID($H$2,$A20&lt;&gt;"")</f>
        <v>4</v>
      </c>
      <c r="I20" s="9" t="str">
        <f t="shared" si="10"/>
        <v/>
      </c>
      <c r="J20" s="9" t="str">
        <f t="shared" si="11"/>
        <v/>
      </c>
      <c r="K20" s="9" t="str">
        <f t="shared" si="12"/>
        <v/>
      </c>
      <c r="L20" s="9" cm="1">
        <f t="array" aca="1" ref="L20" ca="1">CreateID($L$2,$I20&lt;&gt;INDEX($I:$I,ROW()-1))</f>
        <v>8</v>
      </c>
      <c r="M20" s="9" t="str" cm="1">
        <f t="array" aca="1" ref="M20" ca="1">IF($Q20="","",INDIRECT($Q20))</f>
        <v/>
      </c>
      <c r="N20" s="9" t="str">
        <f t="shared" ca="1" si="13"/>
        <v>D</v>
      </c>
      <c r="O20" s="9" t="str">
        <f t="shared" ca="1" si="14"/>
        <v>QI4</v>
      </c>
    </row>
    <row r="21" spans="1:17" ht="45" x14ac:dyDescent="0.25">
      <c r="A21" s="108" t="str" cm="1">
        <f t="array" aca="1" ref="A21" ca="1">IF($Q21="","",_xlfn.LET(
_xlpm._fullName,IF($R21="",SUBSTITUTE(SUBSTITUTE(INDIRECT($Q21),CHAR(10)," "),"  "," "),$R21),
_xlpm._truncatedName,IF(LEN(_xlpm._fullName)&gt;250,LEFT(_xlpm._fullName,250)&amp;"[…]",_xlpm._fullName),
HYPERLINK("#'"&amp;$I21&amp;"'!"&amp;$J21&amp;$K21,
_xlpm._truncatedName)))</f>
        <v/>
      </c>
      <c r="B21" s="106" t="str" cm="1">
        <f t="array" aca="1" ref="B21" ca="1">IF($A21="","",SimpleLookup($A21,Questions!$A:$B))</f>
        <v/>
      </c>
      <c r="C21" s="107"/>
      <c r="D21" s="110"/>
      <c r="E21" s="106" t="str" cm="1">
        <f t="array" aca="1" ref="E21" ca="1">_xlfn.LET(
_xlpm._options,IF($O21="","",SimpleLookup($O21,Questions!$A:$H)),
_xlpm._followUpStart,FIND($C21&amp;":",_xlpm._options)+LEN($C21&amp;":"),
_xlpm._followUpEnd,FIND(CHAR(10),_xlpm._options&amp;CHAR(10),_xlpm._followUpStart),
IF($C21="","",TRIM(MID(_xlpm._options,_xlpm._followUpStart,_xlpm._followUpEnd-_xlpm._followUpStart))))</f>
        <v/>
      </c>
      <c r="F21" s="107" t="str">
        <f>Definitions!$H$14</f>
        <v>Potentially dangerous situation</v>
      </c>
      <c r="G21" s="113" t="s">
        <v>1579</v>
      </c>
      <c r="H21" s="113" cm="1">
        <f t="array" aca="1" ref="H21" ca="1">CreateID($H$2,$A21&lt;&gt;"")</f>
        <v>4</v>
      </c>
      <c r="I21" s="9" t="str">
        <f t="shared" si="10"/>
        <v/>
      </c>
      <c r="J21" s="9" t="str">
        <f t="shared" si="11"/>
        <v/>
      </c>
      <c r="K21" s="9" t="str">
        <f t="shared" si="12"/>
        <v/>
      </c>
      <c r="L21" s="9" cm="1">
        <f t="array" aca="1" ref="L21" ca="1">CreateID($L$2,$I21&lt;&gt;INDEX($I:$I,ROW()-1))</f>
        <v>8</v>
      </c>
      <c r="M21" s="9" t="str" cm="1">
        <f t="array" aca="1" ref="M21" ca="1">IF($Q21="","",INDIRECT($Q21))</f>
        <v/>
      </c>
      <c r="N21" s="9" t="str">
        <f t="shared" ca="1" si="13"/>
        <v>D</v>
      </c>
      <c r="O21" s="9" t="str">
        <f t="shared" ca="1" si="14"/>
        <v>QI4</v>
      </c>
    </row>
    <row r="22" spans="1:17" x14ac:dyDescent="0.25">
      <c r="A22" s="108" t="str" cm="1">
        <f t="array" aca="1" ref="A22" ca="1">IF($Q22="","",_xlfn.LET(
_xlpm._fullName,IF($R22="",SUBSTITUTE(SUBSTITUTE(INDIRECT($Q22),CHAR(10)," "),"  "," "),$R22),
_xlpm._truncatedName,IF(LEN(_xlpm._fullName)&gt;250,LEFT(_xlpm._fullName,250)&amp;"[…]",_xlpm._fullName),
HYPERLINK("#'"&amp;$I22&amp;"'!"&amp;$J22&amp;$K22,
_xlpm._truncatedName)))</f>
        <v/>
      </c>
      <c r="B22" s="106" t="str" cm="1">
        <f t="array" aca="1" ref="B22" ca="1">IF($A22="","",SimpleLookup($A22,Questions!$A:$B))</f>
        <v/>
      </c>
      <c r="C22" s="107" t="s">
        <v>10</v>
      </c>
      <c r="D22" s="110" t="s">
        <v>1580</v>
      </c>
      <c r="E22" s="106" t="str" cm="1">
        <f t="array" aca="1" ref="E22" ca="1">_xlfn.LET(
_xlpm._options,IF($O22="","",SimpleLookup($O22,Questions!$A:$H)),
_xlpm._followUpStart,FIND($C22&amp;":",_xlpm._options)+LEN($C22&amp;":"),
_xlpm._followUpEnd,FIND(CHAR(10),_xlpm._options&amp;CHAR(10),_xlpm._followUpStart),
IF($C22="","",TRIM(MID(_xlpm._options,_xlpm._followUpStart,_xlpm._followUpEnd-_xlpm._followUpStart))))</f>
        <v/>
      </c>
      <c r="F22" s="107"/>
      <c r="G22" s="113"/>
      <c r="H22" s="113" cm="1">
        <f t="array" aca="1" ref="H22" ca="1">CreateID($H$2,$A22&lt;&gt;"")</f>
        <v>4</v>
      </c>
      <c r="I22" s="9" t="str">
        <f t="shared" si="10"/>
        <v/>
      </c>
      <c r="J22" s="9" t="str">
        <f t="shared" si="11"/>
        <v/>
      </c>
      <c r="K22" s="9" t="str">
        <f t="shared" si="12"/>
        <v/>
      </c>
      <c r="L22" s="9" cm="1">
        <f t="array" aca="1" ref="L22" ca="1">CreateID($L$2,$I22&lt;&gt;INDEX($I:$I,ROW()-1))</f>
        <v>8</v>
      </c>
      <c r="M22" s="9" t="str" cm="1">
        <f t="array" aca="1" ref="M22" ca="1">IF($Q22="","",INDIRECT($Q22))</f>
        <v/>
      </c>
      <c r="N22" s="9" t="str">
        <f t="shared" ca="1" si="13"/>
        <v>D</v>
      </c>
      <c r="O22" s="9" t="str">
        <f t="shared" ca="1" si="14"/>
        <v>QI4</v>
      </c>
    </row>
    <row r="23" spans="1:17" ht="228" x14ac:dyDescent="0.25">
      <c r="A23" s="108" t="str" cm="1">
        <f t="array" aca="1" ref="A23" ca="1">IF($Q23="","",_xlfn.LET(
_xlpm._fullName,IF($R23="",SUBSTITUTE(SUBSTITUTE(INDIRECT($Q23),CHAR(10)," "),"  "," "),$R23),
_xlpm._truncatedName,IF(LEN(_xlpm._fullName)&gt;250,LEFT(_xlpm._fullName,250)&amp;"[…]",_xlpm._fullName),
HYPERLINK("#'"&amp;$I23&amp;"'!"&amp;$J23&amp;$K23,
_xlpm._truncatedName)))</f>
        <v>QI5</v>
      </c>
      <c r="B23" s="106" t="str" cm="1">
        <f t="array" aca="1" ref="B23" ca="1">IF($A23="","",SimpleLookup($A23,Questions!$A:$B))</f>
        <v>Does the product contain credentials / cryptographic keys that allow access to sensitive data or to systems in the product's operational environment? (Note: this includes cryptographic data introduced by the customer.)</v>
      </c>
      <c r="C23" s="107" t="s">
        <v>9</v>
      </c>
      <c r="D23" s="110" t="s">
        <v>1679</v>
      </c>
      <c r="E23" s="106" t="str" cm="1">
        <f t="array" aca="1" ref="E23" ca="1">_xlfn.LET(
_xlpm._options,IF($O23="","",SimpleLookup($O23,Questions!$A:$H)),
_xlpm._followUpStart,FIND($C23&amp;":",_xlpm._options)+LEN($C23&amp;":"),
_xlpm._followUpEnd,FIND(CHAR(10),_xlpm._options&amp;CHAR(10),_xlpm._followUpStart),
IF($C23="","",TRIM(MID(_xlpm._options,_xlpm._followUpStart,_xlpm._followUpEnd-_xlpm._followUpStart))))</f>
        <v>What is the worst-case criticality of the data that can be accessed with these credentials / cryptographic keys?</v>
      </c>
      <c r="F23" s="107"/>
      <c r="G23" s="113" t="s">
        <v>1594</v>
      </c>
      <c r="H23" s="113" cm="1">
        <f t="array" aca="1" ref="H23" ca="1">CreateID($H$2,$A23&lt;&gt;"")</f>
        <v>5</v>
      </c>
      <c r="I23" s="9" t="str">
        <f t="shared" ca="1" si="10"/>
        <v>Questionnaire</v>
      </c>
      <c r="J23" s="9" t="str">
        <f t="shared" ca="1" si="11"/>
        <v>B</v>
      </c>
      <c r="K23" s="9" t="str">
        <f t="shared" ca="1" si="12"/>
        <v>12</v>
      </c>
      <c r="L23" s="9" cm="1">
        <f t="array" aca="1" ref="L23" ca="1">CreateID($L$2,$I23&lt;&gt;INDEX($I:$I,ROW()-1))</f>
        <v>9</v>
      </c>
      <c r="M23" s="9" t="str" cm="1">
        <f t="array" aca="1" ref="M23" ca="1">IF($Q23="","",INDIRECT($Q23))</f>
        <v>QI5</v>
      </c>
      <c r="N23" s="9" t="str">
        <f t="shared" ca="1" si="13"/>
        <v>L</v>
      </c>
      <c r="O23" s="9" t="str">
        <f t="shared" ca="1" si="14"/>
        <v>QI5</v>
      </c>
      <c r="Q23" s="2" t="str" cm="1">
        <f t="array" aca="1" ref="Q23" ca="1">CELL("address",Questionnaire!$B$12)</f>
        <v>'[QuBA-libre.xlsx]Questionnaire'!$B$12</v>
      </c>
    </row>
    <row r="24" spans="1:17" ht="30" x14ac:dyDescent="0.25">
      <c r="A24" s="108" t="str" cm="1">
        <f t="array" aca="1" ref="A24" ca="1">IF($Q24="","",_xlfn.LET(
_xlpm._fullName,IF($R24="",SUBSTITUTE(SUBSTITUTE(INDIRECT($Q24),CHAR(10)," "),"  "," "),$R24),
_xlpm._truncatedName,IF(LEN(_xlpm._fullName)&gt;250,LEFT(_xlpm._fullName,250)&amp;"[…]",_xlpm._fullName),
HYPERLINK("#'"&amp;$I24&amp;"'!"&amp;$J24&amp;$K24,
_xlpm._truncatedName)))</f>
        <v/>
      </c>
      <c r="B24" s="106" t="str" cm="1">
        <f t="array" aca="1" ref="B24" ca="1">IF($A24="","",SimpleLookup($A24,Questions!$A:$B))</f>
        <v/>
      </c>
      <c r="C24" s="107"/>
      <c r="D24" s="110"/>
      <c r="E24" s="106" t="str" cm="1">
        <f t="array" aca="1" ref="E24" ca="1">_xlfn.LET(
_xlpm._options,IF($O24="","",SimpleLookup($O24,Questions!$A:$H)),
_xlpm._followUpStart,FIND($C24&amp;":",_xlpm._options)+LEN($C24&amp;":"),
_xlpm._followUpEnd,FIND(CHAR(10),_xlpm._options&amp;CHAR(10),_xlpm._followUpStart),
IF($C24="","",TRIM(MID(_xlpm._options,_xlpm._followUpStart,_xlpm._followUpEnd-_xlpm._followUpStart))))</f>
        <v/>
      </c>
      <c r="F24" s="107" t="str">
        <f>Definitions!$H$8</f>
        <v>IP (moderately innovative)</v>
      </c>
      <c r="G24" s="113" t="s">
        <v>1568</v>
      </c>
      <c r="H24" s="113" cm="1">
        <f t="array" aca="1" ref="H24" ca="1">CreateID($H$2,$A24&lt;&gt;"")</f>
        <v>5</v>
      </c>
      <c r="I24" s="9" t="str">
        <f t="shared" si="10"/>
        <v/>
      </c>
      <c r="J24" s="9" t="str">
        <f t="shared" si="11"/>
        <v/>
      </c>
      <c r="K24" s="9" t="str">
        <f t="shared" si="12"/>
        <v/>
      </c>
      <c r="L24" s="9" cm="1">
        <f t="array" aca="1" ref="L24" ca="1">CreateID($L$2,$I24&lt;&gt;INDEX($I:$I,ROW()-1))</f>
        <v>10</v>
      </c>
      <c r="M24" s="9" t="str" cm="1">
        <f t="array" aca="1" ref="M24" ca="1">IF($Q24="","",INDIRECT($Q24))</f>
        <v/>
      </c>
      <c r="N24" s="9" t="str">
        <f t="shared" ca="1" si="13"/>
        <v>L</v>
      </c>
      <c r="O24" s="9" t="str">
        <f t="shared" ca="1" si="14"/>
        <v>QI5</v>
      </c>
    </row>
    <row r="25" spans="1:17" ht="22.5" x14ac:dyDescent="0.25">
      <c r="A25" s="108" t="str" cm="1">
        <f t="array" aca="1" ref="A25" ca="1">IF($Q25="","",_xlfn.LET(
_xlpm._fullName,IF($R25="",SUBSTITUTE(SUBSTITUTE(INDIRECT($Q25),CHAR(10)," "),"  "," "),$R25),
_xlpm._truncatedName,IF(LEN(_xlpm._fullName)&gt;250,LEFT(_xlpm._fullName,250)&amp;"[…]",_xlpm._fullName),
HYPERLINK("#'"&amp;$I25&amp;"'!"&amp;$J25&amp;$K25,
_xlpm._truncatedName)))</f>
        <v/>
      </c>
      <c r="B25" s="106" t="str" cm="1">
        <f t="array" aca="1" ref="B25" ca="1">IF($A25="","",SimpleLookup($A25,Questions!$A:$B))</f>
        <v/>
      </c>
      <c r="C25" s="107"/>
      <c r="D25" s="110"/>
      <c r="E25" s="106" t="str" cm="1">
        <f t="array" aca="1" ref="E25" ca="1">_xlfn.LET(
_xlpm._options,IF($O25="","",SimpleLookup($O25,Questions!$A:$H)),
_xlpm._followUpStart,FIND($C25&amp;":",_xlpm._options)+LEN($C25&amp;":"),
_xlpm._followUpEnd,FIND(CHAR(10),_xlpm._options&amp;CHAR(10),_xlpm._followUpStart),
IF($C25="","",TRIM(MID(_xlpm._options,_xlpm._followUpStart,_xlpm._followUpEnd-_xlpm._followUpStart))))</f>
        <v/>
      </c>
      <c r="F25" s="107" t="str">
        <f>Definitions!$H$9</f>
        <v>IP (highly innovative)</v>
      </c>
      <c r="G25" s="113" t="s">
        <v>1569</v>
      </c>
      <c r="H25" s="113" cm="1">
        <f t="array" aca="1" ref="H25" ca="1">CreateID($H$2,$A25&lt;&gt;"")</f>
        <v>5</v>
      </c>
      <c r="I25" s="9" t="str">
        <f t="shared" si="10"/>
        <v/>
      </c>
      <c r="J25" s="9" t="str">
        <f t="shared" si="11"/>
        <v/>
      </c>
      <c r="K25" s="9" t="str">
        <f t="shared" si="12"/>
        <v/>
      </c>
      <c r="L25" s="9" cm="1">
        <f t="array" aca="1" ref="L25" ca="1">CreateID($L$2,$I25&lt;&gt;INDEX($I:$I,ROW()-1))</f>
        <v>10</v>
      </c>
      <c r="M25" s="9" t="str" cm="1">
        <f t="array" aca="1" ref="M25" ca="1">IF($Q25="","",INDIRECT($Q25))</f>
        <v/>
      </c>
      <c r="N25" s="9" t="str">
        <f t="shared" ca="1" si="13"/>
        <v>L</v>
      </c>
      <c r="O25" s="9" t="str">
        <f t="shared" ca="1" si="14"/>
        <v>QI5</v>
      </c>
    </row>
    <row r="26" spans="1:17" ht="22.5" x14ac:dyDescent="0.25">
      <c r="A26" s="108" t="str" cm="1">
        <f t="array" aca="1" ref="A26" ca="1">IF($Q26="","",_xlfn.LET(
_xlpm._fullName,IF($R26="",SUBSTITUTE(SUBSTITUTE(INDIRECT($Q26),CHAR(10)," "),"  "," "),$R26),
_xlpm._truncatedName,IF(LEN(_xlpm._fullName)&gt;250,LEFT(_xlpm._fullName,250)&amp;"[…]",_xlpm._fullName),
HYPERLINK("#'"&amp;$I26&amp;"'!"&amp;$J26&amp;$K26,
_xlpm._truncatedName)))</f>
        <v/>
      </c>
      <c r="B26" s="106" t="str" cm="1">
        <f t="array" aca="1" ref="B26" ca="1">IF($A26="","",SimpleLookup($A26,Questions!$A:$B))</f>
        <v/>
      </c>
      <c r="C26" s="107"/>
      <c r="D26" s="110"/>
      <c r="E26" s="106" t="str" cm="1">
        <f t="array" aca="1" ref="E26" ca="1">_xlfn.LET(
_xlpm._options,IF($O26="","",SimpleLookup($O26,Questions!$A:$H)),
_xlpm._followUpStart,FIND($C26&amp;":",_xlpm._options)+LEN($C26&amp;":"),
_xlpm._followUpEnd,FIND(CHAR(10),_xlpm._options&amp;CHAR(10),_xlpm._followUpStart),
IF($C26="","",TRIM(MID(_xlpm._options,_xlpm._followUpStart,_xlpm._followUpEnd-_xlpm._followUpStart))))</f>
        <v/>
      </c>
      <c r="F26" s="107" t="str">
        <f>Definitions!$H$10</f>
        <v>Low financial damage</v>
      </c>
      <c r="G26" s="113" t="s">
        <v>1570</v>
      </c>
      <c r="H26" s="113" cm="1">
        <f t="array" aca="1" ref="H26" ca="1">CreateID($H$2,$A26&lt;&gt;"")</f>
        <v>5</v>
      </c>
      <c r="I26" s="9" t="str">
        <f t="shared" si="10"/>
        <v/>
      </c>
      <c r="J26" s="9" t="str">
        <f t="shared" si="11"/>
        <v/>
      </c>
      <c r="K26" s="9" t="str">
        <f t="shared" si="12"/>
        <v/>
      </c>
      <c r="L26" s="9" cm="1">
        <f t="array" aca="1" ref="L26" ca="1">CreateID($L$2,$I26&lt;&gt;INDEX($I:$I,ROW()-1))</f>
        <v>10</v>
      </c>
      <c r="M26" s="9" t="str" cm="1">
        <f t="array" aca="1" ref="M26" ca="1">IF($Q26="","",INDIRECT($Q26))</f>
        <v/>
      </c>
      <c r="N26" s="9" t="str">
        <f t="shared" ca="1" si="13"/>
        <v>L</v>
      </c>
      <c r="O26" s="9" t="str">
        <f t="shared" ca="1" si="14"/>
        <v>QI5</v>
      </c>
    </row>
    <row r="27" spans="1:17" ht="33.75" x14ac:dyDescent="0.25">
      <c r="A27" s="108" t="str" cm="1">
        <f t="array" aca="1" ref="A27" ca="1">IF($Q27="","",_xlfn.LET(
_xlpm._fullName,IF($R27="",SUBSTITUTE(SUBSTITUTE(INDIRECT($Q27),CHAR(10)," "),"  "," "),$R27),
_xlpm._truncatedName,IF(LEN(_xlpm._fullName)&gt;250,LEFT(_xlpm._fullName,250)&amp;"[…]",_xlpm._fullName),
HYPERLINK("#'"&amp;$I27&amp;"'!"&amp;$J27&amp;$K27,
_xlpm._truncatedName)))</f>
        <v/>
      </c>
      <c r="B27" s="106" t="str" cm="1">
        <f t="array" aca="1" ref="B27" ca="1">IF($A27="","",SimpleLookup($A27,Questions!$A:$B))</f>
        <v/>
      </c>
      <c r="C27" s="107"/>
      <c r="D27" s="110"/>
      <c r="E27" s="106" t="str" cm="1">
        <f t="array" aca="1" ref="E27" ca="1">_xlfn.LET(
_xlpm._options,IF($O27="","",SimpleLookup($O27,Questions!$A:$H)),
_xlpm._followUpStart,FIND($C27&amp;":",_xlpm._options)+LEN($C27&amp;":"),
_xlpm._followUpEnd,FIND(CHAR(10),_xlpm._options&amp;CHAR(10),_xlpm._followUpStart),
IF($C27="","",TRIM(MID(_xlpm._options,_xlpm._followUpStart,_xlpm._followUpEnd-_xlpm._followUpStart))))</f>
        <v/>
      </c>
      <c r="F27" s="107" t="str">
        <f>Definitions!$H$11</f>
        <v>Medium financial damage</v>
      </c>
      <c r="G27" s="113" t="s">
        <v>1576</v>
      </c>
      <c r="H27" s="113" cm="1">
        <f t="array" aca="1" ref="H27" ca="1">CreateID($H$2,$A27&lt;&gt;"")</f>
        <v>5</v>
      </c>
      <c r="I27" s="9" t="str">
        <f t="shared" si="10"/>
        <v/>
      </c>
      <c r="J27" s="9" t="str">
        <f t="shared" si="11"/>
        <v/>
      </c>
      <c r="K27" s="9" t="str">
        <f t="shared" si="12"/>
        <v/>
      </c>
      <c r="L27" s="9" cm="1">
        <f t="array" aca="1" ref="L27" ca="1">CreateID($L$2,$I27&lt;&gt;INDEX($I:$I,ROW()-1))</f>
        <v>10</v>
      </c>
      <c r="M27" s="9" t="str" cm="1">
        <f t="array" aca="1" ref="M27" ca="1">IF($Q27="","",INDIRECT($Q27))</f>
        <v/>
      </c>
      <c r="N27" s="9" t="str">
        <f t="shared" ca="1" si="13"/>
        <v>L</v>
      </c>
      <c r="O27" s="9" t="str">
        <f t="shared" ca="1" si="14"/>
        <v>QI5</v>
      </c>
    </row>
    <row r="28" spans="1:17" ht="33.75" x14ac:dyDescent="0.25">
      <c r="A28" s="108" t="str" cm="1">
        <f t="array" aca="1" ref="A28" ca="1">IF($Q28="","",_xlfn.LET(
_xlpm._fullName,IF($R28="",SUBSTITUTE(SUBSTITUTE(INDIRECT($Q28),CHAR(10)," "),"  "," "),$R28),
_xlpm._truncatedName,IF(LEN(_xlpm._fullName)&gt;250,LEFT(_xlpm._fullName,250)&amp;"[…]",_xlpm._fullName),
HYPERLINK("#'"&amp;$I28&amp;"'!"&amp;$J28&amp;$K28,
_xlpm._truncatedName)))</f>
        <v/>
      </c>
      <c r="B28" s="106" t="str" cm="1">
        <f t="array" aca="1" ref="B28" ca="1">IF($A28="","",SimpleLookup($A28,Questions!$A:$B))</f>
        <v/>
      </c>
      <c r="C28" s="107"/>
      <c r="D28" s="110"/>
      <c r="E28" s="106" t="str" cm="1">
        <f t="array" aca="1" ref="E28" ca="1">_xlfn.LET(
_xlpm._options,IF($O28="","",SimpleLookup($O28,Questions!$A:$H)),
_xlpm._followUpStart,FIND($C28&amp;":",_xlpm._options)+LEN($C28&amp;":"),
_xlpm._followUpEnd,FIND(CHAR(10),_xlpm._options&amp;CHAR(10),_xlpm._followUpStart),
IF($C28="","",TRIM(MID(_xlpm._options,_xlpm._followUpStart,_xlpm._followUpEnd-_xlpm._followUpStart))))</f>
        <v/>
      </c>
      <c r="F28" s="107" t="str">
        <f>Definitions!$H$12</f>
        <v>High financial damage</v>
      </c>
      <c r="G28" s="113" t="s">
        <v>1577</v>
      </c>
      <c r="H28" s="113" cm="1">
        <f t="array" aca="1" ref="H28" ca="1">CreateID($H$2,$A28&lt;&gt;"")</f>
        <v>5</v>
      </c>
      <c r="I28" s="9" t="str">
        <f t="shared" si="10"/>
        <v/>
      </c>
      <c r="J28" s="9" t="str">
        <f t="shared" si="11"/>
        <v/>
      </c>
      <c r="K28" s="9" t="str">
        <f t="shared" si="12"/>
        <v/>
      </c>
      <c r="L28" s="9" cm="1">
        <f t="array" aca="1" ref="L28" ca="1">CreateID($L$2,$I28&lt;&gt;INDEX($I:$I,ROW()-1))</f>
        <v>10</v>
      </c>
      <c r="M28" s="9" t="str" cm="1">
        <f t="array" aca="1" ref="M28" ca="1">IF($Q28="","",INDIRECT($Q28))</f>
        <v/>
      </c>
      <c r="N28" s="9" t="str">
        <f t="shared" ca="1" si="13"/>
        <v>L</v>
      </c>
      <c r="O28" s="9" t="str">
        <f t="shared" ca="1" si="14"/>
        <v>QI5</v>
      </c>
    </row>
    <row r="29" spans="1:17" ht="45" x14ac:dyDescent="0.25">
      <c r="A29" s="108" t="str" cm="1">
        <f t="array" aca="1" ref="A29" ca="1">IF($Q29="","",_xlfn.LET(
_xlpm._fullName,IF($R29="",SUBSTITUTE(SUBSTITUTE(INDIRECT($Q29),CHAR(10)," "),"  "," "),$R29),
_xlpm._truncatedName,IF(LEN(_xlpm._fullName)&gt;250,LEFT(_xlpm._fullName,250)&amp;"[…]",_xlpm._fullName),
HYPERLINK("#'"&amp;$I29&amp;"'!"&amp;$J29&amp;$K29,
_xlpm._truncatedName)))</f>
        <v/>
      </c>
      <c r="B29" s="106" t="str" cm="1">
        <f t="array" aca="1" ref="B29" ca="1">IF($A29="","",SimpleLookup($A29,Questions!$A:$B))</f>
        <v/>
      </c>
      <c r="C29" s="107"/>
      <c r="D29" s="110"/>
      <c r="E29" s="106" t="str" cm="1">
        <f t="array" aca="1" ref="E29" ca="1">_xlfn.LET(
_xlpm._options,IF($O29="","",SimpleLookup($O29,Questions!$A:$H)),
_xlpm._followUpStart,FIND($C29&amp;":",_xlpm._options)+LEN($C29&amp;":"),
_xlpm._followUpEnd,FIND(CHAR(10),_xlpm._options&amp;CHAR(10),_xlpm._followUpStart),
IF($C29="","",TRIM(MID(_xlpm._options,_xlpm._followUpStart,_xlpm._followUpEnd-_xlpm._followUpStart))))</f>
        <v/>
      </c>
      <c r="F29" s="107" t="str">
        <f>Definitions!$H$13</f>
        <v>Critical financial damage</v>
      </c>
      <c r="G29" s="113" t="s">
        <v>1578</v>
      </c>
      <c r="H29" s="113" cm="1">
        <f t="array" aca="1" ref="H29" ca="1">CreateID($H$2,$A29&lt;&gt;"")</f>
        <v>5</v>
      </c>
      <c r="I29" s="9" t="str">
        <f t="shared" si="10"/>
        <v/>
      </c>
      <c r="J29" s="9" t="str">
        <f t="shared" si="11"/>
        <v/>
      </c>
      <c r="K29" s="9" t="str">
        <f t="shared" si="12"/>
        <v/>
      </c>
      <c r="L29" s="9" cm="1">
        <f t="array" aca="1" ref="L29" ca="1">CreateID($L$2,$I29&lt;&gt;INDEX($I:$I,ROW()-1))</f>
        <v>10</v>
      </c>
      <c r="M29" s="9" t="str" cm="1">
        <f t="array" aca="1" ref="M29" ca="1">IF($Q29="","",INDIRECT($Q29))</f>
        <v/>
      </c>
      <c r="N29" s="9" t="str">
        <f t="shared" ca="1" si="13"/>
        <v>L</v>
      </c>
      <c r="O29" s="9" t="str">
        <f t="shared" ca="1" si="14"/>
        <v>QI5</v>
      </c>
    </row>
    <row r="30" spans="1:17" ht="45" x14ac:dyDescent="0.25">
      <c r="A30" s="108" t="str" cm="1">
        <f t="array" aca="1" ref="A30" ca="1">IF($Q30="","",_xlfn.LET(
_xlpm._fullName,IF($R30="",SUBSTITUTE(SUBSTITUTE(INDIRECT($Q30),CHAR(10)," "),"  "," "),$R30),
_xlpm._truncatedName,IF(LEN(_xlpm._fullName)&gt;250,LEFT(_xlpm._fullName,250)&amp;"[…]",_xlpm._fullName),
HYPERLINK("#'"&amp;$I30&amp;"'!"&amp;$J30&amp;$K30,
_xlpm._truncatedName)))</f>
        <v/>
      </c>
      <c r="B30" s="106" t="str" cm="1">
        <f t="array" aca="1" ref="B30" ca="1">IF($A30="","",SimpleLookup($A30,Questions!$A:$B))</f>
        <v/>
      </c>
      <c r="C30" s="107"/>
      <c r="D30" s="110"/>
      <c r="E30" s="106" t="str" cm="1">
        <f t="array" aca="1" ref="E30" ca="1">_xlfn.LET(
_xlpm._options,IF($O30="","",SimpleLookup($O30,Questions!$A:$H)),
_xlpm._followUpStart,FIND($C30&amp;":",_xlpm._options)+LEN($C30&amp;":"),
_xlpm._followUpEnd,FIND(CHAR(10),_xlpm._options&amp;CHAR(10),_xlpm._followUpStart),
IF($C30="","",TRIM(MID(_xlpm._options,_xlpm._followUpStart,_xlpm._followUpEnd-_xlpm._followUpStart))))</f>
        <v/>
      </c>
      <c r="F30" s="107" t="str">
        <f>Definitions!$H$14</f>
        <v>Potentially dangerous situation</v>
      </c>
      <c r="G30" s="113" t="s">
        <v>1579</v>
      </c>
      <c r="H30" s="113" cm="1">
        <f t="array" aca="1" ref="H30" ca="1">CreateID($H$2,$A30&lt;&gt;"")</f>
        <v>5</v>
      </c>
      <c r="I30" s="9" t="str">
        <f t="shared" si="10"/>
        <v/>
      </c>
      <c r="J30" s="9" t="str">
        <f t="shared" si="11"/>
        <v/>
      </c>
      <c r="K30" s="9" t="str">
        <f t="shared" si="12"/>
        <v/>
      </c>
      <c r="L30" s="9" cm="1">
        <f t="array" aca="1" ref="L30" ca="1">CreateID($L$2,$I30&lt;&gt;INDEX($I:$I,ROW()-1))</f>
        <v>10</v>
      </c>
      <c r="M30" s="9" t="str" cm="1">
        <f t="array" aca="1" ref="M30" ca="1">IF($Q30="","",INDIRECT($Q30))</f>
        <v/>
      </c>
      <c r="N30" s="9" t="str">
        <f t="shared" ca="1" si="13"/>
        <v>L</v>
      </c>
      <c r="O30" s="9" t="str">
        <f t="shared" ca="1" si="14"/>
        <v>QI5</v>
      </c>
    </row>
    <row r="31" spans="1:17" ht="78.75" x14ac:dyDescent="0.25">
      <c r="A31" s="108" t="str" cm="1">
        <f t="array" aca="1" ref="A31" ca="1">IF($Q31="","",_xlfn.LET(
_xlpm._fullName,IF($R31="",SUBSTITUTE(SUBSTITUTE(INDIRECT($Q31),CHAR(10)," "),"  "," "),$R31),
_xlpm._truncatedName,IF(LEN(_xlpm._fullName)&gt;250,LEFT(_xlpm._fullName,250)&amp;"[…]",_xlpm._fullName),
HYPERLINK("#'"&amp;$I31&amp;"'!"&amp;$J31&amp;$K31,
_xlpm._truncatedName)))</f>
        <v/>
      </c>
      <c r="B31" s="106" t="str" cm="1">
        <f t="array" aca="1" ref="B31" ca="1">IF($A31="","",SimpleLookup($A31,Questions!$A:$B))</f>
        <v/>
      </c>
      <c r="C31" s="107"/>
      <c r="D31" s="110"/>
      <c r="E31" s="106" t="str" cm="1">
        <f t="array" aca="1" ref="E31" ca="1">_xlfn.LET(
_xlpm._options,IF($O31="","",SimpleLookup($O31,Questions!$A:$H)),
_xlpm._followUpStart,FIND($C31&amp;":",_xlpm._options)+LEN($C31&amp;":"),
_xlpm._followUpEnd,FIND(CHAR(10),_xlpm._options&amp;CHAR(10),_xlpm._followUpStart),
IF($C31="","",TRIM(MID(_xlpm._options,_xlpm._followUpStart,_xlpm._followUpEnd-_xlpm._followUpStart))))</f>
        <v/>
      </c>
      <c r="F31" s="107" t="str">
        <f>Definitions!$H$15</f>
        <v>Light or moderate injury</v>
      </c>
      <c r="G31" s="113" t="s">
        <v>1581</v>
      </c>
      <c r="H31" s="113" cm="1">
        <f t="array" aca="1" ref="H31" ca="1">CreateID($H$2,$A31&lt;&gt;"")</f>
        <v>5</v>
      </c>
      <c r="I31" s="9" t="str">
        <f t="shared" si="10"/>
        <v/>
      </c>
      <c r="J31" s="9" t="str">
        <f t="shared" si="11"/>
        <v/>
      </c>
      <c r="K31" s="9" t="str">
        <f t="shared" si="12"/>
        <v/>
      </c>
      <c r="L31" s="9" cm="1">
        <f t="array" aca="1" ref="L31" ca="1">CreateID($L$2,$I31&lt;&gt;INDEX($I:$I,ROW()-1))</f>
        <v>10</v>
      </c>
      <c r="M31" s="9" t="str" cm="1">
        <f t="array" aca="1" ref="M31" ca="1">IF($Q31="","",INDIRECT($Q31))</f>
        <v/>
      </c>
      <c r="N31" s="9" t="str">
        <f t="shared" ca="1" si="13"/>
        <v>L</v>
      </c>
      <c r="O31" s="9" t="str">
        <f t="shared" ca="1" si="14"/>
        <v>QI5</v>
      </c>
    </row>
    <row r="32" spans="1:17" ht="78.75" x14ac:dyDescent="0.25">
      <c r="A32" s="108" t="str" cm="1">
        <f t="array" aca="1" ref="A32" ca="1">IF($Q32="","",_xlfn.LET(
_xlpm._fullName,IF($R32="",SUBSTITUTE(SUBSTITUTE(INDIRECT($Q32),CHAR(10)," "),"  "," "),$R32),
_xlpm._truncatedName,IF(LEN(_xlpm._fullName)&gt;250,LEFT(_xlpm._fullName,250)&amp;"[…]",_xlpm._fullName),
HYPERLINK("#'"&amp;$I32&amp;"'!"&amp;$J32&amp;$K32,
_xlpm._truncatedName)))</f>
        <v/>
      </c>
      <c r="B32" s="106" t="str" cm="1">
        <f t="array" aca="1" ref="B32" ca="1">IF($A32="","",SimpleLookup($A32,Questions!$A:$B))</f>
        <v/>
      </c>
      <c r="C32" s="107"/>
      <c r="D32" s="110"/>
      <c r="E32" s="106" t="str" cm="1">
        <f t="array" aca="1" ref="E32" ca="1">_xlfn.LET(
_xlpm._options,IF($O32="","",SimpleLookup($O32,Questions!$A:$H)),
_xlpm._followUpStart,FIND($C32&amp;":",_xlpm._options)+LEN($C32&amp;":"),
_xlpm._followUpEnd,FIND(CHAR(10),_xlpm._options&amp;CHAR(10),_xlpm._followUpStart),
IF($C32="","",TRIM(MID(_xlpm._options,_xlpm._followUpStart,_xlpm._followUpEnd-_xlpm._followUpStart))))</f>
        <v/>
      </c>
      <c r="F32" s="107" t="str">
        <f>Definitions!$H$16</f>
        <v>Severe injury (survival probable)</v>
      </c>
      <c r="G32" s="113" t="s">
        <v>1582</v>
      </c>
      <c r="H32" s="113" cm="1">
        <f t="array" aca="1" ref="H32" ca="1">CreateID($H$2,$A32&lt;&gt;"")</f>
        <v>5</v>
      </c>
      <c r="I32" s="9" t="str">
        <f t="shared" si="10"/>
        <v/>
      </c>
      <c r="J32" s="9" t="str">
        <f t="shared" si="11"/>
        <v/>
      </c>
      <c r="K32" s="9" t="str">
        <f t="shared" si="12"/>
        <v/>
      </c>
      <c r="L32" s="9" cm="1">
        <f t="array" aca="1" ref="L32" ca="1">CreateID($L$2,$I32&lt;&gt;INDEX($I:$I,ROW()-1))</f>
        <v>10</v>
      </c>
      <c r="M32" s="9" t="str" cm="1">
        <f t="array" aca="1" ref="M32" ca="1">IF($Q32="","",INDIRECT($Q32))</f>
        <v/>
      </c>
      <c r="N32" s="9" t="str">
        <f t="shared" ca="1" si="13"/>
        <v>L</v>
      </c>
      <c r="O32" s="9" t="str">
        <f t="shared" ca="1" si="14"/>
        <v>QI5</v>
      </c>
    </row>
    <row r="33" spans="1:17" ht="78.75" x14ac:dyDescent="0.25">
      <c r="A33" s="108" t="str" cm="1">
        <f t="array" aca="1" ref="A33" ca="1">IF($Q33="","",_xlfn.LET(
_xlpm._fullName,IF($R33="",SUBSTITUTE(SUBSTITUTE(INDIRECT($Q33),CHAR(10)," "),"  "," "),$R33),
_xlpm._truncatedName,IF(LEN(_xlpm._fullName)&gt;250,LEFT(_xlpm._fullName,250)&amp;"[…]",_xlpm._fullName),
HYPERLINK("#'"&amp;$I33&amp;"'!"&amp;$J33&amp;$K33,
_xlpm._truncatedName)))</f>
        <v/>
      </c>
      <c r="B33" s="106" t="str" cm="1">
        <f t="array" aca="1" ref="B33" ca="1">IF($A33="","",SimpleLookup($A33,Questions!$A:$B))</f>
        <v/>
      </c>
      <c r="C33" s="107"/>
      <c r="D33" s="110"/>
      <c r="E33" s="106" t="str" cm="1">
        <f t="array" aca="1" ref="E33" ca="1">_xlfn.LET(
_xlpm._options,IF($O33="","",SimpleLookup($O33,Questions!$A:$H)),
_xlpm._followUpStart,FIND($C33&amp;":",_xlpm._options)+LEN($C33&amp;":"),
_xlpm._followUpEnd,FIND(CHAR(10),_xlpm._options&amp;CHAR(10),_xlpm._followUpStart),
IF($C33="","",TRIM(MID(_xlpm._options,_xlpm._followUpStart,_xlpm._followUpEnd-_xlpm._followUpStart))))</f>
        <v/>
      </c>
      <c r="F33" s="107" t="str">
        <f>Definitions!$H$17</f>
        <v>Life-threatening injury</v>
      </c>
      <c r="G33" s="113" t="s">
        <v>1583</v>
      </c>
      <c r="H33" s="113" cm="1">
        <f t="array" aca="1" ref="H33" ca="1">CreateID($H$2,$A33&lt;&gt;"")</f>
        <v>5</v>
      </c>
      <c r="I33" s="9" t="str">
        <f t="shared" si="10"/>
        <v/>
      </c>
      <c r="J33" s="9" t="str">
        <f t="shared" si="11"/>
        <v/>
      </c>
      <c r="K33" s="9" t="str">
        <f t="shared" si="12"/>
        <v/>
      </c>
      <c r="L33" s="9" cm="1">
        <f t="array" aca="1" ref="L33" ca="1">CreateID($L$2,$I33&lt;&gt;INDEX($I:$I,ROW()-1))</f>
        <v>10</v>
      </c>
      <c r="M33" s="9" t="str" cm="1">
        <f t="array" aca="1" ref="M33" ca="1">IF($Q33="","",INDIRECT($Q33))</f>
        <v/>
      </c>
      <c r="N33" s="9" t="str">
        <f t="shared" ca="1" si="13"/>
        <v>L</v>
      </c>
      <c r="O33" s="9" t="str">
        <f t="shared" ca="1" si="14"/>
        <v>QI5</v>
      </c>
    </row>
    <row r="34" spans="1:17" ht="45" x14ac:dyDescent="0.25">
      <c r="A34" s="108" t="str" cm="1">
        <f t="array" aca="1" ref="A34" ca="1">IF($Q34="","",_xlfn.LET(
_xlpm._fullName,IF($R34="",SUBSTITUTE(SUBSTITUTE(INDIRECT($Q34),CHAR(10)," "),"  "," "),$R34),
_xlpm._truncatedName,IF(LEN(_xlpm._fullName)&gt;250,LEFT(_xlpm._fullName,250)&amp;"[…]",_xlpm._fullName),
HYPERLINK("#'"&amp;$I34&amp;"'!"&amp;$J34&amp;$K34,
_xlpm._truncatedName)))</f>
        <v/>
      </c>
      <c r="B34" s="106" t="str" cm="1">
        <f t="array" aca="1" ref="B34" ca="1">IF($A34="","",SimpleLookup($A34,Questions!$A:$B))</f>
        <v/>
      </c>
      <c r="C34" s="107"/>
      <c r="D34" s="110"/>
      <c r="E34" s="106" t="str" cm="1">
        <f t="array" aca="1" ref="E34" ca="1">_xlfn.LET(
_xlpm._options,IF($O34="","",SimpleLookup($O34,Questions!$A:$H)),
_xlpm._followUpStart,FIND($C34&amp;":",_xlpm._options)+LEN($C34&amp;":"),
_xlpm._followUpEnd,FIND(CHAR(10),_xlpm._options&amp;CHAR(10),_xlpm._followUpStart),
IF($C34="","",TRIM(MID(_xlpm._options,_xlpm._followUpStart,_xlpm._followUpEnd-_xlpm._followUpStart))))</f>
        <v/>
      </c>
      <c r="F34" s="107" t="str">
        <f>Definitions!$H$18</f>
        <v>Disturbance</v>
      </c>
      <c r="G34" s="113" t="s">
        <v>1584</v>
      </c>
      <c r="H34" s="113" cm="1">
        <f t="array" aca="1" ref="H34" ca="1">CreateID($H$2,$A34&lt;&gt;"")</f>
        <v>5</v>
      </c>
      <c r="I34" s="9" t="str">
        <f t="shared" si="10"/>
        <v/>
      </c>
      <c r="J34" s="9" t="str">
        <f t="shared" si="11"/>
        <v/>
      </c>
      <c r="K34" s="9" t="str">
        <f t="shared" si="12"/>
        <v/>
      </c>
      <c r="L34" s="9" cm="1">
        <f t="array" aca="1" ref="L34" ca="1">CreateID($L$2,$I34&lt;&gt;INDEX($I:$I,ROW()-1))</f>
        <v>10</v>
      </c>
      <c r="M34" s="9" t="str" cm="1">
        <f t="array" aca="1" ref="M34" ca="1">IF($Q34="","",INDIRECT($Q34))</f>
        <v/>
      </c>
      <c r="N34" s="9" t="str">
        <f t="shared" ca="1" si="13"/>
        <v>L</v>
      </c>
      <c r="O34" s="9" t="str">
        <f t="shared" ca="1" si="14"/>
        <v>QI5</v>
      </c>
    </row>
    <row r="35" spans="1:17" ht="90" x14ac:dyDescent="0.25">
      <c r="A35" s="108" t="str" cm="1">
        <f t="array" aca="1" ref="A35" ca="1">IF($Q35="","",_xlfn.LET(
_xlpm._fullName,IF($R35="",SUBSTITUTE(SUBSTITUTE(INDIRECT($Q35),CHAR(10)," "),"  "," "),$R35),
_xlpm._truncatedName,IF(LEN(_xlpm._fullName)&gt;250,LEFT(_xlpm._fullName,250)&amp;"[…]",_xlpm._fullName),
HYPERLINK("#'"&amp;$I35&amp;"'!"&amp;$J35&amp;$K35,
_xlpm._truncatedName)))</f>
        <v/>
      </c>
      <c r="B35" s="106" t="str" cm="1">
        <f t="array" aca="1" ref="B35" ca="1">IF($A35="","",SimpleLookup($A35,Questions!$A:$B))</f>
        <v/>
      </c>
      <c r="C35" s="107"/>
      <c r="D35" s="110"/>
      <c r="E35" s="106" t="str" cm="1">
        <f t="array" aca="1" ref="E35" ca="1">_xlfn.LET(
_xlpm._options,IF($O35="","",SimpleLookup($O35,Questions!$A:$H)),
_xlpm._followUpStart,FIND($C35&amp;":",_xlpm._options)+LEN($C35&amp;":"),
_xlpm._followUpEnd,FIND(CHAR(10),_xlpm._options&amp;CHAR(10),_xlpm._followUpStart),
IF($C35="","",TRIM(MID(_xlpm._options,_xlpm._followUpStart,_xlpm._followUpEnd-_xlpm._followUpStart))))</f>
        <v/>
      </c>
      <c r="F35" s="107" t="str">
        <f>Definitions!$H$19</f>
        <v>Service required</v>
      </c>
      <c r="G35" s="113" t="s">
        <v>1585</v>
      </c>
      <c r="H35" s="113" cm="1">
        <f t="array" aca="1" ref="H35" ca="1">CreateID($H$2,$A35&lt;&gt;"")</f>
        <v>5</v>
      </c>
      <c r="I35" s="9" t="str">
        <f t="shared" si="10"/>
        <v/>
      </c>
      <c r="J35" s="9" t="str">
        <f t="shared" si="11"/>
        <v/>
      </c>
      <c r="K35" s="9" t="str">
        <f t="shared" si="12"/>
        <v/>
      </c>
      <c r="L35" s="9" cm="1">
        <f t="array" aca="1" ref="L35" ca="1">CreateID($L$2,$I35&lt;&gt;INDEX($I:$I,ROW()-1))</f>
        <v>10</v>
      </c>
      <c r="M35" s="9" t="str" cm="1">
        <f t="array" aca="1" ref="M35" ca="1">IF($Q35="","",INDIRECT($Q35))</f>
        <v/>
      </c>
      <c r="N35" s="9" t="str">
        <f t="shared" ca="1" si="13"/>
        <v>L</v>
      </c>
      <c r="O35" s="9" t="str">
        <f t="shared" ca="1" si="14"/>
        <v>QI5</v>
      </c>
    </row>
    <row r="36" spans="1:17" ht="67.5" x14ac:dyDescent="0.25">
      <c r="A36" s="108" t="str" cm="1">
        <f t="array" aca="1" ref="A36" ca="1">IF($Q36="","",_xlfn.LET(
_xlpm._fullName,IF($R36="",SUBSTITUTE(SUBSTITUTE(INDIRECT($Q36),CHAR(10)," "),"  "," "),$R36),
_xlpm._truncatedName,IF(LEN(_xlpm._fullName)&gt;250,LEFT(_xlpm._fullName,250)&amp;"[…]",_xlpm._fullName),
HYPERLINK("#'"&amp;$I36&amp;"'!"&amp;$J36&amp;$K36,
_xlpm._truncatedName)))</f>
        <v/>
      </c>
      <c r="B36" s="106" t="str" cm="1">
        <f t="array" aca="1" ref="B36" ca="1">IF($A36="","",SimpleLookup($A36,Questions!$A:$B))</f>
        <v/>
      </c>
      <c r="C36" s="107"/>
      <c r="D36" s="110"/>
      <c r="E36" s="106" t="str" cm="1">
        <f t="array" aca="1" ref="E36" ca="1">_xlfn.LET(
_xlpm._options,IF($O36="","",SimpleLookup($O36,Questions!$A:$H)),
_xlpm._followUpStart,FIND($C36&amp;":",_xlpm._options)+LEN($C36&amp;":"),
_xlpm._followUpEnd,FIND(CHAR(10),_xlpm._options&amp;CHAR(10),_xlpm._followUpStart),
IF($C36="","",TRIM(MID(_xlpm._options,_xlpm._followUpStart,_xlpm._followUpEnd-_xlpm._followUpStart))))</f>
        <v/>
      </c>
      <c r="F36" s="107" t="str">
        <f>Definitions!$H$20</f>
        <v>Major disturbance</v>
      </c>
      <c r="G36" s="113" t="s">
        <v>1586</v>
      </c>
      <c r="H36" s="113" cm="1">
        <f t="array" aca="1" ref="H36" ca="1">CreateID($H$2,$A36&lt;&gt;"")</f>
        <v>5</v>
      </c>
      <c r="I36" s="9" t="str">
        <f t="shared" si="10"/>
        <v/>
      </c>
      <c r="J36" s="9" t="str">
        <f t="shared" si="11"/>
        <v/>
      </c>
      <c r="K36" s="9" t="str">
        <f t="shared" si="12"/>
        <v/>
      </c>
      <c r="L36" s="9" cm="1">
        <f t="array" aca="1" ref="L36" ca="1">CreateID($L$2,$I36&lt;&gt;INDEX($I:$I,ROW()-1))</f>
        <v>10</v>
      </c>
      <c r="M36" s="9" t="str" cm="1">
        <f t="array" aca="1" ref="M36" ca="1">IF($Q36="","",INDIRECT($Q36))</f>
        <v/>
      </c>
      <c r="N36" s="9" t="str">
        <f t="shared" ca="1" si="13"/>
        <v>L</v>
      </c>
      <c r="O36" s="9" t="str">
        <f t="shared" ca="1" si="14"/>
        <v>QI5</v>
      </c>
    </row>
    <row r="37" spans="1:17" ht="67.5" x14ac:dyDescent="0.25">
      <c r="A37" s="108" t="str" cm="1">
        <f t="array" aca="1" ref="A37" ca="1">IF($Q37="","",_xlfn.LET(
_xlpm._fullName,IF($R37="",SUBSTITUTE(SUBSTITUTE(INDIRECT($Q37),CHAR(10)," "),"  "," "),$R37),
_xlpm._truncatedName,IF(LEN(_xlpm._fullName)&gt;250,LEFT(_xlpm._fullName,250)&amp;"[…]",_xlpm._fullName),
HYPERLINK("#'"&amp;$I37&amp;"'!"&amp;$J37&amp;$K37,
_xlpm._truncatedName)))</f>
        <v/>
      </c>
      <c r="B37" s="106" t="str" cm="1">
        <f t="array" aca="1" ref="B37" ca="1">IF($A37="","",SimpleLookup($A37,Questions!$A:$B))</f>
        <v/>
      </c>
      <c r="C37" s="107"/>
      <c r="D37" s="110"/>
      <c r="E37" s="106" t="str" cm="1">
        <f t="array" aca="1" ref="E37" ca="1">_xlfn.LET(
_xlpm._options,IF($O37="","",SimpleLookup($O37,Questions!$A:$H)),
_xlpm._followUpStart,FIND($C37&amp;":",_xlpm._options)+LEN($C37&amp;":"),
_xlpm._followUpEnd,FIND(CHAR(10),_xlpm._options&amp;CHAR(10),_xlpm._followUpStart),
IF($C37="","",TRIM(MID(_xlpm._options,_xlpm._followUpStart,_xlpm._followUpEnd-_xlpm._followUpStart))))</f>
        <v/>
      </c>
      <c r="F37" s="107" t="str">
        <f>Definitions!$H$21</f>
        <v>Environmental damage</v>
      </c>
      <c r="G37" s="113" t="s">
        <v>1587</v>
      </c>
      <c r="H37" s="113" cm="1">
        <f t="array" aca="1" ref="H37" ca="1">CreateID($H$2,$A37&lt;&gt;"")</f>
        <v>5</v>
      </c>
      <c r="I37" s="9" t="str">
        <f t="shared" si="10"/>
        <v/>
      </c>
      <c r="J37" s="9" t="str">
        <f t="shared" si="11"/>
        <v/>
      </c>
      <c r="K37" s="9" t="str">
        <f t="shared" si="12"/>
        <v/>
      </c>
      <c r="L37" s="9" cm="1">
        <f t="array" aca="1" ref="L37" ca="1">CreateID($L$2,$I37&lt;&gt;INDEX($I:$I,ROW()-1))</f>
        <v>10</v>
      </c>
      <c r="M37" s="9" t="str" cm="1">
        <f t="array" aca="1" ref="M37" ca="1">IF($Q37="","",INDIRECT($Q37))</f>
        <v/>
      </c>
      <c r="N37" s="9" t="str">
        <f t="shared" ca="1" si="13"/>
        <v>L</v>
      </c>
      <c r="O37" s="9" t="str">
        <f t="shared" ca="1" si="14"/>
        <v>QI5</v>
      </c>
    </row>
    <row r="38" spans="1:17" ht="67.5" x14ac:dyDescent="0.25">
      <c r="A38" s="108" t="str" cm="1">
        <f t="array" aca="1" ref="A38" ca="1">IF($Q38="","",_xlfn.LET(
_xlpm._fullName,IF($R38="",SUBSTITUTE(SUBSTITUTE(INDIRECT($Q38),CHAR(10)," "),"  "," "),$R38),
_xlpm._truncatedName,IF(LEN(_xlpm._fullName)&gt;250,LEFT(_xlpm._fullName,250)&amp;"[…]",_xlpm._fullName),
HYPERLINK("#'"&amp;$I38&amp;"'!"&amp;$J38&amp;$K38,
_xlpm._truncatedName)))</f>
        <v/>
      </c>
      <c r="B38" s="106" t="str" cm="1">
        <f t="array" aca="1" ref="B38" ca="1">IF($A38="","",SimpleLookup($A38,Questions!$A:$B))</f>
        <v/>
      </c>
      <c r="C38" s="107"/>
      <c r="D38" s="110"/>
      <c r="E38" s="106" t="str" cm="1">
        <f t="array" aca="1" ref="E38" ca="1">_xlfn.LET(
_xlpm._options,IF($O38="","",SimpleLookup($O38,Questions!$A:$H)),
_xlpm._followUpStart,FIND($C38&amp;":",_xlpm._options)+LEN($C38&amp;":"),
_xlpm._followUpEnd,FIND(CHAR(10),_xlpm._options&amp;CHAR(10),_xlpm._followUpStart),
IF($C38="","",TRIM(MID(_xlpm._options,_xlpm._followUpStart,_xlpm._followUpEnd-_xlpm._followUpStart))))</f>
        <v/>
      </c>
      <c r="F38" s="107" t="str">
        <f>Definitions!$H$22</f>
        <v>Critical disturbance (destruction)</v>
      </c>
      <c r="G38" s="113" t="s">
        <v>1588</v>
      </c>
      <c r="H38" s="113" cm="1">
        <f t="array" aca="1" ref="H38" ca="1">CreateID($H$2,$A38&lt;&gt;"")</f>
        <v>5</v>
      </c>
      <c r="I38" s="9" t="str">
        <f t="shared" si="10"/>
        <v/>
      </c>
      <c r="J38" s="9" t="str">
        <f t="shared" si="11"/>
        <v/>
      </c>
      <c r="K38" s="9" t="str">
        <f t="shared" si="12"/>
        <v/>
      </c>
      <c r="L38" s="9" cm="1">
        <f t="array" aca="1" ref="L38" ca="1">CreateID($L$2,$I38&lt;&gt;INDEX($I:$I,ROW()-1))</f>
        <v>10</v>
      </c>
      <c r="M38" s="9" t="str" cm="1">
        <f t="array" aca="1" ref="M38" ca="1">IF($Q38="","",INDIRECT($Q38))</f>
        <v/>
      </c>
      <c r="N38" s="9" t="str">
        <f t="shared" ca="1" si="13"/>
        <v>L</v>
      </c>
      <c r="O38" s="9" t="str">
        <f t="shared" ca="1" si="14"/>
        <v>QI5</v>
      </c>
    </row>
    <row r="39" spans="1:17" ht="67.5" x14ac:dyDescent="0.25">
      <c r="A39" s="108" t="str" cm="1">
        <f t="array" aca="1" ref="A39" ca="1">IF($Q39="","",_xlfn.LET(
_xlpm._fullName,IF($R39="",SUBSTITUTE(SUBSTITUTE(INDIRECT($Q39),CHAR(10)," "),"  "," "),$R39),
_xlpm._truncatedName,IF(LEN(_xlpm._fullName)&gt;250,LEFT(_xlpm._fullName,250)&amp;"[…]",_xlpm._fullName),
HYPERLINK("#'"&amp;$I39&amp;"'!"&amp;$J39&amp;$K39,
_xlpm._truncatedName)))</f>
        <v/>
      </c>
      <c r="B39" s="106" t="str" cm="1">
        <f t="array" aca="1" ref="B39" ca="1">IF($A39="","",SimpleLookup($A39,Questions!$A:$B))</f>
        <v/>
      </c>
      <c r="C39" s="107"/>
      <c r="D39" s="110"/>
      <c r="E39" s="106" t="str" cm="1">
        <f t="array" aca="1" ref="E39" ca="1">_xlfn.LET(
_xlpm._options,IF($O39="","",SimpleLookup($O39,Questions!$A:$H)),
_xlpm._followUpStart,FIND($C39&amp;":",_xlpm._options)+LEN($C39&amp;":"),
_xlpm._followUpEnd,FIND(CHAR(10),_xlpm._options&amp;CHAR(10),_xlpm._followUpStart),
IF($C39="","",TRIM(MID(_xlpm._options,_xlpm._followUpStart,_xlpm._followUpEnd-_xlpm._followUpStart))))</f>
        <v/>
      </c>
      <c r="F39" s="107" t="str">
        <f>Definitions!$H$23</f>
        <v>Critical environmental damage</v>
      </c>
      <c r="G39" s="113" t="s">
        <v>1589</v>
      </c>
      <c r="H39" s="113" cm="1">
        <f t="array" aca="1" ref="H39" ca="1">CreateID($H$2,$A39&lt;&gt;"")</f>
        <v>5</v>
      </c>
      <c r="I39" s="9" t="str">
        <f t="shared" si="10"/>
        <v/>
      </c>
      <c r="J39" s="9" t="str">
        <f t="shared" si="11"/>
        <v/>
      </c>
      <c r="K39" s="9" t="str">
        <f t="shared" si="12"/>
        <v/>
      </c>
      <c r="L39" s="9" cm="1">
        <f t="array" aca="1" ref="L39" ca="1">CreateID($L$2,$I39&lt;&gt;INDEX($I:$I,ROW()-1))</f>
        <v>10</v>
      </c>
      <c r="M39" s="9" t="str" cm="1">
        <f t="array" aca="1" ref="M39" ca="1">IF($Q39="","",INDIRECT($Q39))</f>
        <v/>
      </c>
      <c r="N39" s="9" t="str">
        <f t="shared" ca="1" si="13"/>
        <v>L</v>
      </c>
      <c r="O39" s="9" t="str">
        <f t="shared" ca="1" si="14"/>
        <v>QI5</v>
      </c>
    </row>
    <row r="40" spans="1:17" ht="67.5" x14ac:dyDescent="0.25">
      <c r="A40" s="108" t="str" cm="1">
        <f t="array" aca="1" ref="A40" ca="1">IF($Q40="","",_xlfn.LET(
_xlpm._fullName,IF($R40="",SUBSTITUTE(SUBSTITUTE(INDIRECT($Q40),CHAR(10)," "),"  "," "),$R40),
_xlpm._truncatedName,IF(LEN(_xlpm._fullName)&gt;250,LEFT(_xlpm._fullName,250)&amp;"[…]",_xlpm._fullName),
HYPERLINK("#'"&amp;$I40&amp;"'!"&amp;$J40&amp;$K40,
_xlpm._truncatedName)))</f>
        <v/>
      </c>
      <c r="B40" s="106" t="str" cm="1">
        <f t="array" aca="1" ref="B40" ca="1">IF($A40="","",SimpleLookup($A40,Questions!$A:$B))</f>
        <v/>
      </c>
      <c r="C40" s="107"/>
      <c r="D40" s="110"/>
      <c r="E40" s="106" t="str" cm="1">
        <f t="array" aca="1" ref="E40" ca="1">_xlfn.LET(
_xlpm._options,IF($O40="","",SimpleLookup($O40,Questions!$A:$H)),
_xlpm._followUpStart,FIND($C40&amp;":",_xlpm._options)+LEN($C40&amp;":"),
_xlpm._followUpEnd,FIND(CHAR(10),_xlpm._options&amp;CHAR(10),_xlpm._followUpStart),
IF($C40="","",TRIM(MID(_xlpm._options,_xlpm._followUpStart,_xlpm._followUpEnd-_xlpm._followUpStart))))</f>
        <v/>
      </c>
      <c r="F40" s="107">
        <f>Definitions!$H$24</f>
        <v>0</v>
      </c>
      <c r="G40" s="113" t="s">
        <v>1590</v>
      </c>
      <c r="H40" s="113" cm="1">
        <f t="array" aca="1" ref="H40" ca="1">CreateID($H$2,$A40&lt;&gt;"")</f>
        <v>5</v>
      </c>
      <c r="I40" s="9" t="str">
        <f t="shared" si="10"/>
        <v/>
      </c>
      <c r="J40" s="9" t="str">
        <f t="shared" si="11"/>
        <v/>
      </c>
      <c r="K40" s="9" t="str">
        <f t="shared" si="12"/>
        <v/>
      </c>
      <c r="L40" s="9" cm="1">
        <f t="array" aca="1" ref="L40" ca="1">CreateID($L$2,$I40&lt;&gt;INDEX($I:$I,ROW()-1))</f>
        <v>10</v>
      </c>
      <c r="M40" s="9" t="str" cm="1">
        <f t="array" aca="1" ref="M40" ca="1">IF($Q40="","",INDIRECT($Q40))</f>
        <v/>
      </c>
      <c r="N40" s="9" t="str">
        <f t="shared" ca="1" si="13"/>
        <v>L</v>
      </c>
      <c r="O40" s="9" t="str">
        <f t="shared" ca="1" si="14"/>
        <v>QI5</v>
      </c>
    </row>
    <row r="41" spans="1:17" ht="132" x14ac:dyDescent="0.25">
      <c r="A41" s="108" t="str" cm="1">
        <f t="array" aca="1" ref="A41" ca="1">IF($Q41="","",_xlfn.LET(
_xlpm._fullName,IF($R41="",SUBSTITUTE(SUBSTITUTE(INDIRECT($Q41),CHAR(10)," "),"  "," "),$R41),
_xlpm._truncatedName,IF(LEN(_xlpm._fullName)&gt;250,LEFT(_xlpm._fullName,250)&amp;"[…]",_xlpm._fullName),
HYPERLINK("#'"&amp;$I41&amp;"'!"&amp;$J41&amp;$K41,
_xlpm._truncatedName)))</f>
        <v/>
      </c>
      <c r="B41" s="106" t="str" cm="1">
        <f t="array" aca="1" ref="B41" ca="1">IF($A41="","",SimpleLookup($A41,Questions!$A:$B))</f>
        <v/>
      </c>
      <c r="C41" s="107" t="s">
        <v>10</v>
      </c>
      <c r="D41" s="110" t="s">
        <v>1591</v>
      </c>
      <c r="E41" s="106" t="str" cm="1">
        <f t="array" aca="1" ref="E41" ca="1">_xlfn.LET(
_xlpm._options,IF($O41="","",SimpleLookup($O41,Questions!$A:$H)),
_xlpm._followUpStart,FIND($C41&amp;":",_xlpm._options)+LEN($C41&amp;":"),
_xlpm._followUpEnd,FIND(CHAR(10),_xlpm._options&amp;CHAR(10),_xlpm._followUpStart),
IF($C41="","",TRIM(MID(_xlpm._options,_xlpm._followUpStart,_xlpm._followUpEnd-_xlpm._followUpStart))))</f>
        <v/>
      </c>
      <c r="F41" s="107"/>
      <c r="G41" s="113"/>
      <c r="H41" s="113" cm="1">
        <f t="array" aca="1" ref="H41" ca="1">CreateID($H$2,$A41&lt;&gt;"")</f>
        <v>5</v>
      </c>
      <c r="I41" s="9" t="str">
        <f t="shared" si="10"/>
        <v/>
      </c>
      <c r="J41" s="9" t="str">
        <f t="shared" si="11"/>
        <v/>
      </c>
      <c r="K41" s="9" t="str">
        <f t="shared" si="12"/>
        <v/>
      </c>
      <c r="L41" s="9" cm="1">
        <f t="array" aca="1" ref="L41" ca="1">CreateID($L$2,$I41&lt;&gt;INDEX($I:$I,ROW()-1))</f>
        <v>10</v>
      </c>
      <c r="M41" s="9" t="str" cm="1">
        <f t="array" aca="1" ref="M41" ca="1">IF($Q41="","",INDIRECT($Q41))</f>
        <v/>
      </c>
      <c r="N41" s="9" t="str">
        <f t="shared" ca="1" si="13"/>
        <v>L</v>
      </c>
      <c r="O41" s="9" t="str">
        <f t="shared" ca="1" si="14"/>
        <v>QI5</v>
      </c>
    </row>
    <row r="42" spans="1:17" ht="90" x14ac:dyDescent="0.25">
      <c r="A42" s="108" t="str" cm="1">
        <f t="array" aca="1" ref="A42" ca="1">IF($Q42="","",_xlfn.LET(
_xlpm._fullName,IF($R42="",SUBSTITUTE(SUBSTITUTE(INDIRECT($Q42),CHAR(10)," "),"  "," "),$R42),
_xlpm._truncatedName,IF(LEN(_xlpm._fullName)&gt;250,LEFT(_xlpm._fullName,250)&amp;"[…]",_xlpm._fullName),
HYPERLINK("#'"&amp;$I42&amp;"'!"&amp;$J42&amp;$K42,
_xlpm._truncatedName)))</f>
        <v>QI6</v>
      </c>
      <c r="B42" s="106" t="str" cm="1">
        <f t="array" aca="1" ref="B42" ca="1">IF($A42="","",SimpleLookup($A42,Questions!$A:$B))</f>
        <v>Can a loss of availability of the product (or its communication) endanger the health of people?
(Consider how the operational environment reacts to a loss of availability of the product.)</v>
      </c>
      <c r="C42" s="107" t="s">
        <v>9</v>
      </c>
      <c r="D42" s="110"/>
      <c r="E42" s="106" t="str" cm="1">
        <f t="array" aca="1" ref="E42" ca="1">_xlfn.LET(
_xlpm._options,IF($O42="","",SimpleLookup($O42,Questions!$A:$H)),
_xlpm._followUpStart,FIND($C42&amp;":",_xlpm._options)+LEN($C42&amp;":"),
_xlpm._followUpEnd,FIND(CHAR(10),_xlpm._options&amp;CHAR(10),_xlpm._followUpStart),
IF($C42="","",TRIM(MID(_xlpm._options,_xlpm._followUpStart,_xlpm._followUpEnd-_xlpm._followUpStart))))</f>
        <v>What is the worst case severity of the injury for the intended use of the product?</v>
      </c>
      <c r="F42" s="107"/>
      <c r="G42" s="113"/>
      <c r="H42" s="113" cm="1">
        <f t="array" aca="1" ref="H42" ca="1">CreateID($H$2,$A42&lt;&gt;"")</f>
        <v>6</v>
      </c>
      <c r="I42" s="9" t="str">
        <f t="shared" ca="1" si="10"/>
        <v>Questionnaire</v>
      </c>
      <c r="J42" s="9" t="str">
        <f t="shared" ca="1" si="11"/>
        <v>B</v>
      </c>
      <c r="K42" s="9" t="str">
        <f t="shared" ca="1" si="12"/>
        <v>15</v>
      </c>
      <c r="L42" s="9" cm="1">
        <f t="array" aca="1" ref="L42" ca="1">CreateID($L$2,$I42&lt;&gt;INDEX($I:$I,ROW()-1))</f>
        <v>11</v>
      </c>
      <c r="M42" s="9" t="str" cm="1">
        <f t="array" aca="1" ref="M42" ca="1">IF($Q42="","",INDIRECT($Q42))</f>
        <v>QI6</v>
      </c>
      <c r="N42" s="9" t="str">
        <f t="shared" ca="1" si="13"/>
        <v>D</v>
      </c>
      <c r="O42" s="9" t="str">
        <f t="shared" ca="1" si="14"/>
        <v>QI6</v>
      </c>
      <c r="Q42" s="2" t="str" cm="1">
        <f t="array" aca="1" ref="Q42" ca="1">CELL("address",Questionnaire!$B$15)</f>
        <v>'[QuBA-libre.xlsx]Questionnaire'!$B$15</v>
      </c>
    </row>
    <row r="43" spans="1:17" x14ac:dyDescent="0.25">
      <c r="A43" s="108" t="str" cm="1">
        <f t="array" aca="1" ref="A43" ca="1">IF($Q43="","",_xlfn.LET(
_xlpm._fullName,IF($R43="",SUBSTITUTE(SUBSTITUTE(INDIRECT($Q43),CHAR(10)," "),"  "," "),$R43),
_xlpm._truncatedName,IF(LEN(_xlpm._fullName)&gt;250,LEFT(_xlpm._fullName,250)&amp;"[…]",_xlpm._fullName),
HYPERLINK("#'"&amp;$I43&amp;"'!"&amp;$J43&amp;$K43,
_xlpm._truncatedName)))</f>
        <v/>
      </c>
      <c r="B43" s="106" t="str" cm="1">
        <f t="array" aca="1" ref="B43" ca="1">IF($A43="","",SimpleLookup($A43,Questions!$A:$B))</f>
        <v/>
      </c>
      <c r="C43" s="107" t="s">
        <v>10</v>
      </c>
      <c r="D43" s="110"/>
      <c r="E43" s="106" t="str" cm="1">
        <f t="array" aca="1" ref="E43" ca="1">_xlfn.LET(
_xlpm._options,IF($O43="","",SimpleLookup($O43,Questions!$A:$H)),
_xlpm._followUpStart,FIND($C43&amp;":",_xlpm._options)+LEN($C43&amp;":"),
_xlpm._followUpEnd,FIND(CHAR(10),_xlpm._options&amp;CHAR(10),_xlpm._followUpStart),
IF($C43="","",TRIM(MID(_xlpm._options,_xlpm._followUpStart,_xlpm._followUpEnd-_xlpm._followUpStart))))</f>
        <v>Is the product a safety product?</v>
      </c>
      <c r="F43" s="107"/>
      <c r="G43" s="113"/>
      <c r="H43" s="113" cm="1">
        <f t="array" aca="1" ref="H43" ca="1">CreateID($H$2,$A43&lt;&gt;"")</f>
        <v>6</v>
      </c>
      <c r="I43" s="9" t="str">
        <f t="shared" si="10"/>
        <v/>
      </c>
      <c r="J43" s="9" t="str">
        <f t="shared" si="11"/>
        <v/>
      </c>
      <c r="K43" s="9" t="str">
        <f t="shared" si="12"/>
        <v/>
      </c>
      <c r="L43" s="9" cm="1">
        <f t="array" aca="1" ref="L43" ca="1">CreateID($L$2,$I43&lt;&gt;INDEX($I:$I,ROW()-1))</f>
        <v>12</v>
      </c>
      <c r="M43" s="9" t="str" cm="1">
        <f t="array" aca="1" ref="M43" ca="1">IF($Q43="","",INDIRECT($Q43))</f>
        <v/>
      </c>
      <c r="N43" s="9" t="str">
        <f t="shared" ca="1" si="13"/>
        <v>D</v>
      </c>
      <c r="O43" s="9" t="str">
        <f t="shared" ca="1" si="14"/>
        <v>QI6</v>
      </c>
    </row>
    <row r="44" spans="1:17" ht="36" x14ac:dyDescent="0.25">
      <c r="A44" s="108" t="str" cm="1">
        <f t="array" aca="1" ref="A44" ca="1">IF($Q44="","",_xlfn.LET(
_xlpm._fullName,IF($R44="",SUBSTITUTE(SUBSTITUTE(INDIRECT($Q44),CHAR(10)," "),"  "," "),$R44),
_xlpm._truncatedName,IF(LEN(_xlpm._fullName)&gt;250,LEFT(_xlpm._fullName,250)&amp;"[…]",_xlpm._fullName),
HYPERLINK("#'"&amp;$I44&amp;"'!"&amp;$J44&amp;$K44,
_xlpm._truncatedName)))</f>
        <v>QI7</v>
      </c>
      <c r="B44" s="106" t="str" cm="1">
        <f t="array" aca="1" ref="B44" ca="1">IF($A44="","",SimpleLookup($A44,Questions!$A:$B))</f>
        <v>Is the availability of the product relevant for its operational environment?</v>
      </c>
      <c r="C44" s="107"/>
      <c r="D44" s="110" t="s">
        <v>1592</v>
      </c>
      <c r="E44" s="106" t="str" cm="1">
        <f t="array" aca="1" ref="E44" ca="1">_xlfn.LET(
_xlpm._options,IF($O44="","",SimpleLookup($O44,Questions!$A:$H)),
_xlpm._followUpStart,FIND($C44&amp;":",_xlpm._options)+LEN($C44&amp;":"),
_xlpm._followUpEnd,FIND(CHAR(10),_xlpm._options&amp;CHAR(10),_xlpm._followUpStart),
IF($C44="","",TRIM(MID(_xlpm._options,_xlpm._followUpStart,_xlpm._followUpEnd-_xlpm._followUpStart))))</f>
        <v/>
      </c>
      <c r="F44" s="107"/>
      <c r="G44" s="113"/>
      <c r="H44" s="113" cm="1">
        <f t="array" aca="1" ref="H44" ca="1">CreateID($H$2,$A44&lt;&gt;"")</f>
        <v>7</v>
      </c>
      <c r="I44" s="9" t="str">
        <f t="shared" ca="1" si="10"/>
        <v>Questionnaire</v>
      </c>
      <c r="J44" s="9" t="str">
        <f t="shared" ca="1" si="11"/>
        <v>B</v>
      </c>
      <c r="K44" s="9" t="str">
        <f t="shared" ca="1" si="12"/>
        <v>17</v>
      </c>
      <c r="L44" s="9" cm="1">
        <f t="array" aca="1" ref="L44" ca="1">CreateID($L$2,$I44&lt;&gt;INDEX($I:$I,ROW()-1))</f>
        <v>13</v>
      </c>
      <c r="M44" s="9" t="str" cm="1">
        <f t="array" aca="1" ref="M44" ca="1">IF($Q44="","",INDIRECT($Q44))</f>
        <v>QI7</v>
      </c>
      <c r="N44" s="9" t="str">
        <f t="shared" ca="1" si="13"/>
        <v>L</v>
      </c>
      <c r="O44" s="9" t="str">
        <f t="shared" ca="1" si="14"/>
        <v>QI7</v>
      </c>
      <c r="Q44" s="2" t="str" cm="1">
        <f t="array" aca="1" ref="Q44" ca="1">CELL("address",Questionnaire!$B$17)</f>
        <v>'[QuBA-libre.xlsx]Questionnaire'!$B$17</v>
      </c>
    </row>
    <row r="45" spans="1:17" ht="180" x14ac:dyDescent="0.25">
      <c r="A45" s="108" t="str" cm="1">
        <f t="array" aca="1" ref="A45" ca="1">IF($Q45="","",_xlfn.LET(
_xlpm._fullName,IF($R45="",SUBSTITUTE(SUBSTITUTE(INDIRECT($Q45),CHAR(10)," "),"  "," "),$R45),
_xlpm._truncatedName,IF(LEN(_xlpm._fullName)&gt;250,LEFT(_xlpm._fullName,250)&amp;"[…]",_xlpm._fullName),
HYPERLINK("#'"&amp;$I45&amp;"'!"&amp;$J45&amp;$K45,
_xlpm._truncatedName)))</f>
        <v/>
      </c>
      <c r="B45" s="106" t="str" cm="1">
        <f t="array" aca="1" ref="B45" ca="1">IF($A45="","",SimpleLookup($A45,Questions!$A:$B))</f>
        <v/>
      </c>
      <c r="C45" s="107" t="s">
        <v>9</v>
      </c>
      <c r="D45" s="110" t="s">
        <v>1593</v>
      </c>
      <c r="E45" s="106" t="str" cm="1">
        <f t="array" aca="1" ref="E45" ca="1">_xlfn.LET(
_xlpm._options,IF($O45="","",SimpleLookup($O45,Questions!$A:$H)),
_xlpm._followUpStart,FIND($C45&amp;":",_xlpm._options)+LEN($C45&amp;":"),
_xlpm._followUpEnd,FIND(CHAR(10),_xlpm._options&amp;CHAR(10),_xlpm._followUpStart),
IF($C45="","",TRIM(MID(_xlpm._options,_xlpm._followUpStart,_xlpm._followUpEnd-_xlpm._followUpStart))))</f>
        <v>What is the worst case effect on the operational environment for the intended use of the product?</v>
      </c>
      <c r="F45" s="107"/>
      <c r="G45" s="113" t="s">
        <v>1594</v>
      </c>
      <c r="H45" s="113" cm="1">
        <f t="array" aca="1" ref="H45" ca="1">CreateID($H$2,$A45&lt;&gt;"")</f>
        <v>7</v>
      </c>
      <c r="I45" s="9" t="str">
        <f t="shared" si="10"/>
        <v/>
      </c>
      <c r="J45" s="9" t="str">
        <f t="shared" si="11"/>
        <v/>
      </c>
      <c r="K45" s="9" t="str">
        <f t="shared" si="12"/>
        <v/>
      </c>
      <c r="L45" s="9" cm="1">
        <f t="array" aca="1" ref="L45" ca="1">CreateID($L$2,$I45&lt;&gt;INDEX($I:$I,ROW()-1))</f>
        <v>14</v>
      </c>
      <c r="M45" s="9" t="str" cm="1">
        <f t="array" aca="1" ref="M45" ca="1">IF($Q45="","",INDIRECT($Q45))</f>
        <v/>
      </c>
      <c r="N45" s="9" t="str">
        <f t="shared" ca="1" si="13"/>
        <v>L</v>
      </c>
      <c r="O45" s="9" t="str">
        <f t="shared" ca="1" si="14"/>
        <v>QI7</v>
      </c>
    </row>
    <row r="46" spans="1:17" ht="90" x14ac:dyDescent="0.25">
      <c r="A46" s="108" t="str" cm="1">
        <f t="array" aca="1" ref="A46" ca="1">IF($Q46="","",_xlfn.LET(
_xlpm._fullName,IF($R46="",SUBSTITUTE(SUBSTITUTE(INDIRECT($Q46),CHAR(10)," "),"  "," "),$R46),
_xlpm._truncatedName,IF(LEN(_xlpm._fullName)&gt;250,LEFT(_xlpm._fullName,250)&amp;"[…]",_xlpm._fullName),
HYPERLINK("#'"&amp;$I46&amp;"'!"&amp;$J46&amp;$K46,
_xlpm._truncatedName)))</f>
        <v/>
      </c>
      <c r="B46" s="106" t="str" cm="1">
        <f t="array" aca="1" ref="B46" ca="1">IF($A46="","",SimpleLookup($A46,Questions!$A:$B))</f>
        <v/>
      </c>
      <c r="C46" s="107"/>
      <c r="D46" s="110"/>
      <c r="E46" s="106" t="str" cm="1">
        <f t="array" aca="1" ref="E46" ca="1">_xlfn.LET(
_xlpm._options,IF($O46="","",SimpleLookup($O46,Questions!$A:$H)),
_xlpm._followUpStart,FIND($C46&amp;":",_xlpm._options)+LEN($C46&amp;":"),
_xlpm._followUpEnd,FIND(CHAR(10),_xlpm._options&amp;CHAR(10),_xlpm._followUpStart),
IF($C46="","",TRIM(MID(_xlpm._options,_xlpm._followUpStart,_xlpm._followUpEnd-_xlpm._followUpStart))))</f>
        <v/>
      </c>
      <c r="F46" s="107" t="str">
        <f>Definitions!$H$19</f>
        <v>Service required</v>
      </c>
      <c r="G46" s="113" t="s">
        <v>1585</v>
      </c>
      <c r="H46" s="113" cm="1">
        <f t="array" aca="1" ref="H46" ca="1">CreateID($H$2,$A46&lt;&gt;"")</f>
        <v>7</v>
      </c>
      <c r="I46" s="9" t="str">
        <f t="shared" si="10"/>
        <v/>
      </c>
      <c r="J46" s="9" t="str">
        <f t="shared" si="11"/>
        <v/>
      </c>
      <c r="K46" s="9" t="str">
        <f t="shared" si="12"/>
        <v/>
      </c>
      <c r="L46" s="9" cm="1">
        <f t="array" aca="1" ref="L46" ca="1">CreateID($L$2,$I46&lt;&gt;INDEX($I:$I,ROW()-1))</f>
        <v>14</v>
      </c>
      <c r="M46" s="9" t="str" cm="1">
        <f t="array" aca="1" ref="M46" ca="1">IF($Q46="","",INDIRECT($Q46))</f>
        <v/>
      </c>
      <c r="N46" s="9" t="str">
        <f t="shared" ca="1" si="13"/>
        <v>L</v>
      </c>
      <c r="O46" s="9" t="str">
        <f t="shared" ca="1" si="14"/>
        <v>QI7</v>
      </c>
    </row>
    <row r="47" spans="1:17" ht="67.5" x14ac:dyDescent="0.25">
      <c r="A47" s="108" t="str" cm="1">
        <f t="array" aca="1" ref="A47" ca="1">IF($Q47="","",_xlfn.LET(
_xlpm._fullName,IF($R47="",SUBSTITUTE(SUBSTITUTE(INDIRECT($Q47),CHAR(10)," "),"  "," "),$R47),
_xlpm._truncatedName,IF(LEN(_xlpm._fullName)&gt;250,LEFT(_xlpm._fullName,250)&amp;"[…]",_xlpm._fullName),
HYPERLINK("#'"&amp;$I47&amp;"'!"&amp;$J47&amp;$K47,
_xlpm._truncatedName)))</f>
        <v/>
      </c>
      <c r="B47" s="106" t="str" cm="1">
        <f t="array" aca="1" ref="B47" ca="1">IF($A47="","",SimpleLookup($A47,Questions!$A:$B))</f>
        <v/>
      </c>
      <c r="C47" s="107"/>
      <c r="D47" s="110"/>
      <c r="E47" s="106" t="str" cm="1">
        <f t="array" aca="1" ref="E47" ca="1">_xlfn.LET(
_xlpm._options,IF($O47="","",SimpleLookup($O47,Questions!$A:$H)),
_xlpm._followUpStart,FIND($C47&amp;":",_xlpm._options)+LEN($C47&amp;":"),
_xlpm._followUpEnd,FIND(CHAR(10),_xlpm._options&amp;CHAR(10),_xlpm._followUpStart),
IF($C47="","",TRIM(MID(_xlpm._options,_xlpm._followUpStart,_xlpm._followUpEnd-_xlpm._followUpStart))))</f>
        <v/>
      </c>
      <c r="F47" s="107" t="str">
        <f>Definitions!$H$20</f>
        <v>Major disturbance</v>
      </c>
      <c r="G47" s="113" t="s">
        <v>1586</v>
      </c>
      <c r="H47" s="113" cm="1">
        <f t="array" aca="1" ref="H47" ca="1">CreateID($H$2,$A47&lt;&gt;"")</f>
        <v>7</v>
      </c>
      <c r="I47" s="9" t="str">
        <f t="shared" si="10"/>
        <v/>
      </c>
      <c r="J47" s="9" t="str">
        <f t="shared" si="11"/>
        <v/>
      </c>
      <c r="K47" s="9" t="str">
        <f t="shared" si="12"/>
        <v/>
      </c>
      <c r="L47" s="9" cm="1">
        <f t="array" aca="1" ref="L47" ca="1">CreateID($L$2,$I47&lt;&gt;INDEX($I:$I,ROW()-1))</f>
        <v>14</v>
      </c>
      <c r="M47" s="9" t="str" cm="1">
        <f t="array" aca="1" ref="M47" ca="1">IF($Q47="","",INDIRECT($Q47))</f>
        <v/>
      </c>
      <c r="N47" s="9" t="str">
        <f t="shared" ca="1" si="13"/>
        <v>L</v>
      </c>
      <c r="O47" s="9" t="str">
        <f t="shared" ca="1" si="14"/>
        <v>QI7</v>
      </c>
    </row>
    <row r="48" spans="1:17" ht="67.5" x14ac:dyDescent="0.25">
      <c r="A48" s="108" t="str" cm="1">
        <f t="array" aca="1" ref="A48" ca="1">IF($Q48="","",_xlfn.LET(
_xlpm._fullName,IF($R48="",SUBSTITUTE(SUBSTITUTE(INDIRECT($Q48),CHAR(10)," "),"  "," "),$R48),
_xlpm._truncatedName,IF(LEN(_xlpm._fullName)&gt;250,LEFT(_xlpm._fullName,250)&amp;"[…]",_xlpm._fullName),
HYPERLINK("#'"&amp;$I48&amp;"'!"&amp;$J48&amp;$K48,
_xlpm._truncatedName)))</f>
        <v/>
      </c>
      <c r="B48" s="106" t="str" cm="1">
        <f t="array" aca="1" ref="B48" ca="1">IF($A48="","",SimpleLookup($A48,Questions!$A:$B))</f>
        <v/>
      </c>
      <c r="C48" s="107"/>
      <c r="D48" s="110"/>
      <c r="E48" s="106" t="str" cm="1">
        <f t="array" aca="1" ref="E48" ca="1">_xlfn.LET(
_xlpm._options,IF($O48="","",SimpleLookup($O48,Questions!$A:$H)),
_xlpm._followUpStart,FIND($C48&amp;":",_xlpm._options)+LEN($C48&amp;":"),
_xlpm._followUpEnd,FIND(CHAR(10),_xlpm._options&amp;CHAR(10),_xlpm._followUpStart),
IF($C48="","",TRIM(MID(_xlpm._options,_xlpm._followUpStart,_xlpm._followUpEnd-_xlpm._followUpStart))))</f>
        <v/>
      </c>
      <c r="F48" s="107" t="str">
        <f>Definitions!$H$21</f>
        <v>Environmental damage</v>
      </c>
      <c r="G48" s="113" t="s">
        <v>1587</v>
      </c>
      <c r="H48" s="113" cm="1">
        <f t="array" aca="1" ref="H48" ca="1">CreateID($H$2,$A48&lt;&gt;"")</f>
        <v>7</v>
      </c>
      <c r="I48" s="9" t="str">
        <f t="shared" si="10"/>
        <v/>
      </c>
      <c r="J48" s="9" t="str">
        <f t="shared" si="11"/>
        <v/>
      </c>
      <c r="K48" s="9" t="str">
        <f t="shared" si="12"/>
        <v/>
      </c>
      <c r="L48" s="9" cm="1">
        <f t="array" aca="1" ref="L48" ca="1">CreateID($L$2,$I48&lt;&gt;INDEX($I:$I,ROW()-1))</f>
        <v>14</v>
      </c>
      <c r="M48" s="9" t="str" cm="1">
        <f t="array" aca="1" ref="M48" ca="1">IF($Q48="","",INDIRECT($Q48))</f>
        <v/>
      </c>
      <c r="N48" s="9" t="str">
        <f t="shared" ca="1" si="13"/>
        <v>L</v>
      </c>
      <c r="O48" s="9" t="str">
        <f t="shared" ca="1" si="14"/>
        <v>QI7</v>
      </c>
    </row>
    <row r="49" spans="1:17" ht="67.5" x14ac:dyDescent="0.25">
      <c r="A49" s="108" t="str" cm="1">
        <f t="array" aca="1" ref="A49" ca="1">IF($Q49="","",_xlfn.LET(
_xlpm._fullName,IF($R49="",SUBSTITUTE(SUBSTITUTE(INDIRECT($Q49),CHAR(10)," "),"  "," "),$R49),
_xlpm._truncatedName,IF(LEN(_xlpm._fullName)&gt;250,LEFT(_xlpm._fullName,250)&amp;"[…]",_xlpm._fullName),
HYPERLINK("#'"&amp;$I49&amp;"'!"&amp;$J49&amp;$K49,
_xlpm._truncatedName)))</f>
        <v/>
      </c>
      <c r="B49" s="106" t="str" cm="1">
        <f t="array" aca="1" ref="B49" ca="1">IF($A49="","",SimpleLookup($A49,Questions!$A:$B))</f>
        <v/>
      </c>
      <c r="C49" s="107"/>
      <c r="D49" s="110"/>
      <c r="E49" s="106" t="str" cm="1">
        <f t="array" aca="1" ref="E49" ca="1">_xlfn.LET(
_xlpm._options,IF($O49="","",SimpleLookup($O49,Questions!$A:$H)),
_xlpm._followUpStart,FIND($C49&amp;":",_xlpm._options)+LEN($C49&amp;":"),
_xlpm._followUpEnd,FIND(CHAR(10),_xlpm._options&amp;CHAR(10),_xlpm._followUpStart),
IF($C49="","",TRIM(MID(_xlpm._options,_xlpm._followUpStart,_xlpm._followUpEnd-_xlpm._followUpStart))))</f>
        <v/>
      </c>
      <c r="F49" s="107" t="str">
        <f>Definitions!$H$22</f>
        <v>Critical disturbance (destruction)</v>
      </c>
      <c r="G49" s="113" t="s">
        <v>1588</v>
      </c>
      <c r="H49" s="113" cm="1">
        <f t="array" aca="1" ref="H49" ca="1">CreateID($H$2,$A49&lt;&gt;"")</f>
        <v>7</v>
      </c>
      <c r="I49" s="9" t="str">
        <f t="shared" ref="I49:I81" si="15">IF($Q49="","",_xlfn.LET(
_xlpm._in,$Q49,
_xlpm._start,FIND("]",_xlpm._in)+1,
SUBSTITUTE(MID(_xlpm._in,_xlpm._start,FIND("!",_xlpm._in)-_xlpm._start),"'","")))</f>
        <v/>
      </c>
      <c r="J49" s="9" t="str">
        <f t="shared" ref="J49:J81" si="16">IF($Q49="","",_xlfn.LET(
_xlpm._in,SUBSTITUTE($Q49,"$","§",1),
_xlpm._start,FIND("§",_xlpm._in)+1,
SUBSTITUTE(MID(_xlpm._in,_xlpm._start,FIND("$",_xlpm._in)-_xlpm._start),"'","")))</f>
        <v/>
      </c>
      <c r="K49" s="9" t="str">
        <f t="shared" ref="K49:K81" si="17">IF($Q49="","",RIGHT($Q49,LEN($Q49)-FIND("$",SUBSTITUTE($Q49,"$","§",1))))</f>
        <v/>
      </c>
      <c r="L49" s="9" cm="1">
        <f t="array" aca="1" ref="L49" ca="1">CreateID($L$2,$I49&lt;&gt;INDEX($I:$I,ROW()-1))</f>
        <v>14</v>
      </c>
      <c r="M49" s="9" t="str" cm="1">
        <f t="array" aca="1" ref="M49" ca="1">IF($Q49="","",INDIRECT($Q49))</f>
        <v/>
      </c>
      <c r="N49" s="9" t="str">
        <f t="shared" ref="N49:N81" ca="1" si="18">IF(MOD($H49,2)=0,"D","L")</f>
        <v>L</v>
      </c>
      <c r="O49" s="9" t="str">
        <f t="shared" ref="O49:O81" ca="1" si="19">IF($A49="",OFFSET($O49,-1,0),$A49)</f>
        <v>QI7</v>
      </c>
    </row>
    <row r="50" spans="1:17" ht="67.5" x14ac:dyDescent="0.25">
      <c r="A50" s="108" t="str" cm="1">
        <f t="array" aca="1" ref="A50" ca="1">IF($Q50="","",_xlfn.LET(
_xlpm._fullName,IF($R50="",SUBSTITUTE(SUBSTITUTE(INDIRECT($Q50),CHAR(10)," "),"  "," "),$R50),
_xlpm._truncatedName,IF(LEN(_xlpm._fullName)&gt;250,LEFT(_xlpm._fullName,250)&amp;"[…]",_xlpm._fullName),
HYPERLINK("#'"&amp;$I50&amp;"'!"&amp;$J50&amp;$K50,
_xlpm._truncatedName)))</f>
        <v/>
      </c>
      <c r="B50" s="106" t="str" cm="1">
        <f t="array" aca="1" ref="B50" ca="1">IF($A50="","",SimpleLookup($A50,Questions!$A:$B))</f>
        <v/>
      </c>
      <c r="C50" s="107"/>
      <c r="D50" s="110"/>
      <c r="E50" s="106" t="str" cm="1">
        <f t="array" aca="1" ref="E50" ca="1">_xlfn.LET(
_xlpm._options,IF($O50="","",SimpleLookup($O50,Questions!$A:$H)),
_xlpm._followUpStart,FIND($C50&amp;":",_xlpm._options)+LEN($C50&amp;":"),
_xlpm._followUpEnd,FIND(CHAR(10),_xlpm._options&amp;CHAR(10),_xlpm._followUpStart),
IF($C50="","",TRIM(MID(_xlpm._options,_xlpm._followUpStart,_xlpm._followUpEnd-_xlpm._followUpStart))))</f>
        <v/>
      </c>
      <c r="F50" s="107" t="str">
        <f>Definitions!$H$23</f>
        <v>Critical environmental damage</v>
      </c>
      <c r="G50" s="113" t="s">
        <v>1589</v>
      </c>
      <c r="H50" s="113" cm="1">
        <f t="array" aca="1" ref="H50" ca="1">CreateID($H$2,$A50&lt;&gt;"")</f>
        <v>7</v>
      </c>
      <c r="I50" s="9" t="str">
        <f t="shared" si="15"/>
        <v/>
      </c>
      <c r="J50" s="9" t="str">
        <f t="shared" si="16"/>
        <v/>
      </c>
      <c r="K50" s="9" t="str">
        <f t="shared" si="17"/>
        <v/>
      </c>
      <c r="L50" s="9" cm="1">
        <f t="array" aca="1" ref="L50" ca="1">CreateID($L$2,$I50&lt;&gt;INDEX($I:$I,ROW()-1))</f>
        <v>14</v>
      </c>
      <c r="M50" s="9" t="str" cm="1">
        <f t="array" aca="1" ref="M50" ca="1">IF($Q50="","",INDIRECT($Q50))</f>
        <v/>
      </c>
      <c r="N50" s="9" t="str">
        <f t="shared" ca="1" si="18"/>
        <v>L</v>
      </c>
      <c r="O50" s="9" t="str">
        <f t="shared" ca="1" si="19"/>
        <v>QI7</v>
      </c>
    </row>
    <row r="51" spans="1:17" ht="67.5" x14ac:dyDescent="0.25">
      <c r="A51" s="108" t="str" cm="1">
        <f t="array" aca="1" ref="A51" ca="1">IF($Q51="","",_xlfn.LET(
_xlpm._fullName,IF($R51="",SUBSTITUTE(SUBSTITUTE(INDIRECT($Q51),CHAR(10)," "),"  "," "),$R51),
_xlpm._truncatedName,IF(LEN(_xlpm._fullName)&gt;250,LEFT(_xlpm._fullName,250)&amp;"[…]",_xlpm._fullName),
HYPERLINK("#'"&amp;$I51&amp;"'!"&amp;$J51&amp;$K51,
_xlpm._truncatedName)))</f>
        <v/>
      </c>
      <c r="B51" s="106" t="str" cm="1">
        <f t="array" aca="1" ref="B51" ca="1">IF($A51="","",SimpleLookup($A51,Questions!$A:$B))</f>
        <v/>
      </c>
      <c r="C51" s="107"/>
      <c r="D51" s="110"/>
      <c r="E51" s="106" t="str" cm="1">
        <f t="array" aca="1" ref="E51" ca="1">_xlfn.LET(
_xlpm._options,IF($O51="","",SimpleLookup($O51,Questions!$A:$H)),
_xlpm._followUpStart,FIND($C51&amp;":",_xlpm._options)+LEN($C51&amp;":"),
_xlpm._followUpEnd,FIND(CHAR(10),_xlpm._options&amp;CHAR(10),_xlpm._followUpStart),
IF($C51="","",TRIM(MID(_xlpm._options,_xlpm._followUpStart,_xlpm._followUpEnd-_xlpm._followUpStart))))</f>
        <v/>
      </c>
      <c r="F51" s="107">
        <f>Definitions!$H$24</f>
        <v>0</v>
      </c>
      <c r="G51" s="113" t="s">
        <v>1590</v>
      </c>
      <c r="H51" s="113" cm="1">
        <f t="array" aca="1" ref="H51" ca="1">CreateID($H$2,$A51&lt;&gt;"")</f>
        <v>7</v>
      </c>
      <c r="I51" s="9" t="str">
        <f t="shared" si="15"/>
        <v/>
      </c>
      <c r="J51" s="9" t="str">
        <f t="shared" si="16"/>
        <v/>
      </c>
      <c r="K51" s="9" t="str">
        <f t="shared" si="17"/>
        <v/>
      </c>
      <c r="L51" s="9" cm="1">
        <f t="array" aca="1" ref="L51" ca="1">CreateID($L$2,$I51&lt;&gt;INDEX($I:$I,ROW()-1))</f>
        <v>14</v>
      </c>
      <c r="M51" s="9" t="str" cm="1">
        <f t="array" aca="1" ref="M51" ca="1">IF($Q51="","",INDIRECT($Q51))</f>
        <v/>
      </c>
      <c r="N51" s="9" t="str">
        <f t="shared" ca="1" si="18"/>
        <v>L</v>
      </c>
      <c r="O51" s="9" t="str">
        <f t="shared" ca="1" si="19"/>
        <v>QI7</v>
      </c>
    </row>
    <row r="52" spans="1:17" ht="156" x14ac:dyDescent="0.25">
      <c r="A52" s="108" t="str" cm="1">
        <f t="array" aca="1" ref="A52" ca="1">IF($Q52="","",_xlfn.LET(
_xlpm._fullName,IF($R52="",SUBSTITUTE(SUBSTITUTE(INDIRECT($Q52),CHAR(10)," "),"  "," "),$R52),
_xlpm._truncatedName,IF(LEN(_xlpm._fullName)&gt;250,LEFT(_xlpm._fullName,250)&amp;"[…]",_xlpm._fullName),
HYPERLINK("#'"&amp;$I52&amp;"'!"&amp;$J52&amp;$K52,
_xlpm._truncatedName)))</f>
        <v/>
      </c>
      <c r="B52" s="106" t="str" cm="1">
        <f t="array" aca="1" ref="B52" ca="1">IF($A52="","",SimpleLookup($A52,Questions!$A:$B))</f>
        <v/>
      </c>
      <c r="C52" s="107" t="s">
        <v>10</v>
      </c>
      <c r="D52" s="110" t="s">
        <v>1595</v>
      </c>
      <c r="E52" s="106" t="str" cm="1">
        <f t="array" aca="1" ref="E52" ca="1">_xlfn.LET(
_xlpm._options,IF($O52="","",SimpleLookup($O52,Questions!$A:$H)),
_xlpm._followUpStart,FIND($C52&amp;":",_xlpm._options)+LEN($C52&amp;":"),
_xlpm._followUpEnd,FIND(CHAR(10),_xlpm._options&amp;CHAR(10),_xlpm._followUpStart),
IF($C52="","",TRIM(MID(_xlpm._options,_xlpm._followUpStart,_xlpm._followUpEnd-_xlpm._followUpStart))))</f>
        <v/>
      </c>
      <c r="F52" s="107"/>
      <c r="G52" s="113"/>
      <c r="H52" s="113" cm="1">
        <f t="array" aca="1" ref="H52" ca="1">CreateID($H$2,$A52&lt;&gt;"")</f>
        <v>7</v>
      </c>
      <c r="I52" s="9" t="str">
        <f t="shared" si="15"/>
        <v/>
      </c>
      <c r="J52" s="9" t="str">
        <f t="shared" si="16"/>
        <v/>
      </c>
      <c r="K52" s="9" t="str">
        <f t="shared" si="17"/>
        <v/>
      </c>
      <c r="L52" s="9" cm="1">
        <f t="array" aca="1" ref="L52" ca="1">CreateID($L$2,$I52&lt;&gt;INDEX($I:$I,ROW()-1))</f>
        <v>14</v>
      </c>
      <c r="M52" s="9" t="str" cm="1">
        <f t="array" aca="1" ref="M52" ca="1">IF($Q52="","",INDIRECT($Q52))</f>
        <v/>
      </c>
      <c r="N52" s="9" t="str">
        <f t="shared" ca="1" si="18"/>
        <v>L</v>
      </c>
      <c r="O52" s="9" t="str">
        <f t="shared" ca="1" si="19"/>
        <v>QI7</v>
      </c>
    </row>
    <row r="53" spans="1:17" ht="216" x14ac:dyDescent="0.25">
      <c r="A53" s="108" t="str" cm="1">
        <f t="array" aca="1" ref="A53" ca="1">IF($Q53="","",_xlfn.LET(
_xlpm._fullName,IF($R53="",SUBSTITUTE(SUBSTITUTE(INDIRECT($Q53),CHAR(10)," "),"  "," "),$R53),
_xlpm._truncatedName,IF(LEN(_xlpm._fullName)&gt;250,LEFT(_xlpm._fullName,250)&amp;"[…]",_xlpm._fullName),
HYPERLINK("#'"&amp;$I53&amp;"'!"&amp;$J53&amp;$K53,
_xlpm._truncatedName)))</f>
        <v>QI8</v>
      </c>
      <c r="B53" s="106" t="str" cm="1">
        <f t="array" aca="1" ref="B53" ca="1">IF($A53="","",SimpleLookup($A53,Questions!$A:$B))</f>
        <v>Can a loss of availability allow an attacker access to assets of the customer (including physical access not detected by the &lt;&lt; OEM Name &gt;&gt; product)? Example: The product is used for access control.</v>
      </c>
      <c r="C53" s="107" t="s">
        <v>9</v>
      </c>
      <c r="D53" s="110" t="s">
        <v>1596</v>
      </c>
      <c r="E53" s="106" t="str" cm="1">
        <f t="array" aca="1" ref="E53" ca="1">_xlfn.LET(
_xlpm._options,IF($O53="","",SimpleLookup($O53,Questions!$A:$H)),
_xlpm._followUpStart,FIND($C53&amp;":",_xlpm._options)+LEN($C53&amp;":"),
_xlpm._followUpEnd,FIND(CHAR(10),_xlpm._options&amp;CHAR(10),_xlpm._followUpStart),
IF($C53="","",TRIM(MID(_xlpm._options,_xlpm._followUpStart,_xlpm._followUpEnd-_xlpm._followUpStart))))</f>
        <v>What is the worst case value of these assets for the intended use of the product?</v>
      </c>
      <c r="F53" s="107"/>
      <c r="G53" s="113" t="str">
        <f>"Classify the potential direct financial damage to "&amp;Definitions!$C$4&amp;" caused by an incident"</f>
        <v>Classify the potential direct financial damage to &lt;&lt; OEM Name &gt;&gt; caused by an incident</v>
      </c>
      <c r="H53" s="113" cm="1">
        <f t="array" aca="1" ref="H53" ca="1">CreateID($H$2,$A53&lt;&gt;"")</f>
        <v>8</v>
      </c>
      <c r="I53" s="9" t="str">
        <f t="shared" ca="1" si="15"/>
        <v>Questionnaire</v>
      </c>
      <c r="J53" s="9" t="str">
        <f t="shared" ca="1" si="16"/>
        <v>B</v>
      </c>
      <c r="K53" s="9" t="str">
        <f t="shared" ca="1" si="17"/>
        <v>19</v>
      </c>
      <c r="L53" s="9" cm="1">
        <f t="array" aca="1" ref="L53" ca="1">CreateID($L$2,$I53&lt;&gt;INDEX($I:$I,ROW()-1))</f>
        <v>15</v>
      </c>
      <c r="M53" s="9" t="str" cm="1">
        <f t="array" aca="1" ref="M53" ca="1">IF($Q53="","",INDIRECT($Q53))</f>
        <v>QI8</v>
      </c>
      <c r="N53" s="9" t="str">
        <f t="shared" ca="1" si="18"/>
        <v>D</v>
      </c>
      <c r="O53" s="9" t="str">
        <f t="shared" ca="1" si="19"/>
        <v>QI8</v>
      </c>
      <c r="Q53" s="2" t="str" cm="1">
        <f t="array" aca="1" ref="Q53" ca="1">CELL("address",Questionnaire!$B$19)</f>
        <v>'[QuBA-libre.xlsx]Questionnaire'!$B$19</v>
      </c>
    </row>
    <row r="54" spans="1:17" ht="33.75" x14ac:dyDescent="0.25">
      <c r="A54" s="108" t="str" cm="1">
        <f t="array" aca="1" ref="A54" ca="1">IF($Q54="","",_xlfn.LET(
_xlpm._fullName,IF($R54="",SUBSTITUTE(SUBSTITUTE(INDIRECT($Q54),CHAR(10)," "),"  "," "),$R54),
_xlpm._truncatedName,IF(LEN(_xlpm._fullName)&gt;250,LEFT(_xlpm._fullName,250)&amp;"[…]",_xlpm._fullName),
HYPERLINK("#'"&amp;$I54&amp;"'!"&amp;$J54&amp;$K54,
_xlpm._truncatedName)))</f>
        <v/>
      </c>
      <c r="B54" s="106" t="str" cm="1">
        <f t="array" aca="1" ref="B54" ca="1">IF($A54="","",SimpleLookup($A54,Questions!$A:$B))</f>
        <v/>
      </c>
      <c r="C54" s="107"/>
      <c r="D54" s="110"/>
      <c r="E54" s="106" t="str" cm="1">
        <f t="array" aca="1" ref="E54" ca="1">_xlfn.LET(
_xlpm._options,IF($O54="","",SimpleLookup($O54,Questions!$A:$H)),
_xlpm._followUpStart,FIND($C54&amp;":",_xlpm._options)+LEN($C54&amp;":"),
_xlpm._followUpEnd,FIND(CHAR(10),_xlpm._options&amp;CHAR(10),_xlpm._followUpStart),
IF($C54="","",TRIM(MID(_xlpm._options,_xlpm._followUpStart,_xlpm._followUpEnd-_xlpm._followUpStart))))</f>
        <v/>
      </c>
      <c r="F54" s="107" t="str">
        <f>Definitions!$H$11</f>
        <v>Medium financial damage</v>
      </c>
      <c r="G54" s="113" t="s">
        <v>1576</v>
      </c>
      <c r="H54" s="113" cm="1">
        <f t="array" aca="1" ref="H54" ca="1">CreateID($H$2,$A54&lt;&gt;"")</f>
        <v>8</v>
      </c>
      <c r="I54" s="9" t="str">
        <f>IF($Q54="","",_xlfn.LET(
_xlpm._in,$Q54,
_xlpm._start,FIND("]",_xlpm._in)+1,
SUBSTITUTE(MID(_xlpm._in,_xlpm._start,FIND("!",_xlpm._in)-_xlpm._start),"'","")))</f>
        <v/>
      </c>
      <c r="J54" s="9" t="str">
        <f>IF($Q54="","",_xlfn.LET(
_xlpm._in,SUBSTITUTE($Q54,"$","§",1),
_xlpm._start,FIND("§",_xlpm._in)+1,
SUBSTITUTE(MID(_xlpm._in,_xlpm._start,FIND("$",_xlpm._in)-_xlpm._start),"'","")))</f>
        <v/>
      </c>
      <c r="K54" s="9" t="str">
        <f>IF($Q54="","",RIGHT($Q54,LEN($Q54)-FIND("$",SUBSTITUTE($Q54,"$","§",1))))</f>
        <v/>
      </c>
      <c r="L54" s="9" cm="1">
        <f t="array" aca="1" ref="L54" ca="1">CreateID($L$2,$I54&lt;&gt;INDEX($I:$I,ROW()-1))</f>
        <v>16</v>
      </c>
      <c r="M54" s="9" t="str" cm="1">
        <f t="array" aca="1" ref="M54" ca="1">IF($Q54="","",INDIRECT($Q54))</f>
        <v/>
      </c>
      <c r="N54" s="9" t="str">
        <f ca="1">IF(MOD($H54,2)=0,"D","L")</f>
        <v>D</v>
      </c>
      <c r="O54" s="9" t="str">
        <f ca="1">IF($A54="",OFFSET($O54,-1,0),$A54)</f>
        <v>QI8</v>
      </c>
    </row>
    <row r="55" spans="1:17" ht="33.75" x14ac:dyDescent="0.25">
      <c r="A55" s="108" t="str" cm="1">
        <f t="array" aca="1" ref="A55" ca="1">IF($Q55="","",_xlfn.LET(
_xlpm._fullName,IF($R55="",SUBSTITUTE(SUBSTITUTE(INDIRECT($Q55),CHAR(10)," "),"  "," "),$R55),
_xlpm._truncatedName,IF(LEN(_xlpm._fullName)&gt;250,LEFT(_xlpm._fullName,250)&amp;"[…]",_xlpm._fullName),
HYPERLINK("#'"&amp;$I55&amp;"'!"&amp;$J55&amp;$K55,
_xlpm._truncatedName)))</f>
        <v/>
      </c>
      <c r="B55" s="106" t="str" cm="1">
        <f t="array" aca="1" ref="B55" ca="1">IF($A55="","",SimpleLookup($A55,Questions!$A:$B))</f>
        <v/>
      </c>
      <c r="C55" s="107"/>
      <c r="D55" s="110"/>
      <c r="E55" s="106" t="str" cm="1">
        <f t="array" aca="1" ref="E55" ca="1">_xlfn.LET(
_xlpm._options,IF($O55="","",SimpleLookup($O55,Questions!$A:$H)),
_xlpm._followUpStart,FIND($C55&amp;":",_xlpm._options)+LEN($C55&amp;":"),
_xlpm._followUpEnd,FIND(CHAR(10),_xlpm._options&amp;CHAR(10),_xlpm._followUpStart),
IF($C55="","",TRIM(MID(_xlpm._options,_xlpm._followUpStart,_xlpm._followUpEnd-_xlpm._followUpStart))))</f>
        <v/>
      </c>
      <c r="F55" s="107" t="str">
        <f>Definitions!$H$12</f>
        <v>High financial damage</v>
      </c>
      <c r="G55" s="113" t="s">
        <v>1577</v>
      </c>
      <c r="H55" s="113" cm="1">
        <f t="array" aca="1" ref="H55" ca="1">CreateID($H$2,$A55&lt;&gt;"")</f>
        <v>8</v>
      </c>
      <c r="I55" s="9" t="str">
        <f t="shared" si="15"/>
        <v/>
      </c>
      <c r="J55" s="9" t="str">
        <f t="shared" si="16"/>
        <v/>
      </c>
      <c r="K55" s="9" t="str">
        <f t="shared" si="17"/>
        <v/>
      </c>
      <c r="L55" s="9" cm="1">
        <f t="array" aca="1" ref="L55" ca="1">CreateID($L$2,$I55&lt;&gt;INDEX($I:$I,ROW()-1))</f>
        <v>16</v>
      </c>
      <c r="M55" s="9" t="str" cm="1">
        <f t="array" aca="1" ref="M55" ca="1">IF($Q55="","",INDIRECT($Q55))</f>
        <v/>
      </c>
      <c r="N55" s="9" t="str">
        <f t="shared" ca="1" si="18"/>
        <v>D</v>
      </c>
      <c r="O55" s="9" t="str">
        <f t="shared" ca="1" si="19"/>
        <v>QI8</v>
      </c>
    </row>
    <row r="56" spans="1:17" ht="45" x14ac:dyDescent="0.25">
      <c r="A56" s="108" t="str" cm="1">
        <f t="array" aca="1" ref="A56" ca="1">IF($Q56="","",_xlfn.LET(
_xlpm._fullName,IF($R56="",SUBSTITUTE(SUBSTITUTE(INDIRECT($Q56),CHAR(10)," "),"  "," "),$R56),
_xlpm._truncatedName,IF(LEN(_xlpm._fullName)&gt;250,LEFT(_xlpm._fullName,250)&amp;"[…]",_xlpm._fullName),
HYPERLINK("#'"&amp;$I56&amp;"'!"&amp;$J56&amp;$K56,
_xlpm._truncatedName)))</f>
        <v/>
      </c>
      <c r="B56" s="106" t="str" cm="1">
        <f t="array" aca="1" ref="B56" ca="1">IF($A56="","",SimpleLookup($A56,Questions!$A:$B))</f>
        <v/>
      </c>
      <c r="C56" s="107"/>
      <c r="D56" s="110"/>
      <c r="E56" s="106" t="str" cm="1">
        <f t="array" aca="1" ref="E56" ca="1">_xlfn.LET(
_xlpm._options,IF($O56="","",SimpleLookup($O56,Questions!$A:$H)),
_xlpm._followUpStart,FIND($C56&amp;":",_xlpm._options)+LEN($C56&amp;":"),
_xlpm._followUpEnd,FIND(CHAR(10),_xlpm._options&amp;CHAR(10),_xlpm._followUpStart),
IF($C56="","",TRIM(MID(_xlpm._options,_xlpm._followUpStart,_xlpm._followUpEnd-_xlpm._followUpStart))))</f>
        <v/>
      </c>
      <c r="F56" s="107" t="str">
        <f>Definitions!$H$13</f>
        <v>Critical financial damage</v>
      </c>
      <c r="G56" s="113" t="s">
        <v>1578</v>
      </c>
      <c r="H56" s="113" cm="1">
        <f t="array" aca="1" ref="H56" ca="1">CreateID($H$2,$A56&lt;&gt;"")</f>
        <v>8</v>
      </c>
      <c r="I56" s="9" t="str">
        <f t="shared" si="15"/>
        <v/>
      </c>
      <c r="J56" s="9" t="str">
        <f t="shared" si="16"/>
        <v/>
      </c>
      <c r="K56" s="9" t="str">
        <f t="shared" si="17"/>
        <v/>
      </c>
      <c r="L56" s="9" cm="1">
        <f t="array" aca="1" ref="L56" ca="1">CreateID($L$2,$I56&lt;&gt;INDEX($I:$I,ROW()-1))</f>
        <v>16</v>
      </c>
      <c r="M56" s="9" t="str" cm="1">
        <f t="array" aca="1" ref="M56" ca="1">IF($Q56="","",INDIRECT($Q56))</f>
        <v/>
      </c>
      <c r="N56" s="9" t="str">
        <f t="shared" ca="1" si="18"/>
        <v>D</v>
      </c>
      <c r="O56" s="9" t="str">
        <f t="shared" ca="1" si="19"/>
        <v>QI8</v>
      </c>
    </row>
    <row r="57" spans="1:17" ht="45" x14ac:dyDescent="0.25">
      <c r="A57" s="108" t="str" cm="1">
        <f t="array" aca="1" ref="A57" ca="1">IF($Q57="","",_xlfn.LET(
_xlpm._fullName,IF($R57="",SUBSTITUTE(SUBSTITUTE(INDIRECT($Q57),CHAR(10)," "),"  "," "),$R57),
_xlpm._truncatedName,IF(LEN(_xlpm._fullName)&gt;250,LEFT(_xlpm._fullName,250)&amp;"[…]",_xlpm._fullName),
HYPERLINK("#'"&amp;$I57&amp;"'!"&amp;$J57&amp;$K57,
_xlpm._truncatedName)))</f>
        <v/>
      </c>
      <c r="B57" s="106" t="str" cm="1">
        <f t="array" aca="1" ref="B57" ca="1">IF($A57="","",SimpleLookup($A57,Questions!$A:$B))</f>
        <v/>
      </c>
      <c r="C57" s="107"/>
      <c r="D57" s="110"/>
      <c r="E57" s="106" t="str" cm="1">
        <f t="array" aca="1" ref="E57" ca="1">_xlfn.LET(
_xlpm._options,IF($O57="","",SimpleLookup($O57,Questions!$A:$H)),
_xlpm._followUpStart,FIND($C57&amp;":",_xlpm._options)+LEN($C57&amp;":"),
_xlpm._followUpEnd,FIND(CHAR(10),_xlpm._options&amp;CHAR(10),_xlpm._followUpStart),
IF($C57="","",TRIM(MID(_xlpm._options,_xlpm._followUpStart,_xlpm._followUpEnd-_xlpm._followUpStart))))</f>
        <v/>
      </c>
      <c r="F57" s="107" t="str">
        <f>Definitions!$H$14</f>
        <v>Potentially dangerous situation</v>
      </c>
      <c r="G57" s="113" t="s">
        <v>1579</v>
      </c>
      <c r="H57" s="113" cm="1">
        <f t="array" aca="1" ref="H57" ca="1">CreateID($H$2,$A57&lt;&gt;"")</f>
        <v>8</v>
      </c>
      <c r="I57" s="9" t="str">
        <f t="shared" si="15"/>
        <v/>
      </c>
      <c r="J57" s="9" t="str">
        <f t="shared" si="16"/>
        <v/>
      </c>
      <c r="K57" s="9" t="str">
        <f t="shared" si="17"/>
        <v/>
      </c>
      <c r="L57" s="9" cm="1">
        <f t="array" aca="1" ref="L57" ca="1">CreateID($L$2,$I57&lt;&gt;INDEX($I:$I,ROW()-1))</f>
        <v>16</v>
      </c>
      <c r="M57" s="9" t="str" cm="1">
        <f t="array" aca="1" ref="M57" ca="1">IF($Q57="","",INDIRECT($Q57))</f>
        <v/>
      </c>
      <c r="N57" s="9" t="str">
        <f t="shared" ca="1" si="18"/>
        <v>D</v>
      </c>
      <c r="O57" s="9" t="str">
        <f t="shared" ca="1" si="19"/>
        <v>QI8</v>
      </c>
    </row>
    <row r="58" spans="1:17" x14ac:dyDescent="0.25">
      <c r="A58" s="108" t="str" cm="1">
        <f t="array" aca="1" ref="A58" ca="1">IF($Q58="","",_xlfn.LET(
_xlpm._fullName,IF($R58="",SUBSTITUTE(SUBSTITUTE(INDIRECT($Q58),CHAR(10)," "),"  "," "),$R58),
_xlpm._truncatedName,IF(LEN(_xlpm._fullName)&gt;250,LEFT(_xlpm._fullName,250)&amp;"[…]",_xlpm._fullName),
HYPERLINK("#'"&amp;$I58&amp;"'!"&amp;$J58&amp;$K58,
_xlpm._truncatedName)))</f>
        <v/>
      </c>
      <c r="B58" s="106" t="str" cm="1">
        <f t="array" aca="1" ref="B58" ca="1">IF($A58="","",SimpleLookup($A58,Questions!$A:$B))</f>
        <v/>
      </c>
      <c r="C58" s="107" t="s">
        <v>10</v>
      </c>
      <c r="D58" s="110" t="s">
        <v>1580</v>
      </c>
      <c r="E58" s="106" t="str" cm="1">
        <f t="array" aca="1" ref="E58" ca="1">_xlfn.LET(
_xlpm._options,IF($O58="","",SimpleLookup($O58,Questions!$A:$H)),
_xlpm._followUpStart,FIND($C58&amp;":",_xlpm._options)+LEN($C58&amp;":"),
_xlpm._followUpEnd,FIND(CHAR(10),_xlpm._options&amp;CHAR(10),_xlpm._followUpStart),
IF($C58="","",TRIM(MID(_xlpm._options,_xlpm._followUpStart,_xlpm._followUpEnd-_xlpm._followUpStart))))</f>
        <v/>
      </c>
      <c r="F58" s="107"/>
      <c r="G58" s="113"/>
      <c r="H58" s="113" cm="1">
        <f t="array" aca="1" ref="H58" ca="1">CreateID($H$2,$A58&lt;&gt;"")</f>
        <v>8</v>
      </c>
      <c r="I58" s="9" t="str">
        <f t="shared" si="15"/>
        <v/>
      </c>
      <c r="J58" s="9" t="str">
        <f t="shared" si="16"/>
        <v/>
      </c>
      <c r="K58" s="9" t="str">
        <f t="shared" si="17"/>
        <v/>
      </c>
      <c r="L58" s="9" cm="1">
        <f t="array" aca="1" ref="L58" ca="1">CreateID($L$2,$I58&lt;&gt;INDEX($I:$I,ROW()-1))</f>
        <v>16</v>
      </c>
      <c r="M58" s="9" t="str" cm="1">
        <f t="array" aca="1" ref="M58" ca="1">IF($Q58="","",INDIRECT($Q58))</f>
        <v/>
      </c>
      <c r="N58" s="9" t="str">
        <f t="shared" ca="1" si="18"/>
        <v>D</v>
      </c>
      <c r="O58" s="9" t="str">
        <f t="shared" ca="1" si="19"/>
        <v>QI8</v>
      </c>
    </row>
    <row r="59" spans="1:17" ht="45" x14ac:dyDescent="0.25">
      <c r="A59" s="108" t="str" cm="1">
        <f t="array" aca="1" ref="A59" ca="1">IF($Q59="","",_xlfn.LET(
_xlpm._fullName,IF($R59="",SUBSTITUTE(SUBSTITUTE(INDIRECT($Q59),CHAR(10)," "),"  "," "),$R59),
_xlpm._truncatedName,IF(LEN(_xlpm._fullName)&gt;250,LEFT(_xlpm._fullName,250)&amp;"[…]",_xlpm._fullName),
HYPERLINK("#'"&amp;$I59&amp;"'!"&amp;$J59&amp;$K59,
_xlpm._truncatedName)))</f>
        <v>QI9</v>
      </c>
      <c r="B59" s="106" t="str" cm="1">
        <f t="array" aca="1" ref="B59" ca="1">IF($A59="","",SimpleLookup($A59,Questions!$A:$B))</f>
        <v>Can a loss of availability cause contract-related fines (e.g., based on a service level agreement)?</v>
      </c>
      <c r="C59" s="107" t="s">
        <v>9</v>
      </c>
      <c r="D59" s="110" t="s">
        <v>1575</v>
      </c>
      <c r="E59" s="106" t="str" cm="1">
        <f t="array" aca="1" ref="E59" ca="1">_xlfn.LET(
_xlpm._options,IF($O59="","",SimpleLookup($O59,Questions!$A:$H)),
_xlpm._followUpStart,FIND($C59&amp;":",_xlpm._options)+LEN($C59&amp;":"),
_xlpm._followUpEnd,FIND(CHAR(10),_xlpm._options&amp;CHAR(10),_xlpm._followUpStart),
IF($C59="","",TRIM(MID(_xlpm._options,_xlpm._followUpStart,_xlpm._followUpEnd-_xlpm._followUpStart))))</f>
        <v>What is the typical / expected value of the fines for contract violation?</v>
      </c>
      <c r="F59" s="107"/>
      <c r="G59" s="113" t="str">
        <f>"Classify the potential direct financial damage to "&amp;Definitions!$C$4&amp;" caused by an incident"</f>
        <v>Classify the potential direct financial damage to &lt;&lt; OEM Name &gt;&gt; caused by an incident</v>
      </c>
      <c r="H59" s="113" cm="1">
        <f t="array" aca="1" ref="H59" ca="1">CreateID($H$2,$A59&lt;&gt;"")</f>
        <v>9</v>
      </c>
      <c r="I59" s="9" t="str">
        <f t="shared" ca="1" si="15"/>
        <v>Questionnaire</v>
      </c>
      <c r="J59" s="9" t="str">
        <f t="shared" ca="1" si="16"/>
        <v>B</v>
      </c>
      <c r="K59" s="9" t="str">
        <f t="shared" ca="1" si="17"/>
        <v>20</v>
      </c>
      <c r="L59" s="9" cm="1">
        <f t="array" aca="1" ref="L59" ca="1">CreateID($L$2,$I59&lt;&gt;INDEX($I:$I,ROW()-1))</f>
        <v>17</v>
      </c>
      <c r="M59" s="9" t="str" cm="1">
        <f t="array" aca="1" ref="M59" ca="1">IF($Q59="","",INDIRECT($Q59))</f>
        <v>QI9</v>
      </c>
      <c r="N59" s="9" t="str">
        <f t="shared" ca="1" si="18"/>
        <v>L</v>
      </c>
      <c r="O59" s="9" t="str">
        <f t="shared" ca="1" si="19"/>
        <v>QI9</v>
      </c>
      <c r="Q59" s="2" t="str" cm="1">
        <f t="array" aca="1" ref="Q59" ca="1">CELL("address",Questionnaire!$B$20)</f>
        <v>'[QuBA-libre.xlsx]Questionnaire'!$B$20</v>
      </c>
    </row>
    <row r="60" spans="1:17" ht="33.75" x14ac:dyDescent="0.25">
      <c r="A60" s="108" t="str" cm="1">
        <f t="array" aca="1" ref="A60" ca="1">IF($Q60="","",_xlfn.LET(
_xlpm._fullName,IF($R60="",SUBSTITUTE(SUBSTITUTE(INDIRECT($Q60),CHAR(10)," "),"  "," "),$R60),
_xlpm._truncatedName,IF(LEN(_xlpm._fullName)&gt;250,LEFT(_xlpm._fullName,250)&amp;"[…]",_xlpm._fullName),
HYPERLINK("#'"&amp;$I60&amp;"'!"&amp;$J60&amp;$K60,
_xlpm._truncatedName)))</f>
        <v/>
      </c>
      <c r="B60" s="106" t="str" cm="1">
        <f t="array" aca="1" ref="B60" ca="1">IF($A60="","",SimpleLookup($A60,Questions!$A:$B))</f>
        <v/>
      </c>
      <c r="C60" s="107"/>
      <c r="D60" s="110"/>
      <c r="E60" s="106" t="str" cm="1">
        <f t="array" aca="1" ref="E60" ca="1">_xlfn.LET(
_xlpm._options,IF($O60="","",SimpleLookup($O60,Questions!$A:$H)),
_xlpm._followUpStart,FIND($C60&amp;":",_xlpm._options)+LEN($C60&amp;":"),
_xlpm._followUpEnd,FIND(CHAR(10),_xlpm._options&amp;CHAR(10),_xlpm._followUpStart),
IF($C60="","",TRIM(MID(_xlpm._options,_xlpm._followUpStart,_xlpm._followUpEnd-_xlpm._followUpStart))))</f>
        <v/>
      </c>
      <c r="F60" s="107" t="str">
        <f>Definitions!$H$11</f>
        <v>Medium financial damage</v>
      </c>
      <c r="G60" s="113" t="s">
        <v>1576</v>
      </c>
      <c r="H60" s="113" cm="1">
        <f t="array" aca="1" ref="H60" ca="1">CreateID($H$2,$A60&lt;&gt;"")</f>
        <v>9</v>
      </c>
      <c r="I60" s="9" t="str">
        <f>IF($Q60="","",_xlfn.LET(
_xlpm._in,$Q60,
_xlpm._start,FIND("]",_xlpm._in)+1,
SUBSTITUTE(MID(_xlpm._in,_xlpm._start,FIND("!",_xlpm._in)-_xlpm._start),"'","")))</f>
        <v/>
      </c>
      <c r="J60" s="9" t="str">
        <f>IF($Q60="","",_xlfn.LET(
_xlpm._in,SUBSTITUTE($Q60,"$","§",1),
_xlpm._start,FIND("§",_xlpm._in)+1,
SUBSTITUTE(MID(_xlpm._in,_xlpm._start,FIND("$",_xlpm._in)-_xlpm._start),"'","")))</f>
        <v/>
      </c>
      <c r="K60" s="9" t="str">
        <f>IF($Q60="","",RIGHT($Q60,LEN($Q60)-FIND("$",SUBSTITUTE($Q60,"$","§",1))))</f>
        <v/>
      </c>
      <c r="L60" s="9" cm="1">
        <f t="array" aca="1" ref="L60" ca="1">CreateID($L$2,$I60&lt;&gt;INDEX($I:$I,ROW()-1))</f>
        <v>18</v>
      </c>
      <c r="M60" s="9" t="str" cm="1">
        <f t="array" aca="1" ref="M60" ca="1">IF($Q60="","",INDIRECT($Q60))</f>
        <v/>
      </c>
      <c r="N60" s="9" t="str">
        <f ca="1">IF(MOD($H60,2)=0,"D","L")</f>
        <v>L</v>
      </c>
      <c r="O60" s="9" t="str">
        <f ca="1">IF($A60="",OFFSET($O60,-1,0),$A60)</f>
        <v>QI9</v>
      </c>
    </row>
    <row r="61" spans="1:17" ht="33.75" x14ac:dyDescent="0.25">
      <c r="A61" s="108" t="str" cm="1">
        <f t="array" aca="1" ref="A61" ca="1">IF($Q61="","",_xlfn.LET(
_xlpm._fullName,IF($R61="",SUBSTITUTE(SUBSTITUTE(INDIRECT($Q61),CHAR(10)," "),"  "," "),$R61),
_xlpm._truncatedName,IF(LEN(_xlpm._fullName)&gt;250,LEFT(_xlpm._fullName,250)&amp;"[…]",_xlpm._fullName),
HYPERLINK("#'"&amp;$I61&amp;"'!"&amp;$J61&amp;$K61,
_xlpm._truncatedName)))</f>
        <v/>
      </c>
      <c r="B61" s="106" t="str" cm="1">
        <f t="array" aca="1" ref="B61" ca="1">IF($A61="","",SimpleLookup($A61,Questions!$A:$B))</f>
        <v/>
      </c>
      <c r="C61" s="107"/>
      <c r="D61" s="110"/>
      <c r="E61" s="106" t="str" cm="1">
        <f t="array" aca="1" ref="E61" ca="1">_xlfn.LET(
_xlpm._options,IF($O61="","",SimpleLookup($O61,Questions!$A:$H)),
_xlpm._followUpStart,FIND($C61&amp;":",_xlpm._options)+LEN($C61&amp;":"),
_xlpm._followUpEnd,FIND(CHAR(10),_xlpm._options&amp;CHAR(10),_xlpm._followUpStart),
IF($C61="","",TRIM(MID(_xlpm._options,_xlpm._followUpStart,_xlpm._followUpEnd-_xlpm._followUpStart))))</f>
        <v/>
      </c>
      <c r="F61" s="107" t="str">
        <f>Definitions!$H$12</f>
        <v>High financial damage</v>
      </c>
      <c r="G61" s="113" t="s">
        <v>1577</v>
      </c>
      <c r="H61" s="113" cm="1">
        <f t="array" aca="1" ref="H61" ca="1">CreateID($H$2,$A61&lt;&gt;"")</f>
        <v>9</v>
      </c>
      <c r="I61" s="9" t="str">
        <f t="shared" si="15"/>
        <v/>
      </c>
      <c r="J61" s="9" t="str">
        <f t="shared" si="16"/>
        <v/>
      </c>
      <c r="K61" s="9" t="str">
        <f t="shared" si="17"/>
        <v/>
      </c>
      <c r="L61" s="9" cm="1">
        <f t="array" aca="1" ref="L61" ca="1">CreateID($L$2,$I61&lt;&gt;INDEX($I:$I,ROW()-1))</f>
        <v>18</v>
      </c>
      <c r="M61" s="9" t="str" cm="1">
        <f t="array" aca="1" ref="M61" ca="1">IF($Q61="","",INDIRECT($Q61))</f>
        <v/>
      </c>
      <c r="N61" s="9" t="str">
        <f t="shared" ca="1" si="18"/>
        <v>L</v>
      </c>
      <c r="O61" s="9" t="str">
        <f t="shared" ca="1" si="19"/>
        <v>QI9</v>
      </c>
    </row>
    <row r="62" spans="1:17" ht="45" x14ac:dyDescent="0.25">
      <c r="A62" s="108" t="str" cm="1">
        <f t="array" aca="1" ref="A62" ca="1">IF($Q62="","",_xlfn.LET(
_xlpm._fullName,IF($R62="",SUBSTITUTE(SUBSTITUTE(INDIRECT($Q62),CHAR(10)," "),"  "," "),$R62),
_xlpm._truncatedName,IF(LEN(_xlpm._fullName)&gt;250,LEFT(_xlpm._fullName,250)&amp;"[…]",_xlpm._fullName),
HYPERLINK("#'"&amp;$I62&amp;"'!"&amp;$J62&amp;$K62,
_xlpm._truncatedName)))</f>
        <v/>
      </c>
      <c r="B62" s="106" t="str" cm="1">
        <f t="array" aca="1" ref="B62" ca="1">IF($A62="","",SimpleLookup($A62,Questions!$A:$B))</f>
        <v/>
      </c>
      <c r="C62" s="107"/>
      <c r="D62" s="110"/>
      <c r="E62" s="106" t="str" cm="1">
        <f t="array" aca="1" ref="E62" ca="1">_xlfn.LET(
_xlpm._options,IF($O62="","",SimpleLookup($O62,Questions!$A:$H)),
_xlpm._followUpStart,FIND($C62&amp;":",_xlpm._options)+LEN($C62&amp;":"),
_xlpm._followUpEnd,FIND(CHAR(10),_xlpm._options&amp;CHAR(10),_xlpm._followUpStart),
IF($C62="","",TRIM(MID(_xlpm._options,_xlpm._followUpStart,_xlpm._followUpEnd-_xlpm._followUpStart))))</f>
        <v/>
      </c>
      <c r="F62" s="107" t="str">
        <f>Definitions!$H$13</f>
        <v>Critical financial damage</v>
      </c>
      <c r="G62" s="113" t="s">
        <v>1578</v>
      </c>
      <c r="H62" s="113" cm="1">
        <f t="array" aca="1" ref="H62" ca="1">CreateID($H$2,$A62&lt;&gt;"")</f>
        <v>9</v>
      </c>
      <c r="I62" s="9" t="str">
        <f t="shared" si="15"/>
        <v/>
      </c>
      <c r="J62" s="9" t="str">
        <f t="shared" si="16"/>
        <v/>
      </c>
      <c r="K62" s="9" t="str">
        <f t="shared" si="17"/>
        <v/>
      </c>
      <c r="L62" s="9" cm="1">
        <f t="array" aca="1" ref="L62" ca="1">CreateID($L$2,$I62&lt;&gt;INDEX($I:$I,ROW()-1))</f>
        <v>18</v>
      </c>
      <c r="M62" s="9" t="str" cm="1">
        <f t="array" aca="1" ref="M62" ca="1">IF($Q62="","",INDIRECT($Q62))</f>
        <v/>
      </c>
      <c r="N62" s="9" t="str">
        <f t="shared" ca="1" si="18"/>
        <v>L</v>
      </c>
      <c r="O62" s="9" t="str">
        <f t="shared" ca="1" si="19"/>
        <v>QI9</v>
      </c>
    </row>
    <row r="63" spans="1:17" ht="45" x14ac:dyDescent="0.25">
      <c r="A63" s="108" t="str" cm="1">
        <f t="array" aca="1" ref="A63" ca="1">IF($Q63="","",_xlfn.LET(
_xlpm._fullName,IF($R63="",SUBSTITUTE(SUBSTITUTE(INDIRECT($Q63),CHAR(10)," "),"  "," "),$R63),
_xlpm._truncatedName,IF(LEN(_xlpm._fullName)&gt;250,LEFT(_xlpm._fullName,250)&amp;"[…]",_xlpm._fullName),
HYPERLINK("#'"&amp;$I63&amp;"'!"&amp;$J63&amp;$K63,
_xlpm._truncatedName)))</f>
        <v/>
      </c>
      <c r="B63" s="106" t="str" cm="1">
        <f t="array" aca="1" ref="B63" ca="1">IF($A63="","",SimpleLookup($A63,Questions!$A:$B))</f>
        <v/>
      </c>
      <c r="C63" s="107"/>
      <c r="D63" s="110"/>
      <c r="E63" s="106" t="str" cm="1">
        <f t="array" aca="1" ref="E63" ca="1">_xlfn.LET(
_xlpm._options,IF($O63="","",SimpleLookup($O63,Questions!$A:$H)),
_xlpm._followUpStart,FIND($C63&amp;":",_xlpm._options)+LEN($C63&amp;":"),
_xlpm._followUpEnd,FIND(CHAR(10),_xlpm._options&amp;CHAR(10),_xlpm._followUpStart),
IF($C63="","",TRIM(MID(_xlpm._options,_xlpm._followUpStart,_xlpm._followUpEnd-_xlpm._followUpStart))))</f>
        <v/>
      </c>
      <c r="F63" s="107" t="str">
        <f>Definitions!$H$14</f>
        <v>Potentially dangerous situation</v>
      </c>
      <c r="G63" s="113" t="s">
        <v>1579</v>
      </c>
      <c r="H63" s="113" cm="1">
        <f t="array" aca="1" ref="H63" ca="1">CreateID($H$2,$A63&lt;&gt;"")</f>
        <v>9</v>
      </c>
      <c r="I63" s="9" t="str">
        <f t="shared" si="15"/>
        <v/>
      </c>
      <c r="J63" s="9" t="str">
        <f t="shared" si="16"/>
        <v/>
      </c>
      <c r="K63" s="9" t="str">
        <f t="shared" si="17"/>
        <v/>
      </c>
      <c r="L63" s="9" cm="1">
        <f t="array" aca="1" ref="L63" ca="1">CreateID($L$2,$I63&lt;&gt;INDEX($I:$I,ROW()-1))</f>
        <v>18</v>
      </c>
      <c r="M63" s="9" t="str" cm="1">
        <f t="array" aca="1" ref="M63" ca="1">IF($Q63="","",INDIRECT($Q63))</f>
        <v/>
      </c>
      <c r="N63" s="9" t="str">
        <f t="shared" ca="1" si="18"/>
        <v>L</v>
      </c>
      <c r="O63" s="9" t="str">
        <f t="shared" ca="1" si="19"/>
        <v>QI9</v>
      </c>
    </row>
    <row r="64" spans="1:17" x14ac:dyDescent="0.25">
      <c r="A64" s="108" t="str" cm="1">
        <f t="array" aca="1" ref="A64" ca="1">IF($Q64="","",_xlfn.LET(
_xlpm._fullName,IF($R64="",SUBSTITUTE(SUBSTITUTE(INDIRECT($Q64),CHAR(10)," "),"  "," "),$R64),
_xlpm._truncatedName,IF(LEN(_xlpm._fullName)&gt;250,LEFT(_xlpm._fullName,250)&amp;"[…]",_xlpm._fullName),
HYPERLINK("#'"&amp;$I64&amp;"'!"&amp;$J64&amp;$K64,
_xlpm._truncatedName)))</f>
        <v/>
      </c>
      <c r="B64" s="106" t="str" cm="1">
        <f t="array" aca="1" ref="B64" ca="1">IF($A64="","",SimpleLookup($A64,Questions!$A:$B))</f>
        <v/>
      </c>
      <c r="C64" s="107" t="s">
        <v>10</v>
      </c>
      <c r="D64" s="110" t="s">
        <v>1580</v>
      </c>
      <c r="E64" s="106" t="str" cm="1">
        <f t="array" aca="1" ref="E64" ca="1">_xlfn.LET(
_xlpm._options,IF($O64="","",SimpleLookup($O64,Questions!$A:$H)),
_xlpm._followUpStart,FIND($C64&amp;":",_xlpm._options)+LEN($C64&amp;":"),
_xlpm._followUpEnd,FIND(CHAR(10),_xlpm._options&amp;CHAR(10),_xlpm._followUpStart),
IF($C64="","",TRIM(MID(_xlpm._options,_xlpm._followUpStart,_xlpm._followUpEnd-_xlpm._followUpStart))))</f>
        <v/>
      </c>
      <c r="F64" s="107"/>
      <c r="G64" s="113"/>
      <c r="H64" s="113" cm="1">
        <f t="array" aca="1" ref="H64" ca="1">CreateID($H$2,$A64&lt;&gt;"")</f>
        <v>9</v>
      </c>
      <c r="I64" s="9" t="str">
        <f t="shared" si="15"/>
        <v/>
      </c>
      <c r="J64" s="9" t="str">
        <f t="shared" si="16"/>
        <v/>
      </c>
      <c r="K64" s="9" t="str">
        <f t="shared" si="17"/>
        <v/>
      </c>
      <c r="L64" s="9" cm="1">
        <f t="array" aca="1" ref="L64" ca="1">CreateID($L$2,$I64&lt;&gt;INDEX($I:$I,ROW()-1))</f>
        <v>18</v>
      </c>
      <c r="M64" s="9" t="str" cm="1">
        <f t="array" aca="1" ref="M64" ca="1">IF($Q64="","",INDIRECT($Q64))</f>
        <v/>
      </c>
      <c r="N64" s="9" t="str">
        <f t="shared" ca="1" si="18"/>
        <v>L</v>
      </c>
      <c r="O64" s="9" t="str">
        <f t="shared" ca="1" si="19"/>
        <v>QI9</v>
      </c>
    </row>
    <row r="65" spans="1:17" ht="75" x14ac:dyDescent="0.25">
      <c r="A65" s="108" t="str" cm="1">
        <f t="array" aca="1" ref="A65" ca="1">IF($Q65="","",_xlfn.LET(
_xlpm._fullName,IF($R65="",SUBSTITUTE(SUBSTITUTE(INDIRECT($Q65),CHAR(10)," "),"  "," "),$R65),
_xlpm._truncatedName,IF(LEN(_xlpm._fullName)&gt;250,LEFT(_xlpm._fullName,250)&amp;"[…]",_xlpm._fullName),
HYPERLINK("#'"&amp;$I65&amp;"'!"&amp;$J65&amp;$K65,
_xlpm._truncatedName)))</f>
        <v>QI10</v>
      </c>
      <c r="B65" s="106" t="str" cm="1">
        <f t="array" aca="1" ref="B65" ca="1">IF($A65="","",SimpleLookup($A65,Questions!$A:$B))</f>
        <v>Can a manipulated product (or its communication) endanger the health of people? Also consider cases where the product is used against its intended use or misconfigured!</v>
      </c>
      <c r="C65" s="107" t="s">
        <v>9</v>
      </c>
      <c r="D65" s="110" t="s">
        <v>1597</v>
      </c>
      <c r="E65" s="106" t="str" cm="1">
        <f t="array" aca="1" ref="E65" ca="1">_xlfn.LET(
_xlpm._options,IF($O65="","",SimpleLookup($O65,Questions!$A:$H)),
_xlpm._followUpStart,FIND($C65&amp;":",_xlpm._options)+LEN($C65&amp;":"),
_xlpm._followUpEnd,FIND(CHAR(10),_xlpm._options&amp;CHAR(10),_xlpm._followUpStart),
IF($C65="","",TRIM(MID(_xlpm._options,_xlpm._followUpStart,_xlpm._followUpEnd-_xlpm._followUpStart))))</f>
        <v>What is the worst case severity of the injury for the intended use of the product?</v>
      </c>
      <c r="F65" s="107"/>
      <c r="G65" s="113" t="s">
        <v>1594</v>
      </c>
      <c r="H65" s="113" cm="1">
        <f t="array" aca="1" ref="H65" ca="1">CreateID($H$2,$A65&lt;&gt;"")</f>
        <v>10</v>
      </c>
      <c r="I65" s="9" t="str">
        <f t="shared" ca="1" si="15"/>
        <v>Questionnaire</v>
      </c>
      <c r="J65" s="9" t="str">
        <f t="shared" ca="1" si="16"/>
        <v>B</v>
      </c>
      <c r="K65" s="9" t="str">
        <f t="shared" ca="1" si="17"/>
        <v>23</v>
      </c>
      <c r="L65" s="9" cm="1">
        <f t="array" aca="1" ref="L65" ca="1">CreateID($L$2,$I65&lt;&gt;INDEX($I:$I,ROW()-1))</f>
        <v>19</v>
      </c>
      <c r="M65" s="9" t="str" cm="1">
        <f t="array" aca="1" ref="M65" ca="1">IF($Q65="","",INDIRECT($Q65))</f>
        <v>QI10</v>
      </c>
      <c r="N65" s="9" t="str">
        <f t="shared" ca="1" si="18"/>
        <v>D</v>
      </c>
      <c r="O65" s="9" t="str">
        <f t="shared" ca="1" si="19"/>
        <v>QI10</v>
      </c>
      <c r="Q65" s="2" t="str" cm="1">
        <f t="array" aca="1" ref="Q65" ca="1">CELL("address",Questionnaire!$B$23)</f>
        <v>'[QuBA-libre.xlsx]Questionnaire'!$B$23</v>
      </c>
    </row>
    <row r="66" spans="1:17" ht="78.75" x14ac:dyDescent="0.25">
      <c r="A66" s="108" t="str" cm="1">
        <f t="array" aca="1" ref="A66" ca="1">IF($Q66="","",_xlfn.LET(
_xlpm._fullName,IF($R66="",SUBSTITUTE(SUBSTITUTE(INDIRECT($Q66),CHAR(10)," "),"  "," "),$R66),
_xlpm._truncatedName,IF(LEN(_xlpm._fullName)&gt;250,LEFT(_xlpm._fullName,250)&amp;"[…]",_xlpm._fullName),
HYPERLINK("#'"&amp;$I66&amp;"'!"&amp;$J66&amp;$K66,
_xlpm._truncatedName)))</f>
        <v/>
      </c>
      <c r="B66" s="106" t="str" cm="1">
        <f t="array" aca="1" ref="B66" ca="1">IF($A66="","",SimpleLookup($A66,Questions!$A:$B))</f>
        <v/>
      </c>
      <c r="C66" s="107"/>
      <c r="D66" s="110"/>
      <c r="E66" s="106" t="str" cm="1">
        <f t="array" aca="1" ref="E66" ca="1">_xlfn.LET(
_xlpm._options,IF($O66="","",SimpleLookup($O66,Questions!$A:$H)),
_xlpm._followUpStart,FIND($C66&amp;":",_xlpm._options)+LEN($C66&amp;":"),
_xlpm._followUpEnd,FIND(CHAR(10),_xlpm._options&amp;CHAR(10),_xlpm._followUpStart),
IF($C66="","",TRIM(MID(_xlpm._options,_xlpm._followUpStart,_xlpm._followUpEnd-_xlpm._followUpStart))))</f>
        <v/>
      </c>
      <c r="F66" s="107" t="str">
        <f>Definitions!$H$15</f>
        <v>Light or moderate injury</v>
      </c>
      <c r="G66" s="113" t="s">
        <v>1581</v>
      </c>
      <c r="H66" s="113" cm="1">
        <f t="array" aca="1" ref="H66" ca="1">CreateID($H$2,$A66&lt;&gt;"")</f>
        <v>10</v>
      </c>
      <c r="I66" s="9" t="str">
        <f>IF($Q66="","",_xlfn.LET(
_xlpm._in,$Q66,
_xlpm._start,FIND("]",_xlpm._in)+1,
SUBSTITUTE(MID(_xlpm._in,_xlpm._start,FIND("!",_xlpm._in)-_xlpm._start),"'","")))</f>
        <v/>
      </c>
      <c r="J66" s="9" t="str">
        <f>IF($Q66="","",_xlfn.LET(
_xlpm._in,SUBSTITUTE($Q66,"$","§",1),
_xlpm._start,FIND("§",_xlpm._in)+1,
SUBSTITUTE(MID(_xlpm._in,_xlpm._start,FIND("$",_xlpm._in)-_xlpm._start),"'","")))</f>
        <v/>
      </c>
      <c r="K66" s="9" t="str">
        <f>IF($Q66="","",RIGHT($Q66,LEN($Q66)-FIND("$",SUBSTITUTE($Q66,"$","§",1))))</f>
        <v/>
      </c>
      <c r="L66" s="9" cm="1">
        <f t="array" aca="1" ref="L66" ca="1">CreateID($L$2,$I66&lt;&gt;INDEX($I:$I,ROW()-1))</f>
        <v>20</v>
      </c>
      <c r="M66" s="9" t="str" cm="1">
        <f t="array" aca="1" ref="M66" ca="1">IF($Q66="","",INDIRECT($Q66))</f>
        <v/>
      </c>
      <c r="N66" s="9" t="str">
        <f ca="1">IF(MOD($H66,2)=0,"D","L")</f>
        <v>D</v>
      </c>
      <c r="O66" s="9" t="str">
        <f ca="1">IF($A66="",OFFSET($O66,-1,0),$A66)</f>
        <v>QI10</v>
      </c>
    </row>
    <row r="67" spans="1:17" ht="78.75" x14ac:dyDescent="0.25">
      <c r="A67" s="108" t="str" cm="1">
        <f t="array" aca="1" ref="A67" ca="1">IF($Q67="","",_xlfn.LET(
_xlpm._fullName,IF($R67="",SUBSTITUTE(SUBSTITUTE(INDIRECT($Q67),CHAR(10)," "),"  "," "),$R67),
_xlpm._truncatedName,IF(LEN(_xlpm._fullName)&gt;250,LEFT(_xlpm._fullName,250)&amp;"[…]",_xlpm._fullName),
HYPERLINK("#'"&amp;$I67&amp;"'!"&amp;$J67&amp;$K67,
_xlpm._truncatedName)))</f>
        <v/>
      </c>
      <c r="B67" s="106" t="str" cm="1">
        <f t="array" aca="1" ref="B67" ca="1">IF($A67="","",SimpleLookup($A67,Questions!$A:$B))</f>
        <v/>
      </c>
      <c r="C67" s="107"/>
      <c r="D67" s="110"/>
      <c r="E67" s="106" t="str" cm="1">
        <f t="array" aca="1" ref="E67" ca="1">_xlfn.LET(
_xlpm._options,IF($O67="","",SimpleLookup($O67,Questions!$A:$H)),
_xlpm._followUpStart,FIND($C67&amp;":",_xlpm._options)+LEN($C67&amp;":"),
_xlpm._followUpEnd,FIND(CHAR(10),_xlpm._options&amp;CHAR(10),_xlpm._followUpStart),
IF($C67="","",TRIM(MID(_xlpm._options,_xlpm._followUpStart,_xlpm._followUpEnd-_xlpm._followUpStart))))</f>
        <v/>
      </c>
      <c r="F67" s="107" t="str">
        <f>Definitions!$H$16</f>
        <v>Severe injury (survival probable)</v>
      </c>
      <c r="G67" s="113" t="s">
        <v>1582</v>
      </c>
      <c r="H67" s="113" cm="1">
        <f t="array" aca="1" ref="H67" ca="1">CreateID($H$2,$A67&lt;&gt;"")</f>
        <v>10</v>
      </c>
      <c r="I67" s="9" t="str">
        <f t="shared" si="15"/>
        <v/>
      </c>
      <c r="J67" s="9" t="str">
        <f t="shared" si="16"/>
        <v/>
      </c>
      <c r="K67" s="9" t="str">
        <f t="shared" si="17"/>
        <v/>
      </c>
      <c r="L67" s="9" cm="1">
        <f t="array" aca="1" ref="L67" ca="1">CreateID($L$2,$I67&lt;&gt;INDEX($I:$I,ROW()-1))</f>
        <v>20</v>
      </c>
      <c r="M67" s="9" t="str" cm="1">
        <f t="array" aca="1" ref="M67" ca="1">IF($Q67="","",INDIRECT($Q67))</f>
        <v/>
      </c>
      <c r="N67" s="9" t="str">
        <f t="shared" ca="1" si="18"/>
        <v>D</v>
      </c>
      <c r="O67" s="9" t="str">
        <f t="shared" ca="1" si="19"/>
        <v>QI10</v>
      </c>
    </row>
    <row r="68" spans="1:17" ht="78.75" x14ac:dyDescent="0.25">
      <c r="A68" s="108" t="str" cm="1">
        <f t="array" aca="1" ref="A68" ca="1">IF($Q68="","",_xlfn.LET(
_xlpm._fullName,IF($R68="",SUBSTITUTE(SUBSTITUTE(INDIRECT($Q68),CHAR(10)," "),"  "," "),$R68),
_xlpm._truncatedName,IF(LEN(_xlpm._fullName)&gt;250,LEFT(_xlpm._fullName,250)&amp;"[…]",_xlpm._fullName),
HYPERLINK("#'"&amp;$I68&amp;"'!"&amp;$J68&amp;$K68,
_xlpm._truncatedName)))</f>
        <v/>
      </c>
      <c r="B68" s="106" t="str" cm="1">
        <f t="array" aca="1" ref="B68" ca="1">IF($A68="","",SimpleLookup($A68,Questions!$A:$B))</f>
        <v/>
      </c>
      <c r="C68" s="107"/>
      <c r="D68" s="110"/>
      <c r="E68" s="106" t="str" cm="1">
        <f t="array" aca="1" ref="E68" ca="1">_xlfn.LET(
_xlpm._options,IF($O68="","",SimpleLookup($O68,Questions!$A:$H)),
_xlpm._followUpStart,FIND($C68&amp;":",_xlpm._options)+LEN($C68&amp;":"),
_xlpm._followUpEnd,FIND(CHAR(10),_xlpm._options&amp;CHAR(10),_xlpm._followUpStart),
IF($C68="","",TRIM(MID(_xlpm._options,_xlpm._followUpStart,_xlpm._followUpEnd-_xlpm._followUpStart))))</f>
        <v/>
      </c>
      <c r="F68" s="107" t="str">
        <f>Definitions!$H$17</f>
        <v>Life-threatening injury</v>
      </c>
      <c r="G68" s="113" t="s">
        <v>1583</v>
      </c>
      <c r="H68" s="113" cm="1">
        <f t="array" aca="1" ref="H68" ca="1">CreateID($H$2,$A68&lt;&gt;"")</f>
        <v>10</v>
      </c>
      <c r="I68" s="9" t="str">
        <f t="shared" si="15"/>
        <v/>
      </c>
      <c r="J68" s="9" t="str">
        <f t="shared" si="16"/>
        <v/>
      </c>
      <c r="K68" s="9" t="str">
        <f t="shared" si="17"/>
        <v/>
      </c>
      <c r="L68" s="9" cm="1">
        <f t="array" aca="1" ref="L68" ca="1">CreateID($L$2,$I68&lt;&gt;INDEX($I:$I,ROW()-1))</f>
        <v>20</v>
      </c>
      <c r="M68" s="9" t="str" cm="1">
        <f t="array" aca="1" ref="M68" ca="1">IF($Q68="","",INDIRECT($Q68))</f>
        <v/>
      </c>
      <c r="N68" s="9" t="str">
        <f t="shared" ca="1" si="18"/>
        <v>D</v>
      </c>
      <c r="O68" s="9" t="str">
        <f t="shared" ca="1" si="19"/>
        <v>QI10</v>
      </c>
    </row>
    <row r="69" spans="1:17" ht="45" x14ac:dyDescent="0.25">
      <c r="A69" s="108" t="str" cm="1">
        <f t="array" aca="1" ref="A69" ca="1">IF($Q69="","",_xlfn.LET(
_xlpm._fullName,IF($R69="",SUBSTITUTE(SUBSTITUTE(INDIRECT($Q69),CHAR(10)," "),"  "," "),$R69),
_xlpm._truncatedName,IF(LEN(_xlpm._fullName)&gt;250,LEFT(_xlpm._fullName,250)&amp;"[…]",_xlpm._fullName),
HYPERLINK("#'"&amp;$I69&amp;"'!"&amp;$J69&amp;$K69,
_xlpm._truncatedName)))</f>
        <v/>
      </c>
      <c r="B69" s="106" t="str" cm="1">
        <f t="array" aca="1" ref="B69" ca="1">IF($A69="","",SimpleLookup($A69,Questions!$A:$B))</f>
        <v/>
      </c>
      <c r="C69" s="107"/>
      <c r="D69" s="110"/>
      <c r="E69" s="106" t="str" cm="1">
        <f t="array" aca="1" ref="E69" ca="1">_xlfn.LET(
_xlpm._options,IF($O69="","",SimpleLookup($O69,Questions!$A:$H)),
_xlpm._followUpStart,FIND($C69&amp;":",_xlpm._options)+LEN($C69&amp;":"),
_xlpm._followUpEnd,FIND(CHAR(10),_xlpm._options&amp;CHAR(10),_xlpm._followUpStart),
IF($C69="","",TRIM(MID(_xlpm._options,_xlpm._followUpStart,_xlpm._followUpEnd-_xlpm._followUpStart))))</f>
        <v/>
      </c>
      <c r="F69" s="107" t="str">
        <f>Definitions!$H$18</f>
        <v>Disturbance</v>
      </c>
      <c r="G69" s="113" t="s">
        <v>1584</v>
      </c>
      <c r="H69" s="113" cm="1">
        <f t="array" aca="1" ref="H69" ca="1">CreateID($H$2,$A69&lt;&gt;"")</f>
        <v>10</v>
      </c>
      <c r="I69" s="9" t="str">
        <f t="shared" si="15"/>
        <v/>
      </c>
      <c r="J69" s="9" t="str">
        <f t="shared" si="16"/>
        <v/>
      </c>
      <c r="K69" s="9" t="str">
        <f t="shared" si="17"/>
        <v/>
      </c>
      <c r="L69" s="9" cm="1">
        <f t="array" aca="1" ref="L69" ca="1">CreateID($L$2,$I69&lt;&gt;INDEX($I:$I,ROW()-1))</f>
        <v>20</v>
      </c>
      <c r="M69" s="9" t="str" cm="1">
        <f t="array" aca="1" ref="M69" ca="1">IF($Q69="","",INDIRECT($Q69))</f>
        <v/>
      </c>
      <c r="N69" s="9" t="str">
        <f t="shared" ca="1" si="18"/>
        <v>D</v>
      </c>
      <c r="O69" s="9" t="str">
        <f t="shared" ca="1" si="19"/>
        <v>QI10</v>
      </c>
    </row>
    <row r="70" spans="1:17" x14ac:dyDescent="0.25">
      <c r="A70" s="108" t="str" cm="1">
        <f t="array" aca="1" ref="A70" ca="1">IF($Q70="","",_xlfn.LET(
_xlpm._fullName,IF($R70="",SUBSTITUTE(SUBSTITUTE(INDIRECT($Q70),CHAR(10)," "),"  "," "),$R70),
_xlpm._truncatedName,IF(LEN(_xlpm._fullName)&gt;250,LEFT(_xlpm._fullName,250)&amp;"[…]",_xlpm._fullName),
HYPERLINK("#'"&amp;$I70&amp;"'!"&amp;$J70&amp;$K70,
_xlpm._truncatedName)))</f>
        <v/>
      </c>
      <c r="B70" s="106" t="str" cm="1">
        <f t="array" aca="1" ref="B70" ca="1">IF($A70="","",SimpleLookup($A70,Questions!$A:$B))</f>
        <v/>
      </c>
      <c r="C70" s="107" t="s">
        <v>10</v>
      </c>
      <c r="D70" s="110" t="s">
        <v>1580</v>
      </c>
      <c r="E70" s="106" t="str" cm="1">
        <f t="array" aca="1" ref="E70" ca="1">_xlfn.LET(
_xlpm._options,IF($O70="","",SimpleLookup($O70,Questions!$A:$H)),
_xlpm._followUpStart,FIND($C70&amp;":",_xlpm._options)+LEN($C70&amp;":"),
_xlpm._followUpEnd,FIND(CHAR(10),_xlpm._options&amp;CHAR(10),_xlpm._followUpStart),
IF($C70="","",TRIM(MID(_xlpm._options,_xlpm._followUpStart,_xlpm._followUpEnd-_xlpm._followUpStart))))</f>
        <v/>
      </c>
      <c r="F70" s="107"/>
      <c r="G70" s="113"/>
      <c r="H70" s="113" cm="1">
        <f t="array" aca="1" ref="H70" ca="1">CreateID($H$2,$A70&lt;&gt;"")</f>
        <v>10</v>
      </c>
      <c r="I70" s="9" t="str">
        <f t="shared" si="15"/>
        <v/>
      </c>
      <c r="J70" s="9" t="str">
        <f t="shared" si="16"/>
        <v/>
      </c>
      <c r="K70" s="9" t="str">
        <f t="shared" si="17"/>
        <v/>
      </c>
      <c r="L70" s="9" cm="1">
        <f t="array" aca="1" ref="L70" ca="1">CreateID($L$2,$I70&lt;&gt;INDEX($I:$I,ROW()-1))</f>
        <v>20</v>
      </c>
      <c r="M70" s="9" t="str" cm="1">
        <f t="array" aca="1" ref="M70" ca="1">IF($Q70="","",INDIRECT($Q70))</f>
        <v/>
      </c>
      <c r="N70" s="9" t="str">
        <f t="shared" ca="1" si="18"/>
        <v>D</v>
      </c>
      <c r="O70" s="9" t="str">
        <f t="shared" ca="1" si="19"/>
        <v>QI10</v>
      </c>
    </row>
    <row r="71" spans="1:17" ht="180" x14ac:dyDescent="0.25">
      <c r="A71" s="108" t="str" cm="1">
        <f t="array" aca="1" ref="A71" ca="1">IF($Q71="","",_xlfn.LET(
_xlpm._fullName,IF($R71="",SUBSTITUTE(SUBSTITUTE(INDIRECT($Q71),CHAR(10)," "),"  "," "),$R71),
_xlpm._truncatedName,IF(LEN(_xlpm._fullName)&gt;250,LEFT(_xlpm._fullName,250)&amp;"[…]",_xlpm._fullName),
HYPERLINK("#'"&amp;$I71&amp;"'!"&amp;$J71&amp;$K71,
_xlpm._truncatedName)))</f>
        <v>QI11</v>
      </c>
      <c r="B71" s="106" t="str" cm="1">
        <f t="array" aca="1" ref="B71" ca="1">IF($A71="","",SimpleLookup($A71,Questions!$A:$B))</f>
        <v>Can a manipulated product disclose personal data to an attacker? Also consider cases where the product is used against its intended use or misconfigured!</v>
      </c>
      <c r="C71" s="107" t="s">
        <v>9</v>
      </c>
      <c r="D71" s="110" t="s">
        <v>1705</v>
      </c>
      <c r="E71" s="106" t="str" cm="1">
        <f t="array" aca="1" ref="E71" ca="1">_xlfn.LET(
_xlpm._options,IF($O71="","",SimpleLookup($O71,Questions!$A:$H)),
_xlpm._followUpStart,FIND($C71&amp;":",_xlpm._options)+LEN($C71&amp;":"),
_xlpm._followUpEnd,FIND(CHAR(10),_xlpm._options&amp;CHAR(10),_xlpm._followUpStart),
IF($C71="","",TRIM(MID(_xlpm._options,_xlpm._followUpStart,_xlpm._followUpEnd-_xlpm._followUpStart))))</f>
        <v>What is the criticality of the disclosed data?</v>
      </c>
      <c r="F71" s="107"/>
      <c r="G71" s="113" t="s">
        <v>1598</v>
      </c>
      <c r="H71" s="113" cm="1">
        <f t="array" aca="1" ref="H71" ca="1">CreateID($H$2,$A71&lt;&gt;"")</f>
        <v>11</v>
      </c>
      <c r="I71" s="9" t="str">
        <f t="shared" ca="1" si="15"/>
        <v>Questionnaire</v>
      </c>
      <c r="J71" s="9" t="str">
        <f t="shared" ca="1" si="16"/>
        <v>B</v>
      </c>
      <c r="K71" s="9" t="str">
        <f t="shared" ca="1" si="17"/>
        <v>25</v>
      </c>
      <c r="L71" s="9" cm="1">
        <f t="array" aca="1" ref="L71" ca="1">CreateID($L$2,$I71&lt;&gt;INDEX($I:$I,ROW()-1))</f>
        <v>21</v>
      </c>
      <c r="M71" s="9" t="str" cm="1">
        <f t="array" aca="1" ref="M71" ca="1">IF($Q71="","",INDIRECT($Q71))</f>
        <v>QI11</v>
      </c>
      <c r="N71" s="9" t="str">
        <f t="shared" ca="1" si="18"/>
        <v>L</v>
      </c>
      <c r="O71" s="9" t="str">
        <f t="shared" ca="1" si="19"/>
        <v>QI11</v>
      </c>
      <c r="Q71" s="2" t="str" cm="1">
        <f t="array" aca="1" ref="Q71" ca="1">CELL("address",Questionnaire!$B$25)</f>
        <v>'[QuBA-libre.xlsx]Questionnaire'!$B$25</v>
      </c>
    </row>
    <row r="72" spans="1:17" ht="101.25" x14ac:dyDescent="0.25">
      <c r="A72" s="108" t="str" cm="1">
        <f t="array" aca="1" ref="A72" ca="1">IF($Q72="","",_xlfn.LET(
_xlpm._fullName,IF($R72="",SUBSTITUTE(SUBSTITUTE(INDIRECT($Q72),CHAR(10)," "),"  "," "),$R72),
_xlpm._truncatedName,IF(LEN(_xlpm._fullName)&gt;250,LEFT(_xlpm._fullName,250)&amp;"[…]",_xlpm._fullName),
HYPERLINK("#'"&amp;$I72&amp;"'!"&amp;$J72&amp;$K72,
_xlpm._truncatedName)))</f>
        <v/>
      </c>
      <c r="B72" s="106" t="str" cm="1">
        <f t="array" aca="1" ref="B72" ca="1">IF($A72="","",SimpleLookup($A72,Questions!$A:$B))</f>
        <v/>
      </c>
      <c r="C72" s="107"/>
      <c r="D72" s="110"/>
      <c r="E72" s="106" t="str" cm="1">
        <f t="array" aca="1" ref="E72" ca="1">_xlfn.LET(
_xlpm._options,IF($O72="","",SimpleLookup($O72,Questions!$A:$H)),
_xlpm._followUpStart,FIND($C72&amp;":",_xlpm._options)+LEN($C72&amp;":"),
_xlpm._followUpEnd,FIND(CHAR(10),_xlpm._options&amp;CHAR(10),_xlpm._followUpStart),
IF($C72="","",TRIM(MID(_xlpm._options,_xlpm._followUpStart,_xlpm._followUpEnd-_xlpm._followUpStart))))</f>
        <v/>
      </c>
      <c r="F72" s="107" t="str">
        <f>Definitions!$H$5</f>
        <v>Personal data (significant)</v>
      </c>
      <c r="G72" s="113" t="s">
        <v>1571</v>
      </c>
      <c r="H72" s="113" cm="1">
        <f t="array" aca="1" ref="H72" ca="1">CreateID($H$2,$A72&lt;&gt;"")</f>
        <v>11</v>
      </c>
      <c r="I72" s="9" t="str">
        <f t="shared" si="15"/>
        <v/>
      </c>
      <c r="J72" s="9" t="str">
        <f t="shared" si="16"/>
        <v/>
      </c>
      <c r="K72" s="9" t="str">
        <f t="shared" si="17"/>
        <v/>
      </c>
      <c r="L72" s="9" cm="1">
        <f t="array" aca="1" ref="L72" ca="1">CreateID($L$2,$I72&lt;&gt;INDEX($I:$I,ROW()-1))</f>
        <v>22</v>
      </c>
      <c r="M72" s="9" t="str" cm="1">
        <f t="array" aca="1" ref="M72" ca="1">IF($Q72="","",INDIRECT($Q72))</f>
        <v/>
      </c>
      <c r="N72" s="9" t="str">
        <f t="shared" ca="1" si="18"/>
        <v>L</v>
      </c>
      <c r="O72" s="9" t="str">
        <f t="shared" ca="1" si="19"/>
        <v>QI11</v>
      </c>
    </row>
    <row r="73" spans="1:17" ht="101.25" x14ac:dyDescent="0.25">
      <c r="A73" s="108" t="str" cm="1">
        <f t="array" aca="1" ref="A73" ca="1">IF($Q73="","",_xlfn.LET(
_xlpm._fullName,IF($R73="",SUBSTITUTE(SUBSTITUTE(INDIRECT($Q73),CHAR(10)," "),"  "," "),$R73),
_xlpm._truncatedName,IF(LEN(_xlpm._fullName)&gt;250,LEFT(_xlpm._fullName,250)&amp;"[…]",_xlpm._fullName),
HYPERLINK("#'"&amp;$I73&amp;"'!"&amp;$J73&amp;$K73,
_xlpm._truncatedName)))</f>
        <v/>
      </c>
      <c r="B73" s="106" t="str" cm="1">
        <f t="array" aca="1" ref="B73" ca="1">IF($A73="","",SimpleLookup($A73,Questions!$A:$B))</f>
        <v/>
      </c>
      <c r="C73" s="107"/>
      <c r="D73" s="110"/>
      <c r="E73" s="106" t="str" cm="1">
        <f t="array" aca="1" ref="E73" ca="1">_xlfn.LET(
_xlpm._options,IF($O73="","",SimpleLookup($O73,Questions!$A:$H)),
_xlpm._followUpStart,FIND($C73&amp;":",_xlpm._options)+LEN($C73&amp;":"),
_xlpm._followUpEnd,FIND(CHAR(10),_xlpm._options&amp;CHAR(10),_xlpm._followUpStart),
IF($C73="","",TRIM(MID(_xlpm._options,_xlpm._followUpStart,_xlpm._followUpEnd-_xlpm._followUpStart))))</f>
        <v/>
      </c>
      <c r="F73" s="107" t="str">
        <f>Definitions!$H$6</f>
        <v>Personal data (ruinous)</v>
      </c>
      <c r="G73" s="113" t="s">
        <v>1572</v>
      </c>
      <c r="H73" s="113" cm="1">
        <f t="array" aca="1" ref="H73" ca="1">CreateID($H$2,$A73&lt;&gt;"")</f>
        <v>11</v>
      </c>
      <c r="I73" s="9" t="str">
        <f t="shared" si="15"/>
        <v/>
      </c>
      <c r="J73" s="9" t="str">
        <f t="shared" si="16"/>
        <v/>
      </c>
      <c r="K73" s="9" t="str">
        <f t="shared" si="17"/>
        <v/>
      </c>
      <c r="L73" s="9" cm="1">
        <f t="array" aca="1" ref="L73" ca="1">CreateID($L$2,$I73&lt;&gt;INDEX($I:$I,ROW()-1))</f>
        <v>22</v>
      </c>
      <c r="M73" s="9" t="str" cm="1">
        <f t="array" aca="1" ref="M73" ca="1">IF($Q73="","",INDIRECT($Q73))</f>
        <v/>
      </c>
      <c r="N73" s="9" t="str">
        <f t="shared" ca="1" si="18"/>
        <v>L</v>
      </c>
      <c r="O73" s="9" t="str">
        <f t="shared" ca="1" si="19"/>
        <v>QI11</v>
      </c>
    </row>
    <row r="74" spans="1:17" ht="123.75" x14ac:dyDescent="0.25">
      <c r="A74" s="108" t="str" cm="1">
        <f t="array" aca="1" ref="A74" ca="1">IF($Q74="","",_xlfn.LET(
_xlpm._fullName,IF($R74="",SUBSTITUTE(SUBSTITUTE(INDIRECT($Q74),CHAR(10)," "),"  "," "),$R74),
_xlpm._truncatedName,IF(LEN(_xlpm._fullName)&gt;250,LEFT(_xlpm._fullName,250)&amp;"[…]",_xlpm._fullName),
HYPERLINK("#'"&amp;$I74&amp;"'!"&amp;$J74&amp;$K74,
_xlpm._truncatedName)))</f>
        <v/>
      </c>
      <c r="B74" s="106" t="str" cm="1">
        <f t="array" aca="1" ref="B74" ca="1">IF($A74="","",SimpleLookup($A74,Questions!$A:$B))</f>
        <v/>
      </c>
      <c r="C74" s="107"/>
      <c r="D74" s="110"/>
      <c r="E74" s="106" t="str" cm="1">
        <f t="array" aca="1" ref="E74" ca="1">_xlfn.LET(
_xlpm._options,IF($O74="","",SimpleLookup($O74,Questions!$A:$H)),
_xlpm._followUpStart,FIND($C74&amp;":",_xlpm._options)+LEN($C74&amp;":"),
_xlpm._followUpEnd,FIND(CHAR(10),_xlpm._options&amp;CHAR(10),_xlpm._followUpStart),
IF($C74="","",TRIM(MID(_xlpm._options,_xlpm._followUpStart,_xlpm._followUpEnd-_xlpm._followUpStart))))</f>
        <v/>
      </c>
      <c r="F74" s="107" t="str">
        <f>Definitions!$H$7</f>
        <v>IP (slightly innovative)</v>
      </c>
      <c r="G74" s="113" t="s">
        <v>1573</v>
      </c>
      <c r="H74" s="113" cm="1">
        <f t="array" aca="1" ref="H74" ca="1">CreateID($H$2,$A74&lt;&gt;"")</f>
        <v>11</v>
      </c>
      <c r="I74" s="9" t="str">
        <f t="shared" si="15"/>
        <v/>
      </c>
      <c r="J74" s="9" t="str">
        <f t="shared" si="16"/>
        <v/>
      </c>
      <c r="K74" s="9" t="str">
        <f t="shared" si="17"/>
        <v/>
      </c>
      <c r="L74" s="9" cm="1">
        <f t="array" aca="1" ref="L74" ca="1">CreateID($L$2,$I74&lt;&gt;INDEX($I:$I,ROW()-1))</f>
        <v>22</v>
      </c>
      <c r="M74" s="9" t="str" cm="1">
        <f t="array" aca="1" ref="M74" ca="1">IF($Q74="","",INDIRECT($Q74))</f>
        <v/>
      </c>
      <c r="N74" s="9" t="str">
        <f t="shared" ca="1" si="18"/>
        <v>L</v>
      </c>
      <c r="O74" s="9" t="str">
        <f t="shared" ca="1" si="19"/>
        <v>QI11</v>
      </c>
    </row>
    <row r="75" spans="1:17" ht="96" x14ac:dyDescent="0.25">
      <c r="A75" s="108" t="str" cm="1">
        <f t="array" aca="1" ref="A75" ca="1">IF($Q75="","",_xlfn.LET(
_xlpm._fullName,IF($R75="",SUBSTITUTE(SUBSTITUTE(INDIRECT($Q75),CHAR(10)," "),"  "," "),$R75),
_xlpm._truncatedName,IF(LEN(_xlpm._fullName)&gt;250,LEFT(_xlpm._fullName,250)&amp;"[…]",_xlpm._fullName),
HYPERLINK("#'"&amp;$I75&amp;"'!"&amp;$J75&amp;$K75,
_xlpm._truncatedName)))</f>
        <v/>
      </c>
      <c r="B75" s="106" t="str" cm="1">
        <f t="array" aca="1" ref="B75" ca="1">IF($A75="","",SimpleLookup($A75,Questions!$A:$B))</f>
        <v/>
      </c>
      <c r="C75" s="107" t="s">
        <v>10</v>
      </c>
      <c r="D75" s="110" t="s">
        <v>1599</v>
      </c>
      <c r="E75" s="106" t="str" cm="1">
        <f t="array" aca="1" ref="E75" ca="1">_xlfn.LET(
_xlpm._options,IF($O75="","",SimpleLookup($O75,Questions!$A:$H)),
_xlpm._followUpStart,FIND($C75&amp;":",_xlpm._options)+LEN($C75&amp;":"),
_xlpm._followUpEnd,FIND(CHAR(10),_xlpm._options&amp;CHAR(10),_xlpm._followUpStart),
IF($C75="","",TRIM(MID(_xlpm._options,_xlpm._followUpStart,_xlpm._followUpEnd-_xlpm._followUpStart))))</f>
        <v/>
      </c>
      <c r="F75" s="107"/>
      <c r="G75" s="113"/>
      <c r="H75" s="113" cm="1">
        <f t="array" aca="1" ref="H75" ca="1">CreateID($H$2,$A75&lt;&gt;"")</f>
        <v>11</v>
      </c>
      <c r="I75" s="9" t="str">
        <f t="shared" si="15"/>
        <v/>
      </c>
      <c r="J75" s="9" t="str">
        <f t="shared" si="16"/>
        <v/>
      </c>
      <c r="K75" s="9" t="str">
        <f t="shared" si="17"/>
        <v/>
      </c>
      <c r="L75" s="9" cm="1">
        <f t="array" aca="1" ref="L75" ca="1">CreateID($L$2,$I75&lt;&gt;INDEX($I:$I,ROW()-1))</f>
        <v>22</v>
      </c>
      <c r="M75" s="9" t="str" cm="1">
        <f t="array" aca="1" ref="M75" ca="1">IF($Q75="","",INDIRECT($Q75))</f>
        <v/>
      </c>
      <c r="N75" s="9" t="str">
        <f t="shared" ca="1" si="18"/>
        <v>L</v>
      </c>
      <c r="O75" s="9" t="str">
        <f t="shared" ca="1" si="19"/>
        <v>QI11</v>
      </c>
    </row>
    <row r="76" spans="1:17" ht="240" x14ac:dyDescent="0.25">
      <c r="A76" s="108" t="str" cm="1">
        <f t="array" aca="1" ref="A76" ca="1">IF($Q76="","",_xlfn.LET(
_xlpm._fullName,IF($R76="",SUBSTITUTE(SUBSTITUTE(INDIRECT($Q76),CHAR(10)," "),"  "," "),$R76),
_xlpm._truncatedName,IF(LEN(_xlpm._fullName)&gt;250,LEFT(_xlpm._fullName,250)&amp;"[…]",_xlpm._fullName),
HYPERLINK("#'"&amp;$I76&amp;"'!"&amp;$J76&amp;$K76,
_xlpm._truncatedName)))</f>
        <v>QI12</v>
      </c>
      <c r="B76" s="106" t="str" cm="1">
        <f t="array" aca="1" ref="B76" ca="1">IF($A76="","",SimpleLookup($A76,Questions!$A:$B))</f>
        <v>Can a manipulated product disclose intellectual property to an attacker? Also consider cases where the product is used against its intended use or misconfigured!
Note that this includes both &lt;&lt; OEM Name &gt;&gt; and customer IP.</v>
      </c>
      <c r="C76" s="107" t="s">
        <v>9</v>
      </c>
      <c r="D76" s="110" t="s">
        <v>1600</v>
      </c>
      <c r="E76" s="106" t="str" cm="1">
        <f t="array" aca="1" ref="E76" ca="1">_xlfn.LET(
_xlpm._options,IF($O76="","",SimpleLookup($O76,Questions!$A:$H)),
_xlpm._followUpStart,FIND($C76&amp;":",_xlpm._options)+LEN($C76&amp;":"),
_xlpm._followUpEnd,FIND(CHAR(10),_xlpm._options&amp;CHAR(10),_xlpm._followUpStart),
IF($C76="","",TRIM(MID(_xlpm._options,_xlpm._followUpStart,_xlpm._followUpEnd-_xlpm._followUpStart))))</f>
        <v>What is the criticality of the disclosed data?</v>
      </c>
      <c r="F76" s="107" t="str">
        <f>Definitions!$H$8</f>
        <v>IP (moderately innovative)</v>
      </c>
      <c r="G76" s="113" t="s">
        <v>1568</v>
      </c>
      <c r="H76" s="113" cm="1">
        <f t="array" aca="1" ref="H76" ca="1">CreateID($H$2,$A76&lt;&gt;"")</f>
        <v>12</v>
      </c>
      <c r="I76" s="9" t="str">
        <f t="shared" ca="1" si="15"/>
        <v>Questionnaire</v>
      </c>
      <c r="J76" s="9" t="str">
        <f t="shared" ca="1" si="16"/>
        <v>B</v>
      </c>
      <c r="K76" s="9" t="str">
        <f t="shared" ca="1" si="17"/>
        <v>26</v>
      </c>
      <c r="L76" s="9" cm="1">
        <f t="array" aca="1" ref="L76" ca="1">CreateID($L$2,$I76&lt;&gt;INDEX($I:$I,ROW()-1))</f>
        <v>23</v>
      </c>
      <c r="M76" s="9" t="str" cm="1">
        <f t="array" aca="1" ref="M76" ca="1">IF($Q76="","",INDIRECT($Q76))</f>
        <v>QI12</v>
      </c>
      <c r="N76" s="9" t="str">
        <f t="shared" ca="1" si="18"/>
        <v>D</v>
      </c>
      <c r="O76" s="9" t="str">
        <f t="shared" ca="1" si="19"/>
        <v>QI12</v>
      </c>
      <c r="Q76" s="2" t="str" cm="1">
        <f t="array" aca="1" ref="Q76" ca="1">CELL("address",Questionnaire!$B$26)</f>
        <v>'[QuBA-libre.xlsx]Questionnaire'!$B$26</v>
      </c>
    </row>
    <row r="77" spans="1:17" ht="22.5" x14ac:dyDescent="0.25">
      <c r="A77" s="108" t="str" cm="1">
        <f t="array" aca="1" ref="A77" ca="1">IF($Q77="","",_xlfn.LET(
_xlpm._fullName,IF($R77="",SUBSTITUTE(SUBSTITUTE(INDIRECT($Q77),CHAR(10)," "),"  "," "),$R77),
_xlpm._truncatedName,IF(LEN(_xlpm._fullName)&gt;250,LEFT(_xlpm._fullName,250)&amp;"[…]",_xlpm._fullName),
HYPERLINK("#'"&amp;$I77&amp;"'!"&amp;$J77&amp;$K77,
_xlpm._truncatedName)))</f>
        <v/>
      </c>
      <c r="B77" s="106" t="str" cm="1">
        <f t="array" aca="1" ref="B77" ca="1">IF($A77="","",SimpleLookup($A77,Questions!$A:$B))</f>
        <v/>
      </c>
      <c r="C77" s="107"/>
      <c r="D77" s="110"/>
      <c r="E77" s="106" t="str" cm="1">
        <f t="array" aca="1" ref="E77" ca="1">_xlfn.LET(
_xlpm._options,IF($O77="","",SimpleLookup($O77,Questions!$A:$H)),
_xlpm._followUpStart,FIND($C77&amp;":",_xlpm._options)+LEN($C77&amp;":"),
_xlpm._followUpEnd,FIND(CHAR(10),_xlpm._options&amp;CHAR(10),_xlpm._followUpStart),
IF($C77="","",TRIM(MID(_xlpm._options,_xlpm._followUpStart,_xlpm._followUpEnd-_xlpm._followUpStart))))</f>
        <v/>
      </c>
      <c r="F77" s="107" t="str">
        <f>Definitions!$H$9</f>
        <v>IP (highly innovative)</v>
      </c>
      <c r="G77" s="113" t="s">
        <v>1569</v>
      </c>
      <c r="H77" s="113" cm="1">
        <f t="array" aca="1" ref="H77" ca="1">CreateID($H$2,$A77&lt;&gt;"")</f>
        <v>12</v>
      </c>
      <c r="I77" s="9" t="str">
        <f t="shared" si="15"/>
        <v/>
      </c>
      <c r="J77" s="9" t="str">
        <f t="shared" si="16"/>
        <v/>
      </c>
      <c r="K77" s="9" t="str">
        <f t="shared" si="17"/>
        <v/>
      </c>
      <c r="L77" s="9" cm="1">
        <f t="array" aca="1" ref="L77" ca="1">CreateID($L$2,$I77&lt;&gt;INDEX($I:$I,ROW()-1))</f>
        <v>24</v>
      </c>
      <c r="M77" s="9" t="str" cm="1">
        <f t="array" aca="1" ref="M77" ca="1">IF($Q77="","",INDIRECT($Q77))</f>
        <v/>
      </c>
      <c r="N77" s="9" t="str">
        <f t="shared" ca="1" si="18"/>
        <v>D</v>
      </c>
      <c r="O77" s="9" t="str">
        <f t="shared" ca="1" si="19"/>
        <v>QI12</v>
      </c>
    </row>
    <row r="78" spans="1:17" ht="22.5" x14ac:dyDescent="0.25">
      <c r="A78" s="108" t="str" cm="1">
        <f t="array" aca="1" ref="A78" ca="1">IF($Q78="","",_xlfn.LET(
_xlpm._fullName,IF($R78="",SUBSTITUTE(SUBSTITUTE(INDIRECT($Q78),CHAR(10)," "),"  "," "),$R78),
_xlpm._truncatedName,IF(LEN(_xlpm._fullName)&gt;250,LEFT(_xlpm._fullName,250)&amp;"[…]",_xlpm._fullName),
HYPERLINK("#'"&amp;$I78&amp;"'!"&amp;$J78&amp;$K78,
_xlpm._truncatedName)))</f>
        <v/>
      </c>
      <c r="B78" s="106" t="str" cm="1">
        <f t="array" aca="1" ref="B78" ca="1">IF($A78="","",SimpleLookup($A78,Questions!$A:$B))</f>
        <v/>
      </c>
      <c r="C78" s="107"/>
      <c r="D78" s="110"/>
      <c r="E78" s="106" t="str" cm="1">
        <f t="array" aca="1" ref="E78" ca="1">_xlfn.LET(
_xlpm._options,IF($O78="","",SimpleLookup($O78,Questions!$A:$H)),
_xlpm._followUpStart,FIND($C78&amp;":",_xlpm._options)+LEN($C78&amp;":"),
_xlpm._followUpEnd,FIND(CHAR(10),_xlpm._options&amp;CHAR(10),_xlpm._followUpStart),
IF($C78="","",TRIM(MID(_xlpm._options,_xlpm._followUpStart,_xlpm._followUpEnd-_xlpm._followUpStart))))</f>
        <v/>
      </c>
      <c r="F78" s="107" t="str">
        <f>Definitions!$H$10</f>
        <v>Low financial damage</v>
      </c>
      <c r="G78" s="113" t="s">
        <v>1570</v>
      </c>
      <c r="H78" s="113" cm="1">
        <f t="array" aca="1" ref="H78" ca="1">CreateID($H$2,$A78&lt;&gt;"")</f>
        <v>12</v>
      </c>
      <c r="I78" s="9" t="str">
        <f t="shared" si="15"/>
        <v/>
      </c>
      <c r="J78" s="9" t="str">
        <f t="shared" si="16"/>
        <v/>
      </c>
      <c r="K78" s="9" t="str">
        <f t="shared" si="17"/>
        <v/>
      </c>
      <c r="L78" s="9" cm="1">
        <f t="array" aca="1" ref="L78" ca="1">CreateID($L$2,$I78&lt;&gt;INDEX($I:$I,ROW()-1))</f>
        <v>24</v>
      </c>
      <c r="M78" s="9" t="str" cm="1">
        <f t="array" aca="1" ref="M78" ca="1">IF($Q78="","",INDIRECT($Q78))</f>
        <v/>
      </c>
      <c r="N78" s="9" t="str">
        <f t="shared" ca="1" si="18"/>
        <v>D</v>
      </c>
      <c r="O78" s="9" t="str">
        <f t="shared" ca="1" si="19"/>
        <v>QI12</v>
      </c>
    </row>
    <row r="79" spans="1:17" ht="48" x14ac:dyDescent="0.25">
      <c r="A79" s="108" t="str" cm="1">
        <f t="array" aca="1" ref="A79" ca="1">IF($Q79="","",_xlfn.LET(
_xlpm._fullName,IF($R79="",SUBSTITUTE(SUBSTITUTE(INDIRECT($Q79),CHAR(10)," "),"  "," "),$R79),
_xlpm._truncatedName,IF(LEN(_xlpm._fullName)&gt;250,LEFT(_xlpm._fullName,250)&amp;"[…]",_xlpm._fullName),
HYPERLINK("#'"&amp;$I79&amp;"'!"&amp;$J79&amp;$K79,
_xlpm._truncatedName)))</f>
        <v/>
      </c>
      <c r="B79" s="106" t="str" cm="1">
        <f t="array" aca="1" ref="B79" ca="1">IF($A79="","",SimpleLookup($A79,Questions!$A:$B))</f>
        <v/>
      </c>
      <c r="C79" s="107" t="s">
        <v>10</v>
      </c>
      <c r="D79" s="110" t="s">
        <v>1601</v>
      </c>
      <c r="E79" s="106" t="str" cm="1">
        <f t="array" aca="1" ref="E79" ca="1">_xlfn.LET(
_xlpm._options,IF($O79="","",SimpleLookup($O79,Questions!$A:$H)),
_xlpm._followUpStart,FIND($C79&amp;":",_xlpm._options)+LEN($C79&amp;":"),
_xlpm._followUpEnd,FIND(CHAR(10),_xlpm._options&amp;CHAR(10),_xlpm._followUpStart),
IF($C79="","",TRIM(MID(_xlpm._options,_xlpm._followUpStart,_xlpm._followUpEnd-_xlpm._followUpStart))))</f>
        <v/>
      </c>
      <c r="F79" s="107"/>
      <c r="G79" s="113"/>
      <c r="H79" s="113" cm="1">
        <f t="array" aca="1" ref="H79" ca="1">CreateID($H$2,$A79&lt;&gt;"")</f>
        <v>12</v>
      </c>
      <c r="I79" s="9" t="str">
        <f t="shared" si="15"/>
        <v/>
      </c>
      <c r="J79" s="9" t="str">
        <f t="shared" si="16"/>
        <v/>
      </c>
      <c r="K79" s="9" t="str">
        <f t="shared" si="17"/>
        <v/>
      </c>
      <c r="L79" s="9" cm="1">
        <f t="array" aca="1" ref="L79" ca="1">CreateID($L$2,$I79&lt;&gt;INDEX($I:$I,ROW()-1))</f>
        <v>24</v>
      </c>
      <c r="M79" s="9" t="str" cm="1">
        <f t="array" aca="1" ref="M79" ca="1">IF($Q79="","",INDIRECT($Q79))</f>
        <v/>
      </c>
      <c r="N79" s="9" t="str">
        <f t="shared" ca="1" si="18"/>
        <v>D</v>
      </c>
      <c r="O79" s="9" t="str">
        <f t="shared" ca="1" si="19"/>
        <v>QI12</v>
      </c>
    </row>
    <row r="80" spans="1:17" ht="240" x14ac:dyDescent="0.25">
      <c r="A80" s="108" t="str" cm="1">
        <f t="array" aca="1" ref="A80" ca="1">IF($Q80="","",_xlfn.LET(
_xlpm._fullName,IF($R80="",SUBSTITUTE(SUBSTITUTE(INDIRECT($Q80),CHAR(10)," "),"  "," "),$R80),
_xlpm._truncatedName,IF(LEN(_xlpm._fullName)&gt;250,LEFT(_xlpm._fullName,250)&amp;"[…]",_xlpm._fullName),
HYPERLINK("#'"&amp;$I80&amp;"'!"&amp;$J80&amp;$K80,
_xlpm._truncatedName)))</f>
        <v>QI13</v>
      </c>
      <c r="B80" s="106" t="str" cm="1">
        <f t="array" aca="1" ref="B80" ca="1">IF($A80="","",SimpleLookup($A80,Questions!$A:$B))</f>
        <v>Can a manipulated product disclose credentials / cryptographic material to an attacker? Also consider cases where the product does not disclose the material but misuses its access to other systems! (E.g., product contains access credentials to store data on a server.)</v>
      </c>
      <c r="C80" s="107" t="s">
        <v>9</v>
      </c>
      <c r="D80" s="110" t="s">
        <v>1602</v>
      </c>
      <c r="E80" s="106" t="str" cm="1">
        <f t="array" aca="1" ref="E80" ca="1">_xlfn.LET(
_xlpm._options,IF($O80="","",SimpleLookup($O80,Questions!$A:$H)),
_xlpm._followUpStart,FIND($C80&amp;":",_xlpm._options)+LEN($C80&amp;":"),
_xlpm._followUpEnd,FIND(CHAR(10),_xlpm._options&amp;CHAR(10),_xlpm._followUpStart),
IF($C80="","",TRIM(MID(_xlpm._options,_xlpm._followUpStart,_xlpm._followUpEnd-_xlpm._followUpStart))))</f>
        <v>What is the criticality of the disclosed data / what are the consequences of the malicious access?</v>
      </c>
      <c r="F80" s="107"/>
      <c r="G80" s="113" t="s">
        <v>1594</v>
      </c>
      <c r="H80" s="113" cm="1">
        <f t="array" aca="1" ref="H80" ca="1">CreateID($H$2,$A80&lt;&gt;"")</f>
        <v>13</v>
      </c>
      <c r="I80" s="9" t="str">
        <f t="shared" ca="1" si="15"/>
        <v>Questionnaire</v>
      </c>
      <c r="J80" s="9" t="str">
        <f t="shared" ca="1" si="16"/>
        <v>B</v>
      </c>
      <c r="K80" s="9" t="str">
        <f t="shared" ca="1" si="17"/>
        <v>27</v>
      </c>
      <c r="L80" s="9" cm="1">
        <f t="array" aca="1" ref="L80" ca="1">CreateID($L$2,$I80&lt;&gt;INDEX($I:$I,ROW()-1))</f>
        <v>25</v>
      </c>
      <c r="M80" s="9" t="str" cm="1">
        <f t="array" aca="1" ref="M80" ca="1">IF($Q80="","",INDIRECT($Q80))</f>
        <v>QI13</v>
      </c>
      <c r="N80" s="9" t="str">
        <f t="shared" ca="1" si="18"/>
        <v>L</v>
      </c>
      <c r="O80" s="9" t="str">
        <f t="shared" ca="1" si="19"/>
        <v>QI13</v>
      </c>
      <c r="Q80" s="2" t="str" cm="1">
        <f t="array" aca="1" ref="Q80" ca="1">CELL("address",Questionnaire!$B$27)</f>
        <v>'[QuBA-libre.xlsx]Questionnaire'!$B$27</v>
      </c>
    </row>
    <row r="81" spans="1:15" ht="101.25" x14ac:dyDescent="0.25">
      <c r="A81" s="108" t="str" cm="1">
        <f t="array" aca="1" ref="A81" ca="1">IF($Q81="","",_xlfn.LET(
_xlpm._fullName,IF($R81="",SUBSTITUTE(SUBSTITUTE(INDIRECT($Q81),CHAR(10)," "),"  "," "),$R81),
_xlpm._truncatedName,IF(LEN(_xlpm._fullName)&gt;250,LEFT(_xlpm._fullName,250)&amp;"[…]",_xlpm._fullName),
HYPERLINK("#'"&amp;$I81&amp;"'!"&amp;$J81&amp;$K81,
_xlpm._truncatedName)))</f>
        <v/>
      </c>
      <c r="B81" s="106" t="str" cm="1">
        <f t="array" aca="1" ref="B81" ca="1">IF($A81="","",SimpleLookup($A81,Questions!$A:$B))</f>
        <v/>
      </c>
      <c r="C81" s="107"/>
      <c r="D81" s="110"/>
      <c r="E81" s="106" t="str" cm="1">
        <f t="array" aca="1" ref="E81" ca="1">_xlfn.LET(
_xlpm._options,IF($O81="","",SimpleLookup($O81,Questions!$A:$H)),
_xlpm._followUpStart,FIND($C81&amp;":",_xlpm._options)+LEN($C81&amp;":"),
_xlpm._followUpEnd,FIND(CHAR(10),_xlpm._options&amp;CHAR(10),_xlpm._followUpStart),
IF($C81="","",TRIM(MID(_xlpm._options,_xlpm._followUpStart,_xlpm._followUpEnd-_xlpm._followUpStart))))</f>
        <v/>
      </c>
      <c r="F81" s="107" t="str">
        <f>Definitions!$H$5</f>
        <v>Personal data (significant)</v>
      </c>
      <c r="G81" s="113" t="s">
        <v>1571</v>
      </c>
      <c r="H81" s="113" cm="1">
        <f t="array" aca="1" ref="H81" ca="1">CreateID($H$2,$A81&lt;&gt;"")</f>
        <v>13</v>
      </c>
      <c r="I81" s="9" t="str">
        <f t="shared" si="15"/>
        <v/>
      </c>
      <c r="J81" s="9" t="str">
        <f t="shared" si="16"/>
        <v/>
      </c>
      <c r="K81" s="9" t="str">
        <f t="shared" si="17"/>
        <v/>
      </c>
      <c r="L81" s="9" cm="1">
        <f t="array" aca="1" ref="L81" ca="1">CreateID($L$2,$I81&lt;&gt;INDEX($I:$I,ROW()-1))</f>
        <v>26</v>
      </c>
      <c r="M81" s="9" t="str" cm="1">
        <f t="array" aca="1" ref="M81" ca="1">IF($Q81="","",INDIRECT($Q81))</f>
        <v/>
      </c>
      <c r="N81" s="9" t="str">
        <f t="shared" ca="1" si="18"/>
        <v>L</v>
      </c>
      <c r="O81" s="9" t="str">
        <f t="shared" ca="1" si="19"/>
        <v>QI13</v>
      </c>
    </row>
    <row r="82" spans="1:15" ht="101.25" x14ac:dyDescent="0.25">
      <c r="A82" s="108" t="str" cm="1">
        <f t="array" aca="1" ref="A82" ca="1">IF($Q82="","",_xlfn.LET(
_xlpm._fullName,IF($R82="",SUBSTITUTE(SUBSTITUTE(INDIRECT($Q82),CHAR(10)," "),"  "," "),$R82),
_xlpm._truncatedName,IF(LEN(_xlpm._fullName)&gt;250,LEFT(_xlpm._fullName,250)&amp;"[…]",_xlpm._fullName),
HYPERLINK("#'"&amp;$I82&amp;"'!"&amp;$J82&amp;$K82,
_xlpm._truncatedName)))</f>
        <v/>
      </c>
      <c r="B82" s="106" t="str" cm="1">
        <f t="array" aca="1" ref="B82" ca="1">IF($A82="","",SimpleLookup($A82,Questions!$A:$B))</f>
        <v/>
      </c>
      <c r="C82" s="107"/>
      <c r="D82" s="110"/>
      <c r="E82" s="106" t="str" cm="1">
        <f t="array" aca="1" ref="E82" ca="1">_xlfn.LET(
_xlpm._options,IF($O82="","",SimpleLookup($O82,Questions!$A:$H)),
_xlpm._followUpStart,FIND($C82&amp;":",_xlpm._options)+LEN($C82&amp;":"),
_xlpm._followUpEnd,FIND(CHAR(10),_xlpm._options&amp;CHAR(10),_xlpm._followUpStart),
IF($C82="","",TRIM(MID(_xlpm._options,_xlpm._followUpStart,_xlpm._followUpEnd-_xlpm._followUpStart))))</f>
        <v/>
      </c>
      <c r="F82" s="107" t="str">
        <f>Definitions!$H$6</f>
        <v>Personal data (ruinous)</v>
      </c>
      <c r="G82" s="113" t="s">
        <v>1572</v>
      </c>
      <c r="H82" s="113" cm="1">
        <f t="array" aca="1" ref="H82" ca="1">CreateID($H$2,$A82&lt;&gt;"")</f>
        <v>13</v>
      </c>
      <c r="I82" s="9" t="str">
        <f t="shared" ref="I82:I100" si="20">IF($Q82="","",_xlfn.LET(
_xlpm._in,$Q82,
_xlpm._start,FIND("]",_xlpm._in)+1,
SUBSTITUTE(MID(_xlpm._in,_xlpm._start,FIND("!",_xlpm._in)-_xlpm._start),"'","")))</f>
        <v/>
      </c>
      <c r="J82" s="9" t="str">
        <f t="shared" ref="J82:J100" si="21">IF($Q82="","",_xlfn.LET(
_xlpm._in,SUBSTITUTE($Q82,"$","§",1),
_xlpm._start,FIND("§",_xlpm._in)+1,
SUBSTITUTE(MID(_xlpm._in,_xlpm._start,FIND("$",_xlpm._in)-_xlpm._start),"'","")))</f>
        <v/>
      </c>
      <c r="K82" s="9" t="str">
        <f t="shared" ref="K82:K100" si="22">IF($Q82="","",RIGHT($Q82,LEN($Q82)-FIND("$",SUBSTITUTE($Q82,"$","§",1))))</f>
        <v/>
      </c>
      <c r="L82" s="9" cm="1">
        <f t="array" aca="1" ref="L82" ca="1">CreateID($L$2,$I82&lt;&gt;INDEX($I:$I,ROW()-1))</f>
        <v>26</v>
      </c>
      <c r="M82" s="9" t="str" cm="1">
        <f t="array" aca="1" ref="M82" ca="1">IF($Q82="","",INDIRECT($Q82))</f>
        <v/>
      </c>
      <c r="N82" s="9" t="str">
        <f t="shared" ref="N82:N100" ca="1" si="23">IF(MOD($H82,2)=0,"D","L")</f>
        <v>L</v>
      </c>
      <c r="O82" s="9" t="str">
        <f t="shared" ref="O82:O100" ca="1" si="24">IF($A82="",OFFSET($O82,-1,0),$A82)</f>
        <v>QI13</v>
      </c>
    </row>
    <row r="83" spans="1:15" ht="123.75" x14ac:dyDescent="0.25">
      <c r="A83" s="108" t="str" cm="1">
        <f t="array" aca="1" ref="A83" ca="1">IF($Q83="","",_xlfn.LET(
_xlpm._fullName,IF($R83="",SUBSTITUTE(SUBSTITUTE(INDIRECT($Q83),CHAR(10)," "),"  "," "),$R83),
_xlpm._truncatedName,IF(LEN(_xlpm._fullName)&gt;250,LEFT(_xlpm._fullName,250)&amp;"[…]",_xlpm._fullName),
HYPERLINK("#'"&amp;$I83&amp;"'!"&amp;$J83&amp;$K83,
_xlpm._truncatedName)))</f>
        <v/>
      </c>
      <c r="B83" s="106" t="str" cm="1">
        <f t="array" aca="1" ref="B83" ca="1">IF($A83="","",SimpleLookup($A83,Questions!$A:$B))</f>
        <v/>
      </c>
      <c r="C83" s="107"/>
      <c r="D83" s="110"/>
      <c r="E83" s="106" t="str" cm="1">
        <f t="array" aca="1" ref="E83" ca="1">_xlfn.LET(
_xlpm._options,IF($O83="","",SimpleLookup($O83,Questions!$A:$H)),
_xlpm._followUpStart,FIND($C83&amp;":",_xlpm._options)+LEN($C83&amp;":"),
_xlpm._followUpEnd,FIND(CHAR(10),_xlpm._options&amp;CHAR(10),_xlpm._followUpStart),
IF($C83="","",TRIM(MID(_xlpm._options,_xlpm._followUpStart,_xlpm._followUpEnd-_xlpm._followUpStart))))</f>
        <v/>
      </c>
      <c r="F83" s="107" t="str">
        <f>Definitions!$H$7</f>
        <v>IP (slightly innovative)</v>
      </c>
      <c r="G83" s="113" t="s">
        <v>1573</v>
      </c>
      <c r="H83" s="113" cm="1">
        <f t="array" aca="1" ref="H83" ca="1">CreateID($H$2,$A83&lt;&gt;"")</f>
        <v>13</v>
      </c>
      <c r="I83" s="9" t="str">
        <f t="shared" si="20"/>
        <v/>
      </c>
      <c r="J83" s="9" t="str">
        <f t="shared" si="21"/>
        <v/>
      </c>
      <c r="K83" s="9" t="str">
        <f t="shared" si="22"/>
        <v/>
      </c>
      <c r="L83" s="9" cm="1">
        <f t="array" aca="1" ref="L83" ca="1">CreateID($L$2,$I83&lt;&gt;INDEX($I:$I,ROW()-1))</f>
        <v>26</v>
      </c>
      <c r="M83" s="9" t="str" cm="1">
        <f t="array" aca="1" ref="M83" ca="1">IF($Q83="","",INDIRECT($Q83))</f>
        <v/>
      </c>
      <c r="N83" s="9" t="str">
        <f t="shared" ca="1" si="23"/>
        <v>L</v>
      </c>
      <c r="O83" s="9" t="str">
        <f t="shared" ca="1" si="24"/>
        <v>QI13</v>
      </c>
    </row>
    <row r="84" spans="1:15" ht="30" x14ac:dyDescent="0.25">
      <c r="A84" s="108" t="str" cm="1">
        <f t="array" aca="1" ref="A84" ca="1">IF($Q84="","",_xlfn.LET(
_xlpm._fullName,IF($R84="",SUBSTITUTE(SUBSTITUTE(INDIRECT($Q84),CHAR(10)," "),"  "," "),$R84),
_xlpm._truncatedName,IF(LEN(_xlpm._fullName)&gt;250,LEFT(_xlpm._fullName,250)&amp;"[…]",_xlpm._fullName),
HYPERLINK("#'"&amp;$I84&amp;"'!"&amp;$J84&amp;$K84,
_xlpm._truncatedName)))</f>
        <v/>
      </c>
      <c r="B84" s="106" t="str" cm="1">
        <f t="array" aca="1" ref="B84" ca="1">IF($A84="","",SimpleLookup($A84,Questions!$A:$B))</f>
        <v/>
      </c>
      <c r="C84" s="107"/>
      <c r="D84" s="110"/>
      <c r="E84" s="106" t="str" cm="1">
        <f t="array" aca="1" ref="E84" ca="1">_xlfn.LET(
_xlpm._options,IF($O84="","",SimpleLookup($O84,Questions!$A:$H)),
_xlpm._followUpStart,FIND($C84&amp;":",_xlpm._options)+LEN($C84&amp;":"),
_xlpm._followUpEnd,FIND(CHAR(10),_xlpm._options&amp;CHAR(10),_xlpm._followUpStart),
IF($C84="","",TRIM(MID(_xlpm._options,_xlpm._followUpStart,_xlpm._followUpEnd-_xlpm._followUpStart))))</f>
        <v/>
      </c>
      <c r="F84" s="107" t="str">
        <f>Definitions!$H$8</f>
        <v>IP (moderately innovative)</v>
      </c>
      <c r="G84" s="113" t="s">
        <v>1568</v>
      </c>
      <c r="H84" s="113" cm="1">
        <f t="array" aca="1" ref="H84" ca="1">CreateID($H$2,$A84&lt;&gt;"")</f>
        <v>13</v>
      </c>
      <c r="I84" s="9" t="str">
        <f t="shared" si="20"/>
        <v/>
      </c>
      <c r="J84" s="9" t="str">
        <f t="shared" si="21"/>
        <v/>
      </c>
      <c r="K84" s="9" t="str">
        <f t="shared" si="22"/>
        <v/>
      </c>
      <c r="L84" s="9" cm="1">
        <f t="array" aca="1" ref="L84" ca="1">CreateID($L$2,$I84&lt;&gt;INDEX($I:$I,ROW()-1))</f>
        <v>26</v>
      </c>
      <c r="M84" s="9" t="str" cm="1">
        <f t="array" aca="1" ref="M84" ca="1">IF($Q84="","",INDIRECT($Q84))</f>
        <v/>
      </c>
      <c r="N84" s="9" t="str">
        <f t="shared" ca="1" si="23"/>
        <v>L</v>
      </c>
      <c r="O84" s="9" t="str">
        <f t="shared" ca="1" si="24"/>
        <v>QI13</v>
      </c>
    </row>
    <row r="85" spans="1:15" ht="22.5" x14ac:dyDescent="0.25">
      <c r="A85" s="108" t="str" cm="1">
        <f t="array" aca="1" ref="A85" ca="1">IF($Q85="","",_xlfn.LET(
_xlpm._fullName,IF($R85="",SUBSTITUTE(SUBSTITUTE(INDIRECT($Q85),CHAR(10)," "),"  "," "),$R85),
_xlpm._truncatedName,IF(LEN(_xlpm._fullName)&gt;250,LEFT(_xlpm._fullName,250)&amp;"[…]",_xlpm._fullName),
HYPERLINK("#'"&amp;$I85&amp;"'!"&amp;$J85&amp;$K85,
_xlpm._truncatedName)))</f>
        <v/>
      </c>
      <c r="B85" s="106" t="str" cm="1">
        <f t="array" aca="1" ref="B85" ca="1">IF($A85="","",SimpleLookup($A85,Questions!$A:$B))</f>
        <v/>
      </c>
      <c r="C85" s="107"/>
      <c r="D85" s="110"/>
      <c r="E85" s="106" t="str" cm="1">
        <f t="array" aca="1" ref="E85" ca="1">_xlfn.LET(
_xlpm._options,IF($O85="","",SimpleLookup($O85,Questions!$A:$H)),
_xlpm._followUpStart,FIND($C85&amp;":",_xlpm._options)+LEN($C85&amp;":"),
_xlpm._followUpEnd,FIND(CHAR(10),_xlpm._options&amp;CHAR(10),_xlpm._followUpStart),
IF($C85="","",TRIM(MID(_xlpm._options,_xlpm._followUpStart,_xlpm._followUpEnd-_xlpm._followUpStart))))</f>
        <v/>
      </c>
      <c r="F85" s="107" t="str">
        <f>Definitions!$H$9</f>
        <v>IP (highly innovative)</v>
      </c>
      <c r="G85" s="113" t="s">
        <v>1569</v>
      </c>
      <c r="H85" s="113" cm="1">
        <f t="array" aca="1" ref="H85" ca="1">CreateID($H$2,$A85&lt;&gt;"")</f>
        <v>13</v>
      </c>
      <c r="I85" s="9" t="str">
        <f t="shared" si="20"/>
        <v/>
      </c>
      <c r="J85" s="9" t="str">
        <f t="shared" si="21"/>
        <v/>
      </c>
      <c r="K85" s="9" t="str">
        <f t="shared" si="22"/>
        <v/>
      </c>
      <c r="L85" s="9" cm="1">
        <f t="array" aca="1" ref="L85" ca="1">CreateID($L$2,$I85&lt;&gt;INDEX($I:$I,ROW()-1))</f>
        <v>26</v>
      </c>
      <c r="M85" s="9" t="str" cm="1">
        <f t="array" aca="1" ref="M85" ca="1">IF($Q85="","",INDIRECT($Q85))</f>
        <v/>
      </c>
      <c r="N85" s="9" t="str">
        <f t="shared" ca="1" si="23"/>
        <v>L</v>
      </c>
      <c r="O85" s="9" t="str">
        <f t="shared" ca="1" si="24"/>
        <v>QI13</v>
      </c>
    </row>
    <row r="86" spans="1:15" ht="22.5" x14ac:dyDescent="0.25">
      <c r="A86" s="108" t="str" cm="1">
        <f t="array" aca="1" ref="A86" ca="1">IF($Q86="","",_xlfn.LET(
_xlpm._fullName,IF($R86="",SUBSTITUTE(SUBSTITUTE(INDIRECT($Q86),CHAR(10)," "),"  "," "),$R86),
_xlpm._truncatedName,IF(LEN(_xlpm._fullName)&gt;250,LEFT(_xlpm._fullName,250)&amp;"[…]",_xlpm._fullName),
HYPERLINK("#'"&amp;$I86&amp;"'!"&amp;$J86&amp;$K86,
_xlpm._truncatedName)))</f>
        <v/>
      </c>
      <c r="B86" s="106" t="str" cm="1">
        <f t="array" aca="1" ref="B86" ca="1">IF($A86="","",SimpleLookup($A86,Questions!$A:$B))</f>
        <v/>
      </c>
      <c r="C86" s="107"/>
      <c r="D86" s="110"/>
      <c r="E86" s="106" t="str" cm="1">
        <f t="array" aca="1" ref="E86" ca="1">_xlfn.LET(
_xlpm._options,IF($O86="","",SimpleLookup($O86,Questions!$A:$H)),
_xlpm._followUpStart,FIND($C86&amp;":",_xlpm._options)+LEN($C86&amp;":"),
_xlpm._followUpEnd,FIND(CHAR(10),_xlpm._options&amp;CHAR(10),_xlpm._followUpStart),
IF($C86="","",TRIM(MID(_xlpm._options,_xlpm._followUpStart,_xlpm._followUpEnd-_xlpm._followUpStart))))</f>
        <v/>
      </c>
      <c r="F86" s="107" t="str">
        <f>Definitions!$H$10</f>
        <v>Low financial damage</v>
      </c>
      <c r="G86" s="113" t="s">
        <v>1570</v>
      </c>
      <c r="H86" s="113" cm="1">
        <f t="array" aca="1" ref="H86" ca="1">CreateID($H$2,$A86&lt;&gt;"")</f>
        <v>13</v>
      </c>
      <c r="I86" s="9" t="str">
        <f t="shared" si="20"/>
        <v/>
      </c>
      <c r="J86" s="9" t="str">
        <f t="shared" si="21"/>
        <v/>
      </c>
      <c r="K86" s="9" t="str">
        <f t="shared" si="22"/>
        <v/>
      </c>
      <c r="L86" s="9" cm="1">
        <f t="array" aca="1" ref="L86" ca="1">CreateID($L$2,$I86&lt;&gt;INDEX($I:$I,ROW()-1))</f>
        <v>26</v>
      </c>
      <c r="M86" s="9" t="str" cm="1">
        <f t="array" aca="1" ref="M86" ca="1">IF($Q86="","",INDIRECT($Q86))</f>
        <v/>
      </c>
      <c r="N86" s="9" t="str">
        <f t="shared" ca="1" si="23"/>
        <v>L</v>
      </c>
      <c r="O86" s="9" t="str">
        <f t="shared" ca="1" si="24"/>
        <v>QI13</v>
      </c>
    </row>
    <row r="87" spans="1:15" ht="33.75" x14ac:dyDescent="0.25">
      <c r="A87" s="108" t="str" cm="1">
        <f t="array" aca="1" ref="A87" ca="1">IF($Q87="","",_xlfn.LET(
_xlpm._fullName,IF($R87="",SUBSTITUTE(SUBSTITUTE(INDIRECT($Q87),CHAR(10)," "),"  "," "),$R87),
_xlpm._truncatedName,IF(LEN(_xlpm._fullName)&gt;250,LEFT(_xlpm._fullName,250)&amp;"[…]",_xlpm._fullName),
HYPERLINK("#'"&amp;$I87&amp;"'!"&amp;$J87&amp;$K87,
_xlpm._truncatedName)))</f>
        <v/>
      </c>
      <c r="B87" s="106" t="str" cm="1">
        <f t="array" aca="1" ref="B87" ca="1">IF($A87="","",SimpleLookup($A87,Questions!$A:$B))</f>
        <v/>
      </c>
      <c r="C87" s="107"/>
      <c r="D87" s="110"/>
      <c r="E87" s="106" t="str" cm="1">
        <f t="array" aca="1" ref="E87" ca="1">_xlfn.LET(
_xlpm._options,IF($O87="","",SimpleLookup($O87,Questions!$A:$H)),
_xlpm._followUpStart,FIND($C87&amp;":",_xlpm._options)+LEN($C87&amp;":"),
_xlpm._followUpEnd,FIND(CHAR(10),_xlpm._options&amp;CHAR(10),_xlpm._followUpStart),
IF($C87="","",TRIM(MID(_xlpm._options,_xlpm._followUpStart,_xlpm._followUpEnd-_xlpm._followUpStart))))</f>
        <v/>
      </c>
      <c r="F87" s="107" t="str">
        <f>Definitions!$H$11</f>
        <v>Medium financial damage</v>
      </c>
      <c r="G87" s="113" t="s">
        <v>1576</v>
      </c>
      <c r="H87" s="113" cm="1">
        <f t="array" aca="1" ref="H87" ca="1">CreateID($H$2,$A87&lt;&gt;"")</f>
        <v>13</v>
      </c>
      <c r="I87" s="9" t="str">
        <f t="shared" si="20"/>
        <v/>
      </c>
      <c r="J87" s="9" t="str">
        <f t="shared" si="21"/>
        <v/>
      </c>
      <c r="K87" s="9" t="str">
        <f t="shared" si="22"/>
        <v/>
      </c>
      <c r="L87" s="9" cm="1">
        <f t="array" aca="1" ref="L87" ca="1">CreateID($L$2,$I87&lt;&gt;INDEX($I:$I,ROW()-1))</f>
        <v>26</v>
      </c>
      <c r="M87" s="9" t="str" cm="1">
        <f t="array" aca="1" ref="M87" ca="1">IF($Q87="","",INDIRECT($Q87))</f>
        <v/>
      </c>
      <c r="N87" s="9" t="str">
        <f t="shared" ca="1" si="23"/>
        <v>L</v>
      </c>
      <c r="O87" s="9" t="str">
        <f t="shared" ca="1" si="24"/>
        <v>QI13</v>
      </c>
    </row>
    <row r="88" spans="1:15" ht="33.75" x14ac:dyDescent="0.25">
      <c r="A88" s="108" t="str" cm="1">
        <f t="array" aca="1" ref="A88" ca="1">IF($Q88="","",_xlfn.LET(
_xlpm._fullName,IF($R88="",SUBSTITUTE(SUBSTITUTE(INDIRECT($Q88),CHAR(10)," "),"  "," "),$R88),
_xlpm._truncatedName,IF(LEN(_xlpm._fullName)&gt;250,LEFT(_xlpm._fullName,250)&amp;"[…]",_xlpm._fullName),
HYPERLINK("#'"&amp;$I88&amp;"'!"&amp;$J88&amp;$K88,
_xlpm._truncatedName)))</f>
        <v/>
      </c>
      <c r="B88" s="106" t="str" cm="1">
        <f t="array" aca="1" ref="B88" ca="1">IF($A88="","",SimpleLookup($A88,Questions!$A:$B))</f>
        <v/>
      </c>
      <c r="C88" s="107"/>
      <c r="D88" s="110"/>
      <c r="E88" s="106" t="str" cm="1">
        <f t="array" aca="1" ref="E88" ca="1">_xlfn.LET(
_xlpm._options,IF($O88="","",SimpleLookup($O88,Questions!$A:$H)),
_xlpm._followUpStart,FIND($C88&amp;":",_xlpm._options)+LEN($C88&amp;":"),
_xlpm._followUpEnd,FIND(CHAR(10),_xlpm._options&amp;CHAR(10),_xlpm._followUpStart),
IF($C88="","",TRIM(MID(_xlpm._options,_xlpm._followUpStart,_xlpm._followUpEnd-_xlpm._followUpStart))))</f>
        <v/>
      </c>
      <c r="F88" s="107" t="str">
        <f>Definitions!$H$12</f>
        <v>High financial damage</v>
      </c>
      <c r="G88" s="113" t="s">
        <v>1577</v>
      </c>
      <c r="H88" s="113" cm="1">
        <f t="array" aca="1" ref="H88" ca="1">CreateID($H$2,$A88&lt;&gt;"")</f>
        <v>13</v>
      </c>
      <c r="I88" s="9" t="str">
        <f t="shared" si="20"/>
        <v/>
      </c>
      <c r="J88" s="9" t="str">
        <f t="shared" si="21"/>
        <v/>
      </c>
      <c r="K88" s="9" t="str">
        <f t="shared" si="22"/>
        <v/>
      </c>
      <c r="L88" s="9" cm="1">
        <f t="array" aca="1" ref="L88" ca="1">CreateID($L$2,$I88&lt;&gt;INDEX($I:$I,ROW()-1))</f>
        <v>26</v>
      </c>
      <c r="M88" s="9" t="str" cm="1">
        <f t="array" aca="1" ref="M88" ca="1">IF($Q88="","",INDIRECT($Q88))</f>
        <v/>
      </c>
      <c r="N88" s="9" t="str">
        <f t="shared" ca="1" si="23"/>
        <v>L</v>
      </c>
      <c r="O88" s="9" t="str">
        <f t="shared" ca="1" si="24"/>
        <v>QI13</v>
      </c>
    </row>
    <row r="89" spans="1:15" ht="45" x14ac:dyDescent="0.25">
      <c r="A89" s="108" t="str" cm="1">
        <f t="array" aca="1" ref="A89" ca="1">IF($Q89="","",_xlfn.LET(
_xlpm._fullName,IF($R89="",SUBSTITUTE(SUBSTITUTE(INDIRECT($Q89),CHAR(10)," "),"  "," "),$R89),
_xlpm._truncatedName,IF(LEN(_xlpm._fullName)&gt;250,LEFT(_xlpm._fullName,250)&amp;"[…]",_xlpm._fullName),
HYPERLINK("#'"&amp;$I89&amp;"'!"&amp;$J89&amp;$K89,
_xlpm._truncatedName)))</f>
        <v/>
      </c>
      <c r="B89" s="106" t="str" cm="1">
        <f t="array" aca="1" ref="B89" ca="1">IF($A89="","",SimpleLookup($A89,Questions!$A:$B))</f>
        <v/>
      </c>
      <c r="C89" s="107"/>
      <c r="D89" s="110"/>
      <c r="E89" s="106" t="str" cm="1">
        <f t="array" aca="1" ref="E89" ca="1">_xlfn.LET(
_xlpm._options,IF($O89="","",SimpleLookup($O89,Questions!$A:$H)),
_xlpm._followUpStart,FIND($C89&amp;":",_xlpm._options)+LEN($C89&amp;":"),
_xlpm._followUpEnd,FIND(CHAR(10),_xlpm._options&amp;CHAR(10),_xlpm._followUpStart),
IF($C89="","",TRIM(MID(_xlpm._options,_xlpm._followUpStart,_xlpm._followUpEnd-_xlpm._followUpStart))))</f>
        <v/>
      </c>
      <c r="F89" s="107" t="str">
        <f>Definitions!$H$13</f>
        <v>Critical financial damage</v>
      </c>
      <c r="G89" s="113" t="s">
        <v>1578</v>
      </c>
      <c r="H89" s="113" cm="1">
        <f t="array" aca="1" ref="H89" ca="1">CreateID($H$2,$A89&lt;&gt;"")</f>
        <v>13</v>
      </c>
      <c r="I89" s="9" t="str">
        <f t="shared" si="20"/>
        <v/>
      </c>
      <c r="J89" s="9" t="str">
        <f t="shared" si="21"/>
        <v/>
      </c>
      <c r="K89" s="9" t="str">
        <f t="shared" si="22"/>
        <v/>
      </c>
      <c r="L89" s="9" cm="1">
        <f t="array" aca="1" ref="L89" ca="1">CreateID($L$2,$I89&lt;&gt;INDEX($I:$I,ROW()-1))</f>
        <v>26</v>
      </c>
      <c r="M89" s="9" t="str" cm="1">
        <f t="array" aca="1" ref="M89" ca="1">IF($Q89="","",INDIRECT($Q89))</f>
        <v/>
      </c>
      <c r="N89" s="9" t="str">
        <f t="shared" ca="1" si="23"/>
        <v>L</v>
      </c>
      <c r="O89" s="9" t="str">
        <f t="shared" ca="1" si="24"/>
        <v>QI13</v>
      </c>
    </row>
    <row r="90" spans="1:15" ht="45" x14ac:dyDescent="0.25">
      <c r="A90" s="108" t="str" cm="1">
        <f t="array" aca="1" ref="A90" ca="1">IF($Q90="","",_xlfn.LET(
_xlpm._fullName,IF($R90="",SUBSTITUTE(SUBSTITUTE(INDIRECT($Q90),CHAR(10)," "),"  "," "),$R90),
_xlpm._truncatedName,IF(LEN(_xlpm._fullName)&gt;250,LEFT(_xlpm._fullName,250)&amp;"[…]",_xlpm._fullName),
HYPERLINK("#'"&amp;$I90&amp;"'!"&amp;$J90&amp;$K90,
_xlpm._truncatedName)))</f>
        <v/>
      </c>
      <c r="B90" s="106" t="str" cm="1">
        <f t="array" aca="1" ref="B90" ca="1">IF($A90="","",SimpleLookup($A90,Questions!$A:$B))</f>
        <v/>
      </c>
      <c r="C90" s="107"/>
      <c r="D90" s="110"/>
      <c r="E90" s="106" t="str" cm="1">
        <f t="array" aca="1" ref="E90" ca="1">_xlfn.LET(
_xlpm._options,IF($O90="","",SimpleLookup($O90,Questions!$A:$H)),
_xlpm._followUpStart,FIND($C90&amp;":",_xlpm._options)+LEN($C90&amp;":"),
_xlpm._followUpEnd,FIND(CHAR(10),_xlpm._options&amp;CHAR(10),_xlpm._followUpStart),
IF($C90="","",TRIM(MID(_xlpm._options,_xlpm._followUpStart,_xlpm._followUpEnd-_xlpm._followUpStart))))</f>
        <v/>
      </c>
      <c r="F90" s="107" t="str">
        <f>Definitions!$H$14</f>
        <v>Potentially dangerous situation</v>
      </c>
      <c r="G90" s="113" t="s">
        <v>1579</v>
      </c>
      <c r="H90" s="113" cm="1">
        <f t="array" aca="1" ref="H90" ca="1">CreateID($H$2,$A90&lt;&gt;"")</f>
        <v>13</v>
      </c>
      <c r="I90" s="9" t="str">
        <f t="shared" si="20"/>
        <v/>
      </c>
      <c r="J90" s="9" t="str">
        <f t="shared" si="21"/>
        <v/>
      </c>
      <c r="K90" s="9" t="str">
        <f t="shared" si="22"/>
        <v/>
      </c>
      <c r="L90" s="9" cm="1">
        <f t="array" aca="1" ref="L90" ca="1">CreateID($L$2,$I90&lt;&gt;INDEX($I:$I,ROW()-1))</f>
        <v>26</v>
      </c>
      <c r="M90" s="9" t="str" cm="1">
        <f t="array" aca="1" ref="M90" ca="1">IF($Q90="","",INDIRECT($Q90))</f>
        <v/>
      </c>
      <c r="N90" s="9" t="str">
        <f t="shared" ca="1" si="23"/>
        <v>L</v>
      </c>
      <c r="O90" s="9" t="str">
        <f t="shared" ca="1" si="24"/>
        <v>QI13</v>
      </c>
    </row>
    <row r="91" spans="1:15" ht="78.75" x14ac:dyDescent="0.25">
      <c r="A91" s="108" t="str" cm="1">
        <f t="array" aca="1" ref="A91" ca="1">IF($Q91="","",_xlfn.LET(
_xlpm._fullName,IF($R91="",SUBSTITUTE(SUBSTITUTE(INDIRECT($Q91),CHAR(10)," "),"  "," "),$R91),
_xlpm._truncatedName,IF(LEN(_xlpm._fullName)&gt;250,LEFT(_xlpm._fullName,250)&amp;"[…]",_xlpm._fullName),
HYPERLINK("#'"&amp;$I91&amp;"'!"&amp;$J91&amp;$K91,
_xlpm._truncatedName)))</f>
        <v/>
      </c>
      <c r="B91" s="106" t="str" cm="1">
        <f t="array" aca="1" ref="B91" ca="1">IF($A91="","",SimpleLookup($A91,Questions!$A:$B))</f>
        <v/>
      </c>
      <c r="C91" s="107"/>
      <c r="D91" s="110"/>
      <c r="E91" s="106" t="str" cm="1">
        <f t="array" aca="1" ref="E91" ca="1">_xlfn.LET(
_xlpm._options,IF($O91="","",SimpleLookup($O91,Questions!$A:$H)),
_xlpm._followUpStart,FIND($C91&amp;":",_xlpm._options)+LEN($C91&amp;":"),
_xlpm._followUpEnd,FIND(CHAR(10),_xlpm._options&amp;CHAR(10),_xlpm._followUpStart),
IF($C91="","",TRIM(MID(_xlpm._options,_xlpm._followUpStart,_xlpm._followUpEnd-_xlpm._followUpStart))))</f>
        <v/>
      </c>
      <c r="F91" s="107" t="str">
        <f>Definitions!$H$15</f>
        <v>Light or moderate injury</v>
      </c>
      <c r="G91" s="113" t="s">
        <v>1581</v>
      </c>
      <c r="H91" s="113" cm="1">
        <f t="array" aca="1" ref="H91" ca="1">CreateID($H$2,$A91&lt;&gt;"")</f>
        <v>13</v>
      </c>
      <c r="I91" s="9" t="str">
        <f t="shared" si="20"/>
        <v/>
      </c>
      <c r="J91" s="9" t="str">
        <f t="shared" si="21"/>
        <v/>
      </c>
      <c r="K91" s="9" t="str">
        <f t="shared" si="22"/>
        <v/>
      </c>
      <c r="L91" s="9" cm="1">
        <f t="array" aca="1" ref="L91" ca="1">CreateID($L$2,$I91&lt;&gt;INDEX($I:$I,ROW()-1))</f>
        <v>26</v>
      </c>
      <c r="M91" s="9" t="str" cm="1">
        <f t="array" aca="1" ref="M91" ca="1">IF($Q91="","",INDIRECT($Q91))</f>
        <v/>
      </c>
      <c r="N91" s="9" t="str">
        <f t="shared" ca="1" si="23"/>
        <v>L</v>
      </c>
      <c r="O91" s="9" t="str">
        <f t="shared" ca="1" si="24"/>
        <v>QI13</v>
      </c>
    </row>
    <row r="92" spans="1:15" ht="78.75" x14ac:dyDescent="0.25">
      <c r="A92" s="108" t="str" cm="1">
        <f t="array" aca="1" ref="A92" ca="1">IF($Q92="","",_xlfn.LET(
_xlpm._fullName,IF($R92="",SUBSTITUTE(SUBSTITUTE(INDIRECT($Q92),CHAR(10)," "),"  "," "),$R92),
_xlpm._truncatedName,IF(LEN(_xlpm._fullName)&gt;250,LEFT(_xlpm._fullName,250)&amp;"[…]",_xlpm._fullName),
HYPERLINK("#'"&amp;$I92&amp;"'!"&amp;$J92&amp;$K92,
_xlpm._truncatedName)))</f>
        <v/>
      </c>
      <c r="B92" s="106" t="str" cm="1">
        <f t="array" aca="1" ref="B92" ca="1">IF($A92="","",SimpleLookup($A92,Questions!$A:$B))</f>
        <v/>
      </c>
      <c r="C92" s="107"/>
      <c r="D92" s="110"/>
      <c r="E92" s="106" t="str" cm="1">
        <f t="array" aca="1" ref="E92" ca="1">_xlfn.LET(
_xlpm._options,IF($O92="","",SimpleLookup($O92,Questions!$A:$H)),
_xlpm._followUpStart,FIND($C92&amp;":",_xlpm._options)+LEN($C92&amp;":"),
_xlpm._followUpEnd,FIND(CHAR(10),_xlpm._options&amp;CHAR(10),_xlpm._followUpStart),
IF($C92="","",TRIM(MID(_xlpm._options,_xlpm._followUpStart,_xlpm._followUpEnd-_xlpm._followUpStart))))</f>
        <v/>
      </c>
      <c r="F92" s="107" t="str">
        <f>Definitions!$H$16</f>
        <v>Severe injury (survival probable)</v>
      </c>
      <c r="G92" s="113" t="s">
        <v>1582</v>
      </c>
      <c r="H92" s="113" cm="1">
        <f t="array" aca="1" ref="H92" ca="1">CreateID($H$2,$A92&lt;&gt;"")</f>
        <v>13</v>
      </c>
      <c r="I92" s="9" t="str">
        <f t="shared" si="20"/>
        <v/>
      </c>
      <c r="J92" s="9" t="str">
        <f t="shared" si="21"/>
        <v/>
      </c>
      <c r="K92" s="9" t="str">
        <f t="shared" si="22"/>
        <v/>
      </c>
      <c r="L92" s="9" cm="1">
        <f t="array" aca="1" ref="L92" ca="1">CreateID($L$2,$I92&lt;&gt;INDEX($I:$I,ROW()-1))</f>
        <v>26</v>
      </c>
      <c r="M92" s="9" t="str" cm="1">
        <f t="array" aca="1" ref="M92" ca="1">IF($Q92="","",INDIRECT($Q92))</f>
        <v/>
      </c>
      <c r="N92" s="9" t="str">
        <f t="shared" ca="1" si="23"/>
        <v>L</v>
      </c>
      <c r="O92" s="9" t="str">
        <f t="shared" ca="1" si="24"/>
        <v>QI13</v>
      </c>
    </row>
    <row r="93" spans="1:15" ht="78.75" x14ac:dyDescent="0.25">
      <c r="A93" s="108" t="str" cm="1">
        <f t="array" aca="1" ref="A93" ca="1">IF($Q93="","",_xlfn.LET(
_xlpm._fullName,IF($R93="",SUBSTITUTE(SUBSTITUTE(INDIRECT($Q93),CHAR(10)," "),"  "," "),$R93),
_xlpm._truncatedName,IF(LEN(_xlpm._fullName)&gt;250,LEFT(_xlpm._fullName,250)&amp;"[…]",_xlpm._fullName),
HYPERLINK("#'"&amp;$I93&amp;"'!"&amp;$J93&amp;$K93,
_xlpm._truncatedName)))</f>
        <v/>
      </c>
      <c r="B93" s="106" t="str" cm="1">
        <f t="array" aca="1" ref="B93" ca="1">IF($A93="","",SimpleLookup($A93,Questions!$A:$B))</f>
        <v/>
      </c>
      <c r="C93" s="107"/>
      <c r="D93" s="110"/>
      <c r="E93" s="106" t="str" cm="1">
        <f t="array" aca="1" ref="E93" ca="1">_xlfn.LET(
_xlpm._options,IF($O93="","",SimpleLookup($O93,Questions!$A:$H)),
_xlpm._followUpStart,FIND($C93&amp;":",_xlpm._options)+LEN($C93&amp;":"),
_xlpm._followUpEnd,FIND(CHAR(10),_xlpm._options&amp;CHAR(10),_xlpm._followUpStart),
IF($C93="","",TRIM(MID(_xlpm._options,_xlpm._followUpStart,_xlpm._followUpEnd-_xlpm._followUpStart))))</f>
        <v/>
      </c>
      <c r="F93" s="107" t="str">
        <f>Definitions!$H$17</f>
        <v>Life-threatening injury</v>
      </c>
      <c r="G93" s="113" t="s">
        <v>1583</v>
      </c>
      <c r="H93" s="113" cm="1">
        <f t="array" aca="1" ref="H93" ca="1">CreateID($H$2,$A93&lt;&gt;"")</f>
        <v>13</v>
      </c>
      <c r="I93" s="9" t="str">
        <f t="shared" si="20"/>
        <v/>
      </c>
      <c r="J93" s="9" t="str">
        <f t="shared" si="21"/>
        <v/>
      </c>
      <c r="K93" s="9" t="str">
        <f t="shared" si="22"/>
        <v/>
      </c>
      <c r="L93" s="9" cm="1">
        <f t="array" aca="1" ref="L93" ca="1">CreateID($L$2,$I93&lt;&gt;INDEX($I:$I,ROW()-1))</f>
        <v>26</v>
      </c>
      <c r="M93" s="9" t="str" cm="1">
        <f t="array" aca="1" ref="M93" ca="1">IF($Q93="","",INDIRECT($Q93))</f>
        <v/>
      </c>
      <c r="N93" s="9" t="str">
        <f t="shared" ca="1" si="23"/>
        <v>L</v>
      </c>
      <c r="O93" s="9" t="str">
        <f t="shared" ca="1" si="24"/>
        <v>QI13</v>
      </c>
    </row>
    <row r="94" spans="1:15" ht="45" x14ac:dyDescent="0.25">
      <c r="A94" s="108" t="str" cm="1">
        <f t="array" aca="1" ref="A94" ca="1">IF($Q94="","",_xlfn.LET(
_xlpm._fullName,IF($R94="",SUBSTITUTE(SUBSTITUTE(INDIRECT($Q94),CHAR(10)," "),"  "," "),$R94),
_xlpm._truncatedName,IF(LEN(_xlpm._fullName)&gt;250,LEFT(_xlpm._fullName,250)&amp;"[…]",_xlpm._fullName),
HYPERLINK("#'"&amp;$I94&amp;"'!"&amp;$J94&amp;$K94,
_xlpm._truncatedName)))</f>
        <v/>
      </c>
      <c r="B94" s="106" t="str" cm="1">
        <f t="array" aca="1" ref="B94" ca="1">IF($A94="","",SimpleLookup($A94,Questions!$A:$B))</f>
        <v/>
      </c>
      <c r="C94" s="107"/>
      <c r="D94" s="110"/>
      <c r="E94" s="106" t="str" cm="1">
        <f t="array" aca="1" ref="E94" ca="1">_xlfn.LET(
_xlpm._options,IF($O94="","",SimpleLookup($O94,Questions!$A:$H)),
_xlpm._followUpStart,FIND($C94&amp;":",_xlpm._options)+LEN($C94&amp;":"),
_xlpm._followUpEnd,FIND(CHAR(10),_xlpm._options&amp;CHAR(10),_xlpm._followUpStart),
IF($C94="","",TRIM(MID(_xlpm._options,_xlpm._followUpStart,_xlpm._followUpEnd-_xlpm._followUpStart))))</f>
        <v/>
      </c>
      <c r="F94" s="107" t="str">
        <f>Definitions!$H$18</f>
        <v>Disturbance</v>
      </c>
      <c r="G94" s="113" t="s">
        <v>1584</v>
      </c>
      <c r="H94" s="113" cm="1">
        <f t="array" aca="1" ref="H94" ca="1">CreateID($H$2,$A94&lt;&gt;"")</f>
        <v>13</v>
      </c>
      <c r="I94" s="9" t="str">
        <f t="shared" si="20"/>
        <v/>
      </c>
      <c r="J94" s="9" t="str">
        <f t="shared" si="21"/>
        <v/>
      </c>
      <c r="K94" s="9" t="str">
        <f t="shared" si="22"/>
        <v/>
      </c>
      <c r="L94" s="9" cm="1">
        <f t="array" aca="1" ref="L94" ca="1">CreateID($L$2,$I94&lt;&gt;INDEX($I:$I,ROW()-1))</f>
        <v>26</v>
      </c>
      <c r="M94" s="9" t="str" cm="1">
        <f t="array" aca="1" ref="M94" ca="1">IF($Q94="","",INDIRECT($Q94))</f>
        <v/>
      </c>
      <c r="N94" s="9" t="str">
        <f t="shared" ca="1" si="23"/>
        <v>L</v>
      </c>
      <c r="O94" s="9" t="str">
        <f t="shared" ca="1" si="24"/>
        <v>QI13</v>
      </c>
    </row>
    <row r="95" spans="1:15" ht="90" x14ac:dyDescent="0.25">
      <c r="A95" s="108" t="str" cm="1">
        <f t="array" aca="1" ref="A95" ca="1">IF($Q95="","",_xlfn.LET(
_xlpm._fullName,IF($R95="",SUBSTITUTE(SUBSTITUTE(INDIRECT($Q95),CHAR(10)," "),"  "," "),$R95),
_xlpm._truncatedName,IF(LEN(_xlpm._fullName)&gt;250,LEFT(_xlpm._fullName,250)&amp;"[…]",_xlpm._fullName),
HYPERLINK("#'"&amp;$I95&amp;"'!"&amp;$J95&amp;$K95,
_xlpm._truncatedName)))</f>
        <v/>
      </c>
      <c r="B95" s="106" t="str" cm="1">
        <f t="array" aca="1" ref="B95" ca="1">IF($A95="","",SimpleLookup($A95,Questions!$A:$B))</f>
        <v/>
      </c>
      <c r="C95" s="107"/>
      <c r="D95" s="110"/>
      <c r="E95" s="106" t="str" cm="1">
        <f t="array" aca="1" ref="E95" ca="1">_xlfn.LET(
_xlpm._options,IF($O95="","",SimpleLookup($O95,Questions!$A:$H)),
_xlpm._followUpStart,FIND($C95&amp;":",_xlpm._options)+LEN($C95&amp;":"),
_xlpm._followUpEnd,FIND(CHAR(10),_xlpm._options&amp;CHAR(10),_xlpm._followUpStart),
IF($C95="","",TRIM(MID(_xlpm._options,_xlpm._followUpStart,_xlpm._followUpEnd-_xlpm._followUpStart))))</f>
        <v/>
      </c>
      <c r="F95" s="107" t="str">
        <f>Definitions!$H$19</f>
        <v>Service required</v>
      </c>
      <c r="G95" s="113" t="s">
        <v>1585</v>
      </c>
      <c r="H95" s="113" cm="1">
        <f t="array" aca="1" ref="H95" ca="1">CreateID($H$2,$A95&lt;&gt;"")</f>
        <v>13</v>
      </c>
      <c r="I95" s="9" t="str">
        <f t="shared" si="20"/>
        <v/>
      </c>
      <c r="J95" s="9" t="str">
        <f t="shared" si="21"/>
        <v/>
      </c>
      <c r="K95" s="9" t="str">
        <f t="shared" si="22"/>
        <v/>
      </c>
      <c r="L95" s="9" cm="1">
        <f t="array" aca="1" ref="L95" ca="1">CreateID($L$2,$I95&lt;&gt;INDEX($I:$I,ROW()-1))</f>
        <v>26</v>
      </c>
      <c r="M95" s="9" t="str" cm="1">
        <f t="array" aca="1" ref="M95" ca="1">IF($Q95="","",INDIRECT($Q95))</f>
        <v/>
      </c>
      <c r="N95" s="9" t="str">
        <f t="shared" ca="1" si="23"/>
        <v>L</v>
      </c>
      <c r="O95" s="9" t="str">
        <f t="shared" ca="1" si="24"/>
        <v>QI13</v>
      </c>
    </row>
    <row r="96" spans="1:15" ht="67.5" x14ac:dyDescent="0.25">
      <c r="A96" s="108" t="str" cm="1">
        <f t="array" aca="1" ref="A96" ca="1">IF($Q96="","",_xlfn.LET(
_xlpm._fullName,IF($R96="",SUBSTITUTE(SUBSTITUTE(INDIRECT($Q96),CHAR(10)," "),"  "," "),$R96),
_xlpm._truncatedName,IF(LEN(_xlpm._fullName)&gt;250,LEFT(_xlpm._fullName,250)&amp;"[…]",_xlpm._fullName),
HYPERLINK("#'"&amp;$I96&amp;"'!"&amp;$J96&amp;$K96,
_xlpm._truncatedName)))</f>
        <v/>
      </c>
      <c r="B96" s="106" t="str" cm="1">
        <f t="array" aca="1" ref="B96" ca="1">IF($A96="","",SimpleLookup($A96,Questions!$A:$B))</f>
        <v/>
      </c>
      <c r="C96" s="107"/>
      <c r="D96" s="110"/>
      <c r="E96" s="106" t="str" cm="1">
        <f t="array" aca="1" ref="E96" ca="1">_xlfn.LET(
_xlpm._options,IF($O96="","",SimpleLookup($O96,Questions!$A:$H)),
_xlpm._followUpStart,FIND($C96&amp;":",_xlpm._options)+LEN($C96&amp;":"),
_xlpm._followUpEnd,FIND(CHAR(10),_xlpm._options&amp;CHAR(10),_xlpm._followUpStart),
IF($C96="","",TRIM(MID(_xlpm._options,_xlpm._followUpStart,_xlpm._followUpEnd-_xlpm._followUpStart))))</f>
        <v/>
      </c>
      <c r="F96" s="107" t="str">
        <f>Definitions!$H$20</f>
        <v>Major disturbance</v>
      </c>
      <c r="G96" s="113" t="s">
        <v>1586</v>
      </c>
      <c r="H96" s="113" cm="1">
        <f t="array" aca="1" ref="H96" ca="1">CreateID($H$2,$A96&lt;&gt;"")</f>
        <v>13</v>
      </c>
      <c r="I96" s="9" t="str">
        <f t="shared" si="20"/>
        <v/>
      </c>
      <c r="J96" s="9" t="str">
        <f t="shared" si="21"/>
        <v/>
      </c>
      <c r="K96" s="9" t="str">
        <f t="shared" si="22"/>
        <v/>
      </c>
      <c r="L96" s="9" cm="1">
        <f t="array" aca="1" ref="L96" ca="1">CreateID($L$2,$I96&lt;&gt;INDEX($I:$I,ROW()-1))</f>
        <v>26</v>
      </c>
      <c r="M96" s="9" t="str" cm="1">
        <f t="array" aca="1" ref="M96" ca="1">IF($Q96="","",INDIRECT($Q96))</f>
        <v/>
      </c>
      <c r="N96" s="9" t="str">
        <f t="shared" ca="1" si="23"/>
        <v>L</v>
      </c>
      <c r="O96" s="9" t="str">
        <f t="shared" ca="1" si="24"/>
        <v>QI13</v>
      </c>
    </row>
    <row r="97" spans="1:17" ht="67.5" x14ac:dyDescent="0.25">
      <c r="A97" s="108" t="str" cm="1">
        <f t="array" aca="1" ref="A97" ca="1">IF($Q97="","",_xlfn.LET(
_xlpm._fullName,IF($R97="",SUBSTITUTE(SUBSTITUTE(INDIRECT($Q97),CHAR(10)," "),"  "," "),$R97),
_xlpm._truncatedName,IF(LEN(_xlpm._fullName)&gt;250,LEFT(_xlpm._fullName,250)&amp;"[…]",_xlpm._fullName),
HYPERLINK("#'"&amp;$I97&amp;"'!"&amp;$J97&amp;$K97,
_xlpm._truncatedName)))</f>
        <v/>
      </c>
      <c r="B97" s="106" t="str" cm="1">
        <f t="array" aca="1" ref="B97" ca="1">IF($A97="","",SimpleLookup($A97,Questions!$A:$B))</f>
        <v/>
      </c>
      <c r="C97" s="107"/>
      <c r="D97" s="110"/>
      <c r="E97" s="106" t="str" cm="1">
        <f t="array" aca="1" ref="E97" ca="1">_xlfn.LET(
_xlpm._options,IF($O97="","",SimpleLookup($O97,Questions!$A:$H)),
_xlpm._followUpStart,FIND($C97&amp;":",_xlpm._options)+LEN($C97&amp;":"),
_xlpm._followUpEnd,FIND(CHAR(10),_xlpm._options&amp;CHAR(10),_xlpm._followUpStart),
IF($C97="","",TRIM(MID(_xlpm._options,_xlpm._followUpStart,_xlpm._followUpEnd-_xlpm._followUpStart))))</f>
        <v/>
      </c>
      <c r="F97" s="107" t="str">
        <f>Definitions!$H$21</f>
        <v>Environmental damage</v>
      </c>
      <c r="G97" s="113" t="s">
        <v>1587</v>
      </c>
      <c r="H97" s="113" cm="1">
        <f t="array" aca="1" ref="H97" ca="1">CreateID($H$2,$A97&lt;&gt;"")</f>
        <v>13</v>
      </c>
      <c r="I97" s="9" t="str">
        <f t="shared" si="20"/>
        <v/>
      </c>
      <c r="J97" s="9" t="str">
        <f t="shared" si="21"/>
        <v/>
      </c>
      <c r="K97" s="9" t="str">
        <f t="shared" si="22"/>
        <v/>
      </c>
      <c r="L97" s="9" cm="1">
        <f t="array" aca="1" ref="L97" ca="1">CreateID($L$2,$I97&lt;&gt;INDEX($I:$I,ROW()-1))</f>
        <v>26</v>
      </c>
      <c r="M97" s="9" t="str" cm="1">
        <f t="array" aca="1" ref="M97" ca="1">IF($Q97="","",INDIRECT($Q97))</f>
        <v/>
      </c>
      <c r="N97" s="9" t="str">
        <f t="shared" ca="1" si="23"/>
        <v>L</v>
      </c>
      <c r="O97" s="9" t="str">
        <f t="shared" ca="1" si="24"/>
        <v>QI13</v>
      </c>
    </row>
    <row r="98" spans="1:17" ht="67.5" x14ac:dyDescent="0.25">
      <c r="A98" s="108" t="str" cm="1">
        <f t="array" aca="1" ref="A98" ca="1">IF($Q98="","",_xlfn.LET(
_xlpm._fullName,IF($R98="",SUBSTITUTE(SUBSTITUTE(INDIRECT($Q98),CHAR(10)," "),"  "," "),$R98),
_xlpm._truncatedName,IF(LEN(_xlpm._fullName)&gt;250,LEFT(_xlpm._fullName,250)&amp;"[…]",_xlpm._fullName),
HYPERLINK("#'"&amp;$I98&amp;"'!"&amp;$J98&amp;$K98,
_xlpm._truncatedName)))</f>
        <v/>
      </c>
      <c r="B98" s="106" t="str" cm="1">
        <f t="array" aca="1" ref="B98" ca="1">IF($A98="","",SimpleLookup($A98,Questions!$A:$B))</f>
        <v/>
      </c>
      <c r="C98" s="107"/>
      <c r="D98" s="110"/>
      <c r="E98" s="106" t="str" cm="1">
        <f t="array" aca="1" ref="E98" ca="1">_xlfn.LET(
_xlpm._options,IF($O98="","",SimpleLookup($O98,Questions!$A:$H)),
_xlpm._followUpStart,FIND($C98&amp;":",_xlpm._options)+LEN($C98&amp;":"),
_xlpm._followUpEnd,FIND(CHAR(10),_xlpm._options&amp;CHAR(10),_xlpm._followUpStart),
IF($C98="","",TRIM(MID(_xlpm._options,_xlpm._followUpStart,_xlpm._followUpEnd-_xlpm._followUpStart))))</f>
        <v/>
      </c>
      <c r="F98" s="107" t="str">
        <f>Definitions!$H$22</f>
        <v>Critical disturbance (destruction)</v>
      </c>
      <c r="G98" s="113" t="s">
        <v>1588</v>
      </c>
      <c r="H98" s="113" cm="1">
        <f t="array" aca="1" ref="H98" ca="1">CreateID($H$2,$A98&lt;&gt;"")</f>
        <v>13</v>
      </c>
      <c r="I98" s="9" t="str">
        <f t="shared" si="20"/>
        <v/>
      </c>
      <c r="J98" s="9" t="str">
        <f t="shared" si="21"/>
        <v/>
      </c>
      <c r="K98" s="9" t="str">
        <f t="shared" si="22"/>
        <v/>
      </c>
      <c r="L98" s="9" cm="1">
        <f t="array" aca="1" ref="L98" ca="1">CreateID($L$2,$I98&lt;&gt;INDEX($I:$I,ROW()-1))</f>
        <v>26</v>
      </c>
      <c r="M98" s="9" t="str" cm="1">
        <f t="array" aca="1" ref="M98" ca="1">IF($Q98="","",INDIRECT($Q98))</f>
        <v/>
      </c>
      <c r="N98" s="9" t="str">
        <f t="shared" ca="1" si="23"/>
        <v>L</v>
      </c>
      <c r="O98" s="9" t="str">
        <f t="shared" ca="1" si="24"/>
        <v>QI13</v>
      </c>
    </row>
    <row r="99" spans="1:17" ht="67.5" x14ac:dyDescent="0.25">
      <c r="A99" s="108" t="str" cm="1">
        <f t="array" aca="1" ref="A99" ca="1">IF($Q99="","",_xlfn.LET(
_xlpm._fullName,IF($R99="",SUBSTITUTE(SUBSTITUTE(INDIRECT($Q99),CHAR(10)," "),"  "," "),$R99),
_xlpm._truncatedName,IF(LEN(_xlpm._fullName)&gt;250,LEFT(_xlpm._fullName,250)&amp;"[…]",_xlpm._fullName),
HYPERLINK("#'"&amp;$I99&amp;"'!"&amp;$J99&amp;$K99,
_xlpm._truncatedName)))</f>
        <v/>
      </c>
      <c r="B99" s="106" t="str" cm="1">
        <f t="array" aca="1" ref="B99" ca="1">IF($A99="","",SimpleLookup($A99,Questions!$A:$B))</f>
        <v/>
      </c>
      <c r="C99" s="107"/>
      <c r="D99" s="110"/>
      <c r="E99" s="106" t="str" cm="1">
        <f t="array" aca="1" ref="E99" ca="1">_xlfn.LET(
_xlpm._options,IF($O99="","",SimpleLookup($O99,Questions!$A:$H)),
_xlpm._followUpStart,FIND($C99&amp;":",_xlpm._options)+LEN($C99&amp;":"),
_xlpm._followUpEnd,FIND(CHAR(10),_xlpm._options&amp;CHAR(10),_xlpm._followUpStart),
IF($C99="","",TRIM(MID(_xlpm._options,_xlpm._followUpStart,_xlpm._followUpEnd-_xlpm._followUpStart))))</f>
        <v/>
      </c>
      <c r="F99" s="107" t="str">
        <f>Definitions!$H$23</f>
        <v>Critical environmental damage</v>
      </c>
      <c r="G99" s="113" t="s">
        <v>1589</v>
      </c>
      <c r="H99" s="113" cm="1">
        <f t="array" aca="1" ref="H99" ca="1">CreateID($H$2,$A99&lt;&gt;"")</f>
        <v>13</v>
      </c>
      <c r="I99" s="9" t="str">
        <f t="shared" si="20"/>
        <v/>
      </c>
      <c r="J99" s="9" t="str">
        <f t="shared" si="21"/>
        <v/>
      </c>
      <c r="K99" s="9" t="str">
        <f t="shared" si="22"/>
        <v/>
      </c>
      <c r="L99" s="9" cm="1">
        <f t="array" aca="1" ref="L99" ca="1">CreateID($L$2,$I99&lt;&gt;INDEX($I:$I,ROW()-1))</f>
        <v>26</v>
      </c>
      <c r="M99" s="9" t="str" cm="1">
        <f t="array" aca="1" ref="M99" ca="1">IF($Q99="","",INDIRECT($Q99))</f>
        <v/>
      </c>
      <c r="N99" s="9" t="str">
        <f t="shared" ca="1" si="23"/>
        <v>L</v>
      </c>
      <c r="O99" s="9" t="str">
        <f t="shared" ca="1" si="24"/>
        <v>QI13</v>
      </c>
    </row>
    <row r="100" spans="1:17" ht="67.5" x14ac:dyDescent="0.25">
      <c r="A100" s="108" t="str" cm="1">
        <f t="array" aca="1" ref="A100" ca="1">IF($Q100="","",_xlfn.LET(
_xlpm._fullName,IF($R100="",SUBSTITUTE(SUBSTITUTE(INDIRECT($Q100),CHAR(10)," "),"  "," "),$R100),
_xlpm._truncatedName,IF(LEN(_xlpm._fullName)&gt;250,LEFT(_xlpm._fullName,250)&amp;"[…]",_xlpm._fullName),
HYPERLINK("#'"&amp;$I100&amp;"'!"&amp;$J100&amp;$K100,
_xlpm._truncatedName)))</f>
        <v/>
      </c>
      <c r="B100" s="106" t="str" cm="1">
        <f t="array" aca="1" ref="B100" ca="1">IF($A100="","",SimpleLookup($A100,Questions!$A:$B))</f>
        <v/>
      </c>
      <c r="C100" s="107"/>
      <c r="D100" s="110"/>
      <c r="E100" s="106" t="str" cm="1">
        <f t="array" aca="1" ref="E100" ca="1">_xlfn.LET(
_xlpm._options,IF($O100="","",SimpleLookup($O100,Questions!$A:$H)),
_xlpm._followUpStart,FIND($C100&amp;":",_xlpm._options)+LEN($C100&amp;":"),
_xlpm._followUpEnd,FIND(CHAR(10),_xlpm._options&amp;CHAR(10),_xlpm._followUpStart),
IF($C100="","",TRIM(MID(_xlpm._options,_xlpm._followUpStart,_xlpm._followUpEnd-_xlpm._followUpStart))))</f>
        <v/>
      </c>
      <c r="F100" s="107">
        <f>Definitions!$H$24</f>
        <v>0</v>
      </c>
      <c r="G100" s="113" t="s">
        <v>1590</v>
      </c>
      <c r="H100" s="113" cm="1">
        <f t="array" aca="1" ref="H100" ca="1">CreateID($H$2,$A100&lt;&gt;"")</f>
        <v>13</v>
      </c>
      <c r="I100" s="9" t="str">
        <f t="shared" si="20"/>
        <v/>
      </c>
      <c r="J100" s="9" t="str">
        <f t="shared" si="21"/>
        <v/>
      </c>
      <c r="K100" s="9" t="str">
        <f t="shared" si="22"/>
        <v/>
      </c>
      <c r="L100" s="9" cm="1">
        <f t="array" aca="1" ref="L100" ca="1">CreateID($L$2,$I100&lt;&gt;INDEX($I:$I,ROW()-1))</f>
        <v>26</v>
      </c>
      <c r="M100" s="9" t="str" cm="1">
        <f t="array" aca="1" ref="M100" ca="1">IF($Q100="","",INDIRECT($Q100))</f>
        <v/>
      </c>
      <c r="N100" s="9" t="str">
        <f t="shared" ca="1" si="23"/>
        <v>L</v>
      </c>
      <c r="O100" s="9" t="str">
        <f t="shared" ca="1" si="24"/>
        <v>QI13</v>
      </c>
    </row>
    <row r="101" spans="1:17" ht="132" x14ac:dyDescent="0.25">
      <c r="A101" s="108" t="str" cm="1">
        <f t="array" aca="1" ref="A101" ca="1">IF($Q101="","",_xlfn.LET(
_xlpm._fullName,IF($R101="",SUBSTITUTE(SUBSTITUTE(INDIRECT($Q101),CHAR(10)," "),"  "," "),$R101),
_xlpm._truncatedName,IF(LEN(_xlpm._fullName)&gt;250,LEFT(_xlpm._fullName,250)&amp;"[…]",_xlpm._fullName),
HYPERLINK("#'"&amp;$I101&amp;"'!"&amp;$J101&amp;$K101,
_xlpm._truncatedName)))</f>
        <v/>
      </c>
      <c r="B101" s="106" t="str" cm="1">
        <f t="array" aca="1" ref="B101" ca="1">IF($A101="","",SimpleLookup($A101,Questions!$A:$B))</f>
        <v/>
      </c>
      <c r="C101" s="107" t="s">
        <v>10</v>
      </c>
      <c r="D101" s="110" t="s">
        <v>1603</v>
      </c>
      <c r="E101" s="106" t="str" cm="1">
        <f t="array" aca="1" ref="E101" ca="1">_xlfn.LET(
_xlpm._options,IF($O101="","",SimpleLookup($O101,Questions!$A:$H)),
_xlpm._followUpStart,FIND($C101&amp;":",_xlpm._options)+LEN($C101&amp;":"),
_xlpm._followUpEnd,FIND(CHAR(10),_xlpm._options&amp;CHAR(10),_xlpm._followUpStart),
IF($C101="","",TRIM(MID(_xlpm._options,_xlpm._followUpStart,_xlpm._followUpEnd-_xlpm._followUpStart))))</f>
        <v/>
      </c>
      <c r="F101" s="107"/>
      <c r="G101" s="113"/>
      <c r="H101" s="113" cm="1">
        <f t="array" aca="1" ref="H101" ca="1">CreateID($H$2,$A101&lt;&gt;"")</f>
        <v>13</v>
      </c>
      <c r="I101" s="9" t="str">
        <f>IF($Q101="","",_xlfn.LET(
_xlpm._in,$Q101,
_xlpm._start,FIND("]",_xlpm._in)+1,
SUBSTITUTE(MID(_xlpm._in,_xlpm._start,FIND("!",_xlpm._in)-_xlpm._start),"'","")))</f>
        <v/>
      </c>
      <c r="J101" s="9" t="str">
        <f>IF($Q101="","",_xlfn.LET(
_xlpm._in,SUBSTITUTE($Q101,"$","§",1),
_xlpm._start,FIND("§",_xlpm._in)+1,
SUBSTITUTE(MID(_xlpm._in,_xlpm._start,FIND("$",_xlpm._in)-_xlpm._start),"'","")))</f>
        <v/>
      </c>
      <c r="K101" s="9" t="str">
        <f>IF($Q101="","",RIGHT($Q101,LEN($Q101)-FIND("$",SUBSTITUTE($Q101,"$","§",1))))</f>
        <v/>
      </c>
      <c r="L101" s="9" cm="1">
        <f t="array" aca="1" ref="L101" ca="1">CreateID($L$2,$I101&lt;&gt;INDEX($I:$I,ROW()-1))</f>
        <v>26</v>
      </c>
      <c r="M101" s="9" t="str" cm="1">
        <f t="array" aca="1" ref="M101" ca="1">IF($Q101="","",INDIRECT($Q101))</f>
        <v/>
      </c>
      <c r="N101" s="9" t="str">
        <f ca="1">IF(MOD($H101,2)=0,"D","L")</f>
        <v>L</v>
      </c>
      <c r="O101" s="9" t="str">
        <f ca="1">IF($A101="",OFFSET($O101,-1,0),$A101)</f>
        <v>QI13</v>
      </c>
    </row>
    <row r="102" spans="1:17" ht="36" x14ac:dyDescent="0.25">
      <c r="A102" s="108" t="str" cm="1">
        <f t="array" aca="1" ref="A102" ca="1">IF($Q102="","",_xlfn.LET(
_xlpm._fullName,IF($R102="",SUBSTITUTE(SUBSTITUTE(INDIRECT($Q102),CHAR(10)," "),"  "," "),$R102),
_xlpm._truncatedName,IF(LEN(_xlpm._fullName)&gt;250,LEFT(_xlpm._fullName,250)&amp;"[…]",_xlpm._fullName),
HYPERLINK("#'"&amp;$I102&amp;"'!"&amp;$J102&amp;$K102,
_xlpm._truncatedName)))</f>
        <v>QI14</v>
      </c>
      <c r="B102" s="106" t="str" cm="1">
        <f t="array" aca="1" ref="B102" ca="1">IF($A102="","",SimpleLookup($A102,Questions!$A:$B))</f>
        <v>Can a manipulated product affect the operation of its operational environment?</v>
      </c>
      <c r="C102" s="107"/>
      <c r="D102" s="110" t="s">
        <v>1604</v>
      </c>
      <c r="E102" s="106" t="str" cm="1">
        <f t="array" aca="1" ref="E102" ca="1">_xlfn.LET(
_xlpm._options,IF($O102="","",SimpleLookup($O102,Questions!$A:$H)),
_xlpm._followUpStart,FIND($C102&amp;":",_xlpm._options)+LEN($C102&amp;":"),
_xlpm._followUpEnd,FIND(CHAR(10),_xlpm._options&amp;CHAR(10),_xlpm._followUpStart),
IF($C102="","",TRIM(MID(_xlpm._options,_xlpm._followUpStart,_xlpm._followUpEnd-_xlpm._followUpStart))))</f>
        <v/>
      </c>
      <c r="F102" s="107"/>
      <c r="G102" s="113"/>
      <c r="H102" s="113" cm="1">
        <f t="array" aca="1" ref="H102" ca="1">CreateID($H$2,$A102&lt;&gt;"")</f>
        <v>14</v>
      </c>
      <c r="I102" s="9" t="str">
        <f ca="1">IF($Q102="","",_xlfn.LET(
_xlpm._in,$Q102,
_xlpm._start,FIND("]",_xlpm._in)+1,
SUBSTITUTE(MID(_xlpm._in,_xlpm._start,FIND("!",_xlpm._in)-_xlpm._start),"'","")))</f>
        <v>Questionnaire</v>
      </c>
      <c r="J102" s="9" t="str">
        <f ca="1">IF($Q102="","",_xlfn.LET(
_xlpm._in,SUBSTITUTE($Q102,"$","§",1),
_xlpm._start,FIND("§",_xlpm._in)+1,
SUBSTITUTE(MID(_xlpm._in,_xlpm._start,FIND("$",_xlpm._in)-_xlpm._start),"'","")))</f>
        <v>B</v>
      </c>
      <c r="K102" s="9" t="str">
        <f ca="1">IF($Q102="","",RIGHT($Q102,LEN($Q102)-FIND("$",SUBSTITUTE($Q102,"$","§",1))))</f>
        <v>29</v>
      </c>
      <c r="L102" s="9" cm="1">
        <f t="array" aca="1" ref="L102" ca="1">CreateID($L$2,$I102&lt;&gt;INDEX($I:$I,ROW()-1))</f>
        <v>27</v>
      </c>
      <c r="M102" s="9" t="str" cm="1">
        <f t="array" aca="1" ref="M102" ca="1">IF($Q102="","",INDIRECT($Q102))</f>
        <v>QI14</v>
      </c>
      <c r="N102" s="9" t="str">
        <f ca="1">IF(MOD($H102,2)=0,"D","L")</f>
        <v>D</v>
      </c>
      <c r="O102" s="9" t="str">
        <f ca="1">IF($A102="",OFFSET($O102,-1,0),$A102)</f>
        <v>QI14</v>
      </c>
      <c r="Q102" s="2" t="str" cm="1">
        <f t="array" aca="1" ref="Q102" ca="1">CELL("address",Questionnaire!$B$29)</f>
        <v>'[QuBA-libre.xlsx]Questionnaire'!$B$29</v>
      </c>
    </row>
    <row r="103" spans="1:17" ht="324" x14ac:dyDescent="0.25">
      <c r="A103" s="108" t="str" cm="1">
        <f t="array" aca="1" ref="A103" ca="1">IF($Q103="","",_xlfn.LET(
_xlpm._fullName,IF($R103="",SUBSTITUTE(SUBSTITUTE(INDIRECT($Q103),CHAR(10)," "),"  "," "),$R103),
_xlpm._truncatedName,IF(LEN(_xlpm._fullName)&gt;250,LEFT(_xlpm._fullName,250)&amp;"[…]",_xlpm._fullName),
HYPERLINK("#'"&amp;$I103&amp;"'!"&amp;$J103&amp;$K103,
_xlpm._truncatedName)))</f>
        <v/>
      </c>
      <c r="B103" s="106" t="str" cm="1">
        <f t="array" aca="1" ref="B103" ca="1">IF($A103="","",SimpleLookup($A103,Questions!$A:$B))</f>
        <v/>
      </c>
      <c r="C103" s="107" t="s">
        <v>9</v>
      </c>
      <c r="D103" s="110" t="s">
        <v>1605</v>
      </c>
      <c r="E103" s="106" t="str" cm="1">
        <f t="array" aca="1" ref="E103" ca="1">_xlfn.LET(
_xlpm._options,IF($O103="","",SimpleLookup($O103,Questions!$A:$H)),
_xlpm._followUpStart,FIND($C103&amp;":",_xlpm._options)+LEN($C103&amp;":"),
_xlpm._followUpEnd,FIND(CHAR(10),_xlpm._options&amp;CHAR(10),_xlpm._followUpStart),
IF($C103="","",TRIM(MID(_xlpm._options,_xlpm._followUpStart,_xlpm._followUpEnd-_xlpm._followUpStart))))</f>
        <v>What is the worst case effect on the operational environment for the intended use of the product?</v>
      </c>
      <c r="F103" s="107"/>
      <c r="G103" s="113" t="s">
        <v>1594</v>
      </c>
      <c r="H103" s="113" cm="1">
        <f t="array" aca="1" ref="H103" ca="1">CreateID($H$2,$A103&lt;&gt;"")</f>
        <v>14</v>
      </c>
      <c r="I103" s="9" t="str">
        <f t="shared" ref="I103:I162" si="25">IF($Q103="","",_xlfn.LET(
_xlpm._in,$Q103,
_xlpm._start,FIND("]",_xlpm._in)+1,
SUBSTITUTE(MID(_xlpm._in,_xlpm._start,FIND("!",_xlpm._in)-_xlpm._start),"'","")))</f>
        <v/>
      </c>
      <c r="J103" s="9" t="str">
        <f t="shared" ref="J103:J162" si="26">IF($Q103="","",_xlfn.LET(
_xlpm._in,SUBSTITUTE($Q103,"$","§",1),
_xlpm._start,FIND("§",_xlpm._in)+1,
SUBSTITUTE(MID(_xlpm._in,_xlpm._start,FIND("$",_xlpm._in)-_xlpm._start),"'","")))</f>
        <v/>
      </c>
      <c r="K103" s="9" t="str">
        <f t="shared" ref="K103:K162" si="27">IF($Q103="","",RIGHT($Q103,LEN($Q103)-FIND("$",SUBSTITUTE($Q103,"$","§",1))))</f>
        <v/>
      </c>
      <c r="L103" s="9" cm="1">
        <f t="array" aca="1" ref="L103" ca="1">CreateID($L$2,$I103&lt;&gt;INDEX($I:$I,ROW()-1))</f>
        <v>28</v>
      </c>
      <c r="M103" s="9" t="str" cm="1">
        <f t="array" aca="1" ref="M103" ca="1">IF($Q103="","",INDIRECT($Q103))</f>
        <v/>
      </c>
      <c r="N103" s="9" t="str">
        <f t="shared" ref="N103:N162" ca="1" si="28">IF(MOD($H103,2)=0,"D","L")</f>
        <v>D</v>
      </c>
      <c r="O103" s="9" t="str">
        <f t="shared" ref="O103:O162" ca="1" si="29">IF($A103="",OFFSET($O103,-1,0),$A103)</f>
        <v>QI14</v>
      </c>
    </row>
    <row r="104" spans="1:17" ht="90" x14ac:dyDescent="0.25">
      <c r="A104" s="108" t="str" cm="1">
        <f t="array" aca="1" ref="A104" ca="1">IF($Q104="","",_xlfn.LET(
_xlpm._fullName,IF($R104="",SUBSTITUTE(SUBSTITUTE(INDIRECT($Q104),CHAR(10)," "),"  "," "),$R104),
_xlpm._truncatedName,IF(LEN(_xlpm._fullName)&gt;250,LEFT(_xlpm._fullName,250)&amp;"[…]",_xlpm._fullName),
HYPERLINK("#'"&amp;$I104&amp;"'!"&amp;$J104&amp;$K104,
_xlpm._truncatedName)))</f>
        <v/>
      </c>
      <c r="B104" s="106" t="str" cm="1">
        <f t="array" aca="1" ref="B104" ca="1">IF($A104="","",SimpleLookup($A104,Questions!$A:$B))</f>
        <v/>
      </c>
      <c r="C104" s="107"/>
      <c r="D104" s="110"/>
      <c r="E104" s="106" t="str" cm="1">
        <f t="array" aca="1" ref="E104" ca="1">_xlfn.LET(
_xlpm._options,IF($O104="","",SimpleLookup($O104,Questions!$A:$H)),
_xlpm._followUpStart,FIND($C104&amp;":",_xlpm._options)+LEN($C104&amp;":"),
_xlpm._followUpEnd,FIND(CHAR(10),_xlpm._options&amp;CHAR(10),_xlpm._followUpStart),
IF($C104="","",TRIM(MID(_xlpm._options,_xlpm._followUpStart,_xlpm._followUpEnd-_xlpm._followUpStart))))</f>
        <v/>
      </c>
      <c r="F104" s="107" t="str">
        <f>Definitions!$H$19</f>
        <v>Service required</v>
      </c>
      <c r="G104" s="113" t="s">
        <v>1585</v>
      </c>
      <c r="H104" s="113" cm="1">
        <f t="array" aca="1" ref="H104" ca="1">CreateID($H$2,$A104&lt;&gt;"")</f>
        <v>14</v>
      </c>
      <c r="I104" s="9" t="str">
        <f t="shared" si="25"/>
        <v/>
      </c>
      <c r="J104" s="9" t="str">
        <f t="shared" si="26"/>
        <v/>
      </c>
      <c r="K104" s="9" t="str">
        <f t="shared" si="27"/>
        <v/>
      </c>
      <c r="L104" s="9" cm="1">
        <f t="array" aca="1" ref="L104" ca="1">CreateID($L$2,$I104&lt;&gt;INDEX($I:$I,ROW()-1))</f>
        <v>28</v>
      </c>
      <c r="M104" s="9" t="str" cm="1">
        <f t="array" aca="1" ref="M104" ca="1">IF($Q104="","",INDIRECT($Q104))</f>
        <v/>
      </c>
      <c r="N104" s="9" t="str">
        <f t="shared" ca="1" si="28"/>
        <v>D</v>
      </c>
      <c r="O104" s="9" t="str">
        <f t="shared" ca="1" si="29"/>
        <v>QI14</v>
      </c>
    </row>
    <row r="105" spans="1:17" ht="67.5" x14ac:dyDescent="0.25">
      <c r="A105" s="108" t="str" cm="1">
        <f t="array" aca="1" ref="A105" ca="1">IF($Q105="","",_xlfn.LET(
_xlpm._fullName,IF($R105="",SUBSTITUTE(SUBSTITUTE(INDIRECT($Q105),CHAR(10)," "),"  "," "),$R105),
_xlpm._truncatedName,IF(LEN(_xlpm._fullName)&gt;250,LEFT(_xlpm._fullName,250)&amp;"[…]",_xlpm._fullName),
HYPERLINK("#'"&amp;$I105&amp;"'!"&amp;$J105&amp;$K105,
_xlpm._truncatedName)))</f>
        <v/>
      </c>
      <c r="B105" s="106" t="str" cm="1">
        <f t="array" aca="1" ref="B105" ca="1">IF($A105="","",SimpleLookup($A105,Questions!$A:$B))</f>
        <v/>
      </c>
      <c r="C105" s="107"/>
      <c r="D105" s="110"/>
      <c r="E105" s="106" t="str" cm="1">
        <f t="array" aca="1" ref="E105" ca="1">_xlfn.LET(
_xlpm._options,IF($O105="","",SimpleLookup($O105,Questions!$A:$H)),
_xlpm._followUpStart,FIND($C105&amp;":",_xlpm._options)+LEN($C105&amp;":"),
_xlpm._followUpEnd,FIND(CHAR(10),_xlpm._options&amp;CHAR(10),_xlpm._followUpStart),
IF($C105="","",TRIM(MID(_xlpm._options,_xlpm._followUpStart,_xlpm._followUpEnd-_xlpm._followUpStart))))</f>
        <v/>
      </c>
      <c r="F105" s="107" t="str">
        <f>Definitions!$H$20</f>
        <v>Major disturbance</v>
      </c>
      <c r="G105" s="113" t="s">
        <v>1586</v>
      </c>
      <c r="H105" s="113" cm="1">
        <f t="array" aca="1" ref="H105" ca="1">CreateID($H$2,$A105&lt;&gt;"")</f>
        <v>14</v>
      </c>
      <c r="I105" s="9" t="str">
        <f t="shared" si="25"/>
        <v/>
      </c>
      <c r="J105" s="9" t="str">
        <f t="shared" si="26"/>
        <v/>
      </c>
      <c r="K105" s="9" t="str">
        <f t="shared" si="27"/>
        <v/>
      </c>
      <c r="L105" s="9" cm="1">
        <f t="array" aca="1" ref="L105" ca="1">CreateID($L$2,$I105&lt;&gt;INDEX($I:$I,ROW()-1))</f>
        <v>28</v>
      </c>
      <c r="M105" s="9" t="str" cm="1">
        <f t="array" aca="1" ref="M105" ca="1">IF($Q105="","",INDIRECT($Q105))</f>
        <v/>
      </c>
      <c r="N105" s="9" t="str">
        <f t="shared" ca="1" si="28"/>
        <v>D</v>
      </c>
      <c r="O105" s="9" t="str">
        <f t="shared" ca="1" si="29"/>
        <v>QI14</v>
      </c>
    </row>
    <row r="106" spans="1:17" ht="67.5" x14ac:dyDescent="0.25">
      <c r="A106" s="108" t="str" cm="1">
        <f t="array" aca="1" ref="A106" ca="1">IF($Q106="","",_xlfn.LET(
_xlpm._fullName,IF($R106="",SUBSTITUTE(SUBSTITUTE(INDIRECT($Q106),CHAR(10)," "),"  "," "),$R106),
_xlpm._truncatedName,IF(LEN(_xlpm._fullName)&gt;250,LEFT(_xlpm._fullName,250)&amp;"[…]",_xlpm._fullName),
HYPERLINK("#'"&amp;$I106&amp;"'!"&amp;$J106&amp;$K106,
_xlpm._truncatedName)))</f>
        <v/>
      </c>
      <c r="B106" s="106" t="str" cm="1">
        <f t="array" aca="1" ref="B106" ca="1">IF($A106="","",SimpleLookup($A106,Questions!$A:$B))</f>
        <v/>
      </c>
      <c r="C106" s="107"/>
      <c r="D106" s="110"/>
      <c r="E106" s="106" t="str" cm="1">
        <f t="array" aca="1" ref="E106" ca="1">_xlfn.LET(
_xlpm._options,IF($O106="","",SimpleLookup($O106,Questions!$A:$H)),
_xlpm._followUpStart,FIND($C106&amp;":",_xlpm._options)+LEN($C106&amp;":"),
_xlpm._followUpEnd,FIND(CHAR(10),_xlpm._options&amp;CHAR(10),_xlpm._followUpStart),
IF($C106="","",TRIM(MID(_xlpm._options,_xlpm._followUpStart,_xlpm._followUpEnd-_xlpm._followUpStart))))</f>
        <v/>
      </c>
      <c r="F106" s="107" t="str">
        <f>Definitions!$H$21</f>
        <v>Environmental damage</v>
      </c>
      <c r="G106" s="113" t="s">
        <v>1587</v>
      </c>
      <c r="H106" s="113" cm="1">
        <f t="array" aca="1" ref="H106" ca="1">CreateID($H$2,$A106&lt;&gt;"")</f>
        <v>14</v>
      </c>
      <c r="I106" s="9" t="str">
        <f t="shared" si="25"/>
        <v/>
      </c>
      <c r="J106" s="9" t="str">
        <f t="shared" si="26"/>
        <v/>
      </c>
      <c r="K106" s="9" t="str">
        <f t="shared" si="27"/>
        <v/>
      </c>
      <c r="L106" s="9" cm="1">
        <f t="array" aca="1" ref="L106" ca="1">CreateID($L$2,$I106&lt;&gt;INDEX($I:$I,ROW()-1))</f>
        <v>28</v>
      </c>
      <c r="M106" s="9" t="str" cm="1">
        <f t="array" aca="1" ref="M106" ca="1">IF($Q106="","",INDIRECT($Q106))</f>
        <v/>
      </c>
      <c r="N106" s="9" t="str">
        <f t="shared" ca="1" si="28"/>
        <v>D</v>
      </c>
      <c r="O106" s="9" t="str">
        <f t="shared" ca="1" si="29"/>
        <v>QI14</v>
      </c>
    </row>
    <row r="107" spans="1:17" ht="67.5" x14ac:dyDescent="0.25">
      <c r="A107" s="108" t="str" cm="1">
        <f t="array" aca="1" ref="A107" ca="1">IF($Q107="","",_xlfn.LET(
_xlpm._fullName,IF($R107="",SUBSTITUTE(SUBSTITUTE(INDIRECT($Q107),CHAR(10)," "),"  "," "),$R107),
_xlpm._truncatedName,IF(LEN(_xlpm._fullName)&gt;250,LEFT(_xlpm._fullName,250)&amp;"[…]",_xlpm._fullName),
HYPERLINK("#'"&amp;$I107&amp;"'!"&amp;$J107&amp;$K107,
_xlpm._truncatedName)))</f>
        <v/>
      </c>
      <c r="B107" s="106" t="str" cm="1">
        <f t="array" aca="1" ref="B107" ca="1">IF($A107="","",SimpleLookup($A107,Questions!$A:$B))</f>
        <v/>
      </c>
      <c r="C107" s="107"/>
      <c r="D107" s="110"/>
      <c r="E107" s="106" t="str" cm="1">
        <f t="array" aca="1" ref="E107" ca="1">_xlfn.LET(
_xlpm._options,IF($O107="","",SimpleLookup($O107,Questions!$A:$H)),
_xlpm._followUpStart,FIND($C107&amp;":",_xlpm._options)+LEN($C107&amp;":"),
_xlpm._followUpEnd,FIND(CHAR(10),_xlpm._options&amp;CHAR(10),_xlpm._followUpStart),
IF($C107="","",TRIM(MID(_xlpm._options,_xlpm._followUpStart,_xlpm._followUpEnd-_xlpm._followUpStart))))</f>
        <v/>
      </c>
      <c r="F107" s="107" t="str">
        <f>Definitions!$H$22</f>
        <v>Critical disturbance (destruction)</v>
      </c>
      <c r="G107" s="113" t="s">
        <v>1588</v>
      </c>
      <c r="H107" s="113" cm="1">
        <f t="array" aca="1" ref="H107" ca="1">CreateID($H$2,$A107&lt;&gt;"")</f>
        <v>14</v>
      </c>
      <c r="I107" s="9" t="str">
        <f t="shared" si="25"/>
        <v/>
      </c>
      <c r="J107" s="9" t="str">
        <f t="shared" si="26"/>
        <v/>
      </c>
      <c r="K107" s="9" t="str">
        <f t="shared" si="27"/>
        <v/>
      </c>
      <c r="L107" s="9" cm="1">
        <f t="array" aca="1" ref="L107" ca="1">CreateID($L$2,$I107&lt;&gt;INDEX($I:$I,ROW()-1))</f>
        <v>28</v>
      </c>
      <c r="M107" s="9" t="str" cm="1">
        <f t="array" aca="1" ref="M107" ca="1">IF($Q107="","",INDIRECT($Q107))</f>
        <v/>
      </c>
      <c r="N107" s="9" t="str">
        <f t="shared" ca="1" si="28"/>
        <v>D</v>
      </c>
      <c r="O107" s="9" t="str">
        <f t="shared" ca="1" si="29"/>
        <v>QI14</v>
      </c>
    </row>
    <row r="108" spans="1:17" ht="67.5" x14ac:dyDescent="0.25">
      <c r="A108" s="108" t="str" cm="1">
        <f t="array" aca="1" ref="A108" ca="1">IF($Q108="","",_xlfn.LET(
_xlpm._fullName,IF($R108="",SUBSTITUTE(SUBSTITUTE(INDIRECT($Q108),CHAR(10)," "),"  "," "),$R108),
_xlpm._truncatedName,IF(LEN(_xlpm._fullName)&gt;250,LEFT(_xlpm._fullName,250)&amp;"[…]",_xlpm._fullName),
HYPERLINK("#'"&amp;$I108&amp;"'!"&amp;$J108&amp;$K108,
_xlpm._truncatedName)))</f>
        <v/>
      </c>
      <c r="B108" s="106" t="str" cm="1">
        <f t="array" aca="1" ref="B108" ca="1">IF($A108="","",SimpleLookup($A108,Questions!$A:$B))</f>
        <v/>
      </c>
      <c r="C108" s="107"/>
      <c r="D108" s="110"/>
      <c r="E108" s="106" t="str" cm="1">
        <f t="array" aca="1" ref="E108" ca="1">_xlfn.LET(
_xlpm._options,IF($O108="","",SimpleLookup($O108,Questions!$A:$H)),
_xlpm._followUpStart,FIND($C108&amp;":",_xlpm._options)+LEN($C108&amp;":"),
_xlpm._followUpEnd,FIND(CHAR(10),_xlpm._options&amp;CHAR(10),_xlpm._followUpStart),
IF($C108="","",TRIM(MID(_xlpm._options,_xlpm._followUpStart,_xlpm._followUpEnd-_xlpm._followUpStart))))</f>
        <v/>
      </c>
      <c r="F108" s="107" t="str">
        <f>Definitions!$H$23</f>
        <v>Critical environmental damage</v>
      </c>
      <c r="G108" s="113" t="s">
        <v>1589</v>
      </c>
      <c r="H108" s="113" cm="1">
        <f t="array" aca="1" ref="H108" ca="1">CreateID($H$2,$A108&lt;&gt;"")</f>
        <v>14</v>
      </c>
      <c r="I108" s="9" t="str">
        <f t="shared" si="25"/>
        <v/>
      </c>
      <c r="J108" s="9" t="str">
        <f t="shared" si="26"/>
        <v/>
      </c>
      <c r="K108" s="9" t="str">
        <f t="shared" si="27"/>
        <v/>
      </c>
      <c r="L108" s="9" cm="1">
        <f t="array" aca="1" ref="L108" ca="1">CreateID($L$2,$I108&lt;&gt;INDEX($I:$I,ROW()-1))</f>
        <v>28</v>
      </c>
      <c r="M108" s="9" t="str" cm="1">
        <f t="array" aca="1" ref="M108" ca="1">IF($Q108="","",INDIRECT($Q108))</f>
        <v/>
      </c>
      <c r="N108" s="9" t="str">
        <f t="shared" ca="1" si="28"/>
        <v>D</v>
      </c>
      <c r="O108" s="9" t="str">
        <f t="shared" ca="1" si="29"/>
        <v>QI14</v>
      </c>
    </row>
    <row r="109" spans="1:17" ht="67.5" x14ac:dyDescent="0.25">
      <c r="A109" s="108" t="str" cm="1">
        <f t="array" aca="1" ref="A109" ca="1">IF($Q109="","",_xlfn.LET(
_xlpm._fullName,IF($R109="",SUBSTITUTE(SUBSTITUTE(INDIRECT($Q109),CHAR(10)," "),"  "," "),$R109),
_xlpm._truncatedName,IF(LEN(_xlpm._fullName)&gt;250,LEFT(_xlpm._fullName,250)&amp;"[…]",_xlpm._fullName),
HYPERLINK("#'"&amp;$I109&amp;"'!"&amp;$J109&amp;$K109,
_xlpm._truncatedName)))</f>
        <v/>
      </c>
      <c r="B109" s="106" t="str" cm="1">
        <f t="array" aca="1" ref="B109" ca="1">IF($A109="","",SimpleLookup($A109,Questions!$A:$B))</f>
        <v/>
      </c>
      <c r="C109" s="107"/>
      <c r="D109" s="110"/>
      <c r="E109" s="106" t="str" cm="1">
        <f t="array" aca="1" ref="E109" ca="1">_xlfn.LET(
_xlpm._options,IF($O109="","",SimpleLookup($O109,Questions!$A:$H)),
_xlpm._followUpStart,FIND($C109&amp;":",_xlpm._options)+LEN($C109&amp;":"),
_xlpm._followUpEnd,FIND(CHAR(10),_xlpm._options&amp;CHAR(10),_xlpm._followUpStart),
IF($C109="","",TRIM(MID(_xlpm._options,_xlpm._followUpStart,_xlpm._followUpEnd-_xlpm._followUpStart))))</f>
        <v/>
      </c>
      <c r="F109" s="107">
        <f>Definitions!$H$24</f>
        <v>0</v>
      </c>
      <c r="G109" s="113" t="s">
        <v>1590</v>
      </c>
      <c r="H109" s="113" cm="1">
        <f t="array" aca="1" ref="H109" ca="1">CreateID($H$2,$A109&lt;&gt;"")</f>
        <v>14</v>
      </c>
      <c r="I109" s="9" t="str">
        <f t="shared" si="25"/>
        <v/>
      </c>
      <c r="J109" s="9" t="str">
        <f t="shared" si="26"/>
        <v/>
      </c>
      <c r="K109" s="9" t="str">
        <f t="shared" si="27"/>
        <v/>
      </c>
      <c r="L109" s="9" cm="1">
        <f t="array" aca="1" ref="L109" ca="1">CreateID($L$2,$I109&lt;&gt;INDEX($I:$I,ROW()-1))</f>
        <v>28</v>
      </c>
      <c r="M109" s="9" t="str" cm="1">
        <f t="array" aca="1" ref="M109" ca="1">IF($Q109="","",INDIRECT($Q109))</f>
        <v/>
      </c>
      <c r="N109" s="9" t="str">
        <f t="shared" ca="1" si="28"/>
        <v>D</v>
      </c>
      <c r="O109" s="9" t="str">
        <f t="shared" ca="1" si="29"/>
        <v>QI14</v>
      </c>
    </row>
    <row r="110" spans="1:17" ht="84" x14ac:dyDescent="0.25">
      <c r="A110" s="108" t="str" cm="1">
        <f t="array" aca="1" ref="A110" ca="1">IF($Q110="","",_xlfn.LET(
_xlpm._fullName,IF($R110="",SUBSTITUTE(SUBSTITUTE(INDIRECT($Q110),CHAR(10)," "),"  "," "),$R110),
_xlpm._truncatedName,IF(LEN(_xlpm._fullName)&gt;250,LEFT(_xlpm._fullName,250)&amp;"[…]",_xlpm._fullName),
HYPERLINK("#'"&amp;$I110&amp;"'!"&amp;$J110&amp;$K110,
_xlpm._truncatedName)))</f>
        <v/>
      </c>
      <c r="B110" s="106" t="str" cm="1">
        <f t="array" aca="1" ref="B110" ca="1">IF($A110="","",SimpleLookup($A110,Questions!$A:$B))</f>
        <v/>
      </c>
      <c r="C110" s="107" t="s">
        <v>10</v>
      </c>
      <c r="D110" s="110" t="s">
        <v>1606</v>
      </c>
      <c r="E110" s="106" t="str" cm="1">
        <f t="array" aca="1" ref="E110" ca="1">_xlfn.LET(
_xlpm._options,IF($O110="","",SimpleLookup($O110,Questions!$A:$H)),
_xlpm._followUpStart,FIND($C110&amp;":",_xlpm._options)+LEN($C110&amp;":"),
_xlpm._followUpEnd,FIND(CHAR(10),_xlpm._options&amp;CHAR(10),_xlpm._followUpStart),
IF($C110="","",TRIM(MID(_xlpm._options,_xlpm._followUpStart,_xlpm._followUpEnd-_xlpm._followUpStart))))</f>
        <v/>
      </c>
      <c r="F110" s="107"/>
      <c r="G110" s="113"/>
      <c r="H110" s="113" cm="1">
        <f t="array" aca="1" ref="H110" ca="1">CreateID($H$2,$A110&lt;&gt;"")</f>
        <v>14</v>
      </c>
      <c r="I110" s="9" t="str">
        <f t="shared" si="25"/>
        <v/>
      </c>
      <c r="J110" s="9" t="str">
        <f t="shared" si="26"/>
        <v/>
      </c>
      <c r="K110" s="9" t="str">
        <f t="shared" si="27"/>
        <v/>
      </c>
      <c r="L110" s="9" cm="1">
        <f t="array" aca="1" ref="L110" ca="1">CreateID($L$2,$I110&lt;&gt;INDEX($I:$I,ROW()-1))</f>
        <v>28</v>
      </c>
      <c r="M110" s="9" t="str" cm="1">
        <f t="array" aca="1" ref="M110" ca="1">IF($Q110="","",INDIRECT($Q110))</f>
        <v/>
      </c>
      <c r="N110" s="9" t="str">
        <f t="shared" ca="1" si="28"/>
        <v>D</v>
      </c>
      <c r="O110" s="9" t="str">
        <f t="shared" ca="1" si="29"/>
        <v>QI14</v>
      </c>
    </row>
    <row r="111" spans="1:17" ht="264" x14ac:dyDescent="0.25">
      <c r="A111" s="108" t="str" cm="1">
        <f t="array" aca="1" ref="A111" ca="1">IF($Q111="","",_xlfn.LET(
_xlpm._fullName,IF($R111="",SUBSTITUTE(SUBSTITUTE(INDIRECT($Q111),CHAR(10)," "),"  "," "),$R111),
_xlpm._truncatedName,IF(LEN(_xlpm._fullName)&gt;250,LEFT(_xlpm._fullName,250)&amp;"[…]",_xlpm._fullName),
HYPERLINK("#'"&amp;$I111&amp;"'!"&amp;$J111&amp;$K111,
_xlpm._truncatedName)))</f>
        <v>QI15</v>
      </c>
      <c r="B111" s="106" t="str" cm="1">
        <f t="array" aca="1" ref="B111" ca="1">IF($A111="","",SimpleLookup($A111,Questions!$A:$B))</f>
        <v>Can a manipulated product allow an attacker access to assets of the customer or allow the attacker to attack the customer's network?</v>
      </c>
      <c r="C111" s="107" t="s">
        <v>9</v>
      </c>
      <c r="D111" s="110" t="s">
        <v>1607</v>
      </c>
      <c r="E111" s="106" t="str" cm="1">
        <f t="array" aca="1" ref="E111" ca="1">_xlfn.LET(
_xlpm._options,IF($O111="","",SimpleLookup($O111,Questions!$A:$H)),
_xlpm._followUpStart,FIND($C111&amp;":",_xlpm._options)+LEN($C111&amp;":"),
_xlpm._followUpEnd,FIND(CHAR(10),_xlpm._options&amp;CHAR(10),_xlpm._followUpStart),
IF($C111="","",TRIM(MID(_xlpm._options,_xlpm._followUpStart,_xlpm._followUpEnd-_xlpm._followUpStart))))</f>
        <v>What is the worst case damage caused by the manipulation for the intended use of the product?</v>
      </c>
      <c r="F111" s="107"/>
      <c r="G111" s="113" t="s">
        <v>1594</v>
      </c>
      <c r="H111" s="113" cm="1">
        <f t="array" aca="1" ref="H111" ca="1">CreateID($H$2,$A111&lt;&gt;"")</f>
        <v>15</v>
      </c>
      <c r="I111" s="9" t="str">
        <f t="shared" ca="1" si="25"/>
        <v>Questionnaire</v>
      </c>
      <c r="J111" s="9" t="str">
        <f t="shared" ca="1" si="26"/>
        <v>B</v>
      </c>
      <c r="K111" s="9" t="str">
        <f t="shared" ca="1" si="27"/>
        <v>30</v>
      </c>
      <c r="L111" s="9" cm="1">
        <f t="array" aca="1" ref="L111" ca="1">CreateID($L$2,$I111&lt;&gt;INDEX($I:$I,ROW()-1))</f>
        <v>29</v>
      </c>
      <c r="M111" s="9" t="str" cm="1">
        <f t="array" aca="1" ref="M111" ca="1">IF($Q111="","",INDIRECT($Q111))</f>
        <v>QI15</v>
      </c>
      <c r="N111" s="9" t="str">
        <f t="shared" ca="1" si="28"/>
        <v>L</v>
      </c>
      <c r="O111" s="9" t="str">
        <f t="shared" ca="1" si="29"/>
        <v>QI15</v>
      </c>
      <c r="Q111" s="2" t="str" cm="1">
        <f t="array" aca="1" ref="Q111" ca="1">CELL("address",Questionnaire!$B$30)</f>
        <v>'[QuBA-libre.xlsx]Questionnaire'!$B$30</v>
      </c>
    </row>
    <row r="112" spans="1:17" ht="33.75" x14ac:dyDescent="0.25">
      <c r="A112" s="108" t="str" cm="1">
        <f t="array" aca="1" ref="A112" ca="1">IF($Q112="","",_xlfn.LET(
_xlpm._fullName,IF($R112="",SUBSTITUTE(SUBSTITUTE(INDIRECT($Q112),CHAR(10)," "),"  "," "),$R112),
_xlpm._truncatedName,IF(LEN(_xlpm._fullName)&gt;250,LEFT(_xlpm._fullName,250)&amp;"[…]",_xlpm._fullName),
HYPERLINK("#'"&amp;$I112&amp;"'!"&amp;$J112&amp;$K112,
_xlpm._truncatedName)))</f>
        <v/>
      </c>
      <c r="B112" s="106" t="str" cm="1">
        <f t="array" aca="1" ref="B112" ca="1">IF($A112="","",SimpleLookup($A112,Questions!$A:$B))</f>
        <v/>
      </c>
      <c r="C112" s="107"/>
      <c r="D112" s="110"/>
      <c r="E112" s="106" t="str" cm="1">
        <f t="array" aca="1" ref="E112" ca="1">_xlfn.LET(
_xlpm._options,IF($O112="","",SimpleLookup($O112,Questions!$A:$H)),
_xlpm._followUpStart,FIND($C112&amp;":",_xlpm._options)+LEN($C112&amp;":"),
_xlpm._followUpEnd,FIND(CHAR(10),_xlpm._options&amp;CHAR(10),_xlpm._followUpStart),
IF($C112="","",TRIM(MID(_xlpm._options,_xlpm._followUpStart,_xlpm._followUpEnd-_xlpm._followUpStart))))</f>
        <v/>
      </c>
      <c r="F112" s="107" t="str">
        <f>Definitions!$H$11</f>
        <v>Medium financial damage</v>
      </c>
      <c r="G112" s="113" t="s">
        <v>1576</v>
      </c>
      <c r="H112" s="113" cm="1">
        <f t="array" aca="1" ref="H112" ca="1">CreateID($H$2,$A112&lt;&gt;"")</f>
        <v>15</v>
      </c>
      <c r="I112" s="9" t="str">
        <f t="shared" si="25"/>
        <v/>
      </c>
      <c r="J112" s="9" t="str">
        <f t="shared" si="26"/>
        <v/>
      </c>
      <c r="K112" s="9" t="str">
        <f t="shared" si="27"/>
        <v/>
      </c>
      <c r="L112" s="9" cm="1">
        <f t="array" aca="1" ref="L112" ca="1">CreateID($L$2,$I112&lt;&gt;INDEX($I:$I,ROW()-1))</f>
        <v>30</v>
      </c>
      <c r="M112" s="9" t="str" cm="1">
        <f t="array" aca="1" ref="M112" ca="1">IF($Q112="","",INDIRECT($Q112))</f>
        <v/>
      </c>
      <c r="N112" s="9" t="str">
        <f t="shared" ca="1" si="28"/>
        <v>L</v>
      </c>
      <c r="O112" s="9" t="str">
        <f t="shared" ca="1" si="29"/>
        <v>QI15</v>
      </c>
    </row>
    <row r="113" spans="1:17" ht="33.75" x14ac:dyDescent="0.25">
      <c r="A113" s="108" t="str" cm="1">
        <f t="array" aca="1" ref="A113" ca="1">IF($Q113="","",_xlfn.LET(
_xlpm._fullName,IF($R113="",SUBSTITUTE(SUBSTITUTE(INDIRECT($Q113),CHAR(10)," "),"  "," "),$R113),
_xlpm._truncatedName,IF(LEN(_xlpm._fullName)&gt;250,LEFT(_xlpm._fullName,250)&amp;"[…]",_xlpm._fullName),
HYPERLINK("#'"&amp;$I113&amp;"'!"&amp;$J113&amp;$K113,
_xlpm._truncatedName)))</f>
        <v/>
      </c>
      <c r="B113" s="106" t="str" cm="1">
        <f t="array" aca="1" ref="B113" ca="1">IF($A113="","",SimpleLookup($A113,Questions!$A:$B))</f>
        <v/>
      </c>
      <c r="C113" s="107"/>
      <c r="D113" s="110"/>
      <c r="E113" s="106" t="str" cm="1">
        <f t="array" aca="1" ref="E113" ca="1">_xlfn.LET(
_xlpm._options,IF($O113="","",SimpleLookup($O113,Questions!$A:$H)),
_xlpm._followUpStart,FIND($C113&amp;":",_xlpm._options)+LEN($C113&amp;":"),
_xlpm._followUpEnd,FIND(CHAR(10),_xlpm._options&amp;CHAR(10),_xlpm._followUpStart),
IF($C113="","",TRIM(MID(_xlpm._options,_xlpm._followUpStart,_xlpm._followUpEnd-_xlpm._followUpStart))))</f>
        <v/>
      </c>
      <c r="F113" s="107" t="str">
        <f>Definitions!$H$12</f>
        <v>High financial damage</v>
      </c>
      <c r="G113" s="113" t="s">
        <v>1577</v>
      </c>
      <c r="H113" s="113" cm="1">
        <f t="array" aca="1" ref="H113" ca="1">CreateID($H$2,$A113&lt;&gt;"")</f>
        <v>15</v>
      </c>
      <c r="I113" s="9" t="str">
        <f t="shared" si="25"/>
        <v/>
      </c>
      <c r="J113" s="9" t="str">
        <f t="shared" si="26"/>
        <v/>
      </c>
      <c r="K113" s="9" t="str">
        <f t="shared" si="27"/>
        <v/>
      </c>
      <c r="L113" s="9" cm="1">
        <f t="array" aca="1" ref="L113" ca="1">CreateID($L$2,$I113&lt;&gt;INDEX($I:$I,ROW()-1))</f>
        <v>30</v>
      </c>
      <c r="M113" s="9" t="str" cm="1">
        <f t="array" aca="1" ref="M113" ca="1">IF($Q113="","",INDIRECT($Q113))</f>
        <v/>
      </c>
      <c r="N113" s="9" t="str">
        <f t="shared" ca="1" si="28"/>
        <v>L</v>
      </c>
      <c r="O113" s="9" t="str">
        <f t="shared" ca="1" si="29"/>
        <v>QI15</v>
      </c>
    </row>
    <row r="114" spans="1:17" ht="45" x14ac:dyDescent="0.25">
      <c r="A114" s="108" t="str" cm="1">
        <f t="array" aca="1" ref="A114" ca="1">IF($Q114="","",_xlfn.LET(
_xlpm._fullName,IF($R114="",SUBSTITUTE(SUBSTITUTE(INDIRECT($Q114),CHAR(10)," "),"  "," "),$R114),
_xlpm._truncatedName,IF(LEN(_xlpm._fullName)&gt;250,LEFT(_xlpm._fullName,250)&amp;"[…]",_xlpm._fullName),
HYPERLINK("#'"&amp;$I114&amp;"'!"&amp;$J114&amp;$K114,
_xlpm._truncatedName)))</f>
        <v/>
      </c>
      <c r="B114" s="106" t="str" cm="1">
        <f t="array" aca="1" ref="B114" ca="1">IF($A114="","",SimpleLookup($A114,Questions!$A:$B))</f>
        <v/>
      </c>
      <c r="C114" s="107"/>
      <c r="D114" s="110"/>
      <c r="E114" s="106" t="str" cm="1">
        <f t="array" aca="1" ref="E114" ca="1">_xlfn.LET(
_xlpm._options,IF($O114="","",SimpleLookup($O114,Questions!$A:$H)),
_xlpm._followUpStart,FIND($C114&amp;":",_xlpm._options)+LEN($C114&amp;":"),
_xlpm._followUpEnd,FIND(CHAR(10),_xlpm._options&amp;CHAR(10),_xlpm._followUpStart),
IF($C114="","",TRIM(MID(_xlpm._options,_xlpm._followUpStart,_xlpm._followUpEnd-_xlpm._followUpStart))))</f>
        <v/>
      </c>
      <c r="F114" s="107" t="str">
        <f>Definitions!$H$13</f>
        <v>Critical financial damage</v>
      </c>
      <c r="G114" s="113" t="s">
        <v>1578</v>
      </c>
      <c r="H114" s="113" cm="1">
        <f t="array" aca="1" ref="H114" ca="1">CreateID($H$2,$A114&lt;&gt;"")</f>
        <v>15</v>
      </c>
      <c r="I114" s="9" t="str">
        <f t="shared" si="25"/>
        <v/>
      </c>
      <c r="J114" s="9" t="str">
        <f t="shared" si="26"/>
        <v/>
      </c>
      <c r="K114" s="9" t="str">
        <f t="shared" si="27"/>
        <v/>
      </c>
      <c r="L114" s="9" cm="1">
        <f t="array" aca="1" ref="L114" ca="1">CreateID($L$2,$I114&lt;&gt;INDEX($I:$I,ROW()-1))</f>
        <v>30</v>
      </c>
      <c r="M114" s="9" t="str" cm="1">
        <f t="array" aca="1" ref="M114" ca="1">IF($Q114="","",INDIRECT($Q114))</f>
        <v/>
      </c>
      <c r="N114" s="9" t="str">
        <f t="shared" ca="1" si="28"/>
        <v>L</v>
      </c>
      <c r="O114" s="9" t="str">
        <f t="shared" ca="1" si="29"/>
        <v>QI15</v>
      </c>
    </row>
    <row r="115" spans="1:17" ht="45" x14ac:dyDescent="0.25">
      <c r="A115" s="108" t="str" cm="1">
        <f t="array" aca="1" ref="A115" ca="1">IF($Q115="","",_xlfn.LET(
_xlpm._fullName,IF($R115="",SUBSTITUTE(SUBSTITUTE(INDIRECT($Q115),CHAR(10)," "),"  "," "),$R115),
_xlpm._truncatedName,IF(LEN(_xlpm._fullName)&gt;250,LEFT(_xlpm._fullName,250)&amp;"[…]",_xlpm._fullName),
HYPERLINK("#'"&amp;$I115&amp;"'!"&amp;$J115&amp;$K115,
_xlpm._truncatedName)))</f>
        <v/>
      </c>
      <c r="B115" s="106" t="str" cm="1">
        <f t="array" aca="1" ref="B115" ca="1">IF($A115="","",SimpleLookup($A115,Questions!$A:$B))</f>
        <v/>
      </c>
      <c r="C115" s="107"/>
      <c r="D115" s="110"/>
      <c r="E115" s="106" t="str" cm="1">
        <f t="array" aca="1" ref="E115" ca="1">_xlfn.LET(
_xlpm._options,IF($O115="","",SimpleLookup($O115,Questions!$A:$H)),
_xlpm._followUpStart,FIND($C115&amp;":",_xlpm._options)+LEN($C115&amp;":"),
_xlpm._followUpEnd,FIND(CHAR(10),_xlpm._options&amp;CHAR(10),_xlpm._followUpStart),
IF($C115="","",TRIM(MID(_xlpm._options,_xlpm._followUpStart,_xlpm._followUpEnd-_xlpm._followUpStart))))</f>
        <v/>
      </c>
      <c r="F115" s="107" t="str">
        <f>Definitions!$H$14</f>
        <v>Potentially dangerous situation</v>
      </c>
      <c r="G115" s="113" t="s">
        <v>1579</v>
      </c>
      <c r="H115" s="113" cm="1">
        <f t="array" aca="1" ref="H115" ca="1">CreateID($H$2,$A115&lt;&gt;"")</f>
        <v>15</v>
      </c>
      <c r="I115" s="9" t="str">
        <f t="shared" si="25"/>
        <v/>
      </c>
      <c r="J115" s="9" t="str">
        <f t="shared" si="26"/>
        <v/>
      </c>
      <c r="K115" s="9" t="str">
        <f t="shared" si="27"/>
        <v/>
      </c>
      <c r="L115" s="9" cm="1">
        <f t="array" aca="1" ref="L115" ca="1">CreateID($L$2,$I115&lt;&gt;INDEX($I:$I,ROW()-1))</f>
        <v>30</v>
      </c>
      <c r="M115" s="9" t="str" cm="1">
        <f t="array" aca="1" ref="M115" ca="1">IF($Q115="","",INDIRECT($Q115))</f>
        <v/>
      </c>
      <c r="N115" s="9" t="str">
        <f t="shared" ca="1" si="28"/>
        <v>L</v>
      </c>
      <c r="O115" s="9" t="str">
        <f t="shared" ca="1" si="29"/>
        <v>QI15</v>
      </c>
    </row>
    <row r="116" spans="1:17" ht="90" x14ac:dyDescent="0.25">
      <c r="A116" s="108" t="str" cm="1">
        <f t="array" aca="1" ref="A116" ca="1">IF($Q116="","",_xlfn.LET(
_xlpm._fullName,IF($R116="",SUBSTITUTE(SUBSTITUTE(INDIRECT($Q116),CHAR(10)," "),"  "," "),$R116),
_xlpm._truncatedName,IF(LEN(_xlpm._fullName)&gt;250,LEFT(_xlpm._fullName,250)&amp;"[…]",_xlpm._fullName),
HYPERLINK("#'"&amp;$I116&amp;"'!"&amp;$J116&amp;$K116,
_xlpm._truncatedName)))</f>
        <v/>
      </c>
      <c r="B116" s="106" t="str" cm="1">
        <f t="array" aca="1" ref="B116" ca="1">IF($A116="","",SimpleLookup($A116,Questions!$A:$B))</f>
        <v/>
      </c>
      <c r="C116" s="107"/>
      <c r="D116" s="110"/>
      <c r="E116" s="106" t="str" cm="1">
        <f t="array" aca="1" ref="E116" ca="1">_xlfn.LET(
_xlpm._options,IF($O116="","",SimpleLookup($O116,Questions!$A:$H)),
_xlpm._followUpStart,FIND($C116&amp;":",_xlpm._options)+LEN($C116&amp;":"),
_xlpm._followUpEnd,FIND(CHAR(10),_xlpm._options&amp;CHAR(10),_xlpm._followUpStart),
IF($C116="","",TRIM(MID(_xlpm._options,_xlpm._followUpStart,_xlpm._followUpEnd-_xlpm._followUpStart))))</f>
        <v/>
      </c>
      <c r="F116" s="107" t="str">
        <f>Definitions!$H$19</f>
        <v>Service required</v>
      </c>
      <c r="G116" s="113" t="s">
        <v>1585</v>
      </c>
      <c r="H116" s="113" cm="1">
        <f t="array" aca="1" ref="H116" ca="1">CreateID($H$2,$A116&lt;&gt;"")</f>
        <v>15</v>
      </c>
      <c r="I116" s="9" t="str">
        <f t="shared" si="25"/>
        <v/>
      </c>
      <c r="J116" s="9" t="str">
        <f t="shared" si="26"/>
        <v/>
      </c>
      <c r="K116" s="9" t="str">
        <f t="shared" si="27"/>
        <v/>
      </c>
      <c r="L116" s="9" cm="1">
        <f t="array" aca="1" ref="L116" ca="1">CreateID($L$2,$I116&lt;&gt;INDEX($I:$I,ROW()-1))</f>
        <v>30</v>
      </c>
      <c r="M116" s="9" t="str" cm="1">
        <f t="array" aca="1" ref="M116" ca="1">IF($Q116="","",INDIRECT($Q116))</f>
        <v/>
      </c>
      <c r="N116" s="9" t="str">
        <f t="shared" ca="1" si="28"/>
        <v>L</v>
      </c>
      <c r="O116" s="9" t="str">
        <f t="shared" ca="1" si="29"/>
        <v>QI15</v>
      </c>
    </row>
    <row r="117" spans="1:17" ht="67.5" x14ac:dyDescent="0.25">
      <c r="A117" s="108" t="str" cm="1">
        <f t="array" aca="1" ref="A117" ca="1">IF($Q117="","",_xlfn.LET(
_xlpm._fullName,IF($R117="",SUBSTITUTE(SUBSTITUTE(INDIRECT($Q117),CHAR(10)," "),"  "," "),$R117),
_xlpm._truncatedName,IF(LEN(_xlpm._fullName)&gt;250,LEFT(_xlpm._fullName,250)&amp;"[…]",_xlpm._fullName),
HYPERLINK("#'"&amp;$I117&amp;"'!"&amp;$J117&amp;$K117,
_xlpm._truncatedName)))</f>
        <v/>
      </c>
      <c r="B117" s="106" t="str" cm="1">
        <f t="array" aca="1" ref="B117" ca="1">IF($A117="","",SimpleLookup($A117,Questions!$A:$B))</f>
        <v/>
      </c>
      <c r="C117" s="107"/>
      <c r="D117" s="110"/>
      <c r="E117" s="106" t="str" cm="1">
        <f t="array" aca="1" ref="E117" ca="1">_xlfn.LET(
_xlpm._options,IF($O117="","",SimpleLookup($O117,Questions!$A:$H)),
_xlpm._followUpStart,FIND($C117&amp;":",_xlpm._options)+LEN($C117&amp;":"),
_xlpm._followUpEnd,FIND(CHAR(10),_xlpm._options&amp;CHAR(10),_xlpm._followUpStart),
IF($C117="","",TRIM(MID(_xlpm._options,_xlpm._followUpStart,_xlpm._followUpEnd-_xlpm._followUpStart))))</f>
        <v/>
      </c>
      <c r="F117" s="107" t="str">
        <f>Definitions!$H$20</f>
        <v>Major disturbance</v>
      </c>
      <c r="G117" s="113" t="s">
        <v>1586</v>
      </c>
      <c r="H117" s="113" cm="1">
        <f t="array" aca="1" ref="H117" ca="1">CreateID($H$2,$A117&lt;&gt;"")</f>
        <v>15</v>
      </c>
      <c r="I117" s="9" t="str">
        <f t="shared" si="25"/>
        <v/>
      </c>
      <c r="J117" s="9" t="str">
        <f t="shared" si="26"/>
        <v/>
      </c>
      <c r="K117" s="9" t="str">
        <f t="shared" si="27"/>
        <v/>
      </c>
      <c r="L117" s="9" cm="1">
        <f t="array" aca="1" ref="L117" ca="1">CreateID($L$2,$I117&lt;&gt;INDEX($I:$I,ROW()-1))</f>
        <v>30</v>
      </c>
      <c r="M117" s="9" t="str" cm="1">
        <f t="array" aca="1" ref="M117" ca="1">IF($Q117="","",INDIRECT($Q117))</f>
        <v/>
      </c>
      <c r="N117" s="9" t="str">
        <f t="shared" ca="1" si="28"/>
        <v>L</v>
      </c>
      <c r="O117" s="9" t="str">
        <f t="shared" ca="1" si="29"/>
        <v>QI15</v>
      </c>
    </row>
    <row r="118" spans="1:17" ht="67.5" x14ac:dyDescent="0.25">
      <c r="A118" s="108" t="str" cm="1">
        <f t="array" aca="1" ref="A118" ca="1">IF($Q118="","",_xlfn.LET(
_xlpm._fullName,IF($R118="",SUBSTITUTE(SUBSTITUTE(INDIRECT($Q118),CHAR(10)," "),"  "," "),$R118),
_xlpm._truncatedName,IF(LEN(_xlpm._fullName)&gt;250,LEFT(_xlpm._fullName,250)&amp;"[…]",_xlpm._fullName),
HYPERLINK("#'"&amp;$I118&amp;"'!"&amp;$J118&amp;$K118,
_xlpm._truncatedName)))</f>
        <v/>
      </c>
      <c r="B118" s="106" t="str" cm="1">
        <f t="array" aca="1" ref="B118" ca="1">IF($A118="","",SimpleLookup($A118,Questions!$A:$B))</f>
        <v/>
      </c>
      <c r="C118" s="107"/>
      <c r="D118" s="110"/>
      <c r="E118" s="106" t="str" cm="1">
        <f t="array" aca="1" ref="E118" ca="1">_xlfn.LET(
_xlpm._options,IF($O118="","",SimpleLookup($O118,Questions!$A:$H)),
_xlpm._followUpStart,FIND($C118&amp;":",_xlpm._options)+LEN($C118&amp;":"),
_xlpm._followUpEnd,FIND(CHAR(10),_xlpm._options&amp;CHAR(10),_xlpm._followUpStart),
IF($C118="","",TRIM(MID(_xlpm._options,_xlpm._followUpStart,_xlpm._followUpEnd-_xlpm._followUpStart))))</f>
        <v/>
      </c>
      <c r="F118" s="107" t="str">
        <f>Definitions!$H$21</f>
        <v>Environmental damage</v>
      </c>
      <c r="G118" s="113" t="s">
        <v>1587</v>
      </c>
      <c r="H118" s="113" cm="1">
        <f t="array" aca="1" ref="H118" ca="1">CreateID($H$2,$A118&lt;&gt;"")</f>
        <v>15</v>
      </c>
      <c r="I118" s="9" t="str">
        <f t="shared" si="25"/>
        <v/>
      </c>
      <c r="J118" s="9" t="str">
        <f t="shared" si="26"/>
        <v/>
      </c>
      <c r="K118" s="9" t="str">
        <f t="shared" si="27"/>
        <v/>
      </c>
      <c r="L118" s="9" cm="1">
        <f t="array" aca="1" ref="L118" ca="1">CreateID($L$2,$I118&lt;&gt;INDEX($I:$I,ROW()-1))</f>
        <v>30</v>
      </c>
      <c r="M118" s="9" t="str" cm="1">
        <f t="array" aca="1" ref="M118" ca="1">IF($Q118="","",INDIRECT($Q118))</f>
        <v/>
      </c>
      <c r="N118" s="9" t="str">
        <f t="shared" ca="1" si="28"/>
        <v>L</v>
      </c>
      <c r="O118" s="9" t="str">
        <f t="shared" ca="1" si="29"/>
        <v>QI15</v>
      </c>
    </row>
    <row r="119" spans="1:17" ht="67.5" x14ac:dyDescent="0.25">
      <c r="A119" s="108" t="str" cm="1">
        <f t="array" aca="1" ref="A119" ca="1">IF($Q119="","",_xlfn.LET(
_xlpm._fullName,IF($R119="",SUBSTITUTE(SUBSTITUTE(INDIRECT($Q119),CHAR(10)," "),"  "," "),$R119),
_xlpm._truncatedName,IF(LEN(_xlpm._fullName)&gt;250,LEFT(_xlpm._fullName,250)&amp;"[…]",_xlpm._fullName),
HYPERLINK("#'"&amp;$I119&amp;"'!"&amp;$J119&amp;$K119,
_xlpm._truncatedName)))</f>
        <v/>
      </c>
      <c r="B119" s="106" t="str" cm="1">
        <f t="array" aca="1" ref="B119" ca="1">IF($A119="","",SimpleLookup($A119,Questions!$A:$B))</f>
        <v/>
      </c>
      <c r="C119" s="107"/>
      <c r="D119" s="110"/>
      <c r="E119" s="106" t="str" cm="1">
        <f t="array" aca="1" ref="E119" ca="1">_xlfn.LET(
_xlpm._options,IF($O119="","",SimpleLookup($O119,Questions!$A:$H)),
_xlpm._followUpStart,FIND($C119&amp;":",_xlpm._options)+LEN($C119&amp;":"),
_xlpm._followUpEnd,FIND(CHAR(10),_xlpm._options&amp;CHAR(10),_xlpm._followUpStart),
IF($C119="","",TRIM(MID(_xlpm._options,_xlpm._followUpStart,_xlpm._followUpEnd-_xlpm._followUpStart))))</f>
        <v/>
      </c>
      <c r="F119" s="107" t="str">
        <f>Definitions!$H$22</f>
        <v>Critical disturbance (destruction)</v>
      </c>
      <c r="G119" s="113" t="s">
        <v>1588</v>
      </c>
      <c r="H119" s="113" cm="1">
        <f t="array" aca="1" ref="H119" ca="1">CreateID($H$2,$A119&lt;&gt;"")</f>
        <v>15</v>
      </c>
      <c r="I119" s="9" t="str">
        <f t="shared" si="25"/>
        <v/>
      </c>
      <c r="J119" s="9" t="str">
        <f t="shared" si="26"/>
        <v/>
      </c>
      <c r="K119" s="9" t="str">
        <f t="shared" si="27"/>
        <v/>
      </c>
      <c r="L119" s="9" cm="1">
        <f t="array" aca="1" ref="L119" ca="1">CreateID($L$2,$I119&lt;&gt;INDEX($I:$I,ROW()-1))</f>
        <v>30</v>
      </c>
      <c r="M119" s="9" t="str" cm="1">
        <f t="array" aca="1" ref="M119" ca="1">IF($Q119="","",INDIRECT($Q119))</f>
        <v/>
      </c>
      <c r="N119" s="9" t="str">
        <f t="shared" ca="1" si="28"/>
        <v>L</v>
      </c>
      <c r="O119" s="9" t="str">
        <f t="shared" ca="1" si="29"/>
        <v>QI15</v>
      </c>
    </row>
    <row r="120" spans="1:17" ht="67.5" x14ac:dyDescent="0.25">
      <c r="A120" s="108" t="str" cm="1">
        <f t="array" aca="1" ref="A120" ca="1">IF($Q120="","",_xlfn.LET(
_xlpm._fullName,IF($R120="",SUBSTITUTE(SUBSTITUTE(INDIRECT($Q120),CHAR(10)," "),"  "," "),$R120),
_xlpm._truncatedName,IF(LEN(_xlpm._fullName)&gt;250,LEFT(_xlpm._fullName,250)&amp;"[…]",_xlpm._fullName),
HYPERLINK("#'"&amp;$I120&amp;"'!"&amp;$J120&amp;$K120,
_xlpm._truncatedName)))</f>
        <v/>
      </c>
      <c r="B120" s="106" t="str" cm="1">
        <f t="array" aca="1" ref="B120" ca="1">IF($A120="","",SimpleLookup($A120,Questions!$A:$B))</f>
        <v/>
      </c>
      <c r="C120" s="107"/>
      <c r="D120" s="110"/>
      <c r="E120" s="106" t="str" cm="1">
        <f t="array" aca="1" ref="E120" ca="1">_xlfn.LET(
_xlpm._options,IF($O120="","",SimpleLookup($O120,Questions!$A:$H)),
_xlpm._followUpStart,FIND($C120&amp;":",_xlpm._options)+LEN($C120&amp;":"),
_xlpm._followUpEnd,FIND(CHAR(10),_xlpm._options&amp;CHAR(10),_xlpm._followUpStart),
IF($C120="","",TRIM(MID(_xlpm._options,_xlpm._followUpStart,_xlpm._followUpEnd-_xlpm._followUpStart))))</f>
        <v/>
      </c>
      <c r="F120" s="107" t="str">
        <f>Definitions!$H$23</f>
        <v>Critical environmental damage</v>
      </c>
      <c r="G120" s="113" t="s">
        <v>1589</v>
      </c>
      <c r="H120" s="113" cm="1">
        <f t="array" aca="1" ref="H120" ca="1">CreateID($H$2,$A120&lt;&gt;"")</f>
        <v>15</v>
      </c>
      <c r="I120" s="9" t="str">
        <f t="shared" si="25"/>
        <v/>
      </c>
      <c r="J120" s="9" t="str">
        <f t="shared" si="26"/>
        <v/>
      </c>
      <c r="K120" s="9" t="str">
        <f t="shared" si="27"/>
        <v/>
      </c>
      <c r="L120" s="9" cm="1">
        <f t="array" aca="1" ref="L120" ca="1">CreateID($L$2,$I120&lt;&gt;INDEX($I:$I,ROW()-1))</f>
        <v>30</v>
      </c>
      <c r="M120" s="9" t="str" cm="1">
        <f t="array" aca="1" ref="M120" ca="1">IF($Q120="","",INDIRECT($Q120))</f>
        <v/>
      </c>
      <c r="N120" s="9" t="str">
        <f t="shared" ca="1" si="28"/>
        <v>L</v>
      </c>
      <c r="O120" s="9" t="str">
        <f t="shared" ca="1" si="29"/>
        <v>QI15</v>
      </c>
    </row>
    <row r="121" spans="1:17" ht="67.5" x14ac:dyDescent="0.25">
      <c r="A121" s="108" t="str" cm="1">
        <f t="array" aca="1" ref="A121" ca="1">IF($Q121="","",_xlfn.LET(
_xlpm._fullName,IF($R121="",SUBSTITUTE(SUBSTITUTE(INDIRECT($Q121),CHAR(10)," "),"  "," "),$R121),
_xlpm._truncatedName,IF(LEN(_xlpm._fullName)&gt;250,LEFT(_xlpm._fullName,250)&amp;"[…]",_xlpm._fullName),
HYPERLINK("#'"&amp;$I121&amp;"'!"&amp;$J121&amp;$K121,
_xlpm._truncatedName)))</f>
        <v/>
      </c>
      <c r="B121" s="106" t="str" cm="1">
        <f t="array" aca="1" ref="B121" ca="1">IF($A121="","",SimpleLookup($A121,Questions!$A:$B))</f>
        <v/>
      </c>
      <c r="C121" s="107"/>
      <c r="D121" s="110"/>
      <c r="E121" s="106" t="str" cm="1">
        <f t="array" aca="1" ref="E121" ca="1">_xlfn.LET(
_xlpm._options,IF($O121="","",SimpleLookup($O121,Questions!$A:$H)),
_xlpm._followUpStart,FIND($C121&amp;":",_xlpm._options)+LEN($C121&amp;":"),
_xlpm._followUpEnd,FIND(CHAR(10),_xlpm._options&amp;CHAR(10),_xlpm._followUpStart),
IF($C121="","",TRIM(MID(_xlpm._options,_xlpm._followUpStart,_xlpm._followUpEnd-_xlpm._followUpStart))))</f>
        <v/>
      </c>
      <c r="F121" s="107">
        <f>Definitions!$H$24</f>
        <v>0</v>
      </c>
      <c r="G121" s="113" t="s">
        <v>1590</v>
      </c>
      <c r="H121" s="113" cm="1">
        <f t="array" aca="1" ref="H121" ca="1">CreateID($H$2,$A121&lt;&gt;"")</f>
        <v>15</v>
      </c>
      <c r="I121" s="9" t="str">
        <f t="shared" si="25"/>
        <v/>
      </c>
      <c r="J121" s="9" t="str">
        <f t="shared" si="26"/>
        <v/>
      </c>
      <c r="K121" s="9" t="str">
        <f t="shared" si="27"/>
        <v/>
      </c>
      <c r="L121" s="9" cm="1">
        <f t="array" aca="1" ref="L121" ca="1">CreateID($L$2,$I121&lt;&gt;INDEX($I:$I,ROW()-1))</f>
        <v>30</v>
      </c>
      <c r="M121" s="9" t="str" cm="1">
        <f t="array" aca="1" ref="M121" ca="1">IF($Q121="","",INDIRECT($Q121))</f>
        <v/>
      </c>
      <c r="N121" s="9" t="str">
        <f t="shared" ca="1" si="28"/>
        <v>L</v>
      </c>
      <c r="O121" s="9" t="str">
        <f t="shared" ca="1" si="29"/>
        <v>QI15</v>
      </c>
    </row>
    <row r="122" spans="1:17" ht="120" x14ac:dyDescent="0.25">
      <c r="A122" s="108" t="str" cm="1">
        <f t="array" aca="1" ref="A122" ca="1">IF($Q122="","",_xlfn.LET(
_xlpm._fullName,IF($R122="",SUBSTITUTE(SUBSTITUTE(INDIRECT($Q122),CHAR(10)," "),"  "," "),$R122),
_xlpm._truncatedName,IF(LEN(_xlpm._fullName)&gt;250,LEFT(_xlpm._fullName,250)&amp;"[…]",_xlpm._fullName),
HYPERLINK("#'"&amp;$I122&amp;"'!"&amp;$J122&amp;$K122,
_xlpm._truncatedName)))</f>
        <v/>
      </c>
      <c r="B122" s="106" t="str" cm="1">
        <f t="array" aca="1" ref="B122" ca="1">IF($A122="","",SimpleLookup($A122,Questions!$A:$B))</f>
        <v/>
      </c>
      <c r="C122" s="107" t="s">
        <v>10</v>
      </c>
      <c r="D122" s="110" t="s">
        <v>1608</v>
      </c>
      <c r="E122" s="106" t="str" cm="1">
        <f t="array" aca="1" ref="E122" ca="1">_xlfn.LET(
_xlpm._options,IF($O122="","",SimpleLookup($O122,Questions!$A:$H)),
_xlpm._followUpStart,FIND($C122&amp;":",_xlpm._options)+LEN($C122&amp;":"),
_xlpm._followUpEnd,FIND(CHAR(10),_xlpm._options&amp;CHAR(10),_xlpm._followUpStart),
IF($C122="","",TRIM(MID(_xlpm._options,_xlpm._followUpStart,_xlpm._followUpEnd-_xlpm._followUpStart))))</f>
        <v/>
      </c>
      <c r="F122" s="107"/>
      <c r="G122" s="113"/>
      <c r="H122" s="113" cm="1">
        <f t="array" aca="1" ref="H122" ca="1">CreateID($H$2,$A122&lt;&gt;"")</f>
        <v>15</v>
      </c>
      <c r="I122" s="9" t="str">
        <f t="shared" si="25"/>
        <v/>
      </c>
      <c r="J122" s="9" t="str">
        <f t="shared" si="26"/>
        <v/>
      </c>
      <c r="K122" s="9" t="str">
        <f t="shared" si="27"/>
        <v/>
      </c>
      <c r="L122" s="9" cm="1">
        <f t="array" aca="1" ref="L122" ca="1">CreateID($L$2,$I122&lt;&gt;INDEX($I:$I,ROW()-1))</f>
        <v>30</v>
      </c>
      <c r="M122" s="9" t="str" cm="1">
        <f t="array" aca="1" ref="M122" ca="1">IF($Q122="","",INDIRECT($Q122))</f>
        <v/>
      </c>
      <c r="N122" s="9" t="str">
        <f t="shared" ca="1" si="28"/>
        <v>L</v>
      </c>
      <c r="O122" s="9" t="str">
        <f t="shared" ca="1" si="29"/>
        <v>QI15</v>
      </c>
    </row>
    <row r="123" spans="1:17" ht="60" x14ac:dyDescent="0.25">
      <c r="A123" s="108" t="str" cm="1">
        <f t="array" aca="1" ref="A123" ca="1">IF($Q123="","",_xlfn.LET(
_xlpm._fullName,IF($R123="",SUBSTITUTE(SUBSTITUTE(INDIRECT($Q123),CHAR(10)," "),"  "," "),$R123),
_xlpm._truncatedName,IF(LEN(_xlpm._fullName)&gt;250,LEFT(_xlpm._fullName,250)&amp;"[…]",_xlpm._fullName),
HYPERLINK("#'"&amp;$I123&amp;"'!"&amp;$J123&amp;$K123,
_xlpm._truncatedName)))</f>
        <v>QI16</v>
      </c>
      <c r="B123" s="106" t="str" cm="1">
        <f t="array" aca="1" ref="B123" ca="1">IF($A123="","",SimpleLookup($A123,Questions!$A:$B))</f>
        <v>Can a manipulated product cause contract-related / legal fines? (Note that this concerns individual obligations, not the standard product warranty).</v>
      </c>
      <c r="C123" s="107" t="s">
        <v>9</v>
      </c>
      <c r="D123" s="110" t="s">
        <v>1609</v>
      </c>
      <c r="E123" s="106" t="str" cm="1">
        <f t="array" aca="1" ref="E123" ca="1">_xlfn.LET(
_xlpm._options,IF($O123="","",SimpleLookup($O123,Questions!$A:$H)),
_xlpm._followUpStart,FIND($C123&amp;":",_xlpm._options)+LEN($C123&amp;":"),
_xlpm._followUpEnd,FIND(CHAR(10),_xlpm._options&amp;CHAR(10),_xlpm._followUpStart),
IF($C123="","",TRIM(MID(_xlpm._options,_xlpm._followUpStart,_xlpm._followUpEnd-_xlpm._followUpStart))))</f>
        <v>What is the typical / expected value of the fines for contract / legal violation?</v>
      </c>
      <c r="F123" s="107"/>
      <c r="G123" s="113" t="str">
        <f>"Classify the potential direct financial damage to "&amp;Definitions!$C$4&amp;" caused by an incident"</f>
        <v>Classify the potential direct financial damage to &lt;&lt; OEM Name &gt;&gt; caused by an incident</v>
      </c>
      <c r="H123" s="113" cm="1">
        <f t="array" aca="1" ref="H123" ca="1">CreateID($H$2,$A123&lt;&gt;"")</f>
        <v>16</v>
      </c>
      <c r="I123" s="9" t="str">
        <f t="shared" ca="1" si="25"/>
        <v>Questionnaire</v>
      </c>
      <c r="J123" s="9" t="str">
        <f t="shared" ca="1" si="26"/>
        <v>B</v>
      </c>
      <c r="K123" s="9" t="str">
        <f t="shared" ca="1" si="27"/>
        <v>32</v>
      </c>
      <c r="L123" s="9" cm="1">
        <f t="array" aca="1" ref="L123" ca="1">CreateID($L$2,$I123&lt;&gt;INDEX($I:$I,ROW()-1))</f>
        <v>31</v>
      </c>
      <c r="M123" s="9" t="str" cm="1">
        <f t="array" aca="1" ref="M123" ca="1">IF($Q123="","",INDIRECT($Q123))</f>
        <v>QI16</v>
      </c>
      <c r="N123" s="9" t="str">
        <f t="shared" ca="1" si="28"/>
        <v>D</v>
      </c>
      <c r="O123" s="9" t="str">
        <f t="shared" ca="1" si="29"/>
        <v>QI16</v>
      </c>
      <c r="Q123" s="2" t="str" cm="1">
        <f t="array" aca="1" ref="Q123" ca="1">CELL("address",Questionnaire!$B$32)</f>
        <v>'[QuBA-libre.xlsx]Questionnaire'!$B$32</v>
      </c>
    </row>
    <row r="124" spans="1:17" ht="33.75" x14ac:dyDescent="0.25">
      <c r="A124" s="108" t="str" cm="1">
        <f t="array" aca="1" ref="A124" ca="1">IF($Q124="","",_xlfn.LET(
_xlpm._fullName,IF($R124="",SUBSTITUTE(SUBSTITUTE(INDIRECT($Q124),CHAR(10)," "),"  "," "),$R124),
_xlpm._truncatedName,IF(LEN(_xlpm._fullName)&gt;250,LEFT(_xlpm._fullName,250)&amp;"[…]",_xlpm._fullName),
HYPERLINK("#'"&amp;$I124&amp;"'!"&amp;$J124&amp;$K124,
_xlpm._truncatedName)))</f>
        <v/>
      </c>
      <c r="B124" s="106" t="str" cm="1">
        <f t="array" aca="1" ref="B124" ca="1">IF($A124="","",SimpleLookup($A124,Questions!$A:$B))</f>
        <v/>
      </c>
      <c r="C124" s="107"/>
      <c r="D124" s="110"/>
      <c r="E124" s="106" t="str" cm="1">
        <f t="array" aca="1" ref="E124" ca="1">_xlfn.LET(
_xlpm._options,IF($O124="","",SimpleLookup($O124,Questions!$A:$H)),
_xlpm._followUpStart,FIND($C124&amp;":",_xlpm._options)+LEN($C124&amp;":"),
_xlpm._followUpEnd,FIND(CHAR(10),_xlpm._options&amp;CHAR(10),_xlpm._followUpStart),
IF($C124="","",TRIM(MID(_xlpm._options,_xlpm._followUpStart,_xlpm._followUpEnd-_xlpm._followUpStart))))</f>
        <v/>
      </c>
      <c r="F124" s="107" t="str">
        <f>Definitions!$H$11</f>
        <v>Medium financial damage</v>
      </c>
      <c r="G124" s="113" t="s">
        <v>1576</v>
      </c>
      <c r="H124" s="113" cm="1">
        <f t="array" aca="1" ref="H124" ca="1">CreateID($H$2,$A124&lt;&gt;"")</f>
        <v>16</v>
      </c>
      <c r="I124" s="9" t="str">
        <f t="shared" si="25"/>
        <v/>
      </c>
      <c r="J124" s="9" t="str">
        <f t="shared" si="26"/>
        <v/>
      </c>
      <c r="K124" s="9" t="str">
        <f t="shared" si="27"/>
        <v/>
      </c>
      <c r="L124" s="9" cm="1">
        <f t="array" aca="1" ref="L124" ca="1">CreateID($L$2,$I124&lt;&gt;INDEX($I:$I,ROW()-1))</f>
        <v>32</v>
      </c>
      <c r="M124" s="9" t="str" cm="1">
        <f t="array" aca="1" ref="M124" ca="1">IF($Q124="","",INDIRECT($Q124))</f>
        <v/>
      </c>
      <c r="N124" s="9" t="str">
        <f t="shared" ca="1" si="28"/>
        <v>D</v>
      </c>
      <c r="O124" s="9" t="str">
        <f t="shared" ca="1" si="29"/>
        <v>QI16</v>
      </c>
    </row>
    <row r="125" spans="1:17" ht="33.75" x14ac:dyDescent="0.25">
      <c r="A125" s="108" t="str" cm="1">
        <f t="array" aca="1" ref="A125" ca="1">IF($Q125="","",_xlfn.LET(
_xlpm._fullName,IF($R125="",SUBSTITUTE(SUBSTITUTE(INDIRECT($Q125),CHAR(10)," "),"  "," "),$R125),
_xlpm._truncatedName,IF(LEN(_xlpm._fullName)&gt;250,LEFT(_xlpm._fullName,250)&amp;"[…]",_xlpm._fullName),
HYPERLINK("#'"&amp;$I125&amp;"'!"&amp;$J125&amp;$K125,
_xlpm._truncatedName)))</f>
        <v/>
      </c>
      <c r="B125" s="106" t="str" cm="1">
        <f t="array" aca="1" ref="B125" ca="1">IF($A125="","",SimpleLookup($A125,Questions!$A:$B))</f>
        <v/>
      </c>
      <c r="C125" s="107"/>
      <c r="D125" s="110"/>
      <c r="E125" s="106" t="str" cm="1">
        <f t="array" aca="1" ref="E125" ca="1">_xlfn.LET(
_xlpm._options,IF($O125="","",SimpleLookup($O125,Questions!$A:$H)),
_xlpm._followUpStart,FIND($C125&amp;":",_xlpm._options)+LEN($C125&amp;":"),
_xlpm._followUpEnd,FIND(CHAR(10),_xlpm._options&amp;CHAR(10),_xlpm._followUpStart),
IF($C125="","",TRIM(MID(_xlpm._options,_xlpm._followUpStart,_xlpm._followUpEnd-_xlpm._followUpStart))))</f>
        <v/>
      </c>
      <c r="F125" s="107" t="str">
        <f>Definitions!$H$12</f>
        <v>High financial damage</v>
      </c>
      <c r="G125" s="113" t="s">
        <v>1577</v>
      </c>
      <c r="H125" s="113" cm="1">
        <f t="array" aca="1" ref="H125" ca="1">CreateID($H$2,$A125&lt;&gt;"")</f>
        <v>16</v>
      </c>
      <c r="I125" s="9" t="str">
        <f t="shared" si="25"/>
        <v/>
      </c>
      <c r="J125" s="9" t="str">
        <f t="shared" si="26"/>
        <v/>
      </c>
      <c r="K125" s="9" t="str">
        <f t="shared" si="27"/>
        <v/>
      </c>
      <c r="L125" s="9" cm="1">
        <f t="array" aca="1" ref="L125" ca="1">CreateID($L$2,$I125&lt;&gt;INDEX($I:$I,ROW()-1))</f>
        <v>32</v>
      </c>
      <c r="M125" s="9" t="str" cm="1">
        <f t="array" aca="1" ref="M125" ca="1">IF($Q125="","",INDIRECT($Q125))</f>
        <v/>
      </c>
      <c r="N125" s="9" t="str">
        <f t="shared" ca="1" si="28"/>
        <v>D</v>
      </c>
      <c r="O125" s="9" t="str">
        <f t="shared" ca="1" si="29"/>
        <v>QI16</v>
      </c>
    </row>
    <row r="126" spans="1:17" ht="45" x14ac:dyDescent="0.25">
      <c r="A126" s="108" t="str" cm="1">
        <f t="array" aca="1" ref="A126" ca="1">IF($Q126="","",_xlfn.LET(
_xlpm._fullName,IF($R126="",SUBSTITUTE(SUBSTITUTE(INDIRECT($Q126),CHAR(10)," "),"  "," "),$R126),
_xlpm._truncatedName,IF(LEN(_xlpm._fullName)&gt;250,LEFT(_xlpm._fullName,250)&amp;"[…]",_xlpm._fullName),
HYPERLINK("#'"&amp;$I126&amp;"'!"&amp;$J126&amp;$K126,
_xlpm._truncatedName)))</f>
        <v/>
      </c>
      <c r="B126" s="106" t="str" cm="1">
        <f t="array" aca="1" ref="B126" ca="1">IF($A126="","",SimpleLookup($A126,Questions!$A:$B))</f>
        <v/>
      </c>
      <c r="C126" s="107"/>
      <c r="D126" s="110"/>
      <c r="E126" s="106" t="str" cm="1">
        <f t="array" aca="1" ref="E126" ca="1">_xlfn.LET(
_xlpm._options,IF($O126="","",SimpleLookup($O126,Questions!$A:$H)),
_xlpm._followUpStart,FIND($C126&amp;":",_xlpm._options)+LEN($C126&amp;":"),
_xlpm._followUpEnd,FIND(CHAR(10),_xlpm._options&amp;CHAR(10),_xlpm._followUpStart),
IF($C126="","",TRIM(MID(_xlpm._options,_xlpm._followUpStart,_xlpm._followUpEnd-_xlpm._followUpStart))))</f>
        <v/>
      </c>
      <c r="F126" s="107" t="str">
        <f>Definitions!$H$13</f>
        <v>Critical financial damage</v>
      </c>
      <c r="G126" s="113" t="s">
        <v>1578</v>
      </c>
      <c r="H126" s="113" cm="1">
        <f t="array" aca="1" ref="H126" ca="1">CreateID($H$2,$A126&lt;&gt;"")</f>
        <v>16</v>
      </c>
      <c r="I126" s="9" t="str">
        <f t="shared" si="25"/>
        <v/>
      </c>
      <c r="J126" s="9" t="str">
        <f t="shared" si="26"/>
        <v/>
      </c>
      <c r="K126" s="9" t="str">
        <f t="shared" si="27"/>
        <v/>
      </c>
      <c r="L126" s="9" cm="1">
        <f t="array" aca="1" ref="L126" ca="1">CreateID($L$2,$I126&lt;&gt;INDEX($I:$I,ROW()-1))</f>
        <v>32</v>
      </c>
      <c r="M126" s="9" t="str" cm="1">
        <f t="array" aca="1" ref="M126" ca="1">IF($Q126="","",INDIRECT($Q126))</f>
        <v/>
      </c>
      <c r="N126" s="9" t="str">
        <f t="shared" ca="1" si="28"/>
        <v>D</v>
      </c>
      <c r="O126" s="9" t="str">
        <f t="shared" ca="1" si="29"/>
        <v>QI16</v>
      </c>
    </row>
    <row r="127" spans="1:17" ht="45" x14ac:dyDescent="0.25">
      <c r="A127" s="108" t="str" cm="1">
        <f t="array" aca="1" ref="A127" ca="1">IF($Q127="","",_xlfn.LET(
_xlpm._fullName,IF($R127="",SUBSTITUTE(SUBSTITUTE(INDIRECT($Q127),CHAR(10)," "),"  "," "),$R127),
_xlpm._truncatedName,IF(LEN(_xlpm._fullName)&gt;250,LEFT(_xlpm._fullName,250)&amp;"[…]",_xlpm._fullName),
HYPERLINK("#'"&amp;$I127&amp;"'!"&amp;$J127&amp;$K127,
_xlpm._truncatedName)))</f>
        <v/>
      </c>
      <c r="B127" s="106" t="str" cm="1">
        <f t="array" aca="1" ref="B127" ca="1">IF($A127="","",SimpleLookup($A127,Questions!$A:$B))</f>
        <v/>
      </c>
      <c r="C127" s="107"/>
      <c r="D127" s="110"/>
      <c r="E127" s="106" t="str" cm="1">
        <f t="array" aca="1" ref="E127" ca="1">_xlfn.LET(
_xlpm._options,IF($O127="","",SimpleLookup($O127,Questions!$A:$H)),
_xlpm._followUpStart,FIND($C127&amp;":",_xlpm._options)+LEN($C127&amp;":"),
_xlpm._followUpEnd,FIND(CHAR(10),_xlpm._options&amp;CHAR(10),_xlpm._followUpStart),
IF($C127="","",TRIM(MID(_xlpm._options,_xlpm._followUpStart,_xlpm._followUpEnd-_xlpm._followUpStart))))</f>
        <v/>
      </c>
      <c r="F127" s="107" t="str">
        <f>Definitions!$H$14</f>
        <v>Potentially dangerous situation</v>
      </c>
      <c r="G127" s="113" t="s">
        <v>1579</v>
      </c>
      <c r="H127" s="113" cm="1">
        <f t="array" aca="1" ref="H127" ca="1">CreateID($H$2,$A127&lt;&gt;"")</f>
        <v>16</v>
      </c>
      <c r="I127" s="9" t="str">
        <f t="shared" si="25"/>
        <v/>
      </c>
      <c r="J127" s="9" t="str">
        <f t="shared" si="26"/>
        <v/>
      </c>
      <c r="K127" s="9" t="str">
        <f t="shared" si="27"/>
        <v/>
      </c>
      <c r="L127" s="9" cm="1">
        <f t="array" aca="1" ref="L127" ca="1">CreateID($L$2,$I127&lt;&gt;INDEX($I:$I,ROW()-1))</f>
        <v>32</v>
      </c>
      <c r="M127" s="9" t="str" cm="1">
        <f t="array" aca="1" ref="M127" ca="1">IF($Q127="","",INDIRECT($Q127))</f>
        <v/>
      </c>
      <c r="N127" s="9" t="str">
        <f t="shared" ca="1" si="28"/>
        <v>D</v>
      </c>
      <c r="O127" s="9" t="str">
        <f t="shared" ca="1" si="29"/>
        <v>QI16</v>
      </c>
    </row>
    <row r="128" spans="1:17" x14ac:dyDescent="0.25">
      <c r="A128" s="108" t="str" cm="1">
        <f t="array" aca="1" ref="A128" ca="1">IF($Q128="","",_xlfn.LET(
_xlpm._fullName,IF($R128="",SUBSTITUTE(SUBSTITUTE(INDIRECT($Q128),CHAR(10)," "),"  "," "),$R128),
_xlpm._truncatedName,IF(LEN(_xlpm._fullName)&gt;250,LEFT(_xlpm._fullName,250)&amp;"[…]",_xlpm._fullName),
HYPERLINK("#'"&amp;$I128&amp;"'!"&amp;$J128&amp;$K128,
_xlpm._truncatedName)))</f>
        <v/>
      </c>
      <c r="B128" s="106" t="str" cm="1">
        <f t="array" aca="1" ref="B128" ca="1">IF($A128="","",SimpleLookup($A128,Questions!$A:$B))</f>
        <v/>
      </c>
      <c r="C128" s="107" t="s">
        <v>10</v>
      </c>
      <c r="D128" s="110" t="s">
        <v>1580</v>
      </c>
      <c r="E128" s="106" t="str" cm="1">
        <f t="array" aca="1" ref="E128" ca="1">_xlfn.LET(
_xlpm._options,IF($O128="","",SimpleLookup($O128,Questions!$A:$H)),
_xlpm._followUpStart,FIND($C128&amp;":",_xlpm._options)+LEN($C128&amp;":"),
_xlpm._followUpEnd,FIND(CHAR(10),_xlpm._options&amp;CHAR(10),_xlpm._followUpStart),
IF($C128="","",TRIM(MID(_xlpm._options,_xlpm._followUpStart,_xlpm._followUpEnd-_xlpm._followUpStart))))</f>
        <v/>
      </c>
      <c r="F128" s="107"/>
      <c r="G128" s="113"/>
      <c r="H128" s="113" cm="1">
        <f t="array" aca="1" ref="H128" ca="1">CreateID($H$2,$A128&lt;&gt;"")</f>
        <v>16</v>
      </c>
      <c r="I128" s="9" t="str">
        <f t="shared" si="25"/>
        <v/>
      </c>
      <c r="J128" s="9" t="str">
        <f t="shared" si="26"/>
        <v/>
      </c>
      <c r="K128" s="9" t="str">
        <f t="shared" si="27"/>
        <v/>
      </c>
      <c r="L128" s="9" cm="1">
        <f t="array" aca="1" ref="L128" ca="1">CreateID($L$2,$I128&lt;&gt;INDEX($I:$I,ROW()-1))</f>
        <v>32</v>
      </c>
      <c r="M128" s="9" t="str" cm="1">
        <f t="array" aca="1" ref="M128" ca="1">IF($Q128="","",INDIRECT($Q128))</f>
        <v/>
      </c>
      <c r="N128" s="9" t="str">
        <f t="shared" ca="1" si="28"/>
        <v>D</v>
      </c>
      <c r="O128" s="9" t="str">
        <f t="shared" ca="1" si="29"/>
        <v>QI16</v>
      </c>
    </row>
    <row r="129" spans="1:17" ht="288" x14ac:dyDescent="0.25">
      <c r="A129" s="108" t="str" cm="1">
        <f t="array" aca="1" ref="A129" ca="1">IF($Q129="","",_xlfn.LET(
_xlpm._fullName,IF($R129="",SUBSTITUTE(SUBSTITUTE(INDIRECT($Q129),CHAR(10)," "),"  "," "),$R129),
_xlpm._truncatedName,IF(LEN(_xlpm._fullName)&gt;250,LEFT(_xlpm._fullName,250)&amp;"[…]",_xlpm._fullName),
HYPERLINK("#'"&amp;$I129&amp;"'!"&amp;$J129&amp;$K129,
_xlpm._truncatedName)))</f>
        <v>QA1</v>
      </c>
      <c r="B129" s="106" t="str" cm="1">
        <f t="array" aca="1" ref="B129" ca="1">IF($A129="","",SimpleLookup($A129,Questions!$A:$B))</f>
        <v>Does the product have any connectivity?</v>
      </c>
      <c r="C129" s="107" t="s">
        <v>9</v>
      </c>
      <c r="D129" s="110" t="s">
        <v>1610</v>
      </c>
      <c r="E129" s="106" t="str" cm="1">
        <f t="array" aca="1" ref="E129" ca="1">_xlfn.LET(
_xlpm._options,IF($O129="","",SimpleLookup($O129,Questions!$A:$H)),
_xlpm._followUpStart,FIND($C129&amp;":",_xlpm._options)+LEN($C129&amp;":"),
_xlpm._followUpEnd,FIND(CHAR(10),_xlpm._options&amp;CHAR(10),_xlpm._followUpStart),
IF($C129="","",TRIM(MID(_xlpm._options,_xlpm._followUpStart,_xlpm._followUpEnd-_xlpm._followUpStart))))</f>
        <v/>
      </c>
      <c r="F129" s="107"/>
      <c r="G129" s="113"/>
      <c r="H129" s="113" cm="1">
        <f t="array" aca="1" ref="H129" ca="1">CreateID($H$2,$A129&lt;&gt;"")</f>
        <v>17</v>
      </c>
      <c r="I129" s="9" t="str">
        <f t="shared" ca="1" si="25"/>
        <v>Questionnaire</v>
      </c>
      <c r="J129" s="9" t="str">
        <f t="shared" ca="1" si="26"/>
        <v>B</v>
      </c>
      <c r="K129" s="9" t="str">
        <f t="shared" ca="1" si="27"/>
        <v>35</v>
      </c>
      <c r="L129" s="9" cm="1">
        <f t="array" aca="1" ref="L129" ca="1">CreateID($L$2,$I129&lt;&gt;INDEX($I:$I,ROW()-1))</f>
        <v>33</v>
      </c>
      <c r="M129" s="9" t="str" cm="1">
        <f t="array" aca="1" ref="M129" ca="1">IF($Q129="","",INDIRECT($Q129))</f>
        <v>QA1</v>
      </c>
      <c r="N129" s="9" t="str">
        <f t="shared" ca="1" si="28"/>
        <v>L</v>
      </c>
      <c r="O129" s="9" t="str">
        <f t="shared" ca="1" si="29"/>
        <v>QA1</v>
      </c>
      <c r="Q129" s="2" t="str" cm="1">
        <f t="array" aca="1" ref="Q129" ca="1">CELL("address",Questionnaire!$B$35)</f>
        <v>'[QuBA-libre.xlsx]Questionnaire'!$B$35</v>
      </c>
    </row>
    <row r="130" spans="1:17" ht="60" x14ac:dyDescent="0.25">
      <c r="A130" s="108" t="str" cm="1">
        <f t="array" aca="1" ref="A130" ca="1">IF($Q130="","",_xlfn.LET(
_xlpm._fullName,IF($R130="",SUBSTITUTE(SUBSTITUTE(INDIRECT($Q130),CHAR(10)," "),"  "," "),$R130),
_xlpm._truncatedName,IF(LEN(_xlpm._fullName)&gt;250,LEFT(_xlpm._fullName,250)&amp;"[…]",_xlpm._fullName),
HYPERLINK("#'"&amp;$I130&amp;"'!"&amp;$J130&amp;$K130,
_xlpm._truncatedName)))</f>
        <v/>
      </c>
      <c r="B130" s="106" t="str" cm="1">
        <f t="array" aca="1" ref="B130" ca="1">IF($A130="","",SimpleLookup($A130,Questions!$A:$B))</f>
        <v/>
      </c>
      <c r="C130" s="107" t="s">
        <v>10</v>
      </c>
      <c r="D130" s="110" t="s">
        <v>1611</v>
      </c>
      <c r="E130" s="106" t="str" cm="1">
        <f t="array" aca="1" ref="E130" ca="1">_xlfn.LET(
_xlpm._options,IF($O130="","",SimpleLookup($O130,Questions!$A:$H)),
_xlpm._followUpStart,FIND($C130&amp;":",_xlpm._options)+LEN($C130&amp;":"),
_xlpm._followUpEnd,FIND(CHAR(10),_xlpm._options&amp;CHAR(10),_xlpm._followUpStart),
IF($C130="","",TRIM(MID(_xlpm._options,_xlpm._followUpStart,_xlpm._followUpEnd-_xlpm._followUpStart))))</f>
        <v/>
      </c>
      <c r="F130" s="107"/>
      <c r="G130" s="113"/>
      <c r="H130" s="113" cm="1">
        <f t="array" aca="1" ref="H130" ca="1">CreateID($H$2,$A130&lt;&gt;"")</f>
        <v>17</v>
      </c>
      <c r="I130" s="9" t="str">
        <f t="shared" si="25"/>
        <v/>
      </c>
      <c r="J130" s="9" t="str">
        <f t="shared" si="26"/>
        <v/>
      </c>
      <c r="K130" s="9" t="str">
        <f t="shared" si="27"/>
        <v/>
      </c>
      <c r="L130" s="9" cm="1">
        <f t="array" aca="1" ref="L130" ca="1">CreateID($L$2,$I130&lt;&gt;INDEX($I:$I,ROW()-1))</f>
        <v>34</v>
      </c>
      <c r="M130" s="9" t="str" cm="1">
        <f t="array" aca="1" ref="M130" ca="1">IF($Q130="","",INDIRECT($Q130))</f>
        <v/>
      </c>
      <c r="N130" s="9" t="str">
        <f t="shared" ca="1" si="28"/>
        <v>L</v>
      </c>
      <c r="O130" s="9" t="str">
        <f t="shared" ca="1" si="29"/>
        <v>QA1</v>
      </c>
    </row>
    <row r="131" spans="1:17" ht="360" x14ac:dyDescent="0.25">
      <c r="A131" s="108" t="str" cm="1">
        <f t="array" aca="1" ref="A131" ca="1">IF($Q131="","",_xlfn.LET(
_xlpm._fullName,IF($R131="",SUBSTITUTE(SUBSTITUTE(INDIRECT($Q131),CHAR(10)," "),"  "," "),$R131),
_xlpm._truncatedName,IF(LEN(_xlpm._fullName)&gt;250,LEFT(_xlpm._fullName,250)&amp;"[…]",_xlpm._fullName),
HYPERLINK("#'"&amp;$I131&amp;"'!"&amp;$J131&amp;$K131,
_xlpm._truncatedName)))</f>
        <v>QA2</v>
      </c>
      <c r="B131" s="106" t="str" cm="1">
        <f t="array" aca="1" ref="B131" ca="1">IF($A131="","",SimpleLookup($A131,Questions!$A:$B))</f>
        <v>Does the product connect two networks to each other (e.g., as a gateway)?</v>
      </c>
      <c r="C131" s="107" t="s">
        <v>9</v>
      </c>
      <c r="D131" s="110" t="s">
        <v>1612</v>
      </c>
      <c r="E131" s="106" t="str" cm="1">
        <f t="array" aca="1" ref="E131" ca="1">_xlfn.LET(
_xlpm._options,IF($O131="","",SimpleLookup($O131,Questions!$A:$H)),
_xlpm._followUpStart,FIND($C131&amp;":",_xlpm._options)+LEN($C131&amp;":"),
_xlpm._followUpEnd,FIND(CHAR(10),_xlpm._options&amp;CHAR(10),_xlpm._followUpStart),
IF($C131="","",TRIM(MID(_xlpm._options,_xlpm._followUpStart,_xlpm._followUpEnd-_xlpm._followUpStart))))</f>
        <v>Please select the kind of connectivity:</v>
      </c>
      <c r="F131" s="107" t="s">
        <v>42</v>
      </c>
      <c r="G131" s="113" t="s">
        <v>1649</v>
      </c>
      <c r="H131" s="113" cm="1">
        <f t="array" aca="1" ref="H131" ca="1">CreateID($H$2,$A131&lt;&gt;"")</f>
        <v>18</v>
      </c>
      <c r="I131" s="9" t="str">
        <f t="shared" ca="1" si="25"/>
        <v>Questionnaire</v>
      </c>
      <c r="J131" s="9" t="str">
        <f t="shared" ca="1" si="26"/>
        <v>B</v>
      </c>
      <c r="K131" s="9" t="str">
        <f t="shared" ca="1" si="27"/>
        <v>36</v>
      </c>
      <c r="L131" s="9" cm="1">
        <f t="array" aca="1" ref="L131" ca="1">CreateID($L$2,$I131&lt;&gt;INDEX($I:$I,ROW()-1))</f>
        <v>35</v>
      </c>
      <c r="M131" s="9" t="str" cm="1">
        <f t="array" aca="1" ref="M131" ca="1">IF($Q131="","",INDIRECT($Q131))</f>
        <v>QA2</v>
      </c>
      <c r="N131" s="9" t="str">
        <f t="shared" ca="1" si="28"/>
        <v>D</v>
      </c>
      <c r="O131" s="9" t="str">
        <f t="shared" ca="1" si="29"/>
        <v>QA2</v>
      </c>
      <c r="Q131" s="2" t="str" cm="1">
        <f t="array" aca="1" ref="Q131" ca="1">CELL("address",Questionnaire!$B$36)</f>
        <v>'[QuBA-libre.xlsx]Questionnaire'!$B$36</v>
      </c>
    </row>
    <row r="132" spans="1:17" ht="135" x14ac:dyDescent="0.25">
      <c r="A132" s="108" t="str" cm="1">
        <f t="array" aca="1" ref="A132" ca="1">IF($Q132="","",_xlfn.LET(
_xlpm._fullName,IF($R132="",SUBSTITUTE(SUBSTITUTE(INDIRECT($Q132),CHAR(10)," "),"  "," "),$R132),
_xlpm._truncatedName,IF(LEN(_xlpm._fullName)&gt;250,LEFT(_xlpm._fullName,250)&amp;"[…]",_xlpm._fullName),
HYPERLINK("#'"&amp;$I132&amp;"'!"&amp;$J132&amp;$K132,
_xlpm._truncatedName)))</f>
        <v/>
      </c>
      <c r="B132" s="106" t="str" cm="1">
        <f t="array" aca="1" ref="B132" ca="1">IF($A132="","",SimpleLookup($A132,Questions!$A:$B))</f>
        <v/>
      </c>
      <c r="C132" s="107"/>
      <c r="D132" s="110"/>
      <c r="E132" s="106" t="str" cm="1">
        <f t="array" aca="1" ref="E132" ca="1">_xlfn.LET(
_xlpm._options,IF($O132="","",SimpleLookup($O132,Questions!$A:$H)),
_xlpm._followUpStart,FIND($C132&amp;":",_xlpm._options)+LEN($C132&amp;":"),
_xlpm._followUpEnd,FIND(CHAR(10),_xlpm._options&amp;CHAR(10),_xlpm._followUpStart),
IF($C132="","",TRIM(MID(_xlpm._options,_xlpm._followUpStart,_xlpm._followUpEnd-_xlpm._followUpStart))))</f>
        <v/>
      </c>
      <c r="F132" s="107" t="s">
        <v>43</v>
      </c>
      <c r="G132" s="113" t="s">
        <v>1650</v>
      </c>
      <c r="H132" s="113" cm="1">
        <f t="array" aca="1" ref="H132" ca="1">CreateID($H$2,$A132&lt;&gt;"")</f>
        <v>18</v>
      </c>
      <c r="I132" s="9" t="str">
        <f t="shared" si="25"/>
        <v/>
      </c>
      <c r="J132" s="9" t="str">
        <f t="shared" si="26"/>
        <v/>
      </c>
      <c r="K132" s="9" t="str">
        <f t="shared" si="27"/>
        <v/>
      </c>
      <c r="L132" s="9" cm="1">
        <f t="array" aca="1" ref="L132" ca="1">CreateID($L$2,$I132&lt;&gt;INDEX($I:$I,ROW()-1))</f>
        <v>36</v>
      </c>
      <c r="M132" s="9" t="str" cm="1">
        <f t="array" aca="1" ref="M132" ca="1">IF($Q132="","",INDIRECT($Q132))</f>
        <v/>
      </c>
      <c r="N132" s="9" t="str">
        <f t="shared" ca="1" si="28"/>
        <v>D</v>
      </c>
      <c r="O132" s="9" t="str">
        <f t="shared" ca="1" si="29"/>
        <v>QA2</v>
      </c>
    </row>
    <row r="133" spans="1:17" ht="288" x14ac:dyDescent="0.25">
      <c r="A133" s="108" t="str" cm="1">
        <f t="array" aca="1" ref="A133" ca="1">IF($Q133="","",_xlfn.LET(
_xlpm._fullName,IF($R133="",SUBSTITUTE(SUBSTITUTE(INDIRECT($Q133),CHAR(10)," "),"  "," "),$R133),
_xlpm._truncatedName,IF(LEN(_xlpm._fullName)&gt;250,LEFT(_xlpm._fullName,250)&amp;"[…]",_xlpm._fullName),
HYPERLINK("#'"&amp;$I133&amp;"'!"&amp;$J133&amp;$K133,
_xlpm._truncatedName)))</f>
        <v/>
      </c>
      <c r="B133" s="106" t="str" cm="1">
        <f t="array" aca="1" ref="B133" ca="1">IF($A133="","",SimpleLookup($A133,Questions!$A:$B))</f>
        <v/>
      </c>
      <c r="C133" s="107" t="s">
        <v>10</v>
      </c>
      <c r="D133" s="110" t="s">
        <v>1613</v>
      </c>
      <c r="E133" s="106" t="str" cm="1">
        <f t="array" aca="1" ref="E133" ca="1">_xlfn.LET(
_xlpm._options,IF($O133="","",SimpleLookup($O133,Questions!$A:$H)),
_xlpm._followUpStart,FIND($C133&amp;":",_xlpm._options)+LEN($C133&amp;":"),
_xlpm._followUpEnd,FIND(CHAR(10),_xlpm._options&amp;CHAR(10),_xlpm._followUpStart),
IF($C133="","",TRIM(MID(_xlpm._options,_xlpm._followUpStart,_xlpm._followUpEnd-_xlpm._followUpStart))))</f>
        <v/>
      </c>
      <c r="F133" s="107"/>
      <c r="G133" s="113"/>
      <c r="H133" s="113" cm="1">
        <f t="array" aca="1" ref="H133" ca="1">CreateID($H$2,$A133&lt;&gt;"")</f>
        <v>18</v>
      </c>
      <c r="I133" s="9" t="str">
        <f t="shared" si="25"/>
        <v/>
      </c>
      <c r="J133" s="9" t="str">
        <f t="shared" si="26"/>
        <v/>
      </c>
      <c r="K133" s="9" t="str">
        <f t="shared" si="27"/>
        <v/>
      </c>
      <c r="L133" s="9" cm="1">
        <f t="array" aca="1" ref="L133" ca="1">CreateID($L$2,$I133&lt;&gt;INDEX($I:$I,ROW()-1))</f>
        <v>36</v>
      </c>
      <c r="M133" s="9" t="str" cm="1">
        <f t="array" aca="1" ref="M133" ca="1">IF($Q133="","",INDIRECT($Q133))</f>
        <v/>
      </c>
      <c r="N133" s="9" t="str">
        <f t="shared" ca="1" si="28"/>
        <v>D</v>
      </c>
      <c r="O133" s="9" t="str">
        <f t="shared" ca="1" si="29"/>
        <v>QA2</v>
      </c>
    </row>
    <row r="134" spans="1:17" ht="156" x14ac:dyDescent="0.25">
      <c r="A134" s="108" t="str" cm="1">
        <f t="array" aca="1" ref="A134" ca="1">IF($Q134="","",_xlfn.LET(
_xlpm._fullName,IF($R134="",SUBSTITUTE(SUBSTITUTE(INDIRECT($Q134),CHAR(10)," "),"  "," "),$R134),
_xlpm._truncatedName,IF(LEN(_xlpm._fullName)&gt;250,LEFT(_xlpm._fullName,250)&amp;"[…]",_xlpm._fullName),
HYPERLINK("#'"&amp;$I134&amp;"'!"&amp;$J134&amp;$K134,
_xlpm._truncatedName)))</f>
        <v>QA3</v>
      </c>
      <c r="B134" s="106" t="str" cm="1">
        <f t="array" aca="1" ref="B134" ca="1">IF($A134="","",SimpleLookup($A134,Questions!$A:$B))</f>
        <v>Does the product have a point-to-point connection to another device?</v>
      </c>
      <c r="C134" s="107" t="s">
        <v>9</v>
      </c>
      <c r="D134" s="110" t="s">
        <v>1614</v>
      </c>
      <c r="E134" s="106" t="str" cm="1">
        <f t="array" aca="1" ref="E134" ca="1">_xlfn.LET(
_xlpm._options,IF($O134="","",SimpleLookup($O134,Questions!$A:$H)),
_xlpm._followUpStart,FIND($C134&amp;":",_xlpm._options)+LEN($C134&amp;":"),
_xlpm._followUpEnd,FIND(CHAR(10),_xlpm._options&amp;CHAR(10),_xlpm._followUpStart),
IF($C134="","",TRIM(MID(_xlpm._options,_xlpm._followUpStart,_xlpm._followUpEnd-_xlpm._followUpStart))))</f>
        <v>Is the connected device typically considered as trustworthy?</v>
      </c>
      <c r="F134" s="107"/>
      <c r="G134" s="113" t="s">
        <v>1651</v>
      </c>
      <c r="H134" s="113" cm="1">
        <f t="array" aca="1" ref="H134" ca="1">CreateID($H$2,$A134&lt;&gt;"")</f>
        <v>19</v>
      </c>
      <c r="I134" s="9" t="str">
        <f t="shared" ca="1" si="25"/>
        <v>Questionnaire</v>
      </c>
      <c r="J134" s="9" t="str">
        <f t="shared" ca="1" si="26"/>
        <v>B</v>
      </c>
      <c r="K134" s="9" t="str">
        <f t="shared" ca="1" si="27"/>
        <v>38</v>
      </c>
      <c r="L134" s="9" cm="1">
        <f t="array" aca="1" ref="L134" ca="1">CreateID($L$2,$I134&lt;&gt;INDEX($I:$I,ROW()-1))</f>
        <v>37</v>
      </c>
      <c r="M134" s="9" t="str" cm="1">
        <f t="array" aca="1" ref="M134" ca="1">IF($Q134="","",INDIRECT($Q134))</f>
        <v>QA3</v>
      </c>
      <c r="N134" s="9" t="str">
        <f t="shared" ca="1" si="28"/>
        <v>L</v>
      </c>
      <c r="O134" s="9" t="str">
        <f t="shared" ca="1" si="29"/>
        <v>QA3</v>
      </c>
      <c r="Q134" s="2" t="str" cm="1">
        <f t="array" aca="1" ref="Q134" ca="1">CELL("address",Questionnaire!$B$38)</f>
        <v>'[QuBA-libre.xlsx]Questionnaire'!$B$38</v>
      </c>
    </row>
    <row r="135" spans="1:17" ht="157.5" x14ac:dyDescent="0.25">
      <c r="A135" s="108" t="str" cm="1">
        <f t="array" aca="1" ref="A135" ca="1">IF($Q135="","",_xlfn.LET(
_xlpm._fullName,IF($R135="",SUBSTITUTE(SUBSTITUTE(INDIRECT($Q135),CHAR(10)," "),"  "," "),$R135),
_xlpm._truncatedName,IF(LEN(_xlpm._fullName)&gt;250,LEFT(_xlpm._fullName,250)&amp;"[…]",_xlpm._fullName),
HYPERLINK("#'"&amp;$I135&amp;"'!"&amp;$J135&amp;$K135,
_xlpm._truncatedName)))</f>
        <v/>
      </c>
      <c r="B135" s="106" t="str" cm="1">
        <f t="array" aca="1" ref="B135" ca="1">IF($A135="","",SimpleLookup($A135,Questions!$A:$B))</f>
        <v/>
      </c>
      <c r="C135" s="107"/>
      <c r="D135" s="110"/>
      <c r="E135" s="106" t="str" cm="1">
        <f t="array" aca="1" ref="E135" ca="1">_xlfn.LET(
_xlpm._options,IF($O135="","",SimpleLookup($O135,Questions!$A:$H)),
_xlpm._followUpStart,FIND($C135&amp;":",_xlpm._options)+LEN($C135&amp;":"),
_xlpm._followUpEnd,FIND(CHAR(10),_xlpm._options&amp;CHAR(10),_xlpm._followUpStart),
IF($C135="","",TRIM(MID(_xlpm._options,_xlpm._followUpStart,_xlpm._followUpEnd-_xlpm._followUpStart))))</f>
        <v/>
      </c>
      <c r="F135" s="107" t="s">
        <v>9</v>
      </c>
      <c r="G135" s="113" t="s">
        <v>1652</v>
      </c>
      <c r="H135" s="113" cm="1">
        <f t="array" aca="1" ref="H135" ca="1">CreateID($H$2,$A135&lt;&gt;"")</f>
        <v>19</v>
      </c>
      <c r="I135" s="9" t="str">
        <f t="shared" si="25"/>
        <v/>
      </c>
      <c r="J135" s="9" t="str">
        <f t="shared" si="26"/>
        <v/>
      </c>
      <c r="K135" s="9" t="str">
        <f t="shared" si="27"/>
        <v/>
      </c>
      <c r="L135" s="9" cm="1">
        <f t="array" aca="1" ref="L135" ca="1">CreateID($L$2,$I135&lt;&gt;INDEX($I:$I,ROW()-1))</f>
        <v>38</v>
      </c>
      <c r="M135" s="9" t="str" cm="1">
        <f t="array" aca="1" ref="M135" ca="1">IF($Q135="","",INDIRECT($Q135))</f>
        <v/>
      </c>
      <c r="N135" s="9" t="str">
        <f t="shared" ca="1" si="28"/>
        <v>L</v>
      </c>
      <c r="O135" s="9" t="str">
        <f t="shared" ca="1" si="29"/>
        <v>QA3</v>
      </c>
    </row>
    <row r="136" spans="1:17" ht="56.25" x14ac:dyDescent="0.25">
      <c r="A136" s="108" t="str" cm="1">
        <f t="array" aca="1" ref="A136" ca="1">IF($Q136="","",_xlfn.LET(
_xlpm._fullName,IF($R136="",SUBSTITUTE(SUBSTITUTE(INDIRECT($Q136),CHAR(10)," "),"  "," "),$R136),
_xlpm._truncatedName,IF(LEN(_xlpm._fullName)&gt;250,LEFT(_xlpm._fullName,250)&amp;"[…]",_xlpm._fullName),
HYPERLINK("#'"&amp;$I136&amp;"'!"&amp;$J136&amp;$K136,
_xlpm._truncatedName)))</f>
        <v/>
      </c>
      <c r="B136" s="106" t="str" cm="1">
        <f t="array" aca="1" ref="B136" ca="1">IF($A136="","",SimpleLookup($A136,Questions!$A:$B))</f>
        <v/>
      </c>
      <c r="C136" s="107"/>
      <c r="D136" s="110"/>
      <c r="E136" s="106" t="str" cm="1">
        <f t="array" aca="1" ref="E136" ca="1">_xlfn.LET(
_xlpm._options,IF($O136="","",SimpleLookup($O136,Questions!$A:$H)),
_xlpm._followUpStart,FIND($C136&amp;":",_xlpm._options)+LEN($C136&amp;":"),
_xlpm._followUpEnd,FIND(CHAR(10),_xlpm._options&amp;CHAR(10),_xlpm._followUpStart),
IF($C136="","",TRIM(MID(_xlpm._options,_xlpm._followUpStart,_xlpm._followUpEnd-_xlpm._followUpStart))))</f>
        <v/>
      </c>
      <c r="F136" s="107" t="s">
        <v>10</v>
      </c>
      <c r="G136" s="113" t="s">
        <v>1653</v>
      </c>
      <c r="H136" s="113" cm="1">
        <f t="array" aca="1" ref="H136" ca="1">CreateID($H$2,$A136&lt;&gt;"")</f>
        <v>19</v>
      </c>
      <c r="I136" s="9" t="str">
        <f t="shared" si="25"/>
        <v/>
      </c>
      <c r="J136" s="9" t="str">
        <f t="shared" si="26"/>
        <v/>
      </c>
      <c r="K136" s="9" t="str">
        <f t="shared" si="27"/>
        <v/>
      </c>
      <c r="L136" s="9" cm="1">
        <f t="array" aca="1" ref="L136" ca="1">CreateID($L$2,$I136&lt;&gt;INDEX($I:$I,ROW()-1))</f>
        <v>38</v>
      </c>
      <c r="M136" s="9" t="str" cm="1">
        <f t="array" aca="1" ref="M136" ca="1">IF($Q136="","",INDIRECT($Q136))</f>
        <v/>
      </c>
      <c r="N136" s="9" t="str">
        <f t="shared" ca="1" si="28"/>
        <v>L</v>
      </c>
      <c r="O136" s="9" t="str">
        <f t="shared" ca="1" si="29"/>
        <v>QA3</v>
      </c>
    </row>
    <row r="137" spans="1:17" ht="180" x14ac:dyDescent="0.25">
      <c r="A137" s="108" t="str" cm="1">
        <f t="array" aca="1" ref="A137" ca="1">IF($Q137="","",_xlfn.LET(
_xlpm._fullName,IF($R137="",SUBSTITUTE(SUBSTITUTE(INDIRECT($Q137),CHAR(10)," "),"  "," "),$R137),
_xlpm._truncatedName,IF(LEN(_xlpm._fullName)&gt;250,LEFT(_xlpm._fullName,250)&amp;"[…]",_xlpm._fullName),
HYPERLINK("#'"&amp;$I137&amp;"'!"&amp;$J137&amp;$K137,
_xlpm._truncatedName)))</f>
        <v/>
      </c>
      <c r="B137" s="106" t="str" cm="1">
        <f t="array" aca="1" ref="B137" ca="1">IF($A137="","",SimpleLookup($A137,Questions!$A:$B))</f>
        <v/>
      </c>
      <c r="C137" s="107" t="s">
        <v>10</v>
      </c>
      <c r="D137" s="110" t="s">
        <v>1615</v>
      </c>
      <c r="E137" s="106" t="str" cm="1">
        <f t="array" aca="1" ref="E137" ca="1">_xlfn.LET(
_xlpm._options,IF($O137="","",SimpleLookup($O137,Questions!$A:$H)),
_xlpm._followUpStart,FIND($C137&amp;":",_xlpm._options)+LEN($C137&amp;":"),
_xlpm._followUpEnd,FIND(CHAR(10),_xlpm._options&amp;CHAR(10),_xlpm._followUpStart),
IF($C137="","",TRIM(MID(_xlpm._options,_xlpm._followUpStart,_xlpm._followUpEnd-_xlpm._followUpStart))))</f>
        <v/>
      </c>
      <c r="F137" s="107"/>
      <c r="G137" s="113"/>
      <c r="H137" s="113" cm="1">
        <f t="array" aca="1" ref="H137" ca="1">CreateID($H$2,$A137&lt;&gt;"")</f>
        <v>19</v>
      </c>
      <c r="I137" s="9" t="str">
        <f t="shared" si="25"/>
        <v/>
      </c>
      <c r="J137" s="9" t="str">
        <f t="shared" si="26"/>
        <v/>
      </c>
      <c r="K137" s="9" t="str">
        <f t="shared" si="27"/>
        <v/>
      </c>
      <c r="L137" s="9" cm="1">
        <f t="array" aca="1" ref="L137" ca="1">CreateID($L$2,$I137&lt;&gt;INDEX($I:$I,ROW()-1))</f>
        <v>38</v>
      </c>
      <c r="M137" s="9" t="str" cm="1">
        <f t="array" aca="1" ref="M137" ca="1">IF($Q137="","",INDIRECT($Q137))</f>
        <v/>
      </c>
      <c r="N137" s="9" t="str">
        <f t="shared" ca="1" si="28"/>
        <v>L</v>
      </c>
      <c r="O137" s="9" t="str">
        <f t="shared" ca="1" si="29"/>
        <v>QA3</v>
      </c>
    </row>
    <row r="138" spans="1:17" ht="96" x14ac:dyDescent="0.25">
      <c r="A138" s="108" t="str" cm="1">
        <f t="array" aca="1" ref="A138" ca="1">IF($Q138="","",_xlfn.LET(
_xlpm._fullName,IF($R138="",SUBSTITUTE(SUBSTITUTE(INDIRECT($Q138),CHAR(10)," "),"  "," "),$R138),
_xlpm._truncatedName,IF(LEN(_xlpm._fullName)&gt;250,LEFT(_xlpm._fullName,250)&amp;"[…]",_xlpm._fullName),
HYPERLINK("#'"&amp;$I138&amp;"'!"&amp;$J138&amp;$K138,
_xlpm._truncatedName)))</f>
        <v>QA4</v>
      </c>
      <c r="B138" s="106" t="str" cm="1">
        <f t="array" aca="1" ref="B138" ca="1">IF($A138="","",SimpleLookup($A138,Questions!$A:$B))</f>
        <v>Does the product have a direct connection to a local network?</v>
      </c>
      <c r="C138" s="107" t="s">
        <v>9</v>
      </c>
      <c r="D138" s="110" t="s">
        <v>1616</v>
      </c>
      <c r="E138" s="106" t="str" cm="1">
        <f t="array" aca="1" ref="E138" ca="1">_xlfn.LET(
_xlpm._options,IF($O138="","",SimpleLookup($O138,Questions!$A:$H)),
_xlpm._followUpStart,FIND($C138&amp;":",_xlpm._options)+LEN($C138&amp;":"),
_xlpm._followUpEnd,FIND(CHAR(10),_xlpm._options&amp;CHAR(10),_xlpm._followUpStart),
IF($C138="","",TRIM(MID(_xlpm._options,_xlpm._followUpStart,_xlpm._followUpEnd-_xlpm._followUpStart))))</f>
        <v>Are the devices in the local network considered as trustworthy according to the intended use of the product?</v>
      </c>
      <c r="F138" s="107"/>
      <c r="G138" s="113" t="s">
        <v>1654</v>
      </c>
      <c r="H138" s="113" cm="1">
        <f t="array" aca="1" ref="H138" ca="1">CreateID($H$2,$A138&lt;&gt;"")</f>
        <v>20</v>
      </c>
      <c r="I138" s="9" t="str">
        <f t="shared" ca="1" si="25"/>
        <v>Questionnaire</v>
      </c>
      <c r="J138" s="9" t="str">
        <f t="shared" ca="1" si="26"/>
        <v>B</v>
      </c>
      <c r="K138" s="9" t="str">
        <f t="shared" ca="1" si="27"/>
        <v>39</v>
      </c>
      <c r="L138" s="9" cm="1">
        <f t="array" aca="1" ref="L138" ca="1">CreateID($L$2,$I138&lt;&gt;INDEX($I:$I,ROW()-1))</f>
        <v>39</v>
      </c>
      <c r="M138" s="9" t="str" cm="1">
        <f t="array" aca="1" ref="M138" ca="1">IF($Q138="","",INDIRECT($Q138))</f>
        <v>QA4</v>
      </c>
      <c r="N138" s="9" t="str">
        <f t="shared" ca="1" si="28"/>
        <v>D</v>
      </c>
      <c r="O138" s="9" t="str">
        <f t="shared" ca="1" si="29"/>
        <v>QA4</v>
      </c>
      <c r="Q138" s="2" t="str" cm="1">
        <f t="array" aca="1" ref="Q138" ca="1">CELL("address",Questionnaire!$B$39)</f>
        <v>'[QuBA-libre.xlsx]Questionnaire'!$B$39</v>
      </c>
    </row>
    <row r="139" spans="1:17" ht="157.5" x14ac:dyDescent="0.25">
      <c r="A139" s="108" t="str" cm="1">
        <f t="array" aca="1" ref="A139" ca="1">IF($Q139="","",_xlfn.LET(
_xlpm._fullName,IF($R139="",SUBSTITUTE(SUBSTITUTE(INDIRECT($Q139),CHAR(10)," "),"  "," "),$R139),
_xlpm._truncatedName,IF(LEN(_xlpm._fullName)&gt;250,LEFT(_xlpm._fullName,250)&amp;"[…]",_xlpm._fullName),
HYPERLINK("#'"&amp;$I139&amp;"'!"&amp;$J139&amp;$K139,
_xlpm._truncatedName)))</f>
        <v/>
      </c>
      <c r="B139" s="106" t="str" cm="1">
        <f t="array" aca="1" ref="B139" ca="1">IF($A139="","",SimpleLookup($A139,Questions!$A:$B))</f>
        <v/>
      </c>
      <c r="C139" s="107"/>
      <c r="D139" s="110"/>
      <c r="E139" s="106" t="str" cm="1">
        <f t="array" aca="1" ref="E139" ca="1">_xlfn.LET(
_xlpm._options,IF($O139="","",SimpleLookup($O139,Questions!$A:$H)),
_xlpm._followUpStart,FIND($C139&amp;":",_xlpm._options)+LEN($C139&amp;":"),
_xlpm._followUpEnd,FIND(CHAR(10),_xlpm._options&amp;CHAR(10),_xlpm._followUpStart),
IF($C139="","",TRIM(MID(_xlpm._options,_xlpm._followUpStart,_xlpm._followUpEnd-_xlpm._followUpStart))))</f>
        <v/>
      </c>
      <c r="F139" s="107" t="s">
        <v>9</v>
      </c>
      <c r="G139" s="113" t="s">
        <v>1652</v>
      </c>
      <c r="H139" s="113" cm="1">
        <f t="array" aca="1" ref="H139" ca="1">CreateID($H$2,$A139&lt;&gt;"")</f>
        <v>20</v>
      </c>
      <c r="I139" s="9" t="str">
        <f t="shared" si="25"/>
        <v/>
      </c>
      <c r="J139" s="9" t="str">
        <f t="shared" si="26"/>
        <v/>
      </c>
      <c r="K139" s="9" t="str">
        <f t="shared" si="27"/>
        <v/>
      </c>
      <c r="L139" s="9" cm="1">
        <f t="array" aca="1" ref="L139" ca="1">CreateID($L$2,$I139&lt;&gt;INDEX($I:$I,ROW()-1))</f>
        <v>40</v>
      </c>
      <c r="M139" s="9" t="str" cm="1">
        <f t="array" aca="1" ref="M139" ca="1">IF($Q139="","",INDIRECT($Q139))</f>
        <v/>
      </c>
      <c r="N139" s="9" t="str">
        <f t="shared" ca="1" si="28"/>
        <v>D</v>
      </c>
      <c r="O139" s="9" t="str">
        <f t="shared" ca="1" si="29"/>
        <v>QA4</v>
      </c>
    </row>
    <row r="140" spans="1:17" ht="56.25" x14ac:dyDescent="0.25">
      <c r="A140" s="108" t="str" cm="1">
        <f t="array" aca="1" ref="A140" ca="1">IF($Q140="","",_xlfn.LET(
_xlpm._fullName,IF($R140="",SUBSTITUTE(SUBSTITUTE(INDIRECT($Q140),CHAR(10)," "),"  "," "),$R140),
_xlpm._truncatedName,IF(LEN(_xlpm._fullName)&gt;250,LEFT(_xlpm._fullName,250)&amp;"[…]",_xlpm._fullName),
HYPERLINK("#'"&amp;$I140&amp;"'!"&amp;$J140&amp;$K140,
_xlpm._truncatedName)))</f>
        <v/>
      </c>
      <c r="B140" s="106" t="str" cm="1">
        <f t="array" aca="1" ref="B140" ca="1">IF($A140="","",SimpleLookup($A140,Questions!$A:$B))</f>
        <v/>
      </c>
      <c r="C140" s="107"/>
      <c r="D140" s="110"/>
      <c r="E140" s="106" t="str" cm="1">
        <f t="array" aca="1" ref="E140" ca="1">_xlfn.LET(
_xlpm._options,IF($O140="","",SimpleLookup($O140,Questions!$A:$H)),
_xlpm._followUpStart,FIND($C140&amp;":",_xlpm._options)+LEN($C140&amp;":"),
_xlpm._followUpEnd,FIND(CHAR(10),_xlpm._options&amp;CHAR(10),_xlpm._followUpStart),
IF($C140="","",TRIM(MID(_xlpm._options,_xlpm._followUpStart,_xlpm._followUpEnd-_xlpm._followUpStart))))</f>
        <v/>
      </c>
      <c r="F140" s="107" t="s">
        <v>10</v>
      </c>
      <c r="G140" s="113" t="s">
        <v>1653</v>
      </c>
      <c r="H140" s="113" cm="1">
        <f t="array" aca="1" ref="H140" ca="1">CreateID($H$2,$A140&lt;&gt;"")</f>
        <v>20</v>
      </c>
      <c r="I140" s="9" t="str">
        <f t="shared" si="25"/>
        <v/>
      </c>
      <c r="J140" s="9" t="str">
        <f t="shared" si="26"/>
        <v/>
      </c>
      <c r="K140" s="9" t="str">
        <f t="shared" si="27"/>
        <v/>
      </c>
      <c r="L140" s="9" cm="1">
        <f t="array" aca="1" ref="L140" ca="1">CreateID($L$2,$I140&lt;&gt;INDEX($I:$I,ROW()-1))</f>
        <v>40</v>
      </c>
      <c r="M140" s="9" t="str" cm="1">
        <f t="array" aca="1" ref="M140" ca="1">IF($Q140="","",INDIRECT($Q140))</f>
        <v/>
      </c>
      <c r="N140" s="9" t="str">
        <f t="shared" ca="1" si="28"/>
        <v>D</v>
      </c>
      <c r="O140" s="9" t="str">
        <f t="shared" ca="1" si="29"/>
        <v>QA4</v>
      </c>
    </row>
    <row r="141" spans="1:17" x14ac:dyDescent="0.25">
      <c r="A141" s="108" t="str" cm="1">
        <f t="array" aca="1" ref="A141" ca="1">IF($Q141="","",_xlfn.LET(
_xlpm._fullName,IF($R141="",SUBSTITUTE(SUBSTITUTE(INDIRECT($Q141),CHAR(10)," "),"  "," "),$R141),
_xlpm._truncatedName,IF(LEN(_xlpm._fullName)&gt;250,LEFT(_xlpm._fullName,250)&amp;"[…]",_xlpm._fullName),
HYPERLINK("#'"&amp;$I141&amp;"'!"&amp;$J141&amp;$K141,
_xlpm._truncatedName)))</f>
        <v/>
      </c>
      <c r="B141" s="106" t="str" cm="1">
        <f t="array" aca="1" ref="B141" ca="1">IF($A141="","",SimpleLookup($A141,Questions!$A:$B))</f>
        <v/>
      </c>
      <c r="C141" s="107" t="s">
        <v>10</v>
      </c>
      <c r="D141" s="110" t="s">
        <v>1580</v>
      </c>
      <c r="E141" s="106" t="str" cm="1">
        <f t="array" aca="1" ref="E141" ca="1">_xlfn.LET(
_xlpm._options,IF($O141="","",SimpleLookup($O141,Questions!$A:$H)),
_xlpm._followUpStart,FIND($C141&amp;":",_xlpm._options)+LEN($C141&amp;":"),
_xlpm._followUpEnd,FIND(CHAR(10),_xlpm._options&amp;CHAR(10),_xlpm._followUpStart),
IF($C141="","",TRIM(MID(_xlpm._options,_xlpm._followUpStart,_xlpm._followUpEnd-_xlpm._followUpStart))))</f>
        <v/>
      </c>
      <c r="F141" s="107"/>
      <c r="G141" s="113"/>
      <c r="H141" s="113" cm="1">
        <f t="array" aca="1" ref="H141" ca="1">CreateID($H$2,$A141&lt;&gt;"")</f>
        <v>20</v>
      </c>
      <c r="I141" s="9" t="str">
        <f t="shared" si="25"/>
        <v/>
      </c>
      <c r="J141" s="9" t="str">
        <f t="shared" si="26"/>
        <v/>
      </c>
      <c r="K141" s="9" t="str">
        <f t="shared" si="27"/>
        <v/>
      </c>
      <c r="L141" s="9" cm="1">
        <f t="array" aca="1" ref="L141" ca="1">CreateID($L$2,$I141&lt;&gt;INDEX($I:$I,ROW()-1))</f>
        <v>40</v>
      </c>
      <c r="M141" s="9" t="str" cm="1">
        <f t="array" aca="1" ref="M141" ca="1">IF($Q141="","",INDIRECT($Q141))</f>
        <v/>
      </c>
      <c r="N141" s="9" t="str">
        <f t="shared" ca="1" si="28"/>
        <v>D</v>
      </c>
      <c r="O141" s="9" t="str">
        <f t="shared" ca="1" si="29"/>
        <v>QA4</v>
      </c>
    </row>
    <row r="142" spans="1:17" ht="146.25" x14ac:dyDescent="0.25">
      <c r="A142" s="108" t="str" cm="1">
        <f t="array" aca="1" ref="A142" ca="1">IF($Q142="","",_xlfn.LET(
_xlpm._fullName,IF($R142="",SUBSTITUTE(SUBSTITUTE(INDIRECT($Q142),CHAR(10)," "),"  "," "),$R142),
_xlpm._truncatedName,IF(LEN(_xlpm._fullName)&gt;250,LEFT(_xlpm._fullName,250)&amp;"[…]",_xlpm._fullName),
HYPERLINK("#'"&amp;$I142&amp;"'!"&amp;$J142&amp;$K142,
_xlpm._truncatedName)))</f>
        <v>QA5</v>
      </c>
      <c r="B142" s="106" t="str" cm="1">
        <f t="array" aca="1" ref="B142" ca="1">IF($A142="","",SimpleLookup($A142,Questions!$A:$B))</f>
        <v>Does the product support wireless connections?</v>
      </c>
      <c r="C142" s="107" t="s">
        <v>9</v>
      </c>
      <c r="D142" s="110" t="s">
        <v>1617</v>
      </c>
      <c r="E142" s="106" t="str" cm="1">
        <f t="array" aca="1" ref="E142" ca="1">_xlfn.LET(
_xlpm._options,IF($O142="","",SimpleLookup($O142,Questions!$A:$H)),
_xlpm._followUpStart,FIND($C142&amp;":",_xlpm._options)+LEN($C142&amp;":"),
_xlpm._followUpEnd,FIND(CHAR(10),_xlpm._options&amp;CHAR(10),_xlpm._followUpStart),
IF($C142="","",TRIM(MID(_xlpm._options,_xlpm._followUpStart,_xlpm._followUpEnd-_xlpm._followUpStart))))</f>
        <v>Is the access to the wireless connection restricted and are the devices the product communicates with considered as trustworthy?</v>
      </c>
      <c r="F142" s="107" t="s">
        <v>9</v>
      </c>
      <c r="G142" s="113" t="s">
        <v>1655</v>
      </c>
      <c r="H142" s="113" cm="1">
        <f t="array" aca="1" ref="H142" ca="1">CreateID($H$2,$A142&lt;&gt;"")</f>
        <v>21</v>
      </c>
      <c r="I142" s="9" t="str">
        <f t="shared" ca="1" si="25"/>
        <v>Questionnaire</v>
      </c>
      <c r="J142" s="9" t="str">
        <f t="shared" ca="1" si="26"/>
        <v>B</v>
      </c>
      <c r="K142" s="9" t="str">
        <f t="shared" ca="1" si="27"/>
        <v>40</v>
      </c>
      <c r="L142" s="9" cm="1">
        <f t="array" aca="1" ref="L142" ca="1">CreateID($L$2,$I142&lt;&gt;INDEX($I:$I,ROW()-1))</f>
        <v>41</v>
      </c>
      <c r="M142" s="9" t="str" cm="1">
        <f t="array" aca="1" ref="M142" ca="1">IF($Q142="","",INDIRECT($Q142))</f>
        <v>QA5</v>
      </c>
      <c r="N142" s="9" t="str">
        <f t="shared" ca="1" si="28"/>
        <v>L</v>
      </c>
      <c r="O142" s="9" t="str">
        <f t="shared" ca="1" si="29"/>
        <v>QA5</v>
      </c>
      <c r="Q142" s="2" t="str" cm="1">
        <f t="array" aca="1" ref="Q142" ca="1">CELL("address",Questionnaire!$B$40)</f>
        <v>'[QuBA-libre.xlsx]Questionnaire'!$B$40</v>
      </c>
    </row>
    <row r="143" spans="1:17" ht="123.75" x14ac:dyDescent="0.25">
      <c r="A143" s="108" t="str" cm="1">
        <f t="array" aca="1" ref="A143" ca="1">IF($Q143="","",_xlfn.LET(
_xlpm._fullName,IF($R143="",SUBSTITUTE(SUBSTITUTE(INDIRECT($Q143),CHAR(10)," "),"  "," "),$R143),
_xlpm._truncatedName,IF(LEN(_xlpm._fullName)&gt;250,LEFT(_xlpm._fullName,250)&amp;"[…]",_xlpm._fullName),
HYPERLINK("#'"&amp;$I143&amp;"'!"&amp;$J143&amp;$K143,
_xlpm._truncatedName)))</f>
        <v/>
      </c>
      <c r="B143" s="106" t="str" cm="1">
        <f t="array" aca="1" ref="B143" ca="1">IF($A143="","",SimpleLookup($A143,Questions!$A:$B))</f>
        <v/>
      </c>
      <c r="C143" s="107"/>
      <c r="D143" s="110"/>
      <c r="E143" s="106" t="str" cm="1">
        <f t="array" aca="1" ref="E143" ca="1">_xlfn.LET(
_xlpm._options,IF($O143="","",SimpleLookup($O143,Questions!$A:$H)),
_xlpm._followUpStart,FIND($C143&amp;":",_xlpm._options)+LEN($C143&amp;":"),
_xlpm._followUpEnd,FIND(CHAR(10),_xlpm._options&amp;CHAR(10),_xlpm._followUpStart),
IF($C143="","",TRIM(MID(_xlpm._options,_xlpm._followUpStart,_xlpm._followUpEnd-_xlpm._followUpStart))))</f>
        <v/>
      </c>
      <c r="F143" s="107" t="s">
        <v>10</v>
      </c>
      <c r="G143" s="113" t="s">
        <v>1656</v>
      </c>
      <c r="H143" s="113" cm="1">
        <f t="array" aca="1" ref="H143" ca="1">CreateID($H$2,$A143&lt;&gt;"")</f>
        <v>21</v>
      </c>
      <c r="I143" s="9" t="str">
        <f t="shared" si="25"/>
        <v/>
      </c>
      <c r="J143" s="9" t="str">
        <f t="shared" si="26"/>
        <v/>
      </c>
      <c r="K143" s="9" t="str">
        <f t="shared" si="27"/>
        <v/>
      </c>
      <c r="L143" s="9" cm="1">
        <f t="array" aca="1" ref="L143" ca="1">CreateID($L$2,$I143&lt;&gt;INDEX($I:$I,ROW()-1))</f>
        <v>42</v>
      </c>
      <c r="M143" s="9" t="str" cm="1">
        <f t="array" aca="1" ref="M143" ca="1">IF($Q143="","",INDIRECT($Q143))</f>
        <v/>
      </c>
      <c r="N143" s="9" t="str">
        <f t="shared" ca="1" si="28"/>
        <v>L</v>
      </c>
      <c r="O143" s="9" t="str">
        <f t="shared" ca="1" si="29"/>
        <v>QA5</v>
      </c>
    </row>
    <row r="144" spans="1:17" ht="84" x14ac:dyDescent="0.25">
      <c r="A144" s="108" t="str" cm="1">
        <f t="array" aca="1" ref="A144" ca="1">IF($Q144="","",_xlfn.LET(
_xlpm._fullName,IF($R144="",SUBSTITUTE(SUBSTITUTE(INDIRECT($Q144),CHAR(10)," "),"  "," "),$R144),
_xlpm._truncatedName,IF(LEN(_xlpm._fullName)&gt;250,LEFT(_xlpm._fullName,250)&amp;"[…]",_xlpm._fullName),
HYPERLINK("#'"&amp;$I144&amp;"'!"&amp;$J144&amp;$K144,
_xlpm._truncatedName)))</f>
        <v/>
      </c>
      <c r="B144" s="106" t="str" cm="1">
        <f t="array" aca="1" ref="B144" ca="1">IF($A144="","",SimpleLookup($A144,Questions!$A:$B))</f>
        <v/>
      </c>
      <c r="C144" s="107" t="s">
        <v>10</v>
      </c>
      <c r="D144" s="110" t="s">
        <v>1618</v>
      </c>
      <c r="E144" s="106" t="str" cm="1">
        <f t="array" aca="1" ref="E144" ca="1">_xlfn.LET(
_xlpm._options,IF($O144="","",SimpleLookup($O144,Questions!$A:$H)),
_xlpm._followUpStart,FIND($C144&amp;":",_xlpm._options)+LEN($C144&amp;":"),
_xlpm._followUpEnd,FIND(CHAR(10),_xlpm._options&amp;CHAR(10),_xlpm._followUpStart),
IF($C144="","",TRIM(MID(_xlpm._options,_xlpm._followUpStart,_xlpm._followUpEnd-_xlpm._followUpStart))))</f>
        <v/>
      </c>
      <c r="F144" s="107"/>
      <c r="G144" s="113"/>
      <c r="H144" s="113" cm="1">
        <f t="array" aca="1" ref="H144" ca="1">CreateID($H$2,$A144&lt;&gt;"")</f>
        <v>21</v>
      </c>
      <c r="I144" s="9" t="str">
        <f t="shared" si="25"/>
        <v/>
      </c>
      <c r="J144" s="9" t="str">
        <f t="shared" si="26"/>
        <v/>
      </c>
      <c r="K144" s="9" t="str">
        <f t="shared" si="27"/>
        <v/>
      </c>
      <c r="L144" s="9" cm="1">
        <f t="array" aca="1" ref="L144" ca="1">CreateID($L$2,$I144&lt;&gt;INDEX($I:$I,ROW()-1))</f>
        <v>42</v>
      </c>
      <c r="M144" s="9" t="str" cm="1">
        <f t="array" aca="1" ref="M144" ca="1">IF($Q144="","",INDIRECT($Q144))</f>
        <v/>
      </c>
      <c r="N144" s="9" t="str">
        <f t="shared" ca="1" si="28"/>
        <v>L</v>
      </c>
      <c r="O144" s="9" t="str">
        <f t="shared" ca="1" si="29"/>
        <v>QA5</v>
      </c>
    </row>
    <row r="145" spans="1:17" ht="168" x14ac:dyDescent="0.25">
      <c r="A145" s="108" t="str" cm="1">
        <f t="array" aca="1" ref="A145" ca="1">IF($Q145="","",_xlfn.LET(
_xlpm._fullName,IF($R145="",SUBSTITUTE(SUBSTITUTE(INDIRECT($Q145),CHAR(10)," "),"  "," "),$R145),
_xlpm._truncatedName,IF(LEN(_xlpm._fullName)&gt;250,LEFT(_xlpm._fullName,250)&amp;"[…]",_xlpm._fullName),
HYPERLINK("#'"&amp;$I145&amp;"'!"&amp;$J145&amp;$K145,
_xlpm._truncatedName)))</f>
        <v>QA6</v>
      </c>
      <c r="B145" s="106" t="str" cm="1">
        <f t="array" aca="1" ref="B145" ca="1">IF($A145="","",SimpleLookup($A145,Questions!$A:$B))</f>
        <v>Does the product have a direct connection to a mobile network / the Internet?</v>
      </c>
      <c r="C145" s="107" t="s">
        <v>9</v>
      </c>
      <c r="D145" s="110" t="s">
        <v>1619</v>
      </c>
      <c r="E145" s="106" t="str" cm="1">
        <f t="array" aca="1" ref="E145" ca="1">_xlfn.LET(
_xlpm._options,IF($O145="","",SimpleLookup($O145,Questions!$A:$H)),
_xlpm._followUpStart,FIND($C145&amp;":",_xlpm._options)+LEN($C145&amp;":"),
_xlpm._followUpEnd,FIND(CHAR(10),_xlpm._options&amp;CHAR(10),_xlpm._followUpStart),
IF($C145="","",TRIM(MID(_xlpm._options,_xlpm._followUpStart,_xlpm._followUpEnd-_xlpm._followUpStart))))</f>
        <v/>
      </c>
      <c r="F145" s="107"/>
      <c r="G145" s="113"/>
      <c r="H145" s="113" cm="1">
        <f t="array" aca="1" ref="H145" ca="1">CreateID($H$2,$A145&lt;&gt;"")</f>
        <v>22</v>
      </c>
      <c r="I145" s="9" t="str">
        <f t="shared" ca="1" si="25"/>
        <v>Questionnaire</v>
      </c>
      <c r="J145" s="9" t="str">
        <f t="shared" ca="1" si="26"/>
        <v>B</v>
      </c>
      <c r="K145" s="9" t="str">
        <f t="shared" ca="1" si="27"/>
        <v>41</v>
      </c>
      <c r="L145" s="9" cm="1">
        <f t="array" aca="1" ref="L145" ca="1">CreateID($L$2,$I145&lt;&gt;INDEX($I:$I,ROW()-1))</f>
        <v>43</v>
      </c>
      <c r="M145" s="9" t="str" cm="1">
        <f t="array" aca="1" ref="M145" ca="1">IF($Q145="","",INDIRECT($Q145))</f>
        <v>QA6</v>
      </c>
      <c r="N145" s="9" t="str">
        <f t="shared" ca="1" si="28"/>
        <v>D</v>
      </c>
      <c r="O145" s="9" t="str">
        <f t="shared" ca="1" si="29"/>
        <v>QA6</v>
      </c>
      <c r="Q145" s="2" t="str" cm="1">
        <f t="array" aca="1" ref="Q145" ca="1">CELL("address",Questionnaire!$B$41)</f>
        <v>'[QuBA-libre.xlsx]Questionnaire'!$B$41</v>
      </c>
    </row>
    <row r="146" spans="1:17" ht="72" x14ac:dyDescent="0.25">
      <c r="A146" s="108" t="str" cm="1">
        <f t="array" aca="1" ref="A146" ca="1">IF($Q146="","",_xlfn.LET(
_xlpm._fullName,IF($R146="",SUBSTITUTE(SUBSTITUTE(INDIRECT($Q146),CHAR(10)," "),"  "," "),$R146),
_xlpm._truncatedName,IF(LEN(_xlpm._fullName)&gt;250,LEFT(_xlpm._fullName,250)&amp;"[…]",_xlpm._fullName),
HYPERLINK("#'"&amp;$I146&amp;"'!"&amp;$J146&amp;$K146,
_xlpm._truncatedName)))</f>
        <v/>
      </c>
      <c r="B146" s="106" t="str" cm="1">
        <f t="array" aca="1" ref="B146" ca="1">IF($A146="","",SimpleLookup($A146,Questions!$A:$B))</f>
        <v/>
      </c>
      <c r="C146" s="107" t="s">
        <v>10</v>
      </c>
      <c r="D146" s="110" t="s">
        <v>1620</v>
      </c>
      <c r="E146" s="106" t="str" cm="1">
        <f t="array" aca="1" ref="E146" ca="1">_xlfn.LET(
_xlpm._options,IF($O146="","",SimpleLookup($O146,Questions!$A:$H)),
_xlpm._followUpStart,FIND($C146&amp;":",_xlpm._options)+LEN($C146&amp;":"),
_xlpm._followUpEnd,FIND(CHAR(10),_xlpm._options&amp;CHAR(10),_xlpm._followUpStart),
IF($C146="","",TRIM(MID(_xlpm._options,_xlpm._followUpStart,_xlpm._followUpEnd-_xlpm._followUpStart))))</f>
        <v/>
      </c>
      <c r="F146" s="107"/>
      <c r="G146" s="113"/>
      <c r="H146" s="113" cm="1">
        <f t="array" aca="1" ref="H146" ca="1">CreateID($H$2,$A146&lt;&gt;"")</f>
        <v>22</v>
      </c>
      <c r="I146" s="9" t="str">
        <f t="shared" si="25"/>
        <v/>
      </c>
      <c r="J146" s="9" t="str">
        <f t="shared" si="26"/>
        <v/>
      </c>
      <c r="K146" s="9" t="str">
        <f t="shared" si="27"/>
        <v/>
      </c>
      <c r="L146" s="9" cm="1">
        <f t="array" aca="1" ref="L146" ca="1">CreateID($L$2,$I146&lt;&gt;INDEX($I:$I,ROW()-1))</f>
        <v>44</v>
      </c>
      <c r="M146" s="9" t="str" cm="1">
        <f t="array" aca="1" ref="M146" ca="1">IF($Q146="","",INDIRECT($Q146))</f>
        <v/>
      </c>
      <c r="N146" s="9" t="str">
        <f t="shared" ca="1" si="28"/>
        <v>D</v>
      </c>
      <c r="O146" s="9" t="str">
        <f t="shared" ca="1" si="29"/>
        <v>QA6</v>
      </c>
    </row>
    <row r="147" spans="1:17" ht="30" x14ac:dyDescent="0.25">
      <c r="A147" s="108" t="str" cm="1">
        <f t="array" aca="1" ref="A147" ca="1">IF($Q147="","",_xlfn.LET(
_xlpm._fullName,IF($R147="",SUBSTITUTE(SUBSTITUTE(INDIRECT($Q147),CHAR(10)," "),"  "," "),$R147),
_xlpm._truncatedName,IF(LEN(_xlpm._fullName)&gt;250,LEFT(_xlpm._fullName,250)&amp;"[…]",_xlpm._fullName),
HYPERLINK("#'"&amp;$I147&amp;"'!"&amp;$J147&amp;$K147,
_xlpm._truncatedName)))</f>
        <v>QA7</v>
      </c>
      <c r="B147" s="106" t="str" cm="1">
        <f t="array" aca="1" ref="B147" ca="1">IF($A147="","",SimpleLookup($A147,Questions!$A:$B))</f>
        <v>Does the product offer services to other entities on the network?</v>
      </c>
      <c r="C147" s="107" t="s">
        <v>9</v>
      </c>
      <c r="D147" s="110"/>
      <c r="E147" s="106" t="str" cm="1">
        <f t="array" aca="1" ref="E147" ca="1">_xlfn.LET(
_xlpm._options,IF($O147="","",SimpleLookup($O147,Questions!$A:$H)),
_xlpm._followUpStart,FIND($C147&amp;":",_xlpm._options)+LEN($C147&amp;":"),
_xlpm._followUpEnd,FIND(CHAR(10),_xlpm._options&amp;CHAR(10),_xlpm._followUpStart),
IF($C147="","",TRIM(MID(_xlpm._options,_xlpm._followUpStart,_xlpm._followUpEnd-_xlpm._followUpStart))))</f>
        <v/>
      </c>
      <c r="F147" s="107"/>
      <c r="G147" s="113"/>
      <c r="H147" s="113" cm="1">
        <f t="array" aca="1" ref="H147" ca="1">CreateID($H$2,$A147&lt;&gt;"")</f>
        <v>23</v>
      </c>
      <c r="I147" s="9" t="str">
        <f t="shared" ca="1" si="25"/>
        <v>Questionnaire</v>
      </c>
      <c r="J147" s="9" t="str">
        <f t="shared" ca="1" si="26"/>
        <v>B</v>
      </c>
      <c r="K147" s="9" t="str">
        <f t="shared" ca="1" si="27"/>
        <v>43</v>
      </c>
      <c r="L147" s="9" cm="1">
        <f t="array" aca="1" ref="L147" ca="1">CreateID($L$2,$I147&lt;&gt;INDEX($I:$I,ROW()-1))</f>
        <v>45</v>
      </c>
      <c r="M147" s="9" t="str" cm="1">
        <f t="array" aca="1" ref="M147" ca="1">IF($Q147="","",INDIRECT($Q147))</f>
        <v>QA7</v>
      </c>
      <c r="N147" s="9" t="str">
        <f t="shared" ca="1" si="28"/>
        <v>L</v>
      </c>
      <c r="O147" s="9" t="str">
        <f t="shared" ca="1" si="29"/>
        <v>QA7</v>
      </c>
      <c r="Q147" s="2" t="str" cm="1">
        <f t="array" aca="1" ref="Q147" ca="1">CELL("address",Questionnaire!$B$43)</f>
        <v>'[QuBA-libre.xlsx]Questionnaire'!$B$43</v>
      </c>
    </row>
    <row r="148" spans="1:17" x14ac:dyDescent="0.25">
      <c r="A148" s="108" t="str" cm="1">
        <f t="array" aca="1" ref="A148" ca="1">IF($Q148="","",_xlfn.LET(
_xlpm._fullName,IF($R148="",SUBSTITUTE(SUBSTITUTE(INDIRECT($Q148),CHAR(10)," "),"  "," "),$R148),
_xlpm._truncatedName,IF(LEN(_xlpm._fullName)&gt;250,LEFT(_xlpm._fullName,250)&amp;"[…]",_xlpm._fullName),
HYPERLINK("#'"&amp;$I148&amp;"'!"&amp;$J148&amp;$K148,
_xlpm._truncatedName)))</f>
        <v/>
      </c>
      <c r="B148" s="106" t="str" cm="1">
        <f t="array" aca="1" ref="B148" ca="1">IF($A148="","",SimpleLookup($A148,Questions!$A:$B))</f>
        <v/>
      </c>
      <c r="C148" s="107" t="s">
        <v>10</v>
      </c>
      <c r="D148" s="110"/>
      <c r="E148" s="106" t="str" cm="1">
        <f t="array" aca="1" ref="E148" ca="1">_xlfn.LET(
_xlpm._options,IF($O148="","",SimpleLookup($O148,Questions!$A:$H)),
_xlpm._followUpStart,FIND($C148&amp;":",_xlpm._options)+LEN($C148&amp;":"),
_xlpm._followUpEnd,FIND(CHAR(10),_xlpm._options&amp;CHAR(10),_xlpm._followUpStart),
IF($C148="","",TRIM(MID(_xlpm._options,_xlpm._followUpStart,_xlpm._followUpEnd-_xlpm._followUpStart))))</f>
        <v/>
      </c>
      <c r="F148" s="107"/>
      <c r="G148" s="113"/>
      <c r="H148" s="113" cm="1">
        <f t="array" aca="1" ref="H148" ca="1">CreateID($H$2,$A148&lt;&gt;"")</f>
        <v>23</v>
      </c>
      <c r="I148" s="9" t="str">
        <f t="shared" si="25"/>
        <v/>
      </c>
      <c r="J148" s="9" t="str">
        <f t="shared" si="26"/>
        <v/>
      </c>
      <c r="K148" s="9" t="str">
        <f t="shared" si="27"/>
        <v/>
      </c>
      <c r="L148" s="9" cm="1">
        <f t="array" aca="1" ref="L148" ca="1">CreateID($L$2,$I148&lt;&gt;INDEX($I:$I,ROW()-1))</f>
        <v>46</v>
      </c>
      <c r="M148" s="9" t="str" cm="1">
        <f t="array" aca="1" ref="M148" ca="1">IF($Q148="","",INDIRECT($Q148))</f>
        <v/>
      </c>
      <c r="N148" s="9" t="str">
        <f t="shared" ca="1" si="28"/>
        <v>L</v>
      </c>
      <c r="O148" s="9" t="str">
        <f t="shared" ca="1" si="29"/>
        <v>QA7</v>
      </c>
    </row>
    <row r="149" spans="1:17" ht="96" x14ac:dyDescent="0.25">
      <c r="A149" s="108" t="str" cm="1">
        <f t="array" aca="1" ref="A149" ca="1">IF($Q149="","",_xlfn.LET(
_xlpm._fullName,IF($R149="",SUBSTITUTE(SUBSTITUTE(INDIRECT($Q149),CHAR(10)," "),"  "," "),$R149),
_xlpm._truncatedName,IF(LEN(_xlpm._fullName)&gt;250,LEFT(_xlpm._fullName,250)&amp;"[…]",_xlpm._fullName),
HYPERLINK("#'"&amp;$I149&amp;"'!"&amp;$J149&amp;$K149,
_xlpm._truncatedName)))</f>
        <v>QA8</v>
      </c>
      <c r="B149" s="106" t="str" cm="1">
        <f t="array" aca="1" ref="B149" ca="1">IF($A149="","",SimpleLookup($A149,Questions!$A:$B))</f>
        <v>Does the product offer a configuration interface?</v>
      </c>
      <c r="C149" s="107" t="s">
        <v>9</v>
      </c>
      <c r="D149" s="110" t="s">
        <v>1621</v>
      </c>
      <c r="E149" s="106" t="str" cm="1">
        <f t="array" aca="1" ref="E149" ca="1">_xlfn.LET(
_xlpm._options,IF($O149="","",SimpleLookup($O149,Questions!$A:$H)),
_xlpm._followUpStart,FIND($C149&amp;":",_xlpm._options)+LEN($C149&amp;":"),
_xlpm._followUpEnd,FIND(CHAR(10),_xlpm._options&amp;CHAR(10),_xlpm._followUpStart),
IF($C149="","",TRIM(MID(_xlpm._options,_xlpm._followUpStart,_xlpm._followUpEnd-_xlpm._followUpStart))))</f>
        <v>Is the configuration interface protected against unwanted write access?</v>
      </c>
      <c r="F149" s="107"/>
      <c r="G149" s="113" t="s">
        <v>1657</v>
      </c>
      <c r="H149" s="113" cm="1">
        <f t="array" aca="1" ref="H149" ca="1">CreateID($H$2,$A149&lt;&gt;"")</f>
        <v>24</v>
      </c>
      <c r="I149" s="9" t="str">
        <f t="shared" ca="1" si="25"/>
        <v>Questionnaire</v>
      </c>
      <c r="J149" s="9" t="str">
        <f t="shared" ca="1" si="26"/>
        <v>B</v>
      </c>
      <c r="K149" s="9" t="str">
        <f t="shared" ca="1" si="27"/>
        <v>44</v>
      </c>
      <c r="L149" s="9" cm="1">
        <f t="array" aca="1" ref="L149" ca="1">CreateID($L$2,$I149&lt;&gt;INDEX($I:$I,ROW()-1))</f>
        <v>47</v>
      </c>
      <c r="M149" s="9" t="str" cm="1">
        <f t="array" aca="1" ref="M149" ca="1">IF($Q149="","",INDIRECT($Q149))</f>
        <v>QA8</v>
      </c>
      <c r="N149" s="9" t="str">
        <f t="shared" ca="1" si="28"/>
        <v>D</v>
      </c>
      <c r="O149" s="9" t="str">
        <f t="shared" ca="1" si="29"/>
        <v>QA8</v>
      </c>
      <c r="Q149" s="2" t="str" cm="1">
        <f t="array" aca="1" ref="Q149" ca="1">CELL("address",Questionnaire!$B$44)</f>
        <v>'[QuBA-libre.xlsx]Questionnaire'!$B$44</v>
      </c>
    </row>
    <row r="150" spans="1:17" ht="90" x14ac:dyDescent="0.25">
      <c r="A150" s="108" t="str" cm="1">
        <f t="array" aca="1" ref="A150" ca="1">IF($Q150="","",_xlfn.LET(
_xlpm._fullName,IF($R150="",SUBSTITUTE(SUBSTITUTE(INDIRECT($Q150),CHAR(10)," "),"  "," "),$R150),
_xlpm._truncatedName,IF(LEN(_xlpm._fullName)&gt;250,LEFT(_xlpm._fullName,250)&amp;"[…]",_xlpm._fullName),
HYPERLINK("#'"&amp;$I150&amp;"'!"&amp;$J150&amp;$K150,
_xlpm._truncatedName)))</f>
        <v/>
      </c>
      <c r="B150" s="106" t="str" cm="1">
        <f t="array" aca="1" ref="B150" ca="1">IF($A150="","",SimpleLookup($A150,Questions!$A:$B))</f>
        <v/>
      </c>
      <c r="C150" s="107"/>
      <c r="D150" s="110"/>
      <c r="E150" s="106" t="str" cm="1">
        <f t="array" aca="1" ref="E150" ca="1">_xlfn.LET(
_xlpm._options,IF($O150="","",SimpleLookup($O150,Questions!$A:$H)),
_xlpm._followUpStart,FIND($C150&amp;":",_xlpm._options)+LEN($C150&amp;":"),
_xlpm._followUpEnd,FIND(CHAR(10),_xlpm._options&amp;CHAR(10),_xlpm._followUpStart),
IF($C150="","",TRIM(MID(_xlpm._options,_xlpm._followUpStart,_xlpm._followUpEnd-_xlpm._followUpStart))))</f>
        <v/>
      </c>
      <c r="F150" s="107" t="s">
        <v>9</v>
      </c>
      <c r="G150" s="113" t="s">
        <v>1658</v>
      </c>
      <c r="H150" s="113" cm="1">
        <f t="array" aca="1" ref="H150" ca="1">CreateID($H$2,$A150&lt;&gt;"")</f>
        <v>24</v>
      </c>
      <c r="I150" s="9" t="str">
        <f t="shared" si="25"/>
        <v/>
      </c>
      <c r="J150" s="9" t="str">
        <f t="shared" si="26"/>
        <v/>
      </c>
      <c r="K150" s="9" t="str">
        <f t="shared" si="27"/>
        <v/>
      </c>
      <c r="L150" s="9" cm="1">
        <f t="array" aca="1" ref="L150" ca="1">CreateID($L$2,$I150&lt;&gt;INDEX($I:$I,ROW()-1))</f>
        <v>48</v>
      </c>
      <c r="M150" s="9" t="str" cm="1">
        <f t="array" aca="1" ref="M150" ca="1">IF($Q150="","",INDIRECT($Q150))</f>
        <v/>
      </c>
      <c r="N150" s="9" t="str">
        <f t="shared" ca="1" si="28"/>
        <v>D</v>
      </c>
      <c r="O150" s="9" t="str">
        <f t="shared" ca="1" si="29"/>
        <v>QA8</v>
      </c>
    </row>
    <row r="151" spans="1:17" ht="56.25" x14ac:dyDescent="0.25">
      <c r="A151" s="108" t="str" cm="1">
        <f t="array" aca="1" ref="A151" ca="1">IF($Q151="","",_xlfn.LET(
_xlpm._fullName,IF($R151="",SUBSTITUTE(SUBSTITUTE(INDIRECT($Q151),CHAR(10)," "),"  "," "),$R151),
_xlpm._truncatedName,IF(LEN(_xlpm._fullName)&gt;250,LEFT(_xlpm._fullName,250)&amp;"[…]",_xlpm._fullName),
HYPERLINK("#'"&amp;$I151&amp;"'!"&amp;$J151&amp;$K151,
_xlpm._truncatedName)))</f>
        <v/>
      </c>
      <c r="B151" s="106" t="str" cm="1">
        <f t="array" aca="1" ref="B151" ca="1">IF($A151="","",SimpleLookup($A151,Questions!$A:$B))</f>
        <v/>
      </c>
      <c r="C151" s="107"/>
      <c r="D151" s="110"/>
      <c r="E151" s="106" t="str" cm="1">
        <f t="array" aca="1" ref="E151" ca="1">_xlfn.LET(
_xlpm._options,IF($O151="","",SimpleLookup($O151,Questions!$A:$H)),
_xlpm._followUpStart,FIND($C151&amp;":",_xlpm._options)+LEN($C151&amp;":"),
_xlpm._followUpEnd,FIND(CHAR(10),_xlpm._options&amp;CHAR(10),_xlpm._followUpStart),
IF($C151="","",TRIM(MID(_xlpm._options,_xlpm._followUpStart,_xlpm._followUpEnd-_xlpm._followUpStart))))</f>
        <v/>
      </c>
      <c r="F151" s="107" t="s">
        <v>10</v>
      </c>
      <c r="G151" s="113" t="s">
        <v>1659</v>
      </c>
      <c r="H151" s="113" cm="1">
        <f t="array" aca="1" ref="H151" ca="1">CreateID($H$2,$A151&lt;&gt;"")</f>
        <v>24</v>
      </c>
      <c r="I151" s="9" t="str">
        <f t="shared" si="25"/>
        <v/>
      </c>
      <c r="J151" s="9" t="str">
        <f t="shared" si="26"/>
        <v/>
      </c>
      <c r="K151" s="9" t="str">
        <f t="shared" si="27"/>
        <v/>
      </c>
      <c r="L151" s="9" cm="1">
        <f t="array" aca="1" ref="L151" ca="1">CreateID($L$2,$I151&lt;&gt;INDEX($I:$I,ROW()-1))</f>
        <v>48</v>
      </c>
      <c r="M151" s="9" t="str" cm="1">
        <f t="array" aca="1" ref="M151" ca="1">IF($Q151="","",INDIRECT($Q151))</f>
        <v/>
      </c>
      <c r="N151" s="9" t="str">
        <f t="shared" ca="1" si="28"/>
        <v>D</v>
      </c>
      <c r="O151" s="9" t="str">
        <f t="shared" ca="1" si="29"/>
        <v>QA8</v>
      </c>
    </row>
    <row r="152" spans="1:17" ht="84" x14ac:dyDescent="0.25">
      <c r="A152" s="108" t="str" cm="1">
        <f t="array" aca="1" ref="A152" ca="1">IF($Q152="","",_xlfn.LET(
_xlpm._fullName,IF($R152="",SUBSTITUTE(SUBSTITUTE(INDIRECT($Q152),CHAR(10)," "),"  "," "),$R152),
_xlpm._truncatedName,IF(LEN(_xlpm._fullName)&gt;250,LEFT(_xlpm._fullName,250)&amp;"[…]",_xlpm._fullName),
HYPERLINK("#'"&amp;$I152&amp;"'!"&amp;$J152&amp;$K152,
_xlpm._truncatedName)))</f>
        <v/>
      </c>
      <c r="B152" s="106" t="str" cm="1">
        <f t="array" aca="1" ref="B152" ca="1">IF($A152="","",SimpleLookup($A152,Questions!$A:$B))</f>
        <v/>
      </c>
      <c r="C152" s="107" t="s">
        <v>10</v>
      </c>
      <c r="D152" s="110" t="s">
        <v>1622</v>
      </c>
      <c r="E152" s="106" t="str" cm="1">
        <f t="array" aca="1" ref="E152" ca="1">_xlfn.LET(
_xlpm._options,IF($O152="","",SimpleLookup($O152,Questions!$A:$H)),
_xlpm._followUpStart,FIND($C152&amp;":",_xlpm._options)+LEN($C152&amp;":"),
_xlpm._followUpEnd,FIND(CHAR(10),_xlpm._options&amp;CHAR(10),_xlpm._followUpStart),
IF($C152="","",TRIM(MID(_xlpm._options,_xlpm._followUpStart,_xlpm._followUpEnd-_xlpm._followUpStart))))</f>
        <v/>
      </c>
      <c r="F152" s="107"/>
      <c r="G152" s="113"/>
      <c r="H152" s="113" cm="1">
        <f t="array" aca="1" ref="H152" ca="1">CreateID($H$2,$A152&lt;&gt;"")</f>
        <v>24</v>
      </c>
      <c r="I152" s="9" t="str">
        <f t="shared" si="25"/>
        <v/>
      </c>
      <c r="J152" s="9" t="str">
        <f t="shared" si="26"/>
        <v/>
      </c>
      <c r="K152" s="9" t="str">
        <f t="shared" si="27"/>
        <v/>
      </c>
      <c r="L152" s="9" cm="1">
        <f t="array" aca="1" ref="L152" ca="1">CreateID($L$2,$I152&lt;&gt;INDEX($I:$I,ROW()-1))</f>
        <v>48</v>
      </c>
      <c r="M152" s="9" t="str" cm="1">
        <f t="array" aca="1" ref="M152" ca="1">IF($Q152="","",INDIRECT($Q152))</f>
        <v/>
      </c>
      <c r="N152" s="9" t="str">
        <f t="shared" ca="1" si="28"/>
        <v>D</v>
      </c>
      <c r="O152" s="9" t="str">
        <f t="shared" ca="1" si="29"/>
        <v>QA8</v>
      </c>
    </row>
    <row r="153" spans="1:17" ht="36" x14ac:dyDescent="0.25">
      <c r="A153" s="108" t="str" cm="1">
        <f t="array" aca="1" ref="A153" ca="1">IF($Q153="","",_xlfn.LET(
_xlpm._fullName,IF($R153="",SUBSTITUTE(SUBSTITUTE(INDIRECT($Q153),CHAR(10)," "),"  "," "),$R153),
_xlpm._truncatedName,IF(LEN(_xlpm._fullName)&gt;250,LEFT(_xlpm._fullName,250)&amp;"[…]",_xlpm._fullName),
HYPERLINK("#'"&amp;$I153&amp;"'!"&amp;$J153&amp;$K153,
_xlpm._truncatedName)))</f>
        <v>QA9</v>
      </c>
      <c r="B153" s="106" t="str" cm="1">
        <f t="array" aca="1" ref="B153" ca="1">IF($A153="","",SimpleLookup($A153,Questions!$A:$B))</f>
        <v>Does the product have an IP stack (or another routable protocol)?</v>
      </c>
      <c r="C153" s="107"/>
      <c r="D153" s="110" t="s">
        <v>1623</v>
      </c>
      <c r="E153" s="106" t="str" cm="1">
        <f t="array" aca="1" ref="E153" ca="1">_xlfn.LET(
_xlpm._options,IF($O153="","",SimpleLookup($O153,Questions!$A:$H)),
_xlpm._followUpStart,FIND($C153&amp;":",_xlpm._options)+LEN($C153&amp;":"),
_xlpm._followUpEnd,FIND(CHAR(10),_xlpm._options&amp;CHAR(10),_xlpm._followUpStart),
IF($C153="","",TRIM(MID(_xlpm._options,_xlpm._followUpStart,_xlpm._followUpEnd-_xlpm._followUpStart))))</f>
        <v/>
      </c>
      <c r="F153" s="107"/>
      <c r="G153" s="113"/>
      <c r="H153" s="113" cm="1">
        <f t="array" aca="1" ref="H153" ca="1">CreateID($H$2,$A153&lt;&gt;"")</f>
        <v>25</v>
      </c>
      <c r="I153" s="9" t="str">
        <f t="shared" ca="1" si="25"/>
        <v>Questionnaire</v>
      </c>
      <c r="J153" s="9" t="str">
        <f t="shared" ca="1" si="26"/>
        <v>B</v>
      </c>
      <c r="K153" s="9" t="str">
        <f t="shared" ca="1" si="27"/>
        <v>45</v>
      </c>
      <c r="L153" s="9" cm="1">
        <f t="array" aca="1" ref="L153" ca="1">CreateID($L$2,$I153&lt;&gt;INDEX($I:$I,ROW()-1))</f>
        <v>49</v>
      </c>
      <c r="M153" s="9" t="str" cm="1">
        <f t="array" aca="1" ref="M153" ca="1">IF($Q153="","",INDIRECT($Q153))</f>
        <v>QA9</v>
      </c>
      <c r="N153" s="9" t="str">
        <f t="shared" ca="1" si="28"/>
        <v>L</v>
      </c>
      <c r="O153" s="9" t="str">
        <f t="shared" ca="1" si="29"/>
        <v>QA9</v>
      </c>
      <c r="Q153" s="2" t="str" cm="1">
        <f t="array" aca="1" ref="Q153" ca="1">CELL("address",Questionnaire!$B$45)</f>
        <v>'[QuBA-libre.xlsx]Questionnaire'!$B$45</v>
      </c>
    </row>
    <row r="154" spans="1:17" ht="132" x14ac:dyDescent="0.25">
      <c r="A154" s="108" t="str" cm="1">
        <f t="array" aca="1" ref="A154" ca="1">IF($Q154="","",_xlfn.LET(
_xlpm._fullName,IF($R154="",SUBSTITUTE(SUBSTITUTE(INDIRECT($Q154),CHAR(10)," "),"  "," "),$R154),
_xlpm._truncatedName,IF(LEN(_xlpm._fullName)&gt;250,LEFT(_xlpm._fullName,250)&amp;"[…]",_xlpm._fullName),
HYPERLINK("#'"&amp;$I154&amp;"'!"&amp;$J154&amp;$K154,
_xlpm._truncatedName)))</f>
        <v/>
      </c>
      <c r="B154" s="106" t="str" cm="1">
        <f t="array" aca="1" ref="B154" ca="1">IF($A154="","",SimpleLookup($A154,Questions!$A:$B))</f>
        <v/>
      </c>
      <c r="C154" s="107" t="s">
        <v>9</v>
      </c>
      <c r="D154" s="110" t="s">
        <v>1624</v>
      </c>
      <c r="E154" s="106" t="str" cm="1">
        <f t="array" aca="1" ref="E154" ca="1">_xlfn.LET(
_xlpm._options,IF($O154="","",SimpleLookup($O154,Questions!$A:$H)),
_xlpm._followUpStart,FIND($C154&amp;":",_xlpm._options)+LEN($C154&amp;":"),
_xlpm._followUpEnd,FIND(CHAR(10),_xlpm._options&amp;CHAR(10),_xlpm._followUpStart),
IF($C154="","",TRIM(MID(_xlpm._options,_xlpm._followUpStart,_xlpm._followUpEnd-_xlpm._followUpStart))))</f>
        <v/>
      </c>
      <c r="F154" s="107"/>
      <c r="G154" s="113"/>
      <c r="H154" s="113" cm="1">
        <f t="array" aca="1" ref="H154" ca="1">CreateID($H$2,$A154&lt;&gt;"")</f>
        <v>25</v>
      </c>
      <c r="I154" s="9" t="str">
        <f t="shared" si="25"/>
        <v/>
      </c>
      <c r="J154" s="9" t="str">
        <f t="shared" si="26"/>
        <v/>
      </c>
      <c r="K154" s="9" t="str">
        <f t="shared" si="27"/>
        <v/>
      </c>
      <c r="L154" s="9" cm="1">
        <f t="array" aca="1" ref="L154" ca="1">CreateID($L$2,$I154&lt;&gt;INDEX($I:$I,ROW()-1))</f>
        <v>50</v>
      </c>
      <c r="M154" s="9" t="str" cm="1">
        <f t="array" aca="1" ref="M154" ca="1">IF($Q154="","",INDIRECT($Q154))</f>
        <v/>
      </c>
      <c r="N154" s="9" t="str">
        <f t="shared" ca="1" si="28"/>
        <v>L</v>
      </c>
      <c r="O154" s="9" t="str">
        <f t="shared" ca="1" si="29"/>
        <v>QA9</v>
      </c>
    </row>
    <row r="155" spans="1:17" ht="120" x14ac:dyDescent="0.25">
      <c r="A155" s="108" t="str" cm="1">
        <f t="array" aca="1" ref="A155" ca="1">IF($Q155="","",_xlfn.LET(
_xlpm._fullName,IF($R155="",SUBSTITUTE(SUBSTITUTE(INDIRECT($Q155),CHAR(10)," "),"  "," "),$R155),
_xlpm._truncatedName,IF(LEN(_xlpm._fullName)&gt;250,LEFT(_xlpm._fullName,250)&amp;"[…]",_xlpm._fullName),
HYPERLINK("#'"&amp;$I155&amp;"'!"&amp;$J155&amp;$K155,
_xlpm._truncatedName)))</f>
        <v/>
      </c>
      <c r="B155" s="106" t="str" cm="1">
        <f t="array" aca="1" ref="B155" ca="1">IF($A155="","",SimpleLookup($A155,Questions!$A:$B))</f>
        <v/>
      </c>
      <c r="C155" s="107" t="s">
        <v>10</v>
      </c>
      <c r="D155" s="110" t="s">
        <v>1625</v>
      </c>
      <c r="E155" s="106" t="str" cm="1">
        <f t="array" aca="1" ref="E155" ca="1">_xlfn.LET(
_xlpm._options,IF($O155="","",SimpleLookup($O155,Questions!$A:$H)),
_xlpm._followUpStart,FIND($C155&amp;":",_xlpm._options)+LEN($C155&amp;":"),
_xlpm._followUpEnd,FIND(CHAR(10),_xlpm._options&amp;CHAR(10),_xlpm._followUpStart),
IF($C155="","",TRIM(MID(_xlpm._options,_xlpm._followUpStart,_xlpm._followUpEnd-_xlpm._followUpStart))))</f>
        <v/>
      </c>
      <c r="F155" s="107"/>
      <c r="G155" s="113"/>
      <c r="H155" s="113" cm="1">
        <f t="array" aca="1" ref="H155" ca="1">CreateID($H$2,$A155&lt;&gt;"")</f>
        <v>25</v>
      </c>
      <c r="I155" s="9" t="str">
        <f t="shared" si="25"/>
        <v/>
      </c>
      <c r="J155" s="9" t="str">
        <f t="shared" si="26"/>
        <v/>
      </c>
      <c r="K155" s="9" t="str">
        <f t="shared" si="27"/>
        <v/>
      </c>
      <c r="L155" s="9" cm="1">
        <f t="array" aca="1" ref="L155" ca="1">CreateID($L$2,$I155&lt;&gt;INDEX($I:$I,ROW()-1))</f>
        <v>50</v>
      </c>
      <c r="M155" s="9" t="str" cm="1">
        <f t="array" aca="1" ref="M155" ca="1">IF($Q155="","",INDIRECT($Q155))</f>
        <v/>
      </c>
      <c r="N155" s="9" t="str">
        <f t="shared" ca="1" si="28"/>
        <v>L</v>
      </c>
      <c r="O155" s="9" t="str">
        <f t="shared" ca="1" si="29"/>
        <v>QA9</v>
      </c>
    </row>
    <row r="156" spans="1:17" ht="108" x14ac:dyDescent="0.25">
      <c r="A156" s="108" t="str" cm="1">
        <f t="array" aca="1" ref="A156" ca="1">IF($Q156="","",_xlfn.LET(
_xlpm._fullName,IF($R156="",SUBSTITUTE(SUBSTITUTE(INDIRECT($Q156),CHAR(10)," "),"  "," "),$R156),
_xlpm._truncatedName,IF(LEN(_xlpm._fullName)&gt;250,LEFT(_xlpm._fullName,250)&amp;"[…]",_xlpm._fullName),
HYPERLINK("#'"&amp;$I156&amp;"'!"&amp;$J156&amp;$K156,
_xlpm._truncatedName)))</f>
        <v>QA10a</v>
      </c>
      <c r="B156" s="106" t="str" cm="1">
        <f t="array" aca="1" ref="B156" ca="1">IF($A156="","",SimpleLookup($A156,Questions!$A:$B))</f>
        <v>Does the product communicate with an external system locally (e.g., a USB stick, an SD card, an RFID tag)?</v>
      </c>
      <c r="C156" s="107" t="s">
        <v>9</v>
      </c>
      <c r="D156" s="110" t="s">
        <v>1626</v>
      </c>
      <c r="E156" s="106" t="str" cm="1">
        <f t="array" aca="1" ref="E156" ca="1">_xlfn.LET(
_xlpm._options,IF($O156="","",SimpleLookup($O156,Questions!$A:$H)),
_xlpm._followUpStart,FIND($C156&amp;":",_xlpm._options)+LEN($C156&amp;":"),
_xlpm._followUpEnd,FIND(CHAR(10),_xlpm._options&amp;CHAR(10),_xlpm._followUpStart),
IF($C156="","",TRIM(MID(_xlpm._options,_xlpm._followUpStart,_xlpm._followUpEnd-_xlpm._followUpStart))))</f>
        <v>Is the external system considered as trustworthy? In case of several systems, consider the worst case.</v>
      </c>
      <c r="F156" s="107" t="s">
        <v>9</v>
      </c>
      <c r="G156" s="113" t="s">
        <v>1660</v>
      </c>
      <c r="H156" s="113" cm="1">
        <f t="array" aca="1" ref="H156" ca="1">CreateID($H$2,$A156&lt;&gt;"")</f>
        <v>26</v>
      </c>
      <c r="I156" s="9" t="str">
        <f t="shared" ca="1" si="25"/>
        <v>Questionnaire</v>
      </c>
      <c r="J156" s="9" t="str">
        <f t="shared" ca="1" si="26"/>
        <v>B</v>
      </c>
      <c r="K156" s="9" t="str">
        <f t="shared" ca="1" si="27"/>
        <v>46</v>
      </c>
      <c r="L156" s="9" cm="1">
        <f t="array" aca="1" ref="L156" ca="1">CreateID($L$2,$I156&lt;&gt;INDEX($I:$I,ROW()-1))</f>
        <v>51</v>
      </c>
      <c r="M156" s="9" t="str" cm="1">
        <f t="array" aca="1" ref="M156" ca="1">IF($Q156="","",INDIRECT($Q156))</f>
        <v>QA10a</v>
      </c>
      <c r="N156" s="9" t="str">
        <f t="shared" ca="1" si="28"/>
        <v>D</v>
      </c>
      <c r="O156" s="9" t="str">
        <f t="shared" ca="1" si="29"/>
        <v>QA10a</v>
      </c>
      <c r="Q156" s="2" t="str" cm="1">
        <f t="array" aca="1" ref="Q156" ca="1">CELL("address",Questionnaire!$B$46)</f>
        <v>'[QuBA-libre.xlsx]Questionnaire'!$B$46</v>
      </c>
    </row>
    <row r="157" spans="1:17" ht="135" x14ac:dyDescent="0.25">
      <c r="A157" s="108" t="str" cm="1">
        <f t="array" aca="1" ref="A157" ca="1">IF($Q157="","",_xlfn.LET(
_xlpm._fullName,IF($R157="",SUBSTITUTE(SUBSTITUTE(INDIRECT($Q157),CHAR(10)," "),"  "," "),$R157),
_xlpm._truncatedName,IF(LEN(_xlpm._fullName)&gt;250,LEFT(_xlpm._fullName,250)&amp;"[…]",_xlpm._fullName),
HYPERLINK("#'"&amp;$I157&amp;"'!"&amp;$J157&amp;$K157,
_xlpm._truncatedName)))</f>
        <v/>
      </c>
      <c r="B157" s="106" t="str" cm="1">
        <f t="array" aca="1" ref="B157" ca="1">IF($A157="","",SimpleLookup($A157,Questions!$A:$B))</f>
        <v/>
      </c>
      <c r="C157" s="107"/>
      <c r="D157" s="110"/>
      <c r="E157" s="106" t="str" cm="1">
        <f t="array" aca="1" ref="E157" ca="1">_xlfn.LET(
_xlpm._options,IF($O157="","",SimpleLookup($O157,Questions!$A:$H)),
_xlpm._followUpStart,FIND($C157&amp;":",_xlpm._options)+LEN($C157&amp;":"),
_xlpm._followUpEnd,FIND(CHAR(10),_xlpm._options&amp;CHAR(10),_xlpm._followUpStart),
IF($C157="","",TRIM(MID(_xlpm._options,_xlpm._followUpStart,_xlpm._followUpEnd-_xlpm._followUpStart))))</f>
        <v/>
      </c>
      <c r="F157" s="107" t="s">
        <v>10</v>
      </c>
      <c r="G157" s="113" t="s">
        <v>1661</v>
      </c>
      <c r="H157" s="113" cm="1">
        <f t="array" aca="1" ref="H157" ca="1">CreateID($H$2,$A157&lt;&gt;"")</f>
        <v>26</v>
      </c>
      <c r="I157" s="9" t="str">
        <f t="shared" si="25"/>
        <v/>
      </c>
      <c r="J157" s="9" t="str">
        <f t="shared" si="26"/>
        <v/>
      </c>
      <c r="K157" s="9" t="str">
        <f t="shared" si="27"/>
        <v/>
      </c>
      <c r="L157" s="9" cm="1">
        <f t="array" aca="1" ref="L157" ca="1">CreateID($L$2,$I157&lt;&gt;INDEX($I:$I,ROW()-1))</f>
        <v>52</v>
      </c>
      <c r="M157" s="9" t="str" cm="1">
        <f t="array" aca="1" ref="M157" ca="1">IF($Q157="","",INDIRECT($Q157))</f>
        <v/>
      </c>
      <c r="N157" s="9" t="str">
        <f t="shared" ca="1" si="28"/>
        <v>D</v>
      </c>
      <c r="O157" s="9" t="str">
        <f t="shared" ca="1" si="29"/>
        <v>QA10a</v>
      </c>
    </row>
    <row r="158" spans="1:17" ht="72" x14ac:dyDescent="0.25">
      <c r="A158" s="108" t="str" cm="1">
        <f t="array" aca="1" ref="A158" ca="1">IF($Q158="","",_xlfn.LET(
_xlpm._fullName,IF($R158="",SUBSTITUTE(SUBSTITUTE(INDIRECT($Q158),CHAR(10)," "),"  "," "),$R158),
_xlpm._truncatedName,IF(LEN(_xlpm._fullName)&gt;250,LEFT(_xlpm._fullName,250)&amp;"[…]",_xlpm._fullName),
HYPERLINK("#'"&amp;$I158&amp;"'!"&amp;$J158&amp;$K158,
_xlpm._truncatedName)))</f>
        <v/>
      </c>
      <c r="B158" s="106" t="str" cm="1">
        <f t="array" aca="1" ref="B158" ca="1">IF($A158="","",SimpleLookup($A158,Questions!$A:$B))</f>
        <v/>
      </c>
      <c r="C158" s="107" t="s">
        <v>10</v>
      </c>
      <c r="D158" s="110" t="s">
        <v>1627</v>
      </c>
      <c r="E158" s="106" t="str" cm="1">
        <f t="array" aca="1" ref="E158" ca="1">_xlfn.LET(
_xlpm._options,IF($O158="","",SimpleLookup($O158,Questions!$A:$H)),
_xlpm._followUpStart,FIND($C158&amp;":",_xlpm._options)+LEN($C158&amp;":"),
_xlpm._followUpEnd,FIND(CHAR(10),_xlpm._options&amp;CHAR(10),_xlpm._followUpStart),
IF($C158="","",TRIM(MID(_xlpm._options,_xlpm._followUpStart,_xlpm._followUpEnd-_xlpm._followUpStart))))</f>
        <v/>
      </c>
      <c r="F158" s="107"/>
      <c r="G158" s="113"/>
      <c r="H158" s="113" cm="1">
        <f t="array" aca="1" ref="H158" ca="1">CreateID($H$2,$A158&lt;&gt;"")</f>
        <v>26</v>
      </c>
      <c r="I158" s="9" t="str">
        <f t="shared" si="25"/>
        <v/>
      </c>
      <c r="J158" s="9" t="str">
        <f t="shared" si="26"/>
        <v/>
      </c>
      <c r="K158" s="9" t="str">
        <f t="shared" si="27"/>
        <v/>
      </c>
      <c r="L158" s="9" cm="1">
        <f t="array" aca="1" ref="L158" ca="1">CreateID($L$2,$I158&lt;&gt;INDEX($I:$I,ROW()-1))</f>
        <v>52</v>
      </c>
      <c r="M158" s="9" t="str" cm="1">
        <f t="array" aca="1" ref="M158" ca="1">IF($Q158="","",INDIRECT($Q158))</f>
        <v/>
      </c>
      <c r="N158" s="9" t="str">
        <f t="shared" ca="1" si="28"/>
        <v>D</v>
      </c>
      <c r="O158" s="9" t="str">
        <f t="shared" ca="1" si="29"/>
        <v>QA10a</v>
      </c>
    </row>
    <row r="159" spans="1:17" ht="144" x14ac:dyDescent="0.25">
      <c r="A159" s="108" t="str" cm="1">
        <f t="array" aca="1" ref="A159" ca="1">IF($Q159="","",_xlfn.LET(
_xlpm._fullName,IF($R159="",SUBSTITUTE(SUBSTITUTE(INDIRECT($Q159),CHAR(10)," "),"  "," "),$R159),
_xlpm._truncatedName,IF(LEN(_xlpm._fullName)&gt;250,LEFT(_xlpm._fullName,250)&amp;"[…]",_xlpm._fullName),
HYPERLINK("#'"&amp;$I159&amp;"'!"&amp;$J159&amp;$K159,
_xlpm._truncatedName)))</f>
        <v>QA10b</v>
      </c>
      <c r="B159" s="106" t="str" cm="1">
        <f t="array" aca="1" ref="B159" ca="1">IF($A159="","",SimpleLookup($A159,Questions!$A:$B))</f>
        <v>Does the product communicate with an external system on the Internet (e.g., an untrusted 3rd party backend, a &lt;&lt; OEM Name &gt;&gt; cloud service, a &lt;&lt; OEM Name &gt;&gt; server system)?</v>
      </c>
      <c r="C159" s="107" t="s">
        <v>9</v>
      </c>
      <c r="D159" s="110" t="s">
        <v>1628</v>
      </c>
      <c r="E159" s="106" t="str" cm="1">
        <f t="array" aca="1" ref="E159" ca="1">_xlfn.LET(
_xlpm._options,IF($O159="","",SimpleLookup($O159,Questions!$A:$H)),
_xlpm._followUpStart,FIND($C159&amp;":",_xlpm._options)+LEN($C159&amp;":"),
_xlpm._followUpEnd,FIND(CHAR(10),_xlpm._options&amp;CHAR(10),_xlpm._followUpStart),
IF($C159="","",TRIM(MID(_xlpm._options,_xlpm._followUpStart,_xlpm._followUpEnd-_xlpm._followUpStart))))</f>
        <v>Is the external system considered as trustworthy? In case of several systems, consider the worst case.</v>
      </c>
      <c r="F159" s="107" t="s">
        <v>9</v>
      </c>
      <c r="G159" s="113" t="str">
        <f>"(1) Yes, if the external system is:
* operated by the same organization (e.g., "&amp;Definitions!$C$4&amp;"  / vendor backend or controlled service)
* secured and managed within a defined trust relationship
* accessed using authenticated and protected communication"&amp;"
Examples:
* vendor-operated cloud services
* managed backend infrastructure
* trusted partner systems"</f>
        <v>(1) Yes, if the external system is:
* operated by the same organization (e.g., &lt;&lt; OEM Name &gt;&gt;  / vendor backend or controlled service)
* secured and managed within a defined trust relationship
* accessed using authenticated and protected communication
Examples:
* vendor-operated cloud services
* managed backend infrastructure
* trusted partner systems</v>
      </c>
      <c r="H159" s="113" cm="1">
        <f t="array" aca="1" ref="H159" ca="1">CreateID($H$2,$A159&lt;&gt;"")</f>
        <v>27</v>
      </c>
      <c r="I159" s="9" t="str">
        <f t="shared" ca="1" si="25"/>
        <v>Questionnaire</v>
      </c>
      <c r="J159" s="9" t="str">
        <f t="shared" ca="1" si="26"/>
        <v>B</v>
      </c>
      <c r="K159" s="9" t="str">
        <f t="shared" ca="1" si="27"/>
        <v>47</v>
      </c>
      <c r="L159" s="9" cm="1">
        <f t="array" aca="1" ref="L159" ca="1">CreateID($L$2,$I159&lt;&gt;INDEX($I:$I,ROW()-1))</f>
        <v>53</v>
      </c>
      <c r="M159" s="9" t="str" cm="1">
        <f t="array" aca="1" ref="M159" ca="1">IF($Q159="","",INDIRECT($Q159))</f>
        <v>QA10b</v>
      </c>
      <c r="N159" s="9" t="str">
        <f t="shared" ca="1" si="28"/>
        <v>L</v>
      </c>
      <c r="O159" s="9" t="str">
        <f t="shared" ca="1" si="29"/>
        <v>QA10b</v>
      </c>
      <c r="Q159" s="2" t="str" cm="1">
        <f t="array" aca="1" ref="Q159" ca="1">CELL("address",Questionnaire!$B$47)</f>
        <v>'[QuBA-libre.xlsx]Questionnaire'!$B$47</v>
      </c>
    </row>
    <row r="160" spans="1:17" ht="56.25" x14ac:dyDescent="0.25">
      <c r="A160" s="108" t="str" cm="1">
        <f t="array" aca="1" ref="A160" ca="1">IF($Q160="","",_xlfn.LET(
_xlpm._fullName,IF($R160="",SUBSTITUTE(SUBSTITUTE(INDIRECT($Q160),CHAR(10)," "),"  "," "),$R160),
_xlpm._truncatedName,IF(LEN(_xlpm._fullName)&gt;250,LEFT(_xlpm._fullName,250)&amp;"[…]",_xlpm._fullName),
HYPERLINK("#'"&amp;$I160&amp;"'!"&amp;$J160&amp;$K160,
_xlpm._truncatedName)))</f>
        <v/>
      </c>
      <c r="B160" s="106" t="str" cm="1">
        <f t="array" aca="1" ref="B160" ca="1">IF($A160="","",SimpleLookup($A160,Questions!$A:$B))</f>
        <v/>
      </c>
      <c r="C160" s="107"/>
      <c r="D160" s="110"/>
      <c r="E160" s="106" t="str" cm="1">
        <f t="array" aca="1" ref="E160" ca="1">_xlfn.LET(
_xlpm._options,IF($O160="","",SimpleLookup($O160,Questions!$A:$H)),
_xlpm._followUpStart,FIND($C160&amp;":",_xlpm._options)+LEN($C160&amp;":"),
_xlpm._followUpEnd,FIND(CHAR(10),_xlpm._options&amp;CHAR(10),_xlpm._followUpStart),
IF($C160="","",TRIM(MID(_xlpm._options,_xlpm._followUpStart,_xlpm._followUpEnd-_xlpm._followUpStart))))</f>
        <v/>
      </c>
      <c r="F160" s="107" t="s">
        <v>10</v>
      </c>
      <c r="G160" s="113" t="s">
        <v>1662</v>
      </c>
      <c r="H160" s="113" cm="1">
        <f t="array" aca="1" ref="H160" ca="1">CreateID($H$2,$A160&lt;&gt;"")</f>
        <v>27</v>
      </c>
      <c r="I160" s="9" t="str">
        <f t="shared" si="25"/>
        <v/>
      </c>
      <c r="J160" s="9" t="str">
        <f t="shared" si="26"/>
        <v/>
      </c>
      <c r="K160" s="9" t="str">
        <f t="shared" si="27"/>
        <v/>
      </c>
      <c r="L160" s="9" cm="1">
        <f t="array" aca="1" ref="L160" ca="1">CreateID($L$2,$I160&lt;&gt;INDEX($I:$I,ROW()-1))</f>
        <v>54</v>
      </c>
      <c r="M160" s="9" t="str" cm="1">
        <f t="array" aca="1" ref="M160" ca="1">IF($Q160="","",INDIRECT($Q160))</f>
        <v/>
      </c>
      <c r="N160" s="9" t="str">
        <f t="shared" ca="1" si="28"/>
        <v>L</v>
      </c>
      <c r="O160" s="9" t="str">
        <f t="shared" ca="1" si="29"/>
        <v>QA10b</v>
      </c>
    </row>
    <row r="161" spans="1:17" ht="48" x14ac:dyDescent="0.25">
      <c r="A161" s="108" t="str" cm="1">
        <f t="array" aca="1" ref="A161" ca="1">IF($Q161="","",_xlfn.LET(
_xlpm._fullName,IF($R161="",SUBSTITUTE(SUBSTITUTE(INDIRECT($Q161),CHAR(10)," "),"  "," "),$R161),
_xlpm._truncatedName,IF(LEN(_xlpm._fullName)&gt;250,LEFT(_xlpm._fullName,250)&amp;"[…]",_xlpm._fullName),
HYPERLINK("#'"&amp;$I161&amp;"'!"&amp;$J161&amp;$K161,
_xlpm._truncatedName)))</f>
        <v/>
      </c>
      <c r="B161" s="106" t="str" cm="1">
        <f t="array" aca="1" ref="B161" ca="1">IF($A161="","",SimpleLookup($A161,Questions!$A:$B))</f>
        <v/>
      </c>
      <c r="C161" s="107" t="s">
        <v>10</v>
      </c>
      <c r="D161" s="110" t="s">
        <v>1629</v>
      </c>
      <c r="E161" s="106" t="str" cm="1">
        <f t="array" aca="1" ref="E161" ca="1">_xlfn.LET(
_xlpm._options,IF($O161="","",SimpleLookup($O161,Questions!$A:$H)),
_xlpm._followUpStart,FIND($C161&amp;":",_xlpm._options)+LEN($C161&amp;":"),
_xlpm._followUpEnd,FIND(CHAR(10),_xlpm._options&amp;CHAR(10),_xlpm._followUpStart),
IF($C161="","",TRIM(MID(_xlpm._options,_xlpm._followUpStart,_xlpm._followUpEnd-_xlpm._followUpStart))))</f>
        <v/>
      </c>
      <c r="F161" s="107"/>
      <c r="G161" s="113"/>
      <c r="H161" s="113" cm="1">
        <f t="array" aca="1" ref="H161" ca="1">CreateID($H$2,$A161&lt;&gt;"")</f>
        <v>27</v>
      </c>
      <c r="I161" s="9" t="str">
        <f t="shared" si="25"/>
        <v/>
      </c>
      <c r="J161" s="9" t="str">
        <f t="shared" si="26"/>
        <v/>
      </c>
      <c r="K161" s="9" t="str">
        <f t="shared" si="27"/>
        <v/>
      </c>
      <c r="L161" s="9" cm="1">
        <f t="array" aca="1" ref="L161" ca="1">CreateID($L$2,$I161&lt;&gt;INDEX($I:$I,ROW()-1))</f>
        <v>54</v>
      </c>
      <c r="M161" s="9" t="str" cm="1">
        <f t="array" aca="1" ref="M161" ca="1">IF($Q161="","",INDIRECT($Q161))</f>
        <v/>
      </c>
      <c r="N161" s="9" t="str">
        <f t="shared" ca="1" si="28"/>
        <v>L</v>
      </c>
      <c r="O161" s="9" t="str">
        <f t="shared" ca="1" si="29"/>
        <v>QA10b</v>
      </c>
    </row>
    <row r="162" spans="1:17" ht="132" x14ac:dyDescent="0.25">
      <c r="A162" s="108" t="str" cm="1">
        <f t="array" aca="1" ref="A162" ca="1">IF($Q162="","",_xlfn.LET(
_xlpm._fullName,IF($R162="",SUBSTITUTE(SUBSTITUTE(INDIRECT($Q162),CHAR(10)," "),"  "," "),$R162),
_xlpm._truncatedName,IF(LEN(_xlpm._fullName)&gt;250,LEFT(_xlpm._fullName,250)&amp;"[…]",_xlpm._fullName),
HYPERLINK("#'"&amp;$I162&amp;"'!"&amp;$J162&amp;$K162,
_xlpm._truncatedName)))</f>
        <v>QA11a</v>
      </c>
      <c r="B162" s="106" t="str" cm="1">
        <f t="array" aca="1" ref="B162" ca="1">IF($A162="","",SimpleLookup($A162,Questions!$A:$B))</f>
        <v>Can the product's software be updated over an interface?</v>
      </c>
      <c r="C162" s="107" t="s">
        <v>9</v>
      </c>
      <c r="D162" s="110" t="s">
        <v>1630</v>
      </c>
      <c r="E162" s="106" t="str" cm="1">
        <f t="array" aca="1" ref="E162" ca="1">_xlfn.LET(
_xlpm._options,IF($O162="","",SimpleLookup($O162,Questions!$A:$H)),
_xlpm._followUpStart,FIND($C162&amp;":",_xlpm._options)+LEN($C162&amp;":"),
_xlpm._followUpEnd,FIND(CHAR(10),_xlpm._options&amp;CHAR(10),_xlpm._followUpStart),
IF($C162="","",TRIM(MID(_xlpm._options,_xlpm._followUpStart,_xlpm._followUpEnd-_xlpm._followUpStart))))</f>
        <v>Does the software originate from a trustworthy source (e.g., the &lt;&lt; OEM Name &gt;&gt; backend, potentially over multiple communication media)?</v>
      </c>
      <c r="F162" s="107" t="s">
        <v>9</v>
      </c>
      <c r="G162" s="113" t="str">
        <f>"(1) Yes, if updates originate from a trusted and controlled source, for example:
* "&amp;Definitions!$C$4&amp;" / vendor backend infrastructure
* authenticated update servers
* firmware packages provided and verified by the manufacturer ("&amp;Definitions!$C$4&amp;")
* update packages validated via signatures or integrity checks"</f>
        <v>(1) Yes, if updates originate from a trusted and controlled source, for example:
* &lt;&lt; OEM Name &gt;&gt; / vendor backend infrastructure
* authenticated update servers
* firmware packages provided and verified by the manufacturer (&lt;&lt; OEM Name &gt;&gt;)
* update packages validated via signatures or integrity checks</v>
      </c>
      <c r="H162" s="113" cm="1">
        <f t="array" aca="1" ref="H162" ca="1">CreateID($H$2,$A162&lt;&gt;"")</f>
        <v>28</v>
      </c>
      <c r="I162" s="9" t="str">
        <f t="shared" ca="1" si="25"/>
        <v>Questionnaire</v>
      </c>
      <c r="J162" s="9" t="str">
        <f t="shared" ca="1" si="26"/>
        <v>B</v>
      </c>
      <c r="K162" s="9" t="str">
        <f t="shared" ca="1" si="27"/>
        <v>48</v>
      </c>
      <c r="L162" s="9" cm="1">
        <f t="array" aca="1" ref="L162" ca="1">CreateID($L$2,$I162&lt;&gt;INDEX($I:$I,ROW()-1))</f>
        <v>55</v>
      </c>
      <c r="M162" s="9" t="str" cm="1">
        <f t="array" aca="1" ref="M162" ca="1">IF($Q162="","",INDIRECT($Q162))</f>
        <v>QA11a</v>
      </c>
      <c r="N162" s="9" t="str">
        <f t="shared" ca="1" si="28"/>
        <v>D</v>
      </c>
      <c r="O162" s="9" t="str">
        <f t="shared" ca="1" si="29"/>
        <v>QA11a</v>
      </c>
      <c r="Q162" s="2" t="str" cm="1">
        <f t="array" aca="1" ref="Q162" ca="1">CELL("address",Questionnaire!$B$48)</f>
        <v>'[QuBA-libre.xlsx]Questionnaire'!$B$48</v>
      </c>
    </row>
    <row r="163" spans="1:17" ht="45" x14ac:dyDescent="0.25">
      <c r="A163" s="108" t="str" cm="1">
        <f t="array" aca="1" ref="A163" ca="1">IF($Q163="","",_xlfn.LET(
_xlpm._fullName,IF($R163="",SUBSTITUTE(SUBSTITUTE(INDIRECT($Q163),CHAR(10)," "),"  "," "),$R163),
_xlpm._truncatedName,IF(LEN(_xlpm._fullName)&gt;250,LEFT(_xlpm._fullName,250)&amp;"[…]",_xlpm._fullName),
HYPERLINK("#'"&amp;$I163&amp;"'!"&amp;$J163&amp;$K163,
_xlpm._truncatedName)))</f>
        <v/>
      </c>
      <c r="B163" s="106" t="str" cm="1">
        <f t="array" aca="1" ref="B163" ca="1">IF($A163="","",SimpleLookup($A163,Questions!$A:$B))</f>
        <v/>
      </c>
      <c r="C163" s="107"/>
      <c r="D163" s="110"/>
      <c r="E163" s="106" t="str" cm="1">
        <f t="array" aca="1" ref="E163" ca="1">_xlfn.LET(
_xlpm._options,IF($O163="","",SimpleLookup($O163,Questions!$A:$H)),
_xlpm._followUpStart,FIND($C163&amp;":",_xlpm._options)+LEN($C163&amp;":"),
_xlpm._followUpEnd,FIND(CHAR(10),_xlpm._options&amp;CHAR(10),_xlpm._followUpStart),
IF($C163="","",TRIM(MID(_xlpm._options,_xlpm._followUpStart,_xlpm._followUpEnd-_xlpm._followUpStart))))</f>
        <v/>
      </c>
      <c r="F163" s="107" t="s">
        <v>10</v>
      </c>
      <c r="G163" s="113" t="s">
        <v>1663</v>
      </c>
      <c r="H163" s="113" cm="1">
        <f t="array" aca="1" ref="H163" ca="1">CreateID($H$2,$A163&lt;&gt;"")</f>
        <v>28</v>
      </c>
      <c r="I163" s="9" t="str">
        <f t="shared" ref="I163:I192" si="30">IF($Q163="","",_xlfn.LET(
_xlpm._in,$Q163,
_xlpm._start,FIND("]",_xlpm._in)+1,
SUBSTITUTE(MID(_xlpm._in,_xlpm._start,FIND("!",_xlpm._in)-_xlpm._start),"'","")))</f>
        <v/>
      </c>
      <c r="J163" s="9" t="str">
        <f t="shared" ref="J163:J192" si="31">IF($Q163="","",_xlfn.LET(
_xlpm._in,SUBSTITUTE($Q163,"$","§",1),
_xlpm._start,FIND("§",_xlpm._in)+1,
SUBSTITUTE(MID(_xlpm._in,_xlpm._start,FIND("$",_xlpm._in)-_xlpm._start),"'","")))</f>
        <v/>
      </c>
      <c r="K163" s="9" t="str">
        <f t="shared" ref="K163:K192" si="32">IF($Q163="","",RIGHT($Q163,LEN($Q163)-FIND("$",SUBSTITUTE($Q163,"$","§",1))))</f>
        <v/>
      </c>
      <c r="L163" s="9" cm="1">
        <f t="array" aca="1" ref="L163" ca="1">CreateID($L$2,$I163&lt;&gt;INDEX($I:$I,ROW()-1))</f>
        <v>56</v>
      </c>
      <c r="M163" s="9" t="str" cm="1">
        <f t="array" aca="1" ref="M163" ca="1">IF($Q163="","",INDIRECT($Q163))</f>
        <v/>
      </c>
      <c r="N163" s="9" t="str">
        <f t="shared" ref="N163:N192" ca="1" si="33">IF(MOD($H163,2)=0,"D","L")</f>
        <v>D</v>
      </c>
      <c r="O163" s="9" t="str">
        <f t="shared" ref="O163:O192" ca="1" si="34">IF($A163="",OFFSET($O163,-1,0),$A163)</f>
        <v>QA11a</v>
      </c>
    </row>
    <row r="164" spans="1:17" ht="60" x14ac:dyDescent="0.25">
      <c r="A164" s="108" t="str" cm="1">
        <f t="array" aca="1" ref="A164" ca="1">IF($Q164="","",_xlfn.LET(
_xlpm._fullName,IF($R164="",SUBSTITUTE(SUBSTITUTE(INDIRECT($Q164),CHAR(10)," "),"  "," "),$R164),
_xlpm._truncatedName,IF(LEN(_xlpm._fullName)&gt;250,LEFT(_xlpm._fullName,250)&amp;"[…]",_xlpm._fullName),
HYPERLINK("#'"&amp;$I164&amp;"'!"&amp;$J164&amp;$K164,
_xlpm._truncatedName)))</f>
        <v/>
      </c>
      <c r="B164" s="106" t="str" cm="1">
        <f t="array" aca="1" ref="B164" ca="1">IF($A164="","",SimpleLookup($A164,Questions!$A:$B))</f>
        <v/>
      </c>
      <c r="C164" s="107" t="s">
        <v>10</v>
      </c>
      <c r="D164" s="110" t="s">
        <v>1631</v>
      </c>
      <c r="E164" s="106" t="str" cm="1">
        <f t="array" aca="1" ref="E164" ca="1">_xlfn.LET(
_xlpm._options,IF($O164="","",SimpleLookup($O164,Questions!$A:$H)),
_xlpm._followUpStart,FIND($C164&amp;":",_xlpm._options)+LEN($C164&amp;":"),
_xlpm._followUpEnd,FIND(CHAR(10),_xlpm._options&amp;CHAR(10),_xlpm._followUpStart),
IF($C164="","",TRIM(MID(_xlpm._options,_xlpm._followUpStart,_xlpm._followUpEnd-_xlpm._followUpStart))))</f>
        <v/>
      </c>
      <c r="F164" s="107"/>
      <c r="G164" s="113"/>
      <c r="H164" s="113" cm="1">
        <f t="array" aca="1" ref="H164" ca="1">CreateID($H$2,$A164&lt;&gt;"")</f>
        <v>28</v>
      </c>
      <c r="I164" s="9" t="str">
        <f t="shared" si="30"/>
        <v/>
      </c>
      <c r="J164" s="9" t="str">
        <f t="shared" si="31"/>
        <v/>
      </c>
      <c r="K164" s="9" t="str">
        <f t="shared" si="32"/>
        <v/>
      </c>
      <c r="L164" s="9" cm="1">
        <f t="array" aca="1" ref="L164" ca="1">CreateID($L$2,$I164&lt;&gt;INDEX($I:$I,ROW()-1))</f>
        <v>56</v>
      </c>
      <c r="M164" s="9" t="str" cm="1">
        <f t="array" aca="1" ref="M164" ca="1">IF($Q164="","",INDIRECT($Q164))</f>
        <v/>
      </c>
      <c r="N164" s="9" t="str">
        <f t="shared" ca="1" si="33"/>
        <v>D</v>
      </c>
      <c r="O164" s="9" t="str">
        <f t="shared" ca="1" si="34"/>
        <v>QA11a</v>
      </c>
    </row>
    <row r="165" spans="1:17" ht="48" x14ac:dyDescent="0.25">
      <c r="A165" s="108" t="str" cm="1">
        <f t="array" aca="1" ref="A165" ca="1">IF($Q165="","",_xlfn.LET(
_xlpm._fullName,IF($R165="",SUBSTITUTE(SUBSTITUTE(INDIRECT($Q165),CHAR(10)," "),"  "," "),$R165),
_xlpm._truncatedName,IF(LEN(_xlpm._fullName)&gt;250,LEFT(_xlpm._fullName,250)&amp;"[…]",_xlpm._fullName),
HYPERLINK("#'"&amp;$I165&amp;"'!"&amp;$J165&amp;$K165,
_xlpm._truncatedName)))</f>
        <v>QA11b</v>
      </c>
      <c r="B165" s="106" t="str" cm="1">
        <f t="array" aca="1" ref="B165" ca="1">IF($A165="","",SimpleLookup($A165,Questions!$A:$B))</f>
        <v>Are software updates in the field (regularly or event-based) planned?</v>
      </c>
      <c r="C165" s="107" t="s">
        <v>9</v>
      </c>
      <c r="D165" s="110" t="s">
        <v>1632</v>
      </c>
      <c r="E165" s="106" t="str" cm="1">
        <f t="array" aca="1" ref="E165" ca="1">_xlfn.LET(
_xlpm._options,IF($O165="","",SimpleLookup($O165,Questions!$A:$H)),
_xlpm._followUpStart,FIND($C165&amp;":",_xlpm._options)+LEN($C165&amp;":"),
_xlpm._followUpEnd,FIND(CHAR(10),_xlpm._options&amp;CHAR(10),_xlpm._followUpStart),
IF($C165="","",TRIM(MID(_xlpm._options,_xlpm._followUpStart,_xlpm._followUpEnd-_xlpm._followUpStart))))</f>
        <v/>
      </c>
      <c r="F165" s="107"/>
      <c r="G165" s="113"/>
      <c r="H165" s="113" cm="1">
        <f t="array" aca="1" ref="H165" ca="1">CreateID($H$2,$A165&lt;&gt;"")</f>
        <v>29</v>
      </c>
      <c r="I165" s="9" t="str">
        <f t="shared" ca="1" si="30"/>
        <v>Questionnaire</v>
      </c>
      <c r="J165" s="9" t="str">
        <f t="shared" ca="1" si="31"/>
        <v>B</v>
      </c>
      <c r="K165" s="9" t="str">
        <f t="shared" ca="1" si="32"/>
        <v>49</v>
      </c>
      <c r="L165" s="9" cm="1">
        <f t="array" aca="1" ref="L165" ca="1">CreateID($L$2,$I165&lt;&gt;INDEX($I:$I,ROW()-1))</f>
        <v>57</v>
      </c>
      <c r="M165" s="9" t="str" cm="1">
        <f t="array" aca="1" ref="M165" ca="1">IF($Q165="","",INDIRECT($Q165))</f>
        <v>QA11b</v>
      </c>
      <c r="N165" s="9" t="str">
        <f t="shared" ca="1" si="33"/>
        <v>L</v>
      </c>
      <c r="O165" s="9" t="str">
        <f t="shared" ca="1" si="34"/>
        <v>QA11b</v>
      </c>
      <c r="Q165" s="2" t="str" cm="1">
        <f t="array" aca="1" ref="Q165" ca="1">CELL("address",Questionnaire!$B$49)</f>
        <v>'[QuBA-libre.xlsx]Questionnaire'!$B$49</v>
      </c>
    </row>
    <row r="166" spans="1:17" ht="60" x14ac:dyDescent="0.25">
      <c r="A166" s="108" t="str" cm="1">
        <f t="array" aca="1" ref="A166" ca="1">IF($Q166="","",_xlfn.LET(
_xlpm._fullName,IF($R166="",SUBSTITUTE(SUBSTITUTE(INDIRECT($Q166),CHAR(10)," "),"  "," "),$R166),
_xlpm._truncatedName,IF(LEN(_xlpm._fullName)&gt;250,LEFT(_xlpm._fullName,250)&amp;"[…]",_xlpm._fullName),
HYPERLINK("#'"&amp;$I166&amp;"'!"&amp;$J166&amp;$K166,
_xlpm._truncatedName)))</f>
        <v/>
      </c>
      <c r="B166" s="106" t="str" cm="1">
        <f t="array" aca="1" ref="B166" ca="1">IF($A166="","",SimpleLookup($A166,Questions!$A:$B))</f>
        <v/>
      </c>
      <c r="C166" s="107" t="s">
        <v>10</v>
      </c>
      <c r="D166" s="110" t="s">
        <v>1633</v>
      </c>
      <c r="E166" s="106" t="str" cm="1">
        <f t="array" aca="1" ref="E166" ca="1">_xlfn.LET(
_xlpm._options,IF($O166="","",SimpleLookup($O166,Questions!$A:$H)),
_xlpm._followUpStart,FIND($C166&amp;":",_xlpm._options)+LEN($C166&amp;":"),
_xlpm._followUpEnd,FIND(CHAR(10),_xlpm._options&amp;CHAR(10),_xlpm._followUpStart),
IF($C166="","",TRIM(MID(_xlpm._options,_xlpm._followUpStart,_xlpm._followUpEnd-_xlpm._followUpStart))))</f>
        <v>Will the product be exchanged to handle vulnerabilities or security incidents?</v>
      </c>
      <c r="F166" s="107" t="s">
        <v>9</v>
      </c>
      <c r="G166" s="113" t="s">
        <v>1664</v>
      </c>
      <c r="H166" s="113" cm="1">
        <f t="array" aca="1" ref="H166" ca="1">CreateID($H$2,$A166&lt;&gt;"")</f>
        <v>29</v>
      </c>
      <c r="I166" s="9" t="str">
        <f t="shared" si="30"/>
        <v/>
      </c>
      <c r="J166" s="9" t="str">
        <f t="shared" si="31"/>
        <v/>
      </c>
      <c r="K166" s="9" t="str">
        <f t="shared" si="32"/>
        <v/>
      </c>
      <c r="L166" s="9" cm="1">
        <f t="array" aca="1" ref="L166" ca="1">CreateID($L$2,$I166&lt;&gt;INDEX($I:$I,ROW()-1))</f>
        <v>58</v>
      </c>
      <c r="M166" s="9" t="str" cm="1">
        <f t="array" aca="1" ref="M166" ca="1">IF($Q166="","",INDIRECT($Q166))</f>
        <v/>
      </c>
      <c r="N166" s="9" t="str">
        <f t="shared" ca="1" si="33"/>
        <v>L</v>
      </c>
      <c r="O166" s="9" t="str">
        <f t="shared" ca="1" si="34"/>
        <v>QA11b</v>
      </c>
    </row>
    <row r="167" spans="1:17" ht="45" x14ac:dyDescent="0.25">
      <c r="A167" s="108" t="str" cm="1">
        <f t="array" aca="1" ref="A167" ca="1">IF($Q167="","",_xlfn.LET(
_xlpm._fullName,IF($R167="",SUBSTITUTE(SUBSTITUTE(INDIRECT($Q167),CHAR(10)," "),"  "," "),$R167),
_xlpm._truncatedName,IF(LEN(_xlpm._fullName)&gt;250,LEFT(_xlpm._fullName,250)&amp;"[…]",_xlpm._fullName),
HYPERLINK("#'"&amp;$I167&amp;"'!"&amp;$J167&amp;$K167,
_xlpm._truncatedName)))</f>
        <v/>
      </c>
      <c r="B167" s="106" t="str" cm="1">
        <f t="array" aca="1" ref="B167" ca="1">IF($A167="","",SimpleLookup($A167,Questions!$A:$B))</f>
        <v/>
      </c>
      <c r="C167" s="107"/>
      <c r="D167" s="110"/>
      <c r="E167" s="106" t="str" cm="1">
        <f t="array" aca="1" ref="E167" ca="1">_xlfn.LET(
_xlpm._options,IF($O167="","",SimpleLookup($O167,Questions!$A:$H)),
_xlpm._followUpStart,FIND($C167&amp;":",_xlpm._options)+LEN($C167&amp;":"),
_xlpm._followUpEnd,FIND(CHAR(10),_xlpm._options&amp;CHAR(10),_xlpm._followUpStart),
IF($C167="","",TRIM(MID(_xlpm._options,_xlpm._followUpStart,_xlpm._followUpEnd-_xlpm._followUpStart))))</f>
        <v/>
      </c>
      <c r="F167" s="107" t="s">
        <v>10</v>
      </c>
      <c r="G167" s="113" t="s">
        <v>1665</v>
      </c>
      <c r="H167" s="113" cm="1">
        <f t="array" aca="1" ref="H167" ca="1">CreateID($H$2,$A167&lt;&gt;"")</f>
        <v>29</v>
      </c>
      <c r="I167" s="9" t="str">
        <f t="shared" si="30"/>
        <v/>
      </c>
      <c r="J167" s="9" t="str">
        <f t="shared" si="31"/>
        <v/>
      </c>
      <c r="K167" s="9" t="str">
        <f t="shared" si="32"/>
        <v/>
      </c>
      <c r="L167" s="9" cm="1">
        <f t="array" aca="1" ref="L167" ca="1">CreateID($L$2,$I167&lt;&gt;INDEX($I:$I,ROW()-1))</f>
        <v>58</v>
      </c>
      <c r="M167" s="9" t="str" cm="1">
        <f t="array" aca="1" ref="M167" ca="1">IF($Q167="","",INDIRECT($Q167))</f>
        <v/>
      </c>
      <c r="N167" s="9" t="str">
        <f t="shared" ca="1" si="33"/>
        <v>L</v>
      </c>
      <c r="O167" s="9" t="str">
        <f t="shared" ca="1" si="34"/>
        <v>QA11b</v>
      </c>
    </row>
    <row r="168" spans="1:17" ht="360" x14ac:dyDescent="0.25">
      <c r="A168" s="108" t="str" cm="1">
        <f t="array" aca="1" ref="A168" ca="1">IF($Q168="","",_xlfn.LET(
_xlpm._fullName,IF($R168="",SUBSTITUTE(SUBSTITUTE(INDIRECT($Q168),CHAR(10)," "),"  "," "),$R168),
_xlpm._truncatedName,IF(LEN(_xlpm._fullName)&gt;250,LEFT(_xlpm._fullName,250)&amp;"[…]",_xlpm._fullName),
HYPERLINK("#'"&amp;$I168&amp;"'!"&amp;$J168&amp;$K168,
_xlpm._truncatedName)))</f>
        <v>QA12</v>
      </c>
      <c r="B168" s="106" t="str" cm="1">
        <f t="array" aca="1" ref="B168" ca="1">IF($A168="","",SimpleLookup($A168,Questions!$A:$B))</f>
        <v>Does the product have a logical connection to a local network over a gateway?</v>
      </c>
      <c r="C168" s="107" t="s">
        <v>9</v>
      </c>
      <c r="D168" s="110" t="s">
        <v>1634</v>
      </c>
      <c r="E168" s="106" t="str" cm="1">
        <f t="array" aca="1" ref="E168" ca="1">_xlfn.LET(
_xlpm._options,IF($O168="","",SimpleLookup($O168,Questions!$A:$H)),
_xlpm._followUpStart,FIND($C168&amp;":",_xlpm._options)+LEN($C168&amp;":"),
_xlpm._followUpEnd,FIND(CHAR(10),_xlpm._options&amp;CHAR(10),_xlpm._followUpStart),
IF($C168="","",TRIM(MID(_xlpm._options,_xlpm._followUpStart,_xlpm._followUpEnd-_xlpm._followUpStart))))</f>
        <v>Are the local network and the gateway considered as trustworthy?</v>
      </c>
      <c r="F168" s="107"/>
      <c r="G168" s="113" t="s">
        <v>1666</v>
      </c>
      <c r="H168" s="113" cm="1">
        <f t="array" aca="1" ref="H168" ca="1">CreateID($H$2,$A168&lt;&gt;"")</f>
        <v>30</v>
      </c>
      <c r="I168" s="9" t="str">
        <f t="shared" ca="1" si="30"/>
        <v>Questionnaire</v>
      </c>
      <c r="J168" s="9" t="str">
        <f t="shared" ca="1" si="31"/>
        <v>B</v>
      </c>
      <c r="K168" s="9" t="str">
        <f t="shared" ca="1" si="32"/>
        <v>50</v>
      </c>
      <c r="L168" s="9" cm="1">
        <f t="array" aca="1" ref="L168" ca="1">CreateID($L$2,$I168&lt;&gt;INDEX($I:$I,ROW()-1))</f>
        <v>59</v>
      </c>
      <c r="M168" s="9" t="str" cm="1">
        <f t="array" aca="1" ref="M168" ca="1">IF($Q168="","",INDIRECT($Q168))</f>
        <v>QA12</v>
      </c>
      <c r="N168" s="9" t="str">
        <f t="shared" ca="1" si="33"/>
        <v>D</v>
      </c>
      <c r="O168" s="9" t="str">
        <f t="shared" ca="1" si="34"/>
        <v>QA12</v>
      </c>
      <c r="Q168" s="2" t="str" cm="1">
        <f t="array" aca="1" ref="Q168" ca="1">CELL("address",Questionnaire!$B$50)</f>
        <v>'[QuBA-libre.xlsx]Questionnaire'!$B$50</v>
      </c>
    </row>
    <row r="169" spans="1:17" ht="146.25" x14ac:dyDescent="0.25">
      <c r="A169" s="108" t="str" cm="1">
        <f t="array" aca="1" ref="A169" ca="1">IF($Q169="","",_xlfn.LET(
_xlpm._fullName,IF($R169="",SUBSTITUTE(SUBSTITUTE(INDIRECT($Q169),CHAR(10)," "),"  "," "),$R169),
_xlpm._truncatedName,IF(LEN(_xlpm._fullName)&gt;250,LEFT(_xlpm._fullName,250)&amp;"[…]",_xlpm._fullName),
HYPERLINK("#'"&amp;$I169&amp;"'!"&amp;$J169&amp;$K169,
_xlpm._truncatedName)))</f>
        <v/>
      </c>
      <c r="B169" s="106" t="str" cm="1">
        <f t="array" aca="1" ref="B169" ca="1">IF($A169="","",SimpleLookup($A169,Questions!$A:$B))</f>
        <v/>
      </c>
      <c r="C169" s="107"/>
      <c r="D169" s="110"/>
      <c r="E169" s="106" t="str" cm="1">
        <f t="array" aca="1" ref="E169" ca="1">_xlfn.LET(
_xlpm._options,IF($O169="","",SimpleLookup($O169,Questions!$A:$H)),
_xlpm._followUpStart,FIND($C169&amp;":",_xlpm._options)+LEN($C169&amp;":"),
_xlpm._followUpEnd,FIND(CHAR(10),_xlpm._options&amp;CHAR(10),_xlpm._followUpStart),
IF($C169="","",TRIM(MID(_xlpm._options,_xlpm._followUpStart,_xlpm._followUpEnd-_xlpm._followUpStart))))</f>
        <v/>
      </c>
      <c r="F169" s="107" t="s">
        <v>9</v>
      </c>
      <c r="G169" s="113" t="s">
        <v>1667</v>
      </c>
      <c r="H169" s="113" cm="1">
        <f t="array" aca="1" ref="H169" ca="1">CreateID($H$2,$A169&lt;&gt;"")</f>
        <v>30</v>
      </c>
      <c r="I169" s="9" t="str">
        <f t="shared" si="30"/>
        <v/>
      </c>
      <c r="J169" s="9" t="str">
        <f t="shared" si="31"/>
        <v/>
      </c>
      <c r="K169" s="9" t="str">
        <f t="shared" si="32"/>
        <v/>
      </c>
      <c r="L169" s="9" cm="1">
        <f t="array" aca="1" ref="L169" ca="1">CreateID($L$2,$I169&lt;&gt;INDEX($I:$I,ROW()-1))</f>
        <v>60</v>
      </c>
      <c r="M169" s="9" t="str" cm="1">
        <f t="array" aca="1" ref="M169" ca="1">IF($Q169="","",INDIRECT($Q169))</f>
        <v/>
      </c>
      <c r="N169" s="9" t="str">
        <f t="shared" ca="1" si="33"/>
        <v>D</v>
      </c>
      <c r="O169" s="9" t="str">
        <f t="shared" ca="1" si="34"/>
        <v>QA12</v>
      </c>
    </row>
    <row r="170" spans="1:17" ht="56.25" x14ac:dyDescent="0.25">
      <c r="A170" s="108" t="str" cm="1">
        <f t="array" aca="1" ref="A170" ca="1">IF($Q170="","",_xlfn.LET(
_xlpm._fullName,IF($R170="",SUBSTITUTE(SUBSTITUTE(INDIRECT($Q170),CHAR(10)," "),"  "," "),$R170),
_xlpm._truncatedName,IF(LEN(_xlpm._fullName)&gt;250,LEFT(_xlpm._fullName,250)&amp;"[…]",_xlpm._fullName),
HYPERLINK("#'"&amp;$I170&amp;"'!"&amp;$J170&amp;$K170,
_xlpm._truncatedName)))</f>
        <v/>
      </c>
      <c r="B170" s="106" t="str" cm="1">
        <f t="array" aca="1" ref="B170" ca="1">IF($A170="","",SimpleLookup($A170,Questions!$A:$B))</f>
        <v/>
      </c>
      <c r="C170" s="107"/>
      <c r="D170" s="110"/>
      <c r="E170" s="106" t="str" cm="1">
        <f t="array" aca="1" ref="E170" ca="1">_xlfn.LET(
_xlpm._options,IF($O170="","",SimpleLookup($O170,Questions!$A:$H)),
_xlpm._followUpStart,FIND($C170&amp;":",_xlpm._options)+LEN($C170&amp;":"),
_xlpm._followUpEnd,FIND(CHAR(10),_xlpm._options&amp;CHAR(10),_xlpm._followUpStart),
IF($C170="","",TRIM(MID(_xlpm._options,_xlpm._followUpStart,_xlpm._followUpEnd-_xlpm._followUpStart))))</f>
        <v/>
      </c>
      <c r="F170" s="107" t="s">
        <v>10</v>
      </c>
      <c r="G170" s="113" t="s">
        <v>1668</v>
      </c>
      <c r="H170" s="113" cm="1">
        <f t="array" aca="1" ref="H170" ca="1">CreateID($H$2,$A170&lt;&gt;"")</f>
        <v>30</v>
      </c>
      <c r="I170" s="9" t="str">
        <f t="shared" si="30"/>
        <v/>
      </c>
      <c r="J170" s="9" t="str">
        <f t="shared" si="31"/>
        <v/>
      </c>
      <c r="K170" s="9" t="str">
        <f t="shared" si="32"/>
        <v/>
      </c>
      <c r="L170" s="9" cm="1">
        <f t="array" aca="1" ref="L170" ca="1">CreateID($L$2,$I170&lt;&gt;INDEX($I:$I,ROW()-1))</f>
        <v>60</v>
      </c>
      <c r="M170" s="9" t="str" cm="1">
        <f t="array" aca="1" ref="M170" ca="1">IF($Q170="","",INDIRECT($Q170))</f>
        <v/>
      </c>
      <c r="N170" s="9" t="str">
        <f t="shared" ca="1" si="33"/>
        <v>D</v>
      </c>
      <c r="O170" s="9" t="str">
        <f t="shared" ca="1" si="34"/>
        <v>QA12</v>
      </c>
    </row>
    <row r="171" spans="1:17" ht="84" x14ac:dyDescent="0.25">
      <c r="A171" s="108" t="str" cm="1">
        <f t="array" aca="1" ref="A171" ca="1">IF($Q171="","",_xlfn.LET(
_xlpm._fullName,IF($R171="",SUBSTITUTE(SUBSTITUTE(INDIRECT($Q171),CHAR(10)," "),"  "," "),$R171),
_xlpm._truncatedName,IF(LEN(_xlpm._fullName)&gt;250,LEFT(_xlpm._fullName,250)&amp;"[…]",_xlpm._fullName),
HYPERLINK("#'"&amp;$I171&amp;"'!"&amp;$J171&amp;$K171,
_xlpm._truncatedName)))</f>
        <v/>
      </c>
      <c r="B171" s="106" t="str" cm="1">
        <f t="array" aca="1" ref="B171" ca="1">IF($A171="","",SimpleLookup($A171,Questions!$A:$B))</f>
        <v/>
      </c>
      <c r="C171" s="107" t="s">
        <v>10</v>
      </c>
      <c r="D171" s="110" t="s">
        <v>1635</v>
      </c>
      <c r="E171" s="106" t="str" cm="1">
        <f t="array" aca="1" ref="E171" ca="1">_xlfn.LET(
_xlpm._options,IF($O171="","",SimpleLookup($O171,Questions!$A:$H)),
_xlpm._followUpStart,FIND($C171&amp;":",_xlpm._options)+LEN($C171&amp;":"),
_xlpm._followUpEnd,FIND(CHAR(10),_xlpm._options&amp;CHAR(10),_xlpm._followUpStart),
IF($C171="","",TRIM(MID(_xlpm._options,_xlpm._followUpStart,_xlpm._followUpEnd-_xlpm._followUpStart))))</f>
        <v/>
      </c>
      <c r="F171" s="107"/>
      <c r="G171" s="113"/>
      <c r="H171" s="113" cm="1">
        <f t="array" aca="1" ref="H171" ca="1">CreateID($H$2,$A171&lt;&gt;"")</f>
        <v>30</v>
      </c>
      <c r="I171" s="9" t="str">
        <f t="shared" si="30"/>
        <v/>
      </c>
      <c r="J171" s="9" t="str">
        <f t="shared" si="31"/>
        <v/>
      </c>
      <c r="K171" s="9" t="str">
        <f t="shared" si="32"/>
        <v/>
      </c>
      <c r="L171" s="9" cm="1">
        <f t="array" aca="1" ref="L171" ca="1">CreateID($L$2,$I171&lt;&gt;INDEX($I:$I,ROW()-1))</f>
        <v>60</v>
      </c>
      <c r="M171" s="9" t="str" cm="1">
        <f t="array" aca="1" ref="M171" ca="1">IF($Q171="","",INDIRECT($Q171))</f>
        <v/>
      </c>
      <c r="N171" s="9" t="str">
        <f t="shared" ca="1" si="33"/>
        <v>D</v>
      </c>
      <c r="O171" s="9" t="str">
        <f t="shared" ca="1" si="34"/>
        <v>QA12</v>
      </c>
    </row>
    <row r="172" spans="1:17" ht="204" x14ac:dyDescent="0.25">
      <c r="A172" s="108" t="str" cm="1">
        <f t="array" aca="1" ref="A172" ca="1">IF($Q172="","",_xlfn.LET(
_xlpm._fullName,IF($R172="",SUBSTITUTE(SUBSTITUTE(INDIRECT($Q172),CHAR(10)," "),"  "," "),$R172),
_xlpm._truncatedName,IF(LEN(_xlpm._fullName)&gt;250,LEFT(_xlpm._fullName,250)&amp;"[…]",_xlpm._fullName),
HYPERLINK("#'"&amp;$I172&amp;"'!"&amp;$J172&amp;$K172,
_xlpm._truncatedName)))</f>
        <v>QA13</v>
      </c>
      <c r="B172" s="106" t="str" cm="1">
        <f t="array" aca="1" ref="B172" ca="1">IF($A172="","",SimpleLookup($A172,Questions!$A:$B))</f>
        <v>Does the product have a logical connection to a wireless network over a gateway?</v>
      </c>
      <c r="C172" s="107" t="s">
        <v>9</v>
      </c>
      <c r="D172" s="110" t="s">
        <v>1636</v>
      </c>
      <c r="E172" s="106" t="str" cm="1">
        <f t="array" aca="1" ref="E172" ca="1">_xlfn.LET(
_xlpm._options,IF($O172="","",SimpleLookup($O172,Questions!$A:$H)),
_xlpm._followUpStart,FIND($C172&amp;":",_xlpm._options)+LEN($C172&amp;":"),
_xlpm._followUpEnd,FIND(CHAR(10),_xlpm._options&amp;CHAR(10),_xlpm._followUpStart),
IF($C172="","",TRIM(MID(_xlpm._options,_xlpm._followUpStart,_xlpm._followUpEnd-_xlpm._followUpStart))))</f>
        <v>Are the wireless network and the gateway considered as trustworthy?</v>
      </c>
      <c r="F172" s="107" t="s">
        <v>9</v>
      </c>
      <c r="G172" s="113" t="s">
        <v>1669</v>
      </c>
      <c r="H172" s="113" cm="1">
        <f t="array" aca="1" ref="H172" ca="1">CreateID($H$2,$A172&lt;&gt;"")</f>
        <v>31</v>
      </c>
      <c r="I172" s="9" t="str">
        <f t="shared" ca="1" si="30"/>
        <v>Questionnaire</v>
      </c>
      <c r="J172" s="9" t="str">
        <f t="shared" ca="1" si="31"/>
        <v>B</v>
      </c>
      <c r="K172" s="9" t="str">
        <f t="shared" ca="1" si="32"/>
        <v>51</v>
      </c>
      <c r="L172" s="9" cm="1">
        <f t="array" aca="1" ref="L172" ca="1">CreateID($L$2,$I172&lt;&gt;INDEX($I:$I,ROW()-1))</f>
        <v>61</v>
      </c>
      <c r="M172" s="9" t="str" cm="1">
        <f t="array" aca="1" ref="M172" ca="1">IF($Q172="","",INDIRECT($Q172))</f>
        <v>QA13</v>
      </c>
      <c r="N172" s="9" t="str">
        <f t="shared" ca="1" si="33"/>
        <v>L</v>
      </c>
      <c r="O172" s="9" t="str">
        <f t="shared" ca="1" si="34"/>
        <v>QA13</v>
      </c>
      <c r="Q172" s="2" t="str" cm="1">
        <f t="array" aca="1" ref="Q172" ca="1">CELL("address",Questionnaire!$B$51)</f>
        <v>'[QuBA-libre.xlsx]Questionnaire'!$B$51</v>
      </c>
    </row>
    <row r="173" spans="1:17" ht="78.75" x14ac:dyDescent="0.25">
      <c r="A173" s="108" t="str" cm="1">
        <f t="array" aca="1" ref="A173" ca="1">IF($Q173="","",_xlfn.LET(
_xlpm._fullName,IF($R173="",SUBSTITUTE(SUBSTITUTE(INDIRECT($Q173),CHAR(10)," "),"  "," "),$R173),
_xlpm._truncatedName,IF(LEN(_xlpm._fullName)&gt;250,LEFT(_xlpm._fullName,250)&amp;"[…]",_xlpm._fullName),
HYPERLINK("#'"&amp;$I173&amp;"'!"&amp;$J173&amp;$K173,
_xlpm._truncatedName)))</f>
        <v/>
      </c>
      <c r="B173" s="106" t="str" cm="1">
        <f t="array" aca="1" ref="B173" ca="1">IF($A173="","",SimpleLookup($A173,Questions!$A:$B))</f>
        <v/>
      </c>
      <c r="C173" s="107"/>
      <c r="D173" s="110"/>
      <c r="E173" s="106" t="str" cm="1">
        <f t="array" aca="1" ref="E173" ca="1">_xlfn.LET(
_xlpm._options,IF($O173="","",SimpleLookup($O173,Questions!$A:$H)),
_xlpm._followUpStart,FIND($C173&amp;":",_xlpm._options)+LEN($C173&amp;":"),
_xlpm._followUpEnd,FIND(CHAR(10),_xlpm._options&amp;CHAR(10),_xlpm._followUpStart),
IF($C173="","",TRIM(MID(_xlpm._options,_xlpm._followUpStart,_xlpm._followUpEnd-_xlpm._followUpStart))))</f>
        <v/>
      </c>
      <c r="F173" s="107" t="s">
        <v>10</v>
      </c>
      <c r="G173" s="113" t="s">
        <v>1670</v>
      </c>
      <c r="H173" s="113" cm="1">
        <f t="array" aca="1" ref="H173" ca="1">CreateID($H$2,$A173&lt;&gt;"")</f>
        <v>31</v>
      </c>
      <c r="I173" s="9" t="str">
        <f t="shared" si="30"/>
        <v/>
      </c>
      <c r="J173" s="9" t="str">
        <f t="shared" si="31"/>
        <v/>
      </c>
      <c r="K173" s="9" t="str">
        <f t="shared" si="32"/>
        <v/>
      </c>
      <c r="L173" s="9" cm="1">
        <f t="array" aca="1" ref="L173" ca="1">CreateID($L$2,$I173&lt;&gt;INDEX($I:$I,ROW()-1))</f>
        <v>62</v>
      </c>
      <c r="M173" s="9" t="str" cm="1">
        <f t="array" aca="1" ref="M173" ca="1">IF($Q173="","",INDIRECT($Q173))</f>
        <v/>
      </c>
      <c r="N173" s="9" t="str">
        <f t="shared" ca="1" si="33"/>
        <v>L</v>
      </c>
      <c r="O173" s="9" t="str">
        <f t="shared" ca="1" si="34"/>
        <v>QA13</v>
      </c>
    </row>
    <row r="174" spans="1:17" ht="72" x14ac:dyDescent="0.25">
      <c r="A174" s="108" t="str" cm="1">
        <f t="array" aca="1" ref="A174" ca="1">IF($Q174="","",_xlfn.LET(
_xlpm._fullName,IF($R174="",SUBSTITUTE(SUBSTITUTE(INDIRECT($Q174),CHAR(10)," "),"  "," "),$R174),
_xlpm._truncatedName,IF(LEN(_xlpm._fullName)&gt;250,LEFT(_xlpm._fullName,250)&amp;"[…]",_xlpm._fullName),
HYPERLINK("#'"&amp;$I174&amp;"'!"&amp;$J174&amp;$K174,
_xlpm._truncatedName)))</f>
        <v/>
      </c>
      <c r="B174" s="106" t="str" cm="1">
        <f t="array" aca="1" ref="B174" ca="1">IF($A174="","",SimpleLookup($A174,Questions!$A:$B))</f>
        <v/>
      </c>
      <c r="C174" s="107" t="s">
        <v>10</v>
      </c>
      <c r="D174" s="110" t="s">
        <v>1637</v>
      </c>
      <c r="E174" s="106" t="str" cm="1">
        <f t="array" aca="1" ref="E174" ca="1">_xlfn.LET(
_xlpm._options,IF($O174="","",SimpleLookup($O174,Questions!$A:$H)),
_xlpm._followUpStart,FIND($C174&amp;":",_xlpm._options)+LEN($C174&amp;":"),
_xlpm._followUpEnd,FIND(CHAR(10),_xlpm._options&amp;CHAR(10),_xlpm._followUpStart),
IF($C174="","",TRIM(MID(_xlpm._options,_xlpm._followUpStart,_xlpm._followUpEnd-_xlpm._followUpStart))))</f>
        <v/>
      </c>
      <c r="F174" s="107"/>
      <c r="G174" s="113"/>
      <c r="H174" s="113" cm="1">
        <f t="array" aca="1" ref="H174" ca="1">CreateID($H$2,$A174&lt;&gt;"")</f>
        <v>31</v>
      </c>
      <c r="I174" s="9" t="str">
        <f t="shared" si="30"/>
        <v/>
      </c>
      <c r="J174" s="9" t="str">
        <f t="shared" si="31"/>
        <v/>
      </c>
      <c r="K174" s="9" t="str">
        <f t="shared" si="32"/>
        <v/>
      </c>
      <c r="L174" s="9" cm="1">
        <f t="array" aca="1" ref="L174" ca="1">CreateID($L$2,$I174&lt;&gt;INDEX($I:$I,ROW()-1))</f>
        <v>62</v>
      </c>
      <c r="M174" s="9" t="str" cm="1">
        <f t="array" aca="1" ref="M174" ca="1">IF($Q174="","",INDIRECT($Q174))</f>
        <v/>
      </c>
      <c r="N174" s="9" t="str">
        <f t="shared" ca="1" si="33"/>
        <v>L</v>
      </c>
      <c r="O174" s="9" t="str">
        <f t="shared" ca="1" si="34"/>
        <v>QA13</v>
      </c>
    </row>
    <row r="175" spans="1:17" ht="108" x14ac:dyDescent="0.25">
      <c r="A175" s="108" t="str" cm="1">
        <f t="array" aca="1" ref="A175" ca="1">IF($Q175="","",_xlfn.LET(
_xlpm._fullName,IF($R175="",SUBSTITUTE(SUBSTITUTE(INDIRECT($Q175),CHAR(10)," "),"  "," "),$R175),
_xlpm._truncatedName,IF(LEN(_xlpm._fullName)&gt;250,LEFT(_xlpm._fullName,250)&amp;"[…]",_xlpm._fullName),
HYPERLINK("#'"&amp;$I175&amp;"'!"&amp;$J175&amp;$K175,
_xlpm._truncatedName)))</f>
        <v>QA14</v>
      </c>
      <c r="B175" s="106" t="str" cm="1">
        <f t="array" aca="1" ref="B175" ca="1">IF($A175="","",SimpleLookup($A175,Questions!$A:$B))</f>
        <v>Is the product typically installed in a physically accessible position?</v>
      </c>
      <c r="C175" s="107"/>
      <c r="D175" s="110" t="s">
        <v>1674</v>
      </c>
      <c r="E175" s="106" t="str" cm="1">
        <f t="array" aca="1" ref="E175" ca="1">_xlfn.LET(
_xlpm._options,IF($O175="","",SimpleLookup($O175,Questions!$A:$H)),
_xlpm._followUpStart,FIND($C175&amp;":",_xlpm._options)+LEN($C175&amp;":"),
_xlpm._followUpEnd,FIND(CHAR(10),_xlpm._options&amp;CHAR(10),_xlpm._followUpStart),
IF($C175="","",TRIM(MID(_xlpm._options,_xlpm._followUpStart,_xlpm._followUpEnd-_xlpm._followUpStart))))</f>
        <v/>
      </c>
      <c r="F175" s="107"/>
      <c r="G175" s="113"/>
      <c r="H175" s="113" cm="1">
        <f t="array" aca="1" ref="H175" ca="1">CreateID($H$2,$A175&lt;&gt;"")</f>
        <v>32</v>
      </c>
      <c r="I175" s="9" t="str">
        <f t="shared" ca="1" si="30"/>
        <v>Questionnaire</v>
      </c>
      <c r="J175" s="9" t="str">
        <f t="shared" ca="1" si="31"/>
        <v>B</v>
      </c>
      <c r="K175" s="9" t="str">
        <f t="shared" ca="1" si="32"/>
        <v>53</v>
      </c>
      <c r="L175" s="9" cm="1">
        <f t="array" aca="1" ref="L175" ca="1">CreateID($L$2,$I175&lt;&gt;INDEX($I:$I,ROW()-1))</f>
        <v>63</v>
      </c>
      <c r="M175" s="9" t="str" cm="1">
        <f t="array" aca="1" ref="M175" ca="1">IF($Q175="","",INDIRECT($Q175))</f>
        <v>QA14</v>
      </c>
      <c r="N175" s="9" t="str">
        <f t="shared" ca="1" si="33"/>
        <v>D</v>
      </c>
      <c r="O175" s="9" t="str">
        <f t="shared" ca="1" si="34"/>
        <v>QA14</v>
      </c>
      <c r="Q175" s="2" t="str" cm="1">
        <f t="array" aca="1" ref="Q175" ca="1">CELL("address",Questionnaire!$B$53)</f>
        <v>'[QuBA-libre.xlsx]Questionnaire'!$B$53</v>
      </c>
    </row>
    <row r="176" spans="1:17" ht="204" x14ac:dyDescent="0.25">
      <c r="A176" s="117" t="str" cm="1">
        <f t="array" aca="1" ref="A176" ca="1">IF($Q176="","",_xlfn.LET(
_xlpm._fullName,IF($R176="",SUBSTITUTE(SUBSTITUTE(INDIRECT($Q176),CHAR(10)," "),"  "," "),$R176),
_xlpm._truncatedName,IF(LEN(_xlpm._fullName)&gt;250,LEFT(_xlpm._fullName,250)&amp;"[…]",_xlpm._fullName),
HYPERLINK("#'"&amp;$I176&amp;"'!"&amp;$J176&amp;$K176,
_xlpm._truncatedName)))</f>
        <v/>
      </c>
      <c r="B176" s="106" t="str" cm="1">
        <f t="array" aca="1" ref="B176" ca="1">IF($A176="","",SimpleLookup($A176,Questions!$A:$B))</f>
        <v/>
      </c>
      <c r="C176" s="107" t="s">
        <v>9</v>
      </c>
      <c r="D176" s="110" t="s">
        <v>1638</v>
      </c>
      <c r="E176" s="106" t="str" cm="1">
        <f t="array" aca="1" ref="E176" ca="1">_xlfn.LET(
_xlpm._options,IF($O176="","",SimpleLookup($O176,Questions!$A:$H)),
_xlpm._followUpStart,FIND($C176&amp;":",_xlpm._options)+LEN($C176&amp;":"),
_xlpm._followUpEnd,FIND(CHAR(10),_xlpm._options&amp;CHAR(10),_xlpm._followUpStart),
IF($C176="","",TRIM(MID(_xlpm._options,_xlpm._followUpStart,_xlpm._followUpEnd-_xlpm._followUpStart))))</f>
        <v/>
      </c>
      <c r="F176" s="107"/>
      <c r="G176" s="113"/>
      <c r="H176" s="113" cm="1">
        <f t="array" aca="1" ref="H176" ca="1">CreateID($H$2,$A176&lt;&gt;"")</f>
        <v>32</v>
      </c>
      <c r="I176" s="9" t="str">
        <f>IF($Q176="","",_xlfn.LET(
_xlpm._in,$Q176,
_xlpm._start,FIND("]",_xlpm._in)+1,
SUBSTITUTE(MID(_xlpm._in,_xlpm._start,FIND("!",_xlpm._in)-_xlpm._start),"'","")))</f>
        <v/>
      </c>
      <c r="J176" s="9" t="str">
        <f>IF($Q176="","",_xlfn.LET(
_xlpm._in,SUBSTITUTE($Q176,"$","§",1),
_xlpm._start,FIND("§",_xlpm._in)+1,
SUBSTITUTE(MID(_xlpm._in,_xlpm._start,FIND("$",_xlpm._in)-_xlpm._start),"'","")))</f>
        <v/>
      </c>
      <c r="K176" s="9" t="str">
        <f>IF($Q176="","",RIGHT($Q176,LEN($Q176)-FIND("$",SUBSTITUTE($Q176,"$","§",1))))</f>
        <v/>
      </c>
      <c r="L176" s="9" cm="1">
        <f t="array" aca="1" ref="L176" ca="1">CreateID($L$2,$I176&lt;&gt;INDEX($I:$I,ROW()-1))</f>
        <v>64</v>
      </c>
      <c r="M176" s="9" t="str" cm="1">
        <f t="array" aca="1" ref="M176" ca="1">IF($Q176="","",INDIRECT($Q176))</f>
        <v/>
      </c>
      <c r="N176" s="9" t="str">
        <f ca="1">IF(MOD($H176,2)=0,"D","L")</f>
        <v>D</v>
      </c>
      <c r="O176" s="9" t="str">
        <f ca="1">IF($A176="",OFFSET($O176,-1,0),$A176)</f>
        <v>QA14</v>
      </c>
    </row>
    <row r="177" spans="1:17" ht="108" x14ac:dyDescent="0.25">
      <c r="A177" s="108" t="str" cm="1">
        <f t="array" aca="1" ref="A177" ca="1">IF($Q177="","",_xlfn.LET(
_xlpm._fullName,IF($R177="",SUBSTITUTE(SUBSTITUTE(INDIRECT($Q177),CHAR(10)," "),"  "," "),$R177),
_xlpm._truncatedName,IF(LEN(_xlpm._fullName)&gt;250,LEFT(_xlpm._fullName,250)&amp;"[…]",_xlpm._fullName),
HYPERLINK("#'"&amp;$I177&amp;"'!"&amp;$J177&amp;$K177,
_xlpm._truncatedName)))</f>
        <v/>
      </c>
      <c r="B177" s="106" t="str" cm="1">
        <f t="array" aca="1" ref="B177" ca="1">IF($A177="","",SimpleLookup($A177,Questions!$A:$B))</f>
        <v/>
      </c>
      <c r="C177" s="107" t="s">
        <v>10</v>
      </c>
      <c r="D177" s="110" t="s">
        <v>1639</v>
      </c>
      <c r="E177" s="106" t="str" cm="1">
        <f t="array" aca="1" ref="E177" ca="1">_xlfn.LET(
_xlpm._options,IF($O177="","",SimpleLookup($O177,Questions!$A:$H)),
_xlpm._followUpStart,FIND($C177&amp;":",_xlpm._options)+LEN($C177&amp;":"),
_xlpm._followUpEnd,FIND(CHAR(10),_xlpm._options&amp;CHAR(10),_xlpm._followUpStart),
IF($C177="","",TRIM(MID(_xlpm._options,_xlpm._followUpStart,_xlpm._followUpEnd-_xlpm._followUpStart))))</f>
        <v/>
      </c>
      <c r="F177" s="107"/>
      <c r="G177" s="113"/>
      <c r="H177" s="113" cm="1">
        <f t="array" aca="1" ref="H177" ca="1">CreateID($H$2,$A177&lt;&gt;"")</f>
        <v>32</v>
      </c>
      <c r="I177" s="9" t="str">
        <f t="shared" si="30"/>
        <v/>
      </c>
      <c r="J177" s="9" t="str">
        <f t="shared" si="31"/>
        <v/>
      </c>
      <c r="K177" s="9" t="str">
        <f t="shared" si="32"/>
        <v/>
      </c>
      <c r="L177" s="9" cm="1">
        <f t="array" aca="1" ref="L177" ca="1">CreateID($L$2,$I177&lt;&gt;INDEX($I:$I,ROW()-1))</f>
        <v>64</v>
      </c>
      <c r="M177" s="9" t="str" cm="1">
        <f t="array" aca="1" ref="M177" ca="1">IF($Q177="","",INDIRECT($Q177))</f>
        <v/>
      </c>
      <c r="N177" s="9" t="str">
        <f t="shared" ca="1" si="33"/>
        <v>D</v>
      </c>
      <c r="O177" s="9" t="str">
        <f t="shared" ca="1" si="34"/>
        <v>QA14</v>
      </c>
    </row>
    <row r="178" spans="1:17" ht="180" x14ac:dyDescent="0.25">
      <c r="A178" s="108" t="str" cm="1">
        <f t="array" aca="1" ref="A178" ca="1">IF($Q178="","",_xlfn.LET(
_xlpm._fullName,IF($R178="",SUBSTITUTE(SUBSTITUTE(INDIRECT($Q178),CHAR(10)," "),"  "," "),$R178),
_xlpm._truncatedName,IF(LEN(_xlpm._fullName)&gt;250,LEFT(_xlpm._fullName,250)&amp;"[…]",_xlpm._fullName),
HYPERLINK("#'"&amp;$I178&amp;"'!"&amp;$J178&amp;$K178,
_xlpm._truncatedName)))</f>
        <v>QA15</v>
      </c>
      <c r="B178" s="106" t="str" cm="1">
        <f t="array" aca="1" ref="B178" ca="1">IF($A178="","",SimpleLookup($A178,Questions!$A:$B))</f>
        <v>Is the product typically installed in an operational environment with public access?</v>
      </c>
      <c r="C178" s="107" t="s">
        <v>9</v>
      </c>
      <c r="D178" s="110" t="s">
        <v>1640</v>
      </c>
      <c r="E178" s="106" t="str" cm="1">
        <f t="array" aca="1" ref="E178" ca="1">_xlfn.LET(
_xlpm._options,IF($O178="","",SimpleLookup($O178,Questions!$A:$H)),
_xlpm._followUpStart,FIND($C178&amp;":",_xlpm._options)+LEN($C178&amp;":"),
_xlpm._followUpEnd,FIND(CHAR(10),_xlpm._options&amp;CHAR(10),_xlpm._followUpStart),
IF($C178="","",TRIM(MID(_xlpm._options,_xlpm._followUpStart,_xlpm._followUpEnd-_xlpm._followUpStart))))</f>
        <v>Can an attacker plausibly tamper with the hardware without being detected?</v>
      </c>
      <c r="F178" s="107"/>
      <c r="G178" s="113"/>
      <c r="H178" s="113" cm="1">
        <f t="array" aca="1" ref="H178" ca="1">CreateID($H$2,$A178&lt;&gt;"")</f>
        <v>33</v>
      </c>
      <c r="I178" s="9" t="str">
        <f t="shared" ca="1" si="30"/>
        <v>Questionnaire</v>
      </c>
      <c r="J178" s="9" t="str">
        <f t="shared" ca="1" si="31"/>
        <v>B</v>
      </c>
      <c r="K178" s="9" t="str">
        <f t="shared" ca="1" si="32"/>
        <v>54</v>
      </c>
      <c r="L178" s="9" cm="1">
        <f t="array" aca="1" ref="L178" ca="1">CreateID($L$2,$I178&lt;&gt;INDEX($I:$I,ROW()-1))</f>
        <v>65</v>
      </c>
      <c r="M178" s="9" t="str" cm="1">
        <f t="array" aca="1" ref="M178" ca="1">IF($Q178="","",INDIRECT($Q178))</f>
        <v>QA15</v>
      </c>
      <c r="N178" s="9" t="str">
        <f t="shared" ca="1" si="33"/>
        <v>L</v>
      </c>
      <c r="O178" s="9" t="str">
        <f t="shared" ca="1" si="34"/>
        <v>QA15</v>
      </c>
      <c r="Q178" s="2" t="str" cm="1">
        <f t="array" aca="1" ref="Q178" ca="1">CELL("address",Questionnaire!$B$54)</f>
        <v>'[QuBA-libre.xlsx]Questionnaire'!$B$54</v>
      </c>
    </row>
    <row r="179" spans="1:17" ht="132" x14ac:dyDescent="0.25">
      <c r="A179" s="108" t="str" cm="1">
        <f t="array" aca="1" ref="A179" ca="1">IF($Q179="","",_xlfn.LET(
_xlpm._fullName,IF($R179="",SUBSTITUTE(SUBSTITUTE(INDIRECT($Q179),CHAR(10)," "),"  "," "),$R179),
_xlpm._truncatedName,IF(LEN(_xlpm._fullName)&gt;250,LEFT(_xlpm._fullName,250)&amp;"[…]",_xlpm._fullName),
HYPERLINK("#'"&amp;$I179&amp;"'!"&amp;$J179&amp;$K179,
_xlpm._truncatedName)))</f>
        <v/>
      </c>
      <c r="B179" s="106" t="str" cm="1">
        <f t="array" aca="1" ref="B179" ca="1">IF($A179="","",SimpleLookup($A179,Questions!$A:$B))</f>
        <v/>
      </c>
      <c r="C179" s="107" t="s">
        <v>10</v>
      </c>
      <c r="D179" s="110" t="s">
        <v>1641</v>
      </c>
      <c r="E179" s="106" t="str" cm="1">
        <f t="array" aca="1" ref="E179" ca="1">_xlfn.LET(
_xlpm._options,IF($O179="","",SimpleLookup($O179,Questions!$A:$H)),
_xlpm._followUpStart,FIND($C179&amp;":",_xlpm._options)+LEN($C179&amp;":"),
_xlpm._followUpEnd,FIND(CHAR(10),_xlpm._options&amp;CHAR(10),_xlpm._followUpStart),
IF($C179="","",TRIM(MID(_xlpm._options,_xlpm._followUpStart,_xlpm._followUpEnd-_xlpm._followUpStart))))</f>
        <v/>
      </c>
      <c r="F179" s="107"/>
      <c r="G179" s="113"/>
      <c r="H179" s="113" cm="1">
        <f t="array" aca="1" ref="H179" ca="1">CreateID($H$2,$A179&lt;&gt;"")</f>
        <v>33</v>
      </c>
      <c r="I179" s="9" t="str">
        <f t="shared" si="30"/>
        <v/>
      </c>
      <c r="J179" s="9" t="str">
        <f t="shared" si="31"/>
        <v/>
      </c>
      <c r="K179" s="9" t="str">
        <f t="shared" si="32"/>
        <v/>
      </c>
      <c r="L179" s="9" cm="1">
        <f t="array" aca="1" ref="L179" ca="1">CreateID($L$2,$I179&lt;&gt;INDEX($I:$I,ROW()-1))</f>
        <v>66</v>
      </c>
      <c r="M179" s="9" t="str" cm="1">
        <f t="array" aca="1" ref="M179" ca="1">IF($Q179="","",INDIRECT($Q179))</f>
        <v/>
      </c>
      <c r="N179" s="9" t="str">
        <f t="shared" ca="1" si="33"/>
        <v>L</v>
      </c>
      <c r="O179" s="9" t="str">
        <f t="shared" ca="1" si="34"/>
        <v>QA15</v>
      </c>
    </row>
    <row r="180" spans="1:17" ht="156" x14ac:dyDescent="0.25">
      <c r="A180" s="108" t="str" cm="1">
        <f t="array" aca="1" ref="A180" ca="1">IF($Q180="","",_xlfn.LET(
_xlpm._fullName,IF($R180="",SUBSTITUTE(SUBSTITUTE(INDIRECT($Q180),CHAR(10)," "),"  "," "),$R180),
_xlpm._truncatedName,IF(LEN(_xlpm._fullName)&gt;250,LEFT(_xlpm._fullName,250)&amp;"[…]",_xlpm._fullName),
HYPERLINK("#'"&amp;$I180&amp;"'!"&amp;$J180&amp;$K180,
_xlpm._truncatedName)))</f>
        <v>QA16</v>
      </c>
      <c r="B180" s="106" t="str" cm="1">
        <f t="array" aca="1" ref="B180" ca="1">IF($A180="","",SimpleLookup($A180,Questions!$A:$B))</f>
        <v>Are the product's physical connections (such as attached bus cables) typically installed in an environment with public access?</v>
      </c>
      <c r="C180" s="107" t="s">
        <v>9</v>
      </c>
      <c r="D180" s="110" t="s">
        <v>1642</v>
      </c>
      <c r="E180" s="106" t="str" cm="1">
        <f t="array" aca="1" ref="E180" ca="1">_xlfn.LET(
_xlpm._options,IF($O180="","",SimpleLookup($O180,Questions!$A:$H)),
_xlpm._followUpStart,FIND($C180&amp;":",_xlpm._options)+LEN($C180&amp;":"),
_xlpm._followUpEnd,FIND(CHAR(10),_xlpm._options&amp;CHAR(10),_xlpm._followUpStart),
IF($C180="","",TRIM(MID(_xlpm._options,_xlpm._followUpStart,_xlpm._followUpEnd-_xlpm._followUpStart))))</f>
        <v/>
      </c>
      <c r="F180" s="107"/>
      <c r="G180" s="113"/>
      <c r="H180" s="113" cm="1">
        <f t="array" aca="1" ref="H180" ca="1">CreateID($H$2,$A180&lt;&gt;"")</f>
        <v>34</v>
      </c>
      <c r="I180" s="9" t="str">
        <f t="shared" ca="1" si="30"/>
        <v>Questionnaire</v>
      </c>
      <c r="J180" s="9" t="str">
        <f t="shared" ca="1" si="31"/>
        <v>B</v>
      </c>
      <c r="K180" s="9" t="str">
        <f t="shared" ca="1" si="32"/>
        <v>55</v>
      </c>
      <c r="L180" s="9" cm="1">
        <f t="array" aca="1" ref="L180" ca="1">CreateID($L$2,$I180&lt;&gt;INDEX($I:$I,ROW()-1))</f>
        <v>67</v>
      </c>
      <c r="M180" s="9" t="str" cm="1">
        <f t="array" aca="1" ref="M180" ca="1">IF($Q180="","",INDIRECT($Q180))</f>
        <v>QA16</v>
      </c>
      <c r="N180" s="9" t="str">
        <f t="shared" ca="1" si="33"/>
        <v>D</v>
      </c>
      <c r="O180" s="9" t="str">
        <f t="shared" ca="1" si="34"/>
        <v>QA16</v>
      </c>
      <c r="Q180" s="2" t="str" cm="1">
        <f t="array" aca="1" ref="Q180" ca="1">CELL("address",Questionnaire!$B$55)</f>
        <v>'[QuBA-libre.xlsx]Questionnaire'!$B$55</v>
      </c>
    </row>
    <row r="181" spans="1:17" ht="120" x14ac:dyDescent="0.25">
      <c r="A181" s="108" t="str" cm="1">
        <f t="array" aca="1" ref="A181" ca="1">IF($Q181="","",_xlfn.LET(
_xlpm._fullName,IF($R181="",SUBSTITUTE(SUBSTITUTE(INDIRECT($Q181),CHAR(10)," "),"  "," "),$R181),
_xlpm._truncatedName,IF(LEN(_xlpm._fullName)&gt;250,LEFT(_xlpm._fullName,250)&amp;"[…]",_xlpm._fullName),
HYPERLINK("#'"&amp;$I181&amp;"'!"&amp;$J181&amp;$K181,
_xlpm._truncatedName)))</f>
        <v/>
      </c>
      <c r="B181" s="106" t="str" cm="1">
        <f t="array" aca="1" ref="B181" ca="1">IF($A181="","",SimpleLookup($A181,Questions!$A:$B))</f>
        <v/>
      </c>
      <c r="C181" s="107" t="s">
        <v>10</v>
      </c>
      <c r="D181" s="110" t="s">
        <v>1643</v>
      </c>
      <c r="E181" s="106" t="str" cm="1">
        <f t="array" aca="1" ref="E181" ca="1">_xlfn.LET(
_xlpm._options,IF($O181="","",SimpleLookup($O181,Questions!$A:$H)),
_xlpm._followUpStart,FIND($C181&amp;":",_xlpm._options)+LEN($C181&amp;":"),
_xlpm._followUpEnd,FIND(CHAR(10),_xlpm._options&amp;CHAR(10),_xlpm._followUpStart),
IF($C181="","",TRIM(MID(_xlpm._options,_xlpm._followUpStart,_xlpm._followUpEnd-_xlpm._followUpStart))))</f>
        <v/>
      </c>
      <c r="F181" s="107"/>
      <c r="G181" s="113"/>
      <c r="H181" s="113" cm="1">
        <f t="array" aca="1" ref="H181" ca="1">CreateID($H$2,$A181&lt;&gt;"")</f>
        <v>34</v>
      </c>
      <c r="I181" s="9" t="str">
        <f t="shared" si="30"/>
        <v/>
      </c>
      <c r="J181" s="9" t="str">
        <f t="shared" si="31"/>
        <v/>
      </c>
      <c r="K181" s="9" t="str">
        <f t="shared" si="32"/>
        <v/>
      </c>
      <c r="L181" s="9" cm="1">
        <f t="array" aca="1" ref="L181" ca="1">CreateID($L$2,$I181&lt;&gt;INDEX($I:$I,ROW()-1))</f>
        <v>68</v>
      </c>
      <c r="M181" s="9" t="str" cm="1">
        <f t="array" aca="1" ref="M181" ca="1">IF($Q181="","",INDIRECT($Q181))</f>
        <v/>
      </c>
      <c r="N181" s="9" t="str">
        <f t="shared" ca="1" si="33"/>
        <v>D</v>
      </c>
      <c r="O181" s="9" t="str">
        <f t="shared" ca="1" si="34"/>
        <v>QA16</v>
      </c>
    </row>
    <row r="182" spans="1:17" ht="156" x14ac:dyDescent="0.25">
      <c r="A182" s="108" t="str" cm="1">
        <f t="array" aca="1" ref="A182" ca="1">IF($Q182="","",_xlfn.LET(
_xlpm._fullName,IF($R182="",SUBSTITUTE(SUBSTITUTE(INDIRECT($Q182),CHAR(10)," "),"  "," "),$R182),
_xlpm._truncatedName,IF(LEN(_xlpm._fullName)&gt;250,LEFT(_xlpm._fullName,250)&amp;"[…]",_xlpm._fullName),
HYPERLINK("#'"&amp;$I182&amp;"'!"&amp;$J182&amp;$K182,
_xlpm._truncatedName)))</f>
        <v>QA17</v>
      </c>
      <c r="B182" s="106" t="str" cm="1">
        <f t="array" aca="1" ref="B182" ca="1">IF($A182="","",SimpleLookup($A182,Questions!$A:$B))</f>
        <v>Does the product have debug / development interfaces (e.g., JTAG, root access over ssh)?</v>
      </c>
      <c r="C182" s="107" t="s">
        <v>9</v>
      </c>
      <c r="D182" s="110" t="s">
        <v>1644</v>
      </c>
      <c r="E182" s="106" t="str" cm="1">
        <f t="array" aca="1" ref="E182" ca="1">_xlfn.LET(
_xlpm._options,IF($O182="","",SimpleLookup($O182,Questions!$A:$H)),
_xlpm._followUpStart,FIND($C182&amp;":",_xlpm._options)+LEN($C182&amp;":"),
_xlpm._followUpEnd,FIND(CHAR(10),_xlpm._options&amp;CHAR(10),_xlpm._followUpStart),
IF($C182="","",TRIM(MID(_xlpm._options,_xlpm._followUpStart,_xlpm._followUpEnd-_xlpm._followUpStart))))</f>
        <v>Is network access to the debug interface(s) possible?</v>
      </c>
      <c r="F182" s="107" t="s">
        <v>9</v>
      </c>
      <c r="G182" s="113" t="s">
        <v>1671</v>
      </c>
      <c r="H182" s="113" cm="1">
        <f t="array" aca="1" ref="H182" ca="1">CreateID($H$2,$A182&lt;&gt;"")</f>
        <v>35</v>
      </c>
      <c r="I182" s="9" t="str">
        <f t="shared" ca="1" si="30"/>
        <v>Questionnaire</v>
      </c>
      <c r="J182" s="9" t="str">
        <f t="shared" ca="1" si="31"/>
        <v>B</v>
      </c>
      <c r="K182" s="9" t="str">
        <f t="shared" ca="1" si="32"/>
        <v>56</v>
      </c>
      <c r="L182" s="9" cm="1">
        <f t="array" aca="1" ref="L182" ca="1">CreateID($L$2,$I182&lt;&gt;INDEX($I:$I,ROW()-1))</f>
        <v>69</v>
      </c>
      <c r="M182" s="9" t="str" cm="1">
        <f t="array" aca="1" ref="M182" ca="1">IF($Q182="","",INDIRECT($Q182))</f>
        <v>QA17</v>
      </c>
      <c r="N182" s="9" t="str">
        <f t="shared" ca="1" si="33"/>
        <v>L</v>
      </c>
      <c r="O182" s="9" t="str">
        <f t="shared" ca="1" si="34"/>
        <v>QA17</v>
      </c>
      <c r="Q182" s="2" t="str" cm="1">
        <f t="array" aca="1" ref="Q182" ca="1">CELL("address",Questionnaire!$B$56)</f>
        <v>'[QuBA-libre.xlsx]Questionnaire'!$B$56</v>
      </c>
    </row>
    <row r="183" spans="1:17" ht="45" x14ac:dyDescent="0.25">
      <c r="A183" s="108" t="str" cm="1">
        <f t="array" aca="1" ref="A183" ca="1">IF($Q183="","",_xlfn.LET(
_xlpm._fullName,IF($R183="",SUBSTITUTE(SUBSTITUTE(INDIRECT($Q183),CHAR(10)," "),"  "," "),$R183),
_xlpm._truncatedName,IF(LEN(_xlpm._fullName)&gt;250,LEFT(_xlpm._fullName,250)&amp;"[…]",_xlpm._fullName),
HYPERLINK("#'"&amp;$I183&amp;"'!"&amp;$J183&amp;$K183,
_xlpm._truncatedName)))</f>
        <v/>
      </c>
      <c r="B183" s="106" t="str" cm="1">
        <f t="array" aca="1" ref="B183" ca="1">IF($A183="","",SimpleLookup($A183,Questions!$A:$B))</f>
        <v/>
      </c>
      <c r="C183" s="107"/>
      <c r="D183" s="110"/>
      <c r="E183" s="106" t="str" cm="1">
        <f t="array" aca="1" ref="E183" ca="1">_xlfn.LET(
_xlpm._options,IF($O183="","",SimpleLookup($O183,Questions!$A:$H)),
_xlpm._followUpStart,FIND($C183&amp;":",_xlpm._options)+LEN($C183&amp;":"),
_xlpm._followUpEnd,FIND(CHAR(10),_xlpm._options&amp;CHAR(10),_xlpm._followUpStart),
IF($C183="","",TRIM(MID(_xlpm._options,_xlpm._followUpStart,_xlpm._followUpEnd-_xlpm._followUpStart))))</f>
        <v/>
      </c>
      <c r="F183" s="107" t="s">
        <v>10</v>
      </c>
      <c r="G183" s="113" t="s">
        <v>1672</v>
      </c>
      <c r="H183" s="113" cm="1">
        <f t="array" aca="1" ref="H183" ca="1">CreateID($H$2,$A183&lt;&gt;"")</f>
        <v>35</v>
      </c>
      <c r="I183" s="9" t="str">
        <f t="shared" si="30"/>
        <v/>
      </c>
      <c r="J183" s="9" t="str">
        <f t="shared" si="31"/>
        <v/>
      </c>
      <c r="K183" s="9" t="str">
        <f t="shared" si="32"/>
        <v/>
      </c>
      <c r="L183" s="9" cm="1">
        <f t="array" aca="1" ref="L183" ca="1">CreateID($L$2,$I183&lt;&gt;INDEX($I:$I,ROW()-1))</f>
        <v>70</v>
      </c>
      <c r="M183" s="9" t="str" cm="1">
        <f t="array" aca="1" ref="M183" ca="1">IF($Q183="","",INDIRECT($Q183))</f>
        <v/>
      </c>
      <c r="N183" s="9" t="str">
        <f t="shared" ca="1" si="33"/>
        <v>L</v>
      </c>
      <c r="O183" s="9" t="str">
        <f t="shared" ca="1" si="34"/>
        <v>QA17</v>
      </c>
    </row>
    <row r="184" spans="1:17" ht="60" x14ac:dyDescent="0.25">
      <c r="A184" s="108" t="str" cm="1">
        <f t="array" aca="1" ref="A184" ca="1">IF($Q184="","",_xlfn.LET(
_xlpm._fullName,IF($R184="",SUBSTITUTE(SUBSTITUTE(INDIRECT($Q184),CHAR(10)," "),"  "," "),$R184),
_xlpm._truncatedName,IF(LEN(_xlpm._fullName)&gt;250,LEFT(_xlpm._fullName,250)&amp;"[…]",_xlpm._fullName),
HYPERLINK("#'"&amp;$I184&amp;"'!"&amp;$J184&amp;$K184,
_xlpm._truncatedName)))</f>
        <v/>
      </c>
      <c r="B184" s="106" t="str" cm="1">
        <f t="array" aca="1" ref="B184" ca="1">IF($A184="","",SimpleLookup($A184,Questions!$A:$B))</f>
        <v/>
      </c>
      <c r="C184" s="107" t="s">
        <v>10</v>
      </c>
      <c r="D184" s="110" t="s">
        <v>1645</v>
      </c>
      <c r="E184" s="106" t="str" cm="1">
        <f t="array" aca="1" ref="E184" ca="1">_xlfn.LET(
_xlpm._options,IF($O184="","",SimpleLookup($O184,Questions!$A:$H)),
_xlpm._followUpStart,FIND($C184&amp;":",_xlpm._options)+LEN($C184&amp;":"),
_xlpm._followUpEnd,FIND(CHAR(10),_xlpm._options&amp;CHAR(10),_xlpm._followUpStart),
IF($C184="","",TRIM(MID(_xlpm._options,_xlpm._followUpStart,_xlpm._followUpEnd-_xlpm._followUpStart))))</f>
        <v/>
      </c>
      <c r="F184" s="107"/>
      <c r="G184" s="113"/>
      <c r="H184" s="113" cm="1">
        <f t="array" aca="1" ref="H184" ca="1">CreateID($H$2,$A184&lt;&gt;"")</f>
        <v>35</v>
      </c>
      <c r="I184" s="9" t="str">
        <f t="shared" si="30"/>
        <v/>
      </c>
      <c r="J184" s="9" t="str">
        <f t="shared" si="31"/>
        <v/>
      </c>
      <c r="K184" s="9" t="str">
        <f t="shared" si="32"/>
        <v/>
      </c>
      <c r="L184" s="9" cm="1">
        <f t="array" aca="1" ref="L184" ca="1">CreateID($L$2,$I184&lt;&gt;INDEX($I:$I,ROW()-1))</f>
        <v>70</v>
      </c>
      <c r="M184" s="9" t="str" cm="1">
        <f t="array" aca="1" ref="M184" ca="1">IF($Q184="","",INDIRECT($Q184))</f>
        <v/>
      </c>
      <c r="N184" s="9" t="str">
        <f t="shared" ca="1" si="33"/>
        <v>L</v>
      </c>
      <c r="O184" s="9" t="str">
        <f t="shared" ca="1" si="34"/>
        <v>QA17</v>
      </c>
    </row>
    <row r="185" spans="1:17" ht="132" x14ac:dyDescent="0.25">
      <c r="A185" s="108" t="str" cm="1">
        <f t="array" aca="1" ref="A185" ca="1">IF($Q185="","",_xlfn.LET(
_xlpm._fullName,IF($R185="",SUBSTITUTE(SUBSTITUTE(INDIRECT($Q185),CHAR(10)," "),"  "," "),$R185),
_xlpm._truncatedName,IF(LEN(_xlpm._fullName)&gt;250,LEFT(_xlpm._fullName,250)&amp;"[…]",_xlpm._fullName),
HYPERLINK("#'"&amp;$I185&amp;"'!"&amp;$J185&amp;$K185,
_xlpm._truncatedName)))</f>
        <v>QA18</v>
      </c>
      <c r="B185" s="106" t="str" cm="1">
        <f t="array" aca="1" ref="B185" ca="1">IF($A185="","",SimpleLookup($A185,Questions!$A:$B))</f>
        <v>Is the product produced in a secure environment?</v>
      </c>
      <c r="C185" s="107" t="s">
        <v>9</v>
      </c>
      <c r="D185" s="110" t="str">
        <f>"(1) Yes, if the product is manufactured in a controlled and secure production environment, for example:
* production within "&amp;Definitions!$C$4&amp;" internal facilities
* production by a trusted and reputable manufacturer (HAWA) with established security and quality processes
Typical characteristics of such environments include:"&amp;"
* controlled access to production facilities
* defined production and quality assurance processes
* controlled handling of firmware and configuration data
* traceability of components and production steps"</f>
        <v>(1) Yes, if the product is manufactured in a controlled and secure production environment, for example:
* production within &lt;&lt; OEM Name &gt;&gt; internal facilities
* production by a trusted and reputable manufacturer (HAWA) with established security and quality processes
Typical characteristics of such environments include:
* controlled access to production facilities
* defined production and quality assurance processes
* controlled handling of firmware and configuration data
* traceability of components and production steps</v>
      </c>
      <c r="E185" s="106" t="str" cm="1">
        <f t="array" aca="1" ref="E185" ca="1">_xlfn.LET(
_xlpm._options,IF($O185="","",SimpleLookup($O185,Questions!$A:$H)),
_xlpm._followUpStart,FIND($C185&amp;":",_xlpm._options)+LEN($C185&amp;":"),
_xlpm._followUpEnd,FIND(CHAR(10),_xlpm._options&amp;CHAR(10),_xlpm._followUpStart),
IF($C185="","",TRIM(MID(_xlpm._options,_xlpm._followUpStart,_xlpm._followUpEnd-_xlpm._followUpStart))))</f>
        <v/>
      </c>
      <c r="F185" s="107"/>
      <c r="G185" s="113"/>
      <c r="H185" s="113" cm="1">
        <f t="array" aca="1" ref="H185" ca="1">CreateID($H$2,$A185&lt;&gt;"")</f>
        <v>36</v>
      </c>
      <c r="I185" s="9" t="str">
        <f t="shared" ca="1" si="30"/>
        <v>Questionnaire</v>
      </c>
      <c r="J185" s="9" t="str">
        <f t="shared" ca="1" si="31"/>
        <v>B</v>
      </c>
      <c r="K185" s="9" t="str">
        <f t="shared" ca="1" si="32"/>
        <v>57</v>
      </c>
      <c r="L185" s="9" cm="1">
        <f t="array" aca="1" ref="L185" ca="1">CreateID($L$2,$I185&lt;&gt;INDEX($I:$I,ROW()-1))</f>
        <v>71</v>
      </c>
      <c r="M185" s="9" t="str" cm="1">
        <f t="array" aca="1" ref="M185" ca="1">IF($Q185="","",INDIRECT($Q185))</f>
        <v>QA18</v>
      </c>
      <c r="N185" s="9" t="str">
        <f t="shared" ca="1" si="33"/>
        <v>D</v>
      </c>
      <c r="O185" s="9" t="str">
        <f t="shared" ca="1" si="34"/>
        <v>QA18</v>
      </c>
      <c r="Q185" s="2" t="str" cm="1">
        <f t="array" aca="1" ref="Q185" ca="1">CELL("address",Questionnaire!$B$57)</f>
        <v>'[QuBA-libre.xlsx]Questionnaire'!$B$57</v>
      </c>
    </row>
    <row r="186" spans="1:17" ht="84" x14ac:dyDescent="0.25">
      <c r="A186" s="108" t="str" cm="1">
        <f t="array" aca="1" ref="A186" ca="1">IF($Q186="","",_xlfn.LET(
_xlpm._fullName,IF($R186="",SUBSTITUTE(SUBSTITUTE(INDIRECT($Q186),CHAR(10)," "),"  "," "),$R186),
_xlpm._truncatedName,IF(LEN(_xlpm._fullName)&gt;250,LEFT(_xlpm._fullName,250)&amp;"[…]",_xlpm._fullName),
HYPERLINK("#'"&amp;$I186&amp;"'!"&amp;$J186&amp;$K186,
_xlpm._truncatedName)))</f>
        <v/>
      </c>
      <c r="B186" s="106" t="str" cm="1">
        <f t="array" aca="1" ref="B186" ca="1">IF($A186="","",SimpleLookup($A186,Questions!$A:$B))</f>
        <v/>
      </c>
      <c r="C186" s="107" t="s">
        <v>10</v>
      </c>
      <c r="D186" s="110" t="s">
        <v>1646</v>
      </c>
      <c r="E186" s="106" t="str" cm="1">
        <f t="array" aca="1" ref="E186" ca="1">_xlfn.LET(
_xlpm._options,IF($O186="","",SimpleLookup($O186,Questions!$A:$H)),
_xlpm._followUpStart,FIND($C186&amp;":",_xlpm._options)+LEN($C186&amp;":"),
_xlpm._followUpEnd,FIND(CHAR(10),_xlpm._options&amp;CHAR(10),_xlpm._followUpStart),
IF($C186="","",TRIM(MID(_xlpm._options,_xlpm._followUpStart,_xlpm._followUpEnd-_xlpm._followUpStart))))</f>
        <v/>
      </c>
      <c r="F186" s="107"/>
      <c r="G186" s="113"/>
      <c r="H186" s="113" cm="1">
        <f t="array" aca="1" ref="H186" ca="1">CreateID($H$2,$A186&lt;&gt;"")</f>
        <v>36</v>
      </c>
      <c r="I186" s="9" t="str">
        <f t="shared" si="30"/>
        <v/>
      </c>
      <c r="J186" s="9" t="str">
        <f t="shared" si="31"/>
        <v/>
      </c>
      <c r="K186" s="9" t="str">
        <f t="shared" si="32"/>
        <v/>
      </c>
      <c r="L186" s="9" cm="1">
        <f t="array" aca="1" ref="L186" ca="1">CreateID($L$2,$I186&lt;&gt;INDEX($I:$I,ROW()-1))</f>
        <v>72</v>
      </c>
      <c r="M186" s="9" t="str" cm="1">
        <f t="array" aca="1" ref="M186" ca="1">IF($Q186="","",INDIRECT($Q186))</f>
        <v/>
      </c>
      <c r="N186" s="9" t="str">
        <f t="shared" ca="1" si="33"/>
        <v>D</v>
      </c>
      <c r="O186" s="9" t="str">
        <f t="shared" ca="1" si="34"/>
        <v>QA18</v>
      </c>
    </row>
    <row r="187" spans="1:17" ht="84" x14ac:dyDescent="0.25">
      <c r="A187" s="108" t="str" cm="1">
        <f t="array" aca="1" ref="A187" ca="1">IF($Q187="","",_xlfn.LET(
_xlpm._fullName,IF($R187="",SUBSTITUTE(SUBSTITUTE(INDIRECT($Q187),CHAR(10)," "),"  "," "),$R187),
_xlpm._truncatedName,IF(LEN(_xlpm._fullName)&gt;250,LEFT(_xlpm._fullName,250)&amp;"[…]",_xlpm._fullName),
HYPERLINK("#'"&amp;$I187&amp;"'!"&amp;$J187&amp;$K187,
_xlpm._truncatedName)))</f>
        <v>QA19</v>
      </c>
      <c r="B187" s="106" t="str" cm="1">
        <f t="array" aca="1" ref="B187" ca="1">IF($A187="","",SimpleLookup($A187,Questions!$A:$B))</f>
        <v>Are the supply chain partners trustworthy and protected against attacks?</v>
      </c>
      <c r="C187" s="107" t="s">
        <v>9</v>
      </c>
      <c r="D187" s="110" t="str">
        <f>"(1a) Yes - also, if there are no supply chain partners.
(1b) Yes, if the supply chain partners fulfill the "&amp;Definitions!$C$4&amp;" Cybersecurity Supplier Requirements for solutions.
(1c) Yes, if the supply chain partners deliver components that bear the CE marking (after 11 Dec 2027)"</f>
        <v>(1a) Yes - also, if there are no supply chain partners.
(1b) Yes, if the supply chain partners fulfill the &lt;&lt; OEM Name &gt;&gt; Cybersecurity Supplier Requirements for solutions.
(1c) Yes, if the supply chain partners deliver components that bear the CE marking (after 11 Dec 2027)</v>
      </c>
      <c r="E187" s="106" t="str" cm="1">
        <f t="array" aca="1" ref="E187" ca="1">_xlfn.LET(
_xlpm._options,IF($O187="","",SimpleLookup($O187,Questions!$A:$H)),
_xlpm._followUpStart,FIND($C187&amp;":",_xlpm._options)+LEN($C187&amp;":"),
_xlpm._followUpEnd,FIND(CHAR(10),_xlpm._options&amp;CHAR(10),_xlpm._followUpStart),
IF($C187="","",TRIM(MID(_xlpm._options,_xlpm._followUpStart,_xlpm._followUpEnd-_xlpm._followUpStart))))</f>
        <v>Will the supplier provide regular updates for the product?</v>
      </c>
      <c r="F187" s="107" t="s">
        <v>9</v>
      </c>
      <c r="G187" s="113" t="s">
        <v>1673</v>
      </c>
      <c r="H187" s="113" cm="1">
        <f t="array" aca="1" ref="H187" ca="1">CreateID($H$2,$A187&lt;&gt;"")</f>
        <v>37</v>
      </c>
      <c r="I187" s="9" t="str">
        <f t="shared" ca="1" si="30"/>
        <v>Questionnaire</v>
      </c>
      <c r="J187" s="9" t="str">
        <f t="shared" ca="1" si="31"/>
        <v>B</v>
      </c>
      <c r="K187" s="9" t="str">
        <f t="shared" ca="1" si="32"/>
        <v>58</v>
      </c>
      <c r="L187" s="9" cm="1">
        <f t="array" aca="1" ref="L187" ca="1">CreateID($L$2,$I187&lt;&gt;INDEX($I:$I,ROW()-1))</f>
        <v>73</v>
      </c>
      <c r="M187" s="9" t="str" cm="1">
        <f t="array" aca="1" ref="M187" ca="1">IF($Q187="","",INDIRECT($Q187))</f>
        <v>QA19</v>
      </c>
      <c r="N187" s="9" t="str">
        <f t="shared" ca="1" si="33"/>
        <v>L</v>
      </c>
      <c r="O187" s="9" t="str">
        <f t="shared" ca="1" si="34"/>
        <v>QA19</v>
      </c>
      <c r="Q187" s="2" t="str" cm="1">
        <f t="array" aca="1" ref="Q187" ca="1">CELL("address",Questionnaire!$B$58)</f>
        <v>'[QuBA-libre.xlsx]Questionnaire'!$B$58</v>
      </c>
    </row>
    <row r="188" spans="1:17" x14ac:dyDescent="0.25">
      <c r="A188" s="108" t="str" cm="1">
        <f t="array" aca="1" ref="A188" ca="1">IF($Q188="","",_xlfn.LET(
_xlpm._fullName,IF($R188="",SUBSTITUTE(SUBSTITUTE(INDIRECT($Q188),CHAR(10)," "),"  "," "),$R188),
_xlpm._truncatedName,IF(LEN(_xlpm._fullName)&gt;250,LEFT(_xlpm._fullName,250)&amp;"[…]",_xlpm._fullName),
HYPERLINK("#'"&amp;$I188&amp;"'!"&amp;$J188&amp;$K188,
_xlpm._truncatedName)))</f>
        <v/>
      </c>
      <c r="B188" s="106" t="str" cm="1">
        <f t="array" aca="1" ref="B188" ca="1">IF($A188="","",SimpleLookup($A188,Questions!$A:$B))</f>
        <v/>
      </c>
      <c r="C188" s="107"/>
      <c r="D188" s="110"/>
      <c r="E188" s="106" t="str" cm="1">
        <f t="array" aca="1" ref="E188" ca="1">_xlfn.LET(
_xlpm._options,IF($O188="","",SimpleLookup($O188,Questions!$A:$H)),
_xlpm._followUpStart,FIND($C188&amp;":",_xlpm._options)+LEN($C188&amp;":"),
_xlpm._followUpEnd,FIND(CHAR(10),_xlpm._options&amp;CHAR(10),_xlpm._followUpStart),
IF($C188="","",TRIM(MID(_xlpm._options,_xlpm._followUpStart,_xlpm._followUpEnd-_xlpm._followUpStart))))</f>
        <v/>
      </c>
      <c r="F188" s="107" t="s">
        <v>10</v>
      </c>
      <c r="G188" s="113"/>
      <c r="H188" s="113" cm="1">
        <f t="array" aca="1" ref="H188" ca="1">CreateID($H$2,$A188&lt;&gt;"")</f>
        <v>37</v>
      </c>
      <c r="I188" s="9" t="str">
        <f t="shared" si="30"/>
        <v/>
      </c>
      <c r="J188" s="9" t="str">
        <f t="shared" si="31"/>
        <v/>
      </c>
      <c r="K188" s="9" t="str">
        <f t="shared" si="32"/>
        <v/>
      </c>
      <c r="L188" s="9" cm="1">
        <f t="array" aca="1" ref="L188" ca="1">CreateID($L$2,$I188&lt;&gt;INDEX($I:$I,ROW()-1))</f>
        <v>74</v>
      </c>
      <c r="M188" s="9" t="str" cm="1">
        <f t="array" aca="1" ref="M188" ca="1">IF($Q188="","",INDIRECT($Q188))</f>
        <v/>
      </c>
      <c r="N188" s="9" t="str">
        <f t="shared" ca="1" si="33"/>
        <v>L</v>
      </c>
      <c r="O188" s="9" t="str">
        <f t="shared" ca="1" si="34"/>
        <v>QA19</v>
      </c>
    </row>
    <row r="189" spans="1:17" x14ac:dyDescent="0.25">
      <c r="A189" s="108" t="str" cm="1">
        <f t="array" aca="1" ref="A189" ca="1">IF($Q189="","",_xlfn.LET(
_xlpm._fullName,IF($R189="",SUBSTITUTE(SUBSTITUTE(INDIRECT($Q189),CHAR(10)," "),"  "," "),$R189),
_xlpm._truncatedName,IF(LEN(_xlpm._fullName)&gt;250,LEFT(_xlpm._fullName,250)&amp;"[…]",_xlpm._fullName),
HYPERLINK("#'"&amp;$I189&amp;"'!"&amp;$J189&amp;$K189,
_xlpm._truncatedName)))</f>
        <v/>
      </c>
      <c r="B189" s="106" t="str" cm="1">
        <f t="array" aca="1" ref="B189" ca="1">IF($A189="","",SimpleLookup($A189,Questions!$A:$B))</f>
        <v/>
      </c>
      <c r="C189" s="107" t="s">
        <v>10</v>
      </c>
      <c r="D189" s="110" t="s">
        <v>1580</v>
      </c>
      <c r="E189" s="106" t="str" cm="1">
        <f t="array" aca="1" ref="E189" ca="1">_xlfn.LET(
_xlpm._options,IF($O189="","",SimpleLookup($O189,Questions!$A:$H)),
_xlpm._followUpStart,FIND($C189&amp;":",_xlpm._options)+LEN($C189&amp;":"),
_xlpm._followUpEnd,FIND(CHAR(10),_xlpm._options&amp;CHAR(10),_xlpm._followUpStart),
IF($C189="","",TRIM(MID(_xlpm._options,_xlpm._followUpStart,_xlpm._followUpEnd-_xlpm._followUpStart))))</f>
        <v/>
      </c>
      <c r="F189" s="107"/>
      <c r="G189" s="113"/>
      <c r="H189" s="113" cm="1">
        <f t="array" aca="1" ref="H189" ca="1">CreateID($H$2,$A189&lt;&gt;"")</f>
        <v>37</v>
      </c>
      <c r="I189" s="9" t="str">
        <f t="shared" si="30"/>
        <v/>
      </c>
      <c r="J189" s="9" t="str">
        <f t="shared" si="31"/>
        <v/>
      </c>
      <c r="K189" s="9" t="str">
        <f t="shared" si="32"/>
        <v/>
      </c>
      <c r="L189" s="9" cm="1">
        <f t="array" aca="1" ref="L189" ca="1">CreateID($L$2,$I189&lt;&gt;INDEX($I:$I,ROW()-1))</f>
        <v>74</v>
      </c>
      <c r="M189" s="9" t="str" cm="1">
        <f t="array" aca="1" ref="M189" ca="1">IF($Q189="","",INDIRECT($Q189))</f>
        <v/>
      </c>
      <c r="N189" s="9" t="str">
        <f t="shared" ca="1" si="33"/>
        <v>L</v>
      </c>
      <c r="O189" s="9" t="str">
        <f t="shared" ca="1" si="34"/>
        <v>QA19</v>
      </c>
    </row>
    <row r="190" spans="1:17" ht="84" x14ac:dyDescent="0.25">
      <c r="A190" s="117" t="str" cm="1">
        <f t="array" aca="1" ref="A190" ca="1">IF($Q190="","",_xlfn.LET(
_xlpm._fullName,IF($R190="",SUBSTITUTE(SUBSTITUTE(INDIRECT($Q190),CHAR(10)," "),"  "," "),$R190),
_xlpm._truncatedName,IF(LEN(_xlpm._fullName)&gt;250,LEFT(_xlpm._fullName,250)&amp;"[…]",_xlpm._fullName),
HYPERLINK("#'"&amp;$I190&amp;"'!"&amp;$J190&amp;$K190,
_xlpm._truncatedName)))</f>
        <v/>
      </c>
      <c r="B190" s="106" t="str" cm="1">
        <f t="array" aca="1" ref="B190" ca="1">IF($A190="","",SimpleLookup($A190,Questions!$A:$B))</f>
        <v/>
      </c>
      <c r="C190" s="107" t="s">
        <v>1451</v>
      </c>
      <c r="D190" s="110" t="s">
        <v>1680</v>
      </c>
      <c r="E190" s="106" t="str" cm="1">
        <f t="array" aca="1" ref="E190" ca="1">_xlfn.LET(
_xlpm._options,IF($O190="","",SimpleLookup($O190,Questions!$A:$H)),
_xlpm._followUpStart,FIND($C190&amp;":",_xlpm._options)+LEN($C190&amp;":"),
_xlpm._followUpEnd,FIND(CHAR(10),_xlpm._options&amp;CHAR(10),_xlpm._followUpStart),
IF($C190="","",TRIM(MID(_xlpm._options,_xlpm._followUpStart,_xlpm._followUpEnd-_xlpm._followUpStart))))</f>
        <v/>
      </c>
      <c r="F190" s="107"/>
      <c r="G190" s="113"/>
      <c r="H190" s="113" cm="1">
        <f t="array" aca="1" ref="H190" ca="1">CreateID($H$2,$A190&lt;&gt;"")</f>
        <v>37</v>
      </c>
      <c r="I190" s="9" t="str">
        <f>IF($Q190="","",_xlfn.LET(
_xlpm._in,$Q190,
_xlpm._start,FIND("]",_xlpm._in)+1,
SUBSTITUTE(MID(_xlpm._in,_xlpm._start,FIND("!",_xlpm._in)-_xlpm._start),"'","")))</f>
        <v/>
      </c>
      <c r="J190" s="9" t="str">
        <f>IF($Q190="","",_xlfn.LET(
_xlpm._in,SUBSTITUTE($Q190,"$","§",1),
_xlpm._start,FIND("§",_xlpm._in)+1,
SUBSTITUTE(MID(_xlpm._in,_xlpm._start,FIND("$",_xlpm._in)-_xlpm._start),"'","")))</f>
        <v/>
      </c>
      <c r="K190" s="9" t="str">
        <f>IF($Q190="","",RIGHT($Q190,LEN($Q190)-FIND("$",SUBSTITUTE($Q190,"$","§",1))))</f>
        <v/>
      </c>
      <c r="L190" s="9" cm="1">
        <f t="array" aca="1" ref="L190" ca="1">CreateID($L$2,$I190&lt;&gt;INDEX($I:$I,ROW()-1))</f>
        <v>74</v>
      </c>
      <c r="M190" s="9" t="str" cm="1">
        <f t="array" aca="1" ref="M190" ca="1">IF($Q190="","",INDIRECT($Q190))</f>
        <v/>
      </c>
      <c r="N190" s="9" t="str">
        <f ca="1">IF(MOD($H190,2)=0,"D","L")</f>
        <v>L</v>
      </c>
      <c r="O190" s="9" t="str">
        <f ca="1">IF($A190="",OFFSET($O190,-1,0),$A190)</f>
        <v>QA19</v>
      </c>
    </row>
    <row r="191" spans="1:17" x14ac:dyDescent="0.25">
      <c r="A191" s="108" t="str" cm="1">
        <f t="array" aca="1" ref="A191" ca="1">IF($Q191="","",_xlfn.LET(
_xlpm._fullName,IF($R191="",SUBSTITUTE(SUBSTITUTE(INDIRECT($Q191),CHAR(10)," "),"  "," "),$R191),
_xlpm._truncatedName,IF(LEN(_xlpm._fullName)&gt;250,LEFT(_xlpm._fullName,250)&amp;"[…]",_xlpm._fullName),
HYPERLINK("#'"&amp;$I191&amp;"'!"&amp;$J191&amp;$K191,
_xlpm._truncatedName)))</f>
        <v>QA20</v>
      </c>
      <c r="B191" s="106" t="str" cm="1">
        <f t="array" aca="1" ref="B191" ca="1">IF($A191="","",SimpleLookup($A191,Questions!$A:$B))</f>
        <v>What is the product's expected lifetime?</v>
      </c>
      <c r="C191" s="107"/>
      <c r="D191" s="110" t="s">
        <v>1647</v>
      </c>
      <c r="E191" s="106" t="str" cm="1">
        <f t="array" aca="1" ref="E191" ca="1">_xlfn.LET(
_xlpm._options,IF($O191="","",SimpleLookup($O191,Questions!$A:$H)),
_xlpm._followUpStart,FIND($C191&amp;":",_xlpm._options)+LEN($C191&amp;":"),
_xlpm._followUpEnd,FIND(CHAR(10),_xlpm._options&amp;CHAR(10),_xlpm._followUpStart),
IF($C191="","",TRIM(MID(_xlpm._options,_xlpm._followUpStart,_xlpm._followUpEnd-_xlpm._followUpStart))))</f>
        <v/>
      </c>
      <c r="F191" s="107"/>
      <c r="G191" s="113"/>
      <c r="H191" s="113" cm="1">
        <f t="array" aca="1" ref="H191" ca="1">CreateID($H$2,$A191&lt;&gt;"")</f>
        <v>38</v>
      </c>
      <c r="I191" s="9" t="str">
        <f t="shared" ca="1" si="30"/>
        <v>Questionnaire</v>
      </c>
      <c r="J191" s="9" t="str">
        <f t="shared" ca="1" si="31"/>
        <v>B</v>
      </c>
      <c r="K191" s="9" t="str">
        <f t="shared" ca="1" si="32"/>
        <v>59</v>
      </c>
      <c r="L191" s="9" cm="1">
        <f t="array" aca="1" ref="L191" ca="1">CreateID($L$2,$I191&lt;&gt;INDEX($I:$I,ROW()-1))</f>
        <v>75</v>
      </c>
      <c r="M191" s="9" t="str" cm="1">
        <f t="array" aca="1" ref="M191" ca="1">IF($Q191="","",INDIRECT($Q191))</f>
        <v>QA20</v>
      </c>
      <c r="N191" s="9" t="str">
        <f t="shared" ca="1" si="33"/>
        <v>D</v>
      </c>
      <c r="O191" s="9" t="str">
        <f t="shared" ca="1" si="34"/>
        <v>QA20</v>
      </c>
      <c r="Q191" s="2" t="str" cm="1">
        <f t="array" aca="1" ref="Q191" ca="1">CELL("address",Questionnaire!$B$59)</f>
        <v>'[QuBA-libre.xlsx]Questionnaire'!$B$59</v>
      </c>
    </row>
    <row r="192" spans="1:17" ht="48" x14ac:dyDescent="0.25">
      <c r="A192" s="108" t="str" cm="1">
        <f t="array" aca="1" ref="A192" ca="1">IF($Q192="","",_xlfn.LET(
_xlpm._fullName,IF($R192="",SUBSTITUTE(SUBSTITUTE(INDIRECT($Q192),CHAR(10)," "),"  "," "),$R192),
_xlpm._truncatedName,IF(LEN(_xlpm._fullName)&gt;250,LEFT(_xlpm._fullName,250)&amp;"[…]",_xlpm._fullName),
HYPERLINK("#'"&amp;$I192&amp;"'!"&amp;$J192&amp;$K192,
_xlpm._truncatedName)))</f>
        <v>QA21</v>
      </c>
      <c r="B192" s="106" t="str" cm="1">
        <f t="array" aca="1" ref="B192" ca="1">IF($A192="","",SimpleLookup($A192,Questions!$A:$B))</f>
        <v>What is the product's planned support duration?</v>
      </c>
      <c r="C192" s="107"/>
      <c r="D192" s="110" t="s">
        <v>1648</v>
      </c>
      <c r="E192" s="106" t="str" cm="1">
        <f t="array" aca="1" ref="E192" ca="1">_xlfn.LET(
_xlpm._options,IF($O192="","",SimpleLookup($O192,Questions!$A:$H)),
_xlpm._followUpStart,FIND($C192&amp;":",_xlpm._options)+LEN($C192&amp;":"),
_xlpm._followUpEnd,FIND(CHAR(10),_xlpm._options&amp;CHAR(10),_xlpm._followUpStart),
IF($C192="","",TRIM(MID(_xlpm._options,_xlpm._followUpStart,_xlpm._followUpEnd-_xlpm._followUpStart))))</f>
        <v/>
      </c>
      <c r="F192" s="107"/>
      <c r="G192" s="113"/>
      <c r="H192" s="113" cm="1">
        <f t="array" aca="1" ref="H192" ca="1">CreateID($H$2,$A192&lt;&gt;"")</f>
        <v>39</v>
      </c>
      <c r="I192" s="9" t="str">
        <f t="shared" ca="1" si="30"/>
        <v>Questionnaire</v>
      </c>
      <c r="J192" s="9" t="str">
        <f t="shared" ca="1" si="31"/>
        <v>B</v>
      </c>
      <c r="K192" s="9" t="str">
        <f t="shared" ca="1" si="32"/>
        <v>60</v>
      </c>
      <c r="L192" s="9" cm="1">
        <f t="array" aca="1" ref="L192" ca="1">CreateID($L$2,$I192&lt;&gt;INDEX($I:$I,ROW()-1))</f>
        <v>75</v>
      </c>
      <c r="M192" s="9" t="str" cm="1">
        <f t="array" aca="1" ref="M192" ca="1">IF($Q192="","",INDIRECT($Q192))</f>
        <v>QA21</v>
      </c>
      <c r="N192" s="9" t="str">
        <f t="shared" ca="1" si="33"/>
        <v>L</v>
      </c>
      <c r="O192" s="9" t="str">
        <f t="shared" ca="1" si="34"/>
        <v>QA21</v>
      </c>
      <c r="Q192" s="2" t="str" cm="1">
        <f t="array" aca="1" ref="Q192" ca="1">CELL("address",Questionnaire!$B$60)</f>
        <v>'[QuBA-libre.xlsx]Questionnaire'!$B$60</v>
      </c>
    </row>
  </sheetData>
  <conditionalFormatting sqref="A1:G1048576">
    <cfRule type="expression" dxfId="81" priority="1">
      <formula>$B1&lt;&gt;""</formula>
    </cfRule>
    <cfRule type="expression" dxfId="80" priority="5">
      <formula>$N1="D"</formula>
    </cfRule>
    <cfRule type="expression" dxfId="79" priority="6">
      <formula>$N1="L"</formula>
    </cfRule>
  </conditionalFormatting>
  <conditionalFormatting sqref="C1:G1048576">
    <cfRule type="expression" dxfId="78" priority="2">
      <formula>$C1&lt;&gt;""</formula>
    </cfRule>
  </conditionalFormatting>
  <conditionalFormatting sqref="E1:G1048576">
    <cfRule type="expression" dxfId="77" priority="3">
      <formula>$E1&lt;&gt;""</formula>
    </cfRule>
  </conditionalFormatting>
  <conditionalFormatting sqref="F1:G1048576">
    <cfRule type="expression" dxfId="76" priority="4">
      <formula>$F1&lt;&gt;""</formula>
    </cfRule>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B8D93-95D7-4105-9CDD-A7C6BEE73F4B}">
  <sheetPr>
    <tabColor theme="1"/>
  </sheetPr>
  <dimension ref="A1:I24"/>
  <sheetViews>
    <sheetView workbookViewId="0">
      <selection activeCell="D4" sqref="D4"/>
    </sheetView>
  </sheetViews>
  <sheetFormatPr defaultColWidth="9.140625" defaultRowHeight="15" x14ac:dyDescent="0.25"/>
  <cols>
    <col min="1" max="1" width="2.7109375" style="80" customWidth="1"/>
    <col min="2" max="2" width="24.5703125" style="2" bestFit="1" customWidth="1"/>
    <col min="3" max="3" width="24.5703125" style="2" customWidth="1"/>
    <col min="4" max="4" width="120.7109375" style="2" customWidth="1"/>
    <col min="5" max="5" width="35.7109375" style="2" customWidth="1"/>
    <col min="6" max="6" width="15.7109375" style="2" hidden="1" customWidth="1"/>
    <col min="7" max="8" width="9.140625" style="2"/>
    <col min="9" max="9" width="10.140625" style="2" bestFit="1" customWidth="1"/>
    <col min="10" max="16384" width="9.140625" style="2"/>
  </cols>
  <sheetData>
    <row r="1" spans="1:9" ht="18.75" x14ac:dyDescent="0.3">
      <c r="A1" s="80" t="str" cm="1">
        <f t="array" aca="1" ref="A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HYPERLINK("#'"&amp;Helper!$G$2&amp;"'!"&amp;CHAR(CODE("A")+COLUMN(_xlpm._columnNameHeader)-1)&amp;_xlpm._entryOffset,Definitions!$AY$4)))(Helper!$G$20,$B1,README!$E:$E,README!$I$35,README!$B$35)</f>
        <v>◈</v>
      </c>
      <c r="B1" s="22" t="s">
        <v>216</v>
      </c>
      <c r="C1" s="22"/>
    </row>
    <row r="2" spans="1:9" x14ac:dyDescent="0.25">
      <c r="B2" s="93" t="s">
        <v>217</v>
      </c>
      <c r="C2" s="93" t="s">
        <v>1485</v>
      </c>
      <c r="D2" s="93" t="s">
        <v>218</v>
      </c>
      <c r="E2" s="93" t="s">
        <v>219</v>
      </c>
      <c r="F2" s="93" t="s">
        <v>1487</v>
      </c>
    </row>
    <row r="3" spans="1:9" ht="30" x14ac:dyDescent="0.25">
      <c r="B3" s="97">
        <v>45870</v>
      </c>
      <c r="C3" s="98" t="s">
        <v>1496</v>
      </c>
      <c r="D3" s="99" t="s">
        <v>750</v>
      </c>
      <c r="E3" s="100" t="s">
        <v>1708</v>
      </c>
      <c r="F3" s="2" t="b" cm="1">
        <f t="array" aca="1" ref="F3" ca="1">_xlfn.LAMBDA(_xlpm._dateCell,AND(_xlpm._dateCell&lt;&gt;"",OFFSET(_xlpm._dateCell,1,0)=""))($B3)</f>
        <v>0</v>
      </c>
    </row>
    <row r="4" spans="1:9" ht="255" x14ac:dyDescent="0.25">
      <c r="B4" s="23">
        <v>46189</v>
      </c>
      <c r="C4" s="98" t="s">
        <v>1710</v>
      </c>
      <c r="D4" s="10" t="s">
        <v>1756</v>
      </c>
      <c r="E4" s="101" t="s">
        <v>1708</v>
      </c>
      <c r="F4" s="2" t="b" cm="1">
        <f t="array" aca="1" ref="F4" ca="1">_xlfn.LAMBDA(_xlpm._dateCell,AND(_xlpm._dateCell&lt;&gt;"",OFFSET(_xlpm._dateCell,1,0)=""))($B4)</f>
        <v>1</v>
      </c>
      <c r="I4" s="96"/>
    </row>
    <row r="6" spans="1:9" ht="18.75" x14ac:dyDescent="0.3">
      <c r="A6" s="80" t="str" cm="1">
        <f t="array" aca="1" ref="A6"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HYPERLINK("#'"&amp;Helper!$G$2&amp;"'!"&amp;CHAR(CODE("A")+COLUMN(_xlpm._columnNameHeader)-1)&amp;_xlpm._entryOffset,Definitions!$AY$4)))(Helper!$G$20,$B6,README!$E:$E,README!$I$35,README!$B$35)</f>
        <v>◈</v>
      </c>
      <c r="B6" s="22" t="s">
        <v>958</v>
      </c>
      <c r="C6" s="22"/>
    </row>
    <row r="7" spans="1:9" x14ac:dyDescent="0.25">
      <c r="B7" s="93" t="s">
        <v>217</v>
      </c>
      <c r="C7" s="93" t="s">
        <v>951</v>
      </c>
      <c r="D7" s="93" t="s">
        <v>218</v>
      </c>
      <c r="E7" s="93" t="s">
        <v>1486</v>
      </c>
      <c r="F7" s="93" t="s">
        <v>1487</v>
      </c>
    </row>
    <row r="8" spans="1:9" x14ac:dyDescent="0.25">
      <c r="B8" s="97">
        <v>45870</v>
      </c>
      <c r="C8" s="97"/>
      <c r="D8" s="99" t="s">
        <v>751</v>
      </c>
      <c r="E8" s="99"/>
      <c r="F8" s="2" t="b" cm="1">
        <f t="array" aca="1" ref="F8" ca="1">_xlfn.LAMBDA(_xlpm._dateCell,AND(_xlpm._dateCell&lt;&gt;"",OFFSET(_xlpm._dateCell,1,0)=""))($B8)</f>
        <v>0</v>
      </c>
    </row>
    <row r="9" spans="1:9" x14ac:dyDescent="0.25">
      <c r="B9" s="23">
        <v>45902</v>
      </c>
      <c r="C9" s="23"/>
      <c r="D9" s="10" t="s">
        <v>1709</v>
      </c>
      <c r="E9" s="9"/>
      <c r="F9" s="2" t="b" cm="1">
        <f t="array" aca="1" ref="F9" ca="1">_xlfn.LAMBDA(_xlpm._dateCell,AND(_xlpm._dateCell&lt;&gt;"",OFFSET(_xlpm._dateCell,1,0)=""))($B9)</f>
        <v>1</v>
      </c>
    </row>
    <row r="11" spans="1:9" ht="18.75" x14ac:dyDescent="0.3">
      <c r="A11" s="80" t="str" cm="1">
        <f t="array" aca="1" ref="A1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HYPERLINK("#'"&amp;Helper!$G$2&amp;"'!"&amp;CHAR(CODE("A")+COLUMN(_xlpm._columnNameHeader)-1)&amp;_xlpm._entryOffset,Definitions!$AY$4)))(Helper!$G$20,$B11,README!$E:$E,README!$I$35,README!$B$35)</f>
        <v>◈</v>
      </c>
      <c r="B11" s="22" t="s">
        <v>485</v>
      </c>
      <c r="C11" s="22"/>
    </row>
    <row r="12" spans="1:9" x14ac:dyDescent="0.25">
      <c r="B12" s="93" t="s">
        <v>217</v>
      </c>
      <c r="C12" s="93" t="s">
        <v>1486</v>
      </c>
      <c r="D12" s="93" t="s">
        <v>218</v>
      </c>
      <c r="E12" s="93" t="s">
        <v>951</v>
      </c>
      <c r="F12" s="93" t="s">
        <v>1487</v>
      </c>
    </row>
    <row r="13" spans="1:9" x14ac:dyDescent="0.25">
      <c r="B13" s="94">
        <v>45870</v>
      </c>
      <c r="C13" s="94"/>
      <c r="D13" s="95" t="s">
        <v>751</v>
      </c>
      <c r="E13" s="95"/>
      <c r="F13" s="2" t="b" cm="1">
        <f t="array" aca="1" ref="F13" ca="1">_xlfn.LAMBDA(_xlpm._dateCell,AND(_xlpm._dateCell&lt;&gt;"",OFFSET(_xlpm._dateCell,1,0)=""))($B13)</f>
        <v>0</v>
      </c>
    </row>
    <row r="14" spans="1:9" ht="45" x14ac:dyDescent="0.25">
      <c r="B14" s="23">
        <v>46146</v>
      </c>
      <c r="C14" s="23"/>
      <c r="D14" s="10" t="s">
        <v>1678</v>
      </c>
      <c r="E14" s="9"/>
      <c r="F14" s="2" t="b" cm="1">
        <f t="array" aca="1" ref="F14" ca="1">_xlfn.LAMBDA(_xlpm._dateCell,AND(_xlpm._dateCell&lt;&gt;"",OFFSET(_xlpm._dateCell,1,0)=""))($B14)</f>
        <v>1</v>
      </c>
    </row>
    <row r="16" spans="1:9" ht="18.75" x14ac:dyDescent="0.3">
      <c r="A16" s="80" t="str" cm="1">
        <f t="array" aca="1" ref="A16"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HYPERLINK("#'"&amp;Helper!$G$2&amp;"'!"&amp;CHAR(CODE("A")+COLUMN(_xlpm._columnNameHeader)-1)&amp;_xlpm._entryOffset,Definitions!$AY$4)))(Helper!$G$20,$B16,README!$E:$E,README!$I$35,README!$B$35)</f>
        <v>◈</v>
      </c>
      <c r="B16" s="22" t="s">
        <v>486</v>
      </c>
      <c r="C16" s="22"/>
    </row>
    <row r="17" spans="1:6" x14ac:dyDescent="0.25">
      <c r="B17" s="104" t="s">
        <v>217</v>
      </c>
      <c r="C17" s="104" t="s">
        <v>1486</v>
      </c>
      <c r="D17" s="104" t="s">
        <v>218</v>
      </c>
      <c r="E17" s="104" t="s">
        <v>951</v>
      </c>
      <c r="F17" s="93" t="s">
        <v>1487</v>
      </c>
    </row>
    <row r="18" spans="1:6" x14ac:dyDescent="0.25">
      <c r="B18" s="105">
        <v>45870</v>
      </c>
      <c r="C18" s="104"/>
      <c r="D18" s="104" t="s">
        <v>751</v>
      </c>
      <c r="E18" s="104"/>
      <c r="F18" s="2" t="b" cm="1">
        <f t="array" aca="1" ref="F18" ca="1">_xlfn.LAMBDA(_xlpm._dateCell,AND(_xlpm._dateCell&lt;&gt;"",OFFSET(_xlpm._dateCell,1,0)=""))($B18)</f>
        <v>0</v>
      </c>
    </row>
    <row r="19" spans="1:6" ht="105" x14ac:dyDescent="0.25">
      <c r="B19" s="105">
        <v>46146</v>
      </c>
      <c r="C19" s="104"/>
      <c r="D19" s="104" t="s">
        <v>1688</v>
      </c>
      <c r="E19" s="104"/>
      <c r="F19" s="2" t="b" cm="1">
        <f t="array" aca="1" ref="F19" ca="1">_xlfn.LAMBDA(_xlpm._dateCell,AND(_xlpm._dateCell&lt;&gt;"",OFFSET(_xlpm._dateCell,1,0)=""))($B19)</f>
        <v>1</v>
      </c>
    </row>
    <row r="21" spans="1:6" ht="18.75" x14ac:dyDescent="0.3">
      <c r="A21" s="80" t="str" cm="1">
        <f t="array" aca="1" ref="A2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HYPERLINK("#'"&amp;Helper!$G$2&amp;"'!"&amp;CHAR(CODE("A")+COLUMN(_xlpm._columnNameHeader)-1)&amp;_xlpm._entryOffset,Definitions!$AY$4)))(Helper!$G$20,$B21,README!$E:$E,README!$I$35,README!$B$35)</f>
        <v>◈</v>
      </c>
      <c r="B21" s="22" t="s">
        <v>487</v>
      </c>
      <c r="C21" s="22"/>
    </row>
    <row r="22" spans="1:6" x14ac:dyDescent="0.25">
      <c r="B22" s="93" t="s">
        <v>217</v>
      </c>
      <c r="C22" s="93" t="s">
        <v>1486</v>
      </c>
      <c r="D22" s="93" t="s">
        <v>218</v>
      </c>
      <c r="E22" s="93" t="s">
        <v>951</v>
      </c>
      <c r="F22" s="93" t="s">
        <v>1487</v>
      </c>
    </row>
    <row r="23" spans="1:6" x14ac:dyDescent="0.25">
      <c r="B23" s="97">
        <v>45870</v>
      </c>
      <c r="C23" s="97"/>
      <c r="D23" s="99" t="s">
        <v>751</v>
      </c>
      <c r="E23" s="99"/>
      <c r="F23" s="2" t="b" cm="1">
        <f t="array" aca="1" ref="F23" ca="1">_xlfn.LAMBDA(_xlpm._dateCell,AND(_xlpm._dateCell&lt;&gt;"",OFFSET(_xlpm._dateCell,1,0)=""))($B23)</f>
        <v>0</v>
      </c>
    </row>
    <row r="24" spans="1:6" ht="90" x14ac:dyDescent="0.25">
      <c r="B24" s="23">
        <v>46146</v>
      </c>
      <c r="C24" s="23"/>
      <c r="D24" s="10" t="s">
        <v>1750</v>
      </c>
      <c r="E24" s="9"/>
      <c r="F24" s="2" t="b" cm="1">
        <f t="array" aca="1" ref="F24" ca="1">_xlfn.LAMBDA(_xlpm._dateCell,AND(_xlpm._dateCell&lt;&gt;"",OFFSET(_xlpm._dateCell,1,0)=""))($B24)</f>
        <v>1</v>
      </c>
    </row>
  </sheetData>
  <hyperlinks>
    <hyperlink ref="E3" r:id="rId1" display="cybersecurity@SICK.de" xr:uid="{F0EB131C-241F-4CBF-BBF3-2CB5D4885AF7}"/>
  </hyperlinks>
  <pageMargins left="0.7" right="0.7" top="0.75" bottom="0.75" header="0.3" footer="0.3"/>
  <pageSetup paperSize="9" orientation="portrait" r:id="rId2"/>
  <ignoredErrors>
    <ignoredError sqref="C4" twoDigitTextYear="1"/>
  </ignoredErrors>
  <tableParts count="5">
    <tablePart r:id="rId3"/>
    <tablePart r:id="rId4"/>
    <tablePart r:id="rId5"/>
    <tablePart r:id="rId6"/>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332AB-ED4E-4633-9970-D747029C0FB6}">
  <sheetPr>
    <tabColor theme="1" tint="0.14999847407452621"/>
    <pageSetUpPr fitToPage="1"/>
  </sheetPr>
  <dimension ref="A1:J48"/>
  <sheetViews>
    <sheetView workbookViewId="0">
      <selection activeCell="C18" sqref="C18"/>
    </sheetView>
  </sheetViews>
  <sheetFormatPr defaultColWidth="9.140625" defaultRowHeight="15" x14ac:dyDescent="0.25"/>
  <cols>
    <col min="1" max="1" width="2.7109375" style="80" customWidth="1"/>
    <col min="2" max="2" width="24.5703125" style="2" bestFit="1" customWidth="1"/>
    <col min="3" max="3" width="60.7109375" style="2" customWidth="1"/>
    <col min="4" max="4" width="30.7109375" style="2" customWidth="1"/>
    <col min="5" max="5" width="15.7109375" style="2" customWidth="1"/>
    <col min="6" max="6" width="9.140625" style="85"/>
    <col min="7" max="7" width="120.7109375" style="2" customWidth="1"/>
    <col min="8" max="8" width="9.140625" style="2"/>
    <col min="9" max="9" width="18.85546875" style="2" hidden="1" customWidth="1"/>
    <col min="10" max="10" width="9.140625" style="2" hidden="1" customWidth="1"/>
    <col min="11" max="16384" width="9.140625" style="2"/>
  </cols>
  <sheetData>
    <row r="1" spans="1:10" ht="9.9499999999999993" customHeight="1" x14ac:dyDescent="0.25">
      <c r="I1" s="2" t="s">
        <v>402</v>
      </c>
      <c r="J1" s="2" t="s">
        <v>403</v>
      </c>
    </row>
    <row r="2" spans="1:10" ht="18.75" x14ac:dyDescent="0.3">
      <c r="A2" s="80" t="str" cm="1">
        <f t="array" aca="1" ref="A2"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HYPERLINK("#'"&amp;Helper!$G$2&amp;"'!"&amp;CHAR(CODE("A")+COLUMN(_xlpm._columnNameHeader)-1)&amp;_xlpm._entryOffset,Definitions!$AY$4)))(Helper!$G$9,$B2,README!$E:$E,README!$I$35,README!$B$35)</f>
        <v>◈</v>
      </c>
      <c r="B2" s="22" t="s">
        <v>215</v>
      </c>
      <c r="C2" s="121"/>
      <c r="D2" s="121"/>
      <c r="E2" s="121"/>
      <c r="F2" s="85" t="str" cm="1">
        <f t="array" aca="1" ref="F2"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HYPERLINK("#'"&amp;Helper!$G$2&amp;"'!"&amp;CHAR(CODE("A")+COLUMN(_xlpm._columnNameHeader)-1)&amp;_xlpm._entryOffset,Definitions!$AY$4)))(Helper!$G$9,$G2,README!$E:$E,README!$I$35,README!$B$35)</f>
        <v>◈</v>
      </c>
      <c r="G2" s="22" t="s">
        <v>445</v>
      </c>
      <c r="I2" s="2" t="str">
        <f>IF(AND($B2&lt;&gt;"",$C2=""),$B2,"")</f>
        <v>Target of Evaluation</v>
      </c>
      <c r="J2" s="2" cm="1">
        <f t="array" aca="1" ref="J2" ca="1">CreateID($J$1,$I2&lt;&gt;"")</f>
        <v>1</v>
      </c>
    </row>
    <row r="3" spans="1:10" ht="5.0999999999999996" customHeight="1" x14ac:dyDescent="0.25">
      <c r="B3" s="1"/>
      <c r="C3" s="61"/>
      <c r="D3" s="61"/>
      <c r="E3" s="61"/>
      <c r="I3" s="2" t="str">
        <f t="shared" ref="I3:I15" si="0">IF(AND($B3&lt;&gt;"",$C3=""),$B3,"")</f>
        <v/>
      </c>
      <c r="J3" s="2" cm="1">
        <f t="array" aca="1" ref="J3" ca="1">CreateID($J$1,$I3&lt;&gt;"")</f>
        <v>1</v>
      </c>
    </row>
    <row r="4" spans="1:10" ht="18.75" customHeight="1" x14ac:dyDescent="0.3">
      <c r="A4" s="80" t="str" cm="1">
        <f t="array" aca="1" ref="A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HYPERLINK("#'"&amp;Helper!$G$2&amp;"'!"&amp;CHAR(CODE("A")+COLUMN(_xlpm._columnNameHeader)-1)&amp;_xlpm._entryOffset,Definitions!$AY$4)))(Helper!$G$9,$B4,README!$E:$E,README!$I$35,README!$B$35)</f>
        <v>◈</v>
      </c>
      <c r="B4" s="22" t="s">
        <v>219</v>
      </c>
      <c r="C4" s="122"/>
      <c r="D4" s="122"/>
      <c r="E4" s="122"/>
      <c r="G4" s="120" t="s">
        <v>1751</v>
      </c>
      <c r="I4" s="2" t="str">
        <f t="shared" si="0"/>
        <v>Author</v>
      </c>
      <c r="J4" s="2" cm="1">
        <f t="array" aca="1" ref="J4" ca="1">CreateID($J$1,$I4&lt;&gt;"")</f>
        <v>2</v>
      </c>
    </row>
    <row r="5" spans="1:10" ht="5.0999999999999996" customHeight="1" x14ac:dyDescent="0.25">
      <c r="B5" s="1"/>
      <c r="C5" s="61"/>
      <c r="D5" s="61"/>
      <c r="E5" s="61"/>
      <c r="G5" s="120"/>
      <c r="I5" s="2" t="str">
        <f t="shared" si="0"/>
        <v/>
      </c>
      <c r="J5" s="2" cm="1">
        <f t="array" aca="1" ref="J5" ca="1">CreateID($J$1,$I5&lt;&gt;"")</f>
        <v>2</v>
      </c>
    </row>
    <row r="6" spans="1:10" ht="18.75" x14ac:dyDescent="0.3">
      <c r="A6" s="80" t="str" cm="1">
        <f t="array" aca="1" ref="A6"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HYPERLINK("#'"&amp;Helper!$G$2&amp;"'!"&amp;CHAR(CODE("A")+COLUMN(_xlpm._columnNameHeader)-1)&amp;_xlpm._entryOffset,Definitions!$AY$4)))(Helper!$G$9,$B6,README!$E:$E,README!$I$35,README!$B$35)</f>
        <v>◈</v>
      </c>
      <c r="B6" s="22" t="s">
        <v>946</v>
      </c>
      <c r="C6" s="122"/>
      <c r="D6" s="122"/>
      <c r="E6" s="122"/>
      <c r="G6" s="120"/>
      <c r="I6" s="2" t="str">
        <f t="shared" si="0"/>
        <v>PM Contact</v>
      </c>
      <c r="J6" s="2" cm="1">
        <f t="array" aca="1" ref="J6" ca="1">CreateID($J$1,$I6&lt;&gt;"")</f>
        <v>3</v>
      </c>
    </row>
    <row r="7" spans="1:10" ht="5.0999999999999996" customHeight="1" x14ac:dyDescent="0.3">
      <c r="B7" s="22"/>
      <c r="C7" s="61"/>
      <c r="D7" s="61"/>
      <c r="E7" s="61"/>
      <c r="G7" s="120"/>
      <c r="I7" s="2" t="str">
        <f t="shared" si="0"/>
        <v/>
      </c>
      <c r="J7" s="2" cm="1">
        <f t="array" aca="1" ref="J7" ca="1">CreateID($J$1,$I7&lt;&gt;"")</f>
        <v>3</v>
      </c>
    </row>
    <row r="8" spans="1:10" ht="18.75" x14ac:dyDescent="0.3">
      <c r="A8" s="80" t="str" cm="1">
        <f t="array" aca="1" ref="A8"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HYPERLINK("#'"&amp;Helper!$G$2&amp;"'!"&amp;CHAR(CODE("A")+COLUMN(_xlpm._columnNameHeader)-1)&amp;_xlpm._entryOffset,Definitions!$AY$4)))(Helper!$G$9,$B8,README!$E:$E,README!$I$35,README!$B$35)</f>
        <v>◈</v>
      </c>
      <c r="B8" s="22" t="s">
        <v>947</v>
      </c>
      <c r="C8" s="122"/>
      <c r="D8" s="122"/>
      <c r="E8" s="122"/>
      <c r="G8" s="120"/>
      <c r="I8" s="2" t="str">
        <f t="shared" si="0"/>
        <v>RD Contact</v>
      </c>
      <c r="J8" s="2" cm="1">
        <f t="array" aca="1" ref="J8" ca="1">CreateID($J$1,$I8&lt;&gt;"")</f>
        <v>4</v>
      </c>
    </row>
    <row r="9" spans="1:10" ht="5.0999999999999996" customHeight="1" x14ac:dyDescent="0.3">
      <c r="B9" s="22"/>
      <c r="C9" s="61"/>
      <c r="D9" s="61"/>
      <c r="E9" s="61"/>
      <c r="G9" s="120"/>
      <c r="I9" s="2" t="str">
        <f t="shared" si="0"/>
        <v/>
      </c>
      <c r="J9" s="2" cm="1">
        <f t="array" aca="1" ref="J9" ca="1">CreateID($J$1,$I9&lt;&gt;"")</f>
        <v>4</v>
      </c>
    </row>
    <row r="10" spans="1:10" ht="18.75" x14ac:dyDescent="0.3">
      <c r="A10" s="80" t="str" cm="1">
        <f t="array" aca="1" ref="A10"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HYPERLINK("#'"&amp;Helper!$G$2&amp;"'!"&amp;CHAR(CODE("A")+COLUMN(_xlpm._columnNameHeader)-1)&amp;_xlpm._entryOffset,Definitions!$AY$4)))(Helper!$G$9,$B10,README!$E:$E,README!$I$35,README!$B$35)</f>
        <v>◈</v>
      </c>
      <c r="B10" s="22" t="s">
        <v>948</v>
      </c>
      <c r="C10" s="122"/>
      <c r="D10" s="122"/>
      <c r="E10" s="122"/>
      <c r="G10" s="120"/>
      <c r="I10" s="2" t="str">
        <f t="shared" si="0"/>
        <v>CSS</v>
      </c>
      <c r="J10" s="2" cm="1">
        <f t="array" aca="1" ref="J10" ca="1">CreateID($J$1,$I10&lt;&gt;"")</f>
        <v>5</v>
      </c>
    </row>
    <row r="11" spans="1:10" ht="5.0999999999999996" customHeight="1" x14ac:dyDescent="0.3">
      <c r="B11" s="22"/>
      <c r="C11" s="61"/>
      <c r="D11" s="61"/>
      <c r="E11" s="61"/>
      <c r="G11" s="120"/>
      <c r="I11" s="2" t="str">
        <f t="shared" si="0"/>
        <v/>
      </c>
      <c r="J11" s="2" cm="1">
        <f t="array" aca="1" ref="J11" ca="1">CreateID($J$1,$I11&lt;&gt;"")</f>
        <v>5</v>
      </c>
    </row>
    <row r="12" spans="1:10" ht="18.75" x14ac:dyDescent="0.3">
      <c r="A12" s="80" t="str" cm="1">
        <f t="array" aca="1" ref="A12"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HYPERLINK("#'"&amp;Helper!$G$2&amp;"'!"&amp;CHAR(CODE("A")+COLUMN(_xlpm._columnNameHeader)-1)&amp;_xlpm._entryOffset,Definitions!$AY$4)))(Helper!$G$9,$B12,README!$E:$E,README!$I$35,README!$B$35)</f>
        <v>◈</v>
      </c>
      <c r="B12" s="22" t="s">
        <v>949</v>
      </c>
      <c r="C12" s="122"/>
      <c r="D12" s="122"/>
      <c r="E12" s="122"/>
      <c r="G12" s="120"/>
      <c r="I12" s="2" t="str">
        <f t="shared" si="0"/>
        <v>CSTS</v>
      </c>
      <c r="J12" s="2" cm="1">
        <f t="array" aca="1" ref="J12" ca="1">CreateID($J$1,$I12&lt;&gt;"")</f>
        <v>6</v>
      </c>
    </row>
    <row r="13" spans="1:10" ht="5.0999999999999996" customHeight="1" x14ac:dyDescent="0.3">
      <c r="B13" s="22"/>
      <c r="C13" s="61"/>
      <c r="D13" s="61"/>
      <c r="E13" s="61"/>
      <c r="G13" s="120"/>
      <c r="I13" s="2" t="str">
        <f t="shared" si="0"/>
        <v/>
      </c>
      <c r="J13" s="2" cm="1">
        <f t="array" aca="1" ref="J13" ca="1">CreateID($J$1,$I13&lt;&gt;"")</f>
        <v>6</v>
      </c>
    </row>
    <row r="14" spans="1:10" ht="18.75" x14ac:dyDescent="0.3">
      <c r="A14" s="80" t="str" cm="1">
        <f t="array" aca="1" ref="A1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HYPERLINK("#'"&amp;Helper!$G$2&amp;"'!"&amp;CHAR(CODE("A")+COLUMN(_xlpm._columnNameHeader)-1)&amp;_xlpm._entryOffset,Definitions!$AY$4)))(Helper!$G$9,$B14,README!$E:$E,README!$I$35,README!$B$35)</f>
        <v>◈</v>
      </c>
      <c r="B14" s="22" t="s">
        <v>1202</v>
      </c>
      <c r="C14" s="123" t="str" cm="1">
        <f t="array" aca="1" ref="C14" ca="1">_xlfn.LET(
_xlpm._offset,MATCH(TRUE,OFFSET('Version History'!$F$2,0,0,ROW('Version History'!$F$7)-ROW('Version History'!$F$2),1),0)-1,
_xlpm._version,OFFSET('Version History'!$C$2,_xlpm._offset,0),
_xlpm._date,OFFSET('Version History'!$B$2,_xlpm._offset,0),
_xlpm._version&amp;" ("&amp;PrintDate(_xlpm._date)&amp;")")</f>
        <v>1.1.0 (16.06.2026)</v>
      </c>
      <c r="D14" s="123"/>
      <c r="E14" s="123"/>
      <c r="G14" s="120"/>
      <c r="I14" s="2" t="str">
        <f t="shared" ca="1" si="0"/>
        <v/>
      </c>
      <c r="J14" s="2" cm="1">
        <f t="array" aca="1" ref="J14" ca="1">CreateID($J$1,$I14&lt;&gt;"")</f>
        <v>6</v>
      </c>
    </row>
    <row r="15" spans="1:10" x14ac:dyDescent="0.25">
      <c r="G15" s="120"/>
      <c r="I15" s="2" t="str">
        <f t="shared" si="0"/>
        <v/>
      </c>
      <c r="J15" s="2" cm="1">
        <f t="array" aca="1" ref="J15" ca="1">CreateID($J$1,$I15&lt;&gt;"")</f>
        <v>6</v>
      </c>
    </row>
    <row r="16" spans="1:10" ht="18.75" x14ac:dyDescent="0.3">
      <c r="A16" s="80" t="str" cm="1">
        <f t="array" aca="1" ref="A16"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HYPERLINK("#'"&amp;Helper!$G$2&amp;"'!"&amp;CHAR(CODE("A")+COLUMN(_xlpm._columnNameHeader)-1)&amp;_xlpm._entryOffset,Definitions!$AY$4)))(Helper!$G$9,$B16,README!$E:$E,README!$I$35,README!$B$35)</f>
        <v>◈</v>
      </c>
      <c r="B16" s="22" t="s">
        <v>1178</v>
      </c>
      <c r="G16" s="120"/>
      <c r="I16" s="2" t="str">
        <f>IF(C18="",$B$16,"")</f>
        <v>QuBA Change History</v>
      </c>
      <c r="J16" s="2" cm="1">
        <f t="array" aca="1" ref="J16" ca="1">CreateID($J$1,$I16&lt;&gt;"")</f>
        <v>7</v>
      </c>
    </row>
    <row r="17" spans="1:10" x14ac:dyDescent="0.25">
      <c r="B17" s="9" t="s">
        <v>217</v>
      </c>
      <c r="C17" s="9" t="s">
        <v>218</v>
      </c>
      <c r="D17" s="9" t="s">
        <v>219</v>
      </c>
      <c r="E17" s="9" t="s">
        <v>1485</v>
      </c>
      <c r="G17" s="120"/>
      <c r="J17" s="2" cm="1">
        <f t="array" aca="1" ref="J17" ca="1">CreateID($J$1,$I17&lt;&gt;"")</f>
        <v>7</v>
      </c>
    </row>
    <row r="18" spans="1:10" x14ac:dyDescent="0.25">
      <c r="B18" s="23"/>
      <c r="C18" s="9"/>
      <c r="D18" s="9"/>
      <c r="E18" s="9"/>
      <c r="G18" s="120"/>
      <c r="J18" s="2" cm="1">
        <f t="array" aca="1" ref="J18" ca="1">CreateID($J$1,$I18&lt;&gt;"")</f>
        <v>7</v>
      </c>
    </row>
    <row r="19" spans="1:10" x14ac:dyDescent="0.25">
      <c r="B19" s="9"/>
      <c r="C19" s="9"/>
      <c r="D19" s="9"/>
      <c r="E19" s="9"/>
      <c r="G19" s="120"/>
    </row>
    <row r="20" spans="1:10" x14ac:dyDescent="0.25">
      <c r="B20" s="9"/>
      <c r="C20" s="9"/>
      <c r="D20" s="9"/>
      <c r="E20" s="9"/>
      <c r="G20" s="120"/>
    </row>
    <row r="21" spans="1:10" x14ac:dyDescent="0.25">
      <c r="B21" s="9"/>
      <c r="C21" s="9"/>
      <c r="D21" s="9"/>
      <c r="E21" s="9"/>
      <c r="G21" s="120"/>
    </row>
    <row r="22" spans="1:10" x14ac:dyDescent="0.25">
      <c r="B22" s="9"/>
      <c r="C22" s="9"/>
      <c r="D22" s="9"/>
      <c r="E22" s="9"/>
      <c r="G22" s="120"/>
    </row>
    <row r="23" spans="1:10" x14ac:dyDescent="0.25">
      <c r="G23" s="120"/>
    </row>
    <row r="24" spans="1:10" x14ac:dyDescent="0.25">
      <c r="G24" s="120"/>
    </row>
    <row r="25" spans="1:10" ht="18.75" x14ac:dyDescent="0.3">
      <c r="A25" s="80" t="str" cm="1">
        <f t="array" aca="1" ref="A25"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HYPERLINK("#'"&amp;Helper!$G$2&amp;"'!"&amp;CHAR(CODE("A")+COLUMN(_xlpm._columnNameHeader)-1)&amp;_xlpm._entryOffset,Definitions!$AY$4)))(Helper!$G$9,$B25,README!$E:$E,README!$I$35,README!$B$35)</f>
        <v>◈</v>
      </c>
      <c r="B25" s="22" t="s">
        <v>1474</v>
      </c>
      <c r="G25" s="120"/>
    </row>
    <row r="26" spans="1:10" ht="5.0999999999999996" customHeight="1" x14ac:dyDescent="0.25">
      <c r="G26" s="120"/>
    </row>
    <row r="27" spans="1:10" x14ac:dyDescent="0.25">
      <c r="B27" s="124"/>
      <c r="C27" s="124"/>
      <c r="D27" s="124"/>
      <c r="E27" s="124"/>
      <c r="G27" s="120"/>
    </row>
    <row r="28" spans="1:10" x14ac:dyDescent="0.25">
      <c r="B28" s="124"/>
      <c r="C28" s="124"/>
      <c r="D28" s="124"/>
      <c r="E28" s="124"/>
      <c r="G28" s="120"/>
    </row>
    <row r="29" spans="1:10" x14ac:dyDescent="0.25">
      <c r="B29" s="124"/>
      <c r="C29" s="124"/>
      <c r="D29" s="124"/>
      <c r="E29" s="124"/>
      <c r="G29" s="120"/>
    </row>
    <row r="30" spans="1:10" x14ac:dyDescent="0.25">
      <c r="B30" s="124"/>
      <c r="C30" s="124"/>
      <c r="D30" s="124"/>
      <c r="E30" s="124"/>
      <c r="G30" s="120"/>
    </row>
    <row r="31" spans="1:10" x14ac:dyDescent="0.25">
      <c r="B31" s="124"/>
      <c r="C31" s="124"/>
      <c r="D31" s="124"/>
      <c r="E31" s="124"/>
      <c r="G31" s="120"/>
    </row>
    <row r="32" spans="1:10" x14ac:dyDescent="0.25">
      <c r="B32" s="124"/>
      <c r="C32" s="124"/>
      <c r="D32" s="124"/>
      <c r="E32" s="124"/>
      <c r="G32" s="120"/>
    </row>
    <row r="33" spans="2:7" x14ac:dyDescent="0.25">
      <c r="B33" s="124"/>
      <c r="C33" s="124"/>
      <c r="D33" s="124"/>
      <c r="E33" s="124"/>
      <c r="G33" s="120"/>
    </row>
    <row r="34" spans="2:7" x14ac:dyDescent="0.25">
      <c r="B34" s="124"/>
      <c r="C34" s="124"/>
      <c r="D34" s="124"/>
      <c r="E34" s="124"/>
      <c r="G34" s="120"/>
    </row>
    <row r="35" spans="2:7" x14ac:dyDescent="0.25">
      <c r="B35" s="124"/>
      <c r="C35" s="124"/>
      <c r="D35" s="124"/>
      <c r="E35" s="124"/>
      <c r="G35" s="120"/>
    </row>
    <row r="36" spans="2:7" x14ac:dyDescent="0.25">
      <c r="B36" s="124"/>
      <c r="C36" s="124"/>
      <c r="D36" s="124"/>
      <c r="E36" s="124"/>
      <c r="G36" s="120"/>
    </row>
    <row r="37" spans="2:7" x14ac:dyDescent="0.25">
      <c r="B37" s="124"/>
      <c r="C37" s="124"/>
      <c r="D37" s="124"/>
      <c r="E37" s="124"/>
      <c r="G37" s="120"/>
    </row>
    <row r="38" spans="2:7" x14ac:dyDescent="0.25">
      <c r="B38" s="124"/>
      <c r="C38" s="124"/>
      <c r="D38" s="124"/>
      <c r="E38" s="124"/>
      <c r="G38" s="120"/>
    </row>
    <row r="39" spans="2:7" x14ac:dyDescent="0.25">
      <c r="B39" s="124"/>
      <c r="C39" s="124"/>
      <c r="D39" s="124"/>
      <c r="E39" s="124"/>
      <c r="G39" s="120"/>
    </row>
    <row r="40" spans="2:7" x14ac:dyDescent="0.25">
      <c r="B40" s="124"/>
      <c r="C40" s="124"/>
      <c r="D40" s="124"/>
      <c r="E40" s="124"/>
      <c r="G40" s="120"/>
    </row>
    <row r="41" spans="2:7" x14ac:dyDescent="0.25">
      <c r="B41" s="124"/>
      <c r="C41" s="124"/>
      <c r="D41" s="124"/>
      <c r="E41" s="124"/>
      <c r="G41" s="120"/>
    </row>
    <row r="42" spans="2:7" x14ac:dyDescent="0.25">
      <c r="B42" s="124"/>
      <c r="C42" s="124"/>
      <c r="D42" s="124"/>
      <c r="E42" s="124"/>
      <c r="G42" s="120"/>
    </row>
    <row r="43" spans="2:7" x14ac:dyDescent="0.25">
      <c r="B43" s="124"/>
      <c r="C43" s="124"/>
      <c r="D43" s="124"/>
      <c r="E43" s="124"/>
      <c r="G43" s="120"/>
    </row>
    <row r="44" spans="2:7" x14ac:dyDescent="0.25">
      <c r="B44" s="124"/>
      <c r="C44" s="124"/>
      <c r="D44" s="124"/>
      <c r="E44" s="124"/>
      <c r="G44" s="120"/>
    </row>
    <row r="45" spans="2:7" x14ac:dyDescent="0.25">
      <c r="B45" s="124"/>
      <c r="C45" s="124"/>
      <c r="D45" s="124"/>
      <c r="E45" s="124"/>
      <c r="G45" s="120"/>
    </row>
    <row r="46" spans="2:7" x14ac:dyDescent="0.25">
      <c r="B46" s="124"/>
      <c r="C46" s="124"/>
      <c r="D46" s="124"/>
      <c r="E46" s="124"/>
      <c r="G46" s="120"/>
    </row>
    <row r="47" spans="2:7" x14ac:dyDescent="0.25">
      <c r="B47" s="124"/>
      <c r="C47" s="124"/>
      <c r="D47" s="124"/>
      <c r="E47" s="124"/>
      <c r="G47" s="120"/>
    </row>
    <row r="48" spans="2:7" x14ac:dyDescent="0.25">
      <c r="B48" s="124"/>
      <c r="C48" s="124"/>
      <c r="D48" s="124"/>
      <c r="E48" s="124"/>
      <c r="G48" s="120"/>
    </row>
  </sheetData>
  <mergeCells count="9">
    <mergeCell ref="G4:G48"/>
    <mergeCell ref="C2:E2"/>
    <mergeCell ref="C4:E4"/>
    <mergeCell ref="C6:E6"/>
    <mergeCell ref="C8:E8"/>
    <mergeCell ref="C10:E10"/>
    <mergeCell ref="C12:E12"/>
    <mergeCell ref="C14:E14"/>
    <mergeCell ref="B27:E48"/>
  </mergeCells>
  <pageMargins left="0.7" right="0.7" top="0.75" bottom="0.75" header="0.3" footer="0.3"/>
  <pageSetup paperSize="9" scale="50" fitToHeight="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01867-B161-4284-A538-6041DC049A17}">
  <sheetPr>
    <tabColor theme="1" tint="0.14999847407452621"/>
    <pageSetUpPr fitToPage="1"/>
  </sheetPr>
  <dimension ref="A1:AR103"/>
  <sheetViews>
    <sheetView workbookViewId="0">
      <pane xSplit="3" ySplit="2" topLeftCell="D9" activePane="bottomRight" state="frozen"/>
      <selection pane="topRight" activeCell="C1" sqref="C1"/>
      <selection pane="bottomLeft" activeCell="A3" sqref="A3"/>
      <selection pane="bottomRight" activeCell="C15" sqref="C15"/>
    </sheetView>
  </sheetViews>
  <sheetFormatPr defaultColWidth="8.7109375" defaultRowHeight="15" x14ac:dyDescent="0.25"/>
  <cols>
    <col min="1" max="1" width="4.7109375" style="114" customWidth="1"/>
    <col min="2" max="2" width="6.7109375" style="68" customWidth="1"/>
    <col min="3" max="3" width="50.7109375" style="4" customWidth="1"/>
    <col min="4" max="4" width="10.7109375" style="4" customWidth="1"/>
    <col min="5" max="5" width="50.7109375" style="7" customWidth="1"/>
    <col min="6" max="6" width="25.7109375" style="4" customWidth="1"/>
    <col min="7" max="7" width="70.7109375" style="7" customWidth="1"/>
    <col min="8" max="8" width="45.7109375" style="4" customWidth="1"/>
    <col min="9" max="9" width="9.140625" style="2" hidden="1" customWidth="1"/>
    <col min="10" max="10" width="25.42578125" style="8" hidden="1" customWidth="1"/>
    <col min="11" max="11" width="36.140625" style="8" hidden="1" customWidth="1"/>
    <col min="12" max="12" width="16.85546875" style="8" hidden="1" customWidth="1"/>
    <col min="13" max="13" width="12.5703125" style="8" hidden="1" customWidth="1"/>
    <col min="14" max="14" width="9.42578125" style="2" hidden="1" customWidth="1"/>
    <col min="15" max="15" width="32" style="2" hidden="1" customWidth="1"/>
    <col min="16" max="16" width="29.85546875" style="2" hidden="1" customWidth="1"/>
    <col min="17" max="17" width="23.85546875" style="2" hidden="1" customWidth="1"/>
    <col min="18" max="18" width="21.7109375" style="2" hidden="1" customWidth="1"/>
    <col min="19" max="19" width="26.140625" style="2" hidden="1" customWidth="1"/>
    <col min="20" max="20" width="24.140625" style="2" hidden="1" customWidth="1"/>
    <col min="21" max="21" width="29.42578125" style="2" hidden="1" customWidth="1"/>
    <col min="22" max="22" width="27.28515625" style="2" hidden="1" customWidth="1"/>
    <col min="23" max="23" width="26" style="2" hidden="1" customWidth="1"/>
    <col min="24" max="24" width="26.28515625" style="2" hidden="1" customWidth="1"/>
    <col min="25" max="26" width="30.7109375" style="2" hidden="1" customWidth="1"/>
    <col min="27" max="27" width="41" style="2" hidden="1" customWidth="1"/>
    <col min="28" max="28" width="21.42578125" style="2" hidden="1" customWidth="1"/>
    <col min="29" max="29" width="15.7109375" style="2" hidden="1" customWidth="1"/>
    <col min="30" max="30" width="14.7109375" style="2" hidden="1" customWidth="1"/>
    <col min="31" max="31" width="20.140625" style="2" hidden="1" customWidth="1"/>
    <col min="32" max="32" width="11.85546875" style="2" hidden="1" customWidth="1"/>
    <col min="33" max="33" width="13.85546875" style="2" hidden="1" customWidth="1"/>
    <col min="34" max="34" width="25.85546875" style="2" hidden="1" customWidth="1"/>
    <col min="35" max="35" width="20.140625" style="2" hidden="1" customWidth="1"/>
    <col min="36" max="36" width="11.85546875" style="2" hidden="1" customWidth="1"/>
    <col min="37" max="37" width="13.85546875" style="2" hidden="1" customWidth="1"/>
    <col min="38" max="38" width="10.28515625" style="2" hidden="1" customWidth="1"/>
    <col min="39" max="39" width="31.28515625" style="2" hidden="1" customWidth="1"/>
    <col min="40" max="40" width="30.28515625" style="2" hidden="1" customWidth="1"/>
    <col min="41" max="41" width="31.28515625" style="2" hidden="1" customWidth="1"/>
    <col min="42" max="42" width="29.28515625" style="2" hidden="1" customWidth="1"/>
    <col min="43" max="43" width="30.85546875" style="2" hidden="1" customWidth="1"/>
    <col min="44" max="44" width="28.85546875" style="2" hidden="1" customWidth="1"/>
    <col min="45" max="16384" width="8.7109375" style="2"/>
  </cols>
  <sheetData>
    <row r="1" spans="1:44" s="80" customFormat="1" x14ac:dyDescent="0.25">
      <c r="A1" s="114"/>
      <c r="B1" s="79" t="str" cm="1">
        <f t="array" aca="1" ref="B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HYPERLINK("#'"&amp;Helper!$G$2&amp;"'!"&amp;CHAR(CODE("A")+COLUMN(_xlpm._columnNameHeader)-1)&amp;_xlpm._entryOffset,Definitions!$AY$4)))(Helper!$G$10,B$2,README!$E:$E,README!$I$35,README!$B$35)</f>
        <v>◈</v>
      </c>
      <c r="C1" s="79" t="str" cm="1">
        <f t="array" aca="1" ref="C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HYPERLINK("#'"&amp;Helper!$G$2&amp;"'!"&amp;CHAR(CODE("A")+COLUMN(_xlpm._columnNameHeader)-1)&amp;_xlpm._entryOffset,Definitions!$AY$4)))(Helper!$G$10,C$2,README!$E:$E,README!$I$35,README!$B$35)</f>
        <v>◈</v>
      </c>
      <c r="D1" s="79" t="str" cm="1">
        <f t="array" aca="1" ref="D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HYPERLINK("#'"&amp;Helper!$G$2&amp;"'!"&amp;CHAR(CODE("A")+COLUMN(_xlpm._columnNameHeader)-1)&amp;_xlpm._entryOffset,Definitions!$AY$4)))(Helper!$G$10,D$2,README!$E:$E,README!$I$35,README!$B$35)</f>
        <v>◈</v>
      </c>
      <c r="E1" s="79" t="str" cm="1">
        <f t="array" aca="1" ref="E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HYPERLINK("#'"&amp;Helper!$G$2&amp;"'!"&amp;CHAR(CODE("A")+COLUMN(_xlpm._columnNameHeader)-1)&amp;_xlpm._entryOffset,Definitions!$AY$4)))(Helper!$G$10,E$2,README!$E:$E,README!$I$35,README!$B$35)</f>
        <v>◈</v>
      </c>
      <c r="F1" s="79" t="str" cm="1">
        <f t="array" aca="1" ref="F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HYPERLINK("#'"&amp;Helper!$G$2&amp;"'!"&amp;CHAR(CODE("A")+COLUMN(_xlpm._columnNameHeader)-1)&amp;_xlpm._entryOffset,Definitions!$AY$4)))(Helper!$G$10,F$2,README!$E:$E,README!$I$35,README!$B$35)</f>
        <v>◈</v>
      </c>
      <c r="G1" s="79" t="str" cm="1">
        <f t="array" aca="1" ref="G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HYPERLINK("#'"&amp;Helper!$G$2&amp;"'!"&amp;CHAR(CODE("A")+COLUMN(_xlpm._columnNameHeader)-1)&amp;_xlpm._entryOffset,Definitions!$AY$4)))(Helper!$G$10,G$2,README!$E:$E,README!$I$35,README!$B$35)</f>
        <v>◈</v>
      </c>
      <c r="H1" s="79" t="str" cm="1">
        <f t="array" aca="1" ref="H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HYPERLINK("#'"&amp;Helper!$G$2&amp;"'!"&amp;CHAR(CODE("A")+COLUMN(_xlpm._columnNameHeader)-1)&amp;_xlpm._entryOffset,Definitions!$AY$4)))(Helper!$G$10,H$2,README!$E:$E,README!$I$35,README!$B$35)</f>
        <v>◈</v>
      </c>
    </row>
    <row r="2" spans="1:44" x14ac:dyDescent="0.25">
      <c r="B2" s="68" t="s">
        <v>46</v>
      </c>
      <c r="C2" s="118" t="s">
        <v>48</v>
      </c>
      <c r="D2" s="3" t="s">
        <v>439</v>
      </c>
      <c r="E2" s="6" t="s">
        <v>1528</v>
      </c>
      <c r="F2" s="3" t="s">
        <v>440</v>
      </c>
      <c r="G2" s="6" t="s">
        <v>669</v>
      </c>
      <c r="H2" s="3" t="s">
        <v>26</v>
      </c>
      <c r="L2" s="8" t="s">
        <v>48</v>
      </c>
    </row>
    <row r="3" spans="1:44" s="1" customFormat="1" ht="31.5" x14ac:dyDescent="0.35">
      <c r="A3" s="115"/>
      <c r="B3" s="67" t="s">
        <v>982</v>
      </c>
      <c r="C3" s="66" t="str" cm="1">
        <f t="array" aca="1" ref="C3" ca="1">IF($B3="","",CreateIndentedString(SimpleLookup($B3,Questions!$A:$B),Definitions!$T$4,SimpleLookup($B3,Questions!$A:$C)))</f>
        <v>Impact  Rating</v>
      </c>
      <c r="D3" s="3"/>
      <c r="E3" s="6"/>
      <c r="F3" s="3"/>
      <c r="G3" s="6"/>
      <c r="H3" s="36" t="str" cm="1">
        <f t="array" aca="1" ref="H3" ca="1">HYPERLINK("#"&amp;GetReferenceText(Definitions!$G$2),"See here for more information on damage criteria.")</f>
        <v>See here for more information on damage criteria.</v>
      </c>
      <c r="J3" s="69" t="s">
        <v>91</v>
      </c>
      <c r="K3" s="69" t="s">
        <v>481</v>
      </c>
      <c r="L3" s="69" t="s">
        <v>1033</v>
      </c>
      <c r="M3" s="69" t="s">
        <v>47</v>
      </c>
      <c r="N3" s="69" t="s">
        <v>196</v>
      </c>
      <c r="O3" s="69" t="s">
        <v>405</v>
      </c>
      <c r="P3" s="69" t="s">
        <v>406</v>
      </c>
      <c r="Q3" s="69" t="s">
        <v>409</v>
      </c>
      <c r="R3" s="69" t="s">
        <v>410</v>
      </c>
      <c r="S3" s="69" t="s">
        <v>411</v>
      </c>
      <c r="T3" s="69" t="s">
        <v>412</v>
      </c>
      <c r="U3" s="69" t="s">
        <v>418</v>
      </c>
      <c r="V3" s="69" t="s">
        <v>419</v>
      </c>
      <c r="W3" s="69" t="s">
        <v>499</v>
      </c>
      <c r="X3" s="69" t="s">
        <v>500</v>
      </c>
      <c r="Y3" s="69" t="s">
        <v>518</v>
      </c>
      <c r="Z3" s="69" t="s">
        <v>519</v>
      </c>
      <c r="AA3" s="69" t="s">
        <v>532</v>
      </c>
      <c r="AB3" s="69" t="s">
        <v>537</v>
      </c>
      <c r="AC3" s="69" t="s">
        <v>158</v>
      </c>
      <c r="AD3" s="69" t="s">
        <v>995</v>
      </c>
      <c r="AE3" s="69" t="s">
        <v>1006</v>
      </c>
      <c r="AF3" s="69" t="s">
        <v>1007</v>
      </c>
      <c r="AG3" s="69" t="s">
        <v>1010</v>
      </c>
      <c r="AH3" s="69" t="s">
        <v>1016</v>
      </c>
      <c r="AI3" s="69" t="s">
        <v>1008</v>
      </c>
      <c r="AJ3" s="69" t="s">
        <v>1009</v>
      </c>
      <c r="AK3" s="69" t="s">
        <v>1011</v>
      </c>
      <c r="AL3" s="69" t="s">
        <v>1012</v>
      </c>
      <c r="AM3" s="69" t="s">
        <v>1101</v>
      </c>
      <c r="AN3" s="69" t="s">
        <v>1102</v>
      </c>
      <c r="AO3" s="69" t="s">
        <v>1205</v>
      </c>
      <c r="AP3" s="69" t="s">
        <v>1206</v>
      </c>
      <c r="AQ3" s="69" t="s">
        <v>1752</v>
      </c>
      <c r="AR3" s="69" t="s">
        <v>1753</v>
      </c>
    </row>
    <row r="4" spans="1:44" x14ac:dyDescent="0.25">
      <c r="B4" s="68" t="s">
        <v>988</v>
      </c>
      <c r="C4" s="4" t="str" cm="1">
        <f t="array" aca="1" ref="C4" ca="1">IF($B4="","",CreateIndentedString($L4,Definitions!$T$4,SimpleLookup($B4,Questions!$A:$C)))</f>
        <v>Worst  case  impact  for  loss  of  confidentiality</v>
      </c>
      <c r="F4" s="71"/>
      <c r="H4" s="36"/>
      <c r="J4" s="12" t="str">
        <f t="shared" ref="J4:J35" ca="1" si="0">IF($AD4,SUBSTITUTE(IF($B4="","",$B4&amp;"["&amp;$D4&amp;IF($F4="","","|"&amp;$F4)&amp;"]")," ",""),"")</f>
        <v/>
      </c>
      <c r="K4" s="12" t="str">
        <f t="shared" ref="K4:K35" ca="1" si="1">IF($AD4,SUBSTITUTE(IF($B4="","",$B4&amp;"["&amp;$D4&amp;IF($F4="","]","|*]"))," ",""),"")</f>
        <v/>
      </c>
      <c r="L4" s="12" t="str" cm="1">
        <f t="array" aca="1" ref="L4" ca="1">SimpleLookup($B4,Questions!$A:$B)</f>
        <v>Worst case impact for loss of confidentiality</v>
      </c>
      <c r="M4" s="12" cm="1">
        <f t="array" aca="1" ref="M4" ca="1">CreateID($M$3,AND($B4&lt;&gt;"",$AD4))</f>
        <v>0</v>
      </c>
      <c r="N4" s="12" cm="1">
        <f t="array" ref="N4">CreateTaskID($N$3,$N:$N,Tasks!$B$17,$H4)</f>
        <v>0</v>
      </c>
      <c r="O4" s="12" t="str">
        <f t="shared" ref="O4:O35" ca="1" si="2">IF($AD4,IF(AND($B4&lt;&gt;"",$D4="",$AL4=FALSE),$B4&amp;" "&amp;$L4,""),"")</f>
        <v/>
      </c>
      <c r="P4" s="12" cm="1">
        <f t="array" aca="1" ref="P4" ca="1">CreateID($P$3,$O4&lt;&gt;"")</f>
        <v>0</v>
      </c>
      <c r="Q4" s="12" t="str">
        <f t="shared" ref="Q4:Q35" si="3">IF(AND($E4&lt;&gt;"",$F4=""),$B4&amp;" "&amp;$L4,"")</f>
        <v/>
      </c>
      <c r="R4" s="12" cm="1">
        <f t="array" aca="1" ref="R4" ca="1">CreateID($R$3,$Q4&lt;&gt;"")</f>
        <v>0</v>
      </c>
      <c r="S4" s="12" t="str">
        <f t="shared" ref="S4:S35" si="4">IF(AND($G4&lt;&gt;"",$H4=""),$B4&amp;" "&amp;$L4,"")</f>
        <v/>
      </c>
      <c r="T4" s="12" cm="1">
        <f t="array" aca="1" ref="T4" ca="1">CreateID($T$3,$S4&lt;&gt;"")</f>
        <v>0</v>
      </c>
      <c r="U4" s="12" t="str">
        <f t="shared" ref="U4:U35" ca="1" si="5">IF($B4="","",IF(AND(NOT($AH4),$F4&lt;&gt;""),$B4&amp;" "&amp;$L4,""))</f>
        <v/>
      </c>
      <c r="V4" s="12" cm="1">
        <f t="array" aca="1" ref="V4" ca="1">CreateID($V$3,$U4&lt;&gt;"")</f>
        <v>0</v>
      </c>
      <c r="W4" s="12" cm="1">
        <f t="array" aca="1" ref="W4" ca="1">CreateID($W$3,IFERROR(FIND(Definitions!$AR$4,$H4)&gt;0,FALSE))</f>
        <v>0</v>
      </c>
      <c r="X4" s="12">
        <f>_xlfn.LET(
_xlpm._comment,$H4,
_xlpm._keyWord,Definitions!$AR$4,
_xlpm._diffLen,LEN(_xlpm._comment)-LEN(SUBSTITUTE(_xlpm._comment,_xlpm._keyWord,"")),
_xlpm._diffLen/LEN(_xlpm._keyWord))</f>
        <v>0</v>
      </c>
      <c r="Y4" s="12" cm="1">
        <f t="array" aca="1" ref="Y4" ca="1">CreateID($Y$3,IFERROR(FIND(Definitions!$AR$5,$H4)&gt;0,FALSE))</f>
        <v>0</v>
      </c>
      <c r="Z4" s="12">
        <f>_xlfn.LET(
_xlpm._comment,$H4,
_xlpm._keyWord,Definitions!$AR$5,
_xlpm._diffLen,LEN(_xlpm._comment)-LEN(SUBSTITUTE(_xlpm._comment,_xlpm._keyWord,"")),
_xlpm._diffLen/LEN(_xlpm._keyWord))</f>
        <v>0</v>
      </c>
      <c r="AA4" s="12" t="b">
        <f ca="1">OR(IFERROR(_xlfn.XMATCH("*,"&amp;$B4&amp;",*",Assumptions!$AH:$AH,2)&gt;0,FALSE),
IFERROR(_xlfn.XMATCH("*,"&amp;$B4&amp;",*",Countermeasures!$AK:$AK,2)&gt;0,FALSE))</f>
        <v>0</v>
      </c>
      <c r="AB4" s="12" t="str" cm="1">
        <f t="array" aca="1" ref="AB4" ca="1">CreateSearchString($J4)</f>
        <v/>
      </c>
      <c r="AC4" s="12" t="str" cm="1">
        <f t="array" ref="AC4">IF($F4="","",IFERROR(SimpleLookup($F4,Definitions!$H:$J),""))</f>
        <v/>
      </c>
      <c r="AD4" s="12" t="b" cm="1">
        <f t="array" aca="1" ref="AD4" ca="1">IF($B4="",FALSE,SimpleLookup($B4,Questions!$A:$D)="x")</f>
        <v>0</v>
      </c>
      <c r="AE4" s="12" t="str" cm="1">
        <f t="array" aca="1" ref="AE4" ca="1">IF(OR($B4="",NOT($AD4)),"",SimpleLookup($B4,Questions!$A:$E))</f>
        <v/>
      </c>
      <c r="AF4" s="12" t="str" cm="1">
        <f t="array" aca="1" ref="AF4" ca="1">IF(OR($B4="",NOT($AD4)),"",SimpleLookup($B4,Questions!$A:$F))</f>
        <v/>
      </c>
      <c r="AG4" s="12" t="str" cm="1">
        <f t="array" aca="1" ref="AG4" ca="1">_xlfn.LET(
_xlpm._answer,$D4,
_xlpm._infoTextFull,IF($AD4,CHAR(10)&amp;SimpleLookup($B4,Questions!$A:$H)&amp;CHAR(10),""),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4" s="12" t="b" cm="1">
        <f t="array" aca="1" ref="AH4" ca="1">IF(OR($B4="",NOT($AD4)),FALSE,_xlfn.LET(
_xlpm._secondAnswerRequiredOn,SimpleLookup($B4,Questions!$A:$I),
_xlpm._firstAnwer,$D4,
IFERROR(FIND(CHAR(10)&amp;_xlpm._firstAnwer&amp;":",CHAR(10)&amp;_xlpm._secondAnswerRequiredOn)&gt;0,FALSE)))</f>
        <v>0</v>
      </c>
      <c r="AI4" s="12" t="str" cm="1">
        <f t="array" aca="1" ref="AI4" ca="1">IF(OR($B4="",NOT($AD4)),"",_xlfn.LET(
_xlpm._id,$B4,
_xlpm._firstAnswer,$D4,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4" s="12" t="str" cm="1">
        <f t="array" aca="1" ref="AJ4" ca="1">IF(OR($B4="",NOT($AD4)),"",_xlfn.LET(
_xlpm._id,$B4,
_xlpm._firstAnswer,$D4,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4" s="12" t="str" cm="1">
        <f t="array" aca="1" ref="AK4" ca="1">IF($AH4,_xlfn.LET(
_xlpm._answer,$F4,
_xlpm._infoTextFull,IF($AD4,CHAR(10)&amp;SimpleLookup($B4,Questions!$A:$L)&amp;CHAR(10),""),
_xlpm._startSelectedByAnswerOne,IF(_xlpm._infoTextFull="",0,FIND("___"&amp;$D4&amp;"___",_xlpm._infoTextFull)+LEN("___"&amp;$D4&amp;"___")),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4" s="12" t="b" cm="1">
        <f t="array" aca="1" ref="AL4" ca="1">IF(OR($B4="",NOT($AD4)),FALSE,SimpleLookup($B4,Questions!$A:$Q))</f>
        <v>0</v>
      </c>
      <c r="AM4" s="12" t="str" cm="1">
        <f t="array" aca="1" ref="AM4" ca="1">IF(AND($B4=Questions!$A$41,IFERROR(SimpleLookup(Questions!$A$36,$B:$F)=Definitions!$O$5,FALSE),$D4=Definitions!$A$5),
Questions!$A$36&amp;" "&amp;Questions!$B$36&amp;CHAR(10)&amp;CHAR(187)&amp;" "&amp;SimpleLookup(Questions!$A$36,$B:$D)&amp;CHAR(10)&amp;SimpleLookup(Questions!$A$36,$B:$E)&amp;CHAR(10)&amp;CHAR(187)&amp;" "&amp;Definitions!$O$5&amp;CHAR(10)&amp;CHAR(10)&amp;
"is incosistent with"&amp;CHAR(10)&amp;CHAR(10)&amp;
$B4&amp;" "&amp;SimpleLookup($B4,Questions!$A:$B)&amp;CHAR(10)&amp;CHAR(187)&amp;" "&amp;$D4,
"")</f>
        <v/>
      </c>
      <c r="AN4" s="12" cm="1">
        <f t="array" aca="1" ref="AN4" ca="1">CreateID($AN$3,$AM4&lt;&gt;"")</f>
        <v>0</v>
      </c>
      <c r="AO4" s="12" t="str">
        <f ca="1">IF(OR($D4="",OFFSET($D4,1,0)=""),"",
IF(AND($B4=Questions!$A$59,OFFSET($B4,1,0)=Questions!$A$60),
IF(MATCH($D4,Definitions!$AW:$AW,0)&gt;MATCH(OFFSET($D4,1,0),Definitions!AW:AW,0),$B4&amp;" "&amp;$L4&amp;": "&amp;$D4&amp;CHAR(10)&amp;"&lt;---&gt;"&amp;CHAR(10)&amp;OFFSET($B4,1,0)&amp;" "&amp;OFFSET($L4,1,0)&amp;": "&amp;OFFSET($D4,1,0),""),
""))</f>
        <v/>
      </c>
      <c r="AP4" s="12" cm="1">
        <f t="array" aca="1" ref="AP4" ca="1">CreateID($AP$3,$AO4&lt;&gt;"")</f>
        <v>0</v>
      </c>
      <c r="AQ4" s="12" t="str" cm="1">
        <f t="array" ref="AQ4">IF($B4=Questions!$A$18,
  _xlfn.LET(
    _xlpm._impactValue7,IFERROR(SimpleLookup(SimpleLookup($F4,Definitions!$H:$J),Definitions!$Q:$R),0),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"&amp;$F4&amp;CHAR(10)&amp;"&lt;---&gt;"&amp;CHAR(10)&amp;Questions!$A$30&amp;": "&amp;_xlpm._impactName14,
        ""))),
  "")</f>
        <v/>
      </c>
      <c r="AR4" s="12" cm="1">
        <f t="array" aca="1" ref="AR4" ca="1">CreateID($AR$3,$AQ4&lt;&gt;"")</f>
        <v>0</v>
      </c>
    </row>
    <row r="5" spans="1:44" x14ac:dyDescent="0.25">
      <c r="B5" s="68" t="s">
        <v>996</v>
      </c>
      <c r="C5" s="4" t="str" cm="1">
        <f t="array" aca="1" ref="C5" ca="1">IF($B5="","",CreateIndentedString($L5,Definitions!$T$4,SimpleLookup($B5,Questions!$A:$C)))</f>
        <v xml:space="preserve">   Personal  data</v>
      </c>
      <c r="J5" s="12" t="str">
        <f t="shared" ca="1" si="0"/>
        <v/>
      </c>
      <c r="K5" s="12" t="str">
        <f t="shared" ca="1" si="1"/>
        <v/>
      </c>
      <c r="L5" s="12" t="str" cm="1">
        <f t="array" aca="1" ref="L5" ca="1">SimpleLookup($B5,Questions!$A:$B)</f>
        <v>Personal data</v>
      </c>
      <c r="M5" s="12" cm="1">
        <f t="array" aca="1" ref="M5" ca="1">CreateID($M$3,AND($B5&lt;&gt;"",$AD5))</f>
        <v>0</v>
      </c>
      <c r="N5" s="12" cm="1">
        <f t="array" ref="N5">CreateTaskID($N$3,$N:$N,Tasks!$B$17,$H5)</f>
        <v>0</v>
      </c>
      <c r="O5" s="12" t="str">
        <f t="shared" ca="1" si="2"/>
        <v/>
      </c>
      <c r="P5" s="12" cm="1">
        <f t="array" aca="1" ref="P5" ca="1">CreateID($P$3,$O5&lt;&gt;"")</f>
        <v>0</v>
      </c>
      <c r="Q5" s="12" t="str">
        <f t="shared" si="3"/>
        <v/>
      </c>
      <c r="R5" s="12" cm="1">
        <f t="array" aca="1" ref="R5" ca="1">CreateID($R$3,$Q5&lt;&gt;"")</f>
        <v>0</v>
      </c>
      <c r="S5" s="12" t="str">
        <f t="shared" si="4"/>
        <v/>
      </c>
      <c r="T5" s="12" cm="1">
        <f t="array" aca="1" ref="T5" ca="1">CreateID($T$3,$S5&lt;&gt;"")</f>
        <v>0</v>
      </c>
      <c r="U5" s="12" t="str">
        <f t="shared" ca="1" si="5"/>
        <v/>
      </c>
      <c r="V5" s="12" cm="1">
        <f t="array" aca="1" ref="V5" ca="1">CreateID($V$3,$U5&lt;&gt;"")</f>
        <v>0</v>
      </c>
      <c r="W5" s="12" cm="1">
        <f t="array" aca="1" ref="W5" ca="1">CreateID($W$3,IFERROR(FIND(Definitions!$AR$4,$H5)&gt;0,FALSE))</f>
        <v>0</v>
      </c>
      <c r="X5" s="12">
        <f>_xlfn.LET(
_xlpm._comment,$H5,
_xlpm._keyWord,Definitions!$AR$4,
_xlpm._diffLen,LEN(_xlpm._comment)-LEN(SUBSTITUTE(_xlpm._comment,_xlpm._keyWord,"")),
_xlpm._diffLen/LEN(_xlpm._keyWord))</f>
        <v>0</v>
      </c>
      <c r="Y5" s="12" cm="1">
        <f t="array" aca="1" ref="Y5" ca="1">CreateID($Y$3,IFERROR(FIND(Definitions!$AR$5,$H5)&gt;0,FALSE))</f>
        <v>0</v>
      </c>
      <c r="Z5" s="12">
        <f>_xlfn.LET(
_xlpm._comment,$H5,
_xlpm._keyWord,Definitions!$AR$5,
_xlpm._diffLen,LEN(_xlpm._comment)-LEN(SUBSTITUTE(_xlpm._comment,_xlpm._keyWord,"")),
_xlpm._diffLen/LEN(_xlpm._keyWord))</f>
        <v>0</v>
      </c>
      <c r="AA5" s="12" t="b">
        <f ca="1">OR(IFERROR(_xlfn.XMATCH("*,"&amp;$B5&amp;",*",Assumptions!$AH:$AH,2)&gt;0,FALSE),
IFERROR(_xlfn.XMATCH("*,"&amp;$B5&amp;",*",Countermeasures!$AK:$AK,2)&gt;0,FALSE))</f>
        <v>0</v>
      </c>
      <c r="AB5" s="12" t="str" cm="1">
        <f t="array" aca="1" ref="AB5" ca="1">CreateSearchString($J5)</f>
        <v/>
      </c>
      <c r="AC5" s="12" t="str" cm="1">
        <f t="array" ref="AC5">IF($F5="","",IFERROR(SimpleLookup($F5,Definitions!$H:$J),""))</f>
        <v/>
      </c>
      <c r="AD5" s="12" t="b" cm="1">
        <f t="array" aca="1" ref="AD5" ca="1">IF($B5="",FALSE,SimpleLookup($B5,Questions!$A:$D)="x")</f>
        <v>0</v>
      </c>
      <c r="AE5" s="12" t="str" cm="1">
        <f t="array" aca="1" ref="AE5" ca="1">IF(OR($B5="",NOT($AD5)),"",SimpleLookup($B5,Questions!$A:$E))</f>
        <v/>
      </c>
      <c r="AF5" s="12" t="str" cm="1">
        <f t="array" aca="1" ref="AF5" ca="1">IF(OR($B5="",NOT($AD5)),"",SimpleLookup($B5,Questions!$A:$F))</f>
        <v/>
      </c>
      <c r="AG5" s="12" t="str" cm="1">
        <f t="array" aca="1" ref="AG5" ca="1">_xlfn.LET(
_xlpm._answer,$D5,
_xlpm._infoTextFull,IF($AD5,CHAR(10)&amp;SimpleLookup($B5,Questions!$A:$H)&amp;CHAR(10),""),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5" s="12" t="b" cm="1">
        <f t="array" aca="1" ref="AH5" ca="1">IF(OR($B5="",NOT($AD5)),FALSE,_xlfn.LET(
_xlpm._secondAnswerRequiredOn,SimpleLookup($B5,Questions!$A:$I),
_xlpm._firstAnwer,$D5,
IFERROR(FIND(CHAR(10)&amp;_xlpm._firstAnwer&amp;":",CHAR(10)&amp;_xlpm._secondAnswerRequiredOn)&gt;0,FALSE)))</f>
        <v>0</v>
      </c>
      <c r="AI5" s="12" t="str" cm="1">
        <f t="array" aca="1" ref="AI5" ca="1">IF(OR($B5="",NOT($AD5)),"",_xlfn.LET(
_xlpm._id,$B5,
_xlpm._firstAnswer,$D5,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5" s="12" t="str" cm="1">
        <f t="array" aca="1" ref="AJ5" ca="1">IF(OR($B5="",NOT($AD5)),"",_xlfn.LET(
_xlpm._id,$B5,
_xlpm._firstAnswer,$D5,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5" s="12" t="str" cm="1">
        <f t="array" aca="1" ref="AK5" ca="1">IF($AH5,_xlfn.LET(
_xlpm._answer,$F5,
_xlpm._infoTextFull,IF($AD5,CHAR(10)&amp;SimpleLookup($B5,Questions!$A:$L)&amp;CHAR(10),""),
_xlpm._startSelectedByAnswerOne,IF(_xlpm._infoTextFull="",0,FIND("___"&amp;$D5&amp;"___",_xlpm._infoTextFull)+LEN("___"&amp;$D5&amp;"___")),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5" s="12" t="b" cm="1">
        <f t="array" aca="1" ref="AL5" ca="1">IF(OR($B5="",NOT($AD5)),FALSE,SimpleLookup($B5,Questions!$A:$Q))</f>
        <v>0</v>
      </c>
      <c r="AM5" s="12" t="str" cm="1">
        <f t="array" aca="1" ref="AM5" ca="1">IF(AND($B5=Questions!$A$41,IFERROR(SimpleLookup(Questions!$A$36,$B:$F)=Definitions!$O$5,FALSE),$D5=Definitions!$A$5),
Questions!$A$36&amp;" "&amp;Questions!$B$36&amp;CHAR(10)&amp;CHAR(187)&amp;" "&amp;SimpleLookup(Questions!$A$36,$B:$D)&amp;CHAR(10)&amp;SimpleLookup(Questions!$A$36,$B:$E)&amp;CHAR(10)&amp;CHAR(187)&amp;" "&amp;Definitions!$O$5&amp;CHAR(10)&amp;CHAR(10)&amp;
"is incosistent with"&amp;CHAR(10)&amp;CHAR(10)&amp;
$B5&amp;" "&amp;SimpleLookup($B5,Questions!$A:$B)&amp;CHAR(10)&amp;CHAR(187)&amp;" "&amp;$D5,
"")</f>
        <v/>
      </c>
      <c r="AN5" s="12" cm="1">
        <f t="array" aca="1" ref="AN5" ca="1">CreateID($AN$3,$AM5&lt;&gt;"")</f>
        <v>0</v>
      </c>
      <c r="AO5" s="12" t="str">
        <f ca="1">IF(OR($D5="",OFFSET($D5,1,0)=""),"",
IF(AND($B5=Questions!$A$59,OFFSET($B5,1,0)=Questions!$A$60),
IF(MATCH($D5,Definitions!$AW:$AW,0)&gt;MATCH(OFFSET($D5,1,0),Definitions!AW:AW,0),$B5&amp;" "&amp;$L5&amp;": "&amp;$D5&amp;CHAR(10)&amp;"&lt;---&gt;"&amp;CHAR(10)&amp;OFFSET($B5,1,0)&amp;" "&amp;OFFSET($L5,1,0)&amp;": "&amp;OFFSET($D5,1,0),""),
""))</f>
        <v/>
      </c>
      <c r="AP5" s="12" cm="1">
        <f t="array" aca="1" ref="AP5" ca="1">CreateID($AP$3,$AO5&lt;&gt;"")</f>
        <v>0</v>
      </c>
      <c r="AQ5" s="12" t="str" cm="1">
        <f t="array" ref="AQ5">IF($B5=Questions!$A$18,
  _xlfn.LET(
    _xlpm._impactValue7,IFERROR(SimpleLookup(SimpleLookup($F5,Definitions!$H:$J),Definitions!$Q:$R),0),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"&amp;$F5&amp;CHAR(10)&amp;"&lt;---&gt;"&amp;CHAR(10)&amp;Questions!$A$30&amp;": "&amp;_xlpm._impactName14,
        ""))),
  "")</f>
        <v/>
      </c>
      <c r="AR5" s="12" cm="1">
        <f t="array" aca="1" ref="AR5" ca="1">CreateID($AR$3,$AQ5&lt;&gt;"")</f>
        <v>0</v>
      </c>
    </row>
    <row r="6" spans="1:44" ht="90" x14ac:dyDescent="0.25">
      <c r="A6" s="116" t="str">
        <f ca="1">HYPERLINK("#'"&amp;Helper!$G$22&amp;"'!A"&amp;MATCH($B6,'Answering Guideline'!$A:$A,0),Definitions!$AY$4)</f>
        <v>◈</v>
      </c>
      <c r="B6" s="68" t="s">
        <v>926</v>
      </c>
      <c r="C6" s="4" t="str" cm="1">
        <f t="array" aca="1" ref="C6" ca="1">IF($B6="","",CreateIndentedString($L6,Definitions!$T$4,SimpleLookup($B6,Questions!$A:$C)))</f>
        <v xml:space="preserve">      Does  the  product  have  /  support  cameras  or
      other  sensors  that  can  potentially  identify
      people?  (Regarding  "supporting  a  camera  /
      sensor":  only  answer  with  Yes  if  attaching  a
      camera  /  sensor  is  in  the  intended  or
      foreseeable  use  of  the  product.)</v>
      </c>
      <c r="E6" s="7" t="str">
        <f ca="1">$AG6</f>
        <v/>
      </c>
      <c r="G6" s="7" t="str">
        <f ca="1">$AK6</f>
        <v/>
      </c>
      <c r="J6" s="12" t="str">
        <f t="shared" ca="1" si="0"/>
        <v>QI1[]</v>
      </c>
      <c r="K6" s="12" t="str">
        <f t="shared" ca="1" si="1"/>
        <v>QI1[]</v>
      </c>
      <c r="L6" s="12" t="str" cm="1">
        <f t="array" aca="1" ref="L6" ca="1">SimpleLookup($B6,Questions!$A:$B)</f>
        <v>Does the product have / support cameras or other sensors that can potentially identify people? (Regarding "supporting a camera / sensor": only answer with Yes if attaching a camera / sensor is in the intended or foreseeable use of the product.)</v>
      </c>
      <c r="M6" s="12" cm="1">
        <f t="array" aca="1" ref="M6" ca="1">CreateID($M$3,AND($B6&lt;&gt;"",$AD6))</f>
        <v>1</v>
      </c>
      <c r="N6" s="13" cm="1">
        <f t="array" ref="N6">CreateTaskID($N$3,$N:$N,Tasks!$B$17,$H6)</f>
        <v>0</v>
      </c>
      <c r="O6" s="12" t="str">
        <f t="shared" ca="1" si="2"/>
        <v>QI1 Does the product have / support cameras or other sensors that can potentially identify people? (Regarding "supporting a camera / sensor": only answer with Yes if attaching a camera / sensor is in the intended or foreseeable use of the product.)</v>
      </c>
      <c r="P6" s="13" cm="1">
        <f t="array" aca="1" ref="P6" ca="1">CreateID($P$3,$O6&lt;&gt;"")</f>
        <v>1</v>
      </c>
      <c r="Q6" s="12" t="str">
        <f t="shared" ca="1" si="3"/>
        <v/>
      </c>
      <c r="R6" s="12" cm="1">
        <f t="array" aca="1" ref="R6" ca="1">CreateID($R$3,$Q6&lt;&gt;"")</f>
        <v>0</v>
      </c>
      <c r="S6" s="12" t="str">
        <f t="shared" ca="1" si="4"/>
        <v/>
      </c>
      <c r="T6" s="12" cm="1">
        <f t="array" aca="1" ref="T6" ca="1">CreateID($T$3,$S6&lt;&gt;"")</f>
        <v>0</v>
      </c>
      <c r="U6" s="12" t="str">
        <f t="shared" ca="1" si="5"/>
        <v/>
      </c>
      <c r="V6" s="12" cm="1">
        <f t="array" aca="1" ref="V6" ca="1">CreateID($V$3,$U6&lt;&gt;"")</f>
        <v>0</v>
      </c>
      <c r="W6" s="12" cm="1">
        <f t="array" aca="1" ref="W6" ca="1">CreateID($W$3,IFERROR(FIND(Definitions!$AR$4,$H6)&gt;0,FALSE))</f>
        <v>0</v>
      </c>
      <c r="X6" s="12">
        <f>_xlfn.LET(
_xlpm._comment,$H6,
_xlpm._keyWord,Definitions!$AR$4,
_xlpm._diffLen,LEN(_xlpm._comment)-LEN(SUBSTITUTE(_xlpm._comment,_xlpm._keyWord,"")),
_xlpm._diffLen/LEN(_xlpm._keyWord))</f>
        <v>0</v>
      </c>
      <c r="Y6" s="12" cm="1">
        <f t="array" aca="1" ref="Y6" ca="1">CreateID($Y$3,IFERROR(FIND(Definitions!$AR$5,$H6)&gt;0,FALSE))</f>
        <v>0</v>
      </c>
      <c r="Z6" s="12">
        <f>_xlfn.LET(
_xlpm._comment,$H6,
_xlpm._keyWord,Definitions!$AR$5,
_xlpm._diffLen,LEN(_xlpm._comment)-LEN(SUBSTITUTE(_xlpm._comment,_xlpm._keyWord,"")),
_xlpm._diffLen/LEN(_xlpm._keyWord))</f>
        <v>0</v>
      </c>
      <c r="AA6" s="12" t="b">
        <f ca="1">OR(IFERROR(_xlfn.XMATCH("*,"&amp;$B6&amp;",*",Assumptions!$AH:$AH,2)&gt;0,FALSE),
IFERROR(_xlfn.XMATCH("*,"&amp;$B6&amp;",*",Countermeasures!$AK:$AK,2)&gt;0,FALSE))</f>
        <v>0</v>
      </c>
      <c r="AB6" s="12" t="str" cm="1">
        <f t="array" aca="1" ref="AB6" ca="1">CreateSearchString($J6)</f>
        <v>,QI1[],</v>
      </c>
      <c r="AC6" s="12" t="str" cm="1">
        <f t="array" ref="AC6">IF($F6="","",IFERROR(SimpleLookup($F6,Definitions!$H:$J),""))</f>
        <v/>
      </c>
      <c r="AD6" s="12" t="b" cm="1">
        <f t="array" aca="1" ref="AD6" ca="1">IF($B6="",FALSE,SimpleLookup($B6,Questions!$A:$D)="x")</f>
        <v>1</v>
      </c>
      <c r="AE6" s="12" t="str" cm="1">
        <f t="array" aca="1" ref="AE6" ca="1">IF(OR($B6="",NOT($AD6)),"",SimpleLookup($B6,Questions!$A:$E))</f>
        <v>'[QuBA-libre.xlsx]Definitions'!$A$4</v>
      </c>
      <c r="AF6" s="12" cm="1">
        <f t="array" aca="1" ref="AF6" ca="1">IF(OR($B6="",NOT($AD6)),"",SimpleLookup($B6,Questions!$A:$F))</f>
        <v>2</v>
      </c>
      <c r="AG6" s="12" t="str" cm="1">
        <f t="array" aca="1" ref="AG6" ca="1">_xlfn.LET(
_xlpm._answer,$D6,
_xlpm._infoTextFull,IF($AD6,CHAR(10)&amp;SimpleLookup($B6,Questions!$A:$H)&amp;CHAR(10),""),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6" s="12" t="b" cm="1">
        <f t="array" aca="1" ref="AH6" ca="1">IF(OR($B6="",NOT($AD6)),FALSE,_xlfn.LET(
_xlpm._secondAnswerRequiredOn,SimpleLookup($B6,Questions!$A:$I),
_xlpm._firstAnwer,$D6,
IFERROR(FIND(CHAR(10)&amp;_xlpm._firstAnwer&amp;":",CHAR(10)&amp;_xlpm._secondAnswerRequiredOn)&gt;0,FALSE)))</f>
        <v>0</v>
      </c>
      <c r="AI6" s="12" t="str" cm="1">
        <f t="array" aca="1" ref="AI6" ca="1">IF(OR($B6="",NOT($AD6)),"",_xlfn.LET(
_xlpm._id,$B6,
_xlpm._firstAnswer,$D6,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'[QuBA-libre.xlsx]Definitions'!$A$4</v>
      </c>
      <c r="AJ6" s="12" cm="1">
        <f t="array" aca="1" ref="AJ6" ca="1">IF(OR($B6="",NOT($AD6)),"",_xlfn.LET(
_xlpm._id,$B6,
_xlpm._firstAnswer,$D6,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2</v>
      </c>
      <c r="AK6" s="12" t="str" cm="1">
        <f t="array" aca="1" ref="AK6" ca="1">IF($AH6,_xlfn.LET(
_xlpm._answer,$F6,
_xlpm._infoTextFull,IF($AD6,CHAR(10)&amp;SimpleLookup($B6,Questions!$A:$L)&amp;CHAR(10),""),
_xlpm._startSelectedByAnswerOne,IF(_xlpm._infoTextFull="",0,FIND("___"&amp;$D6&amp;"___",_xlpm._infoTextFull)+LEN("___"&amp;$D6&amp;"___")),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6" s="12" t="b" cm="1">
        <f t="array" aca="1" ref="AL6" ca="1">IF(OR($B6="",NOT($AD6)),FALSE,SimpleLookup($B6,Questions!$A:$Q))</f>
        <v>0</v>
      </c>
      <c r="AM6" s="12" t="str" cm="1">
        <f t="array" aca="1" ref="AM6" ca="1">IF(AND($B6=Questions!$A$41,IFERROR(SimpleLookup(Questions!$A$36,$B:$F)=Definitions!$O$5,FALSE),$D6=Definitions!$A$5),
Questions!$A$36&amp;" "&amp;Questions!$B$36&amp;CHAR(10)&amp;CHAR(187)&amp;" "&amp;SimpleLookup(Questions!$A$36,$B:$D)&amp;CHAR(10)&amp;SimpleLookup(Questions!$A$36,$B:$E)&amp;CHAR(10)&amp;CHAR(187)&amp;" "&amp;Definitions!$O$5&amp;CHAR(10)&amp;CHAR(10)&amp;
"is incosistent with"&amp;CHAR(10)&amp;CHAR(10)&amp;
$B6&amp;" "&amp;SimpleLookup($B6,Questions!$A:$B)&amp;CHAR(10)&amp;CHAR(187)&amp;" "&amp;$D6,
"")</f>
        <v/>
      </c>
      <c r="AN6" s="12" cm="1">
        <f t="array" aca="1" ref="AN6" ca="1">CreateID($AN$3,$AM6&lt;&gt;"")</f>
        <v>0</v>
      </c>
      <c r="AO6" s="12" t="str">
        <f ca="1">IF(OR($D6="",OFFSET($D6,1,0)=""),"",
IF(AND($B6=Questions!$A$59,OFFSET($B6,1,0)=Questions!$A$60),
IF(MATCH($D6,Definitions!$AW:$AW,0)&gt;MATCH(OFFSET($D6,1,0),Definitions!AW:AW,0),$B6&amp;" "&amp;$L6&amp;": "&amp;$D6&amp;CHAR(10)&amp;"&lt;---&gt;"&amp;CHAR(10)&amp;OFFSET($B6,1,0)&amp;" "&amp;OFFSET($L6,1,0)&amp;": "&amp;OFFSET($D6,1,0),""),
""))</f>
        <v/>
      </c>
      <c r="AP6" s="12" cm="1">
        <f t="array" aca="1" ref="AP6" ca="1">CreateID($AP$3,$AO6&lt;&gt;"")</f>
        <v>0</v>
      </c>
      <c r="AQ6" s="12" t="str" cm="1">
        <f t="array" ref="AQ6">IF($B6=Questions!$A$18,
  _xlfn.LET(
    _xlpm._impactValue7,IFERROR(SimpleLookup(SimpleLookup($F6,Definitions!$H:$J),Definitions!$Q:$R),0),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"&amp;$F6&amp;CHAR(10)&amp;"&lt;---&gt;"&amp;CHAR(10)&amp;Questions!$A$30&amp;": "&amp;_xlpm._impactName14,
        ""))),
  "")</f>
        <v/>
      </c>
      <c r="AR6" s="12" cm="1">
        <f t="array" aca="1" ref="AR6" ca="1">CreateID($AR$3,$AQ6&lt;&gt;"")</f>
        <v>0</v>
      </c>
    </row>
    <row r="7" spans="1:44" ht="45" x14ac:dyDescent="0.25">
      <c r="A7" s="116" t="str">
        <f ca="1">HYPERLINK("#'"&amp;Helper!$G$22&amp;"'!A"&amp;MATCH($B7,'Answering Guideline'!$A:$A,0),Definitions!$AY$4)</f>
        <v>◈</v>
      </c>
      <c r="B7" s="68" t="s">
        <v>923</v>
      </c>
      <c r="C7" s="4" t="str" cm="1">
        <f t="array" aca="1" ref="C7" ca="1">IF($B7="","",CreateIndentedString($L7,Definitions!$T$4,SimpleLookup($B7,Questions!$A:$C)))</f>
        <v xml:space="preserve">      Does  the  product  process  personal  data?
      Examples:
      address  labels</v>
      </c>
      <c r="E7" s="7" t="str">
        <f ca="1">$AG7</f>
        <v/>
      </c>
      <c r="G7" s="7" t="str">
        <f ca="1">$AK7</f>
        <v/>
      </c>
      <c r="J7" s="12" t="str">
        <f t="shared" ca="1" si="0"/>
        <v>QI2[]</v>
      </c>
      <c r="K7" s="12" t="str">
        <f t="shared" ca="1" si="1"/>
        <v>QI2[]</v>
      </c>
      <c r="L7" s="12" t="str" cm="1">
        <f t="array" aca="1" ref="L7" ca="1">SimpleLookup($B7,Questions!$A:$B)</f>
        <v>Does the product process personal data?
Examples: address labels</v>
      </c>
      <c r="M7" s="12" cm="1">
        <f t="array" aca="1" ref="M7" ca="1">CreateID($M$3,AND($B7&lt;&gt;"",$AD7))</f>
        <v>2</v>
      </c>
      <c r="N7" s="12" cm="1">
        <f t="array" ref="N7">CreateTaskID($N$3,$N:$N,Tasks!$B$17,$H7)</f>
        <v>0</v>
      </c>
      <c r="O7" s="12" t="str">
        <f t="shared" ca="1" si="2"/>
        <v>QI2 Does the product process personal data?
Examples: address labels</v>
      </c>
      <c r="P7" s="12" cm="1">
        <f t="array" aca="1" ref="P7" ca="1">CreateID($P$3,$O7&lt;&gt;"")</f>
        <v>2</v>
      </c>
      <c r="Q7" s="12" t="str">
        <f t="shared" ca="1" si="3"/>
        <v/>
      </c>
      <c r="R7" s="12" cm="1">
        <f t="array" aca="1" ref="R7" ca="1">CreateID($R$3,$Q7&lt;&gt;"")</f>
        <v>0</v>
      </c>
      <c r="S7" s="12" t="str">
        <f t="shared" ca="1" si="4"/>
        <v/>
      </c>
      <c r="T7" s="12" cm="1">
        <f t="array" aca="1" ref="T7" ca="1">CreateID($T$3,$S7&lt;&gt;"")</f>
        <v>0</v>
      </c>
      <c r="U7" s="12" t="str">
        <f t="shared" ca="1" si="5"/>
        <v/>
      </c>
      <c r="V7" s="12" cm="1">
        <f t="array" aca="1" ref="V7" ca="1">CreateID($V$3,$U7&lt;&gt;"")</f>
        <v>0</v>
      </c>
      <c r="W7" s="12" cm="1">
        <f t="array" aca="1" ref="W7" ca="1">CreateID($W$3,IFERROR(FIND(Definitions!$AR$4,$H7)&gt;0,FALSE))</f>
        <v>0</v>
      </c>
      <c r="X7" s="12">
        <f>_xlfn.LET(
_xlpm._comment,$H7,
_xlpm._keyWord,Definitions!$AR$4,
_xlpm._diffLen,LEN(_xlpm._comment)-LEN(SUBSTITUTE(_xlpm._comment,_xlpm._keyWord,"")),
_xlpm._diffLen/LEN(_xlpm._keyWord))</f>
        <v>0</v>
      </c>
      <c r="Y7" s="12" cm="1">
        <f t="array" aca="1" ref="Y7" ca="1">CreateID($Y$3,IFERROR(FIND(Definitions!$AR$5,$H7)&gt;0,FALSE))</f>
        <v>0</v>
      </c>
      <c r="Z7" s="12">
        <f>_xlfn.LET(
_xlpm._comment,$H7,
_xlpm._keyWord,Definitions!$AR$5,
_xlpm._diffLen,LEN(_xlpm._comment)-LEN(SUBSTITUTE(_xlpm._comment,_xlpm._keyWord,"")),
_xlpm._diffLen/LEN(_xlpm._keyWord))</f>
        <v>0</v>
      </c>
      <c r="AA7" s="12" t="b">
        <f ca="1">OR(IFERROR(_xlfn.XMATCH("*,"&amp;$B7&amp;",*",Assumptions!$AH:$AH,2)&gt;0,FALSE),
IFERROR(_xlfn.XMATCH("*,"&amp;$B7&amp;",*",Countermeasures!$AK:$AK,2)&gt;0,FALSE))</f>
        <v>0</v>
      </c>
      <c r="AB7" s="12" t="str" cm="1">
        <f t="array" aca="1" ref="AB7" ca="1">CreateSearchString($J7)</f>
        <v>,QI2[],</v>
      </c>
      <c r="AC7" s="12" t="str" cm="1">
        <f t="array" ref="AC7">IF($F7="","",IFERROR(SimpleLookup($F7,Definitions!$H:$J),""))</f>
        <v/>
      </c>
      <c r="AD7" s="12" t="b" cm="1">
        <f t="array" aca="1" ref="AD7" ca="1">IF($B7="",FALSE,SimpleLookup($B7,Questions!$A:$D)="x")</f>
        <v>1</v>
      </c>
      <c r="AE7" s="12" t="str" cm="1">
        <f t="array" aca="1" ref="AE7" ca="1">IF(OR($B7="",NOT($AD7)),"",SimpleLookup($B7,Questions!$A:$E))</f>
        <v>'[QuBA-libre.xlsx]Definitions'!$A$4</v>
      </c>
      <c r="AF7" s="12" cm="1">
        <f t="array" aca="1" ref="AF7" ca="1">IF(OR($B7="",NOT($AD7)),"",SimpleLookup($B7,Questions!$A:$F))</f>
        <v>2</v>
      </c>
      <c r="AG7" s="12" t="str" cm="1">
        <f t="array" aca="1" ref="AG7" ca="1">_xlfn.LET(
_xlpm._answer,$D7,
_xlpm._infoTextFull,IF($AD7,CHAR(10)&amp;SimpleLookup($B7,Questions!$A:$H)&amp;CHAR(10),""),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7" s="12" t="b" cm="1">
        <f t="array" aca="1" ref="AH7" ca="1">IF(OR($B7="",NOT($AD7)),FALSE,_xlfn.LET(
_xlpm._secondAnswerRequiredOn,SimpleLookup($B7,Questions!$A:$I),
_xlpm._firstAnwer,$D7,
IFERROR(FIND(CHAR(10)&amp;_xlpm._firstAnwer&amp;":",CHAR(10)&amp;_xlpm._secondAnswerRequiredOn)&gt;0,FALSE)))</f>
        <v>0</v>
      </c>
      <c r="AI7" s="12" t="str" cm="1">
        <f t="array" aca="1" ref="AI7" ca="1">IF(OR($B7="",NOT($AD7)),"",_xlfn.LET(
_xlpm._id,$B7,
_xlpm._firstAnswer,$D7,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'[QuBA-libre.xlsx]Definitions'!$H$4</v>
      </c>
      <c r="AJ7" s="12" cm="1">
        <f t="array" aca="1" ref="AJ7" ca="1">IF(OR($B7="",NOT($AD7)),"",_xlfn.LET(
_xlpm._id,$B7,
_xlpm._firstAnswer,$D7,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3</v>
      </c>
      <c r="AK7" s="12" t="str" cm="1">
        <f t="array" aca="1" ref="AK7" ca="1">IF($AH7,_xlfn.LET(
_xlpm._answer,$F7,
_xlpm._infoTextFull,IF($AD7,CHAR(10)&amp;SimpleLookup($B7,Questions!$A:$L)&amp;CHAR(10),""),
_xlpm._startSelectedByAnswerOne,IF(_xlpm._infoTextFull="",0,FIND("___"&amp;$D7&amp;"___",_xlpm._infoTextFull)+LEN("___"&amp;$D7&amp;"___")),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7" s="12" t="b" cm="1">
        <f t="array" aca="1" ref="AL7" ca="1">IF(OR($B7="",NOT($AD7)),FALSE,SimpleLookup($B7,Questions!$A:$Q))</f>
        <v>0</v>
      </c>
      <c r="AM7" s="12" t="str" cm="1">
        <f t="array" aca="1" ref="AM7" ca="1">IF(AND($B7=Questions!$A$41,IFERROR(SimpleLookup(Questions!$A$36,$B:$F)=Definitions!$O$5,FALSE),$D7=Definitions!$A$5),
Questions!$A$36&amp;" "&amp;Questions!$B$36&amp;CHAR(10)&amp;CHAR(187)&amp;" "&amp;SimpleLookup(Questions!$A$36,$B:$D)&amp;CHAR(10)&amp;SimpleLookup(Questions!$A$36,$B:$E)&amp;CHAR(10)&amp;CHAR(187)&amp;" "&amp;Definitions!$O$5&amp;CHAR(10)&amp;CHAR(10)&amp;
"is incosistent with"&amp;CHAR(10)&amp;CHAR(10)&amp;
$B7&amp;" "&amp;SimpleLookup($B7,Questions!$A:$B)&amp;CHAR(10)&amp;CHAR(187)&amp;" "&amp;$D7,
"")</f>
        <v/>
      </c>
      <c r="AN7" s="12" cm="1">
        <f t="array" aca="1" ref="AN7" ca="1">CreateID($AN$3,$AM7&lt;&gt;"")</f>
        <v>0</v>
      </c>
      <c r="AO7" s="12" t="str">
        <f ca="1">IF(OR($D7="",OFFSET($D7,1,0)=""),"",
IF(AND($B7=Questions!$A$59,OFFSET($B7,1,0)=Questions!$A$60),
IF(MATCH($D7,Definitions!$AW:$AW,0)&gt;MATCH(OFFSET($D7,1,0),Definitions!AW:AW,0),$B7&amp;" "&amp;$L7&amp;": "&amp;$D7&amp;CHAR(10)&amp;"&lt;---&gt;"&amp;CHAR(10)&amp;OFFSET($B7,1,0)&amp;" "&amp;OFFSET($L7,1,0)&amp;": "&amp;OFFSET($D7,1,0),""),
""))</f>
        <v/>
      </c>
      <c r="AP7" s="12" cm="1">
        <f t="array" aca="1" ref="AP7" ca="1">CreateID($AP$3,$AO7&lt;&gt;"")</f>
        <v>0</v>
      </c>
      <c r="AQ7" s="12" t="str" cm="1">
        <f t="array" ref="AQ7">IF($B7=Questions!$A$18,
  _xlfn.LET(
    _xlpm._impactValue7,IFERROR(SimpleLookup(SimpleLookup($F7,Definitions!$H:$J),Definitions!$Q:$R),0),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"&amp;$F7&amp;CHAR(10)&amp;"&lt;---&gt;"&amp;CHAR(10)&amp;Questions!$A$30&amp;": "&amp;_xlpm._impactName14,
        ""))),
  "")</f>
        <v/>
      </c>
      <c r="AR7" s="12" cm="1">
        <f t="array" aca="1" ref="AR7" ca="1">CreateID($AR$3,$AQ7&lt;&gt;"")</f>
        <v>0</v>
      </c>
    </row>
    <row r="8" spans="1:44" x14ac:dyDescent="0.25">
      <c r="A8" s="116"/>
      <c r="B8" s="68" t="s">
        <v>997</v>
      </c>
      <c r="C8" s="4" t="str" cm="1">
        <f t="array" aca="1" ref="C8" ca="1">IF($B8="","",CreateIndentedString($L8,Definitions!$T$4,SimpleLookup($B8,Questions!$A:$C)))</f>
        <v xml:space="preserve">   Intellectual  property</v>
      </c>
      <c r="J8" s="12" t="str">
        <f t="shared" ca="1" si="0"/>
        <v/>
      </c>
      <c r="K8" s="12" t="str">
        <f t="shared" ca="1" si="1"/>
        <v/>
      </c>
      <c r="L8" s="12" t="str" cm="1">
        <f t="array" aca="1" ref="L8" ca="1">SimpleLookup($B8,Questions!$A:$B)</f>
        <v>Intellectual property</v>
      </c>
      <c r="M8" s="12" cm="1">
        <f t="array" aca="1" ref="M8" ca="1">CreateID($M$3,AND($B8&lt;&gt;"",$AD8))</f>
        <v>2</v>
      </c>
      <c r="N8" s="12" cm="1">
        <f t="array" ref="N8">CreateTaskID($N$3,$N:$N,Tasks!$B$17,$H8)</f>
        <v>0</v>
      </c>
      <c r="O8" s="12" t="str">
        <f t="shared" ca="1" si="2"/>
        <v/>
      </c>
      <c r="P8" s="12" cm="1">
        <f t="array" aca="1" ref="P8" ca="1">CreateID($P$3,$O8&lt;&gt;"")</f>
        <v>2</v>
      </c>
      <c r="Q8" s="12" t="str">
        <f t="shared" si="3"/>
        <v/>
      </c>
      <c r="R8" s="12" cm="1">
        <f t="array" aca="1" ref="R8" ca="1">CreateID($R$3,$Q8&lt;&gt;"")</f>
        <v>0</v>
      </c>
      <c r="S8" s="12" t="str">
        <f t="shared" si="4"/>
        <v/>
      </c>
      <c r="T8" s="12" cm="1">
        <f t="array" aca="1" ref="T8" ca="1">CreateID($T$3,$S8&lt;&gt;"")</f>
        <v>0</v>
      </c>
      <c r="U8" s="12" t="str">
        <f t="shared" ca="1" si="5"/>
        <v/>
      </c>
      <c r="V8" s="12" cm="1">
        <f t="array" aca="1" ref="V8" ca="1">CreateID($V$3,$U8&lt;&gt;"")</f>
        <v>0</v>
      </c>
      <c r="W8" s="12" cm="1">
        <f t="array" aca="1" ref="W8" ca="1">CreateID($W$3,IFERROR(FIND(Definitions!$AR$4,$H8)&gt;0,FALSE))</f>
        <v>0</v>
      </c>
      <c r="X8" s="12">
        <f>_xlfn.LET(
_xlpm._comment,$H8,
_xlpm._keyWord,Definitions!$AR$4,
_xlpm._diffLen,LEN(_xlpm._comment)-LEN(SUBSTITUTE(_xlpm._comment,_xlpm._keyWord,"")),
_xlpm._diffLen/LEN(_xlpm._keyWord))</f>
        <v>0</v>
      </c>
      <c r="Y8" s="12" cm="1">
        <f t="array" aca="1" ref="Y8" ca="1">CreateID($Y$3,IFERROR(FIND(Definitions!$AR$5,$H8)&gt;0,FALSE))</f>
        <v>0</v>
      </c>
      <c r="Z8" s="12">
        <f>_xlfn.LET(
_xlpm._comment,$H8,
_xlpm._keyWord,Definitions!$AR$5,
_xlpm._diffLen,LEN(_xlpm._comment)-LEN(SUBSTITUTE(_xlpm._comment,_xlpm._keyWord,"")),
_xlpm._diffLen/LEN(_xlpm._keyWord))</f>
        <v>0</v>
      </c>
      <c r="AA8" s="12" t="b">
        <f ca="1">OR(IFERROR(_xlfn.XMATCH("*,"&amp;$B8&amp;",*",Assumptions!$AH:$AH,2)&gt;0,FALSE),
IFERROR(_xlfn.XMATCH("*,"&amp;$B8&amp;",*",Countermeasures!$AK:$AK,2)&gt;0,FALSE))</f>
        <v>0</v>
      </c>
      <c r="AB8" s="12" t="str" cm="1">
        <f t="array" aca="1" ref="AB8" ca="1">CreateSearchString($J8)</f>
        <v/>
      </c>
      <c r="AC8" s="12" t="str" cm="1">
        <f t="array" ref="AC8">IF($F8="","",IFERROR(SimpleLookup($F8,Definitions!$H:$J),""))</f>
        <v/>
      </c>
      <c r="AD8" s="12" t="b" cm="1">
        <f t="array" aca="1" ref="AD8" ca="1">IF($B8="",FALSE,SimpleLookup($B8,Questions!$A:$D)="x")</f>
        <v>0</v>
      </c>
      <c r="AE8" s="12" t="str" cm="1">
        <f t="array" aca="1" ref="AE8" ca="1">IF(OR($B8="",NOT($AD8)),"",SimpleLookup($B8,Questions!$A:$E))</f>
        <v/>
      </c>
      <c r="AF8" s="12" t="str" cm="1">
        <f t="array" aca="1" ref="AF8" ca="1">IF(OR($B8="",NOT($AD8)),"",SimpleLookup($B8,Questions!$A:$F))</f>
        <v/>
      </c>
      <c r="AG8" s="12" t="str" cm="1">
        <f t="array" aca="1" ref="AG8" ca="1">_xlfn.LET(
_xlpm._answer,$D8,
_xlpm._infoTextFull,IF($AD8,CHAR(10)&amp;SimpleLookup($B8,Questions!$A:$H)&amp;CHAR(10),""),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8" s="12" t="b" cm="1">
        <f t="array" aca="1" ref="AH8" ca="1">IF(OR($B8="",NOT($AD8)),FALSE,_xlfn.LET(
_xlpm._secondAnswerRequiredOn,SimpleLookup($B8,Questions!$A:$I),
_xlpm._firstAnwer,$D8,
IFERROR(FIND(CHAR(10)&amp;_xlpm._firstAnwer&amp;":",CHAR(10)&amp;_xlpm._secondAnswerRequiredOn)&gt;0,FALSE)))</f>
        <v>0</v>
      </c>
      <c r="AI8" s="12" t="str" cm="1">
        <f t="array" aca="1" ref="AI8" ca="1">IF(OR($B8="",NOT($AD8)),"",_xlfn.LET(
_xlpm._id,$B8,
_xlpm._firstAnswer,$D8,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8" s="12" t="str" cm="1">
        <f t="array" aca="1" ref="AJ8" ca="1">IF(OR($B8="",NOT($AD8)),"",_xlfn.LET(
_xlpm._id,$B8,
_xlpm._firstAnswer,$D8,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8" s="12" t="str" cm="1">
        <f t="array" aca="1" ref="AK8" ca="1">IF($AH8,_xlfn.LET(
_xlpm._answer,$F8,
_xlpm._infoTextFull,IF($AD8,CHAR(10)&amp;SimpleLookup($B8,Questions!$A:$L)&amp;CHAR(10),""),
_xlpm._startSelectedByAnswerOne,IF(_xlpm._infoTextFull="",0,FIND("___"&amp;$D8&amp;"___",_xlpm._infoTextFull)+LEN("___"&amp;$D8&amp;"___")),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8" s="12" t="b" cm="1">
        <f t="array" aca="1" ref="AL8" ca="1">IF(OR($B8="",NOT($AD8)),FALSE,SimpleLookup($B8,Questions!$A:$Q))</f>
        <v>0</v>
      </c>
      <c r="AM8" s="12" t="str" cm="1">
        <f t="array" aca="1" ref="AM8" ca="1">IF(AND($B8=Questions!$A$41,IFERROR(SimpleLookup(Questions!$A$36,$B:$F)=Definitions!$O$5,FALSE),$D8=Definitions!$A$5),
Questions!$A$36&amp;" "&amp;Questions!$B$36&amp;CHAR(10)&amp;CHAR(187)&amp;" "&amp;SimpleLookup(Questions!$A$36,$B:$D)&amp;CHAR(10)&amp;SimpleLookup(Questions!$A$36,$B:$E)&amp;CHAR(10)&amp;CHAR(187)&amp;" "&amp;Definitions!$O$5&amp;CHAR(10)&amp;CHAR(10)&amp;
"is incosistent with"&amp;CHAR(10)&amp;CHAR(10)&amp;
$B8&amp;" "&amp;SimpleLookup($B8,Questions!$A:$B)&amp;CHAR(10)&amp;CHAR(187)&amp;" "&amp;$D8,
"")</f>
        <v/>
      </c>
      <c r="AN8" s="12" cm="1">
        <f t="array" aca="1" ref="AN8" ca="1">CreateID($AN$3,$AM8&lt;&gt;"")</f>
        <v>0</v>
      </c>
      <c r="AO8" s="12" t="str">
        <f ca="1">IF(OR($D8="",OFFSET($D8,1,0)=""),"",
IF(AND($B8=Questions!$A$59,OFFSET($B8,1,0)=Questions!$A$60),
IF(MATCH($D8,Definitions!$AW:$AW,0)&gt;MATCH(OFFSET($D8,1,0),Definitions!AW:AW,0),$B8&amp;" "&amp;$L8&amp;": "&amp;$D8&amp;CHAR(10)&amp;"&lt;---&gt;"&amp;CHAR(10)&amp;OFFSET($B8,1,0)&amp;" "&amp;OFFSET($L8,1,0)&amp;": "&amp;OFFSET($D8,1,0),""),
""))</f>
        <v/>
      </c>
      <c r="AP8" s="12" cm="1">
        <f t="array" aca="1" ref="AP8" ca="1">CreateID($AP$3,$AO8&lt;&gt;"")</f>
        <v>0</v>
      </c>
      <c r="AQ8" s="12" t="str" cm="1">
        <f t="array" ref="AQ8">IF($B8=Questions!$A$18,
  _xlfn.LET(
    _xlpm._impactValue7,IFERROR(SimpleLookup(SimpleLookup($F8,Definitions!$H:$J),Definitions!$Q:$R),0),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"&amp;$F8&amp;CHAR(10)&amp;"&lt;---&gt;"&amp;CHAR(10)&amp;Questions!$A$30&amp;": "&amp;_xlpm._impactName14,
        ""))),
  "")</f>
        <v/>
      </c>
      <c r="AR8" s="12" cm="1">
        <f t="array" aca="1" ref="AR8" ca="1">CreateID($AR$3,$AQ8&lt;&gt;"")</f>
        <v>0</v>
      </c>
    </row>
    <row r="9" spans="1:44" ht="120" x14ac:dyDescent="0.25">
      <c r="A9" s="116" t="str">
        <f ca="1">HYPERLINK("#'"&amp;Helper!$G$22&amp;"'!A"&amp;MATCH($B9,'Answering Guideline'!$A:$A,0),Definitions!$AY$4)</f>
        <v>◈</v>
      </c>
      <c r="B9" s="68" t="s">
        <v>921</v>
      </c>
      <c r="C9" s="4" t="str" cm="1">
        <f t="array" aca="1" ref="C9" ca="1">IF($B9="","",CreateIndentedString($L9,Definitions!$T$4,SimpleLookup($B9,Questions!$A:$C)))</f>
        <v xml:space="preserve">      Does  the  product  contain  &lt;&lt;  OEM  Name  &gt;&gt;  or
      customer  intellectual  property?
      Note:  Only  IP
      which  is  part  of  /  accessible  by  the  firmware
      /  software  in  the  product  is  in  scope  of  this
      question.  Gaining  access  to  optical  and
      mechanical  IP  are  not  covered  by  this  question
      (and  the  cybersecurity  risk  analysis)</v>
      </c>
      <c r="E9" s="7" t="str">
        <f ca="1">$AG9</f>
        <v/>
      </c>
      <c r="G9" s="7" t="str">
        <f ca="1">$AK9</f>
        <v/>
      </c>
      <c r="J9" s="12" t="str">
        <f t="shared" ca="1" si="0"/>
        <v>QI3[]</v>
      </c>
      <c r="K9" s="12" t="str">
        <f t="shared" ca="1" si="1"/>
        <v>QI3[]</v>
      </c>
      <c r="L9" s="12" t="str" cm="1">
        <f t="array" aca="1" ref="L9" ca="1">SimpleLookup($B9,Questions!$A:$B)</f>
        <v>Does the product contain &lt;&lt; OEM Name &gt;&gt; or customer intellectual property?
Note: Only IP which is part of / accessible by the firmware / software in the product is in scope of this question. Gaining access to optical and mechanical IP are not covered by this question (and the cybersecurity risk analysis)</v>
      </c>
      <c r="M9" s="12" cm="1">
        <f t="array" aca="1" ref="M9" ca="1">CreateID($M$3,AND($B9&lt;&gt;"",$AD9))</f>
        <v>3</v>
      </c>
      <c r="N9" s="12" cm="1">
        <f t="array" ref="N9">CreateTaskID($N$3,$N:$N,Tasks!$B$17,$H9)</f>
        <v>0</v>
      </c>
      <c r="O9" s="12" t="str">
        <f t="shared" ca="1" si="2"/>
        <v>QI3 Does the product contain &lt;&lt; OEM Name &gt;&gt; or customer intellectual property?
Note: Only IP which is part of / accessible by the firmware / software in the product is in scope of this question. Gaining access to optical and mechanical IP are not covered by this question (and the cybersecurity risk analysis)</v>
      </c>
      <c r="P9" s="12" cm="1">
        <f t="array" aca="1" ref="P9" ca="1">CreateID($P$3,$O9&lt;&gt;"")</f>
        <v>3</v>
      </c>
      <c r="Q9" s="12" t="str">
        <f t="shared" ca="1" si="3"/>
        <v/>
      </c>
      <c r="R9" s="12" cm="1">
        <f t="array" aca="1" ref="R9" ca="1">CreateID($R$3,$Q9&lt;&gt;"")</f>
        <v>0</v>
      </c>
      <c r="S9" s="12" t="str">
        <f t="shared" ca="1" si="4"/>
        <v/>
      </c>
      <c r="T9" s="12" cm="1">
        <f t="array" aca="1" ref="T9" ca="1">CreateID($T$3,$S9&lt;&gt;"")</f>
        <v>0</v>
      </c>
      <c r="U9" s="12" t="str">
        <f t="shared" ca="1" si="5"/>
        <v/>
      </c>
      <c r="V9" s="12" cm="1">
        <f t="array" aca="1" ref="V9" ca="1">CreateID($V$3,$U9&lt;&gt;"")</f>
        <v>0</v>
      </c>
      <c r="W9" s="12" cm="1">
        <f t="array" aca="1" ref="W9" ca="1">CreateID($W$3,IFERROR(FIND(Definitions!$AR$4,$H9)&gt;0,FALSE))</f>
        <v>0</v>
      </c>
      <c r="X9" s="12">
        <f>_xlfn.LET(
_xlpm._comment,$H9,
_xlpm._keyWord,Definitions!$AR$4,
_xlpm._diffLen,LEN(_xlpm._comment)-LEN(SUBSTITUTE(_xlpm._comment,_xlpm._keyWord,"")),
_xlpm._diffLen/LEN(_xlpm._keyWord))</f>
        <v>0</v>
      </c>
      <c r="Y9" s="12" cm="1">
        <f t="array" aca="1" ref="Y9" ca="1">CreateID($Y$3,IFERROR(FIND(Definitions!$AR$5,$H9)&gt;0,FALSE))</f>
        <v>0</v>
      </c>
      <c r="Z9" s="12">
        <f>_xlfn.LET(
_xlpm._comment,$H9,
_xlpm._keyWord,Definitions!$AR$5,
_xlpm._diffLen,LEN(_xlpm._comment)-LEN(SUBSTITUTE(_xlpm._comment,_xlpm._keyWord,"")),
_xlpm._diffLen/LEN(_xlpm._keyWord))</f>
        <v>0</v>
      </c>
      <c r="AA9" s="12" t="b">
        <f ca="1">OR(IFERROR(_xlfn.XMATCH("*,"&amp;$B9&amp;",*",Assumptions!$AH:$AH,2)&gt;0,FALSE),
IFERROR(_xlfn.XMATCH("*,"&amp;$B9&amp;",*",Countermeasures!$AK:$AK,2)&gt;0,FALSE))</f>
        <v>0</v>
      </c>
      <c r="AB9" s="12" t="str" cm="1">
        <f t="array" aca="1" ref="AB9" ca="1">CreateSearchString($J9)</f>
        <v>,QI3[],</v>
      </c>
      <c r="AC9" s="12" t="str" cm="1">
        <f t="array" ref="AC9">IF($F9="","",IFERROR(SimpleLookup($F9,Definitions!$H:$J),""))</f>
        <v/>
      </c>
      <c r="AD9" s="12" t="b" cm="1">
        <f t="array" aca="1" ref="AD9" ca="1">IF($B9="",FALSE,SimpleLookup($B9,Questions!$A:$D)="x")</f>
        <v>1</v>
      </c>
      <c r="AE9" s="12" t="str" cm="1">
        <f t="array" aca="1" ref="AE9" ca="1">IF(OR($B9="",NOT($AD9)),"",SimpleLookup($B9,Questions!$A:$E))</f>
        <v>'[QuBA-libre.xlsx]Definitions'!$A$4</v>
      </c>
      <c r="AF9" s="12" cm="1">
        <f t="array" aca="1" ref="AF9" ca="1">IF(OR($B9="",NOT($AD9)),"",SimpleLookup($B9,Questions!$A:$F))</f>
        <v>2</v>
      </c>
      <c r="AG9" s="12" t="str" cm="1">
        <f t="array" aca="1" ref="AG9" ca="1">_xlfn.LET(
_xlpm._answer,$D9,
_xlpm._infoTextFull,IF($AD9,CHAR(10)&amp;SimpleLookup($B9,Questions!$A:$H)&amp;CHAR(10),""),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9" s="12" t="b" cm="1">
        <f t="array" aca="1" ref="AH9" ca="1">IF(OR($B9="",NOT($AD9)),FALSE,_xlfn.LET(
_xlpm._secondAnswerRequiredOn,SimpleLookup($B9,Questions!$A:$I),
_xlpm._firstAnwer,$D9,
IFERROR(FIND(CHAR(10)&amp;_xlpm._firstAnwer&amp;":",CHAR(10)&amp;_xlpm._secondAnswerRequiredOn)&gt;0,FALSE)))</f>
        <v>0</v>
      </c>
      <c r="AI9" s="12" t="str" cm="1">
        <f t="array" aca="1" ref="AI9" ca="1">IF(OR($B9="",NOT($AD9)),"",_xlfn.LET(
_xlpm._id,$B9,
_xlpm._firstAnswer,$D9,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'[QuBA-libre.xlsx]Definitions'!$H$7</v>
      </c>
      <c r="AJ9" s="12" cm="1">
        <f t="array" aca="1" ref="AJ9" ca="1">IF(OR($B9="",NOT($AD9)),"",_xlfn.LET(
_xlpm._id,$B9,
_xlpm._firstAnswer,$D9,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3</v>
      </c>
      <c r="AK9" s="12" t="str" cm="1">
        <f t="array" aca="1" ref="AK9" ca="1">IF($AH9,_xlfn.LET(
_xlpm._answer,$F9,
_xlpm._infoTextFull,IF($AD9,CHAR(10)&amp;SimpleLookup($B9,Questions!$A:$L)&amp;CHAR(10),""),
_xlpm._startSelectedByAnswerOne,IF(_xlpm._infoTextFull="",0,FIND("___"&amp;$D9&amp;"___",_xlpm._infoTextFull)+LEN("___"&amp;$D9&amp;"___")),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9" s="12" t="b" cm="1">
        <f t="array" aca="1" ref="AL9" ca="1">IF(OR($B9="",NOT($AD9)),FALSE,SimpleLookup($B9,Questions!$A:$Q))</f>
        <v>0</v>
      </c>
      <c r="AM9" s="12" t="str" cm="1">
        <f t="array" aca="1" ref="AM9" ca="1">IF(AND($B9=Questions!$A$41,IFERROR(SimpleLookup(Questions!$A$36,$B:$F)=Definitions!$O$5,FALSE),$D9=Definitions!$A$5),
Questions!$A$36&amp;" "&amp;Questions!$B$36&amp;CHAR(10)&amp;CHAR(187)&amp;" "&amp;SimpleLookup(Questions!$A$36,$B:$D)&amp;CHAR(10)&amp;SimpleLookup(Questions!$A$36,$B:$E)&amp;CHAR(10)&amp;CHAR(187)&amp;" "&amp;Definitions!$O$5&amp;CHAR(10)&amp;CHAR(10)&amp;
"is incosistent with"&amp;CHAR(10)&amp;CHAR(10)&amp;
$B9&amp;" "&amp;SimpleLookup($B9,Questions!$A:$B)&amp;CHAR(10)&amp;CHAR(187)&amp;" "&amp;$D9,
"")</f>
        <v/>
      </c>
      <c r="AN9" s="12" cm="1">
        <f t="array" aca="1" ref="AN9" ca="1">CreateID($AN$3,$AM9&lt;&gt;"")</f>
        <v>0</v>
      </c>
      <c r="AO9" s="12" t="str">
        <f ca="1">IF(OR($D9="",OFFSET($D9,1,0)=""),"",
IF(AND($B9=Questions!$A$59,OFFSET($B9,1,0)=Questions!$A$60),
IF(MATCH($D9,Definitions!$AW:$AW,0)&gt;MATCH(OFFSET($D9,1,0),Definitions!AW:AW,0),$B9&amp;" "&amp;$L9&amp;": "&amp;$D9&amp;CHAR(10)&amp;"&lt;---&gt;"&amp;CHAR(10)&amp;OFFSET($B9,1,0)&amp;" "&amp;OFFSET($L9,1,0)&amp;": "&amp;OFFSET($D9,1,0),""),
""))</f>
        <v/>
      </c>
      <c r="AP9" s="12" cm="1">
        <f t="array" aca="1" ref="AP9" ca="1">CreateID($AP$3,$AO9&lt;&gt;"")</f>
        <v>0</v>
      </c>
      <c r="AQ9" s="12" t="str" cm="1">
        <f t="array" ref="AQ9">IF($B9=Questions!$A$18,
  _xlfn.LET(
    _xlpm._impactValue7,IFERROR(SimpleLookup(SimpleLookup($F9,Definitions!$H:$J),Definitions!$Q:$R),0),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"&amp;$F9&amp;CHAR(10)&amp;"&lt;---&gt;"&amp;CHAR(10)&amp;Questions!$A$30&amp;": "&amp;_xlpm._impactName14,
        ""))),
  "")</f>
        <v/>
      </c>
      <c r="AR9" s="12" cm="1">
        <f t="array" aca="1" ref="AR9" ca="1">CreateID($AR$3,$AQ9&lt;&gt;"")</f>
        <v>0</v>
      </c>
    </row>
    <row r="10" spans="1:44" x14ac:dyDescent="0.25">
      <c r="A10" s="116"/>
      <c r="B10" s="68" t="s">
        <v>998</v>
      </c>
      <c r="C10" s="4" t="str" cm="1">
        <f t="array" aca="1" ref="C10" ca="1">IF($B10="","",CreateIndentedString($L10,Definitions!$T$4,SimpleLookup($B10,Questions!$A:$C)))</f>
        <v xml:space="preserve">   Financial  and  legal</v>
      </c>
      <c r="J10" s="12" t="str">
        <f t="shared" ca="1" si="0"/>
        <v/>
      </c>
      <c r="K10" s="12" t="str">
        <f t="shared" ca="1" si="1"/>
        <v/>
      </c>
      <c r="L10" s="12" t="str" cm="1">
        <f t="array" aca="1" ref="L10" ca="1">SimpleLookup($B10,Questions!$A:$B)</f>
        <v>Financial and legal</v>
      </c>
      <c r="M10" s="12" cm="1">
        <f t="array" aca="1" ref="M10" ca="1">CreateID($M$3,AND($B10&lt;&gt;"",$AD10))</f>
        <v>3</v>
      </c>
      <c r="N10" s="12" cm="1">
        <f t="array" ref="N10">CreateTaskID($N$3,$N:$N,Tasks!$B$17,$H10)</f>
        <v>0</v>
      </c>
      <c r="O10" s="12" t="str">
        <f t="shared" ca="1" si="2"/>
        <v/>
      </c>
      <c r="P10" s="12" cm="1">
        <f t="array" aca="1" ref="P10" ca="1">CreateID($P$3,$O10&lt;&gt;"")</f>
        <v>3</v>
      </c>
      <c r="Q10" s="12" t="str">
        <f t="shared" si="3"/>
        <v/>
      </c>
      <c r="R10" s="12" cm="1">
        <f t="array" aca="1" ref="R10" ca="1">CreateID($R$3,$Q10&lt;&gt;"")</f>
        <v>0</v>
      </c>
      <c r="S10" s="12" t="str">
        <f t="shared" si="4"/>
        <v/>
      </c>
      <c r="T10" s="12" cm="1">
        <f t="array" aca="1" ref="T10" ca="1">CreateID($T$3,$S10&lt;&gt;"")</f>
        <v>0</v>
      </c>
      <c r="U10" s="12" t="str">
        <f t="shared" ca="1" si="5"/>
        <v/>
      </c>
      <c r="V10" s="12" cm="1">
        <f t="array" aca="1" ref="V10" ca="1">CreateID($V$3,$U10&lt;&gt;"")</f>
        <v>0</v>
      </c>
      <c r="W10" s="12" cm="1">
        <f t="array" aca="1" ref="W10" ca="1">CreateID($W$3,IFERROR(FIND(Definitions!$AR$4,$H10)&gt;0,FALSE))</f>
        <v>0</v>
      </c>
      <c r="X10" s="12">
        <f>_xlfn.LET(
_xlpm._comment,$H10,
_xlpm._keyWord,Definitions!$AR$4,
_xlpm._diffLen,LEN(_xlpm._comment)-LEN(SUBSTITUTE(_xlpm._comment,_xlpm._keyWord,"")),
_xlpm._diffLen/LEN(_xlpm._keyWord))</f>
        <v>0</v>
      </c>
      <c r="Y10" s="12" cm="1">
        <f t="array" aca="1" ref="Y10" ca="1">CreateID($Y$3,IFERROR(FIND(Definitions!$AR$5,$H10)&gt;0,FALSE))</f>
        <v>0</v>
      </c>
      <c r="Z10" s="12">
        <f>_xlfn.LET(
_xlpm._comment,$H10,
_xlpm._keyWord,Definitions!$AR$5,
_xlpm._diffLen,LEN(_xlpm._comment)-LEN(SUBSTITUTE(_xlpm._comment,_xlpm._keyWord,"")),
_xlpm._diffLen/LEN(_xlpm._keyWord))</f>
        <v>0</v>
      </c>
      <c r="AA10" s="12" t="b">
        <f ca="1">OR(IFERROR(_xlfn.XMATCH("*,"&amp;$B10&amp;",*",Assumptions!$AH:$AH,2)&gt;0,FALSE),
IFERROR(_xlfn.XMATCH("*,"&amp;$B10&amp;",*",Countermeasures!$AK:$AK,2)&gt;0,FALSE))</f>
        <v>0</v>
      </c>
      <c r="AB10" s="12" t="str" cm="1">
        <f t="array" aca="1" ref="AB10" ca="1">CreateSearchString($J10)</f>
        <v/>
      </c>
      <c r="AC10" s="12" t="str" cm="1">
        <f t="array" ref="AC10">IF($F10="","",IFERROR(SimpleLookup($F10,Definitions!$H:$J),""))</f>
        <v/>
      </c>
      <c r="AD10" s="12" t="b" cm="1">
        <f t="array" aca="1" ref="AD10" ca="1">IF($B10="",FALSE,SimpleLookup($B10,Questions!$A:$D)="x")</f>
        <v>0</v>
      </c>
      <c r="AE10" s="12" t="str" cm="1">
        <f t="array" aca="1" ref="AE10" ca="1">IF(OR($B10="",NOT($AD10)),"",SimpleLookup($B10,Questions!$A:$E))</f>
        <v/>
      </c>
      <c r="AF10" s="12" t="str" cm="1">
        <f t="array" aca="1" ref="AF10" ca="1">IF(OR($B10="",NOT($AD10)),"",SimpleLookup($B10,Questions!$A:$F))</f>
        <v/>
      </c>
      <c r="AG10" s="12" t="str" cm="1">
        <f t="array" aca="1" ref="AG10" ca="1">_xlfn.LET(
_xlpm._answer,$D10,
_xlpm._infoTextFull,IF($AD10,CHAR(10)&amp;SimpleLookup($B10,Questions!$A:$H)&amp;CHAR(10),""),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10" s="12" t="b" cm="1">
        <f t="array" aca="1" ref="AH10" ca="1">IF(OR($B10="",NOT($AD10)),FALSE,_xlfn.LET(
_xlpm._secondAnswerRequiredOn,SimpleLookup($B10,Questions!$A:$I),
_xlpm._firstAnwer,$D10,
IFERROR(FIND(CHAR(10)&amp;_xlpm._firstAnwer&amp;":",CHAR(10)&amp;_xlpm._secondAnswerRequiredOn)&gt;0,FALSE)))</f>
        <v>0</v>
      </c>
      <c r="AI10" s="12" t="str" cm="1">
        <f t="array" aca="1" ref="AI10" ca="1">IF(OR($B10="",NOT($AD10)),"",_xlfn.LET(
_xlpm._id,$B10,
_xlpm._firstAnswer,$D10,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10" s="12" t="str" cm="1">
        <f t="array" aca="1" ref="AJ10" ca="1">IF(OR($B10="",NOT($AD10)),"",_xlfn.LET(
_xlpm._id,$B10,
_xlpm._firstAnswer,$D10,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10" s="12" t="str" cm="1">
        <f t="array" aca="1" ref="AK10" ca="1">IF($AH10,_xlfn.LET(
_xlpm._answer,$F10,
_xlpm._infoTextFull,IF($AD10,CHAR(10)&amp;SimpleLookup($B10,Questions!$A:$L)&amp;CHAR(10),""),
_xlpm._startSelectedByAnswerOne,IF(_xlpm._infoTextFull="",0,FIND("___"&amp;$D10&amp;"___",_xlpm._infoTextFull)+LEN("___"&amp;$D10&amp;"___")),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10" s="12" t="b" cm="1">
        <f t="array" aca="1" ref="AL10" ca="1">IF(OR($B10="",NOT($AD10)),FALSE,SimpleLookup($B10,Questions!$A:$Q))</f>
        <v>0</v>
      </c>
      <c r="AM10" s="12" t="str" cm="1">
        <f t="array" aca="1" ref="AM10" ca="1">IF(AND($B10=Questions!$A$41,IFERROR(SimpleLookup(Questions!$A$36,$B:$F)=Definitions!$O$5,FALSE),$D10=Definitions!$A$5),
Questions!$A$36&amp;" "&amp;Questions!$B$36&amp;CHAR(10)&amp;CHAR(187)&amp;" "&amp;SimpleLookup(Questions!$A$36,$B:$D)&amp;CHAR(10)&amp;SimpleLookup(Questions!$A$36,$B:$E)&amp;CHAR(10)&amp;CHAR(187)&amp;" "&amp;Definitions!$O$5&amp;CHAR(10)&amp;CHAR(10)&amp;
"is incosistent with"&amp;CHAR(10)&amp;CHAR(10)&amp;
$B10&amp;" "&amp;SimpleLookup($B10,Questions!$A:$B)&amp;CHAR(10)&amp;CHAR(187)&amp;" "&amp;$D10,
"")</f>
        <v/>
      </c>
      <c r="AN10" s="12" cm="1">
        <f t="array" aca="1" ref="AN10" ca="1">CreateID($AN$3,$AM10&lt;&gt;"")</f>
        <v>0</v>
      </c>
      <c r="AO10" s="12" t="str">
        <f ca="1">IF(OR($D10="",OFFSET($D10,1,0)=""),"",
IF(AND($B10=Questions!$A$59,OFFSET($B10,1,0)=Questions!$A$60),
IF(MATCH($D10,Definitions!$AW:$AW,0)&gt;MATCH(OFFSET($D10,1,0),Definitions!AW:AW,0),$B10&amp;" "&amp;$L10&amp;": "&amp;$D10&amp;CHAR(10)&amp;"&lt;---&gt;"&amp;CHAR(10)&amp;OFFSET($B10,1,0)&amp;" "&amp;OFFSET($L10,1,0)&amp;": "&amp;OFFSET($D10,1,0),""),
""))</f>
        <v/>
      </c>
      <c r="AP10" s="12" cm="1">
        <f t="array" aca="1" ref="AP10" ca="1">CreateID($AP$3,$AO10&lt;&gt;"")</f>
        <v>0</v>
      </c>
      <c r="AQ10" s="12" t="str" cm="1">
        <f t="array" ref="AQ10">IF($B10=Questions!$A$18,
  _xlfn.LET(
    _xlpm._impactValue7,IFERROR(SimpleLookup(SimpleLookup($F10,Definitions!$H:$J),Definitions!$Q:$R),0),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"&amp;$F10&amp;CHAR(10)&amp;"&lt;---&gt;"&amp;CHAR(10)&amp;Questions!$A$30&amp;": "&amp;_xlpm._impactName14,
        ""))),
  "")</f>
        <v/>
      </c>
      <c r="AR10" s="12" cm="1">
        <f t="array" aca="1" ref="AR10" ca="1">CreateID($AR$3,$AQ10&lt;&gt;"")</f>
        <v>0</v>
      </c>
    </row>
    <row r="11" spans="1:44" ht="75" x14ac:dyDescent="0.25">
      <c r="A11" s="116" t="str">
        <f ca="1">HYPERLINK("#'"&amp;Helper!$G$22&amp;"'!A"&amp;MATCH($B11,'Answering Guideline'!$A:$A,0),Definitions!$AY$4)</f>
        <v>◈</v>
      </c>
      <c r="B11" s="68" t="s">
        <v>919</v>
      </c>
      <c r="C11" s="4" t="str" cm="1">
        <f t="array" aca="1" ref="C11" ca="1">IF($B11="","",CreateIndentedString($L11,Definitions!$T$4,SimpleLookup($B11,Questions!$A:$C)))</f>
        <v xml:space="preserve">      Is  &lt;&lt;  OEM  Name  &gt;&gt;  (typically)  obliged  to  keep
      the  processed  /  stored  data  (including
      third-party  IP)  confidential  by  contract  or  law?
      (Note  that  this  concerns  individual  obligations,
      not  the  standard  product  warranty).</v>
      </c>
      <c r="E11" s="7" t="str">
        <f ca="1">$AG11</f>
        <v/>
      </c>
      <c r="G11" s="7" t="str">
        <f ca="1">$AK11</f>
        <v/>
      </c>
      <c r="J11" s="12" t="str">
        <f t="shared" ca="1" si="0"/>
        <v>QI4[]</v>
      </c>
      <c r="K11" s="12" t="str">
        <f t="shared" ca="1" si="1"/>
        <v>QI4[]</v>
      </c>
      <c r="L11" s="12" t="str" cm="1">
        <f t="array" aca="1" ref="L11" ca="1">SimpleLookup($B11,Questions!$A:$B)</f>
        <v>Is &lt;&lt; OEM Name &gt;&gt; (typically) obliged to keep the processed / stored data (including third-party IP) confidential by contract or law? (Note that this concerns individual obligations, not the standard product warranty).</v>
      </c>
      <c r="M11" s="12" cm="1">
        <f t="array" aca="1" ref="M11" ca="1">CreateID($M$3,AND($B11&lt;&gt;"",$AD11))</f>
        <v>4</v>
      </c>
      <c r="N11" s="12" cm="1">
        <f t="array" ref="N11">CreateTaskID($N$3,$N:$N,Tasks!$B$17,$H11)</f>
        <v>0</v>
      </c>
      <c r="O11" s="12" t="str">
        <f t="shared" ca="1" si="2"/>
        <v>QI4 Is &lt;&lt; OEM Name &gt;&gt; (typically) obliged to keep the processed / stored data (including third-party IP) confidential by contract or law? (Note that this concerns individual obligations, not the standard product warranty).</v>
      </c>
      <c r="P11" s="12" cm="1">
        <f t="array" aca="1" ref="P11" ca="1">CreateID($P$3,$O11&lt;&gt;"")</f>
        <v>4</v>
      </c>
      <c r="Q11" s="12" t="str">
        <f t="shared" ca="1" si="3"/>
        <v/>
      </c>
      <c r="R11" s="12" cm="1">
        <f t="array" aca="1" ref="R11" ca="1">CreateID($R$3,$Q11&lt;&gt;"")</f>
        <v>0</v>
      </c>
      <c r="S11" s="12" t="str">
        <f t="shared" ca="1" si="4"/>
        <v/>
      </c>
      <c r="T11" s="12" cm="1">
        <f t="array" aca="1" ref="T11" ca="1">CreateID($T$3,$S11&lt;&gt;"")</f>
        <v>0</v>
      </c>
      <c r="U11" s="12" t="str">
        <f t="shared" ca="1" si="5"/>
        <v/>
      </c>
      <c r="V11" s="12" cm="1">
        <f t="array" aca="1" ref="V11" ca="1">CreateID($V$3,$U11&lt;&gt;"")</f>
        <v>0</v>
      </c>
      <c r="W11" s="12" cm="1">
        <f t="array" aca="1" ref="W11" ca="1">CreateID($W$3,IFERROR(FIND(Definitions!$AR$4,$H11)&gt;0,FALSE))</f>
        <v>0</v>
      </c>
      <c r="X11" s="12">
        <f>_xlfn.LET(
_xlpm._comment,$H11,
_xlpm._keyWord,Definitions!$AR$4,
_xlpm._diffLen,LEN(_xlpm._comment)-LEN(SUBSTITUTE(_xlpm._comment,_xlpm._keyWord,"")),
_xlpm._diffLen/LEN(_xlpm._keyWord))</f>
        <v>0</v>
      </c>
      <c r="Y11" s="12" cm="1">
        <f t="array" aca="1" ref="Y11" ca="1">CreateID($Y$3,IFERROR(FIND(Definitions!$AR$5,$H11)&gt;0,FALSE))</f>
        <v>0</v>
      </c>
      <c r="Z11" s="12">
        <f>_xlfn.LET(
_xlpm._comment,$H11,
_xlpm._keyWord,Definitions!$AR$5,
_xlpm._diffLen,LEN(_xlpm._comment)-LEN(SUBSTITUTE(_xlpm._comment,_xlpm._keyWord,"")),
_xlpm._diffLen/LEN(_xlpm._keyWord))</f>
        <v>0</v>
      </c>
      <c r="AA11" s="12" t="b">
        <f ca="1">OR(IFERROR(_xlfn.XMATCH("*,"&amp;$B11&amp;",*",Assumptions!$AH:$AH,2)&gt;0,FALSE),
IFERROR(_xlfn.XMATCH("*,"&amp;$B11&amp;",*",Countermeasures!$AK:$AK,2)&gt;0,FALSE))</f>
        <v>0</v>
      </c>
      <c r="AB11" s="12" t="str" cm="1">
        <f t="array" aca="1" ref="AB11" ca="1">CreateSearchString($J11)</f>
        <v>,QI4[],</v>
      </c>
      <c r="AC11" s="12" t="str" cm="1">
        <f t="array" ref="AC11">IF($F11="","",IFERROR(SimpleLookup($F11,Definitions!$H:$J),""))</f>
        <v/>
      </c>
      <c r="AD11" s="12" t="b" cm="1">
        <f t="array" aca="1" ref="AD11" ca="1">IF($B11="",FALSE,SimpleLookup($B11,Questions!$A:$D)="x")</f>
        <v>1</v>
      </c>
      <c r="AE11" s="12" t="str" cm="1">
        <f t="array" aca="1" ref="AE11" ca="1">IF(OR($B11="",NOT($AD11)),"",SimpleLookup($B11,Questions!$A:$E))</f>
        <v>'[QuBA-libre.xlsx]Definitions'!$A$4</v>
      </c>
      <c r="AF11" s="12" cm="1">
        <f t="array" aca="1" ref="AF11" ca="1">IF(OR($B11="",NOT($AD11)),"",SimpleLookup($B11,Questions!$A:$F))</f>
        <v>2</v>
      </c>
      <c r="AG11" s="12" t="str" cm="1">
        <f t="array" aca="1" ref="AG11" ca="1">_xlfn.LET(
_xlpm._answer,$D11,
_xlpm._infoTextFull,IF($AD11,CHAR(10)&amp;SimpleLookup($B11,Questions!$A:$H)&amp;CHAR(10),""),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11" s="12" t="b" cm="1">
        <f t="array" aca="1" ref="AH11" ca="1">IF(OR($B11="",NOT($AD11)),FALSE,_xlfn.LET(
_xlpm._secondAnswerRequiredOn,SimpleLookup($B11,Questions!$A:$I),
_xlpm._firstAnwer,$D11,
IFERROR(FIND(CHAR(10)&amp;_xlpm._firstAnwer&amp;":",CHAR(10)&amp;_xlpm._secondAnswerRequiredOn)&gt;0,FALSE)))</f>
        <v>0</v>
      </c>
      <c r="AI11" s="12" t="str" cm="1">
        <f t="array" aca="1" ref="AI11" ca="1">IF(OR($B11="",NOT($AD11)),"",_xlfn.LET(
_xlpm._id,$B11,
_xlpm._firstAnswer,$D11,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'[QuBA-libre.xlsx]Definitions'!$H$10</v>
      </c>
      <c r="AJ11" s="12" cm="1">
        <f t="array" aca="1" ref="AJ11" ca="1">IF(OR($B11="",NOT($AD11)),"",_xlfn.LET(
_xlpm._id,$B11,
_xlpm._firstAnswer,$D11,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4</v>
      </c>
      <c r="AK11" s="12" t="str" cm="1">
        <f t="array" aca="1" ref="AK11" ca="1">IF($AH11,_xlfn.LET(
_xlpm._answer,$F11,
_xlpm._infoTextFull,IF($AD11,CHAR(10)&amp;SimpleLookup($B11,Questions!$A:$L)&amp;CHAR(10),""),
_xlpm._startSelectedByAnswerOne,IF(_xlpm._infoTextFull="",0,FIND("___"&amp;$D11&amp;"___",_xlpm._infoTextFull)+LEN("___"&amp;$D11&amp;"___")),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11" s="12" t="b" cm="1">
        <f t="array" aca="1" ref="AL11" ca="1">IF(OR($B11="",NOT($AD11)),FALSE,SimpleLookup($B11,Questions!$A:$Q))</f>
        <v>0</v>
      </c>
      <c r="AM11" s="12" t="str" cm="1">
        <f t="array" aca="1" ref="AM11" ca="1">IF(AND($B11=Questions!$A$41,IFERROR(SimpleLookup(Questions!$A$36,$B:$F)=Definitions!$O$5,FALSE),$D11=Definitions!$A$5),
Questions!$A$36&amp;" "&amp;Questions!$B$36&amp;CHAR(10)&amp;CHAR(187)&amp;" "&amp;SimpleLookup(Questions!$A$36,$B:$D)&amp;CHAR(10)&amp;SimpleLookup(Questions!$A$36,$B:$E)&amp;CHAR(10)&amp;CHAR(187)&amp;" "&amp;Definitions!$O$5&amp;CHAR(10)&amp;CHAR(10)&amp;
"is incosistent with"&amp;CHAR(10)&amp;CHAR(10)&amp;
$B11&amp;" "&amp;SimpleLookup($B11,Questions!$A:$B)&amp;CHAR(10)&amp;CHAR(187)&amp;" "&amp;$D11,
"")</f>
        <v/>
      </c>
      <c r="AN11" s="12" cm="1">
        <f t="array" aca="1" ref="AN11" ca="1">CreateID($AN$3,$AM11&lt;&gt;"")</f>
        <v>0</v>
      </c>
      <c r="AO11" s="12" t="str">
        <f ca="1">IF(OR($D11="",OFFSET($D11,1,0)=""),"",
IF(AND($B11=Questions!$A$59,OFFSET($B11,1,0)=Questions!$A$60),
IF(MATCH($D11,Definitions!$AW:$AW,0)&gt;MATCH(OFFSET($D11,1,0),Definitions!AW:AW,0),$B11&amp;" "&amp;$L11&amp;": "&amp;$D11&amp;CHAR(10)&amp;"&lt;---&gt;"&amp;CHAR(10)&amp;OFFSET($B11,1,0)&amp;" "&amp;OFFSET($L11,1,0)&amp;": "&amp;OFFSET($D11,1,0),""),
""))</f>
        <v/>
      </c>
      <c r="AP11" s="12" cm="1">
        <f t="array" aca="1" ref="AP11" ca="1">CreateID($AP$3,$AO11&lt;&gt;"")</f>
        <v>0</v>
      </c>
      <c r="AQ11" s="12" t="str" cm="1">
        <f t="array" ref="AQ11">IF($B11=Questions!$A$18,
  _xlfn.LET(
    _xlpm._impactValue7,IFERROR(SimpleLookup(SimpleLookup($F11,Definitions!$H:$J),Definitions!$Q:$R),0),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"&amp;$F11&amp;CHAR(10)&amp;"&lt;---&gt;"&amp;CHAR(10)&amp;Questions!$A$30&amp;": "&amp;_xlpm._impactName14,
        ""))),
  "")</f>
        <v/>
      </c>
      <c r="AR11" s="12" cm="1">
        <f t="array" aca="1" ref="AR11" ca="1">CreateID($AR$3,$AQ11&lt;&gt;"")</f>
        <v>0</v>
      </c>
    </row>
    <row r="12" spans="1:44" ht="75" x14ac:dyDescent="0.25">
      <c r="A12" s="116" t="str">
        <f ca="1">HYPERLINK("#'"&amp;Helper!$G$22&amp;"'!A"&amp;MATCH($B12,'Answering Guideline'!$A:$A,0),Definitions!$AY$4)</f>
        <v>◈</v>
      </c>
      <c r="B12" s="68" t="s">
        <v>917</v>
      </c>
      <c r="C12" s="4" t="str" cm="1">
        <f t="array" aca="1" ref="C12" ca="1">IF($B12="","",CreateIndentedString($L12,Definitions!$T$4,SimpleLookup($B12,Questions!$A:$C)))</f>
        <v xml:space="preserve">      Does  the  product  contain  credentials  /
      cryptographic  keys  that  allow  access  to
      sensitive  data  or  to  systems  in  the  product's
      operational  environment?  (Note:  this  includes
      cryptographic  data  introduced  by  the  customer.)</v>
      </c>
      <c r="E12" s="7" t="str">
        <f ca="1">$AG12</f>
        <v/>
      </c>
      <c r="G12" s="7" t="str">
        <f ca="1">$AK12</f>
        <v/>
      </c>
      <c r="J12" s="12" t="str">
        <f t="shared" ca="1" si="0"/>
        <v>QI5[]</v>
      </c>
      <c r="K12" s="12" t="str">
        <f t="shared" ca="1" si="1"/>
        <v>QI5[]</v>
      </c>
      <c r="L12" s="12" t="str" cm="1">
        <f t="array" aca="1" ref="L12" ca="1">SimpleLookup($B12,Questions!$A:$B)</f>
        <v>Does the product contain credentials / cryptographic keys that allow access to sensitive data or to systems in the product's operational environment? (Note: this includes cryptographic data introduced by the customer.)</v>
      </c>
      <c r="M12" s="12" cm="1">
        <f t="array" aca="1" ref="M12" ca="1">CreateID($M$3,AND($B12&lt;&gt;"",$AD12))</f>
        <v>5</v>
      </c>
      <c r="N12" s="12" cm="1">
        <f t="array" ref="N12">CreateTaskID($N$3,$N:$N,Tasks!$B$17,$H12)</f>
        <v>0</v>
      </c>
      <c r="O12" s="12" t="str">
        <f t="shared" ca="1" si="2"/>
        <v>QI5 Does the product contain credentials / cryptographic keys that allow access to sensitive data or to systems in the product's operational environment? (Note: this includes cryptographic data introduced by the customer.)</v>
      </c>
      <c r="P12" s="12" cm="1">
        <f t="array" aca="1" ref="P12" ca="1">CreateID($P$3,$O12&lt;&gt;"")</f>
        <v>5</v>
      </c>
      <c r="Q12" s="12" t="str">
        <f t="shared" ca="1" si="3"/>
        <v/>
      </c>
      <c r="R12" s="12" cm="1">
        <f t="array" aca="1" ref="R12" ca="1">CreateID($R$3,$Q12&lt;&gt;"")</f>
        <v>0</v>
      </c>
      <c r="S12" s="12" t="str">
        <f t="shared" ca="1" si="4"/>
        <v/>
      </c>
      <c r="T12" s="12" cm="1">
        <f t="array" aca="1" ref="T12" ca="1">CreateID($T$3,$S12&lt;&gt;"")</f>
        <v>0</v>
      </c>
      <c r="U12" s="12" t="str">
        <f t="shared" ca="1" si="5"/>
        <v/>
      </c>
      <c r="V12" s="12" cm="1">
        <f t="array" aca="1" ref="V12" ca="1">CreateID($V$3,$U12&lt;&gt;"")</f>
        <v>0</v>
      </c>
      <c r="W12" s="12" cm="1">
        <f t="array" aca="1" ref="W12" ca="1">CreateID($W$3,IFERROR(FIND(Definitions!$AR$4,$H12)&gt;0,FALSE))</f>
        <v>0</v>
      </c>
      <c r="X12" s="12">
        <f>_xlfn.LET(
_xlpm._comment,$H12,
_xlpm._keyWord,Definitions!$AR$4,
_xlpm._diffLen,LEN(_xlpm._comment)-LEN(SUBSTITUTE(_xlpm._comment,_xlpm._keyWord,"")),
_xlpm._diffLen/LEN(_xlpm._keyWord))</f>
        <v>0</v>
      </c>
      <c r="Y12" s="12" cm="1">
        <f t="array" aca="1" ref="Y12" ca="1">CreateID($Y$3,IFERROR(FIND(Definitions!$AR$5,$H12)&gt;0,FALSE))</f>
        <v>0</v>
      </c>
      <c r="Z12" s="12">
        <f>_xlfn.LET(
_xlpm._comment,$H12,
_xlpm._keyWord,Definitions!$AR$5,
_xlpm._diffLen,LEN(_xlpm._comment)-LEN(SUBSTITUTE(_xlpm._comment,_xlpm._keyWord,"")),
_xlpm._diffLen/LEN(_xlpm._keyWord))</f>
        <v>0</v>
      </c>
      <c r="AA12" s="12" t="b">
        <f ca="1">OR(IFERROR(_xlfn.XMATCH("*,"&amp;$B12&amp;",*",Assumptions!$AH:$AH,2)&gt;0,FALSE),
IFERROR(_xlfn.XMATCH("*,"&amp;$B12&amp;",*",Countermeasures!$AK:$AK,2)&gt;0,FALSE))</f>
        <v>1</v>
      </c>
      <c r="AB12" s="12" t="str" cm="1">
        <f t="array" aca="1" ref="AB12" ca="1">CreateSearchString($J12)</f>
        <v>,QI5[],</v>
      </c>
      <c r="AC12" s="12" t="str" cm="1">
        <f t="array" ref="AC12">IF($F12="","",IFERROR(SimpleLookup($F12,Definitions!$H:$J),""))</f>
        <v/>
      </c>
      <c r="AD12" s="12" t="b" cm="1">
        <f t="array" aca="1" ref="AD12" ca="1">IF($B12="",FALSE,SimpleLookup($B12,Questions!$A:$D)="x")</f>
        <v>1</v>
      </c>
      <c r="AE12" s="12" t="str" cm="1">
        <f t="array" aca="1" ref="AE12" ca="1">IF(OR($B12="",NOT($AD12)),"",SimpleLookup($B12,Questions!$A:$E))</f>
        <v>'[QuBA-libre.xlsx]Definitions'!$A$4</v>
      </c>
      <c r="AF12" s="12" cm="1">
        <f t="array" aca="1" ref="AF12" ca="1">IF(OR($B12="",NOT($AD12)),"",SimpleLookup($B12,Questions!$A:$F))</f>
        <v>2</v>
      </c>
      <c r="AG12" s="12" t="str" cm="1">
        <f t="array" aca="1" ref="AG12" ca="1">_xlfn.LET(
_xlpm._answer,$D12,
_xlpm._infoTextFull,IF($AD12,CHAR(10)&amp;SimpleLookup($B12,Questions!$A:$H)&amp;CHAR(10),""),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12" s="12" t="b" cm="1">
        <f t="array" aca="1" ref="AH12" ca="1">IF(OR($B12="",NOT($AD12)),FALSE,_xlfn.LET(
_xlpm._secondAnswerRequiredOn,SimpleLookup($B12,Questions!$A:$I),
_xlpm._firstAnwer,$D12,
IFERROR(FIND(CHAR(10)&amp;_xlpm._firstAnwer&amp;":",CHAR(10)&amp;_xlpm._secondAnswerRequiredOn)&gt;0,FALSE)))</f>
        <v>0</v>
      </c>
      <c r="AI12" s="12" t="str" cm="1">
        <f t="array" aca="1" ref="AI12" ca="1">IF(OR($B12="",NOT($AD12)),"",_xlfn.LET(
_xlpm._id,$B12,
_xlpm._firstAnswer,$D12,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'[QuBA-libre.xlsx]Definitions'!$H$4</v>
      </c>
      <c r="AJ12" s="12" cm="1">
        <f t="array" aca="1" ref="AJ12" ca="1">IF(OR($B12="",NOT($AD12)),"",_xlfn.LET(
_xlpm._id,$B12,
_xlpm._firstAnswer,$D12,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20</v>
      </c>
      <c r="AK12" s="12" t="str" cm="1">
        <f t="array" aca="1" ref="AK12" ca="1">IF($AH12,_xlfn.LET(
_xlpm._answer,$F12,
_xlpm._infoTextFull,IF($AD12,CHAR(10)&amp;SimpleLookup($B12,Questions!$A:$L)&amp;CHAR(10),""),
_xlpm._startSelectedByAnswerOne,IF(_xlpm._infoTextFull="",0,FIND("___"&amp;$D12&amp;"___",_xlpm._infoTextFull)+LEN("___"&amp;$D12&amp;"___")),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12" s="12" t="b" cm="1">
        <f t="array" aca="1" ref="AL12" ca="1">IF(OR($B12="",NOT($AD12)),FALSE,SimpleLookup($B12,Questions!$A:$Q))</f>
        <v>0</v>
      </c>
      <c r="AM12" s="12" t="str" cm="1">
        <f t="array" aca="1" ref="AM12" ca="1">IF(AND($B12=Questions!$A$41,IFERROR(SimpleLookup(Questions!$A$36,$B:$F)=Definitions!$O$5,FALSE),$D12=Definitions!$A$5),
Questions!$A$36&amp;" "&amp;Questions!$B$36&amp;CHAR(10)&amp;CHAR(187)&amp;" "&amp;SimpleLookup(Questions!$A$36,$B:$D)&amp;CHAR(10)&amp;SimpleLookup(Questions!$A$36,$B:$E)&amp;CHAR(10)&amp;CHAR(187)&amp;" "&amp;Definitions!$O$5&amp;CHAR(10)&amp;CHAR(10)&amp;
"is incosistent with"&amp;CHAR(10)&amp;CHAR(10)&amp;
$B12&amp;" "&amp;SimpleLookup($B12,Questions!$A:$B)&amp;CHAR(10)&amp;CHAR(187)&amp;" "&amp;$D12,
"")</f>
        <v/>
      </c>
      <c r="AN12" s="12" cm="1">
        <f t="array" aca="1" ref="AN12" ca="1">CreateID($AN$3,$AM12&lt;&gt;"")</f>
        <v>0</v>
      </c>
      <c r="AO12" s="12" t="str">
        <f ca="1">IF(OR($D12="",OFFSET($D12,1,0)=""),"",
IF(AND($B12=Questions!$A$59,OFFSET($B12,1,0)=Questions!$A$60),
IF(MATCH($D12,Definitions!$AW:$AW,0)&gt;MATCH(OFFSET($D12,1,0),Definitions!AW:AW,0),$B12&amp;" "&amp;$L12&amp;": "&amp;$D12&amp;CHAR(10)&amp;"&lt;---&gt;"&amp;CHAR(10)&amp;OFFSET($B12,1,0)&amp;" "&amp;OFFSET($L12,1,0)&amp;": "&amp;OFFSET($D12,1,0),""),
""))</f>
        <v/>
      </c>
      <c r="AP12" s="12" cm="1">
        <f t="array" aca="1" ref="AP12" ca="1">CreateID($AP$3,$AO12&lt;&gt;"")</f>
        <v>0</v>
      </c>
      <c r="AQ12" s="12" t="str" cm="1">
        <f t="array" ref="AQ12">IF($B12=Questions!$A$18,
  _xlfn.LET(
    _xlpm._impactValue7,IFERROR(SimpleLookup(SimpleLookup($F12,Definitions!$H:$J),Definitions!$Q:$R),0),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"&amp;$F12&amp;CHAR(10)&amp;"&lt;---&gt;"&amp;CHAR(10)&amp;Questions!$A$30&amp;": "&amp;_xlpm._impactName14,
        ""))),
  "")</f>
        <v/>
      </c>
      <c r="AR12" s="12" cm="1">
        <f t="array" aca="1" ref="AR12" ca="1">CreateID($AR$3,$AQ12&lt;&gt;"")</f>
        <v>0</v>
      </c>
    </row>
    <row r="13" spans="1:44" x14ac:dyDescent="0.25">
      <c r="A13" s="116"/>
      <c r="B13" s="68" t="s">
        <v>989</v>
      </c>
      <c r="C13" s="4" t="str" cm="1">
        <f t="array" aca="1" ref="C13" ca="1">IF($B13="","",CreateIndentedString($L13,Definitions!$T$4,SimpleLookup($B13,Questions!$A:$C)))</f>
        <v>Worst  case  impact  for  loss  of  availability</v>
      </c>
      <c r="J13" s="12" t="str">
        <f t="shared" ca="1" si="0"/>
        <v/>
      </c>
      <c r="K13" s="12" t="str">
        <f t="shared" ca="1" si="1"/>
        <v/>
      </c>
      <c r="L13" s="12" t="str" cm="1">
        <f t="array" aca="1" ref="L13" ca="1">SimpleLookup($B13,Questions!$A:$B)</f>
        <v>Worst case impact for loss of availability</v>
      </c>
      <c r="M13" s="12" cm="1">
        <f t="array" aca="1" ref="M13" ca="1">CreateID($M$3,AND($B13&lt;&gt;"",$AD13))</f>
        <v>5</v>
      </c>
      <c r="N13" s="12" cm="1">
        <f t="array" ref="N13">CreateTaskID($N$3,$N:$N,Tasks!$B$17,$H13)</f>
        <v>0</v>
      </c>
      <c r="O13" s="12" t="str">
        <f t="shared" ca="1" si="2"/>
        <v/>
      </c>
      <c r="P13" s="12" cm="1">
        <f t="array" aca="1" ref="P13" ca="1">CreateID($P$3,$O13&lt;&gt;"")</f>
        <v>5</v>
      </c>
      <c r="Q13" s="12" t="str">
        <f t="shared" si="3"/>
        <v/>
      </c>
      <c r="R13" s="12" cm="1">
        <f t="array" aca="1" ref="R13" ca="1">CreateID($R$3,$Q13&lt;&gt;"")</f>
        <v>0</v>
      </c>
      <c r="S13" s="12" t="str">
        <f t="shared" si="4"/>
        <v/>
      </c>
      <c r="T13" s="12" cm="1">
        <f t="array" aca="1" ref="T13" ca="1">CreateID($T$3,$S13&lt;&gt;"")</f>
        <v>0</v>
      </c>
      <c r="U13" s="12" t="str">
        <f t="shared" ca="1" si="5"/>
        <v/>
      </c>
      <c r="V13" s="12" cm="1">
        <f t="array" aca="1" ref="V13" ca="1">CreateID($V$3,$U13&lt;&gt;"")</f>
        <v>0</v>
      </c>
      <c r="W13" s="12" cm="1">
        <f t="array" aca="1" ref="W13" ca="1">CreateID($W$3,IFERROR(FIND(Definitions!$AR$4,$H13)&gt;0,FALSE))</f>
        <v>0</v>
      </c>
      <c r="X13" s="12">
        <f>_xlfn.LET(
_xlpm._comment,$H13,
_xlpm._keyWord,Definitions!$AR$4,
_xlpm._diffLen,LEN(_xlpm._comment)-LEN(SUBSTITUTE(_xlpm._comment,_xlpm._keyWord,"")),
_xlpm._diffLen/LEN(_xlpm._keyWord))</f>
        <v>0</v>
      </c>
      <c r="Y13" s="12" cm="1">
        <f t="array" aca="1" ref="Y13" ca="1">CreateID($Y$3,IFERROR(FIND(Definitions!$AR$5,$H13)&gt;0,FALSE))</f>
        <v>0</v>
      </c>
      <c r="Z13" s="12">
        <f>_xlfn.LET(
_xlpm._comment,$H13,
_xlpm._keyWord,Definitions!$AR$5,
_xlpm._diffLen,LEN(_xlpm._comment)-LEN(SUBSTITUTE(_xlpm._comment,_xlpm._keyWord,"")),
_xlpm._diffLen/LEN(_xlpm._keyWord))</f>
        <v>0</v>
      </c>
      <c r="AA13" s="12" t="b">
        <f ca="1">OR(IFERROR(_xlfn.XMATCH("*,"&amp;$B13&amp;",*",Assumptions!$AH:$AH,2)&gt;0,FALSE),
IFERROR(_xlfn.XMATCH("*,"&amp;$B13&amp;",*",Countermeasures!$AK:$AK,2)&gt;0,FALSE))</f>
        <v>0</v>
      </c>
      <c r="AB13" s="12" t="str" cm="1">
        <f t="array" aca="1" ref="AB13" ca="1">CreateSearchString($J13)</f>
        <v/>
      </c>
      <c r="AC13" s="12" t="str" cm="1">
        <f t="array" ref="AC13">IF($F13="","",IFERROR(SimpleLookup($F13,Definitions!$H:$J),""))</f>
        <v/>
      </c>
      <c r="AD13" s="12" t="b" cm="1">
        <f t="array" aca="1" ref="AD13" ca="1">IF($B13="",FALSE,SimpleLookup($B13,Questions!$A:$D)="x")</f>
        <v>0</v>
      </c>
      <c r="AE13" s="12" t="str" cm="1">
        <f t="array" aca="1" ref="AE13" ca="1">IF(OR($B13="",NOT($AD13)),"",SimpleLookup($B13,Questions!$A:$E))</f>
        <v/>
      </c>
      <c r="AF13" s="12" t="str" cm="1">
        <f t="array" aca="1" ref="AF13" ca="1">IF(OR($B13="",NOT($AD13)),"",SimpleLookup($B13,Questions!$A:$F))</f>
        <v/>
      </c>
      <c r="AG13" s="12" t="str" cm="1">
        <f t="array" aca="1" ref="AG13" ca="1">_xlfn.LET(
_xlpm._answer,$D13,
_xlpm._infoTextFull,IF($AD13,CHAR(10)&amp;SimpleLookup($B13,Questions!$A:$H)&amp;CHAR(10),""),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13" s="12" t="b" cm="1">
        <f t="array" aca="1" ref="AH13" ca="1">IF(OR($B13="",NOT($AD13)),FALSE,_xlfn.LET(
_xlpm._secondAnswerRequiredOn,SimpleLookup($B13,Questions!$A:$I),
_xlpm._firstAnwer,$D13,
IFERROR(FIND(CHAR(10)&amp;_xlpm._firstAnwer&amp;":",CHAR(10)&amp;_xlpm._secondAnswerRequiredOn)&gt;0,FALSE)))</f>
        <v>0</v>
      </c>
      <c r="AI13" s="12" t="str" cm="1">
        <f t="array" aca="1" ref="AI13" ca="1">IF(OR($B13="",NOT($AD13)),"",_xlfn.LET(
_xlpm._id,$B13,
_xlpm._firstAnswer,$D13,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13" s="12" t="str" cm="1">
        <f t="array" aca="1" ref="AJ13" ca="1">IF(OR($B13="",NOT($AD13)),"",_xlfn.LET(
_xlpm._id,$B13,
_xlpm._firstAnswer,$D13,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13" s="12" t="str" cm="1">
        <f t="array" aca="1" ref="AK13" ca="1">IF($AH13,_xlfn.LET(
_xlpm._answer,$F13,
_xlpm._infoTextFull,IF($AD13,CHAR(10)&amp;SimpleLookup($B13,Questions!$A:$L)&amp;CHAR(10),""),
_xlpm._startSelectedByAnswerOne,IF(_xlpm._infoTextFull="",0,FIND("___"&amp;$D13&amp;"___",_xlpm._infoTextFull)+LEN("___"&amp;$D13&amp;"___")),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13" s="12" t="b" cm="1">
        <f t="array" aca="1" ref="AL13" ca="1">IF(OR($B13="",NOT($AD13)),FALSE,SimpleLookup($B13,Questions!$A:$Q))</f>
        <v>0</v>
      </c>
      <c r="AM13" s="12" t="str" cm="1">
        <f t="array" aca="1" ref="AM13" ca="1">IF(AND($B13=Questions!$A$41,IFERROR(SimpleLookup(Questions!$A$36,$B:$F)=Definitions!$O$5,FALSE),$D13=Definitions!$A$5),
Questions!$A$36&amp;" "&amp;Questions!$B$36&amp;CHAR(10)&amp;CHAR(187)&amp;" "&amp;SimpleLookup(Questions!$A$36,$B:$D)&amp;CHAR(10)&amp;SimpleLookup(Questions!$A$36,$B:$E)&amp;CHAR(10)&amp;CHAR(187)&amp;" "&amp;Definitions!$O$5&amp;CHAR(10)&amp;CHAR(10)&amp;
"is incosistent with"&amp;CHAR(10)&amp;CHAR(10)&amp;
$B13&amp;" "&amp;SimpleLookup($B13,Questions!$A:$B)&amp;CHAR(10)&amp;CHAR(187)&amp;" "&amp;$D13,
"")</f>
        <v/>
      </c>
      <c r="AN13" s="12" cm="1">
        <f t="array" aca="1" ref="AN13" ca="1">CreateID($AN$3,$AM13&lt;&gt;"")</f>
        <v>0</v>
      </c>
      <c r="AO13" s="12" t="str">
        <f ca="1">IF(OR($D13="",OFFSET($D13,1,0)=""),"",
IF(AND($B13=Questions!$A$59,OFFSET($B13,1,0)=Questions!$A$60),
IF(MATCH($D13,Definitions!$AW:$AW,0)&gt;MATCH(OFFSET($D13,1,0),Definitions!AW:AW,0),$B13&amp;" "&amp;$L13&amp;": "&amp;$D13&amp;CHAR(10)&amp;"&lt;---&gt;"&amp;CHAR(10)&amp;OFFSET($B13,1,0)&amp;" "&amp;OFFSET($L13,1,0)&amp;": "&amp;OFFSET($D13,1,0),""),
""))</f>
        <v/>
      </c>
      <c r="AP13" s="12" cm="1">
        <f t="array" aca="1" ref="AP13" ca="1">CreateID($AP$3,$AO13&lt;&gt;"")</f>
        <v>0</v>
      </c>
      <c r="AQ13" s="12" t="str" cm="1">
        <f t="array" ref="AQ13">IF($B13=Questions!$A$18,
  _xlfn.LET(
    _xlpm._impactValue7,IFERROR(SimpleLookup(SimpleLookup($F13,Definitions!$H:$J),Definitions!$Q:$R),0),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"&amp;$F13&amp;CHAR(10)&amp;"&lt;---&gt;"&amp;CHAR(10)&amp;Questions!$A$30&amp;": "&amp;_xlpm._impactName14,
        ""))),
  "")</f>
        <v/>
      </c>
      <c r="AR13" s="12" cm="1">
        <f t="array" aca="1" ref="AR13" ca="1">CreateID($AR$3,$AQ13&lt;&gt;"")</f>
        <v>0</v>
      </c>
    </row>
    <row r="14" spans="1:44" x14ac:dyDescent="0.25">
      <c r="A14" s="116"/>
      <c r="B14" s="68" t="s">
        <v>999</v>
      </c>
      <c r="C14" s="4" t="str" cm="1">
        <f t="array" aca="1" ref="C14" ca="1">IF($B14="","",CreateIndentedString($L14,Definitions!$T$4,SimpleLookup($B14,Questions!$A:$C)))</f>
        <v xml:space="preserve">   Safety</v>
      </c>
      <c r="J14" s="12" t="str">
        <f t="shared" ca="1" si="0"/>
        <v/>
      </c>
      <c r="K14" s="12" t="str">
        <f t="shared" ca="1" si="1"/>
        <v/>
      </c>
      <c r="L14" s="12" t="str" cm="1">
        <f t="array" aca="1" ref="L14" ca="1">SimpleLookup($B14,Questions!$A:$B)</f>
        <v>Safety</v>
      </c>
      <c r="M14" s="12" cm="1">
        <f t="array" aca="1" ref="M14" ca="1">CreateID($M$3,AND($B14&lt;&gt;"",$AD14))</f>
        <v>5</v>
      </c>
      <c r="N14" s="12" cm="1">
        <f t="array" ref="N14">CreateTaskID($N$3,$N:$N,Tasks!$B$17,$H14)</f>
        <v>0</v>
      </c>
      <c r="O14" s="12" t="str">
        <f t="shared" ca="1" si="2"/>
        <v/>
      </c>
      <c r="P14" s="12" cm="1">
        <f t="array" aca="1" ref="P14" ca="1">CreateID($P$3,$O14&lt;&gt;"")</f>
        <v>5</v>
      </c>
      <c r="Q14" s="12" t="str">
        <f t="shared" si="3"/>
        <v/>
      </c>
      <c r="R14" s="12" cm="1">
        <f t="array" aca="1" ref="R14" ca="1">CreateID($R$3,$Q14&lt;&gt;"")</f>
        <v>0</v>
      </c>
      <c r="S14" s="12" t="str">
        <f t="shared" si="4"/>
        <v/>
      </c>
      <c r="T14" s="12" cm="1">
        <f t="array" aca="1" ref="T14" ca="1">CreateID($T$3,$S14&lt;&gt;"")</f>
        <v>0</v>
      </c>
      <c r="U14" s="12" t="str">
        <f t="shared" ca="1" si="5"/>
        <v/>
      </c>
      <c r="V14" s="12" cm="1">
        <f t="array" aca="1" ref="V14" ca="1">CreateID($V$3,$U14&lt;&gt;"")</f>
        <v>0</v>
      </c>
      <c r="W14" s="12" cm="1">
        <f t="array" aca="1" ref="W14" ca="1">CreateID($W$3,IFERROR(FIND(Definitions!$AR$4,$H14)&gt;0,FALSE))</f>
        <v>0</v>
      </c>
      <c r="X14" s="12">
        <f>_xlfn.LET(
_xlpm._comment,$H14,
_xlpm._keyWord,Definitions!$AR$4,
_xlpm._diffLen,LEN(_xlpm._comment)-LEN(SUBSTITUTE(_xlpm._comment,_xlpm._keyWord,"")),
_xlpm._diffLen/LEN(_xlpm._keyWord))</f>
        <v>0</v>
      </c>
      <c r="Y14" s="12" cm="1">
        <f t="array" aca="1" ref="Y14" ca="1">CreateID($Y$3,IFERROR(FIND(Definitions!$AR$5,$H14)&gt;0,FALSE))</f>
        <v>0</v>
      </c>
      <c r="Z14" s="12">
        <f>_xlfn.LET(
_xlpm._comment,$H14,
_xlpm._keyWord,Definitions!$AR$5,
_xlpm._diffLen,LEN(_xlpm._comment)-LEN(SUBSTITUTE(_xlpm._comment,_xlpm._keyWord,"")),
_xlpm._diffLen/LEN(_xlpm._keyWord))</f>
        <v>0</v>
      </c>
      <c r="AA14" s="12" t="b">
        <f ca="1">OR(IFERROR(_xlfn.XMATCH("*,"&amp;$B14&amp;",*",Assumptions!$AH:$AH,2)&gt;0,FALSE),
IFERROR(_xlfn.XMATCH("*,"&amp;$B14&amp;",*",Countermeasures!$AK:$AK,2)&gt;0,FALSE))</f>
        <v>0</v>
      </c>
      <c r="AB14" s="12" t="str" cm="1">
        <f t="array" aca="1" ref="AB14" ca="1">CreateSearchString($J14)</f>
        <v/>
      </c>
      <c r="AC14" s="12" t="str" cm="1">
        <f t="array" ref="AC14">IF($F14="","",IFERROR(SimpleLookup($F14,Definitions!$H:$J),""))</f>
        <v/>
      </c>
      <c r="AD14" s="12" t="b" cm="1">
        <f t="array" aca="1" ref="AD14" ca="1">IF($B14="",FALSE,SimpleLookup($B14,Questions!$A:$D)="x")</f>
        <v>0</v>
      </c>
      <c r="AE14" s="12" t="str" cm="1">
        <f t="array" aca="1" ref="AE14" ca="1">IF(OR($B14="",NOT($AD14)),"",SimpleLookup($B14,Questions!$A:$E))</f>
        <v/>
      </c>
      <c r="AF14" s="12" t="str" cm="1">
        <f t="array" aca="1" ref="AF14" ca="1">IF(OR($B14="",NOT($AD14)),"",SimpleLookup($B14,Questions!$A:$F))</f>
        <v/>
      </c>
      <c r="AG14" s="12" t="str" cm="1">
        <f t="array" aca="1" ref="AG14" ca="1">_xlfn.LET(
_xlpm._answer,$D14,
_xlpm._infoTextFull,IF($AD14,CHAR(10)&amp;SimpleLookup($B14,Questions!$A:$H)&amp;CHAR(10),""),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14" s="12" t="b" cm="1">
        <f t="array" aca="1" ref="AH14" ca="1">IF(OR($B14="",NOT($AD14)),FALSE,_xlfn.LET(
_xlpm._secondAnswerRequiredOn,SimpleLookup($B14,Questions!$A:$I),
_xlpm._firstAnwer,$D14,
IFERROR(FIND(CHAR(10)&amp;_xlpm._firstAnwer&amp;":",CHAR(10)&amp;_xlpm._secondAnswerRequiredOn)&gt;0,FALSE)))</f>
        <v>0</v>
      </c>
      <c r="AI14" s="12" t="str" cm="1">
        <f t="array" aca="1" ref="AI14" ca="1">IF(OR($B14="",NOT($AD14)),"",_xlfn.LET(
_xlpm._id,$B14,
_xlpm._firstAnswer,$D14,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14" s="12" t="str" cm="1">
        <f t="array" aca="1" ref="AJ14" ca="1">IF(OR($B14="",NOT($AD14)),"",_xlfn.LET(
_xlpm._id,$B14,
_xlpm._firstAnswer,$D14,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14" s="12" t="str" cm="1">
        <f t="array" aca="1" ref="AK14" ca="1">IF($AH14,_xlfn.LET(
_xlpm._answer,$F14,
_xlpm._infoTextFull,IF($AD14,CHAR(10)&amp;SimpleLookup($B14,Questions!$A:$L)&amp;CHAR(10),""),
_xlpm._startSelectedByAnswerOne,IF(_xlpm._infoTextFull="",0,FIND("___"&amp;$D14&amp;"___",_xlpm._infoTextFull)+LEN("___"&amp;$D14&amp;"___")),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14" s="12" t="b" cm="1">
        <f t="array" aca="1" ref="AL14" ca="1">IF(OR($B14="",NOT($AD14)),FALSE,SimpleLookup($B14,Questions!$A:$Q))</f>
        <v>0</v>
      </c>
      <c r="AM14" s="12" t="str" cm="1">
        <f t="array" aca="1" ref="AM14" ca="1">IF(AND($B14=Questions!$A$41,IFERROR(SimpleLookup(Questions!$A$36,$B:$F)=Definitions!$O$5,FALSE),$D14=Definitions!$A$5),
Questions!$A$36&amp;" "&amp;Questions!$B$36&amp;CHAR(10)&amp;CHAR(187)&amp;" "&amp;SimpleLookup(Questions!$A$36,$B:$D)&amp;CHAR(10)&amp;SimpleLookup(Questions!$A$36,$B:$E)&amp;CHAR(10)&amp;CHAR(187)&amp;" "&amp;Definitions!$O$5&amp;CHAR(10)&amp;CHAR(10)&amp;
"is incosistent with"&amp;CHAR(10)&amp;CHAR(10)&amp;
$B14&amp;" "&amp;SimpleLookup($B14,Questions!$A:$B)&amp;CHAR(10)&amp;CHAR(187)&amp;" "&amp;$D14,
"")</f>
        <v/>
      </c>
      <c r="AN14" s="12" cm="1">
        <f t="array" aca="1" ref="AN14" ca="1">CreateID($AN$3,$AM14&lt;&gt;"")</f>
        <v>0</v>
      </c>
      <c r="AO14" s="12" t="str">
        <f ca="1">IF(OR($D14="",OFFSET($D14,1,0)=""),"",
IF(AND($B14=Questions!$A$59,OFFSET($B14,1,0)=Questions!$A$60),
IF(MATCH($D14,Definitions!$AW:$AW,0)&gt;MATCH(OFFSET($D14,1,0),Definitions!AW:AW,0),$B14&amp;" "&amp;$L14&amp;": "&amp;$D14&amp;CHAR(10)&amp;"&lt;---&gt;"&amp;CHAR(10)&amp;OFFSET($B14,1,0)&amp;" "&amp;OFFSET($L14,1,0)&amp;": "&amp;OFFSET($D14,1,0),""),
""))</f>
        <v/>
      </c>
      <c r="AP14" s="12" cm="1">
        <f t="array" aca="1" ref="AP14" ca="1">CreateID($AP$3,$AO14&lt;&gt;"")</f>
        <v>0</v>
      </c>
      <c r="AQ14" s="12" t="str" cm="1">
        <f t="array" ref="AQ14">IF($B14=Questions!$A$18,
  _xlfn.LET(
    _xlpm._impactValue7,IFERROR(SimpleLookup(SimpleLookup($F14,Definitions!$H:$J),Definitions!$Q:$R),0),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"&amp;$F14&amp;CHAR(10)&amp;"&lt;---&gt;"&amp;CHAR(10)&amp;Questions!$A$30&amp;": "&amp;_xlpm._impactName14,
        ""))),
  "")</f>
        <v/>
      </c>
      <c r="AR14" s="12" cm="1">
        <f t="array" aca="1" ref="AR14" ca="1">CreateID($AR$3,$AQ14&lt;&gt;"")</f>
        <v>0</v>
      </c>
    </row>
    <row r="15" spans="1:44" ht="90" x14ac:dyDescent="0.25">
      <c r="A15" s="116" t="str">
        <f ca="1">HYPERLINK("#'"&amp;Helper!$G$22&amp;"'!A"&amp;MATCH($B15,'Answering Guideline'!$A:$A,0),Definitions!$AY$4)</f>
        <v>◈</v>
      </c>
      <c r="B15" s="68" t="s">
        <v>914</v>
      </c>
      <c r="C15" s="4" t="str" cm="1">
        <f t="array" aca="1" ref="C15" ca="1">IF($B15="","",CreateIndentedString($L15,Definitions!$T$4,SimpleLookup($B15,Questions!$A:$C)))</f>
        <v xml:space="preserve">      Can  a  loss  of  availability  of  the  product  (or
      its  communication)  endanger  the  health  of
      people?
      (Consider  how  the  operational  environment
      reacts  to  a  loss  of  availability  of  the
      product.)</v>
      </c>
      <c r="E15" s="7" t="str">
        <f ca="1">$AG15</f>
        <v/>
      </c>
      <c r="G15" s="7" t="str">
        <f ca="1">$AK15</f>
        <v/>
      </c>
      <c r="J15" s="12" t="str">
        <f t="shared" ca="1" si="0"/>
        <v>QI6[]</v>
      </c>
      <c r="K15" s="12" t="str">
        <f t="shared" ca="1" si="1"/>
        <v>QI6[]</v>
      </c>
      <c r="L15" s="12" t="str" cm="1">
        <f t="array" aca="1" ref="L15" ca="1">SimpleLookup($B15,Questions!$A:$B)</f>
        <v>Can a loss of availability of the product (or its communication) endanger the health of people?
(Consider how the operational environment reacts to a loss of availability of the product.)</v>
      </c>
      <c r="M15" s="12" cm="1">
        <f t="array" aca="1" ref="M15" ca="1">CreateID($M$3,AND($B15&lt;&gt;"",$AD15))</f>
        <v>6</v>
      </c>
      <c r="N15" s="12" cm="1">
        <f t="array" ref="N15">CreateTaskID($N$3,$N:$N,Tasks!$B$17,$H15)</f>
        <v>0</v>
      </c>
      <c r="O15" s="12" t="str">
        <f t="shared" ca="1" si="2"/>
        <v>QI6 Can a loss of availability of the product (or its communication) endanger the health of people?
(Consider how the operational environment reacts to a loss of availability of the product.)</v>
      </c>
      <c r="P15" s="12" cm="1">
        <f t="array" aca="1" ref="P15" ca="1">CreateID($P$3,$O15&lt;&gt;"")</f>
        <v>6</v>
      </c>
      <c r="Q15" s="12" t="str">
        <f t="shared" ca="1" si="3"/>
        <v/>
      </c>
      <c r="R15" s="12" cm="1">
        <f t="array" aca="1" ref="R15" ca="1">CreateID($R$3,$Q15&lt;&gt;"")</f>
        <v>0</v>
      </c>
      <c r="S15" s="12" t="str">
        <f t="shared" ca="1" si="4"/>
        <v/>
      </c>
      <c r="T15" s="12" cm="1">
        <f t="array" aca="1" ref="T15" ca="1">CreateID($T$3,$S15&lt;&gt;"")</f>
        <v>0</v>
      </c>
      <c r="U15" s="12" t="str">
        <f t="shared" ca="1" si="5"/>
        <v/>
      </c>
      <c r="V15" s="12" cm="1">
        <f t="array" aca="1" ref="V15" ca="1">CreateID($V$3,$U15&lt;&gt;"")</f>
        <v>0</v>
      </c>
      <c r="W15" s="12" cm="1">
        <f t="array" aca="1" ref="W15" ca="1">CreateID($W$3,IFERROR(FIND(Definitions!$AR$4,$H15)&gt;0,FALSE))</f>
        <v>0</v>
      </c>
      <c r="X15" s="12">
        <f>_xlfn.LET(
_xlpm._comment,$H15,
_xlpm._keyWord,Definitions!$AR$4,
_xlpm._diffLen,LEN(_xlpm._comment)-LEN(SUBSTITUTE(_xlpm._comment,_xlpm._keyWord,"")),
_xlpm._diffLen/LEN(_xlpm._keyWord))</f>
        <v>0</v>
      </c>
      <c r="Y15" s="12" cm="1">
        <f t="array" aca="1" ref="Y15" ca="1">CreateID($Y$3,IFERROR(FIND(Definitions!$AR$5,$H15)&gt;0,FALSE))</f>
        <v>0</v>
      </c>
      <c r="Z15" s="12">
        <f>_xlfn.LET(
_xlpm._comment,$H15,
_xlpm._keyWord,Definitions!$AR$5,
_xlpm._diffLen,LEN(_xlpm._comment)-LEN(SUBSTITUTE(_xlpm._comment,_xlpm._keyWord,"")),
_xlpm._diffLen/LEN(_xlpm._keyWord))</f>
        <v>0</v>
      </c>
      <c r="AA15" s="12" t="b">
        <f ca="1">OR(IFERROR(_xlfn.XMATCH("*,"&amp;$B15&amp;",*",Assumptions!$AH:$AH,2)&gt;0,FALSE),
IFERROR(_xlfn.XMATCH("*,"&amp;$B15&amp;",*",Countermeasures!$AK:$AK,2)&gt;0,FALSE))</f>
        <v>0</v>
      </c>
      <c r="AB15" s="12" t="str" cm="1">
        <f t="array" aca="1" ref="AB15" ca="1">CreateSearchString($J15)</f>
        <v>,QI6[],</v>
      </c>
      <c r="AC15" s="12" t="str" cm="1">
        <f t="array" ref="AC15">IF($F15="","",IFERROR(SimpleLookup($F15,Definitions!$H:$J),""))</f>
        <v/>
      </c>
      <c r="AD15" s="12" t="b" cm="1">
        <f t="array" aca="1" ref="AD15" ca="1">IF($B15="",FALSE,SimpleLookup($B15,Questions!$A:$D)="x")</f>
        <v>1</v>
      </c>
      <c r="AE15" s="12" t="str" cm="1">
        <f t="array" aca="1" ref="AE15" ca="1">IF(OR($B15="",NOT($AD15)),"",SimpleLookup($B15,Questions!$A:$E))</f>
        <v>'[QuBA-libre.xlsx]Definitions'!$A$4</v>
      </c>
      <c r="AF15" s="12" cm="1">
        <f t="array" aca="1" ref="AF15" ca="1">IF(OR($B15="",NOT($AD15)),"",SimpleLookup($B15,Questions!$A:$F))</f>
        <v>2</v>
      </c>
      <c r="AG15" s="12" t="str" cm="1">
        <f t="array" aca="1" ref="AG15" ca="1">_xlfn.LET(
_xlpm._answer,$D15,
_xlpm._infoTextFull,IF($AD15,CHAR(10)&amp;SimpleLookup($B15,Questions!$A:$H)&amp;CHAR(10),""),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15" s="12" t="b" cm="1">
        <f t="array" aca="1" ref="AH15" ca="1">IF(OR($B15="",NOT($AD15)),FALSE,_xlfn.LET(
_xlpm._secondAnswerRequiredOn,SimpleLookup($B15,Questions!$A:$I),
_xlpm._firstAnwer,$D15,
IFERROR(FIND(CHAR(10)&amp;_xlpm._firstAnwer&amp;":",CHAR(10)&amp;_xlpm._secondAnswerRequiredOn)&gt;0,FALSE)))</f>
        <v>0</v>
      </c>
      <c r="AI15" s="12" t="str" cm="1">
        <f t="array" aca="1" ref="AI15" ca="1">IF(OR($B15="",NOT($AD15)),"",_xlfn.LET(
_xlpm._id,$B15,
_xlpm._firstAnswer,$D15,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'[QuBA-libre.xlsx]Definitions'!$H$14</v>
      </c>
      <c r="AJ15" s="12" cm="1">
        <f t="array" aca="1" ref="AJ15" ca="1">IF(OR($B15="",NOT($AD15)),"",_xlfn.LET(
_xlpm._id,$B15,
_xlpm._firstAnswer,$D15,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4</v>
      </c>
      <c r="AK15" s="12" t="str" cm="1">
        <f t="array" aca="1" ref="AK15" ca="1">IF($AH15,_xlfn.LET(
_xlpm._answer,$F15,
_xlpm._infoTextFull,IF($AD15,CHAR(10)&amp;SimpleLookup($B15,Questions!$A:$L)&amp;CHAR(10),""),
_xlpm._startSelectedByAnswerOne,IF(_xlpm._infoTextFull="",0,FIND("___"&amp;$D15&amp;"___",_xlpm._infoTextFull)+LEN("___"&amp;$D15&amp;"___")),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15" s="12" t="b" cm="1">
        <f t="array" aca="1" ref="AL15" ca="1">IF(OR($B15="",NOT($AD15)),FALSE,SimpleLookup($B15,Questions!$A:$Q))</f>
        <v>0</v>
      </c>
      <c r="AM15" s="12" t="str" cm="1">
        <f t="array" aca="1" ref="AM15" ca="1">IF(AND($B15=Questions!$A$41,IFERROR(SimpleLookup(Questions!$A$36,$B:$F)=Definitions!$O$5,FALSE),$D15=Definitions!$A$5),
Questions!$A$36&amp;" "&amp;Questions!$B$36&amp;CHAR(10)&amp;CHAR(187)&amp;" "&amp;SimpleLookup(Questions!$A$36,$B:$D)&amp;CHAR(10)&amp;SimpleLookup(Questions!$A$36,$B:$E)&amp;CHAR(10)&amp;CHAR(187)&amp;" "&amp;Definitions!$O$5&amp;CHAR(10)&amp;CHAR(10)&amp;
"is incosistent with"&amp;CHAR(10)&amp;CHAR(10)&amp;
$B15&amp;" "&amp;SimpleLookup($B15,Questions!$A:$B)&amp;CHAR(10)&amp;CHAR(187)&amp;" "&amp;$D15,
"")</f>
        <v/>
      </c>
      <c r="AN15" s="12" cm="1">
        <f t="array" aca="1" ref="AN15" ca="1">CreateID($AN$3,$AM15&lt;&gt;"")</f>
        <v>0</v>
      </c>
      <c r="AO15" s="12" t="str">
        <f ca="1">IF(OR($D15="",OFFSET($D15,1,0)=""),"",
IF(AND($B15=Questions!$A$59,OFFSET($B15,1,0)=Questions!$A$60),
IF(MATCH($D15,Definitions!$AW:$AW,0)&gt;MATCH(OFFSET($D15,1,0),Definitions!AW:AW,0),$B15&amp;" "&amp;$L15&amp;": "&amp;$D15&amp;CHAR(10)&amp;"&lt;---&gt;"&amp;CHAR(10)&amp;OFFSET($B15,1,0)&amp;" "&amp;OFFSET($L15,1,0)&amp;": "&amp;OFFSET($D15,1,0),""),
""))</f>
        <v/>
      </c>
      <c r="AP15" s="12" cm="1">
        <f t="array" aca="1" ref="AP15" ca="1">CreateID($AP$3,$AO15&lt;&gt;"")</f>
        <v>0</v>
      </c>
      <c r="AQ15" s="12" t="str" cm="1">
        <f t="array" ref="AQ15">IF($B15=Questions!$A$18,
  _xlfn.LET(
    _xlpm._impactValue7,IFERROR(SimpleLookup(SimpleLookup($F15,Definitions!$H:$J),Definitions!$Q:$R),0),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"&amp;$F15&amp;CHAR(10)&amp;"&lt;---&gt;"&amp;CHAR(10)&amp;Questions!$A$30&amp;": "&amp;_xlpm._impactName14,
        ""))),
  "")</f>
        <v/>
      </c>
      <c r="AR15" s="12" cm="1">
        <f t="array" aca="1" ref="AR15" ca="1">CreateID($AR$3,$AQ15&lt;&gt;"")</f>
        <v>0</v>
      </c>
    </row>
    <row r="16" spans="1:44" x14ac:dyDescent="0.25">
      <c r="A16" s="116"/>
      <c r="B16" s="68" t="s">
        <v>1000</v>
      </c>
      <c r="C16" s="4" t="str" cm="1">
        <f t="array" aca="1" ref="C16" ca="1">IF($B16="","",CreateIndentedString($L16,Definitions!$T$4,SimpleLookup($B16,Questions!$A:$C)))</f>
        <v xml:space="preserve">   Function  and  availability</v>
      </c>
      <c r="J16" s="12" t="str">
        <f t="shared" ca="1" si="0"/>
        <v/>
      </c>
      <c r="K16" s="12" t="str">
        <f t="shared" ca="1" si="1"/>
        <v/>
      </c>
      <c r="L16" s="12" t="str" cm="1">
        <f t="array" aca="1" ref="L16" ca="1">SimpleLookup($B16,Questions!$A:$B)</f>
        <v>Function and availability</v>
      </c>
      <c r="M16" s="12" cm="1">
        <f t="array" aca="1" ref="M16" ca="1">CreateID($M$3,AND($B16&lt;&gt;"",$AD16))</f>
        <v>6</v>
      </c>
      <c r="N16" s="12" cm="1">
        <f t="array" ref="N16">CreateTaskID($N$3,$N:$N,Tasks!$B$17,$H16)</f>
        <v>0</v>
      </c>
      <c r="O16" s="12" t="str">
        <f t="shared" ca="1" si="2"/>
        <v/>
      </c>
      <c r="P16" s="12" cm="1">
        <f t="array" aca="1" ref="P16" ca="1">CreateID($P$3,$O16&lt;&gt;"")</f>
        <v>6</v>
      </c>
      <c r="Q16" s="12" t="str">
        <f t="shared" si="3"/>
        <v/>
      </c>
      <c r="R16" s="12" cm="1">
        <f t="array" aca="1" ref="R16" ca="1">CreateID($R$3,$Q16&lt;&gt;"")</f>
        <v>0</v>
      </c>
      <c r="S16" s="12" t="str">
        <f t="shared" si="4"/>
        <v/>
      </c>
      <c r="T16" s="12" cm="1">
        <f t="array" aca="1" ref="T16" ca="1">CreateID($T$3,$S16&lt;&gt;"")</f>
        <v>0</v>
      </c>
      <c r="U16" s="12" t="str">
        <f t="shared" ca="1" si="5"/>
        <v/>
      </c>
      <c r="V16" s="12" cm="1">
        <f t="array" aca="1" ref="V16" ca="1">CreateID($V$3,$U16&lt;&gt;"")</f>
        <v>0</v>
      </c>
      <c r="W16" s="12" cm="1">
        <f t="array" aca="1" ref="W16" ca="1">CreateID($W$3,IFERROR(FIND(Definitions!$AR$4,$H16)&gt;0,FALSE))</f>
        <v>0</v>
      </c>
      <c r="X16" s="12">
        <f>_xlfn.LET(
_xlpm._comment,$H16,
_xlpm._keyWord,Definitions!$AR$4,
_xlpm._diffLen,LEN(_xlpm._comment)-LEN(SUBSTITUTE(_xlpm._comment,_xlpm._keyWord,"")),
_xlpm._diffLen/LEN(_xlpm._keyWord))</f>
        <v>0</v>
      </c>
      <c r="Y16" s="12" cm="1">
        <f t="array" aca="1" ref="Y16" ca="1">CreateID($Y$3,IFERROR(FIND(Definitions!$AR$5,$H16)&gt;0,FALSE))</f>
        <v>0</v>
      </c>
      <c r="Z16" s="12">
        <f>_xlfn.LET(
_xlpm._comment,$H16,
_xlpm._keyWord,Definitions!$AR$5,
_xlpm._diffLen,LEN(_xlpm._comment)-LEN(SUBSTITUTE(_xlpm._comment,_xlpm._keyWord,"")),
_xlpm._diffLen/LEN(_xlpm._keyWord))</f>
        <v>0</v>
      </c>
      <c r="AA16" s="12" t="b">
        <f ca="1">OR(IFERROR(_xlfn.XMATCH("*,"&amp;$B16&amp;",*",Assumptions!$AH:$AH,2)&gt;0,FALSE),
IFERROR(_xlfn.XMATCH("*,"&amp;$B16&amp;",*",Countermeasures!$AK:$AK,2)&gt;0,FALSE))</f>
        <v>0</v>
      </c>
      <c r="AB16" s="12" t="str" cm="1">
        <f t="array" aca="1" ref="AB16" ca="1">CreateSearchString($J16)</f>
        <v/>
      </c>
      <c r="AC16" s="12" t="str" cm="1">
        <f t="array" ref="AC16">IF($F16="","",IFERROR(SimpleLookup($F16,Definitions!$H:$J),""))</f>
        <v/>
      </c>
      <c r="AD16" s="12" t="b" cm="1">
        <f t="array" aca="1" ref="AD16" ca="1">IF($B16="",FALSE,SimpleLookup($B16,Questions!$A:$D)="x")</f>
        <v>0</v>
      </c>
      <c r="AE16" s="12" t="str" cm="1">
        <f t="array" aca="1" ref="AE16" ca="1">IF(OR($B16="",NOT($AD16)),"",SimpleLookup($B16,Questions!$A:$E))</f>
        <v/>
      </c>
      <c r="AF16" s="12" t="str" cm="1">
        <f t="array" aca="1" ref="AF16" ca="1">IF(OR($B16="",NOT($AD16)),"",SimpleLookup($B16,Questions!$A:$F))</f>
        <v/>
      </c>
      <c r="AG16" s="12" t="str" cm="1">
        <f t="array" aca="1" ref="AG16" ca="1">_xlfn.LET(
_xlpm._answer,$D16,
_xlpm._infoTextFull,IF($AD16,CHAR(10)&amp;SimpleLookup($B16,Questions!$A:$H)&amp;CHAR(10),""),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16" s="12" t="b" cm="1">
        <f t="array" aca="1" ref="AH16" ca="1">IF(OR($B16="",NOT($AD16)),FALSE,_xlfn.LET(
_xlpm._secondAnswerRequiredOn,SimpleLookup($B16,Questions!$A:$I),
_xlpm._firstAnwer,$D16,
IFERROR(FIND(CHAR(10)&amp;_xlpm._firstAnwer&amp;":",CHAR(10)&amp;_xlpm._secondAnswerRequiredOn)&gt;0,FALSE)))</f>
        <v>0</v>
      </c>
      <c r="AI16" s="12" t="str" cm="1">
        <f t="array" aca="1" ref="AI16" ca="1">IF(OR($B16="",NOT($AD16)),"",_xlfn.LET(
_xlpm._id,$B16,
_xlpm._firstAnswer,$D16,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16" s="12" t="str" cm="1">
        <f t="array" aca="1" ref="AJ16" ca="1">IF(OR($B16="",NOT($AD16)),"",_xlfn.LET(
_xlpm._id,$B16,
_xlpm._firstAnswer,$D16,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16" s="12" t="str" cm="1">
        <f t="array" aca="1" ref="AK16" ca="1">IF($AH16,_xlfn.LET(
_xlpm._answer,$F16,
_xlpm._infoTextFull,IF($AD16,CHAR(10)&amp;SimpleLookup($B16,Questions!$A:$L)&amp;CHAR(10),""),
_xlpm._startSelectedByAnswerOne,IF(_xlpm._infoTextFull="",0,FIND("___"&amp;$D16&amp;"___",_xlpm._infoTextFull)+LEN("___"&amp;$D16&amp;"___")),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16" s="12" t="b" cm="1">
        <f t="array" aca="1" ref="AL16" ca="1">IF(OR($B16="",NOT($AD16)),FALSE,SimpleLookup($B16,Questions!$A:$Q))</f>
        <v>0</v>
      </c>
      <c r="AM16" s="12" t="str" cm="1">
        <f t="array" aca="1" ref="AM16" ca="1">IF(AND($B16=Questions!$A$41,IFERROR(SimpleLookup(Questions!$A$36,$B:$F)=Definitions!$O$5,FALSE),$D16=Definitions!$A$5),
Questions!$A$36&amp;" "&amp;Questions!$B$36&amp;CHAR(10)&amp;CHAR(187)&amp;" "&amp;SimpleLookup(Questions!$A$36,$B:$D)&amp;CHAR(10)&amp;SimpleLookup(Questions!$A$36,$B:$E)&amp;CHAR(10)&amp;CHAR(187)&amp;" "&amp;Definitions!$O$5&amp;CHAR(10)&amp;CHAR(10)&amp;
"is incosistent with"&amp;CHAR(10)&amp;CHAR(10)&amp;
$B16&amp;" "&amp;SimpleLookup($B16,Questions!$A:$B)&amp;CHAR(10)&amp;CHAR(187)&amp;" "&amp;$D16,
"")</f>
        <v/>
      </c>
      <c r="AN16" s="12" cm="1">
        <f t="array" aca="1" ref="AN16" ca="1">CreateID($AN$3,$AM16&lt;&gt;"")</f>
        <v>0</v>
      </c>
      <c r="AO16" s="12" t="str">
        <f ca="1">IF(OR($D16="",OFFSET($D16,1,0)=""),"",
IF(AND($B16=Questions!$A$59,OFFSET($B16,1,0)=Questions!$A$60),
IF(MATCH($D16,Definitions!$AW:$AW,0)&gt;MATCH(OFFSET($D16,1,0),Definitions!AW:AW,0),$B16&amp;" "&amp;$L16&amp;": "&amp;$D16&amp;CHAR(10)&amp;"&lt;---&gt;"&amp;CHAR(10)&amp;OFFSET($B16,1,0)&amp;" "&amp;OFFSET($L16,1,0)&amp;": "&amp;OFFSET($D16,1,0),""),
""))</f>
        <v/>
      </c>
      <c r="AP16" s="12" cm="1">
        <f t="array" aca="1" ref="AP16" ca="1">CreateID($AP$3,$AO16&lt;&gt;"")</f>
        <v>0</v>
      </c>
      <c r="AQ16" s="12" t="str" cm="1">
        <f t="array" ref="AQ16">IF($B16=Questions!$A$18,
  _xlfn.LET(
    _xlpm._impactValue7,IFERROR(SimpleLookup(SimpleLookup($F16,Definitions!$H:$J),Definitions!$Q:$R),0),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"&amp;$F16&amp;CHAR(10)&amp;"&lt;---&gt;"&amp;CHAR(10)&amp;Questions!$A$30&amp;": "&amp;_xlpm._impactName14,
        ""))),
  "")</f>
        <v/>
      </c>
      <c r="AR16" s="12" cm="1">
        <f t="array" aca="1" ref="AR16" ca="1">CreateID($AR$3,$AQ16&lt;&gt;"")</f>
        <v>0</v>
      </c>
    </row>
    <row r="17" spans="1:44" ht="30" x14ac:dyDescent="0.25">
      <c r="A17" s="116" t="str">
        <f ca="1">HYPERLINK("#'"&amp;Helper!$G$22&amp;"'!A"&amp;MATCH($B17,'Answering Guideline'!$A:$A,0),Definitions!$AY$4)</f>
        <v>◈</v>
      </c>
      <c r="B17" s="68" t="s">
        <v>913</v>
      </c>
      <c r="C17" s="4" t="str" cm="1">
        <f t="array" aca="1" ref="C17" ca="1">IF($B17="","",CreateIndentedString($L17,Definitions!$T$4,SimpleLookup($B17,Questions!$A:$C)))</f>
        <v xml:space="preserve">      Is  the  availability  of  the  product  relevant  for
      its  operational  environment?</v>
      </c>
      <c r="E17" s="7" t="str">
        <f ca="1">$AG17</f>
        <v/>
      </c>
      <c r="G17" s="7" t="str">
        <f ca="1">$AK17</f>
        <v/>
      </c>
      <c r="J17" s="12" t="str">
        <f t="shared" ca="1" si="0"/>
        <v>QI7[]</v>
      </c>
      <c r="K17" s="12" t="str">
        <f t="shared" ca="1" si="1"/>
        <v>QI7[]</v>
      </c>
      <c r="L17" s="12" t="str" cm="1">
        <f t="array" aca="1" ref="L17" ca="1">SimpleLookup($B17,Questions!$A:$B)</f>
        <v>Is the availability of the product relevant for its operational environment?</v>
      </c>
      <c r="M17" s="12" cm="1">
        <f t="array" aca="1" ref="M17" ca="1">CreateID($M$3,AND($B17&lt;&gt;"",$AD17))</f>
        <v>7</v>
      </c>
      <c r="N17" s="12" cm="1">
        <f t="array" ref="N17">CreateTaskID($N$3,$N:$N,Tasks!$B$17,$H17)</f>
        <v>0</v>
      </c>
      <c r="O17" s="12" t="str">
        <f t="shared" ca="1" si="2"/>
        <v>QI7 Is the availability of the product relevant for its operational environment?</v>
      </c>
      <c r="P17" s="12" cm="1">
        <f t="array" aca="1" ref="P17" ca="1">CreateID($P$3,$O17&lt;&gt;"")</f>
        <v>7</v>
      </c>
      <c r="Q17" s="12" t="str">
        <f t="shared" ca="1" si="3"/>
        <v/>
      </c>
      <c r="R17" s="12" cm="1">
        <f t="array" aca="1" ref="R17" ca="1">CreateID($R$3,$Q17&lt;&gt;"")</f>
        <v>0</v>
      </c>
      <c r="S17" s="12" t="str">
        <f t="shared" ca="1" si="4"/>
        <v/>
      </c>
      <c r="T17" s="12" cm="1">
        <f t="array" aca="1" ref="T17" ca="1">CreateID($T$3,$S17&lt;&gt;"")</f>
        <v>0</v>
      </c>
      <c r="U17" s="12" t="str">
        <f t="shared" ca="1" si="5"/>
        <v/>
      </c>
      <c r="V17" s="12" cm="1">
        <f t="array" aca="1" ref="V17" ca="1">CreateID($V$3,$U17&lt;&gt;"")</f>
        <v>0</v>
      </c>
      <c r="W17" s="12" cm="1">
        <f t="array" aca="1" ref="W17" ca="1">CreateID($W$3,IFERROR(FIND(Definitions!$AR$4,$H17)&gt;0,FALSE))</f>
        <v>0</v>
      </c>
      <c r="X17" s="12">
        <f>_xlfn.LET(
_xlpm._comment,$H17,
_xlpm._keyWord,Definitions!$AR$4,
_xlpm._diffLen,LEN(_xlpm._comment)-LEN(SUBSTITUTE(_xlpm._comment,_xlpm._keyWord,"")),
_xlpm._diffLen/LEN(_xlpm._keyWord))</f>
        <v>0</v>
      </c>
      <c r="Y17" s="12" cm="1">
        <f t="array" aca="1" ref="Y17" ca="1">CreateID($Y$3,IFERROR(FIND(Definitions!$AR$5,$H17)&gt;0,FALSE))</f>
        <v>0</v>
      </c>
      <c r="Z17" s="12">
        <f>_xlfn.LET(
_xlpm._comment,$H17,
_xlpm._keyWord,Definitions!$AR$5,
_xlpm._diffLen,LEN(_xlpm._comment)-LEN(SUBSTITUTE(_xlpm._comment,_xlpm._keyWord,"")),
_xlpm._diffLen/LEN(_xlpm._keyWord))</f>
        <v>0</v>
      </c>
      <c r="AA17" s="12" t="b">
        <f ca="1">OR(IFERROR(_xlfn.XMATCH("*,"&amp;$B17&amp;",*",Assumptions!$AH:$AH,2)&gt;0,FALSE),
IFERROR(_xlfn.XMATCH("*,"&amp;$B17&amp;",*",Countermeasures!$AK:$AK,2)&gt;0,FALSE))</f>
        <v>0</v>
      </c>
      <c r="AB17" s="12" t="str" cm="1">
        <f t="array" aca="1" ref="AB17" ca="1">CreateSearchString($J17)</f>
        <v>,QI7[],</v>
      </c>
      <c r="AC17" s="12" t="str" cm="1">
        <f t="array" ref="AC17">IF($F17="","",IFERROR(SimpleLookup($F17,Definitions!$H:$J),""))</f>
        <v/>
      </c>
      <c r="AD17" s="12" t="b" cm="1">
        <f t="array" aca="1" ref="AD17" ca="1">IF($B17="",FALSE,SimpleLookup($B17,Questions!$A:$D)="x")</f>
        <v>1</v>
      </c>
      <c r="AE17" s="12" t="str" cm="1">
        <f t="array" aca="1" ref="AE17" ca="1">IF(OR($B17="",NOT($AD17)),"",SimpleLookup($B17,Questions!$A:$E))</f>
        <v>'[QuBA-libre.xlsx]Definitions'!$A$4</v>
      </c>
      <c r="AF17" s="12" cm="1">
        <f t="array" aca="1" ref="AF17" ca="1">IF(OR($B17="",NOT($AD17)),"",SimpleLookup($B17,Questions!$A:$F))</f>
        <v>2</v>
      </c>
      <c r="AG17" s="12" t="str" cm="1">
        <f t="array" aca="1" ref="AG17" ca="1">_xlfn.LET(
_xlpm._answer,$D17,
_xlpm._infoTextFull,IF($AD17,CHAR(10)&amp;SimpleLookup($B17,Questions!$A:$H)&amp;CHAR(10),""),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17" s="12" t="b" cm="1">
        <f t="array" aca="1" ref="AH17" ca="1">IF(OR($B17="",NOT($AD17)),FALSE,_xlfn.LET(
_xlpm._secondAnswerRequiredOn,SimpleLookup($B17,Questions!$A:$I),
_xlpm._firstAnwer,$D17,
IFERROR(FIND(CHAR(10)&amp;_xlpm._firstAnwer&amp;":",CHAR(10)&amp;_xlpm._secondAnswerRequiredOn)&gt;0,FALSE)))</f>
        <v>0</v>
      </c>
      <c r="AI17" s="12" t="str" cm="1">
        <f t="array" aca="1" ref="AI17" ca="1">IF(OR($B17="",NOT($AD17)),"",_xlfn.LET(
_xlpm._id,$B17,
_xlpm._firstAnswer,$D17,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'[QuBA-libre.xlsx]Definitions'!$H$18</v>
      </c>
      <c r="AJ17" s="12" cm="1">
        <f t="array" aca="1" ref="AJ17" ca="1">IF(OR($B17="",NOT($AD17)),"",_xlfn.LET(
_xlpm._id,$B17,
_xlpm._firstAnswer,$D17,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6</v>
      </c>
      <c r="AK17" s="12" t="str" cm="1">
        <f t="array" aca="1" ref="AK17" ca="1">IF($AH17,_xlfn.LET(
_xlpm._answer,$F17,
_xlpm._infoTextFull,IF($AD17,CHAR(10)&amp;SimpleLookup($B17,Questions!$A:$L)&amp;CHAR(10),""),
_xlpm._startSelectedByAnswerOne,IF(_xlpm._infoTextFull="",0,FIND("___"&amp;$D17&amp;"___",_xlpm._infoTextFull)+LEN("___"&amp;$D17&amp;"___")),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17" s="12" t="b" cm="1">
        <f t="array" aca="1" ref="AL17" ca="1">IF(OR($B17="",NOT($AD17)),FALSE,SimpleLookup($B17,Questions!$A:$Q))</f>
        <v>0</v>
      </c>
      <c r="AM17" s="12" t="str" cm="1">
        <f t="array" aca="1" ref="AM17" ca="1">IF(AND($B17=Questions!$A$41,IFERROR(SimpleLookup(Questions!$A$36,$B:$F)=Definitions!$O$5,FALSE),$D17=Definitions!$A$5),
Questions!$A$36&amp;" "&amp;Questions!$B$36&amp;CHAR(10)&amp;CHAR(187)&amp;" "&amp;SimpleLookup(Questions!$A$36,$B:$D)&amp;CHAR(10)&amp;SimpleLookup(Questions!$A$36,$B:$E)&amp;CHAR(10)&amp;CHAR(187)&amp;" "&amp;Definitions!$O$5&amp;CHAR(10)&amp;CHAR(10)&amp;
"is incosistent with"&amp;CHAR(10)&amp;CHAR(10)&amp;
$B17&amp;" "&amp;SimpleLookup($B17,Questions!$A:$B)&amp;CHAR(10)&amp;CHAR(187)&amp;" "&amp;$D17,
"")</f>
        <v/>
      </c>
      <c r="AN17" s="12" cm="1">
        <f t="array" aca="1" ref="AN17" ca="1">CreateID($AN$3,$AM17&lt;&gt;"")</f>
        <v>0</v>
      </c>
      <c r="AO17" s="12" t="str">
        <f ca="1">IF(OR($D17="",OFFSET($D17,1,0)=""),"",
IF(AND($B17=Questions!$A$59,OFFSET($B17,1,0)=Questions!$A$60),
IF(MATCH($D17,Definitions!$AW:$AW,0)&gt;MATCH(OFFSET($D17,1,0),Definitions!AW:AW,0),$B17&amp;" "&amp;$L17&amp;": "&amp;$D17&amp;CHAR(10)&amp;"&lt;---&gt;"&amp;CHAR(10)&amp;OFFSET($B17,1,0)&amp;" "&amp;OFFSET($L17,1,0)&amp;": "&amp;OFFSET($D17,1,0),""),
""))</f>
        <v/>
      </c>
      <c r="AP17" s="12" cm="1">
        <f t="array" aca="1" ref="AP17" ca="1">CreateID($AP$3,$AO17&lt;&gt;"")</f>
        <v>0</v>
      </c>
      <c r="AQ17" s="12" t="str" cm="1">
        <f t="array" aca="1" ref="AQ17" ca="1">IF($B17=Questions!$A$18,
  _xlfn.LET(
    _xlpm._impactValue7,IFERROR(SimpleLookup(SimpleLookup($F17,Definitions!$H:$J),Definitions!$Q:$R),0),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"&amp;$F17&amp;CHAR(10)&amp;"&lt;---&gt;"&amp;CHAR(10)&amp;Questions!$A$30&amp;": "&amp;_xlpm._impactName14,
        ""))),
  "")</f>
        <v/>
      </c>
      <c r="AR17" s="12" cm="1">
        <f t="array" aca="1" ref="AR17" ca="1">CreateID($AR$3,$AQ17&lt;&gt;"")</f>
        <v>0</v>
      </c>
    </row>
    <row r="18" spans="1:44" x14ac:dyDescent="0.25">
      <c r="A18" s="116"/>
      <c r="B18" s="68" t="s">
        <v>1001</v>
      </c>
      <c r="C18" s="4" t="str" cm="1">
        <f t="array" aca="1" ref="C18" ca="1">IF($B18="","",CreateIndentedString($L18,Definitions!$T$4,SimpleLookup($B18,Questions!$A:$C)))</f>
        <v xml:space="preserve">   Financial  and  legal</v>
      </c>
      <c r="J18" s="12" t="str">
        <f t="shared" ca="1" si="0"/>
        <v/>
      </c>
      <c r="K18" s="12" t="str">
        <f t="shared" ca="1" si="1"/>
        <v/>
      </c>
      <c r="L18" s="12" t="str" cm="1">
        <f t="array" aca="1" ref="L18" ca="1">SimpleLookup($B18,Questions!$A:$B)</f>
        <v>Financial and legal</v>
      </c>
      <c r="M18" s="12" cm="1">
        <f t="array" aca="1" ref="M18" ca="1">CreateID($M$3,AND($B18&lt;&gt;"",$AD18))</f>
        <v>7</v>
      </c>
      <c r="N18" s="12" cm="1">
        <f t="array" ref="N18">CreateTaskID($N$3,$N:$N,Tasks!$B$17,$H18)</f>
        <v>0</v>
      </c>
      <c r="O18" s="12" t="str">
        <f t="shared" ca="1" si="2"/>
        <v/>
      </c>
      <c r="P18" s="12" cm="1">
        <f t="array" aca="1" ref="P18" ca="1">CreateID($P$3,$O18&lt;&gt;"")</f>
        <v>7</v>
      </c>
      <c r="Q18" s="12" t="str">
        <f t="shared" si="3"/>
        <v/>
      </c>
      <c r="R18" s="12" cm="1">
        <f t="array" aca="1" ref="R18" ca="1">CreateID($R$3,$Q18&lt;&gt;"")</f>
        <v>0</v>
      </c>
      <c r="S18" s="12" t="str">
        <f t="shared" si="4"/>
        <v/>
      </c>
      <c r="T18" s="12" cm="1">
        <f t="array" aca="1" ref="T18" ca="1">CreateID($T$3,$S18&lt;&gt;"")</f>
        <v>0</v>
      </c>
      <c r="U18" s="12" t="str">
        <f t="shared" ca="1" si="5"/>
        <v/>
      </c>
      <c r="V18" s="12" cm="1">
        <f t="array" aca="1" ref="V18" ca="1">CreateID($V$3,$U18&lt;&gt;"")</f>
        <v>0</v>
      </c>
      <c r="W18" s="12" cm="1">
        <f t="array" aca="1" ref="W18" ca="1">CreateID($W$3,IFERROR(FIND(Definitions!$AR$4,$H18)&gt;0,FALSE))</f>
        <v>0</v>
      </c>
      <c r="X18" s="12">
        <f>_xlfn.LET(
_xlpm._comment,$H18,
_xlpm._keyWord,Definitions!$AR$4,
_xlpm._diffLen,LEN(_xlpm._comment)-LEN(SUBSTITUTE(_xlpm._comment,_xlpm._keyWord,"")),
_xlpm._diffLen/LEN(_xlpm._keyWord))</f>
        <v>0</v>
      </c>
      <c r="Y18" s="12" cm="1">
        <f t="array" aca="1" ref="Y18" ca="1">CreateID($Y$3,IFERROR(FIND(Definitions!$AR$5,$H18)&gt;0,FALSE))</f>
        <v>0</v>
      </c>
      <c r="Z18" s="12">
        <f>_xlfn.LET(
_xlpm._comment,$H18,
_xlpm._keyWord,Definitions!$AR$5,
_xlpm._diffLen,LEN(_xlpm._comment)-LEN(SUBSTITUTE(_xlpm._comment,_xlpm._keyWord,"")),
_xlpm._diffLen/LEN(_xlpm._keyWord))</f>
        <v>0</v>
      </c>
      <c r="AA18" s="12" t="b">
        <f ca="1">OR(IFERROR(_xlfn.XMATCH("*,"&amp;$B18&amp;",*",Assumptions!$AH:$AH,2)&gt;0,FALSE),
IFERROR(_xlfn.XMATCH("*,"&amp;$B18&amp;",*",Countermeasures!$AK:$AK,2)&gt;0,FALSE))</f>
        <v>0</v>
      </c>
      <c r="AB18" s="12" t="str" cm="1">
        <f t="array" aca="1" ref="AB18" ca="1">CreateSearchString($J18)</f>
        <v/>
      </c>
      <c r="AC18" s="12" t="str" cm="1">
        <f t="array" ref="AC18">IF($F18="","",IFERROR(SimpleLookup($F18,Definitions!$H:$J),""))</f>
        <v/>
      </c>
      <c r="AD18" s="12" t="b" cm="1">
        <f t="array" aca="1" ref="AD18" ca="1">IF($B18="",FALSE,SimpleLookup($B18,Questions!$A:$D)="x")</f>
        <v>0</v>
      </c>
      <c r="AE18" s="12" t="str" cm="1">
        <f t="array" aca="1" ref="AE18" ca="1">IF(OR($B18="",NOT($AD18)),"",SimpleLookup($B18,Questions!$A:$E))</f>
        <v/>
      </c>
      <c r="AF18" s="12" t="str" cm="1">
        <f t="array" aca="1" ref="AF18" ca="1">IF(OR($B18="",NOT($AD18)),"",SimpleLookup($B18,Questions!$A:$F))</f>
        <v/>
      </c>
      <c r="AG18" s="12" t="str" cm="1">
        <f t="array" aca="1" ref="AG18" ca="1">_xlfn.LET(
_xlpm._answer,$D18,
_xlpm._infoTextFull,IF($AD18,CHAR(10)&amp;SimpleLookup($B18,Questions!$A:$H)&amp;CHAR(10),""),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18" s="12" t="b" cm="1">
        <f t="array" aca="1" ref="AH18" ca="1">IF(OR($B18="",NOT($AD18)),FALSE,_xlfn.LET(
_xlpm._secondAnswerRequiredOn,SimpleLookup($B18,Questions!$A:$I),
_xlpm._firstAnwer,$D18,
IFERROR(FIND(CHAR(10)&amp;_xlpm._firstAnwer&amp;":",CHAR(10)&amp;_xlpm._secondAnswerRequiredOn)&gt;0,FALSE)))</f>
        <v>0</v>
      </c>
      <c r="AI18" s="12" t="str" cm="1">
        <f t="array" aca="1" ref="AI18" ca="1">IF(OR($B18="",NOT($AD18)),"",_xlfn.LET(
_xlpm._id,$B18,
_xlpm._firstAnswer,$D18,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18" s="12" t="str" cm="1">
        <f t="array" aca="1" ref="AJ18" ca="1">IF(OR($B18="",NOT($AD18)),"",_xlfn.LET(
_xlpm._id,$B18,
_xlpm._firstAnswer,$D18,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18" s="12" t="str" cm="1">
        <f t="array" aca="1" ref="AK18" ca="1">IF($AH18,_xlfn.LET(
_xlpm._answer,$F18,
_xlpm._infoTextFull,IF($AD18,CHAR(10)&amp;SimpleLookup($B18,Questions!$A:$L)&amp;CHAR(10),""),
_xlpm._startSelectedByAnswerOne,IF(_xlpm._infoTextFull="",0,FIND("___"&amp;$D18&amp;"___",_xlpm._infoTextFull)+LEN("___"&amp;$D18&amp;"___")),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18" s="12" t="b" cm="1">
        <f t="array" aca="1" ref="AL18" ca="1">IF(OR($B18="",NOT($AD18)),FALSE,SimpleLookup($B18,Questions!$A:$Q))</f>
        <v>0</v>
      </c>
      <c r="AM18" s="12" t="str" cm="1">
        <f t="array" aca="1" ref="AM18" ca="1">IF(AND($B18=Questions!$A$41,IFERROR(SimpleLookup(Questions!$A$36,$B:$F)=Definitions!$O$5,FALSE),$D18=Definitions!$A$5),
Questions!$A$36&amp;" "&amp;Questions!$B$36&amp;CHAR(10)&amp;CHAR(187)&amp;" "&amp;SimpleLookup(Questions!$A$36,$B:$D)&amp;CHAR(10)&amp;SimpleLookup(Questions!$A$36,$B:$E)&amp;CHAR(10)&amp;CHAR(187)&amp;" "&amp;Definitions!$O$5&amp;CHAR(10)&amp;CHAR(10)&amp;
"is incosistent with"&amp;CHAR(10)&amp;CHAR(10)&amp;
$B18&amp;" "&amp;SimpleLookup($B18,Questions!$A:$B)&amp;CHAR(10)&amp;CHAR(187)&amp;" "&amp;$D18,
"")</f>
        <v/>
      </c>
      <c r="AN18" s="12" cm="1">
        <f t="array" aca="1" ref="AN18" ca="1">CreateID($AN$3,$AM18&lt;&gt;"")</f>
        <v>0</v>
      </c>
      <c r="AO18" s="12" t="str">
        <f ca="1">IF(OR($D18="",OFFSET($D18,1,0)=""),"",
IF(AND($B18=Questions!$A$59,OFFSET($B18,1,0)=Questions!$A$60),
IF(MATCH($D18,Definitions!$AW:$AW,0)&gt;MATCH(OFFSET($D18,1,0),Definitions!AW:AW,0),$B18&amp;" "&amp;$L18&amp;": "&amp;$D18&amp;CHAR(10)&amp;"&lt;---&gt;"&amp;CHAR(10)&amp;OFFSET($B18,1,0)&amp;" "&amp;OFFSET($L18,1,0)&amp;": "&amp;OFFSET($D18,1,0),""),
""))</f>
        <v/>
      </c>
      <c r="AP18" s="12" cm="1">
        <f t="array" aca="1" ref="AP18" ca="1">CreateID($AP$3,$AO18&lt;&gt;"")</f>
        <v>0</v>
      </c>
      <c r="AQ18" s="12" t="str" cm="1">
        <f t="array" ref="AQ18">IF($B18=Questions!$A$18,
  _xlfn.LET(
    _xlpm._impactValue7,IFERROR(SimpleLookup(SimpleLookup($F18,Definitions!$H:$J),Definitions!$Q:$R),0),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"&amp;$F18&amp;CHAR(10)&amp;"&lt;---&gt;"&amp;CHAR(10)&amp;Questions!$A$30&amp;": "&amp;_xlpm._impactName14,
        ""))),
  "")</f>
        <v/>
      </c>
      <c r="AR18" s="12" cm="1">
        <f t="array" aca="1" ref="AR18" ca="1">CreateID($AR$3,$AQ18&lt;&gt;"")</f>
        <v>0</v>
      </c>
    </row>
    <row r="19" spans="1:44" ht="90" x14ac:dyDescent="0.25">
      <c r="A19" s="116" t="str">
        <f ca="1">HYPERLINK("#'"&amp;Helper!$G$22&amp;"'!A"&amp;MATCH($B19,'Answering Guideline'!$A:$A,0),Definitions!$AY$4)</f>
        <v>◈</v>
      </c>
      <c r="B19" s="68" t="s">
        <v>911</v>
      </c>
      <c r="C19" s="4" t="str" cm="1">
        <f t="array" aca="1" ref="C19" ca="1">IF($B19="","",CreateIndentedString($L19,Definitions!$T$4,SimpleLookup($B19,Questions!$A:$C)))</f>
        <v xml:space="preserve">      Can  a  loss  of  availability  allow  an  attacker
      access  to  assets  of  the  customer  (including
      physical  access  not  detected  by  the  &lt;&lt;  OEM
      Name  &gt;&gt;  product)?  Example:  The  product  is  used
      for  access  control.</v>
      </c>
      <c r="E19" s="7" t="str">
        <f ca="1">$AG19</f>
        <v/>
      </c>
      <c r="G19" s="7" t="str">
        <f ca="1">$AK19</f>
        <v/>
      </c>
      <c r="J19" s="12" t="str">
        <f t="shared" ca="1" si="0"/>
        <v>QI8[]</v>
      </c>
      <c r="K19" s="12" t="str">
        <f t="shared" ca="1" si="1"/>
        <v>QI8[]</v>
      </c>
      <c r="L19" s="12" t="str" cm="1">
        <f t="array" aca="1" ref="L19" ca="1">SimpleLookup($B19,Questions!$A:$B)</f>
        <v>Can a loss of availability allow an attacker access to assets of the customer (including physical access not detected by the &lt;&lt; OEM Name &gt;&gt; product)? Example: The product is used for access control.</v>
      </c>
      <c r="M19" s="12" cm="1">
        <f t="array" aca="1" ref="M19" ca="1">CreateID($M$3,AND($B19&lt;&gt;"",$AD19))</f>
        <v>8</v>
      </c>
      <c r="N19" s="12" cm="1">
        <f t="array" ref="N19">CreateTaskID($N$3,$N:$N,Tasks!$B$17,$H19)</f>
        <v>0</v>
      </c>
      <c r="O19" s="12" t="str">
        <f t="shared" ca="1" si="2"/>
        <v>QI8 Can a loss of availability allow an attacker access to assets of the customer (including physical access not detected by the &lt;&lt; OEM Name &gt;&gt; product)? Example: The product is used for access control.</v>
      </c>
      <c r="P19" s="12" cm="1">
        <f t="array" aca="1" ref="P19" ca="1">CreateID($P$3,$O19&lt;&gt;"")</f>
        <v>8</v>
      </c>
      <c r="Q19" s="12" t="str">
        <f t="shared" ca="1" si="3"/>
        <v/>
      </c>
      <c r="R19" s="12" cm="1">
        <f t="array" aca="1" ref="R19" ca="1">CreateID($R$3,$Q19&lt;&gt;"")</f>
        <v>0</v>
      </c>
      <c r="S19" s="12" t="str">
        <f t="shared" ca="1" si="4"/>
        <v/>
      </c>
      <c r="T19" s="12" cm="1">
        <f t="array" aca="1" ref="T19" ca="1">CreateID($T$3,$S19&lt;&gt;"")</f>
        <v>0</v>
      </c>
      <c r="U19" s="12" t="str">
        <f t="shared" ca="1" si="5"/>
        <v/>
      </c>
      <c r="V19" s="12" cm="1">
        <f t="array" aca="1" ref="V19" ca="1">CreateID($V$3,$U19&lt;&gt;"")</f>
        <v>0</v>
      </c>
      <c r="W19" s="12" cm="1">
        <f t="array" aca="1" ref="W19" ca="1">CreateID($W$3,IFERROR(FIND(Definitions!$AR$4,$H19)&gt;0,FALSE))</f>
        <v>0</v>
      </c>
      <c r="X19" s="12">
        <f>_xlfn.LET(
_xlpm._comment,$H19,
_xlpm._keyWord,Definitions!$AR$4,
_xlpm._diffLen,LEN(_xlpm._comment)-LEN(SUBSTITUTE(_xlpm._comment,_xlpm._keyWord,"")),
_xlpm._diffLen/LEN(_xlpm._keyWord))</f>
        <v>0</v>
      </c>
      <c r="Y19" s="12" cm="1">
        <f t="array" aca="1" ref="Y19" ca="1">CreateID($Y$3,IFERROR(FIND(Definitions!$AR$5,$H19)&gt;0,FALSE))</f>
        <v>0</v>
      </c>
      <c r="Z19" s="12">
        <f>_xlfn.LET(
_xlpm._comment,$H19,
_xlpm._keyWord,Definitions!$AR$5,
_xlpm._diffLen,LEN(_xlpm._comment)-LEN(SUBSTITUTE(_xlpm._comment,_xlpm._keyWord,"")),
_xlpm._diffLen/LEN(_xlpm._keyWord))</f>
        <v>0</v>
      </c>
      <c r="AA19" s="12" t="b">
        <f ca="1">OR(IFERROR(_xlfn.XMATCH("*,"&amp;$B19&amp;",*",Assumptions!$AH:$AH,2)&gt;0,FALSE),
IFERROR(_xlfn.XMATCH("*,"&amp;$B19&amp;",*",Countermeasures!$AK:$AK,2)&gt;0,FALSE))</f>
        <v>0</v>
      </c>
      <c r="AB19" s="12" t="str" cm="1">
        <f t="array" aca="1" ref="AB19" ca="1">CreateSearchString($J19)</f>
        <v>,QI8[],</v>
      </c>
      <c r="AC19" s="12" t="str" cm="1">
        <f t="array" ref="AC19">IF($F19="","",IFERROR(SimpleLookup($F19,Definitions!$H:$J),""))</f>
        <v/>
      </c>
      <c r="AD19" s="12" t="b" cm="1">
        <f t="array" aca="1" ref="AD19" ca="1">IF($B19="",FALSE,SimpleLookup($B19,Questions!$A:$D)="x")</f>
        <v>1</v>
      </c>
      <c r="AE19" s="12" t="str" cm="1">
        <f t="array" aca="1" ref="AE19" ca="1">IF(OR($B19="",NOT($AD19)),"",SimpleLookup($B19,Questions!$A:$E))</f>
        <v>'[QuBA-libre.xlsx]Definitions'!$A$4</v>
      </c>
      <c r="AF19" s="12" cm="1">
        <f t="array" aca="1" ref="AF19" ca="1">IF(OR($B19="",NOT($AD19)),"",SimpleLookup($B19,Questions!$A:$F))</f>
        <v>2</v>
      </c>
      <c r="AG19" s="12" t="str" cm="1">
        <f t="array" aca="1" ref="AG19" ca="1">_xlfn.LET(
_xlpm._answer,$D19,
_xlpm._infoTextFull,IF($AD19,CHAR(10)&amp;SimpleLookup($B19,Questions!$A:$H)&amp;CHAR(10),""),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19" s="12" t="b" cm="1">
        <f t="array" aca="1" ref="AH19" ca="1">IF(OR($B19="",NOT($AD19)),FALSE,_xlfn.LET(
_xlpm._secondAnswerRequiredOn,SimpleLookup($B19,Questions!$A:$I),
_xlpm._firstAnwer,$D19,
IFERROR(FIND(CHAR(10)&amp;_xlpm._firstAnwer&amp;":",CHAR(10)&amp;_xlpm._secondAnswerRequiredOn)&gt;0,FALSE)))</f>
        <v>0</v>
      </c>
      <c r="AI19" s="12" t="str" cm="1">
        <f t="array" aca="1" ref="AI19" ca="1">IF(OR($B19="",NOT($AD19)),"",_xlfn.LET(
_xlpm._id,$B19,
_xlpm._firstAnswer,$D19,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'[QuBA-libre.xlsx]Definitions'!$H$10</v>
      </c>
      <c r="AJ19" s="12" cm="1">
        <f t="array" aca="1" ref="AJ19" ca="1">IF(OR($B19="",NOT($AD19)),"",_xlfn.LET(
_xlpm._id,$B19,
_xlpm._firstAnswer,$D19,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4</v>
      </c>
      <c r="AK19" s="12" t="str" cm="1">
        <f t="array" aca="1" ref="AK19" ca="1">IF($AH19,_xlfn.LET(
_xlpm._answer,$F19,
_xlpm._infoTextFull,IF($AD19,CHAR(10)&amp;SimpleLookup($B19,Questions!$A:$L)&amp;CHAR(10),""),
_xlpm._startSelectedByAnswerOne,IF(_xlpm._infoTextFull="",0,FIND("___"&amp;$D19&amp;"___",_xlpm._infoTextFull)+LEN("___"&amp;$D19&amp;"___")),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19" s="12" t="b" cm="1">
        <f t="array" aca="1" ref="AL19" ca="1">IF(OR($B19="",NOT($AD19)),FALSE,SimpleLookup($B19,Questions!$A:$Q))</f>
        <v>0</v>
      </c>
      <c r="AM19" s="12" t="str" cm="1">
        <f t="array" aca="1" ref="AM19" ca="1">IF(AND($B19=Questions!$A$41,IFERROR(SimpleLookup(Questions!$A$36,$B:$F)=Definitions!$O$5,FALSE),$D19=Definitions!$A$5),
Questions!$A$36&amp;" "&amp;Questions!$B$36&amp;CHAR(10)&amp;CHAR(187)&amp;" "&amp;SimpleLookup(Questions!$A$36,$B:$D)&amp;CHAR(10)&amp;SimpleLookup(Questions!$A$36,$B:$E)&amp;CHAR(10)&amp;CHAR(187)&amp;" "&amp;Definitions!$O$5&amp;CHAR(10)&amp;CHAR(10)&amp;
"is incosistent with"&amp;CHAR(10)&amp;CHAR(10)&amp;
$B19&amp;" "&amp;SimpleLookup($B19,Questions!$A:$B)&amp;CHAR(10)&amp;CHAR(187)&amp;" "&amp;$D19,
"")</f>
        <v/>
      </c>
      <c r="AN19" s="12" cm="1">
        <f t="array" aca="1" ref="AN19" ca="1">CreateID($AN$3,$AM19&lt;&gt;"")</f>
        <v>0</v>
      </c>
      <c r="AO19" s="12" t="str">
        <f ca="1">IF(OR($D19="",OFFSET($D19,1,0)=""),"",
IF(AND($B19=Questions!$A$59,OFFSET($B19,1,0)=Questions!$A$60),
IF(MATCH($D19,Definitions!$AW:$AW,0)&gt;MATCH(OFFSET($D19,1,0),Definitions!AW:AW,0),$B19&amp;" "&amp;$L19&amp;": "&amp;$D19&amp;CHAR(10)&amp;"&lt;---&gt;"&amp;CHAR(10)&amp;OFFSET($B19,1,0)&amp;" "&amp;OFFSET($L19,1,0)&amp;": "&amp;OFFSET($D19,1,0),""),
""))</f>
        <v/>
      </c>
      <c r="AP19" s="12" cm="1">
        <f t="array" aca="1" ref="AP19" ca="1">CreateID($AP$3,$AO19&lt;&gt;"")</f>
        <v>0</v>
      </c>
      <c r="AQ19" s="12" t="str" cm="1">
        <f t="array" ref="AQ19">IF($B19=Questions!$A$18,
  _xlfn.LET(
    _xlpm._impactValue7,IFERROR(SimpleLookup(SimpleLookup($F19,Definitions!$H:$J),Definitions!$Q:$R),0),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"&amp;$F19&amp;CHAR(10)&amp;"&lt;---&gt;"&amp;CHAR(10)&amp;Questions!$A$30&amp;": "&amp;_xlpm._impactName14,
        ""))),
  "")</f>
        <v/>
      </c>
      <c r="AR19" s="12" cm="1">
        <f t="array" aca="1" ref="AR19" ca="1">CreateID($AR$3,$AQ19&lt;&gt;"")</f>
        <v>0</v>
      </c>
    </row>
    <row r="20" spans="1:44" ht="45" x14ac:dyDescent="0.25">
      <c r="A20" s="116" t="str">
        <f ca="1">HYPERLINK("#'"&amp;Helper!$G$22&amp;"'!A"&amp;MATCH($B20,'Answering Guideline'!$A:$A,0),Definitions!$AY$4)</f>
        <v>◈</v>
      </c>
      <c r="B20" s="68" t="s">
        <v>909</v>
      </c>
      <c r="C20" s="4" t="str" cm="1">
        <f t="array" aca="1" ref="C20" ca="1">IF($B20="","",CreateIndentedString($L20,Definitions!$T$4,SimpleLookup($B20,Questions!$A:$C)))</f>
        <v xml:space="preserve">      Can  a  loss  of  availability  cause
      contract-related  fines  (e.g.,  based  on  a  service
      level  agreement)?</v>
      </c>
      <c r="E20" s="7" t="str">
        <f ca="1">$AG20</f>
        <v/>
      </c>
      <c r="G20" s="7" t="str">
        <f ca="1">$AK20</f>
        <v/>
      </c>
      <c r="J20" s="12" t="str">
        <f t="shared" ca="1" si="0"/>
        <v>QI9[]</v>
      </c>
      <c r="K20" s="12" t="str">
        <f t="shared" ca="1" si="1"/>
        <v>QI9[]</v>
      </c>
      <c r="L20" s="12" t="str" cm="1">
        <f t="array" aca="1" ref="L20" ca="1">SimpleLookup($B20,Questions!$A:$B)</f>
        <v>Can a loss of availability cause contract-related fines (e.g., based on a service level agreement)?</v>
      </c>
      <c r="M20" s="12" cm="1">
        <f t="array" aca="1" ref="M20" ca="1">CreateID($M$3,AND($B20&lt;&gt;"",$AD20))</f>
        <v>9</v>
      </c>
      <c r="N20" s="12" cm="1">
        <f t="array" ref="N20">CreateTaskID($N$3,$N:$N,Tasks!$B$17,$H20)</f>
        <v>0</v>
      </c>
      <c r="O20" s="12" t="str">
        <f t="shared" ca="1" si="2"/>
        <v>QI9 Can a loss of availability cause contract-related fines (e.g., based on a service level agreement)?</v>
      </c>
      <c r="P20" s="12" cm="1">
        <f t="array" aca="1" ref="P20" ca="1">CreateID($P$3,$O20&lt;&gt;"")</f>
        <v>9</v>
      </c>
      <c r="Q20" s="12" t="str">
        <f t="shared" ca="1" si="3"/>
        <v/>
      </c>
      <c r="R20" s="12" cm="1">
        <f t="array" aca="1" ref="R20" ca="1">CreateID($R$3,$Q20&lt;&gt;"")</f>
        <v>0</v>
      </c>
      <c r="S20" s="12" t="str">
        <f t="shared" ca="1" si="4"/>
        <v/>
      </c>
      <c r="T20" s="12" cm="1">
        <f t="array" aca="1" ref="T20" ca="1">CreateID($T$3,$S20&lt;&gt;"")</f>
        <v>0</v>
      </c>
      <c r="U20" s="12" t="str">
        <f t="shared" ca="1" si="5"/>
        <v/>
      </c>
      <c r="V20" s="12" cm="1">
        <f t="array" aca="1" ref="V20" ca="1">CreateID($V$3,$U20&lt;&gt;"")</f>
        <v>0</v>
      </c>
      <c r="W20" s="12" cm="1">
        <f t="array" aca="1" ref="W20" ca="1">CreateID($W$3,IFERROR(FIND(Definitions!$AR$4,$H20)&gt;0,FALSE))</f>
        <v>0</v>
      </c>
      <c r="X20" s="12">
        <f>_xlfn.LET(
_xlpm._comment,$H20,
_xlpm._keyWord,Definitions!$AR$4,
_xlpm._diffLen,LEN(_xlpm._comment)-LEN(SUBSTITUTE(_xlpm._comment,_xlpm._keyWord,"")),
_xlpm._diffLen/LEN(_xlpm._keyWord))</f>
        <v>0</v>
      </c>
      <c r="Y20" s="12" cm="1">
        <f t="array" aca="1" ref="Y20" ca="1">CreateID($Y$3,IFERROR(FIND(Definitions!$AR$5,$H20)&gt;0,FALSE))</f>
        <v>0</v>
      </c>
      <c r="Z20" s="12">
        <f>_xlfn.LET(
_xlpm._comment,$H20,
_xlpm._keyWord,Definitions!$AR$5,
_xlpm._diffLen,LEN(_xlpm._comment)-LEN(SUBSTITUTE(_xlpm._comment,_xlpm._keyWord,"")),
_xlpm._diffLen/LEN(_xlpm._keyWord))</f>
        <v>0</v>
      </c>
      <c r="AA20" s="12" t="b">
        <f ca="1">OR(IFERROR(_xlfn.XMATCH("*,"&amp;$B20&amp;",*",Assumptions!$AH:$AH,2)&gt;0,FALSE),
IFERROR(_xlfn.XMATCH("*,"&amp;$B20&amp;",*",Countermeasures!$AK:$AK,2)&gt;0,FALSE))</f>
        <v>0</v>
      </c>
      <c r="AB20" s="12" t="str" cm="1">
        <f t="array" aca="1" ref="AB20" ca="1">CreateSearchString($J20)</f>
        <v>,QI9[],</v>
      </c>
      <c r="AC20" s="12" t="str" cm="1">
        <f t="array" ref="AC20">IF($F20="","",IFERROR(SimpleLookup($F20,Definitions!$H:$J),""))</f>
        <v/>
      </c>
      <c r="AD20" s="12" t="b" cm="1">
        <f t="array" aca="1" ref="AD20" ca="1">IF($B20="",FALSE,SimpleLookup($B20,Questions!$A:$D)="x")</f>
        <v>1</v>
      </c>
      <c r="AE20" s="12" t="str" cm="1">
        <f t="array" aca="1" ref="AE20" ca="1">IF(OR($B20="",NOT($AD20)),"",SimpleLookup($B20,Questions!$A:$E))</f>
        <v>'[QuBA-libre.xlsx]Definitions'!$A$4</v>
      </c>
      <c r="AF20" s="12" cm="1">
        <f t="array" aca="1" ref="AF20" ca="1">IF(OR($B20="",NOT($AD20)),"",SimpleLookup($B20,Questions!$A:$F))</f>
        <v>2</v>
      </c>
      <c r="AG20" s="12" t="str" cm="1">
        <f t="array" aca="1" ref="AG20" ca="1">_xlfn.LET(
_xlpm._answer,$D20,
_xlpm._infoTextFull,IF($AD20,CHAR(10)&amp;SimpleLookup($B20,Questions!$A:$H)&amp;CHAR(10),""),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20" s="12" t="b" cm="1">
        <f t="array" aca="1" ref="AH20" ca="1">IF(OR($B20="",NOT($AD20)),FALSE,_xlfn.LET(
_xlpm._secondAnswerRequiredOn,SimpleLookup($B20,Questions!$A:$I),
_xlpm._firstAnwer,$D20,
IFERROR(FIND(CHAR(10)&amp;_xlpm._firstAnwer&amp;":",CHAR(10)&amp;_xlpm._secondAnswerRequiredOn)&gt;0,FALSE)))</f>
        <v>0</v>
      </c>
      <c r="AI20" s="12" t="str" cm="1">
        <f t="array" aca="1" ref="AI20" ca="1">IF(OR($B20="",NOT($AD20)),"",_xlfn.LET(
_xlpm._id,$B20,
_xlpm._firstAnswer,$D20,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'[QuBA-libre.xlsx]Definitions'!$H$10</v>
      </c>
      <c r="AJ20" s="12" cm="1">
        <f t="array" aca="1" ref="AJ20" ca="1">IF(OR($B20="",NOT($AD20)),"",_xlfn.LET(
_xlpm._id,$B20,
_xlpm._firstAnswer,$D20,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4</v>
      </c>
      <c r="AK20" s="12" t="str" cm="1">
        <f t="array" aca="1" ref="AK20" ca="1">IF($AH20,_xlfn.LET(
_xlpm._answer,$F20,
_xlpm._infoTextFull,IF($AD20,CHAR(10)&amp;SimpleLookup($B20,Questions!$A:$L)&amp;CHAR(10),""),
_xlpm._startSelectedByAnswerOne,IF(_xlpm._infoTextFull="",0,FIND("___"&amp;$D20&amp;"___",_xlpm._infoTextFull)+LEN("___"&amp;$D20&amp;"___")),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20" s="12" t="b" cm="1">
        <f t="array" aca="1" ref="AL20" ca="1">IF(OR($B20="",NOT($AD20)),FALSE,SimpleLookup($B20,Questions!$A:$Q))</f>
        <v>0</v>
      </c>
      <c r="AM20" s="12" t="str" cm="1">
        <f t="array" aca="1" ref="AM20" ca="1">IF(AND($B20=Questions!$A$41,IFERROR(SimpleLookup(Questions!$A$36,$B:$F)=Definitions!$O$5,FALSE),$D20=Definitions!$A$5),
Questions!$A$36&amp;" "&amp;Questions!$B$36&amp;CHAR(10)&amp;CHAR(187)&amp;" "&amp;SimpleLookup(Questions!$A$36,$B:$D)&amp;CHAR(10)&amp;SimpleLookup(Questions!$A$36,$B:$E)&amp;CHAR(10)&amp;CHAR(187)&amp;" "&amp;Definitions!$O$5&amp;CHAR(10)&amp;CHAR(10)&amp;
"is incosistent with"&amp;CHAR(10)&amp;CHAR(10)&amp;
$B20&amp;" "&amp;SimpleLookup($B20,Questions!$A:$B)&amp;CHAR(10)&amp;CHAR(187)&amp;" "&amp;$D20,
"")</f>
        <v/>
      </c>
      <c r="AN20" s="12" cm="1">
        <f t="array" aca="1" ref="AN20" ca="1">CreateID($AN$3,$AM20&lt;&gt;"")</f>
        <v>0</v>
      </c>
      <c r="AO20" s="12" t="str">
        <f ca="1">IF(OR($D20="",OFFSET($D20,1,0)=""),"",
IF(AND($B20=Questions!$A$59,OFFSET($B20,1,0)=Questions!$A$60),
IF(MATCH($D20,Definitions!$AW:$AW,0)&gt;MATCH(OFFSET($D20,1,0),Definitions!AW:AW,0),$B20&amp;" "&amp;$L20&amp;": "&amp;$D20&amp;CHAR(10)&amp;"&lt;---&gt;"&amp;CHAR(10)&amp;OFFSET($B20,1,0)&amp;" "&amp;OFFSET($L20,1,0)&amp;": "&amp;OFFSET($D20,1,0),""),
""))</f>
        <v/>
      </c>
      <c r="AP20" s="12" cm="1">
        <f t="array" aca="1" ref="AP20" ca="1">CreateID($AP$3,$AO20&lt;&gt;"")</f>
        <v>0</v>
      </c>
      <c r="AQ20" s="12" t="str" cm="1">
        <f t="array" ref="AQ20">IF($B20=Questions!$A$18,
  _xlfn.LET(
    _xlpm._impactValue7,IFERROR(SimpleLookup(SimpleLookup($F20,Definitions!$H:$J),Definitions!$Q:$R),0),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"&amp;$F20&amp;CHAR(10)&amp;"&lt;---&gt;"&amp;CHAR(10)&amp;Questions!$A$30&amp;": "&amp;_xlpm._impactName14,
        ""))),
  "")</f>
        <v/>
      </c>
      <c r="AR20" s="12" cm="1">
        <f t="array" aca="1" ref="AR20" ca="1">CreateID($AR$3,$AQ20&lt;&gt;"")</f>
        <v>0</v>
      </c>
    </row>
    <row r="21" spans="1:44" x14ac:dyDescent="0.25">
      <c r="A21" s="116"/>
      <c r="B21" s="68" t="s">
        <v>990</v>
      </c>
      <c r="C21" s="4" t="str" cm="1">
        <f t="array" aca="1" ref="C21" ca="1">IF($B21="","",CreateIndentedString($L21,Definitions!$T$4,SimpleLookup($B21,Questions!$A:$C)))</f>
        <v>Worst  case  impact  for  loss  of  integrity</v>
      </c>
      <c r="J21" s="12" t="str">
        <f t="shared" ca="1" si="0"/>
        <v/>
      </c>
      <c r="K21" s="12" t="str">
        <f t="shared" ca="1" si="1"/>
        <v/>
      </c>
      <c r="L21" s="12" t="str" cm="1">
        <f t="array" aca="1" ref="L21" ca="1">SimpleLookup($B21,Questions!$A:$B)</f>
        <v>Worst case impact for loss of integrity</v>
      </c>
      <c r="M21" s="12" cm="1">
        <f t="array" aca="1" ref="M21" ca="1">CreateID($M$3,AND($B21&lt;&gt;"",$AD21))</f>
        <v>9</v>
      </c>
      <c r="N21" s="12" cm="1">
        <f t="array" ref="N21">CreateTaskID($N$3,$N:$N,Tasks!$B$17,$H21)</f>
        <v>0</v>
      </c>
      <c r="O21" s="12" t="str">
        <f t="shared" ca="1" si="2"/>
        <v/>
      </c>
      <c r="P21" s="12" cm="1">
        <f t="array" aca="1" ref="P21" ca="1">CreateID($P$3,$O21&lt;&gt;"")</f>
        <v>9</v>
      </c>
      <c r="Q21" s="12" t="str">
        <f t="shared" si="3"/>
        <v/>
      </c>
      <c r="R21" s="12" cm="1">
        <f t="array" aca="1" ref="R21" ca="1">CreateID($R$3,$Q21&lt;&gt;"")</f>
        <v>0</v>
      </c>
      <c r="S21" s="12" t="str">
        <f t="shared" si="4"/>
        <v/>
      </c>
      <c r="T21" s="12" cm="1">
        <f t="array" aca="1" ref="T21" ca="1">CreateID($T$3,$S21&lt;&gt;"")</f>
        <v>0</v>
      </c>
      <c r="U21" s="12" t="str">
        <f t="shared" ca="1" si="5"/>
        <v/>
      </c>
      <c r="V21" s="12" cm="1">
        <f t="array" aca="1" ref="V21" ca="1">CreateID($V$3,$U21&lt;&gt;"")</f>
        <v>0</v>
      </c>
      <c r="W21" s="12" cm="1">
        <f t="array" aca="1" ref="W21" ca="1">CreateID($W$3,IFERROR(FIND(Definitions!$AR$4,$H21)&gt;0,FALSE))</f>
        <v>0</v>
      </c>
      <c r="X21" s="12">
        <f>_xlfn.LET(
_xlpm._comment,$H21,
_xlpm._keyWord,Definitions!$AR$4,
_xlpm._diffLen,LEN(_xlpm._comment)-LEN(SUBSTITUTE(_xlpm._comment,_xlpm._keyWord,"")),
_xlpm._diffLen/LEN(_xlpm._keyWord))</f>
        <v>0</v>
      </c>
      <c r="Y21" s="12" cm="1">
        <f t="array" aca="1" ref="Y21" ca="1">CreateID($Y$3,IFERROR(FIND(Definitions!$AR$5,$H21)&gt;0,FALSE))</f>
        <v>0</v>
      </c>
      <c r="Z21" s="12">
        <f>_xlfn.LET(
_xlpm._comment,$H21,
_xlpm._keyWord,Definitions!$AR$5,
_xlpm._diffLen,LEN(_xlpm._comment)-LEN(SUBSTITUTE(_xlpm._comment,_xlpm._keyWord,"")),
_xlpm._diffLen/LEN(_xlpm._keyWord))</f>
        <v>0</v>
      </c>
      <c r="AA21" s="12" t="b">
        <f ca="1">OR(IFERROR(_xlfn.XMATCH("*,"&amp;$B21&amp;",*",Assumptions!$AH:$AH,2)&gt;0,FALSE),
IFERROR(_xlfn.XMATCH("*,"&amp;$B21&amp;",*",Countermeasures!$AK:$AK,2)&gt;0,FALSE))</f>
        <v>0</v>
      </c>
      <c r="AB21" s="12" t="str" cm="1">
        <f t="array" aca="1" ref="AB21" ca="1">CreateSearchString($J21)</f>
        <v/>
      </c>
      <c r="AC21" s="12" t="str" cm="1">
        <f t="array" ref="AC21">IF($F21="","",IFERROR(SimpleLookup($F21,Definitions!$H:$J),""))</f>
        <v/>
      </c>
      <c r="AD21" s="12" t="b" cm="1">
        <f t="array" aca="1" ref="AD21" ca="1">IF($B21="",FALSE,SimpleLookup($B21,Questions!$A:$D)="x")</f>
        <v>0</v>
      </c>
      <c r="AE21" s="12" t="str" cm="1">
        <f t="array" aca="1" ref="AE21" ca="1">IF(OR($B21="",NOT($AD21)),"",SimpleLookup($B21,Questions!$A:$E))</f>
        <v/>
      </c>
      <c r="AF21" s="12" t="str" cm="1">
        <f t="array" aca="1" ref="AF21" ca="1">IF(OR($B21="",NOT($AD21)),"",SimpleLookup($B21,Questions!$A:$F))</f>
        <v/>
      </c>
      <c r="AG21" s="12" t="str" cm="1">
        <f t="array" aca="1" ref="AG21" ca="1">_xlfn.LET(
_xlpm._answer,$D21,
_xlpm._infoTextFull,IF($AD21,CHAR(10)&amp;SimpleLookup($B21,Questions!$A:$H)&amp;CHAR(10),""),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21" s="12" t="b" cm="1">
        <f t="array" aca="1" ref="AH21" ca="1">IF(OR($B21="",NOT($AD21)),FALSE,_xlfn.LET(
_xlpm._secondAnswerRequiredOn,SimpleLookup($B21,Questions!$A:$I),
_xlpm._firstAnwer,$D21,
IFERROR(FIND(CHAR(10)&amp;_xlpm._firstAnwer&amp;":",CHAR(10)&amp;_xlpm._secondAnswerRequiredOn)&gt;0,FALSE)))</f>
        <v>0</v>
      </c>
      <c r="AI21" s="12" t="str" cm="1">
        <f t="array" aca="1" ref="AI21" ca="1">IF(OR($B21="",NOT($AD21)),"",_xlfn.LET(
_xlpm._id,$B21,
_xlpm._firstAnswer,$D21,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21" s="12" t="str" cm="1">
        <f t="array" aca="1" ref="AJ21" ca="1">IF(OR($B21="",NOT($AD21)),"",_xlfn.LET(
_xlpm._id,$B21,
_xlpm._firstAnswer,$D21,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21" s="12" t="str" cm="1">
        <f t="array" aca="1" ref="AK21" ca="1">IF($AH21,_xlfn.LET(
_xlpm._answer,$F21,
_xlpm._infoTextFull,IF($AD21,CHAR(10)&amp;SimpleLookup($B21,Questions!$A:$L)&amp;CHAR(10),""),
_xlpm._startSelectedByAnswerOne,IF(_xlpm._infoTextFull="",0,FIND("___"&amp;$D21&amp;"___",_xlpm._infoTextFull)+LEN("___"&amp;$D21&amp;"___")),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21" s="12" t="b" cm="1">
        <f t="array" aca="1" ref="AL21" ca="1">IF(OR($B21="",NOT($AD21)),FALSE,SimpleLookup($B21,Questions!$A:$Q))</f>
        <v>0</v>
      </c>
      <c r="AM21" s="12" t="str" cm="1">
        <f t="array" aca="1" ref="AM21" ca="1">IF(AND($B21=Questions!$A$41,IFERROR(SimpleLookup(Questions!$A$36,$B:$F)=Definitions!$O$5,FALSE),$D21=Definitions!$A$5),
Questions!$A$36&amp;" "&amp;Questions!$B$36&amp;CHAR(10)&amp;CHAR(187)&amp;" "&amp;SimpleLookup(Questions!$A$36,$B:$D)&amp;CHAR(10)&amp;SimpleLookup(Questions!$A$36,$B:$E)&amp;CHAR(10)&amp;CHAR(187)&amp;" "&amp;Definitions!$O$5&amp;CHAR(10)&amp;CHAR(10)&amp;
"is incosistent with"&amp;CHAR(10)&amp;CHAR(10)&amp;
$B21&amp;" "&amp;SimpleLookup($B21,Questions!$A:$B)&amp;CHAR(10)&amp;CHAR(187)&amp;" "&amp;$D21,
"")</f>
        <v/>
      </c>
      <c r="AN21" s="12" cm="1">
        <f t="array" aca="1" ref="AN21" ca="1">CreateID($AN$3,$AM21&lt;&gt;"")</f>
        <v>0</v>
      </c>
      <c r="AO21" s="12" t="str">
        <f ca="1">IF(OR($D21="",OFFSET($D21,1,0)=""),"",
IF(AND($B21=Questions!$A$59,OFFSET($B21,1,0)=Questions!$A$60),
IF(MATCH($D21,Definitions!$AW:$AW,0)&gt;MATCH(OFFSET($D21,1,0),Definitions!AW:AW,0),$B21&amp;" "&amp;$L21&amp;": "&amp;$D21&amp;CHAR(10)&amp;"&lt;---&gt;"&amp;CHAR(10)&amp;OFFSET($B21,1,0)&amp;" "&amp;OFFSET($L21,1,0)&amp;": "&amp;OFFSET($D21,1,0),""),
""))</f>
        <v/>
      </c>
      <c r="AP21" s="12" cm="1">
        <f t="array" aca="1" ref="AP21" ca="1">CreateID($AP$3,$AO21&lt;&gt;"")</f>
        <v>0</v>
      </c>
      <c r="AQ21" s="12" t="str" cm="1">
        <f t="array" ref="AQ21">IF($B21=Questions!$A$18,
  _xlfn.LET(
    _xlpm._impactValue7,IFERROR(SimpleLookup(SimpleLookup($F21,Definitions!$H:$J),Definitions!$Q:$R),0),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"&amp;$F21&amp;CHAR(10)&amp;"&lt;---&gt;"&amp;CHAR(10)&amp;Questions!$A$30&amp;": "&amp;_xlpm._impactName14,
        ""))),
  "")</f>
        <v/>
      </c>
      <c r="AR21" s="12" cm="1">
        <f t="array" aca="1" ref="AR21" ca="1">CreateID($AR$3,$AQ21&lt;&gt;"")</f>
        <v>0</v>
      </c>
    </row>
    <row r="22" spans="1:44" x14ac:dyDescent="0.25">
      <c r="A22" s="116"/>
      <c r="B22" s="68" t="s">
        <v>1002</v>
      </c>
      <c r="C22" s="4" t="str" cm="1">
        <f t="array" aca="1" ref="C22" ca="1">IF($B22="","",CreateIndentedString($L22,Definitions!$T$4,SimpleLookup($B22,Questions!$A:$C)))</f>
        <v xml:space="preserve">   Safety</v>
      </c>
      <c r="J22" s="12" t="str">
        <f t="shared" ca="1" si="0"/>
        <v/>
      </c>
      <c r="K22" s="12" t="str">
        <f t="shared" ca="1" si="1"/>
        <v/>
      </c>
      <c r="L22" s="12" t="str" cm="1">
        <f t="array" aca="1" ref="L22" ca="1">SimpleLookup($B22,Questions!$A:$B)</f>
        <v>Safety</v>
      </c>
      <c r="M22" s="12" cm="1">
        <f t="array" aca="1" ref="M22" ca="1">CreateID($M$3,AND($B22&lt;&gt;"",$AD22))</f>
        <v>9</v>
      </c>
      <c r="N22" s="12" cm="1">
        <f t="array" ref="N22">CreateTaskID($N$3,$N:$N,Tasks!$B$17,$H22)</f>
        <v>0</v>
      </c>
      <c r="O22" s="12" t="str">
        <f t="shared" ca="1" si="2"/>
        <v/>
      </c>
      <c r="P22" s="12" cm="1">
        <f t="array" aca="1" ref="P22" ca="1">CreateID($P$3,$O22&lt;&gt;"")</f>
        <v>9</v>
      </c>
      <c r="Q22" s="12" t="str">
        <f t="shared" si="3"/>
        <v/>
      </c>
      <c r="R22" s="12" cm="1">
        <f t="array" aca="1" ref="R22" ca="1">CreateID($R$3,$Q22&lt;&gt;"")</f>
        <v>0</v>
      </c>
      <c r="S22" s="12" t="str">
        <f t="shared" si="4"/>
        <v/>
      </c>
      <c r="T22" s="12" cm="1">
        <f t="array" aca="1" ref="T22" ca="1">CreateID($T$3,$S22&lt;&gt;"")</f>
        <v>0</v>
      </c>
      <c r="U22" s="12" t="str">
        <f t="shared" ca="1" si="5"/>
        <v/>
      </c>
      <c r="V22" s="12" cm="1">
        <f t="array" aca="1" ref="V22" ca="1">CreateID($V$3,$U22&lt;&gt;"")</f>
        <v>0</v>
      </c>
      <c r="W22" s="12" cm="1">
        <f t="array" aca="1" ref="W22" ca="1">CreateID($W$3,IFERROR(FIND(Definitions!$AR$4,$H22)&gt;0,FALSE))</f>
        <v>0</v>
      </c>
      <c r="X22" s="12">
        <f>_xlfn.LET(
_xlpm._comment,$H22,
_xlpm._keyWord,Definitions!$AR$4,
_xlpm._diffLen,LEN(_xlpm._comment)-LEN(SUBSTITUTE(_xlpm._comment,_xlpm._keyWord,"")),
_xlpm._diffLen/LEN(_xlpm._keyWord))</f>
        <v>0</v>
      </c>
      <c r="Y22" s="12" cm="1">
        <f t="array" aca="1" ref="Y22" ca="1">CreateID($Y$3,IFERROR(FIND(Definitions!$AR$5,$H22)&gt;0,FALSE))</f>
        <v>0</v>
      </c>
      <c r="Z22" s="12">
        <f>_xlfn.LET(
_xlpm._comment,$H22,
_xlpm._keyWord,Definitions!$AR$5,
_xlpm._diffLen,LEN(_xlpm._comment)-LEN(SUBSTITUTE(_xlpm._comment,_xlpm._keyWord,"")),
_xlpm._diffLen/LEN(_xlpm._keyWord))</f>
        <v>0</v>
      </c>
      <c r="AA22" s="12" t="b">
        <f ca="1">OR(IFERROR(_xlfn.XMATCH("*,"&amp;$B22&amp;",*",Assumptions!$AH:$AH,2)&gt;0,FALSE),
IFERROR(_xlfn.XMATCH("*,"&amp;$B22&amp;",*",Countermeasures!$AK:$AK,2)&gt;0,FALSE))</f>
        <v>0</v>
      </c>
      <c r="AB22" s="12" t="str" cm="1">
        <f t="array" aca="1" ref="AB22" ca="1">CreateSearchString($J22)</f>
        <v/>
      </c>
      <c r="AC22" s="12" t="str" cm="1">
        <f t="array" ref="AC22">IF($F22="","",IFERROR(SimpleLookup($F22,Definitions!$H:$J),""))</f>
        <v/>
      </c>
      <c r="AD22" s="12" t="b" cm="1">
        <f t="array" aca="1" ref="AD22" ca="1">IF($B22="",FALSE,SimpleLookup($B22,Questions!$A:$D)="x")</f>
        <v>0</v>
      </c>
      <c r="AE22" s="12" t="str" cm="1">
        <f t="array" aca="1" ref="AE22" ca="1">IF(OR($B22="",NOT($AD22)),"",SimpleLookup($B22,Questions!$A:$E))</f>
        <v/>
      </c>
      <c r="AF22" s="12" t="str" cm="1">
        <f t="array" aca="1" ref="AF22" ca="1">IF(OR($B22="",NOT($AD22)),"",SimpleLookup($B22,Questions!$A:$F))</f>
        <v/>
      </c>
      <c r="AG22" s="12" t="str" cm="1">
        <f t="array" aca="1" ref="AG22" ca="1">_xlfn.LET(
_xlpm._answer,$D22,
_xlpm._infoTextFull,IF($AD22,CHAR(10)&amp;SimpleLookup($B22,Questions!$A:$H)&amp;CHAR(10),""),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22" s="12" t="b" cm="1">
        <f t="array" aca="1" ref="AH22" ca="1">IF(OR($B22="",NOT($AD22)),FALSE,_xlfn.LET(
_xlpm._secondAnswerRequiredOn,SimpleLookup($B22,Questions!$A:$I),
_xlpm._firstAnwer,$D22,
IFERROR(FIND(CHAR(10)&amp;_xlpm._firstAnwer&amp;":",CHAR(10)&amp;_xlpm._secondAnswerRequiredOn)&gt;0,FALSE)))</f>
        <v>0</v>
      </c>
      <c r="AI22" s="12" t="str" cm="1">
        <f t="array" aca="1" ref="AI22" ca="1">IF(OR($B22="",NOT($AD22)),"",_xlfn.LET(
_xlpm._id,$B22,
_xlpm._firstAnswer,$D22,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22" s="12" t="str" cm="1">
        <f t="array" aca="1" ref="AJ22" ca="1">IF(OR($B22="",NOT($AD22)),"",_xlfn.LET(
_xlpm._id,$B22,
_xlpm._firstAnswer,$D22,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22" s="12" t="str" cm="1">
        <f t="array" aca="1" ref="AK22" ca="1">IF($AH22,_xlfn.LET(
_xlpm._answer,$F22,
_xlpm._infoTextFull,IF($AD22,CHAR(10)&amp;SimpleLookup($B22,Questions!$A:$L)&amp;CHAR(10),""),
_xlpm._startSelectedByAnswerOne,IF(_xlpm._infoTextFull="",0,FIND("___"&amp;$D22&amp;"___",_xlpm._infoTextFull)+LEN("___"&amp;$D22&amp;"___")),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22" s="12" t="b" cm="1">
        <f t="array" aca="1" ref="AL22" ca="1">IF(OR($B22="",NOT($AD22)),FALSE,SimpleLookup($B22,Questions!$A:$Q))</f>
        <v>0</v>
      </c>
      <c r="AM22" s="12" t="str" cm="1">
        <f t="array" aca="1" ref="AM22" ca="1">IF(AND($B22=Questions!$A$41,IFERROR(SimpleLookup(Questions!$A$36,$B:$F)=Definitions!$O$5,FALSE),$D22=Definitions!$A$5),
Questions!$A$36&amp;" "&amp;Questions!$B$36&amp;CHAR(10)&amp;CHAR(187)&amp;" "&amp;SimpleLookup(Questions!$A$36,$B:$D)&amp;CHAR(10)&amp;SimpleLookup(Questions!$A$36,$B:$E)&amp;CHAR(10)&amp;CHAR(187)&amp;" "&amp;Definitions!$O$5&amp;CHAR(10)&amp;CHAR(10)&amp;
"is incosistent with"&amp;CHAR(10)&amp;CHAR(10)&amp;
$B22&amp;" "&amp;SimpleLookup($B22,Questions!$A:$B)&amp;CHAR(10)&amp;CHAR(187)&amp;" "&amp;$D22,
"")</f>
        <v/>
      </c>
      <c r="AN22" s="12" cm="1">
        <f t="array" aca="1" ref="AN22" ca="1">CreateID($AN$3,$AM22&lt;&gt;"")</f>
        <v>0</v>
      </c>
      <c r="AO22" s="12" t="str">
        <f ca="1">IF(OR($D22="",OFFSET($D22,1,0)=""),"",
IF(AND($B22=Questions!$A$59,OFFSET($B22,1,0)=Questions!$A$60),
IF(MATCH($D22,Definitions!$AW:$AW,0)&gt;MATCH(OFFSET($D22,1,0),Definitions!AW:AW,0),$B22&amp;" "&amp;$L22&amp;": "&amp;$D22&amp;CHAR(10)&amp;"&lt;---&gt;"&amp;CHAR(10)&amp;OFFSET($B22,1,0)&amp;" "&amp;OFFSET($L22,1,0)&amp;": "&amp;OFFSET($D22,1,0),""),
""))</f>
        <v/>
      </c>
      <c r="AP22" s="12" cm="1">
        <f t="array" aca="1" ref="AP22" ca="1">CreateID($AP$3,$AO22&lt;&gt;"")</f>
        <v>0</v>
      </c>
      <c r="AQ22" s="12" t="str" cm="1">
        <f t="array" ref="AQ22">IF($B22=Questions!$A$18,
  _xlfn.LET(
    _xlpm._impactValue7,IFERROR(SimpleLookup(SimpleLookup($F22,Definitions!$H:$J),Definitions!$Q:$R),0),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"&amp;$F22&amp;CHAR(10)&amp;"&lt;---&gt;"&amp;CHAR(10)&amp;Questions!$A$30&amp;": "&amp;_xlpm._impactName14,
        ""))),
  "")</f>
        <v/>
      </c>
      <c r="AR22" s="12" cm="1">
        <f t="array" aca="1" ref="AR22" ca="1">CreateID($AR$3,$AQ22&lt;&gt;"")</f>
        <v>0</v>
      </c>
    </row>
    <row r="23" spans="1:44" ht="75" x14ac:dyDescent="0.25">
      <c r="A23" s="116" t="str">
        <f ca="1">HYPERLINK("#'"&amp;Helper!$G$22&amp;"'!A"&amp;MATCH($B23,'Answering Guideline'!$A:$A,0),Definitions!$AY$4)</f>
        <v>◈</v>
      </c>
      <c r="B23" s="68" t="s">
        <v>906</v>
      </c>
      <c r="C23" s="4" t="str" cm="1">
        <f t="array" aca="1" ref="C23" ca="1">IF($B23="","",CreateIndentedString($L23,Definitions!$T$4,SimpleLookup($B23,Questions!$A:$C)))</f>
        <v xml:space="preserve">      Can  a  manipulated  product  (or  its  communication)
      endanger  the  health  of  people?  Also  consider
      cases  where  the  product  is  used  against  its
      intended  use  or  misconfigured!</v>
      </c>
      <c r="E23" s="7" t="str">
        <f ca="1">$AG23</f>
        <v/>
      </c>
      <c r="G23" s="7" t="str">
        <f ca="1">$AK23</f>
        <v/>
      </c>
      <c r="J23" s="12" t="str">
        <f t="shared" ca="1" si="0"/>
        <v>QI10[]</v>
      </c>
      <c r="K23" s="12" t="str">
        <f t="shared" ca="1" si="1"/>
        <v>QI10[]</v>
      </c>
      <c r="L23" s="12" t="str" cm="1">
        <f t="array" aca="1" ref="L23" ca="1">SimpleLookup($B23,Questions!$A:$B)</f>
        <v>Can a manipulated product (or its communication) endanger the health of people? Also consider cases where the product is used against its intended use or misconfigured!</v>
      </c>
      <c r="M23" s="12" cm="1">
        <f t="array" aca="1" ref="M23" ca="1">CreateID($M$3,AND($B23&lt;&gt;"",$AD23))</f>
        <v>10</v>
      </c>
      <c r="N23" s="12" cm="1">
        <f t="array" ref="N23">CreateTaskID($N$3,$N:$N,Tasks!$B$17,$H23)</f>
        <v>0</v>
      </c>
      <c r="O23" s="12" t="str">
        <f t="shared" ca="1" si="2"/>
        <v>QI10 Can a manipulated product (or its communication) endanger the health of people? Also consider cases where the product is used against its intended use or misconfigured!</v>
      </c>
      <c r="P23" s="12" cm="1">
        <f t="array" aca="1" ref="P23" ca="1">CreateID($P$3,$O23&lt;&gt;"")</f>
        <v>10</v>
      </c>
      <c r="Q23" s="12" t="str">
        <f t="shared" ca="1" si="3"/>
        <v/>
      </c>
      <c r="R23" s="12" cm="1">
        <f t="array" aca="1" ref="R23" ca="1">CreateID($R$3,$Q23&lt;&gt;"")</f>
        <v>0</v>
      </c>
      <c r="S23" s="12" t="str">
        <f t="shared" ca="1" si="4"/>
        <v/>
      </c>
      <c r="T23" s="12" cm="1">
        <f t="array" aca="1" ref="T23" ca="1">CreateID($T$3,$S23&lt;&gt;"")</f>
        <v>0</v>
      </c>
      <c r="U23" s="12" t="str">
        <f t="shared" ca="1" si="5"/>
        <v/>
      </c>
      <c r="V23" s="12" cm="1">
        <f t="array" aca="1" ref="V23" ca="1">CreateID($V$3,$U23&lt;&gt;"")</f>
        <v>0</v>
      </c>
      <c r="W23" s="12" cm="1">
        <f t="array" aca="1" ref="W23" ca="1">CreateID($W$3,IFERROR(FIND(Definitions!$AR$4,$H23)&gt;0,FALSE))</f>
        <v>0</v>
      </c>
      <c r="X23" s="12">
        <f>_xlfn.LET(
_xlpm._comment,$H23,
_xlpm._keyWord,Definitions!$AR$4,
_xlpm._diffLen,LEN(_xlpm._comment)-LEN(SUBSTITUTE(_xlpm._comment,_xlpm._keyWord,"")),
_xlpm._diffLen/LEN(_xlpm._keyWord))</f>
        <v>0</v>
      </c>
      <c r="Y23" s="12" cm="1">
        <f t="array" aca="1" ref="Y23" ca="1">CreateID($Y$3,IFERROR(FIND(Definitions!$AR$5,$H23)&gt;0,FALSE))</f>
        <v>0</v>
      </c>
      <c r="Z23" s="12">
        <f>_xlfn.LET(
_xlpm._comment,$H23,
_xlpm._keyWord,Definitions!$AR$5,
_xlpm._diffLen,LEN(_xlpm._comment)-LEN(SUBSTITUTE(_xlpm._comment,_xlpm._keyWord,"")),
_xlpm._diffLen/LEN(_xlpm._keyWord))</f>
        <v>0</v>
      </c>
      <c r="AA23" s="12" t="b">
        <f ca="1">OR(IFERROR(_xlfn.XMATCH("*,"&amp;$B23&amp;",*",Assumptions!$AH:$AH,2)&gt;0,FALSE),
IFERROR(_xlfn.XMATCH("*,"&amp;$B23&amp;",*",Countermeasures!$AK:$AK,2)&gt;0,FALSE))</f>
        <v>0</v>
      </c>
      <c r="AB23" s="12" t="str" cm="1">
        <f t="array" aca="1" ref="AB23" ca="1">CreateSearchString($J23)</f>
        <v>,QI10[],</v>
      </c>
      <c r="AC23" s="12" t="str" cm="1">
        <f t="array" ref="AC23">IF($F23="","",IFERROR(SimpleLookup($F23,Definitions!$H:$J),""))</f>
        <v/>
      </c>
      <c r="AD23" s="12" t="b" cm="1">
        <f t="array" aca="1" ref="AD23" ca="1">IF($B23="",FALSE,SimpleLookup($B23,Questions!$A:$D)="x")</f>
        <v>1</v>
      </c>
      <c r="AE23" s="12" t="str" cm="1">
        <f t="array" aca="1" ref="AE23" ca="1">IF(OR($B23="",NOT($AD23)),"",SimpleLookup($B23,Questions!$A:$E))</f>
        <v>'[QuBA-libre.xlsx]Definitions'!$A$4</v>
      </c>
      <c r="AF23" s="12" cm="1">
        <f t="array" aca="1" ref="AF23" ca="1">IF(OR($B23="",NOT($AD23)),"",SimpleLookup($B23,Questions!$A:$F))</f>
        <v>2</v>
      </c>
      <c r="AG23" s="12" t="str" cm="1">
        <f t="array" aca="1" ref="AG23" ca="1">_xlfn.LET(
_xlpm._answer,$D23,
_xlpm._infoTextFull,IF($AD23,CHAR(10)&amp;SimpleLookup($B23,Questions!$A:$H)&amp;CHAR(10),""),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23" s="12" t="b" cm="1">
        <f t="array" aca="1" ref="AH23" ca="1">IF(OR($B23="",NOT($AD23)),FALSE,_xlfn.LET(
_xlpm._secondAnswerRequiredOn,SimpleLookup($B23,Questions!$A:$I),
_xlpm._firstAnwer,$D23,
IFERROR(FIND(CHAR(10)&amp;_xlpm._firstAnwer&amp;":",CHAR(10)&amp;_xlpm._secondAnswerRequiredOn)&gt;0,FALSE)))</f>
        <v>0</v>
      </c>
      <c r="AI23" s="12" t="str" cm="1">
        <f t="array" aca="1" ref="AI23" ca="1">IF(OR($B23="",NOT($AD23)),"",_xlfn.LET(
_xlpm._id,$B23,
_xlpm._firstAnswer,$D23,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'[QuBA-libre.xlsx]Definitions'!$H$14</v>
      </c>
      <c r="AJ23" s="12" cm="1">
        <f t="array" aca="1" ref="AJ23" ca="1">IF(OR($B23="",NOT($AD23)),"",_xlfn.LET(
_xlpm._id,$B23,
_xlpm._firstAnswer,$D23,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4</v>
      </c>
      <c r="AK23" s="12" t="str" cm="1">
        <f t="array" aca="1" ref="AK23" ca="1">IF($AH23,_xlfn.LET(
_xlpm._answer,$F23,
_xlpm._infoTextFull,IF($AD23,CHAR(10)&amp;SimpleLookup($B23,Questions!$A:$L)&amp;CHAR(10),""),
_xlpm._startSelectedByAnswerOne,IF(_xlpm._infoTextFull="",0,FIND("___"&amp;$D23&amp;"___",_xlpm._infoTextFull)+LEN("___"&amp;$D23&amp;"___")),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23" s="12" t="b" cm="1">
        <f t="array" aca="1" ref="AL23" ca="1">IF(OR($B23="",NOT($AD23)),FALSE,SimpleLookup($B23,Questions!$A:$Q))</f>
        <v>0</v>
      </c>
      <c r="AM23" s="12" t="str" cm="1">
        <f t="array" aca="1" ref="AM23" ca="1">IF(AND($B23=Questions!$A$41,IFERROR(SimpleLookup(Questions!$A$36,$B:$F)=Definitions!$O$5,FALSE),$D23=Definitions!$A$5),
Questions!$A$36&amp;" "&amp;Questions!$B$36&amp;CHAR(10)&amp;CHAR(187)&amp;" "&amp;SimpleLookup(Questions!$A$36,$B:$D)&amp;CHAR(10)&amp;SimpleLookup(Questions!$A$36,$B:$E)&amp;CHAR(10)&amp;CHAR(187)&amp;" "&amp;Definitions!$O$5&amp;CHAR(10)&amp;CHAR(10)&amp;
"is incosistent with"&amp;CHAR(10)&amp;CHAR(10)&amp;
$B23&amp;" "&amp;SimpleLookup($B23,Questions!$A:$B)&amp;CHAR(10)&amp;CHAR(187)&amp;" "&amp;$D23,
"")</f>
        <v/>
      </c>
      <c r="AN23" s="12" cm="1">
        <f t="array" aca="1" ref="AN23" ca="1">CreateID($AN$3,$AM23&lt;&gt;"")</f>
        <v>0</v>
      </c>
      <c r="AO23" s="12" t="str">
        <f ca="1">IF(OR($D23="",OFFSET($D23,1,0)=""),"",
IF(AND($B23=Questions!$A$59,OFFSET($B23,1,0)=Questions!$A$60),
IF(MATCH($D23,Definitions!$AW:$AW,0)&gt;MATCH(OFFSET($D23,1,0),Definitions!AW:AW,0),$B23&amp;" "&amp;$L23&amp;": "&amp;$D23&amp;CHAR(10)&amp;"&lt;---&gt;"&amp;CHAR(10)&amp;OFFSET($B23,1,0)&amp;" "&amp;OFFSET($L23,1,0)&amp;": "&amp;OFFSET($D23,1,0),""),
""))</f>
        <v/>
      </c>
      <c r="AP23" s="12" cm="1">
        <f t="array" aca="1" ref="AP23" ca="1">CreateID($AP$3,$AO23&lt;&gt;"")</f>
        <v>0</v>
      </c>
      <c r="AQ23" s="12" t="str" cm="1">
        <f t="array" ref="AQ23">IF($B23=Questions!$A$18,
  _xlfn.LET(
    _xlpm._impactValue7,IFERROR(SimpleLookup(SimpleLookup($F23,Definitions!$H:$J),Definitions!$Q:$R),0),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"&amp;$F23&amp;CHAR(10)&amp;"&lt;---&gt;"&amp;CHAR(10)&amp;Questions!$A$30&amp;": "&amp;_xlpm._impactName14,
        ""))),
  "")</f>
        <v/>
      </c>
      <c r="AR23" s="12" cm="1">
        <f t="array" aca="1" ref="AR23" ca="1">CreateID($AR$3,$AQ23&lt;&gt;"")</f>
        <v>0</v>
      </c>
    </row>
    <row r="24" spans="1:44" x14ac:dyDescent="0.25">
      <c r="A24" s="116"/>
      <c r="B24" s="68" t="s">
        <v>1003</v>
      </c>
      <c r="C24" s="4" t="str" cm="1">
        <f t="array" aca="1" ref="C24" ca="1">IF($B24="","",CreateIndentedString($L24,Definitions!$T$4,SimpleLookup($B24,Questions!$A:$C)))</f>
        <v xml:space="preserve">   Personal  data  /  IP</v>
      </c>
      <c r="J24" s="12" t="str">
        <f t="shared" ca="1" si="0"/>
        <v/>
      </c>
      <c r="K24" s="12" t="str">
        <f t="shared" ca="1" si="1"/>
        <v/>
      </c>
      <c r="L24" s="12" t="str" cm="1">
        <f t="array" aca="1" ref="L24" ca="1">SimpleLookup($B24,Questions!$A:$B)</f>
        <v>Personal data / IP</v>
      </c>
      <c r="M24" s="12" cm="1">
        <f t="array" aca="1" ref="M24" ca="1">CreateID($M$3,AND($B24&lt;&gt;"",$AD24))</f>
        <v>10</v>
      </c>
      <c r="N24" s="12" cm="1">
        <f t="array" ref="N24">CreateTaskID($N$3,$N:$N,Tasks!$B$17,$H24)</f>
        <v>0</v>
      </c>
      <c r="O24" s="12" t="str">
        <f t="shared" ca="1" si="2"/>
        <v/>
      </c>
      <c r="P24" s="12" cm="1">
        <f t="array" aca="1" ref="P24" ca="1">CreateID($P$3,$O24&lt;&gt;"")</f>
        <v>10</v>
      </c>
      <c r="Q24" s="12" t="str">
        <f t="shared" si="3"/>
        <v/>
      </c>
      <c r="R24" s="12" cm="1">
        <f t="array" aca="1" ref="R24" ca="1">CreateID($R$3,$Q24&lt;&gt;"")</f>
        <v>0</v>
      </c>
      <c r="S24" s="12" t="str">
        <f t="shared" si="4"/>
        <v/>
      </c>
      <c r="T24" s="12" cm="1">
        <f t="array" aca="1" ref="T24" ca="1">CreateID($T$3,$S24&lt;&gt;"")</f>
        <v>0</v>
      </c>
      <c r="U24" s="12" t="str">
        <f t="shared" ca="1" si="5"/>
        <v/>
      </c>
      <c r="V24" s="12" cm="1">
        <f t="array" aca="1" ref="V24" ca="1">CreateID($V$3,$U24&lt;&gt;"")</f>
        <v>0</v>
      </c>
      <c r="W24" s="12" cm="1">
        <f t="array" aca="1" ref="W24" ca="1">CreateID($W$3,IFERROR(FIND(Definitions!$AR$4,$H24)&gt;0,FALSE))</f>
        <v>0</v>
      </c>
      <c r="X24" s="12">
        <f>_xlfn.LET(
_xlpm._comment,$H24,
_xlpm._keyWord,Definitions!$AR$4,
_xlpm._diffLen,LEN(_xlpm._comment)-LEN(SUBSTITUTE(_xlpm._comment,_xlpm._keyWord,"")),
_xlpm._diffLen/LEN(_xlpm._keyWord))</f>
        <v>0</v>
      </c>
      <c r="Y24" s="12" cm="1">
        <f t="array" aca="1" ref="Y24" ca="1">CreateID($Y$3,IFERROR(FIND(Definitions!$AR$5,$H24)&gt;0,FALSE))</f>
        <v>0</v>
      </c>
      <c r="Z24" s="12">
        <f>_xlfn.LET(
_xlpm._comment,$H24,
_xlpm._keyWord,Definitions!$AR$5,
_xlpm._diffLen,LEN(_xlpm._comment)-LEN(SUBSTITUTE(_xlpm._comment,_xlpm._keyWord,"")),
_xlpm._diffLen/LEN(_xlpm._keyWord))</f>
        <v>0</v>
      </c>
      <c r="AA24" s="12" t="b">
        <f ca="1">OR(IFERROR(_xlfn.XMATCH("*,"&amp;$B24&amp;",*",Assumptions!$AH:$AH,2)&gt;0,FALSE),
IFERROR(_xlfn.XMATCH("*,"&amp;$B24&amp;",*",Countermeasures!$AK:$AK,2)&gt;0,FALSE))</f>
        <v>0</v>
      </c>
      <c r="AB24" s="12" t="str" cm="1">
        <f t="array" aca="1" ref="AB24" ca="1">CreateSearchString($J24)</f>
        <v/>
      </c>
      <c r="AC24" s="12" t="str" cm="1">
        <f t="array" ref="AC24">IF($F24="","",IFERROR(SimpleLookup($F24,Definitions!$H:$J),""))</f>
        <v/>
      </c>
      <c r="AD24" s="12" t="b" cm="1">
        <f t="array" aca="1" ref="AD24" ca="1">IF($B24="",FALSE,SimpleLookup($B24,Questions!$A:$D)="x")</f>
        <v>0</v>
      </c>
      <c r="AE24" s="12" t="str" cm="1">
        <f t="array" aca="1" ref="AE24" ca="1">IF(OR($B24="",NOT($AD24)),"",SimpleLookup($B24,Questions!$A:$E))</f>
        <v/>
      </c>
      <c r="AF24" s="12" t="str" cm="1">
        <f t="array" aca="1" ref="AF24" ca="1">IF(OR($B24="",NOT($AD24)),"",SimpleLookup($B24,Questions!$A:$F))</f>
        <v/>
      </c>
      <c r="AG24" s="12" t="str" cm="1">
        <f t="array" aca="1" ref="AG24" ca="1">_xlfn.LET(
_xlpm._answer,$D24,
_xlpm._infoTextFull,IF($AD24,CHAR(10)&amp;SimpleLookup($B24,Questions!$A:$H)&amp;CHAR(10),""),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24" s="12" t="b" cm="1">
        <f t="array" aca="1" ref="AH24" ca="1">IF(OR($B24="",NOT($AD24)),FALSE,_xlfn.LET(
_xlpm._secondAnswerRequiredOn,SimpleLookup($B24,Questions!$A:$I),
_xlpm._firstAnwer,$D24,
IFERROR(FIND(CHAR(10)&amp;_xlpm._firstAnwer&amp;":",CHAR(10)&amp;_xlpm._secondAnswerRequiredOn)&gt;0,FALSE)))</f>
        <v>0</v>
      </c>
      <c r="AI24" s="12" t="str" cm="1">
        <f t="array" aca="1" ref="AI24" ca="1">IF(OR($B24="",NOT($AD24)),"",_xlfn.LET(
_xlpm._id,$B24,
_xlpm._firstAnswer,$D24,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24" s="12" t="str" cm="1">
        <f t="array" aca="1" ref="AJ24" ca="1">IF(OR($B24="",NOT($AD24)),"",_xlfn.LET(
_xlpm._id,$B24,
_xlpm._firstAnswer,$D24,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24" s="12" t="str" cm="1">
        <f t="array" aca="1" ref="AK24" ca="1">IF($AH24,_xlfn.LET(
_xlpm._answer,$F24,
_xlpm._infoTextFull,IF($AD24,CHAR(10)&amp;SimpleLookup($B24,Questions!$A:$L)&amp;CHAR(10),""),
_xlpm._startSelectedByAnswerOne,IF(_xlpm._infoTextFull="",0,FIND("___"&amp;$D24&amp;"___",_xlpm._infoTextFull)+LEN("___"&amp;$D24&amp;"___")),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24" s="12" t="b" cm="1">
        <f t="array" aca="1" ref="AL24" ca="1">IF(OR($B24="",NOT($AD24)),FALSE,SimpleLookup($B24,Questions!$A:$Q))</f>
        <v>0</v>
      </c>
      <c r="AM24" s="12" t="str" cm="1">
        <f t="array" aca="1" ref="AM24" ca="1">IF(AND($B24=Questions!$A$41,IFERROR(SimpleLookup(Questions!$A$36,$B:$F)=Definitions!$O$5,FALSE),$D24=Definitions!$A$5),
Questions!$A$36&amp;" "&amp;Questions!$B$36&amp;CHAR(10)&amp;CHAR(187)&amp;" "&amp;SimpleLookup(Questions!$A$36,$B:$D)&amp;CHAR(10)&amp;SimpleLookup(Questions!$A$36,$B:$E)&amp;CHAR(10)&amp;CHAR(187)&amp;" "&amp;Definitions!$O$5&amp;CHAR(10)&amp;CHAR(10)&amp;
"is incosistent with"&amp;CHAR(10)&amp;CHAR(10)&amp;
$B24&amp;" "&amp;SimpleLookup($B24,Questions!$A:$B)&amp;CHAR(10)&amp;CHAR(187)&amp;" "&amp;$D24,
"")</f>
        <v/>
      </c>
      <c r="AN24" s="12" cm="1">
        <f t="array" aca="1" ref="AN24" ca="1">CreateID($AN$3,$AM24&lt;&gt;"")</f>
        <v>0</v>
      </c>
      <c r="AO24" s="12" t="str">
        <f ca="1">IF(OR($D24="",OFFSET($D24,1,0)=""),"",
IF(AND($B24=Questions!$A$59,OFFSET($B24,1,0)=Questions!$A$60),
IF(MATCH($D24,Definitions!$AW:$AW,0)&gt;MATCH(OFFSET($D24,1,0),Definitions!AW:AW,0),$B24&amp;" "&amp;$L24&amp;": "&amp;$D24&amp;CHAR(10)&amp;"&lt;---&gt;"&amp;CHAR(10)&amp;OFFSET($B24,1,0)&amp;" "&amp;OFFSET($L24,1,0)&amp;": "&amp;OFFSET($D24,1,0),""),
""))</f>
        <v/>
      </c>
      <c r="AP24" s="12" cm="1">
        <f t="array" aca="1" ref="AP24" ca="1">CreateID($AP$3,$AO24&lt;&gt;"")</f>
        <v>0</v>
      </c>
      <c r="AQ24" s="12" t="str" cm="1">
        <f t="array" ref="AQ24">IF($B24=Questions!$A$18,
  _xlfn.LET(
    _xlpm._impactValue7,IFERROR(SimpleLookup(SimpleLookup($F24,Definitions!$H:$J),Definitions!$Q:$R),0),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"&amp;$F24&amp;CHAR(10)&amp;"&lt;---&gt;"&amp;CHAR(10)&amp;Questions!$A$30&amp;": "&amp;_xlpm._impactName14,
        ""))),
  "")</f>
        <v/>
      </c>
      <c r="AR24" s="12" cm="1">
        <f t="array" aca="1" ref="AR24" ca="1">CreateID($AR$3,$AQ24&lt;&gt;"")</f>
        <v>0</v>
      </c>
    </row>
    <row r="25" spans="1:44" ht="75" x14ac:dyDescent="0.25">
      <c r="A25" s="116" t="str">
        <f ca="1">HYPERLINK("#'"&amp;Helper!$G$22&amp;"'!A"&amp;MATCH($B25,'Answering Guideline'!$A:$A,0),Definitions!$AY$4)</f>
        <v>◈</v>
      </c>
      <c r="B25" s="68" t="s">
        <v>905</v>
      </c>
      <c r="C25" s="4" t="str" cm="1">
        <f t="array" aca="1" ref="C25" ca="1">IF($B25="","",CreateIndentedString($L25,Definitions!$T$4,SimpleLookup($B25,Questions!$A:$C)))</f>
        <v xml:space="preserve">      Can  a  manipulated  product  disclose  personal  data
      to  an  attacker?  Also  consider  cases  where  the
      product  is  used  against  its  intended  use  or
      misconfigured!</v>
      </c>
      <c r="E25" s="7" t="str">
        <f ca="1">$AG25</f>
        <v/>
      </c>
      <c r="G25" s="7" t="str">
        <f ca="1">$AK25</f>
        <v/>
      </c>
      <c r="J25" s="12" t="str">
        <f t="shared" ca="1" si="0"/>
        <v>QI11[]</v>
      </c>
      <c r="K25" s="12" t="str">
        <f t="shared" ca="1" si="1"/>
        <v>QI11[]</v>
      </c>
      <c r="L25" s="12" t="str" cm="1">
        <f t="array" aca="1" ref="L25" ca="1">SimpleLookup($B25,Questions!$A:$B)</f>
        <v>Can a manipulated product disclose personal data to an attacker? Also consider cases where the product is used against its intended use or misconfigured!</v>
      </c>
      <c r="M25" s="12" cm="1">
        <f t="array" aca="1" ref="M25" ca="1">CreateID($M$3,AND($B25&lt;&gt;"",$AD25))</f>
        <v>11</v>
      </c>
      <c r="N25" s="12" cm="1">
        <f t="array" ref="N25">CreateTaskID($N$3,$N:$N,Tasks!$B$17,$H25)</f>
        <v>0</v>
      </c>
      <c r="O25" s="12" t="str">
        <f t="shared" ca="1" si="2"/>
        <v>QI11 Can a manipulated product disclose personal data to an attacker? Also consider cases where the product is used against its intended use or misconfigured!</v>
      </c>
      <c r="P25" s="12" cm="1">
        <f t="array" aca="1" ref="P25" ca="1">CreateID($P$3,$O25&lt;&gt;"")</f>
        <v>11</v>
      </c>
      <c r="Q25" s="12" t="str">
        <f t="shared" ca="1" si="3"/>
        <v/>
      </c>
      <c r="R25" s="12" cm="1">
        <f t="array" aca="1" ref="R25" ca="1">CreateID($R$3,$Q25&lt;&gt;"")</f>
        <v>0</v>
      </c>
      <c r="S25" s="12" t="str">
        <f t="shared" ca="1" si="4"/>
        <v/>
      </c>
      <c r="T25" s="12" cm="1">
        <f t="array" aca="1" ref="T25" ca="1">CreateID($T$3,$S25&lt;&gt;"")</f>
        <v>0</v>
      </c>
      <c r="U25" s="12" t="str">
        <f t="shared" ca="1" si="5"/>
        <v/>
      </c>
      <c r="V25" s="12" cm="1">
        <f t="array" aca="1" ref="V25" ca="1">CreateID($V$3,$U25&lt;&gt;"")</f>
        <v>0</v>
      </c>
      <c r="W25" s="12" cm="1">
        <f t="array" aca="1" ref="W25" ca="1">CreateID($W$3,IFERROR(FIND(Definitions!$AR$4,$H25)&gt;0,FALSE))</f>
        <v>0</v>
      </c>
      <c r="X25" s="12">
        <f>_xlfn.LET(
_xlpm._comment,$H25,
_xlpm._keyWord,Definitions!$AR$4,
_xlpm._diffLen,LEN(_xlpm._comment)-LEN(SUBSTITUTE(_xlpm._comment,_xlpm._keyWord,"")),
_xlpm._diffLen/LEN(_xlpm._keyWord))</f>
        <v>0</v>
      </c>
      <c r="Y25" s="12" cm="1">
        <f t="array" aca="1" ref="Y25" ca="1">CreateID($Y$3,IFERROR(FIND(Definitions!$AR$5,$H25)&gt;0,FALSE))</f>
        <v>0</v>
      </c>
      <c r="Z25" s="12">
        <f>_xlfn.LET(
_xlpm._comment,$H25,
_xlpm._keyWord,Definitions!$AR$5,
_xlpm._diffLen,LEN(_xlpm._comment)-LEN(SUBSTITUTE(_xlpm._comment,_xlpm._keyWord,"")),
_xlpm._diffLen/LEN(_xlpm._keyWord))</f>
        <v>0</v>
      </c>
      <c r="AA25" s="12" t="b">
        <f ca="1">OR(IFERROR(_xlfn.XMATCH("*,"&amp;$B25&amp;",*",Assumptions!$AH:$AH,2)&gt;0,FALSE),
IFERROR(_xlfn.XMATCH("*,"&amp;$B25&amp;",*",Countermeasures!$AK:$AK,2)&gt;0,FALSE))</f>
        <v>0</v>
      </c>
      <c r="AB25" s="12" t="str" cm="1">
        <f t="array" aca="1" ref="AB25" ca="1">CreateSearchString($J25)</f>
        <v>,QI11[],</v>
      </c>
      <c r="AC25" s="12" t="str" cm="1">
        <f t="array" ref="AC25">IF($F25="","",IFERROR(SimpleLookup($F25,Definitions!$H:$J),""))</f>
        <v/>
      </c>
      <c r="AD25" s="12" t="b" cm="1">
        <f t="array" aca="1" ref="AD25" ca="1">IF($B25="",FALSE,SimpleLookup($B25,Questions!$A:$D)="x")</f>
        <v>1</v>
      </c>
      <c r="AE25" s="12" t="str" cm="1">
        <f t="array" aca="1" ref="AE25" ca="1">IF(OR($B25="",NOT($AD25)),"",SimpleLookup($B25,Questions!$A:$E))</f>
        <v>'[QuBA-libre.xlsx]Definitions'!$A$4</v>
      </c>
      <c r="AF25" s="12" cm="1">
        <f t="array" aca="1" ref="AF25" ca="1">IF(OR($B25="",NOT($AD25)),"",SimpleLookup($B25,Questions!$A:$F))</f>
        <v>2</v>
      </c>
      <c r="AG25" s="12" t="str" cm="1">
        <f t="array" aca="1" ref="AG25" ca="1">_xlfn.LET(
_xlpm._answer,$D25,
_xlpm._infoTextFull,IF($AD25,CHAR(10)&amp;SimpleLookup($B25,Questions!$A:$H)&amp;CHAR(10),""),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25" s="12" t="b" cm="1">
        <f t="array" aca="1" ref="AH25" ca="1">IF(OR($B25="",NOT($AD25)),FALSE,_xlfn.LET(
_xlpm._secondAnswerRequiredOn,SimpleLookup($B25,Questions!$A:$I),
_xlpm._firstAnwer,$D25,
IFERROR(FIND(CHAR(10)&amp;_xlpm._firstAnwer&amp;":",CHAR(10)&amp;_xlpm._secondAnswerRequiredOn)&gt;0,FALSE)))</f>
        <v>0</v>
      </c>
      <c r="AI25" s="12" t="str" cm="1">
        <f t="array" aca="1" ref="AI25" ca="1">IF(OR($B25="",NOT($AD25)),"",_xlfn.LET(
_xlpm._id,$B25,
_xlpm._firstAnswer,$D25,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'[QuBA-libre.xlsx]Definitions'!$H$4</v>
      </c>
      <c r="AJ25" s="12" cm="1">
        <f t="array" aca="1" ref="AJ25" ca="1">IF(OR($B25="",NOT($AD25)),"",_xlfn.LET(
_xlpm._id,$B25,
_xlpm._firstAnswer,$D25,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3</v>
      </c>
      <c r="AK25" s="12" t="str" cm="1">
        <f t="array" aca="1" ref="AK25" ca="1">IF($AH25,_xlfn.LET(
_xlpm._answer,$F25,
_xlpm._infoTextFull,IF($AD25,CHAR(10)&amp;SimpleLookup($B25,Questions!$A:$L)&amp;CHAR(10),""),
_xlpm._startSelectedByAnswerOne,IF(_xlpm._infoTextFull="",0,FIND("___"&amp;$D25&amp;"___",_xlpm._infoTextFull)+LEN("___"&amp;$D25&amp;"___")),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25" s="12" t="b" cm="1">
        <f t="array" aca="1" ref="AL25" ca="1">IF(OR($B25="",NOT($AD25)),FALSE,SimpleLookup($B25,Questions!$A:$Q))</f>
        <v>0</v>
      </c>
      <c r="AM25" s="12" t="str" cm="1">
        <f t="array" aca="1" ref="AM25" ca="1">IF(AND($B25=Questions!$A$41,IFERROR(SimpleLookup(Questions!$A$36,$B:$F)=Definitions!$O$5,FALSE),$D25=Definitions!$A$5),
Questions!$A$36&amp;" "&amp;Questions!$B$36&amp;CHAR(10)&amp;CHAR(187)&amp;" "&amp;SimpleLookup(Questions!$A$36,$B:$D)&amp;CHAR(10)&amp;SimpleLookup(Questions!$A$36,$B:$E)&amp;CHAR(10)&amp;CHAR(187)&amp;" "&amp;Definitions!$O$5&amp;CHAR(10)&amp;CHAR(10)&amp;
"is incosistent with"&amp;CHAR(10)&amp;CHAR(10)&amp;
$B25&amp;" "&amp;SimpleLookup($B25,Questions!$A:$B)&amp;CHAR(10)&amp;CHAR(187)&amp;" "&amp;$D25,
"")</f>
        <v/>
      </c>
      <c r="AN25" s="12" cm="1">
        <f t="array" aca="1" ref="AN25" ca="1">CreateID($AN$3,$AM25&lt;&gt;"")</f>
        <v>0</v>
      </c>
      <c r="AO25" s="12" t="str">
        <f ca="1">IF(OR($D25="",OFFSET($D25,1,0)=""),"",
IF(AND($B25=Questions!$A$59,OFFSET($B25,1,0)=Questions!$A$60),
IF(MATCH($D25,Definitions!$AW:$AW,0)&gt;MATCH(OFFSET($D25,1,0),Definitions!AW:AW,0),$B25&amp;" "&amp;$L25&amp;": "&amp;$D25&amp;CHAR(10)&amp;"&lt;---&gt;"&amp;CHAR(10)&amp;OFFSET($B25,1,0)&amp;" "&amp;OFFSET($L25,1,0)&amp;": "&amp;OFFSET($D25,1,0),""),
""))</f>
        <v/>
      </c>
      <c r="AP25" s="12" cm="1">
        <f t="array" aca="1" ref="AP25" ca="1">CreateID($AP$3,$AO25&lt;&gt;"")</f>
        <v>0</v>
      </c>
      <c r="AQ25" s="12" t="str" cm="1">
        <f t="array" ref="AQ25">IF($B25=Questions!$A$18,
  _xlfn.LET(
    _xlpm._impactValue7,IFERROR(SimpleLookup(SimpleLookup($F25,Definitions!$H:$J),Definitions!$Q:$R),0),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"&amp;$F25&amp;CHAR(10)&amp;"&lt;---&gt;"&amp;CHAR(10)&amp;Questions!$A$30&amp;": "&amp;_xlpm._impactName14,
        ""))),
  "")</f>
        <v/>
      </c>
      <c r="AR25" s="12" cm="1">
        <f t="array" aca="1" ref="AR25" ca="1">CreateID($AR$3,$AQ25&lt;&gt;"")</f>
        <v>0</v>
      </c>
    </row>
    <row r="26" spans="1:44" ht="105" x14ac:dyDescent="0.25">
      <c r="A26" s="116" t="str">
        <f ca="1">HYPERLINK("#'"&amp;Helper!$G$22&amp;"'!A"&amp;MATCH($B26,'Answering Guideline'!$A:$A,0),Definitions!$AY$4)</f>
        <v>◈</v>
      </c>
      <c r="B26" s="68" t="s">
        <v>904</v>
      </c>
      <c r="C26" s="4" t="str" cm="1">
        <f t="array" aca="1" ref="C26" ca="1">IF($B26="","",CreateIndentedString($L26,Definitions!$T$4,SimpleLookup($B26,Questions!$A:$C)))</f>
        <v xml:space="preserve">      Can  a  manipulated  product  disclose  intellectual
      property  to  an  attacker?  Also  consider  cases
      where  the  product  is  used  against  its  intended
      use  or  misconfigured!
      Note  that  this  includes
      both  &lt;&lt;  OEM  Name  &gt;&gt;  and  customer  IP.</v>
      </c>
      <c r="E26" s="7" t="str">
        <f ca="1">$AG26</f>
        <v/>
      </c>
      <c r="G26" s="7" t="str">
        <f ca="1">$AK26</f>
        <v/>
      </c>
      <c r="J26" s="12" t="str">
        <f t="shared" ca="1" si="0"/>
        <v>QI12[]</v>
      </c>
      <c r="K26" s="12" t="str">
        <f t="shared" ca="1" si="1"/>
        <v>QI12[]</v>
      </c>
      <c r="L26" s="12" t="str" cm="1">
        <f t="array" aca="1" ref="L26" ca="1">SimpleLookup($B26,Questions!$A:$B)</f>
        <v>Can a manipulated product disclose intellectual property to an attacker? Also consider cases where the product is used against its intended use or misconfigured!
Note that this includes both &lt;&lt; OEM Name &gt;&gt; and customer IP.</v>
      </c>
      <c r="M26" s="12" cm="1">
        <f t="array" aca="1" ref="M26" ca="1">CreateID($M$3,AND($B26&lt;&gt;"",$AD26))</f>
        <v>12</v>
      </c>
      <c r="N26" s="12" cm="1">
        <f t="array" ref="N26">CreateTaskID($N$3,$N:$N,Tasks!$B$17,$H26)</f>
        <v>0</v>
      </c>
      <c r="O26" s="12" t="str">
        <f t="shared" ca="1" si="2"/>
        <v>QI12 Can a manipulated product disclose intellectual property to an attacker? Also consider cases where the product is used against its intended use or misconfigured!
Note that this includes both &lt;&lt; OEM Name &gt;&gt; and customer IP.</v>
      </c>
      <c r="P26" s="12" cm="1">
        <f t="array" aca="1" ref="P26" ca="1">CreateID($P$3,$O26&lt;&gt;"")</f>
        <v>12</v>
      </c>
      <c r="Q26" s="12" t="str">
        <f t="shared" ca="1" si="3"/>
        <v/>
      </c>
      <c r="R26" s="12" cm="1">
        <f t="array" aca="1" ref="R26" ca="1">CreateID($R$3,$Q26&lt;&gt;"")</f>
        <v>0</v>
      </c>
      <c r="S26" s="12" t="str">
        <f t="shared" ca="1" si="4"/>
        <v/>
      </c>
      <c r="T26" s="12" cm="1">
        <f t="array" aca="1" ref="T26" ca="1">CreateID($T$3,$S26&lt;&gt;"")</f>
        <v>0</v>
      </c>
      <c r="U26" s="12" t="str">
        <f t="shared" ca="1" si="5"/>
        <v/>
      </c>
      <c r="V26" s="12" cm="1">
        <f t="array" aca="1" ref="V26" ca="1">CreateID($V$3,$U26&lt;&gt;"")</f>
        <v>0</v>
      </c>
      <c r="W26" s="12" cm="1">
        <f t="array" aca="1" ref="W26" ca="1">CreateID($W$3,IFERROR(FIND(Definitions!$AR$4,$H26)&gt;0,FALSE))</f>
        <v>0</v>
      </c>
      <c r="X26" s="12">
        <f>_xlfn.LET(
_xlpm._comment,$H26,
_xlpm._keyWord,Definitions!$AR$4,
_xlpm._diffLen,LEN(_xlpm._comment)-LEN(SUBSTITUTE(_xlpm._comment,_xlpm._keyWord,"")),
_xlpm._diffLen/LEN(_xlpm._keyWord))</f>
        <v>0</v>
      </c>
      <c r="Y26" s="12" cm="1">
        <f t="array" aca="1" ref="Y26" ca="1">CreateID($Y$3,IFERROR(FIND(Definitions!$AR$5,$H26)&gt;0,FALSE))</f>
        <v>0</v>
      </c>
      <c r="Z26" s="12">
        <f>_xlfn.LET(
_xlpm._comment,$H26,
_xlpm._keyWord,Definitions!$AR$5,
_xlpm._diffLen,LEN(_xlpm._comment)-LEN(SUBSTITUTE(_xlpm._comment,_xlpm._keyWord,"")),
_xlpm._diffLen/LEN(_xlpm._keyWord))</f>
        <v>0</v>
      </c>
      <c r="AA26" s="12" t="b">
        <f ca="1">OR(IFERROR(_xlfn.XMATCH("*,"&amp;$B26&amp;",*",Assumptions!$AH:$AH,2)&gt;0,FALSE),
IFERROR(_xlfn.XMATCH("*,"&amp;$B26&amp;",*",Countermeasures!$AK:$AK,2)&gt;0,FALSE))</f>
        <v>0</v>
      </c>
      <c r="AB26" s="12" t="str" cm="1">
        <f t="array" aca="1" ref="AB26" ca="1">CreateSearchString($J26)</f>
        <v>,QI12[],</v>
      </c>
      <c r="AC26" s="12" t="str" cm="1">
        <f t="array" ref="AC26">IF($F26="","",IFERROR(SimpleLookup($F26,Definitions!$H:$J),""))</f>
        <v/>
      </c>
      <c r="AD26" s="12" t="b" cm="1">
        <f t="array" aca="1" ref="AD26" ca="1">IF($B26="",FALSE,SimpleLookup($B26,Questions!$A:$D)="x")</f>
        <v>1</v>
      </c>
      <c r="AE26" s="12" t="str" cm="1">
        <f t="array" aca="1" ref="AE26" ca="1">IF(OR($B26="",NOT($AD26)),"",SimpleLookup($B26,Questions!$A:$E))</f>
        <v>'[QuBA-libre.xlsx]Definitions'!$A$4</v>
      </c>
      <c r="AF26" s="12" cm="1">
        <f t="array" aca="1" ref="AF26" ca="1">IF(OR($B26="",NOT($AD26)),"",SimpleLookup($B26,Questions!$A:$F))</f>
        <v>2</v>
      </c>
      <c r="AG26" s="12" t="str" cm="1">
        <f t="array" aca="1" ref="AG26" ca="1">_xlfn.LET(
_xlpm._answer,$D26,
_xlpm._infoTextFull,IF($AD26,CHAR(10)&amp;SimpleLookup($B26,Questions!$A:$H)&amp;CHAR(10),""),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26" s="12" t="b" cm="1">
        <f t="array" aca="1" ref="AH26" ca="1">IF(OR($B26="",NOT($AD26)),FALSE,_xlfn.LET(
_xlpm._secondAnswerRequiredOn,SimpleLookup($B26,Questions!$A:$I),
_xlpm._firstAnwer,$D26,
IFERROR(FIND(CHAR(10)&amp;_xlpm._firstAnwer&amp;":",CHAR(10)&amp;_xlpm._secondAnswerRequiredOn)&gt;0,FALSE)))</f>
        <v>0</v>
      </c>
      <c r="AI26" s="12" t="str" cm="1">
        <f t="array" aca="1" ref="AI26" ca="1">IF(OR($B26="",NOT($AD26)),"",_xlfn.LET(
_xlpm._id,$B26,
_xlpm._firstAnswer,$D26,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'[QuBA-libre.xlsx]Definitions'!$H$7</v>
      </c>
      <c r="AJ26" s="12" cm="1">
        <f t="array" aca="1" ref="AJ26" ca="1">IF(OR($B26="",NOT($AD26)),"",_xlfn.LET(
_xlpm._id,$B26,
_xlpm._firstAnswer,$D26,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3</v>
      </c>
      <c r="AK26" s="12" t="str" cm="1">
        <f t="array" aca="1" ref="AK26" ca="1">IF($AH26,_xlfn.LET(
_xlpm._answer,$F26,
_xlpm._infoTextFull,IF($AD26,CHAR(10)&amp;SimpleLookup($B26,Questions!$A:$L)&amp;CHAR(10),""),
_xlpm._startSelectedByAnswerOne,IF(_xlpm._infoTextFull="",0,FIND("___"&amp;$D26&amp;"___",_xlpm._infoTextFull)+LEN("___"&amp;$D26&amp;"___")),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26" s="12" t="b" cm="1">
        <f t="array" aca="1" ref="AL26" ca="1">IF(OR($B26="",NOT($AD26)),FALSE,SimpleLookup($B26,Questions!$A:$Q))</f>
        <v>0</v>
      </c>
      <c r="AM26" s="12" t="str" cm="1">
        <f t="array" aca="1" ref="AM26" ca="1">IF(AND($B26=Questions!$A$41,IFERROR(SimpleLookup(Questions!$A$36,$B:$F)=Definitions!$O$5,FALSE),$D26=Definitions!$A$5),
Questions!$A$36&amp;" "&amp;Questions!$B$36&amp;CHAR(10)&amp;CHAR(187)&amp;" "&amp;SimpleLookup(Questions!$A$36,$B:$D)&amp;CHAR(10)&amp;SimpleLookup(Questions!$A$36,$B:$E)&amp;CHAR(10)&amp;CHAR(187)&amp;" "&amp;Definitions!$O$5&amp;CHAR(10)&amp;CHAR(10)&amp;
"is incosistent with"&amp;CHAR(10)&amp;CHAR(10)&amp;
$B26&amp;" "&amp;SimpleLookup($B26,Questions!$A:$B)&amp;CHAR(10)&amp;CHAR(187)&amp;" "&amp;$D26,
"")</f>
        <v/>
      </c>
      <c r="AN26" s="12" cm="1">
        <f t="array" aca="1" ref="AN26" ca="1">CreateID($AN$3,$AM26&lt;&gt;"")</f>
        <v>0</v>
      </c>
      <c r="AO26" s="12" t="str">
        <f ca="1">IF(OR($D26="",OFFSET($D26,1,0)=""),"",
IF(AND($B26=Questions!$A$59,OFFSET($B26,1,0)=Questions!$A$60),
IF(MATCH($D26,Definitions!$AW:$AW,0)&gt;MATCH(OFFSET($D26,1,0),Definitions!AW:AW,0),$B26&amp;" "&amp;$L26&amp;": "&amp;$D26&amp;CHAR(10)&amp;"&lt;---&gt;"&amp;CHAR(10)&amp;OFFSET($B26,1,0)&amp;" "&amp;OFFSET($L26,1,0)&amp;": "&amp;OFFSET($D26,1,0),""),
""))</f>
        <v/>
      </c>
      <c r="AP26" s="12" cm="1">
        <f t="array" aca="1" ref="AP26" ca="1">CreateID($AP$3,$AO26&lt;&gt;"")</f>
        <v>0</v>
      </c>
      <c r="AQ26" s="12" t="str" cm="1">
        <f t="array" ref="AQ26">IF($B26=Questions!$A$18,
  _xlfn.LET(
    _xlpm._impactValue7,IFERROR(SimpleLookup(SimpleLookup($F26,Definitions!$H:$J),Definitions!$Q:$R),0),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"&amp;$F26&amp;CHAR(10)&amp;"&lt;---&gt;"&amp;CHAR(10)&amp;Questions!$A$30&amp;": "&amp;_xlpm._impactName14,
        ""))),
  "")</f>
        <v/>
      </c>
      <c r="AR26" s="12" cm="1">
        <f t="array" aca="1" ref="AR26" ca="1">CreateID($AR$3,$AQ26&lt;&gt;"")</f>
        <v>0</v>
      </c>
    </row>
    <row r="27" spans="1:44" ht="90" x14ac:dyDescent="0.25">
      <c r="A27" s="116" t="str">
        <f ca="1">HYPERLINK("#'"&amp;Helper!$G$22&amp;"'!A"&amp;MATCH($B27,'Answering Guideline'!$A:$A,0),Definitions!$AY$4)</f>
        <v>◈</v>
      </c>
      <c r="B27" s="68" t="s">
        <v>903</v>
      </c>
      <c r="C27" s="4" t="str" cm="1">
        <f t="array" aca="1" ref="C27" ca="1">IF($B27="","",CreateIndentedString($L27,Definitions!$T$4,SimpleLookup($B27,Questions!$A:$C)))</f>
        <v xml:space="preserve">      Can  a  manipulated  product  disclose  credentials  /
      cryptographic  material  to  an  attacker?  Also
      consider  cases  where  the  product  does  not
      disclose  the  material  but  misuses  its  access  to
      other  systems!  (E.g.,  product  contains  access
      credentials  to  store  data  on  a  server.)</v>
      </c>
      <c r="E27" s="7" t="str">
        <f ca="1">$AG27</f>
        <v/>
      </c>
      <c r="G27" s="7" t="str">
        <f ca="1">$AK27</f>
        <v/>
      </c>
      <c r="J27" s="12" t="str">
        <f t="shared" ca="1" si="0"/>
        <v>QI13[]</v>
      </c>
      <c r="K27" s="12" t="str">
        <f t="shared" ca="1" si="1"/>
        <v>QI13[]</v>
      </c>
      <c r="L27" s="12" t="str" cm="1">
        <f t="array" aca="1" ref="L27" ca="1">SimpleLookup($B27,Questions!$A:$B)</f>
        <v>Can a manipulated product disclose credentials / cryptographic material to an attacker? Also consider cases where the product does not disclose the material but misuses its access to other systems! (E.g., product contains access credentials to store data on a server.)</v>
      </c>
      <c r="M27" s="12" cm="1">
        <f t="array" aca="1" ref="M27" ca="1">CreateID($M$3,AND($B27&lt;&gt;"",$AD27))</f>
        <v>13</v>
      </c>
      <c r="N27" s="12" cm="1">
        <f t="array" ref="N27">CreateTaskID($N$3,$N:$N,Tasks!$B$17,$H27)</f>
        <v>0</v>
      </c>
      <c r="O27" s="12" t="str">
        <f t="shared" ca="1" si="2"/>
        <v>QI13 Can a manipulated product disclose credentials / cryptographic material to an attacker? Also consider cases where the product does not disclose the material but misuses its access to other systems! (E.g., product contains access credentials to store data on a server.)</v>
      </c>
      <c r="P27" s="12" cm="1">
        <f t="array" aca="1" ref="P27" ca="1">CreateID($P$3,$O27&lt;&gt;"")</f>
        <v>13</v>
      </c>
      <c r="Q27" s="12" t="str">
        <f t="shared" ca="1" si="3"/>
        <v/>
      </c>
      <c r="R27" s="12" cm="1">
        <f t="array" aca="1" ref="R27" ca="1">CreateID($R$3,$Q27&lt;&gt;"")</f>
        <v>0</v>
      </c>
      <c r="S27" s="12" t="str">
        <f t="shared" ca="1" si="4"/>
        <v/>
      </c>
      <c r="T27" s="12" cm="1">
        <f t="array" aca="1" ref="T27" ca="1">CreateID($T$3,$S27&lt;&gt;"")</f>
        <v>0</v>
      </c>
      <c r="U27" s="12" t="str">
        <f t="shared" ca="1" si="5"/>
        <v/>
      </c>
      <c r="V27" s="12" cm="1">
        <f t="array" aca="1" ref="V27" ca="1">CreateID($V$3,$U27&lt;&gt;"")</f>
        <v>0</v>
      </c>
      <c r="W27" s="12" cm="1">
        <f t="array" aca="1" ref="W27" ca="1">CreateID($W$3,IFERROR(FIND(Definitions!$AR$4,$H27)&gt;0,FALSE))</f>
        <v>0</v>
      </c>
      <c r="X27" s="12">
        <f>_xlfn.LET(
_xlpm._comment,$H27,
_xlpm._keyWord,Definitions!$AR$4,
_xlpm._diffLen,LEN(_xlpm._comment)-LEN(SUBSTITUTE(_xlpm._comment,_xlpm._keyWord,"")),
_xlpm._diffLen/LEN(_xlpm._keyWord))</f>
        <v>0</v>
      </c>
      <c r="Y27" s="12" cm="1">
        <f t="array" aca="1" ref="Y27" ca="1">CreateID($Y$3,IFERROR(FIND(Definitions!$AR$5,$H27)&gt;0,FALSE))</f>
        <v>0</v>
      </c>
      <c r="Z27" s="12">
        <f>_xlfn.LET(
_xlpm._comment,$H27,
_xlpm._keyWord,Definitions!$AR$5,
_xlpm._diffLen,LEN(_xlpm._comment)-LEN(SUBSTITUTE(_xlpm._comment,_xlpm._keyWord,"")),
_xlpm._diffLen/LEN(_xlpm._keyWord))</f>
        <v>0</v>
      </c>
      <c r="AA27" s="12" t="b">
        <f ca="1">OR(IFERROR(_xlfn.XMATCH("*,"&amp;$B27&amp;",*",Assumptions!$AH:$AH,2)&gt;0,FALSE),
IFERROR(_xlfn.XMATCH("*,"&amp;$B27&amp;",*",Countermeasures!$AK:$AK,2)&gt;0,FALSE))</f>
        <v>0</v>
      </c>
      <c r="AB27" s="12" t="str" cm="1">
        <f t="array" aca="1" ref="AB27" ca="1">CreateSearchString($J27)</f>
        <v>,QI13[],</v>
      </c>
      <c r="AC27" s="12" t="str" cm="1">
        <f t="array" ref="AC27">IF($F27="","",IFERROR(SimpleLookup($F27,Definitions!$H:$J),""))</f>
        <v/>
      </c>
      <c r="AD27" s="12" t="b" cm="1">
        <f t="array" aca="1" ref="AD27" ca="1">IF($B27="",FALSE,SimpleLookup($B27,Questions!$A:$D)="x")</f>
        <v>1</v>
      </c>
      <c r="AE27" s="12" t="str" cm="1">
        <f t="array" aca="1" ref="AE27" ca="1">IF(OR($B27="",NOT($AD27)),"",SimpleLookup($B27,Questions!$A:$E))</f>
        <v>'[QuBA-libre.xlsx]Definitions'!$A$4</v>
      </c>
      <c r="AF27" s="12" cm="1">
        <f t="array" aca="1" ref="AF27" ca="1">IF(OR($B27="",NOT($AD27)),"",SimpleLookup($B27,Questions!$A:$F))</f>
        <v>2</v>
      </c>
      <c r="AG27" s="12" t="str" cm="1">
        <f t="array" aca="1" ref="AG27" ca="1">_xlfn.LET(
_xlpm._answer,$D27,
_xlpm._infoTextFull,IF($AD27,CHAR(10)&amp;SimpleLookup($B27,Questions!$A:$H)&amp;CHAR(10),""),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27" s="12" t="b" cm="1">
        <f t="array" aca="1" ref="AH27" ca="1">IF(OR($B27="",NOT($AD27)),FALSE,_xlfn.LET(
_xlpm._secondAnswerRequiredOn,SimpleLookup($B27,Questions!$A:$I),
_xlpm._firstAnwer,$D27,
IFERROR(FIND(CHAR(10)&amp;_xlpm._firstAnwer&amp;":",CHAR(10)&amp;_xlpm._secondAnswerRequiredOn)&gt;0,FALSE)))</f>
        <v>0</v>
      </c>
      <c r="AI27" s="12" t="str" cm="1">
        <f t="array" aca="1" ref="AI27" ca="1">IF(OR($B27="",NOT($AD27)),"",_xlfn.LET(
_xlpm._id,$B27,
_xlpm._firstAnswer,$D27,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'[QuBA-libre.xlsx]Definitions'!$H$4</v>
      </c>
      <c r="AJ27" s="12" cm="1">
        <f t="array" aca="1" ref="AJ27" ca="1">IF(OR($B27="",NOT($AD27)),"",_xlfn.LET(
_xlpm._id,$B27,
_xlpm._firstAnswer,$D27,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20</v>
      </c>
      <c r="AK27" s="12" t="str" cm="1">
        <f t="array" aca="1" ref="AK27" ca="1">IF($AH27,_xlfn.LET(
_xlpm._answer,$F27,
_xlpm._infoTextFull,IF($AD27,CHAR(10)&amp;SimpleLookup($B27,Questions!$A:$L)&amp;CHAR(10),""),
_xlpm._startSelectedByAnswerOne,IF(_xlpm._infoTextFull="",0,FIND("___"&amp;$D27&amp;"___",_xlpm._infoTextFull)+LEN("___"&amp;$D27&amp;"___")),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27" s="12" t="b" cm="1">
        <f t="array" aca="1" ref="AL27" ca="1">IF(OR($B27="",NOT($AD27)),FALSE,SimpleLookup($B27,Questions!$A:$Q))</f>
        <v>0</v>
      </c>
      <c r="AM27" s="12" t="str" cm="1">
        <f t="array" aca="1" ref="AM27" ca="1">IF(AND($B27=Questions!$A$41,IFERROR(SimpleLookup(Questions!$A$36,$B:$F)=Definitions!$O$5,FALSE),$D27=Definitions!$A$5),
Questions!$A$36&amp;" "&amp;Questions!$B$36&amp;CHAR(10)&amp;CHAR(187)&amp;" "&amp;SimpleLookup(Questions!$A$36,$B:$D)&amp;CHAR(10)&amp;SimpleLookup(Questions!$A$36,$B:$E)&amp;CHAR(10)&amp;CHAR(187)&amp;" "&amp;Definitions!$O$5&amp;CHAR(10)&amp;CHAR(10)&amp;
"is incosistent with"&amp;CHAR(10)&amp;CHAR(10)&amp;
$B27&amp;" "&amp;SimpleLookup($B27,Questions!$A:$B)&amp;CHAR(10)&amp;CHAR(187)&amp;" "&amp;$D27,
"")</f>
        <v/>
      </c>
      <c r="AN27" s="12" cm="1">
        <f t="array" aca="1" ref="AN27" ca="1">CreateID($AN$3,$AM27&lt;&gt;"")</f>
        <v>0</v>
      </c>
      <c r="AO27" s="12" t="str">
        <f ca="1">IF(OR($D27="",OFFSET($D27,1,0)=""),"",
IF(AND($B27=Questions!$A$59,OFFSET($B27,1,0)=Questions!$A$60),
IF(MATCH($D27,Definitions!$AW:$AW,0)&gt;MATCH(OFFSET($D27,1,0),Definitions!AW:AW,0),$B27&amp;" "&amp;$L27&amp;": "&amp;$D27&amp;CHAR(10)&amp;"&lt;---&gt;"&amp;CHAR(10)&amp;OFFSET($B27,1,0)&amp;" "&amp;OFFSET($L27,1,0)&amp;": "&amp;OFFSET($D27,1,0),""),
""))</f>
        <v/>
      </c>
      <c r="AP27" s="12" cm="1">
        <f t="array" aca="1" ref="AP27" ca="1">CreateID($AP$3,$AO27&lt;&gt;"")</f>
        <v>0</v>
      </c>
      <c r="AQ27" s="12" t="str" cm="1">
        <f t="array" ref="AQ27">IF($B27=Questions!$A$18,
  _xlfn.LET(
    _xlpm._impactValue7,IFERROR(SimpleLookup(SimpleLookup($F27,Definitions!$H:$J),Definitions!$Q:$R),0),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"&amp;$F27&amp;CHAR(10)&amp;"&lt;---&gt;"&amp;CHAR(10)&amp;Questions!$A$30&amp;": "&amp;_xlpm._impactName14,
        ""))),
  "")</f>
        <v/>
      </c>
      <c r="AR27" s="12" cm="1">
        <f t="array" aca="1" ref="AR27" ca="1">CreateID($AR$3,$AQ27&lt;&gt;"")</f>
        <v>0</v>
      </c>
    </row>
    <row r="28" spans="1:44" x14ac:dyDescent="0.25">
      <c r="A28" s="116"/>
      <c r="B28" s="68" t="s">
        <v>1004</v>
      </c>
      <c r="C28" s="4" t="str" cm="1">
        <f t="array" aca="1" ref="C28" ca="1">IF($B28="","",CreateIndentedString($L28,Definitions!$T$4,SimpleLookup($B28,Questions!$A:$C)))</f>
        <v xml:space="preserve">   Function  and  availability</v>
      </c>
      <c r="J28" s="12" t="str">
        <f t="shared" ca="1" si="0"/>
        <v/>
      </c>
      <c r="K28" s="12" t="str">
        <f t="shared" ca="1" si="1"/>
        <v/>
      </c>
      <c r="L28" s="12" t="str" cm="1">
        <f t="array" aca="1" ref="L28" ca="1">SimpleLookup($B28,Questions!$A:$B)</f>
        <v>Function and availability</v>
      </c>
      <c r="M28" s="12" cm="1">
        <f t="array" aca="1" ref="M28" ca="1">CreateID($M$3,AND($B28&lt;&gt;"",$AD28))</f>
        <v>13</v>
      </c>
      <c r="N28" s="12" cm="1">
        <f t="array" ref="N28">CreateTaskID($N$3,$N:$N,Tasks!$B$17,$H28)</f>
        <v>0</v>
      </c>
      <c r="O28" s="12" t="str">
        <f t="shared" ca="1" si="2"/>
        <v/>
      </c>
      <c r="P28" s="12" cm="1">
        <f t="array" aca="1" ref="P28" ca="1">CreateID($P$3,$O28&lt;&gt;"")</f>
        <v>13</v>
      </c>
      <c r="Q28" s="12" t="str">
        <f t="shared" si="3"/>
        <v/>
      </c>
      <c r="R28" s="12" cm="1">
        <f t="array" aca="1" ref="R28" ca="1">CreateID($R$3,$Q28&lt;&gt;"")</f>
        <v>0</v>
      </c>
      <c r="S28" s="12" t="str">
        <f t="shared" si="4"/>
        <v/>
      </c>
      <c r="T28" s="12" cm="1">
        <f t="array" aca="1" ref="T28" ca="1">CreateID($T$3,$S28&lt;&gt;"")</f>
        <v>0</v>
      </c>
      <c r="U28" s="12" t="str">
        <f t="shared" ca="1" si="5"/>
        <v/>
      </c>
      <c r="V28" s="12" cm="1">
        <f t="array" aca="1" ref="V28" ca="1">CreateID($V$3,$U28&lt;&gt;"")</f>
        <v>0</v>
      </c>
      <c r="W28" s="12" cm="1">
        <f t="array" aca="1" ref="W28" ca="1">CreateID($W$3,IFERROR(FIND(Definitions!$AR$4,$H28)&gt;0,FALSE))</f>
        <v>0</v>
      </c>
      <c r="X28" s="12">
        <f>_xlfn.LET(
_xlpm._comment,$H28,
_xlpm._keyWord,Definitions!$AR$4,
_xlpm._diffLen,LEN(_xlpm._comment)-LEN(SUBSTITUTE(_xlpm._comment,_xlpm._keyWord,"")),
_xlpm._diffLen/LEN(_xlpm._keyWord))</f>
        <v>0</v>
      </c>
      <c r="Y28" s="12" cm="1">
        <f t="array" aca="1" ref="Y28" ca="1">CreateID($Y$3,IFERROR(FIND(Definitions!$AR$5,$H28)&gt;0,FALSE))</f>
        <v>0</v>
      </c>
      <c r="Z28" s="12">
        <f>_xlfn.LET(
_xlpm._comment,$H28,
_xlpm._keyWord,Definitions!$AR$5,
_xlpm._diffLen,LEN(_xlpm._comment)-LEN(SUBSTITUTE(_xlpm._comment,_xlpm._keyWord,"")),
_xlpm._diffLen/LEN(_xlpm._keyWord))</f>
        <v>0</v>
      </c>
      <c r="AA28" s="12" t="b">
        <f ca="1">OR(IFERROR(_xlfn.XMATCH("*,"&amp;$B28&amp;",*",Assumptions!$AH:$AH,2)&gt;0,FALSE),
IFERROR(_xlfn.XMATCH("*,"&amp;$B28&amp;",*",Countermeasures!$AK:$AK,2)&gt;0,FALSE))</f>
        <v>0</v>
      </c>
      <c r="AB28" s="12" t="str" cm="1">
        <f t="array" aca="1" ref="AB28" ca="1">CreateSearchString($J28)</f>
        <v/>
      </c>
      <c r="AC28" s="12" t="str" cm="1">
        <f t="array" ref="AC28">IF($F28="","",IFERROR(SimpleLookup($F28,Definitions!$H:$J),""))</f>
        <v/>
      </c>
      <c r="AD28" s="12" t="b" cm="1">
        <f t="array" aca="1" ref="AD28" ca="1">IF($B28="",FALSE,SimpleLookup($B28,Questions!$A:$D)="x")</f>
        <v>0</v>
      </c>
      <c r="AE28" s="12" t="str" cm="1">
        <f t="array" aca="1" ref="AE28" ca="1">IF(OR($B28="",NOT($AD28)),"",SimpleLookup($B28,Questions!$A:$E))</f>
        <v/>
      </c>
      <c r="AF28" s="12" t="str" cm="1">
        <f t="array" aca="1" ref="AF28" ca="1">IF(OR($B28="",NOT($AD28)),"",SimpleLookup($B28,Questions!$A:$F))</f>
        <v/>
      </c>
      <c r="AG28" s="12" t="str" cm="1">
        <f t="array" aca="1" ref="AG28" ca="1">_xlfn.LET(
_xlpm._answer,$D28,
_xlpm._infoTextFull,IF($AD28,CHAR(10)&amp;SimpleLookup($B28,Questions!$A:$H)&amp;CHAR(10),""),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28" s="12" t="b" cm="1">
        <f t="array" aca="1" ref="AH28" ca="1">IF(OR($B28="",NOT($AD28)),FALSE,_xlfn.LET(
_xlpm._secondAnswerRequiredOn,SimpleLookup($B28,Questions!$A:$I),
_xlpm._firstAnwer,$D28,
IFERROR(FIND(CHAR(10)&amp;_xlpm._firstAnwer&amp;":",CHAR(10)&amp;_xlpm._secondAnswerRequiredOn)&gt;0,FALSE)))</f>
        <v>0</v>
      </c>
      <c r="AI28" s="12" t="str" cm="1">
        <f t="array" aca="1" ref="AI28" ca="1">IF(OR($B28="",NOT($AD28)),"",_xlfn.LET(
_xlpm._id,$B28,
_xlpm._firstAnswer,$D28,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28" s="12" t="str" cm="1">
        <f t="array" aca="1" ref="AJ28" ca="1">IF(OR($B28="",NOT($AD28)),"",_xlfn.LET(
_xlpm._id,$B28,
_xlpm._firstAnswer,$D28,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28" s="12" t="str" cm="1">
        <f t="array" aca="1" ref="AK28" ca="1">IF($AH28,_xlfn.LET(
_xlpm._answer,$F28,
_xlpm._infoTextFull,IF($AD28,CHAR(10)&amp;SimpleLookup($B28,Questions!$A:$L)&amp;CHAR(10),""),
_xlpm._startSelectedByAnswerOne,IF(_xlpm._infoTextFull="",0,FIND("___"&amp;$D28&amp;"___",_xlpm._infoTextFull)+LEN("___"&amp;$D28&amp;"___")),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28" s="12" t="b" cm="1">
        <f t="array" aca="1" ref="AL28" ca="1">IF(OR($B28="",NOT($AD28)),FALSE,SimpleLookup($B28,Questions!$A:$Q))</f>
        <v>0</v>
      </c>
      <c r="AM28" s="12" t="str" cm="1">
        <f t="array" aca="1" ref="AM28" ca="1">IF(AND($B28=Questions!$A$41,IFERROR(SimpleLookup(Questions!$A$36,$B:$F)=Definitions!$O$5,FALSE),$D28=Definitions!$A$5),
Questions!$A$36&amp;" "&amp;Questions!$B$36&amp;CHAR(10)&amp;CHAR(187)&amp;" "&amp;SimpleLookup(Questions!$A$36,$B:$D)&amp;CHAR(10)&amp;SimpleLookup(Questions!$A$36,$B:$E)&amp;CHAR(10)&amp;CHAR(187)&amp;" "&amp;Definitions!$O$5&amp;CHAR(10)&amp;CHAR(10)&amp;
"is incosistent with"&amp;CHAR(10)&amp;CHAR(10)&amp;
$B28&amp;" "&amp;SimpleLookup($B28,Questions!$A:$B)&amp;CHAR(10)&amp;CHAR(187)&amp;" "&amp;$D28,
"")</f>
        <v/>
      </c>
      <c r="AN28" s="12" cm="1">
        <f t="array" aca="1" ref="AN28" ca="1">CreateID($AN$3,$AM28&lt;&gt;"")</f>
        <v>0</v>
      </c>
      <c r="AO28" s="12" t="str">
        <f ca="1">IF(OR($D28="",OFFSET($D28,1,0)=""),"",
IF(AND($B28=Questions!$A$59,OFFSET($B28,1,0)=Questions!$A$60),
IF(MATCH($D28,Definitions!$AW:$AW,0)&gt;MATCH(OFFSET($D28,1,0),Definitions!AW:AW,0),$B28&amp;" "&amp;$L28&amp;": "&amp;$D28&amp;CHAR(10)&amp;"&lt;---&gt;"&amp;CHAR(10)&amp;OFFSET($B28,1,0)&amp;" "&amp;OFFSET($L28,1,0)&amp;": "&amp;OFFSET($D28,1,0),""),
""))</f>
        <v/>
      </c>
      <c r="AP28" s="12" cm="1">
        <f t="array" aca="1" ref="AP28" ca="1">CreateID($AP$3,$AO28&lt;&gt;"")</f>
        <v>0</v>
      </c>
      <c r="AQ28" s="12" t="str" cm="1">
        <f t="array" ref="AQ28">IF($B28=Questions!$A$18,
  _xlfn.LET(
    _xlpm._impactValue7,IFERROR(SimpleLookup(SimpleLookup($F28,Definitions!$H:$J),Definitions!$Q:$R),0),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"&amp;$F28&amp;CHAR(10)&amp;"&lt;---&gt;"&amp;CHAR(10)&amp;Questions!$A$30&amp;": "&amp;_xlpm._impactName14,
        ""))),
  "")</f>
        <v/>
      </c>
      <c r="AR28" s="12" cm="1">
        <f t="array" aca="1" ref="AR28" ca="1">CreateID($AR$3,$AQ28&lt;&gt;"")</f>
        <v>0</v>
      </c>
    </row>
    <row r="29" spans="1:44" ht="30" x14ac:dyDescent="0.25">
      <c r="A29" s="116" t="str">
        <f ca="1">HYPERLINK("#'"&amp;Helper!$G$22&amp;"'!A"&amp;MATCH($B29,'Answering Guideline'!$A:$A,0),Definitions!$AY$4)</f>
        <v>◈</v>
      </c>
      <c r="B29" s="68" t="s">
        <v>902</v>
      </c>
      <c r="C29" s="4" t="str" cm="1">
        <f t="array" aca="1" ref="C29" ca="1">IF($B29="","",CreateIndentedString($L29,Definitions!$T$4,SimpleLookup($B29,Questions!$A:$C)))</f>
        <v xml:space="preserve">      Can  a  manipulated  product  affect  the  operation
      of  its  operational  environment?</v>
      </c>
      <c r="E29" s="7" t="str">
        <f ca="1">$AG29</f>
        <v/>
      </c>
      <c r="G29" s="7" t="str">
        <f ca="1">$AK29</f>
        <v/>
      </c>
      <c r="J29" s="12" t="str">
        <f t="shared" ca="1" si="0"/>
        <v>QI14[]</v>
      </c>
      <c r="K29" s="12" t="str">
        <f t="shared" ca="1" si="1"/>
        <v>QI14[]</v>
      </c>
      <c r="L29" s="12" t="str" cm="1">
        <f t="array" aca="1" ref="L29" ca="1">SimpleLookup($B29,Questions!$A:$B)</f>
        <v>Can a manipulated product affect the operation of its operational environment?</v>
      </c>
      <c r="M29" s="12" cm="1">
        <f t="array" aca="1" ref="M29" ca="1">CreateID($M$3,AND($B29&lt;&gt;"",$AD29))</f>
        <v>14</v>
      </c>
      <c r="N29" s="12" cm="1">
        <f t="array" ref="N29">CreateTaskID($N$3,$N:$N,Tasks!$B$17,$H29)</f>
        <v>0</v>
      </c>
      <c r="O29" s="12" t="str">
        <f t="shared" ca="1" si="2"/>
        <v>QI14 Can a manipulated product affect the operation of its operational environment?</v>
      </c>
      <c r="P29" s="12" cm="1">
        <f t="array" aca="1" ref="P29" ca="1">CreateID($P$3,$O29&lt;&gt;"")</f>
        <v>14</v>
      </c>
      <c r="Q29" s="12" t="str">
        <f t="shared" ca="1" si="3"/>
        <v/>
      </c>
      <c r="R29" s="12" cm="1">
        <f t="array" aca="1" ref="R29" ca="1">CreateID($R$3,$Q29&lt;&gt;"")</f>
        <v>0</v>
      </c>
      <c r="S29" s="12" t="str">
        <f t="shared" ca="1" si="4"/>
        <v/>
      </c>
      <c r="T29" s="12" cm="1">
        <f t="array" aca="1" ref="T29" ca="1">CreateID($T$3,$S29&lt;&gt;"")</f>
        <v>0</v>
      </c>
      <c r="U29" s="12" t="str">
        <f t="shared" ca="1" si="5"/>
        <v/>
      </c>
      <c r="V29" s="12" cm="1">
        <f t="array" aca="1" ref="V29" ca="1">CreateID($V$3,$U29&lt;&gt;"")</f>
        <v>0</v>
      </c>
      <c r="W29" s="12" cm="1">
        <f t="array" aca="1" ref="W29" ca="1">CreateID($W$3,IFERROR(FIND(Definitions!$AR$4,$H29)&gt;0,FALSE))</f>
        <v>0</v>
      </c>
      <c r="X29" s="12">
        <f>_xlfn.LET(
_xlpm._comment,$H29,
_xlpm._keyWord,Definitions!$AR$4,
_xlpm._diffLen,LEN(_xlpm._comment)-LEN(SUBSTITUTE(_xlpm._comment,_xlpm._keyWord,"")),
_xlpm._diffLen/LEN(_xlpm._keyWord))</f>
        <v>0</v>
      </c>
      <c r="Y29" s="12" cm="1">
        <f t="array" aca="1" ref="Y29" ca="1">CreateID($Y$3,IFERROR(FIND(Definitions!$AR$5,$H29)&gt;0,FALSE))</f>
        <v>0</v>
      </c>
      <c r="Z29" s="12">
        <f>_xlfn.LET(
_xlpm._comment,$H29,
_xlpm._keyWord,Definitions!$AR$5,
_xlpm._diffLen,LEN(_xlpm._comment)-LEN(SUBSTITUTE(_xlpm._comment,_xlpm._keyWord,"")),
_xlpm._diffLen/LEN(_xlpm._keyWord))</f>
        <v>0</v>
      </c>
      <c r="AA29" s="12" t="b">
        <f ca="1">OR(IFERROR(_xlfn.XMATCH("*,"&amp;$B29&amp;",*",Assumptions!$AH:$AH,2)&gt;0,FALSE),
IFERROR(_xlfn.XMATCH("*,"&amp;$B29&amp;",*",Countermeasures!$AK:$AK,2)&gt;0,FALSE))</f>
        <v>0</v>
      </c>
      <c r="AB29" s="12" t="str" cm="1">
        <f t="array" aca="1" ref="AB29" ca="1">CreateSearchString($J29)</f>
        <v>,QI14[],</v>
      </c>
      <c r="AC29" s="12" t="str" cm="1">
        <f t="array" ref="AC29">IF($F29="","",IFERROR(SimpleLookup($F29,Definitions!$H:$J),""))</f>
        <v/>
      </c>
      <c r="AD29" s="12" t="b" cm="1">
        <f t="array" aca="1" ref="AD29" ca="1">IF($B29="",FALSE,SimpleLookup($B29,Questions!$A:$D)="x")</f>
        <v>1</v>
      </c>
      <c r="AE29" s="12" t="str" cm="1">
        <f t="array" aca="1" ref="AE29" ca="1">IF(OR($B29="",NOT($AD29)),"",SimpleLookup($B29,Questions!$A:$E))</f>
        <v>'[QuBA-libre.xlsx]Definitions'!$A$4</v>
      </c>
      <c r="AF29" s="12" cm="1">
        <f t="array" aca="1" ref="AF29" ca="1">IF(OR($B29="",NOT($AD29)),"",SimpleLookup($B29,Questions!$A:$F))</f>
        <v>2</v>
      </c>
      <c r="AG29" s="12" t="str" cm="1">
        <f t="array" aca="1" ref="AG29" ca="1">_xlfn.LET(
_xlpm._answer,$D29,
_xlpm._infoTextFull,IF($AD29,CHAR(10)&amp;SimpleLookup($B29,Questions!$A:$H)&amp;CHAR(10),""),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29" s="12" t="b" cm="1">
        <f t="array" aca="1" ref="AH29" ca="1">IF(OR($B29="",NOT($AD29)),FALSE,_xlfn.LET(
_xlpm._secondAnswerRequiredOn,SimpleLookup($B29,Questions!$A:$I),
_xlpm._firstAnwer,$D29,
IFERROR(FIND(CHAR(10)&amp;_xlpm._firstAnwer&amp;":",CHAR(10)&amp;_xlpm._secondAnswerRequiredOn)&gt;0,FALSE)))</f>
        <v>0</v>
      </c>
      <c r="AI29" s="12" t="str" cm="1">
        <f t="array" aca="1" ref="AI29" ca="1">IF(OR($B29="",NOT($AD29)),"",_xlfn.LET(
_xlpm._id,$B29,
_xlpm._firstAnswer,$D29,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'[QuBA-libre.xlsx]Definitions'!$H$18</v>
      </c>
      <c r="AJ29" s="12" cm="1">
        <f t="array" aca="1" ref="AJ29" ca="1">IF(OR($B29="",NOT($AD29)),"",_xlfn.LET(
_xlpm._id,$B29,
_xlpm._firstAnswer,$D29,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6</v>
      </c>
      <c r="AK29" s="12" t="str" cm="1">
        <f t="array" aca="1" ref="AK29" ca="1">IF($AH29,_xlfn.LET(
_xlpm._answer,$F29,
_xlpm._infoTextFull,IF($AD29,CHAR(10)&amp;SimpleLookup($B29,Questions!$A:$L)&amp;CHAR(10),""),
_xlpm._startSelectedByAnswerOne,IF(_xlpm._infoTextFull="",0,FIND("___"&amp;$D29&amp;"___",_xlpm._infoTextFull)+LEN("___"&amp;$D29&amp;"___")),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29" s="12" t="b" cm="1">
        <f t="array" aca="1" ref="AL29" ca="1">IF(OR($B29="",NOT($AD29)),FALSE,SimpleLookup($B29,Questions!$A:$Q))</f>
        <v>0</v>
      </c>
      <c r="AM29" s="12" t="str" cm="1">
        <f t="array" aca="1" ref="AM29" ca="1">IF(AND($B29=Questions!$A$41,IFERROR(SimpleLookup(Questions!$A$36,$B:$F)=Definitions!$O$5,FALSE),$D29=Definitions!$A$5),
Questions!$A$36&amp;" "&amp;Questions!$B$36&amp;CHAR(10)&amp;CHAR(187)&amp;" "&amp;SimpleLookup(Questions!$A$36,$B:$D)&amp;CHAR(10)&amp;SimpleLookup(Questions!$A$36,$B:$E)&amp;CHAR(10)&amp;CHAR(187)&amp;" "&amp;Definitions!$O$5&amp;CHAR(10)&amp;CHAR(10)&amp;
"is incosistent with"&amp;CHAR(10)&amp;CHAR(10)&amp;
$B29&amp;" "&amp;SimpleLookup($B29,Questions!$A:$B)&amp;CHAR(10)&amp;CHAR(187)&amp;" "&amp;$D29,
"")</f>
        <v/>
      </c>
      <c r="AN29" s="12" cm="1">
        <f t="array" aca="1" ref="AN29" ca="1">CreateID($AN$3,$AM29&lt;&gt;"")</f>
        <v>0</v>
      </c>
      <c r="AO29" s="12" t="str">
        <f ca="1">IF(OR($D29="",OFFSET($D29,1,0)=""),"",
IF(AND($B29=Questions!$A$59,OFFSET($B29,1,0)=Questions!$A$60),
IF(MATCH($D29,Definitions!$AW:$AW,0)&gt;MATCH(OFFSET($D29,1,0),Definitions!AW:AW,0),$B29&amp;" "&amp;$L29&amp;": "&amp;$D29&amp;CHAR(10)&amp;"&lt;---&gt;"&amp;CHAR(10)&amp;OFFSET($B29,1,0)&amp;" "&amp;OFFSET($L29,1,0)&amp;": "&amp;OFFSET($D29,1,0),""),
""))</f>
        <v/>
      </c>
      <c r="AP29" s="12" cm="1">
        <f t="array" aca="1" ref="AP29" ca="1">CreateID($AP$3,$AO29&lt;&gt;"")</f>
        <v>0</v>
      </c>
      <c r="AQ29" s="12" t="str" cm="1">
        <f t="array" ref="AQ29">IF($B29=Questions!$A$18,
  _xlfn.LET(
    _xlpm._impactValue7,IFERROR(SimpleLookup(SimpleLookup($F29,Definitions!$H:$J),Definitions!$Q:$R),0),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"&amp;$F29&amp;CHAR(10)&amp;"&lt;---&gt;"&amp;CHAR(10)&amp;Questions!$A$30&amp;": "&amp;_xlpm._impactName14,
        ""))),
  "")</f>
        <v/>
      </c>
      <c r="AR29" s="12" cm="1">
        <f t="array" aca="1" ref="AR29" ca="1">CreateID($AR$3,$AQ29&lt;&gt;"")</f>
        <v>0</v>
      </c>
    </row>
    <row r="30" spans="1:44" ht="45" x14ac:dyDescent="0.25">
      <c r="A30" s="116" t="str">
        <f ca="1">HYPERLINK("#'"&amp;Helper!$G$22&amp;"'!A"&amp;MATCH($B30,'Answering Guideline'!$A:$A,0),Definitions!$AY$4)</f>
        <v>◈</v>
      </c>
      <c r="B30" s="68" t="s">
        <v>901</v>
      </c>
      <c r="C30" s="4" t="str" cm="1">
        <f t="array" aca="1" ref="C30" ca="1">IF($B30="","",CreateIndentedString($L30,Definitions!$T$4,SimpleLookup($B30,Questions!$A:$C)))</f>
        <v xml:space="preserve">      Can  a  manipulated  product  allow  an  attacker
      access  to  assets  of  the  customer  or  allow  the
      attacker  to  attack  the  customer's  network?</v>
      </c>
      <c r="J30" s="12" t="str">
        <f t="shared" ca="1" si="0"/>
        <v>QI15[]</v>
      </c>
      <c r="K30" s="12" t="str">
        <f t="shared" ca="1" si="1"/>
        <v>QI15[]</v>
      </c>
      <c r="L30" s="12" t="str" cm="1">
        <f t="array" aca="1" ref="L30" ca="1">SimpleLookup($B30,Questions!$A:$B)</f>
        <v>Can a manipulated product allow an attacker access to assets of the customer or allow the attacker to attack the customer's network?</v>
      </c>
      <c r="M30" s="12" cm="1">
        <f t="array" aca="1" ref="M30" ca="1">CreateID($M$3,AND($B30&lt;&gt;"",$AD30))</f>
        <v>15</v>
      </c>
      <c r="N30" s="12" cm="1">
        <f t="array" ref="N30">CreateTaskID($N$3,$N:$N,Tasks!$B$17,$H30)</f>
        <v>0</v>
      </c>
      <c r="O30" s="12" t="str">
        <f t="shared" ca="1" si="2"/>
        <v>QI15 Can a manipulated product allow an attacker access to assets of the customer or allow the attacker to attack the customer's network?</v>
      </c>
      <c r="P30" s="12" cm="1">
        <f t="array" aca="1" ref="P30" ca="1">CreateID($P$3,$O30&lt;&gt;"")</f>
        <v>15</v>
      </c>
      <c r="Q30" s="12" t="str">
        <f t="shared" si="3"/>
        <v/>
      </c>
      <c r="R30" s="12" cm="1">
        <f t="array" aca="1" ref="R30" ca="1">CreateID($R$3,$Q30&lt;&gt;"")</f>
        <v>0</v>
      </c>
      <c r="S30" s="12" t="str">
        <f t="shared" si="4"/>
        <v/>
      </c>
      <c r="T30" s="12" cm="1">
        <f t="array" aca="1" ref="T30" ca="1">CreateID($T$3,$S30&lt;&gt;"")</f>
        <v>0</v>
      </c>
      <c r="U30" s="12" t="str">
        <f t="shared" ca="1" si="5"/>
        <v/>
      </c>
      <c r="V30" s="12" cm="1">
        <f t="array" aca="1" ref="V30" ca="1">CreateID($V$3,$U30&lt;&gt;"")</f>
        <v>0</v>
      </c>
      <c r="W30" s="12" cm="1">
        <f t="array" aca="1" ref="W30" ca="1">CreateID($W$3,IFERROR(FIND(Definitions!$AR$4,$H30)&gt;0,FALSE))</f>
        <v>0</v>
      </c>
      <c r="X30" s="12">
        <f>_xlfn.LET(
_xlpm._comment,$H30,
_xlpm._keyWord,Definitions!$AR$4,
_xlpm._diffLen,LEN(_xlpm._comment)-LEN(SUBSTITUTE(_xlpm._comment,_xlpm._keyWord,"")),
_xlpm._diffLen/LEN(_xlpm._keyWord))</f>
        <v>0</v>
      </c>
      <c r="Y30" s="12" cm="1">
        <f t="array" aca="1" ref="Y30" ca="1">CreateID($Y$3,IFERROR(FIND(Definitions!$AR$5,$H30)&gt;0,FALSE))</f>
        <v>0</v>
      </c>
      <c r="Z30" s="12">
        <f>_xlfn.LET(
_xlpm._comment,$H30,
_xlpm._keyWord,Definitions!$AR$5,
_xlpm._diffLen,LEN(_xlpm._comment)-LEN(SUBSTITUTE(_xlpm._comment,_xlpm._keyWord,"")),
_xlpm._diffLen/LEN(_xlpm._keyWord))</f>
        <v>0</v>
      </c>
      <c r="AA30" s="12" t="b">
        <f ca="1">OR(IFERROR(_xlfn.XMATCH("*,"&amp;$B30&amp;",*",Assumptions!$AH:$AH,2)&gt;0,FALSE),
IFERROR(_xlfn.XMATCH("*,"&amp;$B30&amp;",*",Countermeasures!$AK:$AK,2)&gt;0,FALSE))</f>
        <v>0</v>
      </c>
      <c r="AB30" s="12" t="str" cm="1">
        <f t="array" aca="1" ref="AB30" ca="1">CreateSearchString($J30)</f>
        <v>,QI15[],</v>
      </c>
      <c r="AC30" s="12" t="str" cm="1">
        <f t="array" ref="AC30">IF($F30="","",IFERROR(SimpleLookup($F30,Definitions!$H:$J),""))</f>
        <v/>
      </c>
      <c r="AD30" s="12" t="b" cm="1">
        <f t="array" aca="1" ref="AD30" ca="1">IF($B30="",FALSE,SimpleLookup($B30,Questions!$A:$D)="x")</f>
        <v>1</v>
      </c>
      <c r="AE30" s="12" t="str" cm="1">
        <f t="array" aca="1" ref="AE30" ca="1">IF(OR($B30="",NOT($AD30)),"",SimpleLookup($B30,Questions!$A:$E))</f>
        <v>'[QuBA-libre.xlsx]Definitions'!$A$4</v>
      </c>
      <c r="AF30" s="12" cm="1">
        <f t="array" aca="1" ref="AF30" ca="1">IF(OR($B30="",NOT($AD30)),"",SimpleLookup($B30,Questions!$A:$F))</f>
        <v>2</v>
      </c>
      <c r="AG30" s="12" t="str" cm="1">
        <f t="array" aca="1" ref="AG30" ca="1">_xlfn.LET(
_xlpm._answer,$D30,
_xlpm._infoTextFull,IF($AD30,CHAR(10)&amp;SimpleLookup($B30,Questions!$A:$H)&amp;CHAR(10),""),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30" s="12" t="b" cm="1">
        <f t="array" aca="1" ref="AH30" ca="1">IF(OR($B30="",NOT($AD30)),FALSE,_xlfn.LET(
_xlpm._secondAnswerRequiredOn,SimpleLookup($B30,Questions!$A:$I),
_xlpm._firstAnwer,$D30,
IFERROR(FIND(CHAR(10)&amp;_xlpm._firstAnwer&amp;":",CHAR(10)&amp;_xlpm._secondAnswerRequiredOn)&gt;0,FALSE)))</f>
        <v>0</v>
      </c>
      <c r="AI30" s="12" t="str" cm="1">
        <f t="array" aca="1" ref="AI30" ca="1">IF(OR($B30="",NOT($AD30)),"",_xlfn.LET(
_xlpm._id,$B30,
_xlpm._firstAnswer,$D30,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'[QuBA-libre.xlsx]Helper'!$D$2</v>
      </c>
      <c r="AJ30" s="12" cm="1">
        <f t="array" aca="1" ref="AJ30" ca="1">IF(OR($B30="",NOT($AD30)),"",_xlfn.LET(
_xlpm._id,$B30,
_xlpm._firstAnswer,$D30,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10</v>
      </c>
      <c r="AK30" s="12" t="str" cm="1">
        <f t="array" aca="1" ref="AK30" ca="1">IF($AH30,_xlfn.LET(
_xlpm._answer,$F30,
_xlpm._infoTextFull,IF($AD30,CHAR(10)&amp;SimpleLookup($B30,Questions!$A:$L)&amp;CHAR(10),""),
_xlpm._startSelectedByAnswerOne,IF(_xlpm._infoTextFull="",0,FIND("___"&amp;$D30&amp;"___",_xlpm._infoTextFull)+LEN("___"&amp;$D30&amp;"___")),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30" s="12" t="b" cm="1">
        <f t="array" aca="1" ref="AL30" ca="1">IF(OR($B30="",NOT($AD30)),FALSE,SimpleLookup($B30,Questions!$A:$Q))</f>
        <v>0</v>
      </c>
      <c r="AM30" s="12" t="str" cm="1">
        <f t="array" aca="1" ref="AM30" ca="1">IF(AND($B30=Questions!$A$41,IFERROR(SimpleLookup(Questions!$A$36,$B:$F)=Definitions!$O$5,FALSE),$D30=Definitions!$A$5),
Questions!$A$36&amp;" "&amp;Questions!$B$36&amp;CHAR(10)&amp;CHAR(187)&amp;" "&amp;SimpleLookup(Questions!$A$36,$B:$D)&amp;CHAR(10)&amp;SimpleLookup(Questions!$A$36,$B:$E)&amp;CHAR(10)&amp;CHAR(187)&amp;" "&amp;Definitions!$O$5&amp;CHAR(10)&amp;CHAR(10)&amp;
"is incosistent with"&amp;CHAR(10)&amp;CHAR(10)&amp;
$B30&amp;" "&amp;SimpleLookup($B30,Questions!$A:$B)&amp;CHAR(10)&amp;CHAR(187)&amp;" "&amp;$D30,
"")</f>
        <v/>
      </c>
      <c r="AN30" s="12" cm="1">
        <f t="array" aca="1" ref="AN30" ca="1">CreateID($AN$3,$AM30&lt;&gt;"")</f>
        <v>0</v>
      </c>
      <c r="AO30" s="12" t="str">
        <f ca="1">IF(OR($D30="",OFFSET($D30,1,0)=""),"",
IF(AND($B30=Questions!$A$59,OFFSET($B30,1,0)=Questions!$A$60),
IF(MATCH($D30,Definitions!$AW:$AW,0)&gt;MATCH(OFFSET($D30,1,0),Definitions!AW:AW,0),$B30&amp;" "&amp;$L30&amp;": "&amp;$D30&amp;CHAR(10)&amp;"&lt;---&gt;"&amp;CHAR(10)&amp;OFFSET($B30,1,0)&amp;" "&amp;OFFSET($L30,1,0)&amp;": "&amp;OFFSET($D30,1,0),""),
""))</f>
        <v/>
      </c>
      <c r="AP30" s="12" cm="1">
        <f t="array" aca="1" ref="AP30" ca="1">CreateID($AP$3,$AO30&lt;&gt;"")</f>
        <v>0</v>
      </c>
      <c r="AQ30" s="12" t="str" cm="1">
        <f t="array" ref="AQ30">IF($B30=Questions!$A$18,
  _xlfn.LET(
    _xlpm._impactValue7,IFERROR(SimpleLookup(SimpleLookup($F30,Definitions!$H:$J),Definitions!$Q:$R),0),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"&amp;$F30&amp;CHAR(10)&amp;"&lt;---&gt;"&amp;CHAR(10)&amp;Questions!$A$30&amp;": "&amp;_xlpm._impactName14,
        ""))),
  "")</f>
        <v/>
      </c>
      <c r="AR30" s="12" cm="1">
        <f t="array" aca="1" ref="AR30" ca="1">CreateID($AR$3,$AQ30&lt;&gt;"")</f>
        <v>0</v>
      </c>
    </row>
    <row r="31" spans="1:44" x14ac:dyDescent="0.25">
      <c r="A31" s="116"/>
      <c r="B31" s="68" t="s">
        <v>1005</v>
      </c>
      <c r="C31" s="4" t="str" cm="1">
        <f t="array" aca="1" ref="C31" ca="1">IF($B31="","",CreateIndentedString($L31,Definitions!$T$4,SimpleLookup($B31,Questions!$A:$C)))</f>
        <v xml:space="preserve">   Financial  and  legal</v>
      </c>
      <c r="E31" s="7" t="str">
        <f ca="1">$AG31</f>
        <v/>
      </c>
      <c r="G31" s="7" t="str">
        <f ca="1">$AK31</f>
        <v/>
      </c>
      <c r="J31" s="12" t="str">
        <f t="shared" ca="1" si="0"/>
        <v/>
      </c>
      <c r="K31" s="12" t="str">
        <f t="shared" ca="1" si="1"/>
        <v/>
      </c>
      <c r="L31" s="12" t="str" cm="1">
        <f t="array" aca="1" ref="L31" ca="1">SimpleLookup($B31,Questions!$A:$B)</f>
        <v>Financial and legal</v>
      </c>
      <c r="M31" s="12" cm="1">
        <f t="array" aca="1" ref="M31" ca="1">CreateID($M$3,AND($B31&lt;&gt;"",$AD31))</f>
        <v>15</v>
      </c>
      <c r="N31" s="12" cm="1">
        <f t="array" ref="N31">CreateTaskID($N$3,$N:$N,Tasks!$B$17,$H31)</f>
        <v>0</v>
      </c>
      <c r="O31" s="12" t="str">
        <f t="shared" ca="1" si="2"/>
        <v/>
      </c>
      <c r="P31" s="12" cm="1">
        <f t="array" aca="1" ref="P31" ca="1">CreateID($P$3,$O31&lt;&gt;"")</f>
        <v>15</v>
      </c>
      <c r="Q31" s="12" t="str">
        <f t="shared" ca="1" si="3"/>
        <v/>
      </c>
      <c r="R31" s="12" cm="1">
        <f t="array" aca="1" ref="R31" ca="1">CreateID($R$3,$Q31&lt;&gt;"")</f>
        <v>0</v>
      </c>
      <c r="S31" s="12" t="str">
        <f t="shared" ca="1" si="4"/>
        <v/>
      </c>
      <c r="T31" s="12" cm="1">
        <f t="array" aca="1" ref="T31" ca="1">CreateID($T$3,$S31&lt;&gt;"")</f>
        <v>0</v>
      </c>
      <c r="U31" s="12" t="str">
        <f t="shared" ca="1" si="5"/>
        <v/>
      </c>
      <c r="V31" s="12" cm="1">
        <f t="array" aca="1" ref="V31" ca="1">CreateID($V$3,$U31&lt;&gt;"")</f>
        <v>0</v>
      </c>
      <c r="W31" s="12" cm="1">
        <f t="array" aca="1" ref="W31" ca="1">CreateID($W$3,IFERROR(FIND(Definitions!$AR$4,$H31)&gt;0,FALSE))</f>
        <v>0</v>
      </c>
      <c r="X31" s="12">
        <f>_xlfn.LET(
_xlpm._comment,$H31,
_xlpm._keyWord,Definitions!$AR$4,
_xlpm._diffLen,LEN(_xlpm._comment)-LEN(SUBSTITUTE(_xlpm._comment,_xlpm._keyWord,"")),
_xlpm._diffLen/LEN(_xlpm._keyWord))</f>
        <v>0</v>
      </c>
      <c r="Y31" s="12" cm="1">
        <f t="array" aca="1" ref="Y31" ca="1">CreateID($Y$3,IFERROR(FIND(Definitions!$AR$5,$H31)&gt;0,FALSE))</f>
        <v>0</v>
      </c>
      <c r="Z31" s="12">
        <f>_xlfn.LET(
_xlpm._comment,$H31,
_xlpm._keyWord,Definitions!$AR$5,
_xlpm._diffLen,LEN(_xlpm._comment)-LEN(SUBSTITUTE(_xlpm._comment,_xlpm._keyWord,"")),
_xlpm._diffLen/LEN(_xlpm._keyWord))</f>
        <v>0</v>
      </c>
      <c r="AA31" s="12" t="b">
        <f ca="1">OR(IFERROR(_xlfn.XMATCH("*,"&amp;$B31&amp;",*",Assumptions!$AH:$AH,2)&gt;0,FALSE),
IFERROR(_xlfn.XMATCH("*,"&amp;$B31&amp;",*",Countermeasures!$AK:$AK,2)&gt;0,FALSE))</f>
        <v>0</v>
      </c>
      <c r="AB31" s="12" t="str" cm="1">
        <f t="array" aca="1" ref="AB31" ca="1">CreateSearchString($J31)</f>
        <v/>
      </c>
      <c r="AC31" s="12" t="str" cm="1">
        <f t="array" ref="AC31">IF($F31="","",IFERROR(SimpleLookup($F31,Definitions!$H:$J),""))</f>
        <v/>
      </c>
      <c r="AD31" s="12" t="b" cm="1">
        <f t="array" aca="1" ref="AD31" ca="1">IF($B31="",FALSE,SimpleLookup($B31,Questions!$A:$D)="x")</f>
        <v>0</v>
      </c>
      <c r="AE31" s="12" t="str" cm="1">
        <f t="array" aca="1" ref="AE31" ca="1">IF(OR($B31="",NOT($AD31)),"",SimpleLookup($B31,Questions!$A:$E))</f>
        <v/>
      </c>
      <c r="AF31" s="12" t="str" cm="1">
        <f t="array" aca="1" ref="AF31" ca="1">IF(OR($B31="",NOT($AD31)),"",SimpleLookup($B31,Questions!$A:$F))</f>
        <v/>
      </c>
      <c r="AG31" s="12" t="str" cm="1">
        <f t="array" aca="1" ref="AG31" ca="1">_xlfn.LET(
_xlpm._answer,$D31,
_xlpm._infoTextFull,IF($AD31,CHAR(10)&amp;SimpleLookup($B31,Questions!$A:$H)&amp;CHAR(10),""),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31" s="12" t="b" cm="1">
        <f t="array" aca="1" ref="AH31" ca="1">IF(OR($B31="",NOT($AD31)),FALSE,_xlfn.LET(
_xlpm._secondAnswerRequiredOn,SimpleLookup($B31,Questions!$A:$I),
_xlpm._firstAnwer,$D31,
IFERROR(FIND(CHAR(10)&amp;_xlpm._firstAnwer&amp;":",CHAR(10)&amp;_xlpm._secondAnswerRequiredOn)&gt;0,FALSE)))</f>
        <v>0</v>
      </c>
      <c r="AI31" s="12" t="str" cm="1">
        <f t="array" aca="1" ref="AI31" ca="1">IF(OR($B31="",NOT($AD31)),"",_xlfn.LET(
_xlpm._id,$B31,
_xlpm._firstAnswer,$D31,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31" s="12" t="str" cm="1">
        <f t="array" aca="1" ref="AJ31" ca="1">IF(OR($B31="",NOT($AD31)),"",_xlfn.LET(
_xlpm._id,$B31,
_xlpm._firstAnswer,$D31,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31" s="12" t="str" cm="1">
        <f t="array" aca="1" ref="AK31" ca="1">IF($AH31,_xlfn.LET(
_xlpm._answer,$F31,
_xlpm._infoTextFull,IF($AD31,CHAR(10)&amp;SimpleLookup($B31,Questions!$A:$L)&amp;CHAR(10),""),
_xlpm._startSelectedByAnswerOne,IF(_xlpm._infoTextFull="",0,FIND("___"&amp;$D31&amp;"___",_xlpm._infoTextFull)+LEN("___"&amp;$D31&amp;"___")),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31" s="12" t="b" cm="1">
        <f t="array" aca="1" ref="AL31" ca="1">IF(OR($B31="",NOT($AD31)),FALSE,SimpleLookup($B31,Questions!$A:$Q))</f>
        <v>0</v>
      </c>
      <c r="AM31" s="12" t="str" cm="1">
        <f t="array" aca="1" ref="AM31" ca="1">IF(AND($B31=Questions!$A$41,IFERROR(SimpleLookup(Questions!$A$36,$B:$F)=Definitions!$O$5,FALSE),$D31=Definitions!$A$5),
Questions!$A$36&amp;" "&amp;Questions!$B$36&amp;CHAR(10)&amp;CHAR(187)&amp;" "&amp;SimpleLookup(Questions!$A$36,$B:$D)&amp;CHAR(10)&amp;SimpleLookup(Questions!$A$36,$B:$E)&amp;CHAR(10)&amp;CHAR(187)&amp;" "&amp;Definitions!$O$5&amp;CHAR(10)&amp;CHAR(10)&amp;
"is incosistent with"&amp;CHAR(10)&amp;CHAR(10)&amp;
$B31&amp;" "&amp;SimpleLookup($B31,Questions!$A:$B)&amp;CHAR(10)&amp;CHAR(187)&amp;" "&amp;$D31,
"")</f>
        <v/>
      </c>
      <c r="AN31" s="12" cm="1">
        <f t="array" aca="1" ref="AN31" ca="1">CreateID($AN$3,$AM31&lt;&gt;"")</f>
        <v>0</v>
      </c>
      <c r="AO31" s="12" t="str">
        <f ca="1">IF(OR($D31="",OFFSET($D31,1,0)=""),"",
IF(AND($B31=Questions!$A$59,OFFSET($B31,1,0)=Questions!$A$60),
IF(MATCH($D31,Definitions!$AW:$AW,0)&gt;MATCH(OFFSET($D31,1,0),Definitions!AW:AW,0),$B31&amp;" "&amp;$L31&amp;": "&amp;$D31&amp;CHAR(10)&amp;"&lt;---&gt;"&amp;CHAR(10)&amp;OFFSET($B31,1,0)&amp;" "&amp;OFFSET($L31,1,0)&amp;": "&amp;OFFSET($D31,1,0),""),
""))</f>
        <v/>
      </c>
      <c r="AP31" s="12" cm="1">
        <f t="array" aca="1" ref="AP31" ca="1">CreateID($AP$3,$AO31&lt;&gt;"")</f>
        <v>0</v>
      </c>
      <c r="AQ31" s="12" t="str" cm="1">
        <f t="array" ref="AQ31">IF($B31=Questions!$A$18,
  _xlfn.LET(
    _xlpm._impactValue7,IFERROR(SimpleLookup(SimpleLookup($F31,Definitions!$H:$J),Definitions!$Q:$R),0),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"&amp;$F31&amp;CHAR(10)&amp;"&lt;---&gt;"&amp;CHAR(10)&amp;Questions!$A$30&amp;": "&amp;_xlpm._impactName14,
        ""))),
  "")</f>
        <v/>
      </c>
      <c r="AR31" s="12" cm="1">
        <f t="array" aca="1" ref="AR31" ca="1">CreateID($AR$3,$AQ31&lt;&gt;"")</f>
        <v>0</v>
      </c>
    </row>
    <row r="32" spans="1:44" ht="75" x14ac:dyDescent="0.25">
      <c r="A32" s="116" t="str">
        <f ca="1">HYPERLINK("#'"&amp;Helper!$G$22&amp;"'!A"&amp;MATCH($B32,'Answering Guideline'!$A:$A,0),Definitions!$AY$4)</f>
        <v>◈</v>
      </c>
      <c r="B32" s="68" t="s">
        <v>899</v>
      </c>
      <c r="C32" s="4" t="str" cm="1">
        <f t="array" aca="1" ref="C32" ca="1">IF($B32="","",CreateIndentedString($L32,Definitions!$T$4,SimpleLookup($B32,Questions!$A:$C)))</f>
        <v xml:space="preserve">      Can  a  manipulated  product  cause  contract-related
      /  legal  fines?  (Note  that  this  concerns
      individual  obligations,  not  the  standard  product
      warranty).</v>
      </c>
      <c r="E32" s="7" t="str">
        <f ca="1">$AG32</f>
        <v/>
      </c>
      <c r="G32" s="7" t="str">
        <f ca="1">$AK32</f>
        <v/>
      </c>
      <c r="J32" s="12" t="str">
        <f t="shared" ca="1" si="0"/>
        <v>QI16[]</v>
      </c>
      <c r="K32" s="12" t="str">
        <f t="shared" ca="1" si="1"/>
        <v>QI16[]</v>
      </c>
      <c r="L32" s="12" t="str" cm="1">
        <f t="array" aca="1" ref="L32" ca="1">SimpleLookup($B32,Questions!$A:$B)</f>
        <v>Can a manipulated product cause contract-related / legal fines? (Note that this concerns individual obligations, not the standard product warranty).</v>
      </c>
      <c r="M32" s="12" cm="1">
        <f t="array" aca="1" ref="M32" ca="1">CreateID($M$3,AND($B32&lt;&gt;"",$AD32))</f>
        <v>16</v>
      </c>
      <c r="N32" s="12" cm="1">
        <f t="array" ref="N32">CreateTaskID($N$3,$N:$N,Tasks!$B$17,$H32)</f>
        <v>0</v>
      </c>
      <c r="O32" s="12" t="str">
        <f t="shared" ca="1" si="2"/>
        <v>QI16 Can a manipulated product cause contract-related / legal fines? (Note that this concerns individual obligations, not the standard product warranty).</v>
      </c>
      <c r="P32" s="12" cm="1">
        <f t="array" aca="1" ref="P32" ca="1">CreateID($P$3,$O32&lt;&gt;"")</f>
        <v>16</v>
      </c>
      <c r="Q32" s="12" t="str">
        <f t="shared" ca="1" si="3"/>
        <v/>
      </c>
      <c r="R32" s="12" cm="1">
        <f t="array" aca="1" ref="R32" ca="1">CreateID($R$3,$Q32&lt;&gt;"")</f>
        <v>0</v>
      </c>
      <c r="S32" s="12" t="str">
        <f t="shared" ca="1" si="4"/>
        <v/>
      </c>
      <c r="T32" s="12" cm="1">
        <f t="array" aca="1" ref="T32" ca="1">CreateID($T$3,$S32&lt;&gt;"")</f>
        <v>0</v>
      </c>
      <c r="U32" s="12" t="str">
        <f t="shared" ca="1" si="5"/>
        <v/>
      </c>
      <c r="V32" s="12" cm="1">
        <f t="array" aca="1" ref="V32" ca="1">CreateID($V$3,$U32&lt;&gt;"")</f>
        <v>0</v>
      </c>
      <c r="W32" s="12" cm="1">
        <f t="array" aca="1" ref="W32" ca="1">CreateID($W$3,IFERROR(FIND(Definitions!$AR$4,$H32)&gt;0,FALSE))</f>
        <v>0</v>
      </c>
      <c r="X32" s="12">
        <f>_xlfn.LET(
_xlpm._comment,$H32,
_xlpm._keyWord,Definitions!$AR$4,
_xlpm._diffLen,LEN(_xlpm._comment)-LEN(SUBSTITUTE(_xlpm._comment,_xlpm._keyWord,"")),
_xlpm._diffLen/LEN(_xlpm._keyWord))</f>
        <v>0</v>
      </c>
      <c r="Y32" s="12" cm="1">
        <f t="array" aca="1" ref="Y32" ca="1">CreateID($Y$3,IFERROR(FIND(Definitions!$AR$5,$H32)&gt;0,FALSE))</f>
        <v>0</v>
      </c>
      <c r="Z32" s="12">
        <f>_xlfn.LET(
_xlpm._comment,$H32,
_xlpm._keyWord,Definitions!$AR$5,
_xlpm._diffLen,LEN(_xlpm._comment)-LEN(SUBSTITUTE(_xlpm._comment,_xlpm._keyWord,"")),
_xlpm._diffLen/LEN(_xlpm._keyWord))</f>
        <v>0</v>
      </c>
      <c r="AA32" s="12" t="b">
        <f ca="1">OR(IFERROR(_xlfn.XMATCH("*,"&amp;$B32&amp;",*",Assumptions!$AH:$AH,2)&gt;0,FALSE),
IFERROR(_xlfn.XMATCH("*,"&amp;$B32&amp;",*",Countermeasures!$AK:$AK,2)&gt;0,FALSE))</f>
        <v>0</v>
      </c>
      <c r="AB32" s="12" t="str" cm="1">
        <f t="array" aca="1" ref="AB32" ca="1">CreateSearchString($J32)</f>
        <v>,QI16[],</v>
      </c>
      <c r="AC32" s="12" t="str" cm="1">
        <f t="array" ref="AC32">IF($F32="","",IFERROR(SimpleLookup($F32,Definitions!$H:$J),""))</f>
        <v/>
      </c>
      <c r="AD32" s="12" t="b" cm="1">
        <f t="array" aca="1" ref="AD32" ca="1">IF($B32="",FALSE,SimpleLookup($B32,Questions!$A:$D)="x")</f>
        <v>1</v>
      </c>
      <c r="AE32" s="12" t="str" cm="1">
        <f t="array" aca="1" ref="AE32" ca="1">IF(OR($B32="",NOT($AD32)),"",SimpleLookup($B32,Questions!$A:$E))</f>
        <v>'[QuBA-libre.xlsx]Definitions'!$A$4</v>
      </c>
      <c r="AF32" s="12" cm="1">
        <f t="array" aca="1" ref="AF32" ca="1">IF(OR($B32="",NOT($AD32)),"",SimpleLookup($B32,Questions!$A:$F))</f>
        <v>2</v>
      </c>
      <c r="AG32" s="12" t="str" cm="1">
        <f t="array" aca="1" ref="AG32" ca="1">_xlfn.LET(
_xlpm._answer,$D32,
_xlpm._infoTextFull,IF($AD32,CHAR(10)&amp;SimpleLookup($B32,Questions!$A:$H)&amp;CHAR(10),""),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32" s="12" t="b" cm="1">
        <f t="array" aca="1" ref="AH32" ca="1">IF(OR($B32="",NOT($AD32)),FALSE,_xlfn.LET(
_xlpm._secondAnswerRequiredOn,SimpleLookup($B32,Questions!$A:$I),
_xlpm._firstAnwer,$D32,
IFERROR(FIND(CHAR(10)&amp;_xlpm._firstAnwer&amp;":",CHAR(10)&amp;_xlpm._secondAnswerRequiredOn)&gt;0,FALSE)))</f>
        <v>0</v>
      </c>
      <c r="AI32" s="12" t="str" cm="1">
        <f t="array" aca="1" ref="AI32" ca="1">IF(OR($B32="",NOT($AD32)),"",_xlfn.LET(
_xlpm._id,$B32,
_xlpm._firstAnswer,$D32,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'[QuBA-libre.xlsx]Definitions'!$H$10</v>
      </c>
      <c r="AJ32" s="12" cm="1">
        <f t="array" aca="1" ref="AJ32" ca="1">IF(OR($B32="",NOT($AD32)),"",_xlfn.LET(
_xlpm._id,$B32,
_xlpm._firstAnswer,$D32,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4</v>
      </c>
      <c r="AK32" s="12" t="str" cm="1">
        <f t="array" aca="1" ref="AK32" ca="1">IF($AH32,_xlfn.LET(
_xlpm._answer,$F32,
_xlpm._infoTextFull,IF($AD32,CHAR(10)&amp;SimpleLookup($B32,Questions!$A:$L)&amp;CHAR(10),""),
_xlpm._startSelectedByAnswerOne,IF(_xlpm._infoTextFull="",0,FIND("___"&amp;$D32&amp;"___",_xlpm._infoTextFull)+LEN("___"&amp;$D32&amp;"___")),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32" s="12" t="b" cm="1">
        <f t="array" aca="1" ref="AL32" ca="1">IF(OR($B32="",NOT($AD32)),FALSE,SimpleLookup($B32,Questions!$A:$Q))</f>
        <v>0</v>
      </c>
      <c r="AM32" s="12" t="str" cm="1">
        <f t="array" aca="1" ref="AM32" ca="1">IF(AND($B32=Questions!$A$41,IFERROR(SimpleLookup(Questions!$A$36,$B:$F)=Definitions!$O$5,FALSE),$D32=Definitions!$A$5),
Questions!$A$36&amp;" "&amp;Questions!$B$36&amp;CHAR(10)&amp;CHAR(187)&amp;" "&amp;SimpleLookup(Questions!$A$36,$B:$D)&amp;CHAR(10)&amp;SimpleLookup(Questions!$A$36,$B:$E)&amp;CHAR(10)&amp;CHAR(187)&amp;" "&amp;Definitions!$O$5&amp;CHAR(10)&amp;CHAR(10)&amp;
"is incosistent with"&amp;CHAR(10)&amp;CHAR(10)&amp;
$B32&amp;" "&amp;SimpleLookup($B32,Questions!$A:$B)&amp;CHAR(10)&amp;CHAR(187)&amp;" "&amp;$D32,
"")</f>
        <v/>
      </c>
      <c r="AN32" s="12" cm="1">
        <f t="array" aca="1" ref="AN32" ca="1">CreateID($AN$3,$AM32&lt;&gt;"")</f>
        <v>0</v>
      </c>
      <c r="AO32" s="12" t="str">
        <f ca="1">IF(OR($D32="",OFFSET($D32,1,0)=""),"",
IF(AND($B32=Questions!$A$59,OFFSET($B32,1,0)=Questions!$A$60),
IF(MATCH($D32,Definitions!$AW:$AW,0)&gt;MATCH(OFFSET($D32,1,0),Definitions!AW:AW,0),$B32&amp;" "&amp;$L32&amp;": "&amp;$D32&amp;CHAR(10)&amp;"&lt;---&gt;"&amp;CHAR(10)&amp;OFFSET($B32,1,0)&amp;" "&amp;OFFSET($L32,1,0)&amp;": "&amp;OFFSET($D32,1,0),""),
""))</f>
        <v/>
      </c>
      <c r="AP32" s="12" cm="1">
        <f t="array" aca="1" ref="AP32" ca="1">CreateID($AP$3,$AO32&lt;&gt;"")</f>
        <v>0</v>
      </c>
      <c r="AQ32" s="12" t="str" cm="1">
        <f t="array" ref="AQ32">IF($B32=Questions!$A$18,
  _xlfn.LET(
    _xlpm._impactValue7,IFERROR(SimpleLookup(SimpleLookup($F32,Definitions!$H:$J),Definitions!$Q:$R),0),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"&amp;$F32&amp;CHAR(10)&amp;"&lt;---&gt;"&amp;CHAR(10)&amp;Questions!$A$30&amp;": "&amp;_xlpm._impactName14,
        ""))),
  "")</f>
        <v/>
      </c>
      <c r="AR32" s="12" cm="1">
        <f t="array" aca="1" ref="AR32" ca="1">CreateID($AR$3,$AQ32&lt;&gt;"")</f>
        <v>0</v>
      </c>
    </row>
    <row r="33" spans="1:44" x14ac:dyDescent="0.25">
      <c r="A33" s="116"/>
      <c r="C33" s="4" t="str" cm="1">
        <f t="array" ref="C33">IF($B33="","",CreateIndentedString($L33,Definitions!$T$4,SimpleLookup($B33,Questions!$A:$C)))</f>
        <v/>
      </c>
      <c r="J33" s="12" t="str">
        <f t="shared" si="0"/>
        <v/>
      </c>
      <c r="K33" s="12" t="str">
        <f t="shared" si="1"/>
        <v/>
      </c>
      <c r="L33" s="12" t="e" cm="1">
        <f t="array" aca="1" ref="L33" ca="1">SimpleLookup($B33,Questions!$A:$B)</f>
        <v>#N/A</v>
      </c>
      <c r="M33" s="12" cm="1">
        <f t="array" aca="1" ref="M33" ca="1">CreateID($M$3,AND($B33&lt;&gt;"",$AD33))</f>
        <v>16</v>
      </c>
      <c r="N33" s="12" cm="1">
        <f t="array" ref="N33">CreateTaskID($N$3,$N:$N,Tasks!$B$17,$H33)</f>
        <v>0</v>
      </c>
      <c r="O33" s="12" t="str">
        <f t="shared" si="2"/>
        <v/>
      </c>
      <c r="P33" s="12" cm="1">
        <f t="array" aca="1" ref="P33" ca="1">CreateID($P$3,$O33&lt;&gt;"")</f>
        <v>16</v>
      </c>
      <c r="Q33" s="12" t="str">
        <f t="shared" si="3"/>
        <v/>
      </c>
      <c r="R33" s="12" cm="1">
        <f t="array" aca="1" ref="R33" ca="1">CreateID($R$3,$Q33&lt;&gt;"")</f>
        <v>0</v>
      </c>
      <c r="S33" s="12" t="str">
        <f t="shared" si="4"/>
        <v/>
      </c>
      <c r="T33" s="12" cm="1">
        <f t="array" aca="1" ref="T33" ca="1">CreateID($T$3,$S33&lt;&gt;"")</f>
        <v>0</v>
      </c>
      <c r="U33" s="12" t="str">
        <f t="shared" si="5"/>
        <v/>
      </c>
      <c r="V33" s="12" cm="1">
        <f t="array" aca="1" ref="V33" ca="1">CreateID($V$3,$U33&lt;&gt;"")</f>
        <v>0</v>
      </c>
      <c r="W33" s="12" cm="1">
        <f t="array" aca="1" ref="W33" ca="1">CreateID($W$3,IFERROR(FIND(Definitions!$AR$4,$H33)&gt;0,FALSE))</f>
        <v>0</v>
      </c>
      <c r="X33" s="12">
        <f>_xlfn.LET(
_xlpm._comment,$H33,
_xlpm._keyWord,Definitions!$AR$4,
_xlpm._diffLen,LEN(_xlpm._comment)-LEN(SUBSTITUTE(_xlpm._comment,_xlpm._keyWord,"")),
_xlpm._diffLen/LEN(_xlpm._keyWord))</f>
        <v>0</v>
      </c>
      <c r="Y33" s="12" cm="1">
        <f t="array" aca="1" ref="Y33" ca="1">CreateID($Y$3,IFERROR(FIND(Definitions!$AR$5,$H33)&gt;0,FALSE))</f>
        <v>0</v>
      </c>
      <c r="Z33" s="12">
        <f>_xlfn.LET(
_xlpm._comment,$H33,
_xlpm._keyWord,Definitions!$AR$5,
_xlpm._diffLen,LEN(_xlpm._comment)-LEN(SUBSTITUTE(_xlpm._comment,_xlpm._keyWord,"")),
_xlpm._diffLen/LEN(_xlpm._keyWord))</f>
        <v>0</v>
      </c>
      <c r="AA33" s="12" t="b">
        <f ca="1">OR(IFERROR(_xlfn.XMATCH("*,"&amp;$B33&amp;",*",Assumptions!$AH:$AH,2)&gt;0,FALSE),
IFERROR(_xlfn.XMATCH("*,"&amp;$B33&amp;",*",Countermeasures!$AK:$AK,2)&gt;0,FALSE))</f>
        <v>0</v>
      </c>
      <c r="AB33" s="12" t="str" cm="1">
        <f t="array" ref="AB33">CreateSearchString($J33)</f>
        <v/>
      </c>
      <c r="AC33" s="12" t="str" cm="1">
        <f t="array" ref="AC33">IF($F33="","",IFERROR(SimpleLookup($F33,Definitions!$H:$J),""))</f>
        <v/>
      </c>
      <c r="AD33" s="12" t="b" cm="1">
        <f t="array" ref="AD33">IF($B33="",FALSE,SimpleLookup($B33,Questions!$A:$D)="x")</f>
        <v>0</v>
      </c>
      <c r="AE33" s="12" t="str" cm="1">
        <f t="array" ref="AE33">IF(OR($B33="",NOT($AD33)),"",SimpleLookup($B33,Questions!$A:$E))</f>
        <v/>
      </c>
      <c r="AF33" s="12" t="str" cm="1">
        <f t="array" ref="AF33">IF(OR($B33="",NOT($AD33)),"",SimpleLookup($B33,Questions!$A:$F))</f>
        <v/>
      </c>
      <c r="AG33" s="12" t="str" cm="1">
        <f t="array" ref="AG33">_xlfn.LET(
_xlpm._answer,$D33,
_xlpm._infoTextFull,IF($AD33,CHAR(10)&amp;SimpleLookup($B33,Questions!$A:$H)&amp;CHAR(10),""),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33" s="12" t="b" cm="1">
        <f t="array" ref="AH33">IF(OR($B33="",NOT($AD33)),FALSE,_xlfn.LET(
_xlpm._secondAnswerRequiredOn,SimpleLookup($B33,Questions!$A:$I),
_xlpm._firstAnwer,$D33,
IFERROR(FIND(CHAR(10)&amp;_xlpm._firstAnwer&amp;":",CHAR(10)&amp;_xlpm._secondAnswerRequiredOn)&gt;0,FALSE)))</f>
        <v>0</v>
      </c>
      <c r="AI33" s="12" t="str" cm="1">
        <f t="array" ref="AI33">IF(OR($B33="",NOT($AD33)),"",_xlfn.LET(
_xlpm._id,$B33,
_xlpm._firstAnswer,$D33,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33" s="12" t="str" cm="1">
        <f t="array" ref="AJ33">IF(OR($B33="",NOT($AD33)),"",_xlfn.LET(
_xlpm._id,$B33,
_xlpm._firstAnswer,$D33,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33" s="12" t="str" cm="1">
        <f t="array" ref="AK33">IF($AH33,_xlfn.LET(
_xlpm._answer,$F33,
_xlpm._infoTextFull,IF($AD33,CHAR(10)&amp;SimpleLookup($B33,Questions!$A:$L)&amp;CHAR(10),""),
_xlpm._startSelectedByAnswerOne,IF(_xlpm._infoTextFull="",0,FIND("___"&amp;$D33&amp;"___",_xlpm._infoTextFull)+LEN("___"&amp;$D33&amp;"___")),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33" s="12" t="b" cm="1">
        <f t="array" ref="AL33">IF(OR($B33="",NOT($AD33)),FALSE,SimpleLookup($B33,Questions!$A:$Q))</f>
        <v>0</v>
      </c>
      <c r="AM33" s="12" t="str" cm="1">
        <f t="array" aca="1" ref="AM33" ca="1">IF(AND($B33=Questions!$A$41,IFERROR(SimpleLookup(Questions!$A$36,$B:$F)=Definitions!$O$5,FALSE),$D33=Definitions!$A$5),
Questions!$A$36&amp;" "&amp;Questions!$B$36&amp;CHAR(10)&amp;CHAR(187)&amp;" "&amp;SimpleLookup(Questions!$A$36,$B:$D)&amp;CHAR(10)&amp;SimpleLookup(Questions!$A$36,$B:$E)&amp;CHAR(10)&amp;CHAR(187)&amp;" "&amp;Definitions!$O$5&amp;CHAR(10)&amp;CHAR(10)&amp;
"is incosistent with"&amp;CHAR(10)&amp;CHAR(10)&amp;
$B33&amp;" "&amp;SimpleLookup($B33,Questions!$A:$B)&amp;CHAR(10)&amp;CHAR(187)&amp;" "&amp;$D33,
"")</f>
        <v/>
      </c>
      <c r="AN33" s="12" cm="1">
        <f t="array" aca="1" ref="AN33" ca="1">CreateID($AN$3,$AM33&lt;&gt;"")</f>
        <v>0</v>
      </c>
      <c r="AO33" s="12" t="str">
        <f ca="1">IF(OR($D33="",OFFSET($D33,1,0)=""),"",
IF(AND($B33=Questions!$A$59,OFFSET($B33,1,0)=Questions!$A$60),
IF(MATCH($D33,Definitions!$AW:$AW,0)&gt;MATCH(OFFSET($D33,1,0),Definitions!AW:AW,0),$B33&amp;" "&amp;$L33&amp;": "&amp;$D33&amp;CHAR(10)&amp;"&lt;---&gt;"&amp;CHAR(10)&amp;OFFSET($B33,1,0)&amp;" "&amp;OFFSET($L33,1,0)&amp;": "&amp;OFFSET($D33,1,0),""),
""))</f>
        <v/>
      </c>
      <c r="AP33" s="12" cm="1">
        <f t="array" aca="1" ref="AP33" ca="1">CreateID($AP$3,$AO33&lt;&gt;"")</f>
        <v>0</v>
      </c>
      <c r="AQ33" s="12" t="str" cm="1">
        <f t="array" ref="AQ33">IF($B33=Questions!$A$18,
  _xlfn.LET(
    _xlpm._impactValue7,IFERROR(SimpleLookup(SimpleLookup($F33,Definitions!$H:$J),Definitions!$Q:$R),0),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"&amp;$F33&amp;CHAR(10)&amp;"&lt;---&gt;"&amp;CHAR(10)&amp;Questions!$A$30&amp;": "&amp;_xlpm._impactName14,
        ""))),
  "")</f>
        <v/>
      </c>
      <c r="AR33" s="12" cm="1">
        <f t="array" aca="1" ref="AR33" ca="1">CreateID($AR$3,$AQ33&lt;&gt;"")</f>
        <v>0</v>
      </c>
    </row>
    <row r="34" spans="1:44" ht="23.25" x14ac:dyDescent="0.35">
      <c r="A34" s="116"/>
      <c r="B34" s="68" t="s">
        <v>991</v>
      </c>
      <c r="C34" s="5" t="str" cm="1">
        <f t="array" aca="1" ref="C34" ca="1">IF($B34="","",CreateIndentedString($L34,Definitions!$T$4,SimpleLookup($B34,Questions!$A:$C)))</f>
        <v>Required  Attack  Potential</v>
      </c>
      <c r="J34" s="12" t="str">
        <f t="shared" ca="1" si="0"/>
        <v/>
      </c>
      <c r="K34" s="12" t="str">
        <f t="shared" ca="1" si="1"/>
        <v/>
      </c>
      <c r="L34" s="12" t="str" cm="1">
        <f t="array" aca="1" ref="L34" ca="1">SimpleLookup($B34,Questions!$A:$B)</f>
        <v>Required Attack Potential</v>
      </c>
      <c r="M34" s="12" cm="1">
        <f t="array" aca="1" ref="M34" ca="1">CreateID($M$3,AND($B34&lt;&gt;"",$AD34))</f>
        <v>16</v>
      </c>
      <c r="N34" s="12" cm="1">
        <f t="array" ref="N34">CreateTaskID($N$3,$N:$N,Tasks!$B$17,$H34)</f>
        <v>0</v>
      </c>
      <c r="O34" s="12" t="str">
        <f t="shared" ca="1" si="2"/>
        <v/>
      </c>
      <c r="P34" s="12" cm="1">
        <f t="array" aca="1" ref="P34" ca="1">CreateID($P$3,$O34&lt;&gt;"")</f>
        <v>16</v>
      </c>
      <c r="Q34" s="12" t="str">
        <f t="shared" si="3"/>
        <v/>
      </c>
      <c r="R34" s="12" cm="1">
        <f t="array" aca="1" ref="R34" ca="1">CreateID($R$3,$Q34&lt;&gt;"")</f>
        <v>0</v>
      </c>
      <c r="S34" s="12" t="str">
        <f t="shared" si="4"/>
        <v/>
      </c>
      <c r="T34" s="12" cm="1">
        <f t="array" aca="1" ref="T34" ca="1">CreateID($T$3,$S34&lt;&gt;"")</f>
        <v>0</v>
      </c>
      <c r="U34" s="12" t="str">
        <f t="shared" ca="1" si="5"/>
        <v/>
      </c>
      <c r="V34" s="12" cm="1">
        <f t="array" aca="1" ref="V34" ca="1">CreateID($V$3,$U34&lt;&gt;"")</f>
        <v>0</v>
      </c>
      <c r="W34" s="12" cm="1">
        <f t="array" aca="1" ref="W34" ca="1">CreateID($W$3,IFERROR(FIND(Definitions!$AR$4,$H34)&gt;0,FALSE))</f>
        <v>0</v>
      </c>
      <c r="X34" s="12">
        <f>_xlfn.LET(
_xlpm._comment,$H34,
_xlpm._keyWord,Definitions!$AR$4,
_xlpm._diffLen,LEN(_xlpm._comment)-LEN(SUBSTITUTE(_xlpm._comment,_xlpm._keyWord,"")),
_xlpm._diffLen/LEN(_xlpm._keyWord))</f>
        <v>0</v>
      </c>
      <c r="Y34" s="12" cm="1">
        <f t="array" aca="1" ref="Y34" ca="1">CreateID($Y$3,IFERROR(FIND(Definitions!$AR$5,$H34)&gt;0,FALSE))</f>
        <v>0</v>
      </c>
      <c r="Z34" s="12">
        <f>_xlfn.LET(
_xlpm._comment,$H34,
_xlpm._keyWord,Definitions!$AR$5,
_xlpm._diffLen,LEN(_xlpm._comment)-LEN(SUBSTITUTE(_xlpm._comment,_xlpm._keyWord,"")),
_xlpm._diffLen/LEN(_xlpm._keyWord))</f>
        <v>0</v>
      </c>
      <c r="AA34" s="12" t="b">
        <f ca="1">OR(IFERROR(_xlfn.XMATCH("*,"&amp;$B34&amp;",*",Assumptions!$AH:$AH,2)&gt;0,FALSE),
IFERROR(_xlfn.XMATCH("*,"&amp;$B34&amp;",*",Countermeasures!$AK:$AK,2)&gt;0,FALSE))</f>
        <v>0</v>
      </c>
      <c r="AB34" s="12" t="str" cm="1">
        <f t="array" aca="1" ref="AB34" ca="1">CreateSearchString($J34)</f>
        <v/>
      </c>
      <c r="AC34" s="12" t="str" cm="1">
        <f t="array" ref="AC34">IF($F34="","",IFERROR(SimpleLookup($F34,Definitions!$H:$J),""))</f>
        <v/>
      </c>
      <c r="AD34" s="12" t="b" cm="1">
        <f t="array" aca="1" ref="AD34" ca="1">IF($B34="",FALSE,SimpleLookup($B34,Questions!$A:$D)="x")</f>
        <v>0</v>
      </c>
      <c r="AE34" s="12" t="str" cm="1">
        <f t="array" aca="1" ref="AE34" ca="1">IF(OR($B34="",NOT($AD34)),"",SimpleLookup($B34,Questions!$A:$E))</f>
        <v/>
      </c>
      <c r="AF34" s="12" t="str" cm="1">
        <f t="array" aca="1" ref="AF34" ca="1">IF(OR($B34="",NOT($AD34)),"",SimpleLookup($B34,Questions!$A:$F))</f>
        <v/>
      </c>
      <c r="AG34" s="12" t="str" cm="1">
        <f t="array" aca="1" ref="AG34" ca="1">_xlfn.LET(
_xlpm._answer,$D34,
_xlpm._infoTextFull,IF($AD34,CHAR(10)&amp;SimpleLookup($B34,Questions!$A:$H)&amp;CHAR(10),""),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34" s="12" t="b" cm="1">
        <f t="array" aca="1" ref="AH34" ca="1">IF(OR($B34="",NOT($AD34)),FALSE,_xlfn.LET(
_xlpm._secondAnswerRequiredOn,SimpleLookup($B34,Questions!$A:$I),
_xlpm._firstAnwer,$D34,
IFERROR(FIND(CHAR(10)&amp;_xlpm._firstAnwer&amp;":",CHAR(10)&amp;_xlpm._secondAnswerRequiredOn)&gt;0,FALSE)))</f>
        <v>0</v>
      </c>
      <c r="AI34" s="12" t="str" cm="1">
        <f t="array" aca="1" ref="AI34" ca="1">IF(OR($B34="",NOT($AD34)),"",_xlfn.LET(
_xlpm._id,$B34,
_xlpm._firstAnswer,$D34,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34" s="12" t="str" cm="1">
        <f t="array" aca="1" ref="AJ34" ca="1">IF(OR($B34="",NOT($AD34)),"",_xlfn.LET(
_xlpm._id,$B34,
_xlpm._firstAnswer,$D34,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34" s="12" t="str" cm="1">
        <f t="array" aca="1" ref="AK34" ca="1">IF($AH34,_xlfn.LET(
_xlpm._answer,$F34,
_xlpm._infoTextFull,IF($AD34,CHAR(10)&amp;SimpleLookup($B34,Questions!$A:$L)&amp;CHAR(10),""),
_xlpm._startSelectedByAnswerOne,IF(_xlpm._infoTextFull="",0,FIND("___"&amp;$D34&amp;"___",_xlpm._infoTextFull)+LEN("___"&amp;$D34&amp;"___")),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34" s="12" t="b" cm="1">
        <f t="array" aca="1" ref="AL34" ca="1">IF(OR($B34="",NOT($AD34)),FALSE,SimpleLookup($B34,Questions!$A:$Q))</f>
        <v>0</v>
      </c>
      <c r="AM34" s="12" t="str" cm="1">
        <f t="array" aca="1" ref="AM34" ca="1">IF(AND($B34=Questions!$A$41,IFERROR(SimpleLookup(Questions!$A$36,$B:$F)=Definitions!$O$5,FALSE),$D34=Definitions!$A$5),
Questions!$A$36&amp;" "&amp;Questions!$B$36&amp;CHAR(10)&amp;CHAR(187)&amp;" "&amp;SimpleLookup(Questions!$A$36,$B:$D)&amp;CHAR(10)&amp;SimpleLookup(Questions!$A$36,$B:$E)&amp;CHAR(10)&amp;CHAR(187)&amp;" "&amp;Definitions!$O$5&amp;CHAR(10)&amp;CHAR(10)&amp;
"is incosistent with"&amp;CHAR(10)&amp;CHAR(10)&amp;
$B34&amp;" "&amp;SimpleLookup($B34,Questions!$A:$B)&amp;CHAR(10)&amp;CHAR(187)&amp;" "&amp;$D34,
"")</f>
        <v/>
      </c>
      <c r="AN34" s="12" cm="1">
        <f t="array" aca="1" ref="AN34" ca="1">CreateID($AN$3,$AM34&lt;&gt;"")</f>
        <v>0</v>
      </c>
      <c r="AO34" s="12" t="str">
        <f ca="1">IF(OR($D34="",OFFSET($D34,1,0)=""),"",
IF(AND($B34=Questions!$A$59,OFFSET($B34,1,0)=Questions!$A$60),
IF(MATCH($D34,Definitions!$AW:$AW,0)&gt;MATCH(OFFSET($D34,1,0),Definitions!AW:AW,0),$B34&amp;" "&amp;$L34&amp;": "&amp;$D34&amp;CHAR(10)&amp;"&lt;---&gt;"&amp;CHAR(10)&amp;OFFSET($B34,1,0)&amp;" "&amp;OFFSET($L34,1,0)&amp;": "&amp;OFFSET($D34,1,0),""),
""))</f>
        <v/>
      </c>
      <c r="AP34" s="12" cm="1">
        <f t="array" aca="1" ref="AP34" ca="1">CreateID($AP$3,$AO34&lt;&gt;"")</f>
        <v>0</v>
      </c>
      <c r="AQ34" s="12" t="str" cm="1">
        <f t="array" ref="AQ34">IF($B34=Questions!$A$18,
  _xlfn.LET(
    _xlpm._impactValue7,IFERROR(SimpleLookup(SimpleLookup($F34,Definitions!$H:$J),Definitions!$Q:$R),0),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"&amp;$F34&amp;CHAR(10)&amp;"&lt;---&gt;"&amp;CHAR(10)&amp;Questions!$A$30&amp;": "&amp;_xlpm._impactName14,
        ""))),
  "")</f>
        <v/>
      </c>
      <c r="AR34" s="12" cm="1">
        <f t="array" aca="1" ref="AR34" ca="1">CreateID($AR$3,$AQ34&lt;&gt;"")</f>
        <v>0</v>
      </c>
    </row>
    <row r="35" spans="1:44" x14ac:dyDescent="0.25">
      <c r="A35" s="116" t="str">
        <f ca="1">HYPERLINK("#'"&amp;Helper!$G$22&amp;"'!A"&amp;MATCH($B35,'Answering Guideline'!$A:$A,0),Definitions!$AY$4)</f>
        <v>◈</v>
      </c>
      <c r="B35" s="68" t="s">
        <v>865</v>
      </c>
      <c r="C35" s="4" t="str" cm="1">
        <f t="array" aca="1" ref="C35" ca="1">IF($B35="","",CreateIndentedString($L35,Definitions!$T$4,SimpleLookup($B35,Questions!$A:$C)))</f>
        <v>Does  the  product  have  any  connectivity?</v>
      </c>
      <c r="E35" s="7" t="str">
        <f ca="1">$AG35</f>
        <v/>
      </c>
      <c r="G35" s="7" t="str">
        <f ca="1">$AK35</f>
        <v/>
      </c>
      <c r="J35" s="12" t="str">
        <f t="shared" ca="1" si="0"/>
        <v>QA1[]</v>
      </c>
      <c r="K35" s="12" t="str">
        <f t="shared" ca="1" si="1"/>
        <v>QA1[]</v>
      </c>
      <c r="L35" s="12" t="str" cm="1">
        <f t="array" aca="1" ref="L35" ca="1">SimpleLookup($B35,Questions!$A:$B)</f>
        <v>Does the product have any connectivity?</v>
      </c>
      <c r="M35" s="12" cm="1">
        <f t="array" aca="1" ref="M35" ca="1">CreateID($M$3,AND($B35&lt;&gt;"",$AD35))</f>
        <v>17</v>
      </c>
      <c r="N35" s="12" cm="1">
        <f t="array" ref="N35">CreateTaskID($N$3,$N:$N,Tasks!$B$17,$H35)</f>
        <v>0</v>
      </c>
      <c r="O35" s="12" t="str">
        <f t="shared" ca="1" si="2"/>
        <v>QA1 Does the product have any connectivity?</v>
      </c>
      <c r="P35" s="12" cm="1">
        <f t="array" aca="1" ref="P35" ca="1">CreateID($P$3,$O35&lt;&gt;"")</f>
        <v>17</v>
      </c>
      <c r="Q35" s="12" t="str">
        <f t="shared" ca="1" si="3"/>
        <v/>
      </c>
      <c r="R35" s="12" cm="1">
        <f t="array" aca="1" ref="R35" ca="1">CreateID($R$3,$Q35&lt;&gt;"")</f>
        <v>0</v>
      </c>
      <c r="S35" s="12" t="str">
        <f t="shared" ca="1" si="4"/>
        <v/>
      </c>
      <c r="T35" s="12" cm="1">
        <f t="array" aca="1" ref="T35" ca="1">CreateID($T$3,$S35&lt;&gt;"")</f>
        <v>0</v>
      </c>
      <c r="U35" s="12" t="str">
        <f t="shared" ca="1" si="5"/>
        <v/>
      </c>
      <c r="V35" s="12" cm="1">
        <f t="array" aca="1" ref="V35" ca="1">CreateID($V$3,$U35&lt;&gt;"")</f>
        <v>0</v>
      </c>
      <c r="W35" s="12" cm="1">
        <f t="array" aca="1" ref="W35" ca="1">CreateID($W$3,IFERROR(FIND(Definitions!$AR$4,$H35)&gt;0,FALSE))</f>
        <v>0</v>
      </c>
      <c r="X35" s="12">
        <f>_xlfn.LET(
_xlpm._comment,$H35,
_xlpm._keyWord,Definitions!$AR$4,
_xlpm._diffLen,LEN(_xlpm._comment)-LEN(SUBSTITUTE(_xlpm._comment,_xlpm._keyWord,"")),
_xlpm._diffLen/LEN(_xlpm._keyWord))</f>
        <v>0</v>
      </c>
      <c r="Y35" s="12" cm="1">
        <f t="array" aca="1" ref="Y35" ca="1">CreateID($Y$3,IFERROR(FIND(Definitions!$AR$5,$H35)&gt;0,FALSE))</f>
        <v>0</v>
      </c>
      <c r="Z35" s="12">
        <f>_xlfn.LET(
_xlpm._comment,$H35,
_xlpm._keyWord,Definitions!$AR$5,
_xlpm._diffLen,LEN(_xlpm._comment)-LEN(SUBSTITUTE(_xlpm._comment,_xlpm._keyWord,"")),
_xlpm._diffLen/LEN(_xlpm._keyWord))</f>
        <v>0</v>
      </c>
      <c r="AA35" s="12" t="b">
        <f ca="1">OR(IFERROR(_xlfn.XMATCH("*,"&amp;$B35&amp;",*",Assumptions!$AH:$AH,2)&gt;0,FALSE),
IFERROR(_xlfn.XMATCH("*,"&amp;$B35&amp;",*",Countermeasures!$AK:$AK,2)&gt;0,FALSE))</f>
        <v>0</v>
      </c>
      <c r="AB35" s="12" t="str" cm="1">
        <f t="array" aca="1" ref="AB35" ca="1">CreateSearchString($J35)</f>
        <v>,QA1[],</v>
      </c>
      <c r="AC35" s="12" t="str" cm="1">
        <f t="array" ref="AC35">IF($F35="","",IFERROR(SimpleLookup($F35,Definitions!$H:$J),""))</f>
        <v/>
      </c>
      <c r="AD35" s="12" t="b" cm="1">
        <f t="array" aca="1" ref="AD35" ca="1">IF($B35="",FALSE,SimpleLookup($B35,Questions!$A:$D)="x")</f>
        <v>1</v>
      </c>
      <c r="AE35" s="12" t="str" cm="1">
        <f t="array" aca="1" ref="AE35" ca="1">IF(OR($B35="",NOT($AD35)),"",SimpleLookup($B35,Questions!$A:$E))</f>
        <v>'[QuBA-libre.xlsx]Definitions'!$A$4</v>
      </c>
      <c r="AF35" s="12" cm="1">
        <f t="array" aca="1" ref="AF35" ca="1">IF(OR($B35="",NOT($AD35)),"",SimpleLookup($B35,Questions!$A:$F))</f>
        <v>2</v>
      </c>
      <c r="AG35" s="12" t="str" cm="1">
        <f t="array" aca="1" ref="AG35" ca="1">_xlfn.LET(
_xlpm._answer,$D35,
_xlpm._infoTextFull,IF($AD35,CHAR(10)&amp;SimpleLookup($B35,Questions!$A:$H)&amp;CHAR(10),""),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35" s="12" t="b" cm="1">
        <f t="array" aca="1" ref="AH35" ca="1">IF(OR($B35="",NOT($AD35)),FALSE,_xlfn.LET(
_xlpm._secondAnswerRequiredOn,SimpleLookup($B35,Questions!$A:$I),
_xlpm._firstAnwer,$D35,
IFERROR(FIND(CHAR(10)&amp;_xlpm._firstAnwer&amp;":",CHAR(10)&amp;_xlpm._secondAnswerRequiredOn)&gt;0,FALSE)))</f>
        <v>0</v>
      </c>
      <c r="AI35" s="12" t="str" cm="1">
        <f t="array" aca="1" ref="AI35" ca="1">IF(OR($B35="",NOT($AD35)),"",_xlfn.LET(
_xlpm._id,$B35,
_xlpm._firstAnswer,$D35,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35" s="12" t="str" cm="1">
        <f t="array" aca="1" ref="AJ35" ca="1">IF(OR($B35="",NOT($AD35)),"",_xlfn.LET(
_xlpm._id,$B35,
_xlpm._firstAnswer,$D35,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35" s="12" t="str" cm="1">
        <f t="array" aca="1" ref="AK35" ca="1">IF($AH35,_xlfn.LET(
_xlpm._answer,$F35,
_xlpm._infoTextFull,IF($AD35,CHAR(10)&amp;SimpleLookup($B35,Questions!$A:$L)&amp;CHAR(10),""),
_xlpm._startSelectedByAnswerOne,IF(_xlpm._infoTextFull="",0,FIND("___"&amp;$D35&amp;"___",_xlpm._infoTextFull)+LEN("___"&amp;$D35&amp;"___")),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35" s="12" t="b" cm="1">
        <f t="array" aca="1" ref="AL35" ca="1">IF(OR($B35="",NOT($AD35)),FALSE,SimpleLookup($B35,Questions!$A:$Q))</f>
        <v>0</v>
      </c>
      <c r="AM35" s="12" t="str" cm="1">
        <f t="array" aca="1" ref="AM35" ca="1">IF(AND($B35=Questions!$A$41,IFERROR(SimpleLookup(Questions!$A$36,$B:$F)=Definitions!$O$5,FALSE),$D35=Definitions!$A$5),
Questions!$A$36&amp;" "&amp;Questions!$B$36&amp;CHAR(10)&amp;CHAR(187)&amp;" "&amp;SimpleLookup(Questions!$A$36,$B:$D)&amp;CHAR(10)&amp;SimpleLookup(Questions!$A$36,$B:$E)&amp;CHAR(10)&amp;CHAR(187)&amp;" "&amp;Definitions!$O$5&amp;CHAR(10)&amp;CHAR(10)&amp;
"is incosistent with"&amp;CHAR(10)&amp;CHAR(10)&amp;
$B35&amp;" "&amp;SimpleLookup($B35,Questions!$A:$B)&amp;CHAR(10)&amp;CHAR(187)&amp;" "&amp;$D35,
"")</f>
        <v/>
      </c>
      <c r="AN35" s="12" cm="1">
        <f t="array" aca="1" ref="AN35" ca="1">CreateID($AN$3,$AM35&lt;&gt;"")</f>
        <v>0</v>
      </c>
      <c r="AO35" s="12" t="str">
        <f ca="1">IF(OR($D35="",OFFSET($D35,1,0)=""),"",
IF(AND($B35=Questions!$A$59,OFFSET($B35,1,0)=Questions!$A$60),
IF(MATCH($D35,Definitions!$AW:$AW,0)&gt;MATCH(OFFSET($D35,1,0),Definitions!AW:AW,0),$B35&amp;" "&amp;$L35&amp;": "&amp;$D35&amp;CHAR(10)&amp;"&lt;---&gt;"&amp;CHAR(10)&amp;OFFSET($B35,1,0)&amp;" "&amp;OFFSET($L35,1,0)&amp;": "&amp;OFFSET($D35,1,0),""),
""))</f>
        <v/>
      </c>
      <c r="AP35" s="12" cm="1">
        <f t="array" aca="1" ref="AP35" ca="1">CreateID($AP$3,$AO35&lt;&gt;"")</f>
        <v>0</v>
      </c>
      <c r="AQ35" s="12" t="str" cm="1">
        <f t="array" ref="AQ35">IF($B35=Questions!$A$18,
  _xlfn.LET(
    _xlpm._impactValue7,IFERROR(SimpleLookup(SimpleLookup($F35,Definitions!$H:$J),Definitions!$Q:$R),0),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"&amp;$F35&amp;CHAR(10)&amp;"&lt;---&gt;"&amp;CHAR(10)&amp;Questions!$A$30&amp;": "&amp;_xlpm._impactName14,
        ""))),
  "")</f>
        <v/>
      </c>
      <c r="AR35" s="12" cm="1">
        <f t="array" aca="1" ref="AR35" ca="1">CreateID($AR$3,$AQ35&lt;&gt;"")</f>
        <v>0</v>
      </c>
    </row>
    <row r="36" spans="1:44" ht="45" x14ac:dyDescent="0.25">
      <c r="A36" s="116" t="str">
        <f ca="1">HYPERLINK("#'"&amp;Helper!$G$22&amp;"'!A"&amp;MATCH($B36,'Answering Guideline'!$A:$A,0),Definitions!$AY$4)</f>
        <v>◈</v>
      </c>
      <c r="B36" s="68" t="s">
        <v>868</v>
      </c>
      <c r="C36" s="4" t="str" cm="1">
        <f t="array" aca="1" ref="C36" ca="1">IF($B36="","",CreateIndentedString($L36,Definitions!$T$4,SimpleLookup($B36,Questions!$A:$C)))</f>
        <v>Does  the  product  connect  two  networks  to  each  other
(e.g.,  as  a  gateway)?</v>
      </c>
      <c r="E36" s="7" t="str">
        <f ca="1">$AG36</f>
        <v/>
      </c>
      <c r="G36" s="7" t="str">
        <f ca="1">$AK36</f>
        <v/>
      </c>
      <c r="J36" s="12" t="str">
        <f t="shared" ref="J36:J69" ca="1" si="6">IF($AD36,SUBSTITUTE(IF($B36="","",$B36&amp;"["&amp;$D36&amp;IF($F36="","","|"&amp;$F36)&amp;"]")," ",""),"")</f>
        <v>QA2[]</v>
      </c>
      <c r="K36" s="12" t="str">
        <f t="shared" ref="K36:K69" ca="1" si="7">IF($AD36,SUBSTITUTE(IF($B36="","",$B36&amp;"["&amp;$D36&amp;IF($F36="","]","|*]"))," ",""),"")</f>
        <v>QA2[]</v>
      </c>
      <c r="L36" s="12" t="str" cm="1">
        <f t="array" aca="1" ref="L36" ca="1">SimpleLookup($B36,Questions!$A:$B)</f>
        <v>Does the product connect two networks to each other (e.g., as a gateway)?</v>
      </c>
      <c r="M36" s="12" cm="1">
        <f t="array" aca="1" ref="M36" ca="1">CreateID($M$3,AND($B36&lt;&gt;"",$AD36))</f>
        <v>18</v>
      </c>
      <c r="N36" s="12" cm="1">
        <f t="array" ref="N36">CreateTaskID($N$3,$N:$N,Tasks!$B$17,$H36)</f>
        <v>0</v>
      </c>
      <c r="O36" s="12" t="str">
        <f t="shared" ref="O36:O67" ca="1" si="8">IF($AD36,IF(AND($B36&lt;&gt;"",$D36="",$AL36=FALSE),$B36&amp;" "&amp;$L36,""),"")</f>
        <v>QA2 Does the product connect two networks to each other (e.g., as a gateway)?</v>
      </c>
      <c r="P36" s="12" cm="1">
        <f t="array" aca="1" ref="P36" ca="1">CreateID($P$3,$O36&lt;&gt;"")</f>
        <v>18</v>
      </c>
      <c r="Q36" s="12" t="str">
        <f t="shared" ref="Q36:Q69" ca="1" si="9">IF(AND($E36&lt;&gt;"",$F36=""),$B36&amp;" "&amp;$L36,"")</f>
        <v/>
      </c>
      <c r="R36" s="12" cm="1">
        <f t="array" aca="1" ref="R36" ca="1">CreateID($R$3,$Q36&lt;&gt;"")</f>
        <v>0</v>
      </c>
      <c r="S36" s="12" t="str">
        <f t="shared" ref="S36:S69" ca="1" si="10">IF(AND($G36&lt;&gt;"",$H36=""),$B36&amp;" "&amp;$L36,"")</f>
        <v/>
      </c>
      <c r="T36" s="12" cm="1">
        <f t="array" aca="1" ref="T36" ca="1">CreateID($T$3,$S36&lt;&gt;"")</f>
        <v>0</v>
      </c>
      <c r="U36" s="12" t="str">
        <f t="shared" ref="U36:U69" ca="1" si="11">IF($B36="","",IF(AND(NOT($AH36),$F36&lt;&gt;""),$B36&amp;" "&amp;$L36,""))</f>
        <v/>
      </c>
      <c r="V36" s="12" cm="1">
        <f t="array" aca="1" ref="V36" ca="1">CreateID($V$3,$U36&lt;&gt;"")</f>
        <v>0</v>
      </c>
      <c r="W36" s="12" cm="1">
        <f t="array" aca="1" ref="W36" ca="1">CreateID($W$3,IFERROR(FIND(Definitions!$AR$4,$H36)&gt;0,FALSE))</f>
        <v>0</v>
      </c>
      <c r="X36" s="12">
        <f>_xlfn.LET(
_xlpm._comment,$H36,
_xlpm._keyWord,Definitions!$AR$4,
_xlpm._diffLen,LEN(_xlpm._comment)-LEN(SUBSTITUTE(_xlpm._comment,_xlpm._keyWord,"")),
_xlpm._diffLen/LEN(_xlpm._keyWord))</f>
        <v>0</v>
      </c>
      <c r="Y36" s="12" cm="1">
        <f t="array" aca="1" ref="Y36" ca="1">CreateID($Y$3,IFERROR(FIND(Definitions!$AR$5,$H36)&gt;0,FALSE))</f>
        <v>0</v>
      </c>
      <c r="Z36" s="12">
        <f>_xlfn.LET(
_xlpm._comment,$H36,
_xlpm._keyWord,Definitions!$AR$5,
_xlpm._diffLen,LEN(_xlpm._comment)-LEN(SUBSTITUTE(_xlpm._comment,_xlpm._keyWord,"")),
_xlpm._diffLen/LEN(_xlpm._keyWord))</f>
        <v>0</v>
      </c>
      <c r="AA36" s="12" t="b">
        <f ca="1">OR(IFERROR(_xlfn.XMATCH("*,"&amp;$B36&amp;",*",Assumptions!$AH:$AH,2)&gt;0,FALSE),
IFERROR(_xlfn.XMATCH("*,"&amp;$B36&amp;",*",Countermeasures!$AK:$AK,2)&gt;0,FALSE))</f>
        <v>0</v>
      </c>
      <c r="AB36" s="12" t="str" cm="1">
        <f t="array" aca="1" ref="AB36" ca="1">CreateSearchString($J36)</f>
        <v>,QA2[],</v>
      </c>
      <c r="AC36" s="12" t="str" cm="1">
        <f t="array" ref="AC36">IF($F36="","",IFERROR(SimpleLookup($F36,Definitions!$H:$J),""))</f>
        <v/>
      </c>
      <c r="AD36" s="12" t="b" cm="1">
        <f t="array" aca="1" ref="AD36" ca="1">IF($B36="",FALSE,SimpleLookup($B36,Questions!$A:$D)="x")</f>
        <v>1</v>
      </c>
      <c r="AE36" s="12" t="str" cm="1">
        <f t="array" aca="1" ref="AE36" ca="1">IF(OR($B36="",NOT($AD36)),"",SimpleLookup($B36,Questions!$A:$E))</f>
        <v>'[QuBA-libre.xlsx]Definitions'!$A$4</v>
      </c>
      <c r="AF36" s="12" cm="1">
        <f t="array" aca="1" ref="AF36" ca="1">IF(OR($B36="",NOT($AD36)),"",SimpleLookup($B36,Questions!$A:$F))</f>
        <v>2</v>
      </c>
      <c r="AG36" s="12" t="str" cm="1">
        <f t="array" aca="1" ref="AG36" ca="1">_xlfn.LET(
_xlpm._answer,$D36,
_xlpm._infoTextFull,IF($AD36,CHAR(10)&amp;SimpleLookup($B36,Questions!$A:$H)&amp;CHAR(10),""),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36" s="12" t="b" cm="1">
        <f t="array" aca="1" ref="AH36" ca="1">IF(OR($B36="",NOT($AD36)),FALSE,_xlfn.LET(
_xlpm._secondAnswerRequiredOn,SimpleLookup($B36,Questions!$A:$I),
_xlpm._firstAnwer,$D36,
IFERROR(FIND(CHAR(10)&amp;_xlpm._firstAnwer&amp;":",CHAR(10)&amp;_xlpm._secondAnswerRequiredOn)&gt;0,FALSE)))</f>
        <v>0</v>
      </c>
      <c r="AI36" s="12" t="str" cm="1">
        <f t="array" aca="1" ref="AI36" ca="1">IF(OR($B36="",NOT($AD36)),"",_xlfn.LET(
_xlpm._id,$B36,
_xlpm._firstAnswer,$D36,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'[QuBA-libre.xlsx]Definitions'!$O$4</v>
      </c>
      <c r="AJ36" s="12" cm="1">
        <f t="array" aca="1" ref="AJ36" ca="1">IF(OR($B36="",NOT($AD36)),"",_xlfn.LET(
_xlpm._id,$B36,
_xlpm._firstAnswer,$D36,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2</v>
      </c>
      <c r="AK36" s="12" t="str" cm="1">
        <f t="array" aca="1" ref="AK36" ca="1">IF($AH36,_xlfn.LET(
_xlpm._answer,$F36,
_xlpm._infoTextFull,IF($AD36,CHAR(10)&amp;SimpleLookup($B36,Questions!$A:$L)&amp;CHAR(10),""),
_xlpm._startSelectedByAnswerOne,IF(_xlpm._infoTextFull="",0,FIND("___"&amp;$D36&amp;"___",_xlpm._infoTextFull)+LEN("___"&amp;$D36&amp;"___")),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36" s="12" t="b" cm="1">
        <f t="array" aca="1" ref="AL36" ca="1">IF(OR($B36="",NOT($AD36)),FALSE,SimpleLookup($B36,Questions!$A:$Q))</f>
        <v>0</v>
      </c>
      <c r="AM36" s="12" t="str" cm="1">
        <f t="array" aca="1" ref="AM36" ca="1">IF(AND($B36=Questions!$A$41,IFERROR(SimpleLookup(Questions!$A$36,$B:$F)=Definitions!$O$5,FALSE),$D36=Definitions!$A$5),
Questions!$A$36&amp;" "&amp;Questions!$B$36&amp;CHAR(10)&amp;CHAR(187)&amp;" "&amp;SimpleLookup(Questions!$A$36,$B:$D)&amp;CHAR(10)&amp;SimpleLookup(Questions!$A$36,$B:$E)&amp;CHAR(10)&amp;CHAR(187)&amp;" "&amp;Definitions!$O$5&amp;CHAR(10)&amp;CHAR(10)&amp;
"is incosistent with"&amp;CHAR(10)&amp;CHAR(10)&amp;
$B36&amp;" "&amp;SimpleLookup($B36,Questions!$A:$B)&amp;CHAR(10)&amp;CHAR(187)&amp;" "&amp;$D36,
"")</f>
        <v/>
      </c>
      <c r="AN36" s="12" cm="1">
        <f t="array" aca="1" ref="AN36" ca="1">CreateID($AN$3,$AM36&lt;&gt;"")</f>
        <v>0</v>
      </c>
      <c r="AO36" s="12" t="str">
        <f ca="1">IF(OR($D36="",OFFSET($D36,1,0)=""),"",
IF(AND($B36=Questions!$A$59,OFFSET($B36,1,0)=Questions!$A$60),
IF(MATCH($D36,Definitions!$AW:$AW,0)&gt;MATCH(OFFSET($D36,1,0),Definitions!AW:AW,0),$B36&amp;" "&amp;$L36&amp;": "&amp;$D36&amp;CHAR(10)&amp;"&lt;---&gt;"&amp;CHAR(10)&amp;OFFSET($B36,1,0)&amp;" "&amp;OFFSET($L36,1,0)&amp;": "&amp;OFFSET($D36,1,0),""),
""))</f>
        <v/>
      </c>
      <c r="AP36" s="12" cm="1">
        <f t="array" aca="1" ref="AP36" ca="1">CreateID($AP$3,$AO36&lt;&gt;"")</f>
        <v>0</v>
      </c>
      <c r="AQ36" s="12" t="str" cm="1">
        <f t="array" ref="AQ36">IF($B36=Questions!$A$18,
  _xlfn.LET(
    _xlpm._impactValue7,IFERROR(SimpleLookup(SimpleLookup($F36,Definitions!$H:$J),Definitions!$Q:$R),0),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"&amp;$F36&amp;CHAR(10)&amp;"&lt;---&gt;"&amp;CHAR(10)&amp;Questions!$A$30&amp;": "&amp;_xlpm._impactName14,
        ""))),
  "")</f>
        <v/>
      </c>
      <c r="AR36" s="12" cm="1">
        <f t="array" aca="1" ref="AR36" ca="1">CreateID($AR$3,$AQ36&lt;&gt;"")</f>
        <v>0</v>
      </c>
    </row>
    <row r="37" spans="1:44" x14ac:dyDescent="0.25">
      <c r="A37" s="116"/>
      <c r="B37" s="68" t="s">
        <v>992</v>
      </c>
      <c r="C37" s="4" t="str" cm="1">
        <f t="array" aca="1" ref="C37" ca="1">IF($B37="","",CreateIndentedString($L37,Definitions!$T$4,SimpleLookup($B37,Questions!$A:$C)))</f>
        <v>Physical  communication</v>
      </c>
      <c r="J37" s="12" t="str">
        <f t="shared" ca="1" si="6"/>
        <v/>
      </c>
      <c r="K37" s="12" t="str">
        <f t="shared" ca="1" si="7"/>
        <v/>
      </c>
      <c r="L37" s="12" t="str" cm="1">
        <f t="array" aca="1" ref="L37" ca="1">SimpleLookup($B37,Questions!$A:$B)</f>
        <v>Physical communication</v>
      </c>
      <c r="M37" s="12" cm="1">
        <f t="array" aca="1" ref="M37" ca="1">CreateID($M$3,AND($B37&lt;&gt;"",$AD37))</f>
        <v>18</v>
      </c>
      <c r="N37" s="12" cm="1">
        <f t="array" ref="N37">CreateTaskID($N$3,$N:$N,Tasks!$B$17,$H37)</f>
        <v>0</v>
      </c>
      <c r="O37" s="12" t="str">
        <f t="shared" ca="1" si="8"/>
        <v/>
      </c>
      <c r="P37" s="12" cm="1">
        <f t="array" aca="1" ref="P37" ca="1">CreateID($P$3,$O37&lt;&gt;"")</f>
        <v>18</v>
      </c>
      <c r="Q37" s="12" t="str">
        <f t="shared" si="9"/>
        <v/>
      </c>
      <c r="R37" s="12" cm="1">
        <f t="array" aca="1" ref="R37" ca="1">CreateID($R$3,$Q37&lt;&gt;"")</f>
        <v>0</v>
      </c>
      <c r="S37" s="12" t="str">
        <f t="shared" si="10"/>
        <v/>
      </c>
      <c r="T37" s="12" cm="1">
        <f t="array" aca="1" ref="T37" ca="1">CreateID($T$3,$S37&lt;&gt;"")</f>
        <v>0</v>
      </c>
      <c r="U37" s="12" t="str">
        <f t="shared" ca="1" si="11"/>
        <v/>
      </c>
      <c r="V37" s="12" cm="1">
        <f t="array" aca="1" ref="V37" ca="1">CreateID($V$3,$U37&lt;&gt;"")</f>
        <v>0</v>
      </c>
      <c r="W37" s="12" cm="1">
        <f t="array" aca="1" ref="W37" ca="1">CreateID($W$3,IFERROR(FIND(Definitions!$AR$4,$H37)&gt;0,FALSE))</f>
        <v>0</v>
      </c>
      <c r="X37" s="12">
        <f>_xlfn.LET(
_xlpm._comment,$H37,
_xlpm._keyWord,Definitions!$AR$4,
_xlpm._diffLen,LEN(_xlpm._comment)-LEN(SUBSTITUTE(_xlpm._comment,_xlpm._keyWord,"")),
_xlpm._diffLen/LEN(_xlpm._keyWord))</f>
        <v>0</v>
      </c>
      <c r="Y37" s="12" cm="1">
        <f t="array" aca="1" ref="Y37" ca="1">CreateID($Y$3,IFERROR(FIND(Definitions!$AR$5,$H37)&gt;0,FALSE))</f>
        <v>0</v>
      </c>
      <c r="Z37" s="12">
        <f>_xlfn.LET(
_xlpm._comment,$H37,
_xlpm._keyWord,Definitions!$AR$5,
_xlpm._diffLen,LEN(_xlpm._comment)-LEN(SUBSTITUTE(_xlpm._comment,_xlpm._keyWord,"")),
_xlpm._diffLen/LEN(_xlpm._keyWord))</f>
        <v>0</v>
      </c>
      <c r="AA37" s="12" t="b">
        <f ca="1">OR(IFERROR(_xlfn.XMATCH("*,"&amp;$B37&amp;",*",Assumptions!$AH:$AH,2)&gt;0,FALSE),
IFERROR(_xlfn.XMATCH("*,"&amp;$B37&amp;",*",Countermeasures!$AK:$AK,2)&gt;0,FALSE))</f>
        <v>0</v>
      </c>
      <c r="AB37" s="12" t="str" cm="1">
        <f t="array" aca="1" ref="AB37" ca="1">CreateSearchString($J37)</f>
        <v/>
      </c>
      <c r="AC37" s="12" t="str" cm="1">
        <f t="array" ref="AC37">IF($F37="","",IFERROR(SimpleLookup($F37,Definitions!$H:$J),""))</f>
        <v/>
      </c>
      <c r="AD37" s="12" t="b" cm="1">
        <f t="array" aca="1" ref="AD37" ca="1">IF($B37="",FALSE,SimpleLookup($B37,Questions!$A:$D)="x")</f>
        <v>0</v>
      </c>
      <c r="AE37" s="12" t="str" cm="1">
        <f t="array" aca="1" ref="AE37" ca="1">IF(OR($B37="",NOT($AD37)),"",SimpleLookup($B37,Questions!$A:$E))</f>
        <v/>
      </c>
      <c r="AF37" s="12" t="str" cm="1">
        <f t="array" aca="1" ref="AF37" ca="1">IF(OR($B37="",NOT($AD37)),"",SimpleLookup($B37,Questions!$A:$F))</f>
        <v/>
      </c>
      <c r="AG37" s="12" t="str" cm="1">
        <f t="array" aca="1" ref="AG37" ca="1">_xlfn.LET(
_xlpm._answer,$D37,
_xlpm._infoTextFull,IF($AD37,CHAR(10)&amp;SimpleLookup($B37,Questions!$A:$H)&amp;CHAR(10),""),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37" s="12" t="b" cm="1">
        <f t="array" aca="1" ref="AH37" ca="1">IF(OR($B37="",NOT($AD37)),FALSE,_xlfn.LET(
_xlpm._secondAnswerRequiredOn,SimpleLookup($B37,Questions!$A:$I),
_xlpm._firstAnwer,$D37,
IFERROR(FIND(CHAR(10)&amp;_xlpm._firstAnwer&amp;":",CHAR(10)&amp;_xlpm._secondAnswerRequiredOn)&gt;0,FALSE)))</f>
        <v>0</v>
      </c>
      <c r="AI37" s="12" t="str" cm="1">
        <f t="array" aca="1" ref="AI37" ca="1">IF(OR($B37="",NOT($AD37)),"",_xlfn.LET(
_xlpm._id,$B37,
_xlpm._firstAnswer,$D37,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37" s="12" t="str" cm="1">
        <f t="array" aca="1" ref="AJ37" ca="1">IF(OR($B37="",NOT($AD37)),"",_xlfn.LET(
_xlpm._id,$B37,
_xlpm._firstAnswer,$D37,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37" s="12" t="str" cm="1">
        <f t="array" aca="1" ref="AK37" ca="1">IF($AH37,_xlfn.LET(
_xlpm._answer,$F37,
_xlpm._infoTextFull,IF($AD37,CHAR(10)&amp;SimpleLookup($B37,Questions!$A:$L)&amp;CHAR(10),""),
_xlpm._startSelectedByAnswerOne,IF(_xlpm._infoTextFull="",0,FIND("___"&amp;$D37&amp;"___",_xlpm._infoTextFull)+LEN("___"&amp;$D37&amp;"___")),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37" s="12" t="b" cm="1">
        <f t="array" aca="1" ref="AL37" ca="1">IF(OR($B37="",NOT($AD37)),FALSE,SimpleLookup($B37,Questions!$A:$Q))</f>
        <v>0</v>
      </c>
      <c r="AM37" s="12" t="str" cm="1">
        <f t="array" aca="1" ref="AM37" ca="1">IF(AND($B37=Questions!$A$41,IFERROR(SimpleLookup(Questions!$A$36,$B:$F)=Definitions!$O$5,FALSE),$D37=Definitions!$A$5),
Questions!$A$36&amp;" "&amp;Questions!$B$36&amp;CHAR(10)&amp;CHAR(187)&amp;" "&amp;SimpleLookup(Questions!$A$36,$B:$D)&amp;CHAR(10)&amp;SimpleLookup(Questions!$A$36,$B:$E)&amp;CHAR(10)&amp;CHAR(187)&amp;" "&amp;Definitions!$O$5&amp;CHAR(10)&amp;CHAR(10)&amp;
"is incosistent with"&amp;CHAR(10)&amp;CHAR(10)&amp;
$B37&amp;" "&amp;SimpleLookup($B37,Questions!$A:$B)&amp;CHAR(10)&amp;CHAR(187)&amp;" "&amp;$D37,
"")</f>
        <v/>
      </c>
      <c r="AN37" s="12" cm="1">
        <f t="array" aca="1" ref="AN37" ca="1">CreateID($AN$3,$AM37&lt;&gt;"")</f>
        <v>0</v>
      </c>
      <c r="AO37" s="12" t="str">
        <f ca="1">IF(OR($D37="",OFFSET($D37,1,0)=""),"",
IF(AND($B37=Questions!$A$59,OFFSET($B37,1,0)=Questions!$A$60),
IF(MATCH($D37,Definitions!$AW:$AW,0)&gt;MATCH(OFFSET($D37,1,0),Definitions!AW:AW,0),$B37&amp;" "&amp;$L37&amp;": "&amp;$D37&amp;CHAR(10)&amp;"&lt;---&gt;"&amp;CHAR(10)&amp;OFFSET($B37,1,0)&amp;" "&amp;OFFSET($L37,1,0)&amp;": "&amp;OFFSET($D37,1,0),""),
""))</f>
        <v/>
      </c>
      <c r="AP37" s="12" cm="1">
        <f t="array" aca="1" ref="AP37" ca="1">CreateID($AP$3,$AO37&lt;&gt;"")</f>
        <v>0</v>
      </c>
      <c r="AQ37" s="12" t="str" cm="1">
        <f t="array" ref="AQ37">IF($B37=Questions!$A$18,
  _xlfn.LET(
    _xlpm._impactValue7,IFERROR(SimpleLookup(SimpleLookup($F37,Definitions!$H:$J),Definitions!$Q:$R),0),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"&amp;$F37&amp;CHAR(10)&amp;"&lt;---&gt;"&amp;CHAR(10)&amp;Questions!$A$30&amp;": "&amp;_xlpm._impactName14,
        ""))),
  "")</f>
        <v/>
      </c>
      <c r="AR37" s="12" cm="1">
        <f t="array" aca="1" ref="AR37" ca="1">CreateID($AR$3,$AQ37&lt;&gt;"")</f>
        <v>0</v>
      </c>
    </row>
    <row r="38" spans="1:44" ht="45" x14ac:dyDescent="0.25">
      <c r="A38" s="116" t="str">
        <f ca="1">HYPERLINK("#'"&amp;Helper!$G$22&amp;"'!A"&amp;MATCH($B38,'Answering Guideline'!$A:$A,0),Definitions!$AY$4)</f>
        <v>◈</v>
      </c>
      <c r="B38" s="68" t="s">
        <v>870</v>
      </c>
      <c r="C38" s="4" t="str" cm="1">
        <f t="array" aca="1" ref="C38" ca="1">IF($B38="","",CreateIndentedString($L38,Definitions!$T$4,SimpleLookup($B38,Questions!$A:$C)))</f>
        <v xml:space="preserve">   Does  the  product  have  a  point-to-point  connection
   to  another  device?</v>
      </c>
      <c r="E38" s="7" t="str">
        <f ca="1">$AG38</f>
        <v/>
      </c>
      <c r="G38" s="7" t="str">
        <f ca="1">$AK38</f>
        <v/>
      </c>
      <c r="J38" s="12" t="str">
        <f t="shared" ca="1" si="6"/>
        <v>QA3[]</v>
      </c>
      <c r="K38" s="12" t="str">
        <f t="shared" ca="1" si="7"/>
        <v>QA3[]</v>
      </c>
      <c r="L38" s="12" t="str" cm="1">
        <f t="array" aca="1" ref="L38" ca="1">SimpleLookup($B38,Questions!$A:$B)</f>
        <v>Does the product have a point-to-point connection to another device?</v>
      </c>
      <c r="M38" s="12" cm="1">
        <f t="array" aca="1" ref="M38" ca="1">CreateID($M$3,AND($B38&lt;&gt;"",$AD38))</f>
        <v>19</v>
      </c>
      <c r="N38" s="12" cm="1">
        <f t="array" ref="N38">CreateTaskID($N$3,$N:$N,Tasks!$B$17,$H38)</f>
        <v>0</v>
      </c>
      <c r="O38" s="12" t="str">
        <f t="shared" ca="1" si="8"/>
        <v>QA3 Does the product have a point-to-point connection to another device?</v>
      </c>
      <c r="P38" s="12" cm="1">
        <f t="array" aca="1" ref="P38" ca="1">CreateID($P$3,$O38&lt;&gt;"")</f>
        <v>19</v>
      </c>
      <c r="Q38" s="12" t="str">
        <f t="shared" ca="1" si="9"/>
        <v/>
      </c>
      <c r="R38" s="12" cm="1">
        <f t="array" aca="1" ref="R38" ca="1">CreateID($R$3,$Q38&lt;&gt;"")</f>
        <v>0</v>
      </c>
      <c r="S38" s="12" t="str">
        <f t="shared" ca="1" si="10"/>
        <v/>
      </c>
      <c r="T38" s="12" cm="1">
        <f t="array" aca="1" ref="T38" ca="1">CreateID($T$3,$S38&lt;&gt;"")</f>
        <v>0</v>
      </c>
      <c r="U38" s="12" t="str">
        <f t="shared" ca="1" si="11"/>
        <v/>
      </c>
      <c r="V38" s="12" cm="1">
        <f t="array" aca="1" ref="V38" ca="1">CreateID($V$3,$U38&lt;&gt;"")</f>
        <v>0</v>
      </c>
      <c r="W38" s="12" cm="1">
        <f t="array" aca="1" ref="W38" ca="1">CreateID($W$3,IFERROR(FIND(Definitions!$AR$4,$H38)&gt;0,FALSE))</f>
        <v>0</v>
      </c>
      <c r="X38" s="12">
        <f>_xlfn.LET(
_xlpm._comment,$H38,
_xlpm._keyWord,Definitions!$AR$4,
_xlpm._diffLen,LEN(_xlpm._comment)-LEN(SUBSTITUTE(_xlpm._comment,_xlpm._keyWord,"")),
_xlpm._diffLen/LEN(_xlpm._keyWord))</f>
        <v>0</v>
      </c>
      <c r="Y38" s="12" cm="1">
        <f t="array" aca="1" ref="Y38" ca="1">CreateID($Y$3,IFERROR(FIND(Definitions!$AR$5,$H38)&gt;0,FALSE))</f>
        <v>0</v>
      </c>
      <c r="Z38" s="12">
        <f>_xlfn.LET(
_xlpm._comment,$H38,
_xlpm._keyWord,Definitions!$AR$5,
_xlpm._diffLen,LEN(_xlpm._comment)-LEN(SUBSTITUTE(_xlpm._comment,_xlpm._keyWord,"")),
_xlpm._diffLen/LEN(_xlpm._keyWord))</f>
        <v>0</v>
      </c>
      <c r="AA38" s="12" t="b">
        <f ca="1">OR(IFERROR(_xlfn.XMATCH("*,"&amp;$B38&amp;",*",Assumptions!$AH:$AH,2)&gt;0,FALSE),
IFERROR(_xlfn.XMATCH("*,"&amp;$B38&amp;",*",Countermeasures!$AK:$AK,2)&gt;0,FALSE))</f>
        <v>0</v>
      </c>
      <c r="AB38" s="12" t="str" cm="1">
        <f t="array" aca="1" ref="AB38" ca="1">CreateSearchString($J38)</f>
        <v>,QA3[],</v>
      </c>
      <c r="AC38" s="12" t="str" cm="1">
        <f t="array" ref="AC38">IF($F38="","",IFERROR(SimpleLookup($F38,Definitions!$H:$J),""))</f>
        <v/>
      </c>
      <c r="AD38" s="12" t="b" cm="1">
        <f t="array" aca="1" ref="AD38" ca="1">IF($B38="",FALSE,SimpleLookup($B38,Questions!$A:$D)="x")</f>
        <v>1</v>
      </c>
      <c r="AE38" s="12" t="str" cm="1">
        <f t="array" aca="1" ref="AE38" ca="1">IF(OR($B38="",NOT($AD38)),"",SimpleLookup($B38,Questions!$A:$E))</f>
        <v>'[QuBA-libre.xlsx]Definitions'!$A$4</v>
      </c>
      <c r="AF38" s="12" cm="1">
        <f t="array" aca="1" ref="AF38" ca="1">IF(OR($B38="",NOT($AD38)),"",SimpleLookup($B38,Questions!$A:$F))</f>
        <v>2</v>
      </c>
      <c r="AG38" s="12" t="str" cm="1">
        <f t="array" aca="1" ref="AG38" ca="1">_xlfn.LET(
_xlpm._answer,$D38,
_xlpm._infoTextFull,IF($AD38,CHAR(10)&amp;SimpleLookup($B38,Questions!$A:$H)&amp;CHAR(10),""),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38" s="12" t="b" cm="1">
        <f t="array" aca="1" ref="AH38" ca="1">IF(OR($B38="",NOT($AD38)),FALSE,_xlfn.LET(
_xlpm._secondAnswerRequiredOn,SimpleLookup($B38,Questions!$A:$I),
_xlpm._firstAnwer,$D38,
IFERROR(FIND(CHAR(10)&amp;_xlpm._firstAnwer&amp;":",CHAR(10)&amp;_xlpm._secondAnswerRequiredOn)&gt;0,FALSE)))</f>
        <v>0</v>
      </c>
      <c r="AI38" s="12" t="str" cm="1">
        <f t="array" aca="1" ref="AI38" ca="1">IF(OR($B38="",NOT($AD38)),"",_xlfn.LET(
_xlpm._id,$B38,
_xlpm._firstAnswer,$D38,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'[QuBA-libre.xlsx]Definitions'!$A$4</v>
      </c>
      <c r="AJ38" s="12" cm="1">
        <f t="array" aca="1" ref="AJ38" ca="1">IF(OR($B38="",NOT($AD38)),"",_xlfn.LET(
_xlpm._id,$B38,
_xlpm._firstAnswer,$D38,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2</v>
      </c>
      <c r="AK38" s="12" t="str" cm="1">
        <f t="array" aca="1" ref="AK38" ca="1">IF($AH38,_xlfn.LET(
_xlpm._answer,$F38,
_xlpm._infoTextFull,IF($AD38,CHAR(10)&amp;SimpleLookup($B38,Questions!$A:$L)&amp;CHAR(10),""),
_xlpm._startSelectedByAnswerOne,IF(_xlpm._infoTextFull="",0,FIND("___"&amp;$D38&amp;"___",_xlpm._infoTextFull)+LEN("___"&amp;$D38&amp;"___")),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38" s="12" t="b" cm="1">
        <f t="array" aca="1" ref="AL38" ca="1">IF(OR($B38="",NOT($AD38)),FALSE,SimpleLookup($B38,Questions!$A:$Q))</f>
        <v>0</v>
      </c>
      <c r="AM38" s="12" t="str" cm="1">
        <f t="array" aca="1" ref="AM38" ca="1">IF(AND($B38=Questions!$A$41,IFERROR(SimpleLookup(Questions!$A$36,$B:$F)=Definitions!$O$5,FALSE),$D38=Definitions!$A$5),
Questions!$A$36&amp;" "&amp;Questions!$B$36&amp;CHAR(10)&amp;CHAR(187)&amp;" "&amp;SimpleLookup(Questions!$A$36,$B:$D)&amp;CHAR(10)&amp;SimpleLookup(Questions!$A$36,$B:$E)&amp;CHAR(10)&amp;CHAR(187)&amp;" "&amp;Definitions!$O$5&amp;CHAR(10)&amp;CHAR(10)&amp;
"is incosistent with"&amp;CHAR(10)&amp;CHAR(10)&amp;
$B38&amp;" "&amp;SimpleLookup($B38,Questions!$A:$B)&amp;CHAR(10)&amp;CHAR(187)&amp;" "&amp;$D38,
"")</f>
        <v/>
      </c>
      <c r="AN38" s="12" cm="1">
        <f t="array" aca="1" ref="AN38" ca="1">CreateID($AN$3,$AM38&lt;&gt;"")</f>
        <v>0</v>
      </c>
      <c r="AO38" s="12" t="str">
        <f ca="1">IF(OR($D38="",OFFSET($D38,1,0)=""),"",
IF(AND($B38=Questions!$A$59,OFFSET($B38,1,0)=Questions!$A$60),
IF(MATCH($D38,Definitions!$AW:$AW,0)&gt;MATCH(OFFSET($D38,1,0),Definitions!AW:AW,0),$B38&amp;" "&amp;$L38&amp;": "&amp;$D38&amp;CHAR(10)&amp;"&lt;---&gt;"&amp;CHAR(10)&amp;OFFSET($B38,1,0)&amp;" "&amp;OFFSET($L38,1,0)&amp;": "&amp;OFFSET($D38,1,0),""),
""))</f>
        <v/>
      </c>
      <c r="AP38" s="12" cm="1">
        <f t="array" aca="1" ref="AP38" ca="1">CreateID($AP$3,$AO38&lt;&gt;"")</f>
        <v>0</v>
      </c>
      <c r="AQ38" s="12" t="str" cm="1">
        <f t="array" ref="AQ38">IF($B38=Questions!$A$18,
  _xlfn.LET(
    _xlpm._impactValue7,IFERROR(SimpleLookup(SimpleLookup($F38,Definitions!$H:$J),Definitions!$Q:$R),0),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"&amp;$F38&amp;CHAR(10)&amp;"&lt;---&gt;"&amp;CHAR(10)&amp;Questions!$A$30&amp;": "&amp;_xlpm._impactName14,
        ""))),
  "")</f>
        <v/>
      </c>
      <c r="AR38" s="12" cm="1">
        <f t="array" aca="1" ref="AR38" ca="1">CreateID($AR$3,$AQ38&lt;&gt;"")</f>
        <v>0</v>
      </c>
    </row>
    <row r="39" spans="1:44" ht="30" x14ac:dyDescent="0.25">
      <c r="A39" s="116" t="str">
        <f ca="1">HYPERLINK("#'"&amp;Helper!$G$22&amp;"'!A"&amp;MATCH($B39,'Answering Guideline'!$A:$A,0),Definitions!$AY$4)</f>
        <v>◈</v>
      </c>
      <c r="B39" s="68" t="s">
        <v>872</v>
      </c>
      <c r="C39" s="4" t="str" cm="1">
        <f t="array" aca="1" ref="C39" ca="1">IF($B39="","",CreateIndentedString($L39,Definitions!$T$4,SimpleLookup($B39,Questions!$A:$C)))</f>
        <v xml:space="preserve">   Does  the  product  have  a  direct  connection  to  a
   local  network?</v>
      </c>
      <c r="E39" s="7" t="str">
        <f ca="1">$AG39</f>
        <v/>
      </c>
      <c r="G39" s="7" t="str">
        <f ca="1">$AK39</f>
        <v/>
      </c>
      <c r="J39" s="12" t="str">
        <f t="shared" ca="1" si="6"/>
        <v>QA4[]</v>
      </c>
      <c r="K39" s="12" t="str">
        <f t="shared" ca="1" si="7"/>
        <v>QA4[]</v>
      </c>
      <c r="L39" s="12" t="str" cm="1">
        <f t="array" aca="1" ref="L39" ca="1">SimpleLookup($B39,Questions!$A:$B)</f>
        <v>Does the product have a direct connection to a local network?</v>
      </c>
      <c r="M39" s="12" cm="1">
        <f t="array" aca="1" ref="M39" ca="1">CreateID($M$3,AND($B39&lt;&gt;"",$AD39))</f>
        <v>20</v>
      </c>
      <c r="N39" s="12" cm="1">
        <f t="array" ref="N39">CreateTaskID($N$3,$N:$N,Tasks!$B$17,$H39)</f>
        <v>0</v>
      </c>
      <c r="O39" s="12" t="str">
        <f t="shared" ca="1" si="8"/>
        <v>QA4 Does the product have a direct connection to a local network?</v>
      </c>
      <c r="P39" s="12" cm="1">
        <f t="array" aca="1" ref="P39" ca="1">CreateID($P$3,$O39&lt;&gt;"")</f>
        <v>20</v>
      </c>
      <c r="Q39" s="12" t="str">
        <f t="shared" ca="1" si="9"/>
        <v/>
      </c>
      <c r="R39" s="12" cm="1">
        <f t="array" aca="1" ref="R39" ca="1">CreateID($R$3,$Q39&lt;&gt;"")</f>
        <v>0</v>
      </c>
      <c r="S39" s="12" t="str">
        <f t="shared" ca="1" si="10"/>
        <v/>
      </c>
      <c r="T39" s="12" cm="1">
        <f t="array" aca="1" ref="T39" ca="1">CreateID($T$3,$S39&lt;&gt;"")</f>
        <v>0</v>
      </c>
      <c r="U39" s="12" t="str">
        <f t="shared" ca="1" si="11"/>
        <v/>
      </c>
      <c r="V39" s="12" cm="1">
        <f t="array" aca="1" ref="V39" ca="1">CreateID($V$3,$U39&lt;&gt;"")</f>
        <v>0</v>
      </c>
      <c r="W39" s="12" cm="1">
        <f t="array" aca="1" ref="W39" ca="1">CreateID($W$3,IFERROR(FIND(Definitions!$AR$4,$H39)&gt;0,FALSE))</f>
        <v>0</v>
      </c>
      <c r="X39" s="12">
        <f>_xlfn.LET(
_xlpm._comment,$H39,
_xlpm._keyWord,Definitions!$AR$4,
_xlpm._diffLen,LEN(_xlpm._comment)-LEN(SUBSTITUTE(_xlpm._comment,_xlpm._keyWord,"")),
_xlpm._diffLen/LEN(_xlpm._keyWord))</f>
        <v>0</v>
      </c>
      <c r="Y39" s="12" cm="1">
        <f t="array" aca="1" ref="Y39" ca="1">CreateID($Y$3,IFERROR(FIND(Definitions!$AR$5,$H39)&gt;0,FALSE))</f>
        <v>0</v>
      </c>
      <c r="Z39" s="12">
        <f>_xlfn.LET(
_xlpm._comment,$H39,
_xlpm._keyWord,Definitions!$AR$5,
_xlpm._diffLen,LEN(_xlpm._comment)-LEN(SUBSTITUTE(_xlpm._comment,_xlpm._keyWord,"")),
_xlpm._diffLen/LEN(_xlpm._keyWord))</f>
        <v>0</v>
      </c>
      <c r="AA39" s="12" t="b">
        <f ca="1">OR(IFERROR(_xlfn.XMATCH("*,"&amp;$B39&amp;",*",Assumptions!$AH:$AH,2)&gt;0,FALSE),
IFERROR(_xlfn.XMATCH("*,"&amp;$B39&amp;",*",Countermeasures!$AK:$AK,2)&gt;0,FALSE))</f>
        <v>0</v>
      </c>
      <c r="AB39" s="12" t="str" cm="1">
        <f t="array" aca="1" ref="AB39" ca="1">CreateSearchString($J39)</f>
        <v>,QA4[],</v>
      </c>
      <c r="AC39" s="12" t="str" cm="1">
        <f t="array" ref="AC39">IF($F39="","",IFERROR(SimpleLookup($F39,Definitions!$H:$J),""))</f>
        <v/>
      </c>
      <c r="AD39" s="12" t="b" cm="1">
        <f t="array" aca="1" ref="AD39" ca="1">IF($B39="",FALSE,SimpleLookup($B39,Questions!$A:$D)="x")</f>
        <v>1</v>
      </c>
      <c r="AE39" s="12" t="str" cm="1">
        <f t="array" aca="1" ref="AE39" ca="1">IF(OR($B39="",NOT($AD39)),"",SimpleLookup($B39,Questions!$A:$E))</f>
        <v>'[QuBA-libre.xlsx]Definitions'!$A$4</v>
      </c>
      <c r="AF39" s="12" cm="1">
        <f t="array" aca="1" ref="AF39" ca="1">IF(OR($B39="",NOT($AD39)),"",SimpleLookup($B39,Questions!$A:$F))</f>
        <v>2</v>
      </c>
      <c r="AG39" s="12" t="str" cm="1">
        <f t="array" aca="1" ref="AG39" ca="1">_xlfn.LET(
_xlpm._answer,$D39,
_xlpm._infoTextFull,IF($AD39,CHAR(10)&amp;SimpleLookup($B39,Questions!$A:$H)&amp;CHAR(10),""),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39" s="12" t="b" cm="1">
        <f t="array" aca="1" ref="AH39" ca="1">IF(OR($B39="",NOT($AD39)),FALSE,_xlfn.LET(
_xlpm._secondAnswerRequiredOn,SimpleLookup($B39,Questions!$A:$I),
_xlpm._firstAnwer,$D39,
IFERROR(FIND(CHAR(10)&amp;_xlpm._firstAnwer&amp;":",CHAR(10)&amp;_xlpm._secondAnswerRequiredOn)&gt;0,FALSE)))</f>
        <v>0</v>
      </c>
      <c r="AI39" s="12" t="str" cm="1">
        <f t="array" aca="1" ref="AI39" ca="1">IF(OR($B39="",NOT($AD39)),"",_xlfn.LET(
_xlpm._id,$B39,
_xlpm._firstAnswer,$D39,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'[QuBA-libre.xlsx]Definitions'!$A$4</v>
      </c>
      <c r="AJ39" s="12" cm="1">
        <f t="array" aca="1" ref="AJ39" ca="1">IF(OR($B39="",NOT($AD39)),"",_xlfn.LET(
_xlpm._id,$B39,
_xlpm._firstAnswer,$D39,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2</v>
      </c>
      <c r="AK39" s="12" t="str" cm="1">
        <f t="array" aca="1" ref="AK39" ca="1">IF($AH39,_xlfn.LET(
_xlpm._answer,$F39,
_xlpm._infoTextFull,IF($AD39,CHAR(10)&amp;SimpleLookup($B39,Questions!$A:$L)&amp;CHAR(10),""),
_xlpm._startSelectedByAnswerOne,IF(_xlpm._infoTextFull="",0,FIND("___"&amp;$D39&amp;"___",_xlpm._infoTextFull)+LEN("___"&amp;$D39&amp;"___")),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39" s="12" t="b" cm="1">
        <f t="array" aca="1" ref="AL39" ca="1">IF(OR($B39="",NOT($AD39)),FALSE,SimpleLookup($B39,Questions!$A:$Q))</f>
        <v>0</v>
      </c>
      <c r="AM39" s="12" t="str" cm="1">
        <f t="array" aca="1" ref="AM39" ca="1">IF(AND($B39=Questions!$A$41,IFERROR(SimpleLookup(Questions!$A$36,$B:$F)=Definitions!$O$5,FALSE),$D39=Definitions!$A$5),
Questions!$A$36&amp;" "&amp;Questions!$B$36&amp;CHAR(10)&amp;CHAR(187)&amp;" "&amp;SimpleLookup(Questions!$A$36,$B:$D)&amp;CHAR(10)&amp;SimpleLookup(Questions!$A$36,$B:$E)&amp;CHAR(10)&amp;CHAR(187)&amp;" "&amp;Definitions!$O$5&amp;CHAR(10)&amp;CHAR(10)&amp;
"is incosistent with"&amp;CHAR(10)&amp;CHAR(10)&amp;
$B39&amp;" "&amp;SimpleLookup($B39,Questions!$A:$B)&amp;CHAR(10)&amp;CHAR(187)&amp;" "&amp;$D39,
"")</f>
        <v/>
      </c>
      <c r="AN39" s="12" cm="1">
        <f t="array" aca="1" ref="AN39" ca="1">CreateID($AN$3,$AM39&lt;&gt;"")</f>
        <v>0</v>
      </c>
      <c r="AO39" s="12" t="str">
        <f ca="1">IF(OR($D39="",OFFSET($D39,1,0)=""),"",
IF(AND($B39=Questions!$A$59,OFFSET($B39,1,0)=Questions!$A$60),
IF(MATCH($D39,Definitions!$AW:$AW,0)&gt;MATCH(OFFSET($D39,1,0),Definitions!AW:AW,0),$B39&amp;" "&amp;$L39&amp;": "&amp;$D39&amp;CHAR(10)&amp;"&lt;---&gt;"&amp;CHAR(10)&amp;OFFSET($B39,1,0)&amp;" "&amp;OFFSET($L39,1,0)&amp;": "&amp;OFFSET($D39,1,0),""),
""))</f>
        <v/>
      </c>
      <c r="AP39" s="12" cm="1">
        <f t="array" aca="1" ref="AP39" ca="1">CreateID($AP$3,$AO39&lt;&gt;"")</f>
        <v>0</v>
      </c>
      <c r="AQ39" s="12" t="str" cm="1">
        <f t="array" ref="AQ39">IF($B39=Questions!$A$18,
  _xlfn.LET(
    _xlpm._impactValue7,IFERROR(SimpleLookup(SimpleLookup($F39,Definitions!$H:$J),Definitions!$Q:$R),0),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"&amp;$F39&amp;CHAR(10)&amp;"&lt;---&gt;"&amp;CHAR(10)&amp;Questions!$A$30&amp;": "&amp;_xlpm._impactName14,
        ""))),
  "")</f>
        <v/>
      </c>
      <c r="AR39" s="12" cm="1">
        <f t="array" aca="1" ref="AR39" ca="1">CreateID($AR$3,$AQ39&lt;&gt;"")</f>
        <v>0</v>
      </c>
    </row>
    <row r="40" spans="1:44" x14ac:dyDescent="0.25">
      <c r="A40" s="116" t="str">
        <f ca="1">HYPERLINK("#'"&amp;Helper!$G$22&amp;"'!A"&amp;MATCH($B40,'Answering Guideline'!$A:$A,0),Definitions!$AY$4)</f>
        <v>◈</v>
      </c>
      <c r="B40" s="68" t="s">
        <v>874</v>
      </c>
      <c r="C40" s="4" t="str" cm="1">
        <f t="array" aca="1" ref="C40" ca="1">IF($B40="","",CreateIndentedString($L40,Definitions!$T$4,SimpleLookup($B40,Questions!$A:$C)))</f>
        <v xml:space="preserve">   Does  the  product  support  wireless  connections?</v>
      </c>
      <c r="E40" s="7" t="str">
        <f ca="1">$AG40</f>
        <v/>
      </c>
      <c r="G40" s="7" t="str">
        <f ca="1">$AK40</f>
        <v/>
      </c>
      <c r="J40" s="12" t="str">
        <f t="shared" ca="1" si="6"/>
        <v>QA5[]</v>
      </c>
      <c r="K40" s="12" t="str">
        <f t="shared" ca="1" si="7"/>
        <v>QA5[]</v>
      </c>
      <c r="L40" s="12" t="str" cm="1">
        <f t="array" aca="1" ref="L40" ca="1">SimpleLookup($B40,Questions!$A:$B)</f>
        <v>Does the product support wireless connections?</v>
      </c>
      <c r="M40" s="12" cm="1">
        <f t="array" aca="1" ref="M40" ca="1">CreateID($M$3,AND($B40&lt;&gt;"",$AD40))</f>
        <v>21</v>
      </c>
      <c r="N40" s="12" cm="1">
        <f t="array" ref="N40">CreateTaskID($N$3,$N:$N,Tasks!$B$17,$H40)</f>
        <v>0</v>
      </c>
      <c r="O40" s="12" t="str">
        <f t="shared" ca="1" si="8"/>
        <v>QA5 Does the product support wireless connections?</v>
      </c>
      <c r="P40" s="12" cm="1">
        <f t="array" aca="1" ref="P40" ca="1">CreateID($P$3,$O40&lt;&gt;"")</f>
        <v>21</v>
      </c>
      <c r="Q40" s="12" t="str">
        <f t="shared" ca="1" si="9"/>
        <v/>
      </c>
      <c r="R40" s="12" cm="1">
        <f t="array" aca="1" ref="R40" ca="1">CreateID($R$3,$Q40&lt;&gt;"")</f>
        <v>0</v>
      </c>
      <c r="S40" s="12" t="str">
        <f t="shared" ca="1" si="10"/>
        <v/>
      </c>
      <c r="T40" s="12" cm="1">
        <f t="array" aca="1" ref="T40" ca="1">CreateID($T$3,$S40&lt;&gt;"")</f>
        <v>0</v>
      </c>
      <c r="U40" s="12" t="str">
        <f t="shared" ca="1" si="11"/>
        <v/>
      </c>
      <c r="V40" s="12" cm="1">
        <f t="array" aca="1" ref="V40" ca="1">CreateID($V$3,$U40&lt;&gt;"")</f>
        <v>0</v>
      </c>
      <c r="W40" s="12" cm="1">
        <f t="array" aca="1" ref="W40" ca="1">CreateID($W$3,IFERROR(FIND(Definitions!$AR$4,$H40)&gt;0,FALSE))</f>
        <v>0</v>
      </c>
      <c r="X40" s="12">
        <f>_xlfn.LET(
_xlpm._comment,$H40,
_xlpm._keyWord,Definitions!$AR$4,
_xlpm._diffLen,LEN(_xlpm._comment)-LEN(SUBSTITUTE(_xlpm._comment,_xlpm._keyWord,"")),
_xlpm._diffLen/LEN(_xlpm._keyWord))</f>
        <v>0</v>
      </c>
      <c r="Y40" s="12" cm="1">
        <f t="array" aca="1" ref="Y40" ca="1">CreateID($Y$3,IFERROR(FIND(Definitions!$AR$5,$H40)&gt;0,FALSE))</f>
        <v>0</v>
      </c>
      <c r="Z40" s="12">
        <f>_xlfn.LET(
_xlpm._comment,$H40,
_xlpm._keyWord,Definitions!$AR$5,
_xlpm._diffLen,LEN(_xlpm._comment)-LEN(SUBSTITUTE(_xlpm._comment,_xlpm._keyWord,"")),
_xlpm._diffLen/LEN(_xlpm._keyWord))</f>
        <v>0</v>
      </c>
      <c r="AA40" s="12" t="b">
        <f ca="1">OR(IFERROR(_xlfn.XMATCH("*,"&amp;$B40&amp;",*",Assumptions!$AH:$AH,2)&gt;0,FALSE),
IFERROR(_xlfn.XMATCH("*,"&amp;$B40&amp;",*",Countermeasures!$AK:$AK,2)&gt;0,FALSE))</f>
        <v>0</v>
      </c>
      <c r="AB40" s="12" t="str" cm="1">
        <f t="array" aca="1" ref="AB40" ca="1">CreateSearchString($J40)</f>
        <v>,QA5[],</v>
      </c>
      <c r="AC40" s="12" t="str" cm="1">
        <f t="array" ref="AC40">IF($F40="","",IFERROR(SimpleLookup($F40,Definitions!$H:$J),""))</f>
        <v/>
      </c>
      <c r="AD40" s="12" t="b" cm="1">
        <f t="array" aca="1" ref="AD40" ca="1">IF($B40="",FALSE,SimpleLookup($B40,Questions!$A:$D)="x")</f>
        <v>1</v>
      </c>
      <c r="AE40" s="12" t="str" cm="1">
        <f t="array" aca="1" ref="AE40" ca="1">IF(OR($B40="",NOT($AD40)),"",SimpleLookup($B40,Questions!$A:$E))</f>
        <v>'[QuBA-libre.xlsx]Definitions'!$A$4</v>
      </c>
      <c r="AF40" s="12" cm="1">
        <f t="array" aca="1" ref="AF40" ca="1">IF(OR($B40="",NOT($AD40)),"",SimpleLookup($B40,Questions!$A:$F))</f>
        <v>2</v>
      </c>
      <c r="AG40" s="12" t="str" cm="1">
        <f t="array" aca="1" ref="AG40" ca="1">_xlfn.LET(
_xlpm._answer,$D40,
_xlpm._infoTextFull,IF($AD40,CHAR(10)&amp;SimpleLookup($B40,Questions!$A:$H)&amp;CHAR(10),""),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40" s="12" t="b" cm="1">
        <f t="array" aca="1" ref="AH40" ca="1">IF(OR($B40="",NOT($AD40)),FALSE,_xlfn.LET(
_xlpm._secondAnswerRequiredOn,SimpleLookup($B40,Questions!$A:$I),
_xlpm._firstAnwer,$D40,
IFERROR(FIND(CHAR(10)&amp;_xlpm._firstAnwer&amp;":",CHAR(10)&amp;_xlpm._secondAnswerRequiredOn)&gt;0,FALSE)))</f>
        <v>0</v>
      </c>
      <c r="AI40" s="12" t="str" cm="1">
        <f t="array" aca="1" ref="AI40" ca="1">IF(OR($B40="",NOT($AD40)),"",_xlfn.LET(
_xlpm._id,$B40,
_xlpm._firstAnswer,$D40,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'[QuBA-libre.xlsx]Definitions'!$A$4</v>
      </c>
      <c r="AJ40" s="12" cm="1">
        <f t="array" aca="1" ref="AJ40" ca="1">IF(OR($B40="",NOT($AD40)),"",_xlfn.LET(
_xlpm._id,$B40,
_xlpm._firstAnswer,$D40,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2</v>
      </c>
      <c r="AK40" s="12" t="str" cm="1">
        <f t="array" aca="1" ref="AK40" ca="1">IF($AH40,_xlfn.LET(
_xlpm._answer,$F40,
_xlpm._infoTextFull,IF($AD40,CHAR(10)&amp;SimpleLookup($B40,Questions!$A:$L)&amp;CHAR(10),""),
_xlpm._startSelectedByAnswerOne,IF(_xlpm._infoTextFull="",0,FIND("___"&amp;$D40&amp;"___",_xlpm._infoTextFull)+LEN("___"&amp;$D40&amp;"___")),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40" s="12" t="b" cm="1">
        <f t="array" aca="1" ref="AL40" ca="1">IF(OR($B40="",NOT($AD40)),FALSE,SimpleLookup($B40,Questions!$A:$Q))</f>
        <v>0</v>
      </c>
      <c r="AM40" s="12" t="str" cm="1">
        <f t="array" aca="1" ref="AM40" ca="1">IF(AND($B40=Questions!$A$41,IFERROR(SimpleLookup(Questions!$A$36,$B:$F)=Definitions!$O$5,FALSE),$D40=Definitions!$A$5),
Questions!$A$36&amp;" "&amp;Questions!$B$36&amp;CHAR(10)&amp;CHAR(187)&amp;" "&amp;SimpleLookup(Questions!$A$36,$B:$D)&amp;CHAR(10)&amp;SimpleLookup(Questions!$A$36,$B:$E)&amp;CHAR(10)&amp;CHAR(187)&amp;" "&amp;Definitions!$O$5&amp;CHAR(10)&amp;CHAR(10)&amp;
"is incosistent with"&amp;CHAR(10)&amp;CHAR(10)&amp;
$B40&amp;" "&amp;SimpleLookup($B40,Questions!$A:$B)&amp;CHAR(10)&amp;CHAR(187)&amp;" "&amp;$D40,
"")</f>
        <v/>
      </c>
      <c r="AN40" s="12" cm="1">
        <f t="array" aca="1" ref="AN40" ca="1">CreateID($AN$3,$AM40&lt;&gt;"")</f>
        <v>0</v>
      </c>
      <c r="AO40" s="12" t="str">
        <f ca="1">IF(OR($D40="",OFFSET($D40,1,0)=""),"",
IF(AND($B40=Questions!$A$59,OFFSET($B40,1,0)=Questions!$A$60),
IF(MATCH($D40,Definitions!$AW:$AW,0)&gt;MATCH(OFFSET($D40,1,0),Definitions!AW:AW,0),$B40&amp;" "&amp;$L40&amp;": "&amp;$D40&amp;CHAR(10)&amp;"&lt;---&gt;"&amp;CHAR(10)&amp;OFFSET($B40,1,0)&amp;" "&amp;OFFSET($L40,1,0)&amp;": "&amp;OFFSET($D40,1,0),""),
""))</f>
        <v/>
      </c>
      <c r="AP40" s="12" cm="1">
        <f t="array" aca="1" ref="AP40" ca="1">CreateID($AP$3,$AO40&lt;&gt;"")</f>
        <v>0</v>
      </c>
      <c r="AQ40" s="12" t="str" cm="1">
        <f t="array" ref="AQ40">IF($B40=Questions!$A$18,
  _xlfn.LET(
    _xlpm._impactValue7,IFERROR(SimpleLookup(SimpleLookup($F40,Definitions!$H:$J),Definitions!$Q:$R),0),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"&amp;$F40&amp;CHAR(10)&amp;"&lt;---&gt;"&amp;CHAR(10)&amp;Questions!$A$30&amp;": "&amp;_xlpm._impactName14,
        ""))),
  "")</f>
        <v/>
      </c>
      <c r="AR40" s="12" cm="1">
        <f t="array" aca="1" ref="AR40" ca="1">CreateID($AR$3,$AQ40&lt;&gt;"")</f>
        <v>0</v>
      </c>
    </row>
    <row r="41" spans="1:44" ht="30" x14ac:dyDescent="0.25">
      <c r="A41" s="116" t="str">
        <f ca="1">HYPERLINK("#'"&amp;Helper!$G$22&amp;"'!A"&amp;MATCH($B41,'Answering Guideline'!$A:$A,0),Definitions!$AY$4)</f>
        <v>◈</v>
      </c>
      <c r="B41" s="68" t="s">
        <v>875</v>
      </c>
      <c r="C41" s="4" t="str" cm="1">
        <f t="array" aca="1" ref="C41" ca="1">IF($B41="","",CreateIndentedString($L41,Definitions!$T$4,SimpleLookup($B41,Questions!$A:$C)))</f>
        <v xml:space="preserve">   Does  the  product  have  a  direct  connection  to  a
   mobile  network  /  the  Internet?</v>
      </c>
      <c r="E41" s="7" t="str">
        <f ca="1">$AG41</f>
        <v/>
      </c>
      <c r="G41" s="7" t="str">
        <f ca="1">$AK41</f>
        <v/>
      </c>
      <c r="J41" s="12" t="str">
        <f t="shared" ca="1" si="6"/>
        <v>QA6[]</v>
      </c>
      <c r="K41" s="12" t="str">
        <f t="shared" ca="1" si="7"/>
        <v>QA6[]</v>
      </c>
      <c r="L41" s="12" t="str" cm="1">
        <f t="array" aca="1" ref="L41" ca="1">SimpleLookup($B41,Questions!$A:$B)</f>
        <v>Does the product have a direct connection to a mobile network / the Internet?</v>
      </c>
      <c r="M41" s="12" cm="1">
        <f t="array" aca="1" ref="M41" ca="1">CreateID($M$3,AND($B41&lt;&gt;"",$AD41))</f>
        <v>22</v>
      </c>
      <c r="N41" s="12" cm="1">
        <f t="array" ref="N41">CreateTaskID($N$3,$N:$N,Tasks!$B$17,$H41)</f>
        <v>0</v>
      </c>
      <c r="O41" s="12" t="str">
        <f t="shared" ca="1" si="8"/>
        <v>QA6 Does the product have a direct connection to a mobile network / the Internet?</v>
      </c>
      <c r="P41" s="12" cm="1">
        <f t="array" aca="1" ref="P41" ca="1">CreateID($P$3,$O41&lt;&gt;"")</f>
        <v>22</v>
      </c>
      <c r="Q41" s="12" t="str">
        <f t="shared" ca="1" si="9"/>
        <v/>
      </c>
      <c r="R41" s="12" cm="1">
        <f t="array" aca="1" ref="R41" ca="1">CreateID($R$3,$Q41&lt;&gt;"")</f>
        <v>0</v>
      </c>
      <c r="S41" s="12" t="str">
        <f t="shared" ca="1" si="10"/>
        <v/>
      </c>
      <c r="T41" s="12" cm="1">
        <f t="array" aca="1" ref="T41" ca="1">CreateID($T$3,$S41&lt;&gt;"")</f>
        <v>0</v>
      </c>
      <c r="U41" s="12" t="str">
        <f t="shared" ca="1" si="11"/>
        <v/>
      </c>
      <c r="V41" s="12" cm="1">
        <f t="array" aca="1" ref="V41" ca="1">CreateID($V$3,$U41&lt;&gt;"")</f>
        <v>0</v>
      </c>
      <c r="W41" s="12" cm="1">
        <f t="array" aca="1" ref="W41" ca="1">CreateID($W$3,IFERROR(FIND(Definitions!$AR$4,$H41)&gt;0,FALSE))</f>
        <v>0</v>
      </c>
      <c r="X41" s="12">
        <f>_xlfn.LET(
_xlpm._comment,$H41,
_xlpm._keyWord,Definitions!$AR$4,
_xlpm._diffLen,LEN(_xlpm._comment)-LEN(SUBSTITUTE(_xlpm._comment,_xlpm._keyWord,"")),
_xlpm._diffLen/LEN(_xlpm._keyWord))</f>
        <v>0</v>
      </c>
      <c r="Y41" s="12" cm="1">
        <f t="array" aca="1" ref="Y41" ca="1">CreateID($Y$3,IFERROR(FIND(Definitions!$AR$5,$H41)&gt;0,FALSE))</f>
        <v>0</v>
      </c>
      <c r="Z41" s="12">
        <f>_xlfn.LET(
_xlpm._comment,$H41,
_xlpm._keyWord,Definitions!$AR$5,
_xlpm._diffLen,LEN(_xlpm._comment)-LEN(SUBSTITUTE(_xlpm._comment,_xlpm._keyWord,"")),
_xlpm._diffLen/LEN(_xlpm._keyWord))</f>
        <v>0</v>
      </c>
      <c r="AA41" s="12" t="b">
        <f ca="1">OR(IFERROR(_xlfn.XMATCH("*,"&amp;$B41&amp;",*",Assumptions!$AH:$AH,2)&gt;0,FALSE),
IFERROR(_xlfn.XMATCH("*,"&amp;$B41&amp;",*",Countermeasures!$AK:$AK,2)&gt;0,FALSE))</f>
        <v>0</v>
      </c>
      <c r="AB41" s="12" t="str" cm="1">
        <f t="array" aca="1" ref="AB41" ca="1">CreateSearchString($J41)</f>
        <v>,QA6[],</v>
      </c>
      <c r="AC41" s="12" t="str" cm="1">
        <f t="array" ref="AC41">IF($F41="","",IFERROR(SimpleLookup($F41,Definitions!$H:$J),""))</f>
        <v/>
      </c>
      <c r="AD41" s="12" t="b" cm="1">
        <f t="array" aca="1" ref="AD41" ca="1">IF($B41="",FALSE,SimpleLookup($B41,Questions!$A:$D)="x")</f>
        <v>1</v>
      </c>
      <c r="AE41" s="12" t="str" cm="1">
        <f t="array" aca="1" ref="AE41" ca="1">IF(OR($B41="",NOT($AD41)),"",SimpleLookup($B41,Questions!$A:$E))</f>
        <v>'[QuBA-libre.xlsx]Definitions'!$A$4</v>
      </c>
      <c r="AF41" s="12" cm="1">
        <f t="array" aca="1" ref="AF41" ca="1">IF(OR($B41="",NOT($AD41)),"",SimpleLookup($B41,Questions!$A:$F))</f>
        <v>2</v>
      </c>
      <c r="AG41" s="12" t="str" cm="1">
        <f t="array" aca="1" ref="AG41" ca="1">_xlfn.LET(
_xlpm._answer,$D41,
_xlpm._infoTextFull,IF($AD41,CHAR(10)&amp;SimpleLookup($B41,Questions!$A:$H)&amp;CHAR(10),""),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41" s="12" t="b" cm="1">
        <f t="array" aca="1" ref="AH41" ca="1">IF(OR($B41="",NOT($AD41)),FALSE,_xlfn.LET(
_xlpm._secondAnswerRequiredOn,SimpleLookup($B41,Questions!$A:$I),
_xlpm._firstAnwer,$D41,
IFERROR(FIND(CHAR(10)&amp;_xlpm._firstAnwer&amp;":",CHAR(10)&amp;_xlpm._secondAnswerRequiredOn)&gt;0,FALSE)))</f>
        <v>0</v>
      </c>
      <c r="AI41" s="12" t="str" cm="1">
        <f t="array" aca="1" ref="AI41" ca="1">IF(OR($B41="",NOT($AD41)),"",_xlfn.LET(
_xlpm._id,$B41,
_xlpm._firstAnswer,$D41,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41" s="12" cm="1">
        <f t="array" aca="1" ref="AJ41" ca="1">IF(OR($B41="",NOT($AD41)),"",_xlfn.LET(
_xlpm._id,$B41,
_xlpm._firstAnswer,$D41,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0</v>
      </c>
      <c r="AK41" s="12" t="str" cm="1">
        <f t="array" aca="1" ref="AK41" ca="1">IF($AH41,_xlfn.LET(
_xlpm._answer,$F41,
_xlpm._infoTextFull,IF($AD41,CHAR(10)&amp;SimpleLookup($B41,Questions!$A:$L)&amp;CHAR(10),""),
_xlpm._startSelectedByAnswerOne,IF(_xlpm._infoTextFull="",0,FIND("___"&amp;$D41&amp;"___",_xlpm._infoTextFull)+LEN("___"&amp;$D41&amp;"___")),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41" s="12" t="b" cm="1">
        <f t="array" aca="1" ref="AL41" ca="1">IF(OR($B41="",NOT($AD41)),FALSE,SimpleLookup($B41,Questions!$A:$Q))</f>
        <v>0</v>
      </c>
      <c r="AM41" s="12" t="str" cm="1">
        <f t="array" aca="1" ref="AM41" ca="1">IF(AND($B41=Questions!$A$41,IFERROR(SimpleLookup(Questions!$A$36,$B:$F)=Definitions!$O$5,FALSE),$D41=Definitions!$A$5),
Questions!$A$36&amp;" "&amp;Questions!$B$36&amp;CHAR(10)&amp;CHAR(187)&amp;" "&amp;SimpleLookup(Questions!$A$36,$B:$D)&amp;CHAR(10)&amp;SimpleLookup(Questions!$A$36,$B:$E)&amp;CHAR(10)&amp;CHAR(187)&amp;" "&amp;Definitions!$O$5&amp;CHAR(10)&amp;CHAR(10)&amp;
"is incosistent with"&amp;CHAR(10)&amp;CHAR(10)&amp;
$B41&amp;" "&amp;SimpleLookup($B41,Questions!$A:$B)&amp;CHAR(10)&amp;CHAR(187)&amp;" "&amp;$D41,
"")</f>
        <v/>
      </c>
      <c r="AN41" s="12" cm="1">
        <f t="array" aca="1" ref="AN41" ca="1">CreateID($AN$3,$AM41&lt;&gt;"")</f>
        <v>0</v>
      </c>
      <c r="AO41" s="12" t="str">
        <f ca="1">IF(OR($D41="",OFFSET($D41,1,0)=""),"",
IF(AND($B41=Questions!$A$59,OFFSET($B41,1,0)=Questions!$A$60),
IF(MATCH($D41,Definitions!$AW:$AW,0)&gt;MATCH(OFFSET($D41,1,0),Definitions!AW:AW,0),$B41&amp;" "&amp;$L41&amp;": "&amp;$D41&amp;CHAR(10)&amp;"&lt;---&gt;"&amp;CHAR(10)&amp;OFFSET($B41,1,0)&amp;" "&amp;OFFSET($L41,1,0)&amp;": "&amp;OFFSET($D41,1,0),""),
""))</f>
        <v/>
      </c>
      <c r="AP41" s="12" cm="1">
        <f t="array" aca="1" ref="AP41" ca="1">CreateID($AP$3,$AO41&lt;&gt;"")</f>
        <v>0</v>
      </c>
      <c r="AQ41" s="12" t="str" cm="1">
        <f t="array" ref="AQ41">IF($B41=Questions!$A$18,
  _xlfn.LET(
    _xlpm._impactValue7,IFERROR(SimpleLookup(SimpleLookup($F41,Definitions!$H:$J),Definitions!$Q:$R),0),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"&amp;$F41&amp;CHAR(10)&amp;"&lt;---&gt;"&amp;CHAR(10)&amp;Questions!$A$30&amp;": "&amp;_xlpm._impactName14,
        ""))),
  "")</f>
        <v/>
      </c>
      <c r="AR41" s="12" cm="1">
        <f t="array" aca="1" ref="AR41" ca="1">CreateID($AR$3,$AQ41&lt;&gt;"")</f>
        <v>0</v>
      </c>
    </row>
    <row r="42" spans="1:44" x14ac:dyDescent="0.25">
      <c r="A42" s="116"/>
      <c r="B42" s="68" t="s">
        <v>993</v>
      </c>
      <c r="C42" s="4" t="str" cm="1">
        <f t="array" aca="1" ref="C42" ca="1">IF($B42="","",CreateIndentedString($L42,Definitions!$T$4,SimpleLookup($B42,Questions!$A:$C)))</f>
        <v>Logical  communication</v>
      </c>
      <c r="J42" s="12" t="str">
        <f t="shared" ca="1" si="6"/>
        <v/>
      </c>
      <c r="K42" s="12" t="str">
        <f t="shared" ca="1" si="7"/>
        <v/>
      </c>
      <c r="L42" s="12" t="str" cm="1">
        <f t="array" aca="1" ref="L42" ca="1">SimpleLookup($B42,Questions!$A:$B)</f>
        <v>Logical communication</v>
      </c>
      <c r="M42" s="12" cm="1">
        <f t="array" aca="1" ref="M42" ca="1">CreateID($M$3,AND($B42&lt;&gt;"",$AD42))</f>
        <v>22</v>
      </c>
      <c r="N42" s="12" cm="1">
        <f t="array" ref="N42">CreateTaskID($N$3,$N:$N,Tasks!$B$17,$H42)</f>
        <v>0</v>
      </c>
      <c r="O42" s="12" t="str">
        <f t="shared" ca="1" si="8"/>
        <v/>
      </c>
      <c r="P42" s="12" cm="1">
        <f t="array" aca="1" ref="P42" ca="1">CreateID($P$3,$O42&lt;&gt;"")</f>
        <v>22</v>
      </c>
      <c r="Q42" s="12" t="str">
        <f t="shared" si="9"/>
        <v/>
      </c>
      <c r="R42" s="12" cm="1">
        <f t="array" aca="1" ref="R42" ca="1">CreateID($R$3,$Q42&lt;&gt;"")</f>
        <v>0</v>
      </c>
      <c r="S42" s="12" t="str">
        <f t="shared" si="10"/>
        <v/>
      </c>
      <c r="T42" s="12" cm="1">
        <f t="array" aca="1" ref="T42" ca="1">CreateID($T$3,$S42&lt;&gt;"")</f>
        <v>0</v>
      </c>
      <c r="U42" s="12" t="str">
        <f t="shared" ca="1" si="11"/>
        <v/>
      </c>
      <c r="V42" s="12" cm="1">
        <f t="array" aca="1" ref="V42" ca="1">CreateID($V$3,$U42&lt;&gt;"")</f>
        <v>0</v>
      </c>
      <c r="W42" s="12" cm="1">
        <f t="array" aca="1" ref="W42" ca="1">CreateID($W$3,IFERROR(FIND(Definitions!$AR$4,$H42)&gt;0,FALSE))</f>
        <v>0</v>
      </c>
      <c r="X42" s="12">
        <f>_xlfn.LET(
_xlpm._comment,$H42,
_xlpm._keyWord,Definitions!$AR$4,
_xlpm._diffLen,LEN(_xlpm._comment)-LEN(SUBSTITUTE(_xlpm._comment,_xlpm._keyWord,"")),
_xlpm._diffLen/LEN(_xlpm._keyWord))</f>
        <v>0</v>
      </c>
      <c r="Y42" s="12" cm="1">
        <f t="array" aca="1" ref="Y42" ca="1">CreateID($Y$3,IFERROR(FIND(Definitions!$AR$5,$H42)&gt;0,FALSE))</f>
        <v>0</v>
      </c>
      <c r="Z42" s="12">
        <f>_xlfn.LET(
_xlpm._comment,$H42,
_xlpm._keyWord,Definitions!$AR$5,
_xlpm._diffLen,LEN(_xlpm._comment)-LEN(SUBSTITUTE(_xlpm._comment,_xlpm._keyWord,"")),
_xlpm._diffLen/LEN(_xlpm._keyWord))</f>
        <v>0</v>
      </c>
      <c r="AA42" s="12" t="b">
        <f ca="1">OR(IFERROR(_xlfn.XMATCH("*,"&amp;$B42&amp;",*",Assumptions!$AH:$AH,2)&gt;0,FALSE),
IFERROR(_xlfn.XMATCH("*,"&amp;$B42&amp;",*",Countermeasures!$AK:$AK,2)&gt;0,FALSE))</f>
        <v>0</v>
      </c>
      <c r="AB42" s="12" t="str" cm="1">
        <f t="array" aca="1" ref="AB42" ca="1">CreateSearchString($J42)</f>
        <v/>
      </c>
      <c r="AC42" s="12" t="str" cm="1">
        <f t="array" ref="AC42">IF($F42="","",IFERROR(SimpleLookup($F42,Definitions!$H:$J),""))</f>
        <v/>
      </c>
      <c r="AD42" s="12" t="b" cm="1">
        <f t="array" aca="1" ref="AD42" ca="1">IF($B42="",FALSE,SimpleLookup($B42,Questions!$A:$D)="x")</f>
        <v>0</v>
      </c>
      <c r="AE42" s="12" t="str" cm="1">
        <f t="array" aca="1" ref="AE42" ca="1">IF(OR($B42="",NOT($AD42)),"",SimpleLookup($B42,Questions!$A:$E))</f>
        <v/>
      </c>
      <c r="AF42" s="12" t="str" cm="1">
        <f t="array" aca="1" ref="AF42" ca="1">IF(OR($B42="",NOT($AD42)),"",SimpleLookup($B42,Questions!$A:$F))</f>
        <v/>
      </c>
      <c r="AG42" s="12" t="str" cm="1">
        <f t="array" aca="1" ref="AG42" ca="1">_xlfn.LET(
_xlpm._answer,$D42,
_xlpm._infoTextFull,IF($AD42,CHAR(10)&amp;SimpleLookup($B42,Questions!$A:$H)&amp;CHAR(10),""),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42" s="12" t="b" cm="1">
        <f t="array" aca="1" ref="AH42" ca="1">IF(OR($B42="",NOT($AD42)),FALSE,_xlfn.LET(
_xlpm._secondAnswerRequiredOn,SimpleLookup($B42,Questions!$A:$I),
_xlpm._firstAnwer,$D42,
IFERROR(FIND(CHAR(10)&amp;_xlpm._firstAnwer&amp;":",CHAR(10)&amp;_xlpm._secondAnswerRequiredOn)&gt;0,FALSE)))</f>
        <v>0</v>
      </c>
      <c r="AI42" s="12" t="str" cm="1">
        <f t="array" aca="1" ref="AI42" ca="1">IF(OR($B42="",NOT($AD42)),"",_xlfn.LET(
_xlpm._id,$B42,
_xlpm._firstAnswer,$D42,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42" s="12" t="str" cm="1">
        <f t="array" aca="1" ref="AJ42" ca="1">IF(OR($B42="",NOT($AD42)),"",_xlfn.LET(
_xlpm._id,$B42,
_xlpm._firstAnswer,$D42,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42" s="12" t="str" cm="1">
        <f t="array" aca="1" ref="AK42" ca="1">IF($AH42,_xlfn.LET(
_xlpm._answer,$F42,
_xlpm._infoTextFull,IF($AD42,CHAR(10)&amp;SimpleLookup($B42,Questions!$A:$L)&amp;CHAR(10),""),
_xlpm._startSelectedByAnswerOne,IF(_xlpm._infoTextFull="",0,FIND("___"&amp;$D42&amp;"___",_xlpm._infoTextFull)+LEN("___"&amp;$D42&amp;"___")),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42" s="12" t="b" cm="1">
        <f t="array" aca="1" ref="AL42" ca="1">IF(OR($B42="",NOT($AD42)),FALSE,SimpleLookup($B42,Questions!$A:$Q))</f>
        <v>0</v>
      </c>
      <c r="AM42" s="12" t="str" cm="1">
        <f t="array" aca="1" ref="AM42" ca="1">IF(AND($B42=Questions!$A$41,IFERROR(SimpleLookup(Questions!$A$36,$B:$F)=Definitions!$O$5,FALSE),$D42=Definitions!$A$5),
Questions!$A$36&amp;" "&amp;Questions!$B$36&amp;CHAR(10)&amp;CHAR(187)&amp;" "&amp;SimpleLookup(Questions!$A$36,$B:$D)&amp;CHAR(10)&amp;SimpleLookup(Questions!$A$36,$B:$E)&amp;CHAR(10)&amp;CHAR(187)&amp;" "&amp;Definitions!$O$5&amp;CHAR(10)&amp;CHAR(10)&amp;
"is incosistent with"&amp;CHAR(10)&amp;CHAR(10)&amp;
$B42&amp;" "&amp;SimpleLookup($B42,Questions!$A:$B)&amp;CHAR(10)&amp;CHAR(187)&amp;" "&amp;$D42,
"")</f>
        <v/>
      </c>
      <c r="AN42" s="12" cm="1">
        <f t="array" aca="1" ref="AN42" ca="1">CreateID($AN$3,$AM42&lt;&gt;"")</f>
        <v>0</v>
      </c>
      <c r="AO42" s="12" t="str">
        <f ca="1">IF(OR($D42="",OFFSET($D42,1,0)=""),"",
IF(AND($B42=Questions!$A$59,OFFSET($B42,1,0)=Questions!$A$60),
IF(MATCH($D42,Definitions!$AW:$AW,0)&gt;MATCH(OFFSET($D42,1,0),Definitions!AW:AW,0),$B42&amp;" "&amp;$L42&amp;": "&amp;$D42&amp;CHAR(10)&amp;"&lt;---&gt;"&amp;CHAR(10)&amp;OFFSET($B42,1,0)&amp;" "&amp;OFFSET($L42,1,0)&amp;": "&amp;OFFSET($D42,1,0),""),
""))</f>
        <v/>
      </c>
      <c r="AP42" s="12" cm="1">
        <f t="array" aca="1" ref="AP42" ca="1">CreateID($AP$3,$AO42&lt;&gt;"")</f>
        <v>0</v>
      </c>
      <c r="AQ42" s="12" t="str" cm="1">
        <f t="array" ref="AQ42">IF($B42=Questions!$A$18,
  _xlfn.LET(
    _xlpm._impactValue7,IFERROR(SimpleLookup(SimpleLookup($F42,Definitions!$H:$J),Definitions!$Q:$R),0),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"&amp;$F42&amp;CHAR(10)&amp;"&lt;---&gt;"&amp;CHAR(10)&amp;Questions!$A$30&amp;": "&amp;_xlpm._impactName14,
        ""))),
  "")</f>
        <v/>
      </c>
      <c r="AR42" s="12" cm="1">
        <f t="array" aca="1" ref="AR42" ca="1">CreateID($AR$3,$AQ42&lt;&gt;"")</f>
        <v>0</v>
      </c>
    </row>
    <row r="43" spans="1:44" ht="30" x14ac:dyDescent="0.25">
      <c r="A43" s="116" t="str">
        <f ca="1">HYPERLINK("#'"&amp;Helper!$G$22&amp;"'!A"&amp;MATCH($B43,'Answering Guideline'!$A:$A,0),Definitions!$AY$4)</f>
        <v>◈</v>
      </c>
      <c r="B43" s="68" t="s">
        <v>876</v>
      </c>
      <c r="C43" s="4" t="str" cm="1">
        <f t="array" aca="1" ref="C43" ca="1">IF($B43="","",CreateIndentedString($L43,Definitions!$T$4,SimpleLookup($B43,Questions!$A:$C)))</f>
        <v xml:space="preserve">   Does  the  product  offer  services  to  other  entities
   on  the  network?</v>
      </c>
      <c r="E43" s="7" t="str">
        <f t="shared" ref="E43:E51" ca="1" si="12">$AG43</f>
        <v/>
      </c>
      <c r="G43" s="7" t="str">
        <f t="shared" ref="G43:G51" ca="1" si="13">$AK43</f>
        <v/>
      </c>
      <c r="J43" s="12" t="str">
        <f t="shared" ca="1" si="6"/>
        <v>QA7[]</v>
      </c>
      <c r="K43" s="12" t="str">
        <f t="shared" ca="1" si="7"/>
        <v>QA7[]</v>
      </c>
      <c r="L43" s="12" t="str" cm="1">
        <f t="array" aca="1" ref="L43" ca="1">SimpleLookup($B43,Questions!$A:$B)</f>
        <v>Does the product offer services to other entities on the network?</v>
      </c>
      <c r="M43" s="12" cm="1">
        <f t="array" aca="1" ref="M43" ca="1">CreateID($M$3,AND($B43&lt;&gt;"",$AD43))</f>
        <v>23</v>
      </c>
      <c r="N43" s="12" cm="1">
        <f t="array" ref="N43">CreateTaskID($N$3,$N:$N,Tasks!$B$17,$H43)</f>
        <v>0</v>
      </c>
      <c r="O43" s="12" t="str">
        <f t="shared" ca="1" si="8"/>
        <v>QA7 Does the product offer services to other entities on the network?</v>
      </c>
      <c r="P43" s="12" cm="1">
        <f t="array" aca="1" ref="P43" ca="1">CreateID($P$3,$O43&lt;&gt;"")</f>
        <v>23</v>
      </c>
      <c r="Q43" s="12" t="str">
        <f t="shared" ca="1" si="9"/>
        <v/>
      </c>
      <c r="R43" s="12" cm="1">
        <f t="array" aca="1" ref="R43" ca="1">CreateID($R$3,$Q43&lt;&gt;"")</f>
        <v>0</v>
      </c>
      <c r="S43" s="12" t="str">
        <f t="shared" ca="1" si="10"/>
        <v/>
      </c>
      <c r="T43" s="12" cm="1">
        <f t="array" aca="1" ref="T43" ca="1">CreateID($T$3,$S43&lt;&gt;"")</f>
        <v>0</v>
      </c>
      <c r="U43" s="12" t="str">
        <f t="shared" ca="1" si="11"/>
        <v/>
      </c>
      <c r="V43" s="12" cm="1">
        <f t="array" aca="1" ref="V43" ca="1">CreateID($V$3,$U43&lt;&gt;"")</f>
        <v>0</v>
      </c>
      <c r="W43" s="12" cm="1">
        <f t="array" aca="1" ref="W43" ca="1">CreateID($W$3,IFERROR(FIND(Definitions!$AR$4,$H43)&gt;0,FALSE))</f>
        <v>0</v>
      </c>
      <c r="X43" s="12">
        <f>_xlfn.LET(
_xlpm._comment,$H43,
_xlpm._keyWord,Definitions!$AR$4,
_xlpm._diffLen,LEN(_xlpm._comment)-LEN(SUBSTITUTE(_xlpm._comment,_xlpm._keyWord,"")),
_xlpm._diffLen/LEN(_xlpm._keyWord))</f>
        <v>0</v>
      </c>
      <c r="Y43" s="12" cm="1">
        <f t="array" aca="1" ref="Y43" ca="1">CreateID($Y$3,IFERROR(FIND(Definitions!$AR$5,$H43)&gt;0,FALSE))</f>
        <v>0</v>
      </c>
      <c r="Z43" s="12">
        <f>_xlfn.LET(
_xlpm._comment,$H43,
_xlpm._keyWord,Definitions!$AR$5,
_xlpm._diffLen,LEN(_xlpm._comment)-LEN(SUBSTITUTE(_xlpm._comment,_xlpm._keyWord,"")),
_xlpm._diffLen/LEN(_xlpm._keyWord))</f>
        <v>0</v>
      </c>
      <c r="AA43" s="12" t="b">
        <f ca="1">OR(IFERROR(_xlfn.XMATCH("*,"&amp;$B43&amp;",*",Assumptions!$AH:$AH,2)&gt;0,FALSE),
IFERROR(_xlfn.XMATCH("*,"&amp;$B43&amp;",*",Countermeasures!$AK:$AK,2)&gt;0,FALSE))</f>
        <v>0</v>
      </c>
      <c r="AB43" s="12" t="str" cm="1">
        <f t="array" aca="1" ref="AB43" ca="1">CreateSearchString($J43)</f>
        <v>,QA7[],</v>
      </c>
      <c r="AC43" s="12" t="str" cm="1">
        <f t="array" ref="AC43">IF($F43="","",IFERROR(SimpleLookup($F43,Definitions!$H:$J),""))</f>
        <v/>
      </c>
      <c r="AD43" s="12" t="b" cm="1">
        <f t="array" aca="1" ref="AD43" ca="1">IF($B43="",FALSE,SimpleLookup($B43,Questions!$A:$D)="x")</f>
        <v>1</v>
      </c>
      <c r="AE43" s="12" t="str" cm="1">
        <f t="array" aca="1" ref="AE43" ca="1">IF(OR($B43="",NOT($AD43)),"",SimpleLookup($B43,Questions!$A:$E))</f>
        <v>'[QuBA-libre.xlsx]Definitions'!$A$4</v>
      </c>
      <c r="AF43" s="12" cm="1">
        <f t="array" aca="1" ref="AF43" ca="1">IF(OR($B43="",NOT($AD43)),"",SimpleLookup($B43,Questions!$A:$F))</f>
        <v>2</v>
      </c>
      <c r="AG43" s="12" t="str" cm="1">
        <f t="array" aca="1" ref="AG43" ca="1">_xlfn.LET(
_xlpm._answer,$D43,
_xlpm._infoTextFull,IF($AD43,CHAR(10)&amp;SimpleLookup($B43,Questions!$A:$H)&amp;CHAR(10),""),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43" s="12" t="b" cm="1">
        <f t="array" aca="1" ref="AH43" ca="1">IF(OR($B43="",NOT($AD43)),FALSE,_xlfn.LET(
_xlpm._secondAnswerRequiredOn,SimpleLookup($B43,Questions!$A:$I),
_xlpm._firstAnwer,$D43,
IFERROR(FIND(CHAR(10)&amp;_xlpm._firstAnwer&amp;":",CHAR(10)&amp;_xlpm._secondAnswerRequiredOn)&gt;0,FALSE)))</f>
        <v>0</v>
      </c>
      <c r="AI43" s="12" t="str" cm="1">
        <f t="array" aca="1" ref="AI43" ca="1">IF(OR($B43="",NOT($AD43)),"",_xlfn.LET(
_xlpm._id,$B43,
_xlpm._firstAnswer,$D43,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43" s="12" t="str" cm="1">
        <f t="array" aca="1" ref="AJ43" ca="1">IF(OR($B43="",NOT($AD43)),"",_xlfn.LET(
_xlpm._id,$B43,
_xlpm._firstAnswer,$D43,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43" s="12" t="str" cm="1">
        <f t="array" aca="1" ref="AK43" ca="1">IF($AH43,_xlfn.LET(
_xlpm._answer,$F43,
_xlpm._infoTextFull,IF($AD43,CHAR(10)&amp;SimpleLookup($B43,Questions!$A:$L)&amp;CHAR(10),""),
_xlpm._startSelectedByAnswerOne,IF(_xlpm._infoTextFull="",0,FIND("___"&amp;$D43&amp;"___",_xlpm._infoTextFull)+LEN("___"&amp;$D43&amp;"___")),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43" s="12" t="b" cm="1">
        <f t="array" aca="1" ref="AL43" ca="1">IF(OR($B43="",NOT($AD43)),FALSE,SimpleLookup($B43,Questions!$A:$Q))</f>
        <v>0</v>
      </c>
      <c r="AM43" s="12" t="str" cm="1">
        <f t="array" aca="1" ref="AM43" ca="1">IF(AND($B43=Questions!$A$41,IFERROR(SimpleLookup(Questions!$A$36,$B:$F)=Definitions!$O$5,FALSE),$D43=Definitions!$A$5),
Questions!$A$36&amp;" "&amp;Questions!$B$36&amp;CHAR(10)&amp;CHAR(187)&amp;" "&amp;SimpleLookup(Questions!$A$36,$B:$D)&amp;CHAR(10)&amp;SimpleLookup(Questions!$A$36,$B:$E)&amp;CHAR(10)&amp;CHAR(187)&amp;" "&amp;Definitions!$O$5&amp;CHAR(10)&amp;CHAR(10)&amp;
"is incosistent with"&amp;CHAR(10)&amp;CHAR(10)&amp;
$B43&amp;" "&amp;SimpleLookup($B43,Questions!$A:$B)&amp;CHAR(10)&amp;CHAR(187)&amp;" "&amp;$D43,
"")</f>
        <v/>
      </c>
      <c r="AN43" s="12" cm="1">
        <f t="array" aca="1" ref="AN43" ca="1">CreateID($AN$3,$AM43&lt;&gt;"")</f>
        <v>0</v>
      </c>
      <c r="AO43" s="12" t="str">
        <f ca="1">IF(OR($D43="",OFFSET($D43,1,0)=""),"",
IF(AND($B43=Questions!$A$59,OFFSET($B43,1,0)=Questions!$A$60),
IF(MATCH($D43,Definitions!$AW:$AW,0)&gt;MATCH(OFFSET($D43,1,0),Definitions!AW:AW,0),$B43&amp;" "&amp;$L43&amp;": "&amp;$D43&amp;CHAR(10)&amp;"&lt;---&gt;"&amp;CHAR(10)&amp;OFFSET($B43,1,0)&amp;" "&amp;OFFSET($L43,1,0)&amp;": "&amp;OFFSET($D43,1,0),""),
""))</f>
        <v/>
      </c>
      <c r="AP43" s="12" cm="1">
        <f t="array" aca="1" ref="AP43" ca="1">CreateID($AP$3,$AO43&lt;&gt;"")</f>
        <v>0</v>
      </c>
      <c r="AQ43" s="12" t="str" cm="1">
        <f t="array" ref="AQ43">IF($B43=Questions!$A$18,
  _xlfn.LET(
    _xlpm._impactValue7,IFERROR(SimpleLookup(SimpleLookup($F43,Definitions!$H:$J),Definitions!$Q:$R),0),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"&amp;$F43&amp;CHAR(10)&amp;"&lt;---&gt;"&amp;CHAR(10)&amp;Questions!$A$30&amp;": "&amp;_xlpm._impactName14,
        ""))),
  "")</f>
        <v/>
      </c>
      <c r="AR43" s="12" cm="1">
        <f t="array" aca="1" ref="AR43" ca="1">CreateID($AR$3,$AQ43&lt;&gt;"")</f>
        <v>0</v>
      </c>
    </row>
    <row r="44" spans="1:44" x14ac:dyDescent="0.25">
      <c r="A44" s="116" t="str">
        <f ca="1">HYPERLINK("#'"&amp;Helper!$G$22&amp;"'!A"&amp;MATCH($B44,'Answering Guideline'!$A:$A,0),Definitions!$AY$4)</f>
        <v>◈</v>
      </c>
      <c r="B44" s="68" t="s">
        <v>879</v>
      </c>
      <c r="C44" s="4" t="str" cm="1">
        <f t="array" aca="1" ref="C44" ca="1">IF($B44="","",CreateIndentedString($L44,Definitions!$T$4,SimpleLookup($B44,Questions!$A:$C)))</f>
        <v xml:space="preserve">   Does  the  product  offer  a  configuration  interface?</v>
      </c>
      <c r="E44" s="7" t="str">
        <f t="shared" ca="1" si="12"/>
        <v/>
      </c>
      <c r="G44" s="7" t="str">
        <f t="shared" ca="1" si="13"/>
        <v/>
      </c>
      <c r="J44" s="12" t="str">
        <f t="shared" ca="1" si="6"/>
        <v>QA8[]</v>
      </c>
      <c r="K44" s="12" t="str">
        <f t="shared" ca="1" si="7"/>
        <v>QA8[]</v>
      </c>
      <c r="L44" s="12" t="str" cm="1">
        <f t="array" aca="1" ref="L44" ca="1">SimpleLookup($B44,Questions!$A:$B)</f>
        <v>Does the product offer a configuration interface?</v>
      </c>
      <c r="M44" s="12" cm="1">
        <f t="array" aca="1" ref="M44" ca="1">CreateID($M$3,AND($B44&lt;&gt;"",$AD44))</f>
        <v>24</v>
      </c>
      <c r="N44" s="12" cm="1">
        <f t="array" ref="N44">CreateTaskID($N$3,$N:$N,Tasks!$B$17,$H44)</f>
        <v>0</v>
      </c>
      <c r="O44" s="12" t="str">
        <f t="shared" ca="1" si="8"/>
        <v>QA8 Does the product offer a configuration interface?</v>
      </c>
      <c r="P44" s="12" cm="1">
        <f t="array" aca="1" ref="P44" ca="1">CreateID($P$3,$O44&lt;&gt;"")</f>
        <v>24</v>
      </c>
      <c r="Q44" s="12" t="str">
        <f t="shared" ca="1" si="9"/>
        <v/>
      </c>
      <c r="R44" s="12" cm="1">
        <f t="array" aca="1" ref="R44" ca="1">CreateID($R$3,$Q44&lt;&gt;"")</f>
        <v>0</v>
      </c>
      <c r="S44" s="12" t="str">
        <f t="shared" ca="1" si="10"/>
        <v/>
      </c>
      <c r="T44" s="12" cm="1">
        <f t="array" aca="1" ref="T44" ca="1">CreateID($T$3,$S44&lt;&gt;"")</f>
        <v>0</v>
      </c>
      <c r="U44" s="12" t="str">
        <f t="shared" ca="1" si="11"/>
        <v/>
      </c>
      <c r="V44" s="12" cm="1">
        <f t="array" aca="1" ref="V44" ca="1">CreateID($V$3,$U44&lt;&gt;"")</f>
        <v>0</v>
      </c>
      <c r="W44" s="12" cm="1">
        <f t="array" aca="1" ref="W44" ca="1">CreateID($W$3,IFERROR(FIND(Definitions!$AR$4,$H44)&gt;0,FALSE))</f>
        <v>0</v>
      </c>
      <c r="X44" s="12">
        <f>_xlfn.LET(
_xlpm._comment,$H44,
_xlpm._keyWord,Definitions!$AR$4,
_xlpm._diffLen,LEN(_xlpm._comment)-LEN(SUBSTITUTE(_xlpm._comment,_xlpm._keyWord,"")),
_xlpm._diffLen/LEN(_xlpm._keyWord))</f>
        <v>0</v>
      </c>
      <c r="Y44" s="12" cm="1">
        <f t="array" aca="1" ref="Y44" ca="1">CreateID($Y$3,IFERROR(FIND(Definitions!$AR$5,$H44)&gt;0,FALSE))</f>
        <v>0</v>
      </c>
      <c r="Z44" s="12">
        <f>_xlfn.LET(
_xlpm._comment,$H44,
_xlpm._keyWord,Definitions!$AR$5,
_xlpm._diffLen,LEN(_xlpm._comment)-LEN(SUBSTITUTE(_xlpm._comment,_xlpm._keyWord,"")),
_xlpm._diffLen/LEN(_xlpm._keyWord))</f>
        <v>0</v>
      </c>
      <c r="AA44" s="12" t="b">
        <f ca="1">OR(IFERROR(_xlfn.XMATCH("*,"&amp;$B44&amp;",*",Assumptions!$AH:$AH,2)&gt;0,FALSE),
IFERROR(_xlfn.XMATCH("*,"&amp;$B44&amp;",*",Countermeasures!$AK:$AK,2)&gt;0,FALSE))</f>
        <v>0</v>
      </c>
      <c r="AB44" s="12" t="str" cm="1">
        <f t="array" aca="1" ref="AB44" ca="1">CreateSearchString($J44)</f>
        <v>,QA8[],</v>
      </c>
      <c r="AC44" s="12" t="str" cm="1">
        <f t="array" ref="AC44">IF($F44="","",IFERROR(SimpleLookup($F44,Definitions!$H:$J),""))</f>
        <v/>
      </c>
      <c r="AD44" s="12" t="b" cm="1">
        <f t="array" aca="1" ref="AD44" ca="1">IF($B44="",FALSE,SimpleLookup($B44,Questions!$A:$D)="x")</f>
        <v>1</v>
      </c>
      <c r="AE44" s="12" t="str" cm="1">
        <f t="array" aca="1" ref="AE44" ca="1">IF(OR($B44="",NOT($AD44)),"",SimpleLookup($B44,Questions!$A:$E))</f>
        <v>'[QuBA-libre.xlsx]Definitions'!$A$4</v>
      </c>
      <c r="AF44" s="12" cm="1">
        <f t="array" aca="1" ref="AF44" ca="1">IF(OR($B44="",NOT($AD44)),"",SimpleLookup($B44,Questions!$A:$F))</f>
        <v>2</v>
      </c>
      <c r="AG44" s="12" t="str" cm="1">
        <f t="array" aca="1" ref="AG44" ca="1">_xlfn.LET(
_xlpm._answer,$D44,
_xlpm._infoTextFull,IF($AD44,CHAR(10)&amp;SimpleLookup($B44,Questions!$A:$H)&amp;CHAR(10),""),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44" s="12" t="b" cm="1">
        <f t="array" aca="1" ref="AH44" ca="1">IF(OR($B44="",NOT($AD44)),FALSE,_xlfn.LET(
_xlpm._secondAnswerRequiredOn,SimpleLookup($B44,Questions!$A:$I),
_xlpm._firstAnwer,$D44,
IFERROR(FIND(CHAR(10)&amp;_xlpm._firstAnwer&amp;":",CHAR(10)&amp;_xlpm._secondAnswerRequiredOn)&gt;0,FALSE)))</f>
        <v>0</v>
      </c>
      <c r="AI44" s="12" t="str" cm="1">
        <f t="array" aca="1" ref="AI44" ca="1">IF(OR($B44="",NOT($AD44)),"",_xlfn.LET(
_xlpm._id,$B44,
_xlpm._firstAnswer,$D44,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'[QuBA-libre.xlsx]Definitions'!$A$4</v>
      </c>
      <c r="AJ44" s="12" cm="1">
        <f t="array" aca="1" ref="AJ44" ca="1">IF(OR($B44="",NOT($AD44)),"",_xlfn.LET(
_xlpm._id,$B44,
_xlpm._firstAnswer,$D44,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2</v>
      </c>
      <c r="AK44" s="12" t="str" cm="1">
        <f t="array" aca="1" ref="AK44" ca="1">IF($AH44,_xlfn.LET(
_xlpm._answer,$F44,
_xlpm._infoTextFull,IF($AD44,CHAR(10)&amp;SimpleLookup($B44,Questions!$A:$L)&amp;CHAR(10),""),
_xlpm._startSelectedByAnswerOne,IF(_xlpm._infoTextFull="",0,FIND("___"&amp;$D44&amp;"___",_xlpm._infoTextFull)+LEN("___"&amp;$D44&amp;"___")),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44" s="12" t="b" cm="1">
        <f t="array" aca="1" ref="AL44" ca="1">IF(OR($B44="",NOT($AD44)),FALSE,SimpleLookup($B44,Questions!$A:$Q))</f>
        <v>0</v>
      </c>
      <c r="AM44" s="12" t="str" cm="1">
        <f t="array" aca="1" ref="AM44" ca="1">IF(AND($B44=Questions!$A$41,IFERROR(SimpleLookup(Questions!$A$36,$B:$F)=Definitions!$O$5,FALSE),$D44=Definitions!$A$5),
Questions!$A$36&amp;" "&amp;Questions!$B$36&amp;CHAR(10)&amp;CHAR(187)&amp;" "&amp;SimpleLookup(Questions!$A$36,$B:$D)&amp;CHAR(10)&amp;SimpleLookup(Questions!$A$36,$B:$E)&amp;CHAR(10)&amp;CHAR(187)&amp;" "&amp;Definitions!$O$5&amp;CHAR(10)&amp;CHAR(10)&amp;
"is incosistent with"&amp;CHAR(10)&amp;CHAR(10)&amp;
$B44&amp;" "&amp;SimpleLookup($B44,Questions!$A:$B)&amp;CHAR(10)&amp;CHAR(187)&amp;" "&amp;$D44,
"")</f>
        <v/>
      </c>
      <c r="AN44" s="12" cm="1">
        <f t="array" aca="1" ref="AN44" ca="1">CreateID($AN$3,$AM44&lt;&gt;"")</f>
        <v>0</v>
      </c>
      <c r="AO44" s="12" t="str">
        <f ca="1">IF(OR($D44="",OFFSET($D44,1,0)=""),"",
IF(AND($B44=Questions!$A$59,OFFSET($B44,1,0)=Questions!$A$60),
IF(MATCH($D44,Definitions!$AW:$AW,0)&gt;MATCH(OFFSET($D44,1,0),Definitions!AW:AW,0),$B44&amp;" "&amp;$L44&amp;": "&amp;$D44&amp;CHAR(10)&amp;"&lt;---&gt;"&amp;CHAR(10)&amp;OFFSET($B44,1,0)&amp;" "&amp;OFFSET($L44,1,0)&amp;": "&amp;OFFSET($D44,1,0),""),
""))</f>
        <v/>
      </c>
      <c r="AP44" s="12" cm="1">
        <f t="array" aca="1" ref="AP44" ca="1">CreateID($AP$3,$AO44&lt;&gt;"")</f>
        <v>0</v>
      </c>
      <c r="AQ44" s="12" t="str" cm="1">
        <f t="array" ref="AQ44">IF($B44=Questions!$A$18,
  _xlfn.LET(
    _xlpm._impactValue7,IFERROR(SimpleLookup(SimpleLookup($F44,Definitions!$H:$J),Definitions!$Q:$R),0),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"&amp;$F44&amp;CHAR(10)&amp;"&lt;---&gt;"&amp;CHAR(10)&amp;Questions!$A$30&amp;": "&amp;_xlpm._impactName14,
        ""))),
  "")</f>
        <v/>
      </c>
      <c r="AR44" s="12" cm="1">
        <f t="array" aca="1" ref="AR44" ca="1">CreateID($AR$3,$AQ44&lt;&gt;"")</f>
        <v>0</v>
      </c>
    </row>
    <row r="45" spans="1:44" ht="30" x14ac:dyDescent="0.25">
      <c r="A45" s="116" t="str">
        <f ca="1">HYPERLINK("#'"&amp;Helper!$G$22&amp;"'!A"&amp;MATCH($B45,'Answering Guideline'!$A:$A,0),Definitions!$AY$4)</f>
        <v>◈</v>
      </c>
      <c r="B45" s="68" t="s">
        <v>881</v>
      </c>
      <c r="C45" s="4" t="str" cm="1">
        <f t="array" aca="1" ref="C45" ca="1">IF($B45="","",CreateIndentedString($L45,Definitions!$T$4,SimpleLookup($B45,Questions!$A:$C)))</f>
        <v xml:space="preserve">   Does  the  product  have  an  IP  stack  (or  another
   routable  protocol)?</v>
      </c>
      <c r="E45" s="7" t="str">
        <f t="shared" ca="1" si="12"/>
        <v/>
      </c>
      <c r="G45" s="7" t="str">
        <f t="shared" ca="1" si="13"/>
        <v/>
      </c>
      <c r="J45" s="12" t="str">
        <f t="shared" ca="1" si="6"/>
        <v>QA9[]</v>
      </c>
      <c r="K45" s="12" t="str">
        <f t="shared" ca="1" si="7"/>
        <v>QA9[]</v>
      </c>
      <c r="L45" s="12" t="str" cm="1">
        <f t="array" aca="1" ref="L45" ca="1">SimpleLookup($B45,Questions!$A:$B)</f>
        <v>Does the product have an IP stack (or another routable protocol)?</v>
      </c>
      <c r="M45" s="12" cm="1">
        <f t="array" aca="1" ref="M45" ca="1">CreateID($M$3,AND($B45&lt;&gt;"",$AD45))</f>
        <v>25</v>
      </c>
      <c r="N45" s="12" cm="1">
        <f t="array" ref="N45">CreateTaskID($N$3,$N:$N,Tasks!$B$17,$H45)</f>
        <v>0</v>
      </c>
      <c r="O45" s="12" t="str">
        <f t="shared" ca="1" si="8"/>
        <v>QA9 Does the product have an IP stack (or another routable protocol)?</v>
      </c>
      <c r="P45" s="12" cm="1">
        <f t="array" aca="1" ref="P45" ca="1">CreateID($P$3,$O45&lt;&gt;"")</f>
        <v>25</v>
      </c>
      <c r="Q45" s="12" t="str">
        <f t="shared" ca="1" si="9"/>
        <v/>
      </c>
      <c r="R45" s="12" cm="1">
        <f t="array" aca="1" ref="R45" ca="1">CreateID($R$3,$Q45&lt;&gt;"")</f>
        <v>0</v>
      </c>
      <c r="S45" s="12" t="str">
        <f t="shared" ca="1" si="10"/>
        <v/>
      </c>
      <c r="T45" s="12" cm="1">
        <f t="array" aca="1" ref="T45" ca="1">CreateID($T$3,$S45&lt;&gt;"")</f>
        <v>0</v>
      </c>
      <c r="U45" s="12" t="str">
        <f t="shared" ca="1" si="11"/>
        <v/>
      </c>
      <c r="V45" s="12" cm="1">
        <f t="array" aca="1" ref="V45" ca="1">CreateID($V$3,$U45&lt;&gt;"")</f>
        <v>0</v>
      </c>
      <c r="W45" s="12" cm="1">
        <f t="array" aca="1" ref="W45" ca="1">CreateID($W$3,IFERROR(FIND(Definitions!$AR$4,$H45)&gt;0,FALSE))</f>
        <v>0</v>
      </c>
      <c r="X45" s="12">
        <f>_xlfn.LET(
_xlpm._comment,$H45,
_xlpm._keyWord,Definitions!$AR$4,
_xlpm._diffLen,LEN(_xlpm._comment)-LEN(SUBSTITUTE(_xlpm._comment,_xlpm._keyWord,"")),
_xlpm._diffLen/LEN(_xlpm._keyWord))</f>
        <v>0</v>
      </c>
      <c r="Y45" s="12" cm="1">
        <f t="array" aca="1" ref="Y45" ca="1">CreateID($Y$3,IFERROR(FIND(Definitions!$AR$5,$H45)&gt;0,FALSE))</f>
        <v>0</v>
      </c>
      <c r="Z45" s="12">
        <f>_xlfn.LET(
_xlpm._comment,$H45,
_xlpm._keyWord,Definitions!$AR$5,
_xlpm._diffLen,LEN(_xlpm._comment)-LEN(SUBSTITUTE(_xlpm._comment,_xlpm._keyWord,"")),
_xlpm._diffLen/LEN(_xlpm._keyWord))</f>
        <v>0</v>
      </c>
      <c r="AA45" s="12" t="b">
        <f ca="1">OR(IFERROR(_xlfn.XMATCH("*,"&amp;$B45&amp;",*",Assumptions!$AH:$AH,2)&gt;0,FALSE),
IFERROR(_xlfn.XMATCH("*,"&amp;$B45&amp;",*",Countermeasures!$AK:$AK,2)&gt;0,FALSE))</f>
        <v>0</v>
      </c>
      <c r="AB45" s="12" t="str" cm="1">
        <f t="array" aca="1" ref="AB45" ca="1">CreateSearchString($J45)</f>
        <v>,QA9[],</v>
      </c>
      <c r="AC45" s="12" t="str" cm="1">
        <f t="array" ref="AC45">IF($F45="","",IFERROR(SimpleLookup($F45,Definitions!$H:$J),""))</f>
        <v/>
      </c>
      <c r="AD45" s="12" t="b" cm="1">
        <f t="array" aca="1" ref="AD45" ca="1">IF($B45="",FALSE,SimpleLookup($B45,Questions!$A:$D)="x")</f>
        <v>1</v>
      </c>
      <c r="AE45" s="12" t="str" cm="1">
        <f t="array" aca="1" ref="AE45" ca="1">IF(OR($B45="",NOT($AD45)),"",SimpleLookup($B45,Questions!$A:$E))</f>
        <v>'[QuBA-libre.xlsx]Definitions'!$A$4</v>
      </c>
      <c r="AF45" s="12" cm="1">
        <f t="array" aca="1" ref="AF45" ca="1">IF(OR($B45="",NOT($AD45)),"",SimpleLookup($B45,Questions!$A:$F))</f>
        <v>2</v>
      </c>
      <c r="AG45" s="12" t="str" cm="1">
        <f t="array" aca="1" ref="AG45" ca="1">_xlfn.LET(
_xlpm._answer,$D45,
_xlpm._infoTextFull,IF($AD45,CHAR(10)&amp;SimpleLookup($B45,Questions!$A:$H)&amp;CHAR(10),""),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45" s="12" t="b" cm="1">
        <f t="array" aca="1" ref="AH45" ca="1">IF(OR($B45="",NOT($AD45)),FALSE,_xlfn.LET(
_xlpm._secondAnswerRequiredOn,SimpleLookup($B45,Questions!$A:$I),
_xlpm._firstAnwer,$D45,
IFERROR(FIND(CHAR(10)&amp;_xlpm._firstAnwer&amp;":",CHAR(10)&amp;_xlpm._secondAnswerRequiredOn)&gt;0,FALSE)))</f>
        <v>0</v>
      </c>
      <c r="AI45" s="12" t="str" cm="1">
        <f t="array" aca="1" ref="AI45" ca="1">IF(OR($B45="",NOT($AD45)),"",_xlfn.LET(
_xlpm._id,$B45,
_xlpm._firstAnswer,$D45,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45" s="12" cm="1">
        <f t="array" aca="1" ref="AJ45" ca="1">IF(OR($B45="",NOT($AD45)),"",_xlfn.LET(
_xlpm._id,$B45,
_xlpm._firstAnswer,$D45,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0</v>
      </c>
      <c r="AK45" s="12" t="str" cm="1">
        <f t="array" aca="1" ref="AK45" ca="1">IF($AH45,_xlfn.LET(
_xlpm._answer,$F45,
_xlpm._infoTextFull,IF($AD45,CHAR(10)&amp;SimpleLookup($B45,Questions!$A:$L)&amp;CHAR(10),""),
_xlpm._startSelectedByAnswerOne,IF(_xlpm._infoTextFull="",0,FIND("___"&amp;$D45&amp;"___",_xlpm._infoTextFull)+LEN("___"&amp;$D45&amp;"___")),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45" s="12" t="b" cm="1">
        <f t="array" aca="1" ref="AL45" ca="1">IF(OR($B45="",NOT($AD45)),FALSE,SimpleLookup($B45,Questions!$A:$Q))</f>
        <v>0</v>
      </c>
      <c r="AM45" s="12" t="str" cm="1">
        <f t="array" aca="1" ref="AM45" ca="1">IF(AND($B45=Questions!$A$41,IFERROR(SimpleLookup(Questions!$A$36,$B:$F)=Definitions!$O$5,FALSE),$D45=Definitions!$A$5),
Questions!$A$36&amp;" "&amp;Questions!$B$36&amp;CHAR(10)&amp;CHAR(187)&amp;" "&amp;SimpleLookup(Questions!$A$36,$B:$D)&amp;CHAR(10)&amp;SimpleLookup(Questions!$A$36,$B:$E)&amp;CHAR(10)&amp;CHAR(187)&amp;" "&amp;Definitions!$O$5&amp;CHAR(10)&amp;CHAR(10)&amp;
"is incosistent with"&amp;CHAR(10)&amp;CHAR(10)&amp;
$B45&amp;" "&amp;SimpleLookup($B45,Questions!$A:$B)&amp;CHAR(10)&amp;CHAR(187)&amp;" "&amp;$D45,
"")</f>
        <v/>
      </c>
      <c r="AN45" s="12" cm="1">
        <f t="array" aca="1" ref="AN45" ca="1">CreateID($AN$3,$AM45&lt;&gt;"")</f>
        <v>0</v>
      </c>
      <c r="AO45" s="12" t="str">
        <f ca="1">IF(OR($D45="",OFFSET($D45,1,0)=""),"",
IF(AND($B45=Questions!$A$59,OFFSET($B45,1,0)=Questions!$A$60),
IF(MATCH($D45,Definitions!$AW:$AW,0)&gt;MATCH(OFFSET($D45,1,0),Definitions!AW:AW,0),$B45&amp;" "&amp;$L45&amp;": "&amp;$D45&amp;CHAR(10)&amp;"&lt;---&gt;"&amp;CHAR(10)&amp;OFFSET($B45,1,0)&amp;" "&amp;OFFSET($L45,1,0)&amp;": "&amp;OFFSET($D45,1,0),""),
""))</f>
        <v/>
      </c>
      <c r="AP45" s="12" cm="1">
        <f t="array" aca="1" ref="AP45" ca="1">CreateID($AP$3,$AO45&lt;&gt;"")</f>
        <v>0</v>
      </c>
      <c r="AQ45" s="12" t="str" cm="1">
        <f t="array" ref="AQ45">IF($B45=Questions!$A$18,
  _xlfn.LET(
    _xlpm._impactValue7,IFERROR(SimpleLookup(SimpleLookup($F45,Definitions!$H:$J),Definitions!$Q:$R),0),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"&amp;$F45&amp;CHAR(10)&amp;"&lt;---&gt;"&amp;CHAR(10)&amp;Questions!$A$30&amp;": "&amp;_xlpm._impactName14,
        ""))),
  "")</f>
        <v/>
      </c>
      <c r="AR45" s="12" cm="1">
        <f t="array" aca="1" ref="AR45" ca="1">CreateID($AR$3,$AQ45&lt;&gt;"")</f>
        <v>0</v>
      </c>
    </row>
    <row r="46" spans="1:44" ht="45" x14ac:dyDescent="0.25">
      <c r="A46" s="116" t="str">
        <f ca="1">HYPERLINK("#'"&amp;Helper!$G$22&amp;"'!A"&amp;MATCH($B46,'Answering Guideline'!$A:$A,0),Definitions!$AY$4)</f>
        <v>◈</v>
      </c>
      <c r="B46" s="68" t="s">
        <v>1058</v>
      </c>
      <c r="C46" s="4" t="str" cm="1">
        <f t="array" aca="1" ref="C46" ca="1">IF($B46="","",CreateIndentedString($L46,Definitions!$T$4,SimpleLookup($B46,Questions!$A:$C)))</f>
        <v xml:space="preserve">   Does  the  product  communicate  with  an  external
   system  locally  (e.g.,  a  USB  stick,  an  SD  card,
   an  RFID  tag)?</v>
      </c>
      <c r="E46" s="7" t="str">
        <f t="shared" ca="1" si="12"/>
        <v/>
      </c>
      <c r="G46" s="7" t="str">
        <f t="shared" ca="1" si="13"/>
        <v/>
      </c>
      <c r="J46" s="12" t="str">
        <f t="shared" ca="1" si="6"/>
        <v>QA10a[]</v>
      </c>
      <c r="K46" s="12" t="str">
        <f t="shared" ca="1" si="7"/>
        <v>QA10a[]</v>
      </c>
      <c r="L46" s="12" t="str" cm="1">
        <f t="array" aca="1" ref="L46" ca="1">SimpleLookup($B46,Questions!$A:$B)</f>
        <v>Does the product communicate with an external system locally (e.g., a USB stick, an SD card, an RFID tag)?</v>
      </c>
      <c r="M46" s="12" cm="1">
        <f t="array" aca="1" ref="M46" ca="1">CreateID($M$3,AND($B46&lt;&gt;"",$AD46))</f>
        <v>26</v>
      </c>
      <c r="N46" s="12" cm="1">
        <f t="array" ref="N46">CreateTaskID($N$3,$N:$N,Tasks!$B$17,$H46)</f>
        <v>0</v>
      </c>
      <c r="O46" s="12" t="str">
        <f t="shared" ca="1" si="8"/>
        <v>QA10a Does the product communicate with an external system locally (e.g., a USB stick, an SD card, an RFID tag)?</v>
      </c>
      <c r="P46" s="12" cm="1">
        <f t="array" aca="1" ref="P46" ca="1">CreateID($P$3,$O46&lt;&gt;"")</f>
        <v>26</v>
      </c>
      <c r="Q46" s="12" t="str">
        <f t="shared" ca="1" si="9"/>
        <v/>
      </c>
      <c r="R46" s="12" cm="1">
        <f t="array" aca="1" ref="R46" ca="1">CreateID($R$3,$Q46&lt;&gt;"")</f>
        <v>0</v>
      </c>
      <c r="S46" s="12" t="str">
        <f t="shared" ca="1" si="10"/>
        <v/>
      </c>
      <c r="T46" s="12" cm="1">
        <f t="array" aca="1" ref="T46" ca="1">CreateID($T$3,$S46&lt;&gt;"")</f>
        <v>0</v>
      </c>
      <c r="U46" s="12" t="str">
        <f t="shared" ca="1" si="11"/>
        <v/>
      </c>
      <c r="V46" s="12" cm="1">
        <f t="array" aca="1" ref="V46" ca="1">CreateID($V$3,$U46&lt;&gt;"")</f>
        <v>0</v>
      </c>
      <c r="W46" s="12" cm="1">
        <f t="array" aca="1" ref="W46" ca="1">CreateID($W$3,IFERROR(FIND(Definitions!$AR$4,$H46)&gt;0,FALSE))</f>
        <v>0</v>
      </c>
      <c r="X46" s="12">
        <f>_xlfn.LET(
_xlpm._comment,$H46,
_xlpm._keyWord,Definitions!$AR$4,
_xlpm._diffLen,LEN(_xlpm._comment)-LEN(SUBSTITUTE(_xlpm._comment,_xlpm._keyWord,"")),
_xlpm._diffLen/LEN(_xlpm._keyWord))</f>
        <v>0</v>
      </c>
      <c r="Y46" s="12" cm="1">
        <f t="array" aca="1" ref="Y46" ca="1">CreateID($Y$3,IFERROR(FIND(Definitions!$AR$5,$H46)&gt;0,FALSE))</f>
        <v>0</v>
      </c>
      <c r="Z46" s="12">
        <f>_xlfn.LET(
_xlpm._comment,$H46,
_xlpm._keyWord,Definitions!$AR$5,
_xlpm._diffLen,LEN(_xlpm._comment)-LEN(SUBSTITUTE(_xlpm._comment,_xlpm._keyWord,"")),
_xlpm._diffLen/LEN(_xlpm._keyWord))</f>
        <v>0</v>
      </c>
      <c r="AA46" s="12" t="b">
        <f ca="1">OR(IFERROR(_xlfn.XMATCH("*,"&amp;$B46&amp;",*",Assumptions!$AH:$AH,2)&gt;0,FALSE),
IFERROR(_xlfn.XMATCH("*,"&amp;$B46&amp;",*",Countermeasures!$AK:$AK,2)&gt;0,FALSE))</f>
        <v>0</v>
      </c>
      <c r="AB46" s="12" t="str" cm="1">
        <f t="array" aca="1" ref="AB46" ca="1">CreateSearchString($J46)</f>
        <v>,QA10a[],</v>
      </c>
      <c r="AC46" s="12" t="str" cm="1">
        <f t="array" ref="AC46">IF($F46="","",IFERROR(SimpleLookup($F46,Definitions!$H:$J),""))</f>
        <v/>
      </c>
      <c r="AD46" s="12" t="b" cm="1">
        <f t="array" aca="1" ref="AD46" ca="1">IF($B46="",FALSE,SimpleLookup($B46,Questions!$A:$D)="x")</f>
        <v>1</v>
      </c>
      <c r="AE46" s="12" t="str" cm="1">
        <f t="array" aca="1" ref="AE46" ca="1">IF(OR($B46="",NOT($AD46)),"",SimpleLookup($B46,Questions!$A:$E))</f>
        <v>'[QuBA-libre.xlsx]Definitions'!$A$4</v>
      </c>
      <c r="AF46" s="12" cm="1">
        <f t="array" aca="1" ref="AF46" ca="1">IF(OR($B46="",NOT($AD46)),"",SimpleLookup($B46,Questions!$A:$F))</f>
        <v>2</v>
      </c>
      <c r="AG46" s="12" t="str" cm="1">
        <f t="array" aca="1" ref="AG46" ca="1">_xlfn.LET(
_xlpm._answer,$D46,
_xlpm._infoTextFull,IF($AD46,CHAR(10)&amp;SimpleLookup($B46,Questions!$A:$H)&amp;CHAR(10),""),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46" s="12" t="b" cm="1">
        <f t="array" aca="1" ref="AH46" ca="1">IF(OR($B46="",NOT($AD46)),FALSE,_xlfn.LET(
_xlpm._secondAnswerRequiredOn,SimpleLookup($B46,Questions!$A:$I),
_xlpm._firstAnwer,$D46,
IFERROR(FIND(CHAR(10)&amp;_xlpm._firstAnwer&amp;":",CHAR(10)&amp;_xlpm._secondAnswerRequiredOn)&gt;0,FALSE)))</f>
        <v>0</v>
      </c>
      <c r="AI46" s="12" t="str" cm="1">
        <f t="array" aca="1" ref="AI46" ca="1">IF(OR($B46="",NOT($AD46)),"",_xlfn.LET(
_xlpm._id,$B46,
_xlpm._firstAnswer,$D46,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'[QuBA-libre.xlsx]Definitions'!$A$4</v>
      </c>
      <c r="AJ46" s="12" cm="1">
        <f t="array" aca="1" ref="AJ46" ca="1">IF(OR($B46="",NOT($AD46)),"",_xlfn.LET(
_xlpm._id,$B46,
_xlpm._firstAnswer,$D46,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2</v>
      </c>
      <c r="AK46" s="12" t="str" cm="1">
        <f t="array" aca="1" ref="AK46" ca="1">IF($AH46,_xlfn.LET(
_xlpm._answer,$F46,
_xlpm._infoTextFull,IF($AD46,CHAR(10)&amp;SimpleLookup($B46,Questions!$A:$L)&amp;CHAR(10),""),
_xlpm._startSelectedByAnswerOne,IF(_xlpm._infoTextFull="",0,FIND("___"&amp;$D46&amp;"___",_xlpm._infoTextFull)+LEN("___"&amp;$D46&amp;"___")),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46" s="12" t="b" cm="1">
        <f t="array" aca="1" ref="AL46" ca="1">IF(OR($B46="",NOT($AD46)),FALSE,SimpleLookup($B46,Questions!$A:$Q))</f>
        <v>0</v>
      </c>
      <c r="AM46" s="12" t="str" cm="1">
        <f t="array" aca="1" ref="AM46" ca="1">IF(AND($B46=Questions!$A$41,IFERROR(SimpleLookup(Questions!$A$36,$B:$F)=Definitions!$O$5,FALSE),$D46=Definitions!$A$5),
Questions!$A$36&amp;" "&amp;Questions!$B$36&amp;CHAR(10)&amp;CHAR(187)&amp;" "&amp;SimpleLookup(Questions!$A$36,$B:$D)&amp;CHAR(10)&amp;SimpleLookup(Questions!$A$36,$B:$E)&amp;CHAR(10)&amp;CHAR(187)&amp;" "&amp;Definitions!$O$5&amp;CHAR(10)&amp;CHAR(10)&amp;
"is incosistent with"&amp;CHAR(10)&amp;CHAR(10)&amp;
$B46&amp;" "&amp;SimpleLookup($B46,Questions!$A:$B)&amp;CHAR(10)&amp;CHAR(187)&amp;" "&amp;$D46,
"")</f>
        <v/>
      </c>
      <c r="AN46" s="12" cm="1">
        <f t="array" aca="1" ref="AN46" ca="1">CreateID($AN$3,$AM46&lt;&gt;"")</f>
        <v>0</v>
      </c>
      <c r="AO46" s="12" t="str">
        <f ca="1">IF(OR($D46="",OFFSET($D46,1,0)=""),"",
IF(AND($B46=Questions!$A$59,OFFSET($B46,1,0)=Questions!$A$60),
IF(MATCH($D46,Definitions!$AW:$AW,0)&gt;MATCH(OFFSET($D46,1,0),Definitions!AW:AW,0),$B46&amp;" "&amp;$L46&amp;": "&amp;$D46&amp;CHAR(10)&amp;"&lt;---&gt;"&amp;CHAR(10)&amp;OFFSET($B46,1,0)&amp;" "&amp;OFFSET($L46,1,0)&amp;": "&amp;OFFSET($D46,1,0),""),
""))</f>
        <v/>
      </c>
      <c r="AP46" s="12" cm="1">
        <f t="array" aca="1" ref="AP46" ca="1">CreateID($AP$3,$AO46&lt;&gt;"")</f>
        <v>0</v>
      </c>
      <c r="AQ46" s="12" t="str" cm="1">
        <f t="array" ref="AQ46">IF($B46=Questions!$A$18,
  _xlfn.LET(
    _xlpm._impactValue7,IFERROR(SimpleLookup(SimpleLookup($F46,Definitions!$H:$J),Definitions!$Q:$R),0),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"&amp;$F46&amp;CHAR(10)&amp;"&lt;---&gt;"&amp;CHAR(10)&amp;Questions!$A$30&amp;": "&amp;_xlpm._impactName14,
        ""))),
  "")</f>
        <v/>
      </c>
      <c r="AR46" s="12" cm="1">
        <f t="array" aca="1" ref="AR46" ca="1">CreateID($AR$3,$AQ46&lt;&gt;"")</f>
        <v>0</v>
      </c>
    </row>
    <row r="47" spans="1:44" ht="75" x14ac:dyDescent="0.25">
      <c r="A47" s="116" t="str">
        <f ca="1">HYPERLINK("#'"&amp;Helper!$G$22&amp;"'!A"&amp;MATCH($B47,'Answering Guideline'!$A:$A,0),Definitions!$AY$4)</f>
        <v>◈</v>
      </c>
      <c r="B47" s="68" t="s">
        <v>1059</v>
      </c>
      <c r="C47" s="4" t="str" cm="1">
        <f t="array" aca="1" ref="C47" ca="1">IF($B47="","",CreateIndentedString($L47,Definitions!$T$4,SimpleLookup($B47,Questions!$A:$C)))</f>
        <v xml:space="preserve">   Does  the  product  communicate  with  an  external
   system  on  the  Internet  (e.g.,  an  untrusted  3rd
   party  backend,  a  &lt;&lt;  OEM  Name  &gt;&gt;  cloud  service,  a
   &lt;&lt;  OEM  Name  &gt;&gt;  server  system)?</v>
      </c>
      <c r="E47" s="7" t="str">
        <f t="shared" ca="1" si="12"/>
        <v/>
      </c>
      <c r="G47" s="7" t="str">
        <f t="shared" ca="1" si="13"/>
        <v/>
      </c>
      <c r="J47" s="12" t="str">
        <f ca="1">IF($AD47,SUBSTITUTE(IF($B47="","",$B47&amp;"["&amp;$D47&amp;IF($F47="","","|"&amp;$F47)&amp;"]")," ",""),"")</f>
        <v>QA10b[]</v>
      </c>
      <c r="K47" s="12" t="str">
        <f ca="1">IF($AD47,SUBSTITUTE(IF($B47="","",$B47&amp;"["&amp;$D47&amp;IF($F47="","]","|*]"))," ",""),"")</f>
        <v>QA10b[]</v>
      </c>
      <c r="L47" s="12" t="str" cm="1">
        <f t="array" aca="1" ref="L47" ca="1">SimpleLookup($B47,Questions!$A:$B)</f>
        <v>Does the product communicate with an external system on the Internet (e.g., an untrusted 3rd party backend, a &lt;&lt; OEM Name &gt;&gt; cloud service, a &lt;&lt; OEM Name &gt;&gt; server system)?</v>
      </c>
      <c r="M47" s="12" cm="1">
        <f t="array" aca="1" ref="M47" ca="1">CreateID($M$3,AND($B47&lt;&gt;"",$AD47))</f>
        <v>27</v>
      </c>
      <c r="N47" s="12" cm="1">
        <f t="array" ref="N47">CreateTaskID($N$3,$N:$N,Tasks!$B$17,$H47)</f>
        <v>0</v>
      </c>
      <c r="O47" s="12" t="str">
        <f t="shared" ca="1" si="8"/>
        <v>QA10b Does the product communicate with an external system on the Internet (e.g., an untrusted 3rd party backend, a &lt;&lt; OEM Name &gt;&gt; cloud service, a &lt;&lt; OEM Name &gt;&gt; server system)?</v>
      </c>
      <c r="P47" s="12" cm="1">
        <f t="array" aca="1" ref="P47" ca="1">CreateID($P$3,$O47&lt;&gt;"")</f>
        <v>27</v>
      </c>
      <c r="Q47" s="12" t="str">
        <f ca="1">IF(AND($E47&lt;&gt;"",$F47=""),$B47&amp;" "&amp;$L47,"")</f>
        <v/>
      </c>
      <c r="R47" s="12" cm="1">
        <f t="array" aca="1" ref="R47" ca="1">CreateID($R$3,$Q47&lt;&gt;"")</f>
        <v>0</v>
      </c>
      <c r="S47" s="12" t="str">
        <f ca="1">IF(AND($G47&lt;&gt;"",$H47=""),$B47&amp;" "&amp;$L47,"")</f>
        <v/>
      </c>
      <c r="T47" s="12" cm="1">
        <f t="array" aca="1" ref="T47" ca="1">CreateID($T$3,$S47&lt;&gt;"")</f>
        <v>0</v>
      </c>
      <c r="U47" s="12" t="str">
        <f ca="1">IF($B47="","",IF(AND(NOT($AH47),$F47&lt;&gt;""),$B47&amp;" "&amp;$L47,""))</f>
        <v/>
      </c>
      <c r="V47" s="12" cm="1">
        <f t="array" aca="1" ref="V47" ca="1">CreateID($V$3,$U47&lt;&gt;"")</f>
        <v>0</v>
      </c>
      <c r="W47" s="12" cm="1">
        <f t="array" aca="1" ref="W47" ca="1">CreateID($W$3,IFERROR(FIND(Definitions!$AR$4,$H47)&gt;0,FALSE))</f>
        <v>0</v>
      </c>
      <c r="X47" s="12">
        <f>_xlfn.LET(
_xlpm._comment,$H47,
_xlpm._keyWord,Definitions!$AR$4,
_xlpm._diffLen,LEN(_xlpm._comment)-LEN(SUBSTITUTE(_xlpm._comment,_xlpm._keyWord,"")),
_xlpm._diffLen/LEN(_xlpm._keyWord))</f>
        <v>0</v>
      </c>
      <c r="Y47" s="12" cm="1">
        <f t="array" aca="1" ref="Y47" ca="1">CreateID($Y$3,IFERROR(FIND(Definitions!$AR$5,$H47)&gt;0,FALSE))</f>
        <v>0</v>
      </c>
      <c r="Z47" s="12">
        <f>_xlfn.LET(
_xlpm._comment,$H47,
_xlpm._keyWord,Definitions!$AR$5,
_xlpm._diffLen,LEN(_xlpm._comment)-LEN(SUBSTITUTE(_xlpm._comment,_xlpm._keyWord,"")),
_xlpm._diffLen/LEN(_xlpm._keyWord))</f>
        <v>0</v>
      </c>
      <c r="AA47" s="12" t="b">
        <f ca="1">OR(IFERROR(_xlfn.XMATCH("*,"&amp;$B47&amp;",*",Assumptions!$AH:$AH,2)&gt;0,FALSE),
IFERROR(_xlfn.XMATCH("*,"&amp;$B47&amp;",*",Countermeasures!$AK:$AK,2)&gt;0,FALSE))</f>
        <v>0</v>
      </c>
      <c r="AB47" s="12" t="str" cm="1">
        <f t="array" aca="1" ref="AB47" ca="1">CreateSearchString($J47)</f>
        <v>,QA10b[],</v>
      </c>
      <c r="AC47" s="12" t="str" cm="1">
        <f t="array" ref="AC47">IF($F47="","",IFERROR(SimpleLookup($F47,Definitions!$H:$J),""))</f>
        <v/>
      </c>
      <c r="AD47" s="12" t="b" cm="1">
        <f t="array" aca="1" ref="AD47" ca="1">IF($B47="",FALSE,SimpleLookup($B47,Questions!$A:$D)="x")</f>
        <v>1</v>
      </c>
      <c r="AE47" s="12" t="str" cm="1">
        <f t="array" aca="1" ref="AE47" ca="1">IF(OR($B47="",NOT($AD47)),"",SimpleLookup($B47,Questions!$A:$E))</f>
        <v>'[QuBA-libre.xlsx]Definitions'!$A$4</v>
      </c>
      <c r="AF47" s="12" cm="1">
        <f t="array" aca="1" ref="AF47" ca="1">IF(OR($B47="",NOT($AD47)),"",SimpleLookup($B47,Questions!$A:$F))</f>
        <v>2</v>
      </c>
      <c r="AG47" s="12" t="str" cm="1">
        <f t="array" aca="1" ref="AG47" ca="1">_xlfn.LET(
_xlpm._answer,$D47,
_xlpm._infoTextFull,IF($AD47,CHAR(10)&amp;SimpleLookup($B47,Questions!$A:$H)&amp;CHAR(10),""),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47" s="12" t="b" cm="1">
        <f t="array" aca="1" ref="AH47" ca="1">IF(OR($B47="",NOT($AD47)),FALSE,_xlfn.LET(
_xlpm._secondAnswerRequiredOn,SimpleLookup($B47,Questions!$A:$I),
_xlpm._firstAnwer,$D47,
IFERROR(FIND(CHAR(10)&amp;_xlpm._firstAnwer&amp;":",CHAR(10)&amp;_xlpm._secondAnswerRequiredOn)&gt;0,FALSE)))</f>
        <v>0</v>
      </c>
      <c r="AI47" s="12" t="str" cm="1">
        <f t="array" aca="1" ref="AI47" ca="1">IF(OR($B47="",NOT($AD47)),"",_xlfn.LET(
_xlpm._id,$B47,
_xlpm._firstAnswer,$D47,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'[QuBA-libre.xlsx]Definitions'!$A$4</v>
      </c>
      <c r="AJ47" s="12" cm="1">
        <f t="array" aca="1" ref="AJ47" ca="1">IF(OR($B47="",NOT($AD47)),"",_xlfn.LET(
_xlpm._id,$B47,
_xlpm._firstAnswer,$D47,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2</v>
      </c>
      <c r="AK47" s="12" t="str" cm="1">
        <f t="array" aca="1" ref="AK47" ca="1">IF($AH47,_xlfn.LET(
_xlpm._answer,$F47,
_xlpm._infoTextFull,IF($AD47,CHAR(10)&amp;SimpleLookup($B47,Questions!$A:$L)&amp;CHAR(10),""),
_xlpm._startSelectedByAnswerOne,IF(_xlpm._infoTextFull="",0,FIND("___"&amp;$D47&amp;"___",_xlpm._infoTextFull)+LEN("___"&amp;$D47&amp;"___")),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47" s="12" t="b" cm="1">
        <f t="array" aca="1" ref="AL47" ca="1">IF(OR($B47="",NOT($AD47)),FALSE,SimpleLookup($B47,Questions!$A:$Q))</f>
        <v>0</v>
      </c>
      <c r="AM47" s="12" t="str" cm="1">
        <f t="array" aca="1" ref="AM47" ca="1">IF(AND($B47=Questions!$A$41,IFERROR(SimpleLookup(Questions!$A$36,$B:$F)=Definitions!$O$5,FALSE),$D47=Definitions!$A$5),
Questions!$A$36&amp;" "&amp;Questions!$B$36&amp;CHAR(10)&amp;CHAR(187)&amp;" "&amp;SimpleLookup(Questions!$A$36,$B:$D)&amp;CHAR(10)&amp;SimpleLookup(Questions!$A$36,$B:$E)&amp;CHAR(10)&amp;CHAR(187)&amp;" "&amp;Definitions!$O$5&amp;CHAR(10)&amp;CHAR(10)&amp;
"is incosistent with"&amp;CHAR(10)&amp;CHAR(10)&amp;
$B47&amp;" "&amp;SimpleLookup($B47,Questions!$A:$B)&amp;CHAR(10)&amp;CHAR(187)&amp;" "&amp;$D47,
"")</f>
        <v/>
      </c>
      <c r="AN47" s="12" cm="1">
        <f t="array" aca="1" ref="AN47" ca="1">CreateID($AN$3,$AM47&lt;&gt;"")</f>
        <v>0</v>
      </c>
      <c r="AO47" s="12" t="str">
        <f ca="1">IF(OR($D47="",OFFSET($D47,1,0)=""),"",
IF(AND($B47=Questions!$A$59,OFFSET($B47,1,0)=Questions!$A$60),
IF(MATCH($D47,Definitions!$AW:$AW,0)&gt;MATCH(OFFSET($D47,1,0),Definitions!AW:AW,0),$B47&amp;" "&amp;$L47&amp;": "&amp;$D47&amp;CHAR(10)&amp;"&lt;---&gt;"&amp;CHAR(10)&amp;OFFSET($B47,1,0)&amp;" "&amp;OFFSET($L47,1,0)&amp;": "&amp;OFFSET($D47,1,0),""),
""))</f>
        <v/>
      </c>
      <c r="AP47" s="12" cm="1">
        <f t="array" aca="1" ref="AP47" ca="1">CreateID($AP$3,$AO47&lt;&gt;"")</f>
        <v>0</v>
      </c>
      <c r="AQ47" s="12" t="str" cm="1">
        <f t="array" ref="AQ47">IF($B47=Questions!$A$18,
  _xlfn.LET(
    _xlpm._impactValue7,IFERROR(SimpleLookup(SimpleLookup($F47,Definitions!$H:$J),Definitions!$Q:$R),0),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"&amp;$F47&amp;CHAR(10)&amp;"&lt;---&gt;"&amp;CHAR(10)&amp;Questions!$A$30&amp;": "&amp;_xlpm._impactName14,
        ""))),
  "")</f>
        <v/>
      </c>
      <c r="AR47" s="12" cm="1">
        <f t="array" aca="1" ref="AR47" ca="1">CreateID($AR$3,$AQ47&lt;&gt;"")</f>
        <v>0</v>
      </c>
    </row>
    <row r="48" spans="1:44" ht="30" x14ac:dyDescent="0.25">
      <c r="A48" s="116" t="str">
        <f ca="1">HYPERLINK("#'"&amp;Helper!$G$22&amp;"'!A"&amp;MATCH($B48,'Answering Guideline'!$A:$A,0),Definitions!$AY$4)</f>
        <v>◈</v>
      </c>
      <c r="B48" s="68" t="s">
        <v>1185</v>
      </c>
      <c r="C48" s="4" t="str" cm="1">
        <f t="array" aca="1" ref="C48" ca="1">IF($B48="","",CreateIndentedString($L48,Definitions!$T$4,SimpleLookup($B48,Questions!$A:$C)))</f>
        <v xml:space="preserve">   Can  the  product's  software  be  updated  over  an
   interface?</v>
      </c>
      <c r="E48" s="7" t="str">
        <f t="shared" ca="1" si="12"/>
        <v/>
      </c>
      <c r="G48" s="7" t="str">
        <f t="shared" ca="1" si="13"/>
        <v/>
      </c>
      <c r="J48" s="12" t="str">
        <f t="shared" ca="1" si="6"/>
        <v>QA11a[]</v>
      </c>
      <c r="K48" s="12" t="str">
        <f t="shared" ca="1" si="7"/>
        <v>QA11a[]</v>
      </c>
      <c r="L48" s="12" t="str" cm="1">
        <f t="array" aca="1" ref="L48" ca="1">SimpleLookup($B48,Questions!$A:$B)</f>
        <v>Can the product's software be updated over an interface?</v>
      </c>
      <c r="M48" s="12" cm="1">
        <f t="array" aca="1" ref="M48" ca="1">CreateID($M$3,AND($B48&lt;&gt;"",$AD48))</f>
        <v>28</v>
      </c>
      <c r="N48" s="12" cm="1">
        <f t="array" ref="N48">CreateTaskID($N$3,$N:$N,Tasks!$B$17,$H48)</f>
        <v>0</v>
      </c>
      <c r="O48" s="12" t="str">
        <f t="shared" ca="1" si="8"/>
        <v>QA11a Can the product's software be updated over an interface?</v>
      </c>
      <c r="P48" s="12" cm="1">
        <f t="array" aca="1" ref="P48" ca="1">CreateID($P$3,$O48&lt;&gt;"")</f>
        <v>28</v>
      </c>
      <c r="Q48" s="12" t="str">
        <f t="shared" ca="1" si="9"/>
        <v/>
      </c>
      <c r="R48" s="12" cm="1">
        <f t="array" aca="1" ref="R48" ca="1">CreateID($R$3,$Q48&lt;&gt;"")</f>
        <v>0</v>
      </c>
      <c r="S48" s="12" t="str">
        <f t="shared" ca="1" si="10"/>
        <v/>
      </c>
      <c r="T48" s="12" cm="1">
        <f t="array" aca="1" ref="T48" ca="1">CreateID($T$3,$S48&lt;&gt;"")</f>
        <v>0</v>
      </c>
      <c r="U48" s="12" t="str">
        <f t="shared" ca="1" si="11"/>
        <v/>
      </c>
      <c r="V48" s="12" cm="1">
        <f t="array" aca="1" ref="V48" ca="1">CreateID($V$3,$U48&lt;&gt;"")</f>
        <v>0</v>
      </c>
      <c r="W48" s="12" cm="1">
        <f t="array" aca="1" ref="W48" ca="1">CreateID($W$3,IFERROR(FIND(Definitions!$AR$4,$H48)&gt;0,FALSE))</f>
        <v>0</v>
      </c>
      <c r="X48" s="12">
        <f>_xlfn.LET(
_xlpm._comment,$H48,
_xlpm._keyWord,Definitions!$AR$4,
_xlpm._diffLen,LEN(_xlpm._comment)-LEN(SUBSTITUTE(_xlpm._comment,_xlpm._keyWord,"")),
_xlpm._diffLen/LEN(_xlpm._keyWord))</f>
        <v>0</v>
      </c>
      <c r="Y48" s="12" cm="1">
        <f t="array" aca="1" ref="Y48" ca="1">CreateID($Y$3,IFERROR(FIND(Definitions!$AR$5,$H48)&gt;0,FALSE))</f>
        <v>0</v>
      </c>
      <c r="Z48" s="12">
        <f>_xlfn.LET(
_xlpm._comment,$H48,
_xlpm._keyWord,Definitions!$AR$5,
_xlpm._diffLen,LEN(_xlpm._comment)-LEN(SUBSTITUTE(_xlpm._comment,_xlpm._keyWord,"")),
_xlpm._diffLen/LEN(_xlpm._keyWord))</f>
        <v>0</v>
      </c>
      <c r="AA48" s="12" t="b">
        <f ca="1">OR(IFERROR(_xlfn.XMATCH("*,"&amp;$B48&amp;",*",Assumptions!$AH:$AH,2)&gt;0,FALSE),
IFERROR(_xlfn.XMATCH("*,"&amp;$B48&amp;",*",Countermeasures!$AK:$AK,2)&gt;0,FALSE))</f>
        <v>0</v>
      </c>
      <c r="AB48" s="12" t="str" cm="1">
        <f t="array" aca="1" ref="AB48" ca="1">CreateSearchString($J48)</f>
        <v>,QA11a[],</v>
      </c>
      <c r="AC48" s="12" t="str" cm="1">
        <f t="array" ref="AC48">IF($F48="","",IFERROR(SimpleLookup($F48,Definitions!$H:$J),""))</f>
        <v/>
      </c>
      <c r="AD48" s="12" t="b" cm="1">
        <f t="array" aca="1" ref="AD48" ca="1">IF($B48="",FALSE,SimpleLookup($B48,Questions!$A:$D)="x")</f>
        <v>1</v>
      </c>
      <c r="AE48" s="12" t="str" cm="1">
        <f t="array" aca="1" ref="AE48" ca="1">IF(OR($B48="",NOT($AD48)),"",SimpleLookup($B48,Questions!$A:$E))</f>
        <v>'[QuBA-libre.xlsx]Definitions'!$A$4</v>
      </c>
      <c r="AF48" s="12" cm="1">
        <f t="array" aca="1" ref="AF48" ca="1">IF(OR($B48="",NOT($AD48)),"",SimpleLookup($B48,Questions!$A:$F))</f>
        <v>2</v>
      </c>
      <c r="AG48" s="12" t="str" cm="1">
        <f t="array" aca="1" ref="AG48" ca="1">_xlfn.LET(
_xlpm._answer,$D48,
_xlpm._infoTextFull,IF($AD48,CHAR(10)&amp;SimpleLookup($B48,Questions!$A:$H)&amp;CHAR(10),""),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48" s="12" t="b" cm="1">
        <f t="array" aca="1" ref="AH48" ca="1">IF(OR($B48="",NOT($AD48)),FALSE,_xlfn.LET(
_xlpm._secondAnswerRequiredOn,SimpleLookup($B48,Questions!$A:$I),
_xlpm._firstAnwer,$D48,
IFERROR(FIND(CHAR(10)&amp;_xlpm._firstAnwer&amp;":",CHAR(10)&amp;_xlpm._secondAnswerRequiredOn)&gt;0,FALSE)))</f>
        <v>0</v>
      </c>
      <c r="AI48" s="12" t="str" cm="1">
        <f t="array" aca="1" ref="AI48" ca="1">IF(OR($B48="",NOT($AD48)),"",_xlfn.LET(
_xlpm._id,$B48,
_xlpm._firstAnswer,$D48,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'[QuBA-libre.xlsx]Definitions'!$A$4</v>
      </c>
      <c r="AJ48" s="12" cm="1">
        <f t="array" aca="1" ref="AJ48" ca="1">IF(OR($B48="",NOT($AD48)),"",_xlfn.LET(
_xlpm._id,$B48,
_xlpm._firstAnswer,$D48,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2</v>
      </c>
      <c r="AK48" s="12" t="str" cm="1">
        <f t="array" aca="1" ref="AK48" ca="1">IF($AH48,_xlfn.LET(
_xlpm._answer,$F48,
_xlpm._infoTextFull,IF($AD48,CHAR(10)&amp;SimpleLookup($B48,Questions!$A:$L)&amp;CHAR(10),""),
_xlpm._startSelectedByAnswerOne,IF(_xlpm._infoTextFull="",0,FIND("___"&amp;$D48&amp;"___",_xlpm._infoTextFull)+LEN("___"&amp;$D48&amp;"___")),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48" s="12" t="b" cm="1">
        <f t="array" aca="1" ref="AL48" ca="1">IF(OR($B48="",NOT($AD48)),FALSE,SimpleLookup($B48,Questions!$A:$Q))</f>
        <v>0</v>
      </c>
      <c r="AM48" s="12" t="str" cm="1">
        <f t="array" aca="1" ref="AM48" ca="1">IF(AND($B48=Questions!$A$41,IFERROR(SimpleLookup(Questions!$A$36,$B:$F)=Definitions!$O$5,FALSE),$D48=Definitions!$A$5),
Questions!$A$36&amp;" "&amp;Questions!$B$36&amp;CHAR(10)&amp;CHAR(187)&amp;" "&amp;SimpleLookup(Questions!$A$36,$B:$D)&amp;CHAR(10)&amp;SimpleLookup(Questions!$A$36,$B:$E)&amp;CHAR(10)&amp;CHAR(187)&amp;" "&amp;Definitions!$O$5&amp;CHAR(10)&amp;CHAR(10)&amp;
"is incosistent with"&amp;CHAR(10)&amp;CHAR(10)&amp;
$B48&amp;" "&amp;SimpleLookup($B48,Questions!$A:$B)&amp;CHAR(10)&amp;CHAR(187)&amp;" "&amp;$D48,
"")</f>
        <v/>
      </c>
      <c r="AN48" s="12" cm="1">
        <f t="array" aca="1" ref="AN48" ca="1">CreateID($AN$3,$AM48&lt;&gt;"")</f>
        <v>0</v>
      </c>
      <c r="AO48" s="12" t="str">
        <f ca="1">IF(OR($D48="",OFFSET($D48,1,0)=""),"",
IF(AND($B48=Questions!$A$59,OFFSET($B48,1,0)=Questions!$A$60),
IF(MATCH($D48,Definitions!$AW:$AW,0)&gt;MATCH(OFFSET($D48,1,0),Definitions!AW:AW,0),$B48&amp;" "&amp;$L48&amp;": "&amp;$D48&amp;CHAR(10)&amp;"&lt;---&gt;"&amp;CHAR(10)&amp;OFFSET($B48,1,0)&amp;" "&amp;OFFSET($L48,1,0)&amp;": "&amp;OFFSET($D48,1,0),""),
""))</f>
        <v/>
      </c>
      <c r="AP48" s="12" cm="1">
        <f t="array" aca="1" ref="AP48" ca="1">CreateID($AP$3,$AO48&lt;&gt;"")</f>
        <v>0</v>
      </c>
      <c r="AQ48" s="12" t="str" cm="1">
        <f t="array" ref="AQ48">IF($B48=Questions!$A$18,
  _xlfn.LET(
    _xlpm._impactValue7,IFERROR(SimpleLookup(SimpleLookup($F48,Definitions!$H:$J),Definitions!$Q:$R),0),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"&amp;$F48&amp;CHAR(10)&amp;"&lt;---&gt;"&amp;CHAR(10)&amp;Questions!$A$30&amp;": "&amp;_xlpm._impactName14,
        ""))),
  "")</f>
        <v/>
      </c>
      <c r="AR48" s="12" cm="1">
        <f t="array" aca="1" ref="AR48" ca="1">CreateID($AR$3,$AQ48&lt;&gt;"")</f>
        <v>0</v>
      </c>
    </row>
    <row r="49" spans="1:44" ht="30" x14ac:dyDescent="0.25">
      <c r="A49" s="116" t="str">
        <f ca="1">HYPERLINK("#'"&amp;Helper!$G$22&amp;"'!A"&amp;MATCH($B49,'Answering Guideline'!$A:$A,0),Definitions!$AY$4)</f>
        <v>◈</v>
      </c>
      <c r="B49" s="68" t="s">
        <v>1186</v>
      </c>
      <c r="C49" s="4" t="str" cm="1">
        <f t="array" aca="1" ref="C49" ca="1">IF($B49="","",CreateIndentedString($L49,Definitions!$T$4,SimpleLookup($B49,Questions!$A:$C)))</f>
        <v xml:space="preserve">   Are  software  updates  in  the  field  (regularly  or
   event-based)  planned?</v>
      </c>
      <c r="E49" s="7" t="str">
        <f t="shared" ca="1" si="12"/>
        <v/>
      </c>
      <c r="G49" s="7" t="str">
        <f t="shared" ca="1" si="13"/>
        <v/>
      </c>
      <c r="J49" s="12" t="str">
        <f ca="1">IF($AD49,SUBSTITUTE(IF($B49="","",$B49&amp;"["&amp;$D49&amp;IF($F49="","","|"&amp;$F49)&amp;"]")," ",""),"")</f>
        <v>QA11b[]</v>
      </c>
      <c r="K49" s="12" t="str">
        <f ca="1">IF($AD49,SUBSTITUTE(IF($B49="","",$B49&amp;"["&amp;$D49&amp;IF($F49="","]","|*]"))," ",""),"")</f>
        <v>QA11b[]</v>
      </c>
      <c r="L49" s="12" t="str" cm="1">
        <f t="array" aca="1" ref="L49" ca="1">SimpleLookup($B49,Questions!$A:$B)</f>
        <v>Are software updates in the field (regularly or event-based) planned?</v>
      </c>
      <c r="M49" s="12" cm="1">
        <f t="array" aca="1" ref="M49" ca="1">CreateID($M$3,AND($B49&lt;&gt;"",$AD49))</f>
        <v>29</v>
      </c>
      <c r="N49" s="12" cm="1">
        <f t="array" ref="N49">CreateTaskID($N$3,$N:$N,Tasks!$B$17,$H49)</f>
        <v>0</v>
      </c>
      <c r="O49" s="12" t="str">
        <f t="shared" ca="1" si="8"/>
        <v>QA11b Are software updates in the field (regularly or event-based) planned?</v>
      </c>
      <c r="P49" s="12" cm="1">
        <f t="array" aca="1" ref="P49" ca="1">CreateID($P$3,$O49&lt;&gt;"")</f>
        <v>29</v>
      </c>
      <c r="Q49" s="12" t="str">
        <f ca="1">IF(AND($E49&lt;&gt;"",$F49=""),$B49&amp;" "&amp;$L49,"")</f>
        <v/>
      </c>
      <c r="R49" s="12" cm="1">
        <f t="array" aca="1" ref="R49" ca="1">CreateID($R$3,$Q49&lt;&gt;"")</f>
        <v>0</v>
      </c>
      <c r="S49" s="12" t="str">
        <f ca="1">IF(AND($G49&lt;&gt;"",$H49=""),$B49&amp;" "&amp;$L49,"")</f>
        <v/>
      </c>
      <c r="T49" s="12" cm="1">
        <f t="array" aca="1" ref="T49" ca="1">CreateID($T$3,$S49&lt;&gt;"")</f>
        <v>0</v>
      </c>
      <c r="U49" s="12" t="str">
        <f ca="1">IF($B49="","",IF(AND(NOT($AH49),$F49&lt;&gt;""),$B49&amp;" "&amp;$L49,""))</f>
        <v/>
      </c>
      <c r="V49" s="12" cm="1">
        <f t="array" aca="1" ref="V49" ca="1">CreateID($V$3,$U49&lt;&gt;"")</f>
        <v>0</v>
      </c>
      <c r="W49" s="12" cm="1">
        <f t="array" aca="1" ref="W49" ca="1">CreateID($W$3,IFERROR(FIND(Definitions!$AR$4,$H49)&gt;0,FALSE))</f>
        <v>0</v>
      </c>
      <c r="X49" s="12">
        <f>_xlfn.LET(
_xlpm._comment,$H49,
_xlpm._keyWord,Definitions!$AR$4,
_xlpm._diffLen,LEN(_xlpm._comment)-LEN(SUBSTITUTE(_xlpm._comment,_xlpm._keyWord,"")),
_xlpm._diffLen/LEN(_xlpm._keyWord))</f>
        <v>0</v>
      </c>
      <c r="Y49" s="12" cm="1">
        <f t="array" aca="1" ref="Y49" ca="1">CreateID($Y$3,IFERROR(FIND(Definitions!$AR$5,$H49)&gt;0,FALSE))</f>
        <v>0</v>
      </c>
      <c r="Z49" s="12">
        <f>_xlfn.LET(
_xlpm._comment,$H49,
_xlpm._keyWord,Definitions!$AR$5,
_xlpm._diffLen,LEN(_xlpm._comment)-LEN(SUBSTITUTE(_xlpm._comment,_xlpm._keyWord,"")),
_xlpm._diffLen/LEN(_xlpm._keyWord))</f>
        <v>0</v>
      </c>
      <c r="AA49" s="12" t="b">
        <f ca="1">OR(IFERROR(_xlfn.XMATCH("*,"&amp;$B49&amp;",*",Assumptions!$AH:$AH,2)&gt;0,FALSE),
IFERROR(_xlfn.XMATCH("*,"&amp;$B49&amp;",*",Countermeasures!$AK:$AK,2)&gt;0,FALSE))</f>
        <v>0</v>
      </c>
      <c r="AB49" s="12" t="str" cm="1">
        <f t="array" aca="1" ref="AB49" ca="1">CreateSearchString($J49)</f>
        <v>,QA11b[],</v>
      </c>
      <c r="AC49" s="12" t="str" cm="1">
        <f t="array" ref="AC49">IF($F49="","",IFERROR(SimpleLookup($F49,Definitions!$H:$J),""))</f>
        <v/>
      </c>
      <c r="AD49" s="12" t="b" cm="1">
        <f t="array" aca="1" ref="AD49" ca="1">IF($B49="",FALSE,SimpleLookup($B49,Questions!$A:$D)="x")</f>
        <v>1</v>
      </c>
      <c r="AE49" s="12" t="str" cm="1">
        <f t="array" aca="1" ref="AE49" ca="1">IF(OR($B49="",NOT($AD49)),"",SimpleLookup($B49,Questions!$A:$E))</f>
        <v>'[QuBA-libre.xlsx]Definitions'!$A$4</v>
      </c>
      <c r="AF49" s="12" cm="1">
        <f t="array" aca="1" ref="AF49" ca="1">IF(OR($B49="",NOT($AD49)),"",SimpleLookup($B49,Questions!$A:$F))</f>
        <v>2</v>
      </c>
      <c r="AG49" s="12" t="str" cm="1">
        <f t="array" aca="1" ref="AG49" ca="1">_xlfn.LET(
_xlpm._answer,$D49,
_xlpm._infoTextFull,IF($AD49,CHAR(10)&amp;SimpleLookup($B49,Questions!$A:$H)&amp;CHAR(10),""),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49" s="12" t="b" cm="1">
        <f t="array" aca="1" ref="AH49" ca="1">IF(OR($B49="",NOT($AD49)),FALSE,_xlfn.LET(
_xlpm._secondAnswerRequiredOn,SimpleLookup($B49,Questions!$A:$I),
_xlpm._firstAnwer,$D49,
IFERROR(FIND(CHAR(10)&amp;_xlpm._firstAnwer&amp;":",CHAR(10)&amp;_xlpm._secondAnswerRequiredOn)&gt;0,FALSE)))</f>
        <v>0</v>
      </c>
      <c r="AI49" s="12" t="str" cm="1">
        <f t="array" aca="1" ref="AI49" ca="1">IF(OR($B49="",NOT($AD49)),"",_xlfn.LET(
_xlpm._id,$B49,
_xlpm._firstAnswer,$D49,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'[QuBA-libre.xlsx]Definitions'!$A$4</v>
      </c>
      <c r="AJ49" s="12" cm="1">
        <f t="array" aca="1" ref="AJ49" ca="1">IF(OR($B49="",NOT($AD49)),"",_xlfn.LET(
_xlpm._id,$B49,
_xlpm._firstAnswer,$D49,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2</v>
      </c>
      <c r="AK49" s="12" t="str" cm="1">
        <f t="array" aca="1" ref="AK49" ca="1">IF($AH49,_xlfn.LET(
_xlpm._answer,$F49,
_xlpm._infoTextFull,IF($AD49,CHAR(10)&amp;SimpleLookup($B49,Questions!$A:$L)&amp;CHAR(10),""),
_xlpm._startSelectedByAnswerOne,IF(_xlpm._infoTextFull="",0,FIND("___"&amp;$D49&amp;"___",_xlpm._infoTextFull)+LEN("___"&amp;$D49&amp;"___")),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49" s="12" t="b" cm="1">
        <f t="array" aca="1" ref="AL49" ca="1">IF(OR($B49="",NOT($AD49)),FALSE,SimpleLookup($B49,Questions!$A:$Q))</f>
        <v>0</v>
      </c>
      <c r="AM49" s="12" t="str" cm="1">
        <f t="array" aca="1" ref="AM49" ca="1">IF(AND($B49=Questions!$A$41,IFERROR(SimpleLookup(Questions!$A$36,$B:$F)=Definitions!$O$5,FALSE),$D49=Definitions!$A$5),
Questions!$A$36&amp;" "&amp;Questions!$B$36&amp;CHAR(10)&amp;CHAR(187)&amp;" "&amp;SimpleLookup(Questions!$A$36,$B:$D)&amp;CHAR(10)&amp;SimpleLookup(Questions!$A$36,$B:$E)&amp;CHAR(10)&amp;CHAR(187)&amp;" "&amp;Definitions!$O$5&amp;CHAR(10)&amp;CHAR(10)&amp;
"is incosistent with"&amp;CHAR(10)&amp;CHAR(10)&amp;
$B49&amp;" "&amp;SimpleLookup($B49,Questions!$A:$B)&amp;CHAR(10)&amp;CHAR(187)&amp;" "&amp;$D49,
"")</f>
        <v/>
      </c>
      <c r="AN49" s="12" cm="1">
        <f t="array" aca="1" ref="AN49" ca="1">CreateID($AN$3,$AM49&lt;&gt;"")</f>
        <v>0</v>
      </c>
      <c r="AO49" s="12" t="str">
        <f ca="1">IF(OR($D49="",OFFSET($D49,1,0)=""),"",
IF(AND($B49=Questions!$A$59,OFFSET($B49,1,0)=Questions!$A$60),
IF(MATCH($D49,Definitions!$AW:$AW,0)&gt;MATCH(OFFSET($D49,1,0),Definitions!AW:AW,0),$B49&amp;" "&amp;$L49&amp;": "&amp;$D49&amp;CHAR(10)&amp;"&lt;---&gt;"&amp;CHAR(10)&amp;OFFSET($B49,1,0)&amp;" "&amp;OFFSET($L49,1,0)&amp;": "&amp;OFFSET($D49,1,0),""),
""))</f>
        <v/>
      </c>
      <c r="AP49" s="12" cm="1">
        <f t="array" aca="1" ref="AP49" ca="1">CreateID($AP$3,$AO49&lt;&gt;"")</f>
        <v>0</v>
      </c>
      <c r="AQ49" s="12" t="str" cm="1">
        <f t="array" ref="AQ49">IF($B49=Questions!$A$18,
  _xlfn.LET(
    _xlpm._impactValue7,IFERROR(SimpleLookup(SimpleLookup($F49,Definitions!$H:$J),Definitions!$Q:$R),0),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"&amp;$F49&amp;CHAR(10)&amp;"&lt;---&gt;"&amp;CHAR(10)&amp;Questions!$A$30&amp;": "&amp;_xlpm._impactName14,
        ""))),
  "")</f>
        <v/>
      </c>
      <c r="AR49" s="12" cm="1">
        <f t="array" aca="1" ref="AR49" ca="1">CreateID($AR$3,$AQ49&lt;&gt;"")</f>
        <v>0</v>
      </c>
    </row>
    <row r="50" spans="1:44" ht="30" x14ac:dyDescent="0.25">
      <c r="A50" s="116" t="str">
        <f ca="1">HYPERLINK("#'"&amp;Helper!$G$22&amp;"'!A"&amp;MATCH($B50,'Answering Guideline'!$A:$A,0),Definitions!$AY$4)</f>
        <v>◈</v>
      </c>
      <c r="B50" s="68" t="s">
        <v>883</v>
      </c>
      <c r="C50" s="4" t="str" cm="1">
        <f t="array" aca="1" ref="C50" ca="1">IF($B50="","",CreateIndentedString($L50,Definitions!$T$4,SimpleLookup($B50,Questions!$A:$C)))</f>
        <v xml:space="preserve">   Does  the  product  have  a  logical  connection  to  a
   local  network  over  a  gateway?</v>
      </c>
      <c r="E50" s="7" t="str">
        <f t="shared" ca="1" si="12"/>
        <v/>
      </c>
      <c r="G50" s="7" t="str">
        <f t="shared" ca="1" si="13"/>
        <v/>
      </c>
      <c r="J50" s="12" t="str">
        <f t="shared" ca="1" si="6"/>
        <v>QA12[]</v>
      </c>
      <c r="K50" s="12" t="str">
        <f t="shared" ca="1" si="7"/>
        <v>QA12[]</v>
      </c>
      <c r="L50" s="12" t="str" cm="1">
        <f t="array" aca="1" ref="L50" ca="1">SimpleLookup($B50,Questions!$A:$B)</f>
        <v>Does the product have a logical connection to a local network over a gateway?</v>
      </c>
      <c r="M50" s="12" cm="1">
        <f t="array" aca="1" ref="M50" ca="1">CreateID($M$3,AND($B50&lt;&gt;"",$AD50))</f>
        <v>30</v>
      </c>
      <c r="N50" s="12" cm="1">
        <f t="array" ref="N50">CreateTaskID($N$3,$N:$N,Tasks!$B$17,$H50)</f>
        <v>0</v>
      </c>
      <c r="O50" s="12" t="str">
        <f t="shared" ca="1" si="8"/>
        <v>QA12 Does the product have a logical connection to a local network over a gateway?</v>
      </c>
      <c r="P50" s="12" cm="1">
        <f t="array" aca="1" ref="P50" ca="1">CreateID($P$3,$O50&lt;&gt;"")</f>
        <v>30</v>
      </c>
      <c r="Q50" s="12" t="str">
        <f t="shared" ca="1" si="9"/>
        <v/>
      </c>
      <c r="R50" s="12" cm="1">
        <f t="array" aca="1" ref="R50" ca="1">CreateID($R$3,$Q50&lt;&gt;"")</f>
        <v>0</v>
      </c>
      <c r="S50" s="12" t="str">
        <f t="shared" ca="1" si="10"/>
        <v/>
      </c>
      <c r="T50" s="12" cm="1">
        <f t="array" aca="1" ref="T50" ca="1">CreateID($T$3,$S50&lt;&gt;"")</f>
        <v>0</v>
      </c>
      <c r="U50" s="12" t="str">
        <f t="shared" ca="1" si="11"/>
        <v/>
      </c>
      <c r="V50" s="12" cm="1">
        <f t="array" aca="1" ref="V50" ca="1">CreateID($V$3,$U50&lt;&gt;"")</f>
        <v>0</v>
      </c>
      <c r="W50" s="12" cm="1">
        <f t="array" aca="1" ref="W50" ca="1">CreateID($W$3,IFERROR(FIND(Definitions!$AR$4,$H50)&gt;0,FALSE))</f>
        <v>0</v>
      </c>
      <c r="X50" s="12">
        <f>_xlfn.LET(
_xlpm._comment,$H50,
_xlpm._keyWord,Definitions!$AR$4,
_xlpm._diffLen,LEN(_xlpm._comment)-LEN(SUBSTITUTE(_xlpm._comment,_xlpm._keyWord,"")),
_xlpm._diffLen/LEN(_xlpm._keyWord))</f>
        <v>0</v>
      </c>
      <c r="Y50" s="12" cm="1">
        <f t="array" aca="1" ref="Y50" ca="1">CreateID($Y$3,IFERROR(FIND(Definitions!$AR$5,$H50)&gt;0,FALSE))</f>
        <v>0</v>
      </c>
      <c r="Z50" s="12">
        <f>_xlfn.LET(
_xlpm._comment,$H50,
_xlpm._keyWord,Definitions!$AR$5,
_xlpm._diffLen,LEN(_xlpm._comment)-LEN(SUBSTITUTE(_xlpm._comment,_xlpm._keyWord,"")),
_xlpm._diffLen/LEN(_xlpm._keyWord))</f>
        <v>0</v>
      </c>
      <c r="AA50" s="12" t="b">
        <f ca="1">OR(IFERROR(_xlfn.XMATCH("*,"&amp;$B50&amp;",*",Assumptions!$AH:$AH,2)&gt;0,FALSE),
IFERROR(_xlfn.XMATCH("*,"&amp;$B50&amp;",*",Countermeasures!$AK:$AK,2)&gt;0,FALSE))</f>
        <v>0</v>
      </c>
      <c r="AB50" s="12" t="str" cm="1">
        <f t="array" aca="1" ref="AB50" ca="1">CreateSearchString($J50)</f>
        <v>,QA12[],</v>
      </c>
      <c r="AC50" s="12" t="str" cm="1">
        <f t="array" ref="AC50">IF($F50="","",IFERROR(SimpleLookup($F50,Definitions!$H:$J),""))</f>
        <v/>
      </c>
      <c r="AD50" s="12" t="b" cm="1">
        <f t="array" aca="1" ref="AD50" ca="1">IF($B50="",FALSE,SimpleLookup($B50,Questions!$A:$D)="x")</f>
        <v>1</v>
      </c>
      <c r="AE50" s="12" t="str" cm="1">
        <f t="array" aca="1" ref="AE50" ca="1">IF(OR($B50="",NOT($AD50)),"",SimpleLookup($B50,Questions!$A:$E))</f>
        <v>'[QuBA-libre.xlsx]Definitions'!$A$4</v>
      </c>
      <c r="AF50" s="12" cm="1">
        <f t="array" aca="1" ref="AF50" ca="1">IF(OR($B50="",NOT($AD50)),"",SimpleLookup($B50,Questions!$A:$F))</f>
        <v>2</v>
      </c>
      <c r="AG50" s="12" t="str" cm="1">
        <f t="array" aca="1" ref="AG50" ca="1">_xlfn.LET(
_xlpm._answer,$D50,
_xlpm._infoTextFull,IF($AD50,CHAR(10)&amp;SimpleLookup($B50,Questions!$A:$H)&amp;CHAR(10),""),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50" s="12" t="b" cm="1">
        <f t="array" aca="1" ref="AH50" ca="1">IF(OR($B50="",NOT($AD50)),FALSE,_xlfn.LET(
_xlpm._secondAnswerRequiredOn,SimpleLookup($B50,Questions!$A:$I),
_xlpm._firstAnwer,$D50,
IFERROR(FIND(CHAR(10)&amp;_xlpm._firstAnwer&amp;":",CHAR(10)&amp;_xlpm._secondAnswerRequiredOn)&gt;0,FALSE)))</f>
        <v>0</v>
      </c>
      <c r="AI50" s="12" t="str" cm="1">
        <f t="array" aca="1" ref="AI50" ca="1">IF(OR($B50="",NOT($AD50)),"",_xlfn.LET(
_xlpm._id,$B50,
_xlpm._firstAnswer,$D50,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'[QuBA-libre.xlsx]Definitions'!$A$4</v>
      </c>
      <c r="AJ50" s="12" cm="1">
        <f t="array" aca="1" ref="AJ50" ca="1">IF(OR($B50="",NOT($AD50)),"",_xlfn.LET(
_xlpm._id,$B50,
_xlpm._firstAnswer,$D50,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2</v>
      </c>
      <c r="AK50" s="12" t="str" cm="1">
        <f t="array" aca="1" ref="AK50" ca="1">IF($AH50,_xlfn.LET(
_xlpm._answer,$F50,
_xlpm._infoTextFull,IF($AD50,CHAR(10)&amp;SimpleLookup($B50,Questions!$A:$L)&amp;CHAR(10),""),
_xlpm._startSelectedByAnswerOne,IF(_xlpm._infoTextFull="",0,FIND("___"&amp;$D50&amp;"___",_xlpm._infoTextFull)+LEN("___"&amp;$D50&amp;"___")),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50" s="12" t="b" cm="1">
        <f t="array" aca="1" ref="AL50" ca="1">IF(OR($B50="",NOT($AD50)),FALSE,SimpleLookup($B50,Questions!$A:$Q))</f>
        <v>0</v>
      </c>
      <c r="AM50" s="12" t="str" cm="1">
        <f t="array" aca="1" ref="AM50" ca="1">IF(AND($B50=Questions!$A$41,IFERROR(SimpleLookup(Questions!$A$36,$B:$F)=Definitions!$O$5,FALSE),$D50=Definitions!$A$5),
Questions!$A$36&amp;" "&amp;Questions!$B$36&amp;CHAR(10)&amp;CHAR(187)&amp;" "&amp;SimpleLookup(Questions!$A$36,$B:$D)&amp;CHAR(10)&amp;SimpleLookup(Questions!$A$36,$B:$E)&amp;CHAR(10)&amp;CHAR(187)&amp;" "&amp;Definitions!$O$5&amp;CHAR(10)&amp;CHAR(10)&amp;
"is incosistent with"&amp;CHAR(10)&amp;CHAR(10)&amp;
$B50&amp;" "&amp;SimpleLookup($B50,Questions!$A:$B)&amp;CHAR(10)&amp;CHAR(187)&amp;" "&amp;$D50,
"")</f>
        <v/>
      </c>
      <c r="AN50" s="12" cm="1">
        <f t="array" aca="1" ref="AN50" ca="1">CreateID($AN$3,$AM50&lt;&gt;"")</f>
        <v>0</v>
      </c>
      <c r="AO50" s="12" t="str">
        <f ca="1">IF(OR($D50="",OFFSET($D50,1,0)=""),"",
IF(AND($B50=Questions!$A$59,OFFSET($B50,1,0)=Questions!$A$60),
IF(MATCH($D50,Definitions!$AW:$AW,0)&gt;MATCH(OFFSET($D50,1,0),Definitions!AW:AW,0),$B50&amp;" "&amp;$L50&amp;": "&amp;$D50&amp;CHAR(10)&amp;"&lt;---&gt;"&amp;CHAR(10)&amp;OFFSET($B50,1,0)&amp;" "&amp;OFFSET($L50,1,0)&amp;": "&amp;OFFSET($D50,1,0),""),
""))</f>
        <v/>
      </c>
      <c r="AP50" s="12" cm="1">
        <f t="array" aca="1" ref="AP50" ca="1">CreateID($AP$3,$AO50&lt;&gt;"")</f>
        <v>0</v>
      </c>
      <c r="AQ50" s="12" t="str" cm="1">
        <f t="array" ref="AQ50">IF($B50=Questions!$A$18,
  _xlfn.LET(
    _xlpm._impactValue7,IFERROR(SimpleLookup(SimpleLookup($F50,Definitions!$H:$J),Definitions!$Q:$R),0),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"&amp;$F50&amp;CHAR(10)&amp;"&lt;---&gt;"&amp;CHAR(10)&amp;Questions!$A$30&amp;": "&amp;_xlpm._impactName14,
        ""))),
  "")</f>
        <v/>
      </c>
      <c r="AR50" s="12" cm="1">
        <f t="array" aca="1" ref="AR50" ca="1">CreateID($AR$3,$AQ50&lt;&gt;"")</f>
        <v>0</v>
      </c>
    </row>
    <row r="51" spans="1:44" ht="30" x14ac:dyDescent="0.25">
      <c r="A51" s="116" t="str">
        <f ca="1">HYPERLINK("#'"&amp;Helper!$G$22&amp;"'!A"&amp;MATCH($B51,'Answering Guideline'!$A:$A,0),Definitions!$AY$4)</f>
        <v>◈</v>
      </c>
      <c r="B51" s="68" t="s">
        <v>886</v>
      </c>
      <c r="C51" s="4" t="str" cm="1">
        <f t="array" aca="1" ref="C51" ca="1">IF($B51="","",CreateIndentedString($L51,Definitions!$T$4,SimpleLookup($B51,Questions!$A:$C)))</f>
        <v xml:space="preserve">   Does  the  product  have  a  logical  connection  to  a
   wireless  network  over  a  gateway?</v>
      </c>
      <c r="E51" s="7" t="str">
        <f t="shared" ca="1" si="12"/>
        <v/>
      </c>
      <c r="G51" s="7" t="str">
        <f t="shared" ca="1" si="13"/>
        <v/>
      </c>
      <c r="J51" s="12" t="str">
        <f t="shared" ca="1" si="6"/>
        <v>QA13[]</v>
      </c>
      <c r="K51" s="12" t="str">
        <f t="shared" ca="1" si="7"/>
        <v>QA13[]</v>
      </c>
      <c r="L51" s="12" t="str" cm="1">
        <f t="array" aca="1" ref="L51" ca="1">SimpleLookup($B51,Questions!$A:$B)</f>
        <v>Does the product have a logical connection to a wireless network over a gateway?</v>
      </c>
      <c r="M51" s="12" cm="1">
        <f t="array" aca="1" ref="M51" ca="1">CreateID($M$3,AND($B51&lt;&gt;"",$AD51))</f>
        <v>31</v>
      </c>
      <c r="N51" s="12" cm="1">
        <f t="array" ref="N51">CreateTaskID($N$3,$N:$N,Tasks!$B$17,$H51)</f>
        <v>0</v>
      </c>
      <c r="O51" s="12" t="str">
        <f t="shared" ca="1" si="8"/>
        <v>QA13 Does the product have a logical connection to a wireless network over a gateway?</v>
      </c>
      <c r="P51" s="12" cm="1">
        <f t="array" aca="1" ref="P51" ca="1">CreateID($P$3,$O51&lt;&gt;"")</f>
        <v>31</v>
      </c>
      <c r="Q51" s="12" t="str">
        <f t="shared" ca="1" si="9"/>
        <v/>
      </c>
      <c r="R51" s="12" cm="1">
        <f t="array" aca="1" ref="R51" ca="1">CreateID($R$3,$Q51&lt;&gt;"")</f>
        <v>0</v>
      </c>
      <c r="S51" s="12" t="str">
        <f t="shared" ca="1" si="10"/>
        <v/>
      </c>
      <c r="T51" s="12" cm="1">
        <f t="array" aca="1" ref="T51" ca="1">CreateID($T$3,$S51&lt;&gt;"")</f>
        <v>0</v>
      </c>
      <c r="U51" s="12" t="str">
        <f t="shared" ca="1" si="11"/>
        <v/>
      </c>
      <c r="V51" s="12" cm="1">
        <f t="array" aca="1" ref="V51" ca="1">CreateID($V$3,$U51&lt;&gt;"")</f>
        <v>0</v>
      </c>
      <c r="W51" s="12" cm="1">
        <f t="array" aca="1" ref="W51" ca="1">CreateID($W$3,IFERROR(FIND(Definitions!$AR$4,$H51)&gt;0,FALSE))</f>
        <v>0</v>
      </c>
      <c r="X51" s="12">
        <f>_xlfn.LET(
_xlpm._comment,$H51,
_xlpm._keyWord,Definitions!$AR$4,
_xlpm._diffLen,LEN(_xlpm._comment)-LEN(SUBSTITUTE(_xlpm._comment,_xlpm._keyWord,"")),
_xlpm._diffLen/LEN(_xlpm._keyWord))</f>
        <v>0</v>
      </c>
      <c r="Y51" s="12" cm="1">
        <f t="array" aca="1" ref="Y51" ca="1">CreateID($Y$3,IFERROR(FIND(Definitions!$AR$5,$H51)&gt;0,FALSE))</f>
        <v>0</v>
      </c>
      <c r="Z51" s="12">
        <f>_xlfn.LET(
_xlpm._comment,$H51,
_xlpm._keyWord,Definitions!$AR$5,
_xlpm._diffLen,LEN(_xlpm._comment)-LEN(SUBSTITUTE(_xlpm._comment,_xlpm._keyWord,"")),
_xlpm._diffLen/LEN(_xlpm._keyWord))</f>
        <v>0</v>
      </c>
      <c r="AA51" s="12" t="b">
        <f ca="1">OR(IFERROR(_xlfn.XMATCH("*,"&amp;$B51&amp;",*",Assumptions!$AH:$AH,2)&gt;0,FALSE),
IFERROR(_xlfn.XMATCH("*,"&amp;$B51&amp;",*",Countermeasures!$AK:$AK,2)&gt;0,FALSE))</f>
        <v>0</v>
      </c>
      <c r="AB51" s="12" t="str" cm="1">
        <f t="array" aca="1" ref="AB51" ca="1">CreateSearchString($J51)</f>
        <v>,QA13[],</v>
      </c>
      <c r="AC51" s="12" t="str" cm="1">
        <f t="array" ref="AC51">IF($F51="","",IFERROR(SimpleLookup($F51,Definitions!$H:$J),""))</f>
        <v/>
      </c>
      <c r="AD51" s="12" t="b" cm="1">
        <f t="array" aca="1" ref="AD51" ca="1">IF($B51="",FALSE,SimpleLookup($B51,Questions!$A:$D)="x")</f>
        <v>1</v>
      </c>
      <c r="AE51" s="12" t="str" cm="1">
        <f t="array" aca="1" ref="AE51" ca="1">IF(OR($B51="",NOT($AD51)),"",SimpleLookup($B51,Questions!$A:$E))</f>
        <v>'[QuBA-libre.xlsx]Definitions'!$A$4</v>
      </c>
      <c r="AF51" s="12" cm="1">
        <f t="array" aca="1" ref="AF51" ca="1">IF(OR($B51="",NOT($AD51)),"",SimpleLookup($B51,Questions!$A:$F))</f>
        <v>2</v>
      </c>
      <c r="AG51" s="12" t="str" cm="1">
        <f t="array" aca="1" ref="AG51" ca="1">_xlfn.LET(
_xlpm._answer,$D51,
_xlpm._infoTextFull,IF($AD51,CHAR(10)&amp;SimpleLookup($B51,Questions!$A:$H)&amp;CHAR(10),""),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51" s="12" t="b" cm="1">
        <f t="array" aca="1" ref="AH51" ca="1">IF(OR($B51="",NOT($AD51)),FALSE,_xlfn.LET(
_xlpm._secondAnswerRequiredOn,SimpleLookup($B51,Questions!$A:$I),
_xlpm._firstAnwer,$D51,
IFERROR(FIND(CHAR(10)&amp;_xlpm._firstAnwer&amp;":",CHAR(10)&amp;_xlpm._secondAnswerRequiredOn)&gt;0,FALSE)))</f>
        <v>0</v>
      </c>
      <c r="AI51" s="12" t="str" cm="1">
        <f t="array" aca="1" ref="AI51" ca="1">IF(OR($B51="",NOT($AD51)),"",_xlfn.LET(
_xlpm._id,$B51,
_xlpm._firstAnswer,$D51,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'[QuBA-libre.xlsx]Definitions'!$A$4</v>
      </c>
      <c r="AJ51" s="12" cm="1">
        <f t="array" aca="1" ref="AJ51" ca="1">IF(OR($B51="",NOT($AD51)),"",_xlfn.LET(
_xlpm._id,$B51,
_xlpm._firstAnswer,$D51,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2</v>
      </c>
      <c r="AK51" s="12" t="str" cm="1">
        <f t="array" aca="1" ref="AK51" ca="1">IF($AH51,_xlfn.LET(
_xlpm._answer,$F51,
_xlpm._infoTextFull,IF($AD51,CHAR(10)&amp;SimpleLookup($B51,Questions!$A:$L)&amp;CHAR(10),""),
_xlpm._startSelectedByAnswerOne,IF(_xlpm._infoTextFull="",0,FIND("___"&amp;$D51&amp;"___",_xlpm._infoTextFull)+LEN("___"&amp;$D51&amp;"___")),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51" s="12" t="b" cm="1">
        <f t="array" aca="1" ref="AL51" ca="1">IF(OR($B51="",NOT($AD51)),FALSE,SimpleLookup($B51,Questions!$A:$Q))</f>
        <v>0</v>
      </c>
      <c r="AM51" s="12" t="str" cm="1">
        <f t="array" aca="1" ref="AM51" ca="1">IF(AND($B51=Questions!$A$41,IFERROR(SimpleLookup(Questions!$A$36,$B:$F)=Definitions!$O$5,FALSE),$D51=Definitions!$A$5),
Questions!$A$36&amp;" "&amp;Questions!$B$36&amp;CHAR(10)&amp;CHAR(187)&amp;" "&amp;SimpleLookup(Questions!$A$36,$B:$D)&amp;CHAR(10)&amp;SimpleLookup(Questions!$A$36,$B:$E)&amp;CHAR(10)&amp;CHAR(187)&amp;" "&amp;Definitions!$O$5&amp;CHAR(10)&amp;CHAR(10)&amp;
"is incosistent with"&amp;CHAR(10)&amp;CHAR(10)&amp;
$B51&amp;" "&amp;SimpleLookup($B51,Questions!$A:$B)&amp;CHAR(10)&amp;CHAR(187)&amp;" "&amp;$D51,
"")</f>
        <v/>
      </c>
      <c r="AN51" s="12" cm="1">
        <f t="array" aca="1" ref="AN51" ca="1">CreateID($AN$3,$AM51&lt;&gt;"")</f>
        <v>0</v>
      </c>
      <c r="AO51" s="12" t="str">
        <f ca="1">IF(OR($D51="",OFFSET($D51,1,0)=""),"",
IF(AND($B51=Questions!$A$59,OFFSET($B51,1,0)=Questions!$A$60),
IF(MATCH($D51,Definitions!$AW:$AW,0)&gt;MATCH(OFFSET($D51,1,0),Definitions!AW:AW,0),$B51&amp;" "&amp;$L51&amp;": "&amp;$D51&amp;CHAR(10)&amp;"&lt;---&gt;"&amp;CHAR(10)&amp;OFFSET($B51,1,0)&amp;" "&amp;OFFSET($L51,1,0)&amp;": "&amp;OFFSET($D51,1,0),""),
""))</f>
        <v/>
      </c>
      <c r="AP51" s="12" cm="1">
        <f t="array" aca="1" ref="AP51" ca="1">CreateID($AP$3,$AO51&lt;&gt;"")</f>
        <v>0</v>
      </c>
      <c r="AQ51" s="12" t="str" cm="1">
        <f t="array" ref="AQ51">IF($B51=Questions!$A$18,
  _xlfn.LET(
    _xlpm._impactValue7,IFERROR(SimpleLookup(SimpleLookup($F51,Definitions!$H:$J),Definitions!$Q:$R),0),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"&amp;$F51&amp;CHAR(10)&amp;"&lt;---&gt;"&amp;CHAR(10)&amp;Questions!$A$30&amp;": "&amp;_xlpm._impactName14,
        ""))),
  "")</f>
        <v/>
      </c>
      <c r="AR51" s="12" cm="1">
        <f t="array" aca="1" ref="AR51" ca="1">CreateID($AR$3,$AQ51&lt;&gt;"")</f>
        <v>0</v>
      </c>
    </row>
    <row r="52" spans="1:44" x14ac:dyDescent="0.25">
      <c r="A52" s="116"/>
      <c r="B52" s="68" t="s">
        <v>994</v>
      </c>
      <c r="C52" s="4" t="str" cm="1">
        <f t="array" aca="1" ref="C52" ca="1">IF($B52="","",CreateIndentedString($L52,Definitions!$T$4,SimpleLookup($B52,Questions!$A:$C)))</f>
        <v>Hardware  interfaces  and  accessibility</v>
      </c>
      <c r="J52" s="12" t="str">
        <f t="shared" ca="1" si="6"/>
        <v/>
      </c>
      <c r="K52" s="12" t="str">
        <f t="shared" ca="1" si="7"/>
        <v/>
      </c>
      <c r="L52" s="12" t="str" cm="1">
        <f t="array" aca="1" ref="L52" ca="1">SimpleLookup($B52,Questions!$A:$B)</f>
        <v>Hardware interfaces and accessibility</v>
      </c>
      <c r="M52" s="12" cm="1">
        <f t="array" aca="1" ref="M52" ca="1">CreateID($M$3,AND($B52&lt;&gt;"",$AD52))</f>
        <v>31</v>
      </c>
      <c r="N52" s="12" cm="1">
        <f t="array" ref="N52">CreateTaskID($N$3,$N:$N,Tasks!$B$17,$H52)</f>
        <v>0</v>
      </c>
      <c r="O52" s="12" t="str">
        <f t="shared" ca="1" si="8"/>
        <v/>
      </c>
      <c r="P52" s="12" cm="1">
        <f t="array" aca="1" ref="P52" ca="1">CreateID($P$3,$O52&lt;&gt;"")</f>
        <v>31</v>
      </c>
      <c r="Q52" s="12" t="str">
        <f t="shared" si="9"/>
        <v/>
      </c>
      <c r="R52" s="12" cm="1">
        <f t="array" aca="1" ref="R52" ca="1">CreateID($R$3,$Q52&lt;&gt;"")</f>
        <v>0</v>
      </c>
      <c r="S52" s="12" t="str">
        <f t="shared" si="10"/>
        <v/>
      </c>
      <c r="T52" s="12" cm="1">
        <f t="array" aca="1" ref="T52" ca="1">CreateID($T$3,$S52&lt;&gt;"")</f>
        <v>0</v>
      </c>
      <c r="U52" s="12" t="str">
        <f t="shared" ca="1" si="11"/>
        <v/>
      </c>
      <c r="V52" s="12" cm="1">
        <f t="array" aca="1" ref="V52" ca="1">CreateID($V$3,$U52&lt;&gt;"")</f>
        <v>0</v>
      </c>
      <c r="W52" s="12" cm="1">
        <f t="array" aca="1" ref="W52" ca="1">CreateID($W$3,IFERROR(FIND(Definitions!$AR$4,$H52)&gt;0,FALSE))</f>
        <v>0</v>
      </c>
      <c r="X52" s="12">
        <f>_xlfn.LET(
_xlpm._comment,$H52,
_xlpm._keyWord,Definitions!$AR$4,
_xlpm._diffLen,LEN(_xlpm._comment)-LEN(SUBSTITUTE(_xlpm._comment,_xlpm._keyWord,"")),
_xlpm._diffLen/LEN(_xlpm._keyWord))</f>
        <v>0</v>
      </c>
      <c r="Y52" s="12" cm="1">
        <f t="array" aca="1" ref="Y52" ca="1">CreateID($Y$3,IFERROR(FIND(Definitions!$AR$5,$H52)&gt;0,FALSE))</f>
        <v>0</v>
      </c>
      <c r="Z52" s="12">
        <f>_xlfn.LET(
_xlpm._comment,$H52,
_xlpm._keyWord,Definitions!$AR$5,
_xlpm._diffLen,LEN(_xlpm._comment)-LEN(SUBSTITUTE(_xlpm._comment,_xlpm._keyWord,"")),
_xlpm._diffLen/LEN(_xlpm._keyWord))</f>
        <v>0</v>
      </c>
      <c r="AA52" s="12" t="b">
        <f ca="1">OR(IFERROR(_xlfn.XMATCH("*,"&amp;$B52&amp;",*",Assumptions!$AH:$AH,2)&gt;0,FALSE),
IFERROR(_xlfn.XMATCH("*,"&amp;$B52&amp;",*",Countermeasures!$AK:$AK,2)&gt;0,FALSE))</f>
        <v>0</v>
      </c>
      <c r="AB52" s="12" t="str" cm="1">
        <f t="array" aca="1" ref="AB52" ca="1">CreateSearchString($J52)</f>
        <v/>
      </c>
      <c r="AC52" s="12" t="str" cm="1">
        <f t="array" ref="AC52">IF($F52="","",IFERROR(SimpleLookup($F52,Definitions!$H:$J),""))</f>
        <v/>
      </c>
      <c r="AD52" s="12" t="b" cm="1">
        <f t="array" aca="1" ref="AD52" ca="1">IF($B52="",FALSE,SimpleLookup($B52,Questions!$A:$D)="x")</f>
        <v>0</v>
      </c>
      <c r="AE52" s="12" t="str" cm="1">
        <f t="array" aca="1" ref="AE52" ca="1">IF(OR($B52="",NOT($AD52)),"",SimpleLookup($B52,Questions!$A:$E))</f>
        <v/>
      </c>
      <c r="AF52" s="12" t="str" cm="1">
        <f t="array" aca="1" ref="AF52" ca="1">IF(OR($B52="",NOT($AD52)),"",SimpleLookup($B52,Questions!$A:$F))</f>
        <v/>
      </c>
      <c r="AG52" s="12" t="str" cm="1">
        <f t="array" aca="1" ref="AG52" ca="1">_xlfn.LET(
_xlpm._answer,$D52,
_xlpm._infoTextFull,IF($AD52,CHAR(10)&amp;SimpleLookup($B52,Questions!$A:$H)&amp;CHAR(10),""),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52" s="12" t="b" cm="1">
        <f t="array" aca="1" ref="AH52" ca="1">IF(OR($B52="",NOT($AD52)),FALSE,_xlfn.LET(
_xlpm._secondAnswerRequiredOn,SimpleLookup($B52,Questions!$A:$I),
_xlpm._firstAnwer,$D52,
IFERROR(FIND(CHAR(10)&amp;_xlpm._firstAnwer&amp;":",CHAR(10)&amp;_xlpm._secondAnswerRequiredOn)&gt;0,FALSE)))</f>
        <v>0</v>
      </c>
      <c r="AI52" s="12" t="str" cm="1">
        <f t="array" aca="1" ref="AI52" ca="1">IF(OR($B52="",NOT($AD52)),"",_xlfn.LET(
_xlpm._id,$B52,
_xlpm._firstAnswer,$D52,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52" s="12" t="str" cm="1">
        <f t="array" aca="1" ref="AJ52" ca="1">IF(OR($B52="",NOT($AD52)),"",_xlfn.LET(
_xlpm._id,$B52,
_xlpm._firstAnswer,$D52,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52" s="12" t="str" cm="1">
        <f t="array" aca="1" ref="AK52" ca="1">IF($AH52,_xlfn.LET(
_xlpm._answer,$F52,
_xlpm._infoTextFull,IF($AD52,CHAR(10)&amp;SimpleLookup($B52,Questions!$A:$L)&amp;CHAR(10),""),
_xlpm._startSelectedByAnswerOne,IF(_xlpm._infoTextFull="",0,FIND("___"&amp;$D52&amp;"___",_xlpm._infoTextFull)+LEN("___"&amp;$D52&amp;"___")),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52" s="12" t="b" cm="1">
        <f t="array" aca="1" ref="AL52" ca="1">IF(OR($B52="",NOT($AD52)),FALSE,SimpleLookup($B52,Questions!$A:$Q))</f>
        <v>0</v>
      </c>
      <c r="AM52" s="12" t="str" cm="1">
        <f t="array" aca="1" ref="AM52" ca="1">IF(AND($B52=Questions!$A$41,IFERROR(SimpleLookup(Questions!$A$36,$B:$F)=Definitions!$O$5,FALSE),$D52=Definitions!$A$5),
Questions!$A$36&amp;" "&amp;Questions!$B$36&amp;CHAR(10)&amp;CHAR(187)&amp;" "&amp;SimpleLookup(Questions!$A$36,$B:$D)&amp;CHAR(10)&amp;SimpleLookup(Questions!$A$36,$B:$E)&amp;CHAR(10)&amp;CHAR(187)&amp;" "&amp;Definitions!$O$5&amp;CHAR(10)&amp;CHAR(10)&amp;
"is incosistent with"&amp;CHAR(10)&amp;CHAR(10)&amp;
$B52&amp;" "&amp;SimpleLookup($B52,Questions!$A:$B)&amp;CHAR(10)&amp;CHAR(187)&amp;" "&amp;$D52,
"")</f>
        <v/>
      </c>
      <c r="AN52" s="12" cm="1">
        <f t="array" aca="1" ref="AN52" ca="1">CreateID($AN$3,$AM52&lt;&gt;"")</f>
        <v>0</v>
      </c>
      <c r="AO52" s="12" t="str">
        <f ca="1">IF(OR($D52="",OFFSET($D52,1,0)=""),"",
IF(AND($B52=Questions!$A$59,OFFSET($B52,1,0)=Questions!$A$60),
IF(MATCH($D52,Definitions!$AW:$AW,0)&gt;MATCH(OFFSET($D52,1,0),Definitions!AW:AW,0),$B52&amp;" "&amp;$L52&amp;": "&amp;$D52&amp;CHAR(10)&amp;"&lt;---&gt;"&amp;CHAR(10)&amp;OFFSET($B52,1,0)&amp;" "&amp;OFFSET($L52,1,0)&amp;": "&amp;OFFSET($D52,1,0),""),
""))</f>
        <v/>
      </c>
      <c r="AP52" s="12" cm="1">
        <f t="array" aca="1" ref="AP52" ca="1">CreateID($AP$3,$AO52&lt;&gt;"")</f>
        <v>0</v>
      </c>
      <c r="AQ52" s="12" t="str" cm="1">
        <f t="array" ref="AQ52">IF($B52=Questions!$A$18,
  _xlfn.LET(
    _xlpm._impactValue7,IFERROR(SimpleLookup(SimpleLookup($F52,Definitions!$H:$J),Definitions!$Q:$R),0),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"&amp;$F52&amp;CHAR(10)&amp;"&lt;---&gt;"&amp;CHAR(10)&amp;Questions!$A$30&amp;": "&amp;_xlpm._impactName14,
        ""))),
  "")</f>
        <v/>
      </c>
      <c r="AR52" s="12" cm="1">
        <f t="array" aca="1" ref="AR52" ca="1">CreateID($AR$3,$AQ52&lt;&gt;"")</f>
        <v>0</v>
      </c>
    </row>
    <row r="53" spans="1:44" ht="30" x14ac:dyDescent="0.25">
      <c r="A53" s="116" t="str">
        <f ca="1">HYPERLINK("#'"&amp;Helper!$G$22&amp;"'!A"&amp;MATCH($B53,'Answering Guideline'!$A:$A,0),Definitions!$AY$4)</f>
        <v>◈</v>
      </c>
      <c r="B53" s="68" t="s">
        <v>890</v>
      </c>
      <c r="C53" s="4" t="str" cm="1">
        <f t="array" aca="1" ref="C53" ca="1">IF($B53="","",CreateIndentedString($L53,Definitions!$T$4,SimpleLookup($B53,Questions!$A:$C)))</f>
        <v xml:space="preserve">   Is  the  product  typically  installed  in  a  physically
   accessible  position?</v>
      </c>
      <c r="E53" s="7" t="str">
        <f t="shared" ref="E53:E60" ca="1" si="14">$AG53</f>
        <v/>
      </c>
      <c r="G53" s="7" t="str">
        <f t="shared" ref="G53:G60" ca="1" si="15">$AK53</f>
        <v/>
      </c>
      <c r="J53" s="12" t="str">
        <f t="shared" ca="1" si="6"/>
        <v>QA14[]</v>
      </c>
      <c r="K53" s="12" t="str">
        <f t="shared" ca="1" si="7"/>
        <v>QA14[]</v>
      </c>
      <c r="L53" s="12" t="str" cm="1">
        <f t="array" aca="1" ref="L53" ca="1">SimpleLookup($B53,Questions!$A:$B)</f>
        <v>Is the product typically installed in a physically accessible position?</v>
      </c>
      <c r="M53" s="12" cm="1">
        <f t="array" aca="1" ref="M53" ca="1">CreateID($M$3,AND($B53&lt;&gt;"",$AD53))</f>
        <v>32</v>
      </c>
      <c r="N53" s="12" cm="1">
        <f t="array" ref="N53">CreateTaskID($N$3,$N:$N,Tasks!$B$17,$H53)</f>
        <v>0</v>
      </c>
      <c r="O53" s="12" t="str">
        <f t="shared" ca="1" si="8"/>
        <v>QA14 Is the product typically installed in a physically accessible position?</v>
      </c>
      <c r="P53" s="12" cm="1">
        <f t="array" aca="1" ref="P53" ca="1">CreateID($P$3,$O53&lt;&gt;"")</f>
        <v>32</v>
      </c>
      <c r="Q53" s="12" t="str">
        <f t="shared" ca="1" si="9"/>
        <v/>
      </c>
      <c r="R53" s="12" cm="1">
        <f t="array" aca="1" ref="R53" ca="1">CreateID($R$3,$Q53&lt;&gt;"")</f>
        <v>0</v>
      </c>
      <c r="S53" s="12" t="str">
        <f t="shared" ca="1" si="10"/>
        <v/>
      </c>
      <c r="T53" s="12" cm="1">
        <f t="array" aca="1" ref="T53" ca="1">CreateID($T$3,$S53&lt;&gt;"")</f>
        <v>0</v>
      </c>
      <c r="U53" s="12" t="str">
        <f t="shared" ca="1" si="11"/>
        <v/>
      </c>
      <c r="V53" s="12" cm="1">
        <f t="array" aca="1" ref="V53" ca="1">CreateID($V$3,$U53&lt;&gt;"")</f>
        <v>0</v>
      </c>
      <c r="W53" s="12" cm="1">
        <f t="array" aca="1" ref="W53" ca="1">CreateID($W$3,IFERROR(FIND(Definitions!$AR$4,$H53)&gt;0,FALSE))</f>
        <v>0</v>
      </c>
      <c r="X53" s="12">
        <f>_xlfn.LET(
_xlpm._comment,$H53,
_xlpm._keyWord,Definitions!$AR$4,
_xlpm._diffLen,LEN(_xlpm._comment)-LEN(SUBSTITUTE(_xlpm._comment,_xlpm._keyWord,"")),
_xlpm._diffLen/LEN(_xlpm._keyWord))</f>
        <v>0</v>
      </c>
      <c r="Y53" s="12" cm="1">
        <f t="array" aca="1" ref="Y53" ca="1">CreateID($Y$3,IFERROR(FIND(Definitions!$AR$5,$H53)&gt;0,FALSE))</f>
        <v>0</v>
      </c>
      <c r="Z53" s="12">
        <f>_xlfn.LET(
_xlpm._comment,$H53,
_xlpm._keyWord,Definitions!$AR$5,
_xlpm._diffLen,LEN(_xlpm._comment)-LEN(SUBSTITUTE(_xlpm._comment,_xlpm._keyWord,"")),
_xlpm._diffLen/LEN(_xlpm._keyWord))</f>
        <v>0</v>
      </c>
      <c r="AA53" s="12" t="b">
        <f ca="1">OR(IFERROR(_xlfn.XMATCH("*,"&amp;$B53&amp;",*",Assumptions!$AH:$AH,2)&gt;0,FALSE),
IFERROR(_xlfn.XMATCH("*,"&amp;$B53&amp;",*",Countermeasures!$AK:$AK,2)&gt;0,FALSE))</f>
        <v>0</v>
      </c>
      <c r="AB53" s="12" t="str" cm="1">
        <f t="array" aca="1" ref="AB53" ca="1">CreateSearchString($J53)</f>
        <v>,QA14[],</v>
      </c>
      <c r="AC53" s="12" t="str" cm="1">
        <f t="array" ref="AC53">IF($F53="","",IFERROR(SimpleLookup($F53,Definitions!$H:$J),""))</f>
        <v/>
      </c>
      <c r="AD53" s="12" t="b" cm="1">
        <f t="array" aca="1" ref="AD53" ca="1">IF($B53="",FALSE,SimpleLookup($B53,Questions!$A:$D)="x")</f>
        <v>1</v>
      </c>
      <c r="AE53" s="12" t="str" cm="1">
        <f t="array" aca="1" ref="AE53" ca="1">IF(OR($B53="",NOT($AD53)),"",SimpleLookup($B53,Questions!$A:$E))</f>
        <v>'[QuBA-libre.xlsx]Definitions'!$A$4</v>
      </c>
      <c r="AF53" s="12" cm="1">
        <f t="array" aca="1" ref="AF53" ca="1">IF(OR($B53="",NOT($AD53)),"",SimpleLookup($B53,Questions!$A:$F))</f>
        <v>2</v>
      </c>
      <c r="AG53" s="12" t="str" cm="1">
        <f t="array" aca="1" ref="AG53" ca="1">_xlfn.LET(
_xlpm._answer,$D53,
_xlpm._infoTextFull,IF($AD53,CHAR(10)&amp;SimpleLookup($B53,Questions!$A:$H)&amp;CHAR(10),""),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53" s="12" t="b" cm="1">
        <f t="array" aca="1" ref="AH53" ca="1">IF(OR($B53="",NOT($AD53)),FALSE,_xlfn.LET(
_xlpm._secondAnswerRequiredOn,SimpleLookup($B53,Questions!$A:$I),
_xlpm._firstAnwer,$D53,
IFERROR(FIND(CHAR(10)&amp;_xlpm._firstAnwer&amp;":",CHAR(10)&amp;_xlpm._secondAnswerRequiredOn)&gt;0,FALSE)))</f>
        <v>0</v>
      </c>
      <c r="AI53" s="12" t="str" cm="1">
        <f t="array" aca="1" ref="AI53" ca="1">IF(OR($B53="",NOT($AD53)),"",_xlfn.LET(
_xlpm._id,$B53,
_xlpm._firstAnswer,$D53,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53" s="12" cm="1">
        <f t="array" aca="1" ref="AJ53" ca="1">IF(OR($B53="",NOT($AD53)),"",_xlfn.LET(
_xlpm._id,$B53,
_xlpm._firstAnswer,$D53,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0</v>
      </c>
      <c r="AK53" s="12" t="str" cm="1">
        <f t="array" aca="1" ref="AK53" ca="1">IF($AH53,_xlfn.LET(
_xlpm._answer,$F53,
_xlpm._infoTextFull,IF($AD53,CHAR(10)&amp;SimpleLookup($B53,Questions!$A:$L)&amp;CHAR(10),""),
_xlpm._startSelectedByAnswerOne,IF(_xlpm._infoTextFull="",0,FIND("___"&amp;$D53&amp;"___",_xlpm._infoTextFull)+LEN("___"&amp;$D53&amp;"___")),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53" s="12" t="b" cm="1">
        <f t="array" aca="1" ref="AL53" ca="1">IF(OR($B53="",NOT($AD53)),FALSE,SimpleLookup($B53,Questions!$A:$Q))</f>
        <v>0</v>
      </c>
      <c r="AM53" s="12" t="str" cm="1">
        <f t="array" aca="1" ref="AM53" ca="1">IF(AND($B53=Questions!$A$41,IFERROR(SimpleLookup(Questions!$A$36,$B:$F)=Definitions!$O$5,FALSE),$D53=Definitions!$A$5),
Questions!$A$36&amp;" "&amp;Questions!$B$36&amp;CHAR(10)&amp;CHAR(187)&amp;" "&amp;SimpleLookup(Questions!$A$36,$B:$D)&amp;CHAR(10)&amp;SimpleLookup(Questions!$A$36,$B:$E)&amp;CHAR(10)&amp;CHAR(187)&amp;" "&amp;Definitions!$O$5&amp;CHAR(10)&amp;CHAR(10)&amp;
"is incosistent with"&amp;CHAR(10)&amp;CHAR(10)&amp;
$B53&amp;" "&amp;SimpleLookup($B53,Questions!$A:$B)&amp;CHAR(10)&amp;CHAR(187)&amp;" "&amp;$D53,
"")</f>
        <v/>
      </c>
      <c r="AN53" s="12" cm="1">
        <f t="array" aca="1" ref="AN53" ca="1">CreateID($AN$3,$AM53&lt;&gt;"")</f>
        <v>0</v>
      </c>
      <c r="AO53" s="12" t="str">
        <f ca="1">IF(OR($D53="",OFFSET($D53,1,0)=""),"",
IF(AND($B53=Questions!$A$59,OFFSET($B53,1,0)=Questions!$A$60),
IF(MATCH($D53,Definitions!$AW:$AW,0)&gt;MATCH(OFFSET($D53,1,0),Definitions!AW:AW,0),$B53&amp;" "&amp;$L53&amp;": "&amp;$D53&amp;CHAR(10)&amp;"&lt;---&gt;"&amp;CHAR(10)&amp;OFFSET($B53,1,0)&amp;" "&amp;OFFSET($L53,1,0)&amp;": "&amp;OFFSET($D53,1,0),""),
""))</f>
        <v/>
      </c>
      <c r="AP53" s="12" cm="1">
        <f t="array" aca="1" ref="AP53" ca="1">CreateID($AP$3,$AO53&lt;&gt;"")</f>
        <v>0</v>
      </c>
      <c r="AQ53" s="12" t="str" cm="1">
        <f t="array" ref="AQ53">IF($B53=Questions!$A$18,
  _xlfn.LET(
    _xlpm._impactValue7,IFERROR(SimpleLookup(SimpleLookup($F53,Definitions!$H:$J),Definitions!$Q:$R),0),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"&amp;$F53&amp;CHAR(10)&amp;"&lt;---&gt;"&amp;CHAR(10)&amp;Questions!$A$30&amp;": "&amp;_xlpm._impactName14,
        ""))),
  "")</f>
        <v/>
      </c>
      <c r="AR53" s="12" cm="1">
        <f t="array" aca="1" ref="AR53" ca="1">CreateID($AR$3,$AQ53&lt;&gt;"")</f>
        <v>0</v>
      </c>
    </row>
    <row r="54" spans="1:44" ht="30" x14ac:dyDescent="0.25">
      <c r="A54" s="116" t="str">
        <f ca="1">HYPERLINK("#'"&amp;Helper!$G$22&amp;"'!A"&amp;MATCH($B54,'Answering Guideline'!$A:$A,0),Definitions!$AY$4)</f>
        <v>◈</v>
      </c>
      <c r="B54" s="68" t="s">
        <v>892</v>
      </c>
      <c r="C54" s="4" t="str" cm="1">
        <f t="array" aca="1" ref="C54" ca="1">IF($B54="","",CreateIndentedString($L54,Definitions!$T$4,SimpleLookup($B54,Questions!$A:$C)))</f>
        <v xml:space="preserve">   Is  the  product  typically  installed  in  an
   operational  environment  with  public  access?</v>
      </c>
      <c r="E54" s="7" t="str">
        <f t="shared" ca="1" si="14"/>
        <v/>
      </c>
      <c r="G54" s="7" t="str">
        <f t="shared" ca="1" si="15"/>
        <v/>
      </c>
      <c r="J54" s="12" t="str">
        <f t="shared" ca="1" si="6"/>
        <v>QA15[]</v>
      </c>
      <c r="K54" s="12" t="str">
        <f t="shared" ca="1" si="7"/>
        <v>QA15[]</v>
      </c>
      <c r="L54" s="12" t="str" cm="1">
        <f t="array" aca="1" ref="L54" ca="1">SimpleLookup($B54,Questions!$A:$B)</f>
        <v>Is the product typically installed in an operational environment with public access?</v>
      </c>
      <c r="M54" s="12" cm="1">
        <f t="array" aca="1" ref="M54" ca="1">CreateID($M$3,AND($B54&lt;&gt;"",$AD54))</f>
        <v>33</v>
      </c>
      <c r="N54" s="12" cm="1">
        <f t="array" ref="N54">CreateTaskID($N$3,$N:$N,Tasks!$B$17,$H54)</f>
        <v>0</v>
      </c>
      <c r="O54" s="12" t="str">
        <f t="shared" ca="1" si="8"/>
        <v>QA15 Is the product typically installed in an operational environment with public access?</v>
      </c>
      <c r="P54" s="12" cm="1">
        <f t="array" aca="1" ref="P54" ca="1">CreateID($P$3,$O54&lt;&gt;"")</f>
        <v>33</v>
      </c>
      <c r="Q54" s="12" t="str">
        <f t="shared" ca="1" si="9"/>
        <v/>
      </c>
      <c r="R54" s="12" cm="1">
        <f t="array" aca="1" ref="R54" ca="1">CreateID($R$3,$Q54&lt;&gt;"")</f>
        <v>0</v>
      </c>
      <c r="S54" s="12" t="str">
        <f t="shared" ca="1" si="10"/>
        <v/>
      </c>
      <c r="T54" s="12" cm="1">
        <f t="array" aca="1" ref="T54" ca="1">CreateID($T$3,$S54&lt;&gt;"")</f>
        <v>0</v>
      </c>
      <c r="U54" s="12" t="str">
        <f t="shared" ca="1" si="11"/>
        <v/>
      </c>
      <c r="V54" s="12" cm="1">
        <f t="array" aca="1" ref="V54" ca="1">CreateID($V$3,$U54&lt;&gt;"")</f>
        <v>0</v>
      </c>
      <c r="W54" s="12" cm="1">
        <f t="array" aca="1" ref="W54" ca="1">CreateID($W$3,IFERROR(FIND(Definitions!$AR$4,$H54)&gt;0,FALSE))</f>
        <v>0</v>
      </c>
      <c r="X54" s="12">
        <f>_xlfn.LET(
_xlpm._comment,$H54,
_xlpm._keyWord,Definitions!$AR$4,
_xlpm._diffLen,LEN(_xlpm._comment)-LEN(SUBSTITUTE(_xlpm._comment,_xlpm._keyWord,"")),
_xlpm._diffLen/LEN(_xlpm._keyWord))</f>
        <v>0</v>
      </c>
      <c r="Y54" s="12" cm="1">
        <f t="array" aca="1" ref="Y54" ca="1">CreateID($Y$3,IFERROR(FIND(Definitions!$AR$5,$H54)&gt;0,FALSE))</f>
        <v>0</v>
      </c>
      <c r="Z54" s="12">
        <f>_xlfn.LET(
_xlpm._comment,$H54,
_xlpm._keyWord,Definitions!$AR$5,
_xlpm._diffLen,LEN(_xlpm._comment)-LEN(SUBSTITUTE(_xlpm._comment,_xlpm._keyWord,"")),
_xlpm._diffLen/LEN(_xlpm._keyWord))</f>
        <v>0</v>
      </c>
      <c r="AA54" s="12" t="b">
        <f ca="1">OR(IFERROR(_xlfn.XMATCH("*,"&amp;$B54&amp;",*",Assumptions!$AH:$AH,2)&gt;0,FALSE),
IFERROR(_xlfn.XMATCH("*,"&amp;$B54&amp;",*",Countermeasures!$AK:$AK,2)&gt;0,FALSE))</f>
        <v>0</v>
      </c>
      <c r="AB54" s="12" t="str" cm="1">
        <f t="array" aca="1" ref="AB54" ca="1">CreateSearchString($J54)</f>
        <v>,QA15[],</v>
      </c>
      <c r="AC54" s="12" t="str" cm="1">
        <f t="array" ref="AC54">IF($F54="","",IFERROR(SimpleLookup($F54,Definitions!$H:$J),""))</f>
        <v/>
      </c>
      <c r="AD54" s="12" t="b" cm="1">
        <f t="array" aca="1" ref="AD54" ca="1">IF($B54="",FALSE,SimpleLookup($B54,Questions!$A:$D)="x")</f>
        <v>1</v>
      </c>
      <c r="AE54" s="12" t="str" cm="1">
        <f t="array" aca="1" ref="AE54" ca="1">IF(OR($B54="",NOT($AD54)),"",SimpleLookup($B54,Questions!$A:$E))</f>
        <v>'[QuBA-libre.xlsx]Definitions'!$A$4</v>
      </c>
      <c r="AF54" s="12" cm="1">
        <f t="array" aca="1" ref="AF54" ca="1">IF(OR($B54="",NOT($AD54)),"",SimpleLookup($B54,Questions!$A:$F))</f>
        <v>2</v>
      </c>
      <c r="AG54" s="12" t="str" cm="1">
        <f t="array" aca="1" ref="AG54" ca="1">_xlfn.LET(
_xlpm._answer,$D54,
_xlpm._infoTextFull,IF($AD54,CHAR(10)&amp;SimpleLookup($B54,Questions!$A:$H)&amp;CHAR(10),""),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54" s="12" t="b" cm="1">
        <f t="array" aca="1" ref="AH54" ca="1">IF(OR($B54="",NOT($AD54)),FALSE,_xlfn.LET(
_xlpm._secondAnswerRequiredOn,SimpleLookup($B54,Questions!$A:$I),
_xlpm._firstAnwer,$D54,
IFERROR(FIND(CHAR(10)&amp;_xlpm._firstAnwer&amp;":",CHAR(10)&amp;_xlpm._secondAnswerRequiredOn)&gt;0,FALSE)))</f>
        <v>0</v>
      </c>
      <c r="AI54" s="12" t="str" cm="1">
        <f t="array" aca="1" ref="AI54" ca="1">IF(OR($B54="",NOT($AD54)),"",_xlfn.LET(
_xlpm._id,$B54,
_xlpm._firstAnswer,$D54,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'[QuBA-libre.xlsx]Definitions'!$A$4</v>
      </c>
      <c r="AJ54" s="12" cm="1">
        <f t="array" aca="1" ref="AJ54" ca="1">IF(OR($B54="",NOT($AD54)),"",_xlfn.LET(
_xlpm._id,$B54,
_xlpm._firstAnswer,$D54,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2</v>
      </c>
      <c r="AK54" s="12" t="str" cm="1">
        <f t="array" aca="1" ref="AK54" ca="1">IF($AH54,_xlfn.LET(
_xlpm._answer,$F54,
_xlpm._infoTextFull,IF($AD54,CHAR(10)&amp;SimpleLookup($B54,Questions!$A:$L)&amp;CHAR(10),""),
_xlpm._startSelectedByAnswerOne,IF(_xlpm._infoTextFull="",0,FIND("___"&amp;$D54&amp;"___",_xlpm._infoTextFull)+LEN("___"&amp;$D54&amp;"___")),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54" s="12" t="b" cm="1">
        <f t="array" aca="1" ref="AL54" ca="1">IF(OR($B54="",NOT($AD54)),FALSE,SimpleLookup($B54,Questions!$A:$Q))</f>
        <v>0</v>
      </c>
      <c r="AM54" s="12" t="str" cm="1">
        <f t="array" aca="1" ref="AM54" ca="1">IF(AND($B54=Questions!$A$41,IFERROR(SimpleLookup(Questions!$A$36,$B:$F)=Definitions!$O$5,FALSE),$D54=Definitions!$A$5),
Questions!$A$36&amp;" "&amp;Questions!$B$36&amp;CHAR(10)&amp;CHAR(187)&amp;" "&amp;SimpleLookup(Questions!$A$36,$B:$D)&amp;CHAR(10)&amp;SimpleLookup(Questions!$A$36,$B:$E)&amp;CHAR(10)&amp;CHAR(187)&amp;" "&amp;Definitions!$O$5&amp;CHAR(10)&amp;CHAR(10)&amp;
"is incosistent with"&amp;CHAR(10)&amp;CHAR(10)&amp;
$B54&amp;" "&amp;SimpleLookup($B54,Questions!$A:$B)&amp;CHAR(10)&amp;CHAR(187)&amp;" "&amp;$D54,
"")</f>
        <v/>
      </c>
      <c r="AN54" s="12" cm="1">
        <f t="array" aca="1" ref="AN54" ca="1">CreateID($AN$3,$AM54&lt;&gt;"")</f>
        <v>0</v>
      </c>
      <c r="AO54" s="12" t="str">
        <f ca="1">IF(OR($D54="",OFFSET($D54,1,0)=""),"",
IF(AND($B54=Questions!$A$59,OFFSET($B54,1,0)=Questions!$A$60),
IF(MATCH($D54,Definitions!$AW:$AW,0)&gt;MATCH(OFFSET($D54,1,0),Definitions!AW:AW,0),$B54&amp;" "&amp;$L54&amp;": "&amp;$D54&amp;CHAR(10)&amp;"&lt;---&gt;"&amp;CHAR(10)&amp;OFFSET($B54,1,0)&amp;" "&amp;OFFSET($L54,1,0)&amp;": "&amp;OFFSET($D54,1,0),""),
""))</f>
        <v/>
      </c>
      <c r="AP54" s="12" cm="1">
        <f t="array" aca="1" ref="AP54" ca="1">CreateID($AP$3,$AO54&lt;&gt;"")</f>
        <v>0</v>
      </c>
      <c r="AQ54" s="12" t="str" cm="1">
        <f t="array" ref="AQ54">IF($B54=Questions!$A$18,
  _xlfn.LET(
    _xlpm._impactValue7,IFERROR(SimpleLookup(SimpleLookup($F54,Definitions!$H:$J),Definitions!$Q:$R),0),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"&amp;$F54&amp;CHAR(10)&amp;"&lt;---&gt;"&amp;CHAR(10)&amp;Questions!$A$30&amp;": "&amp;_xlpm._impactName14,
        ""))),
  "")</f>
        <v/>
      </c>
      <c r="AR54" s="12" cm="1">
        <f t="array" aca="1" ref="AR54" ca="1">CreateID($AR$3,$AQ54&lt;&gt;"")</f>
        <v>0</v>
      </c>
    </row>
    <row r="55" spans="1:44" ht="45" x14ac:dyDescent="0.25">
      <c r="A55" s="116" t="str">
        <f ca="1">HYPERLINK("#'"&amp;Helper!$G$22&amp;"'!A"&amp;MATCH($B55,'Answering Guideline'!$A:$A,0),Definitions!$AY$4)</f>
        <v>◈</v>
      </c>
      <c r="B55" s="68" t="s">
        <v>895</v>
      </c>
      <c r="C55" s="4" t="str" cm="1">
        <f t="array" aca="1" ref="C55" ca="1">IF($B55="","",CreateIndentedString($L55,Definitions!$T$4,SimpleLookup($B55,Questions!$A:$C)))</f>
        <v xml:space="preserve">   Are  the  product's  physical  connections  (such  as
   attached  bus  cables)  typically  installed  in  an
   environment  with  public  access?</v>
      </c>
      <c r="E55" s="7" t="str">
        <f t="shared" ca="1" si="14"/>
        <v/>
      </c>
      <c r="G55" s="7" t="str">
        <f t="shared" ca="1" si="15"/>
        <v/>
      </c>
      <c r="J55" s="12" t="str">
        <f t="shared" ca="1" si="6"/>
        <v>QA16[]</v>
      </c>
      <c r="K55" s="12" t="str">
        <f t="shared" ca="1" si="7"/>
        <v>QA16[]</v>
      </c>
      <c r="L55" s="12" t="str" cm="1">
        <f t="array" aca="1" ref="L55" ca="1">SimpleLookup($B55,Questions!$A:$B)</f>
        <v>Are the product's physical connections (such as attached bus cables) typically installed in an environment with public access?</v>
      </c>
      <c r="M55" s="12" cm="1">
        <f t="array" aca="1" ref="M55" ca="1">CreateID($M$3,AND($B55&lt;&gt;"",$AD55))</f>
        <v>34</v>
      </c>
      <c r="N55" s="12" cm="1">
        <f t="array" ref="N55">CreateTaskID($N$3,$N:$N,Tasks!$B$17,$H55)</f>
        <v>0</v>
      </c>
      <c r="O55" s="12" t="str">
        <f t="shared" ca="1" si="8"/>
        <v>QA16 Are the product's physical connections (such as attached bus cables) typically installed in an environment with public access?</v>
      </c>
      <c r="P55" s="12" cm="1">
        <f t="array" aca="1" ref="P55" ca="1">CreateID($P$3,$O55&lt;&gt;"")</f>
        <v>34</v>
      </c>
      <c r="Q55" s="12" t="str">
        <f t="shared" ca="1" si="9"/>
        <v/>
      </c>
      <c r="R55" s="12" cm="1">
        <f t="array" aca="1" ref="R55" ca="1">CreateID($R$3,$Q55&lt;&gt;"")</f>
        <v>0</v>
      </c>
      <c r="S55" s="12" t="str">
        <f t="shared" ca="1" si="10"/>
        <v/>
      </c>
      <c r="T55" s="12" cm="1">
        <f t="array" aca="1" ref="T55" ca="1">CreateID($T$3,$S55&lt;&gt;"")</f>
        <v>0</v>
      </c>
      <c r="U55" s="12" t="str">
        <f t="shared" ca="1" si="11"/>
        <v/>
      </c>
      <c r="V55" s="12" cm="1">
        <f t="array" aca="1" ref="V55" ca="1">CreateID($V$3,$U55&lt;&gt;"")</f>
        <v>0</v>
      </c>
      <c r="W55" s="12" cm="1">
        <f t="array" aca="1" ref="W55" ca="1">CreateID($W$3,IFERROR(FIND(Definitions!$AR$4,$H55)&gt;0,FALSE))</f>
        <v>0</v>
      </c>
      <c r="X55" s="12">
        <f>_xlfn.LET(
_xlpm._comment,$H55,
_xlpm._keyWord,Definitions!$AR$4,
_xlpm._diffLen,LEN(_xlpm._comment)-LEN(SUBSTITUTE(_xlpm._comment,_xlpm._keyWord,"")),
_xlpm._diffLen/LEN(_xlpm._keyWord))</f>
        <v>0</v>
      </c>
      <c r="Y55" s="12" cm="1">
        <f t="array" aca="1" ref="Y55" ca="1">CreateID($Y$3,IFERROR(FIND(Definitions!$AR$5,$H55)&gt;0,FALSE))</f>
        <v>0</v>
      </c>
      <c r="Z55" s="12">
        <f>_xlfn.LET(
_xlpm._comment,$H55,
_xlpm._keyWord,Definitions!$AR$5,
_xlpm._diffLen,LEN(_xlpm._comment)-LEN(SUBSTITUTE(_xlpm._comment,_xlpm._keyWord,"")),
_xlpm._diffLen/LEN(_xlpm._keyWord))</f>
        <v>0</v>
      </c>
      <c r="AA55" s="12" t="b">
        <f ca="1">OR(IFERROR(_xlfn.XMATCH("*,"&amp;$B55&amp;",*",Assumptions!$AH:$AH,2)&gt;0,FALSE),
IFERROR(_xlfn.XMATCH("*,"&amp;$B55&amp;",*",Countermeasures!$AK:$AK,2)&gt;0,FALSE))</f>
        <v>0</v>
      </c>
      <c r="AB55" s="12" t="str" cm="1">
        <f t="array" aca="1" ref="AB55" ca="1">CreateSearchString($J55)</f>
        <v>,QA16[],</v>
      </c>
      <c r="AC55" s="12" t="str" cm="1">
        <f t="array" ref="AC55">IF($F55="","",IFERROR(SimpleLookup($F55,Definitions!$H:$J),""))</f>
        <v/>
      </c>
      <c r="AD55" s="12" t="b" cm="1">
        <f t="array" aca="1" ref="AD55" ca="1">IF($B55="",FALSE,SimpleLookup($B55,Questions!$A:$D)="x")</f>
        <v>1</v>
      </c>
      <c r="AE55" s="12" t="str" cm="1">
        <f t="array" aca="1" ref="AE55" ca="1">IF(OR($B55="",NOT($AD55)),"",SimpleLookup($B55,Questions!$A:$E))</f>
        <v>'[QuBA-libre.xlsx]Definitions'!$A$4</v>
      </c>
      <c r="AF55" s="12" cm="1">
        <f t="array" aca="1" ref="AF55" ca="1">IF(OR($B55="",NOT($AD55)),"",SimpleLookup($B55,Questions!$A:$F))</f>
        <v>2</v>
      </c>
      <c r="AG55" s="12" t="str" cm="1">
        <f t="array" aca="1" ref="AG55" ca="1">_xlfn.LET(
_xlpm._answer,$D55,
_xlpm._infoTextFull,IF($AD55,CHAR(10)&amp;SimpleLookup($B55,Questions!$A:$H)&amp;CHAR(10),""),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55" s="12" t="b" cm="1">
        <f t="array" aca="1" ref="AH55" ca="1">IF(OR($B55="",NOT($AD55)),FALSE,_xlfn.LET(
_xlpm._secondAnswerRequiredOn,SimpleLookup($B55,Questions!$A:$I),
_xlpm._firstAnwer,$D55,
IFERROR(FIND(CHAR(10)&amp;_xlpm._firstAnwer&amp;":",CHAR(10)&amp;_xlpm._secondAnswerRequiredOn)&gt;0,FALSE)))</f>
        <v>0</v>
      </c>
      <c r="AI55" s="12" t="str" cm="1">
        <f t="array" aca="1" ref="AI55" ca="1">IF(OR($B55="",NOT($AD55)),"",_xlfn.LET(
_xlpm._id,$B55,
_xlpm._firstAnswer,$D55,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55" s="12" cm="1">
        <f t="array" aca="1" ref="AJ55" ca="1">IF(OR($B55="",NOT($AD55)),"",_xlfn.LET(
_xlpm._id,$B55,
_xlpm._firstAnswer,$D55,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0</v>
      </c>
      <c r="AK55" s="12" t="str" cm="1">
        <f t="array" aca="1" ref="AK55" ca="1">IF($AH55,_xlfn.LET(
_xlpm._answer,$F55,
_xlpm._infoTextFull,IF($AD55,CHAR(10)&amp;SimpleLookup($B55,Questions!$A:$L)&amp;CHAR(10),""),
_xlpm._startSelectedByAnswerOne,IF(_xlpm._infoTextFull="",0,FIND("___"&amp;$D55&amp;"___",_xlpm._infoTextFull)+LEN("___"&amp;$D55&amp;"___")),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55" s="12" t="b" cm="1">
        <f t="array" aca="1" ref="AL55" ca="1">IF(OR($B55="",NOT($AD55)),FALSE,SimpleLookup($B55,Questions!$A:$Q))</f>
        <v>0</v>
      </c>
      <c r="AM55" s="12" t="str" cm="1">
        <f t="array" aca="1" ref="AM55" ca="1">IF(AND($B55=Questions!$A$41,IFERROR(SimpleLookup(Questions!$A$36,$B:$F)=Definitions!$O$5,FALSE),$D55=Definitions!$A$5),
Questions!$A$36&amp;" "&amp;Questions!$B$36&amp;CHAR(10)&amp;CHAR(187)&amp;" "&amp;SimpleLookup(Questions!$A$36,$B:$D)&amp;CHAR(10)&amp;SimpleLookup(Questions!$A$36,$B:$E)&amp;CHAR(10)&amp;CHAR(187)&amp;" "&amp;Definitions!$O$5&amp;CHAR(10)&amp;CHAR(10)&amp;
"is incosistent with"&amp;CHAR(10)&amp;CHAR(10)&amp;
$B55&amp;" "&amp;SimpleLookup($B55,Questions!$A:$B)&amp;CHAR(10)&amp;CHAR(187)&amp;" "&amp;$D55,
"")</f>
        <v/>
      </c>
      <c r="AN55" s="12" cm="1">
        <f t="array" aca="1" ref="AN55" ca="1">CreateID($AN$3,$AM55&lt;&gt;"")</f>
        <v>0</v>
      </c>
      <c r="AO55" s="12" t="str">
        <f ca="1">IF(OR($D55="",OFFSET($D55,1,0)=""),"",
IF(AND($B55=Questions!$A$59,OFFSET($B55,1,0)=Questions!$A$60),
IF(MATCH($D55,Definitions!$AW:$AW,0)&gt;MATCH(OFFSET($D55,1,0),Definitions!AW:AW,0),$B55&amp;" "&amp;$L55&amp;": "&amp;$D55&amp;CHAR(10)&amp;"&lt;---&gt;"&amp;CHAR(10)&amp;OFFSET($B55,1,0)&amp;" "&amp;OFFSET($L55,1,0)&amp;": "&amp;OFFSET($D55,1,0),""),
""))</f>
        <v/>
      </c>
      <c r="AP55" s="12" cm="1">
        <f t="array" aca="1" ref="AP55" ca="1">CreateID($AP$3,$AO55&lt;&gt;"")</f>
        <v>0</v>
      </c>
      <c r="AQ55" s="12" t="str" cm="1">
        <f t="array" ref="AQ55">IF($B55=Questions!$A$18,
  _xlfn.LET(
    _xlpm._impactValue7,IFERROR(SimpleLookup(SimpleLookup($F55,Definitions!$H:$J),Definitions!$Q:$R),0),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"&amp;$F55&amp;CHAR(10)&amp;"&lt;---&gt;"&amp;CHAR(10)&amp;Questions!$A$30&amp;": "&amp;_xlpm._impactName14,
        ""))),
  "")</f>
        <v/>
      </c>
      <c r="AR55" s="12" cm="1">
        <f t="array" aca="1" ref="AR55" ca="1">CreateID($AR$3,$AQ55&lt;&gt;"")</f>
        <v>0</v>
      </c>
    </row>
    <row r="56" spans="1:44" ht="30" x14ac:dyDescent="0.25">
      <c r="A56" s="116" t="str">
        <f ca="1">HYPERLINK("#'"&amp;Helper!$G$22&amp;"'!A"&amp;MATCH($B56,'Answering Guideline'!$A:$A,0),Definitions!$AY$4)</f>
        <v>◈</v>
      </c>
      <c r="B56" s="68" t="s">
        <v>898</v>
      </c>
      <c r="C56" s="4" t="str" cm="1">
        <f t="array" aca="1" ref="C56" ca="1">IF($B56="","",CreateIndentedString($L56,Definitions!$T$4,SimpleLookup($B56,Questions!$A:$C)))</f>
        <v xml:space="preserve">   Does  the  product  have  debug  /  development
   interfaces  (e.g.,  JTAG,  root  access  over  ssh)?</v>
      </c>
      <c r="E56" s="7" t="str">
        <f t="shared" ca="1" si="14"/>
        <v/>
      </c>
      <c r="G56" s="7" t="str">
        <f t="shared" ca="1" si="15"/>
        <v/>
      </c>
      <c r="J56" s="12" t="str">
        <f t="shared" ca="1" si="6"/>
        <v>QA17[]</v>
      </c>
      <c r="K56" s="12" t="str">
        <f t="shared" ca="1" si="7"/>
        <v>QA17[]</v>
      </c>
      <c r="L56" s="12" t="str" cm="1">
        <f t="array" aca="1" ref="L56" ca="1">SimpleLookup($B56,Questions!$A:$B)</f>
        <v>Does the product have debug / development interfaces (e.g., JTAG, root access over ssh)?</v>
      </c>
      <c r="M56" s="12" cm="1">
        <f t="array" aca="1" ref="M56" ca="1">CreateID($M$3,AND($B56&lt;&gt;"",$AD56))</f>
        <v>35</v>
      </c>
      <c r="N56" s="12" cm="1">
        <f t="array" ref="N56">CreateTaskID($N$3,$N:$N,Tasks!$B$17,$H56)</f>
        <v>0</v>
      </c>
      <c r="O56" s="12" t="str">
        <f t="shared" ca="1" si="8"/>
        <v>QA17 Does the product have debug / development interfaces (e.g., JTAG, root access over ssh)?</v>
      </c>
      <c r="P56" s="12" cm="1">
        <f t="array" aca="1" ref="P56" ca="1">CreateID($P$3,$O56&lt;&gt;"")</f>
        <v>35</v>
      </c>
      <c r="Q56" s="12" t="str">
        <f t="shared" ca="1" si="9"/>
        <v/>
      </c>
      <c r="R56" s="12" cm="1">
        <f t="array" aca="1" ref="R56" ca="1">CreateID($R$3,$Q56&lt;&gt;"")</f>
        <v>0</v>
      </c>
      <c r="S56" s="12" t="str">
        <f t="shared" ca="1" si="10"/>
        <v/>
      </c>
      <c r="T56" s="12" cm="1">
        <f t="array" aca="1" ref="T56" ca="1">CreateID($T$3,$S56&lt;&gt;"")</f>
        <v>0</v>
      </c>
      <c r="U56" s="12" t="str">
        <f t="shared" ca="1" si="11"/>
        <v/>
      </c>
      <c r="V56" s="12" cm="1">
        <f t="array" aca="1" ref="V56" ca="1">CreateID($V$3,$U56&lt;&gt;"")</f>
        <v>0</v>
      </c>
      <c r="W56" s="12" cm="1">
        <f t="array" aca="1" ref="W56" ca="1">CreateID($W$3,IFERROR(FIND(Definitions!$AR$4,$H56)&gt;0,FALSE))</f>
        <v>0</v>
      </c>
      <c r="X56" s="12">
        <f>_xlfn.LET(
_xlpm._comment,$H56,
_xlpm._keyWord,Definitions!$AR$4,
_xlpm._diffLen,LEN(_xlpm._comment)-LEN(SUBSTITUTE(_xlpm._comment,_xlpm._keyWord,"")),
_xlpm._diffLen/LEN(_xlpm._keyWord))</f>
        <v>0</v>
      </c>
      <c r="Y56" s="12" cm="1">
        <f t="array" aca="1" ref="Y56" ca="1">CreateID($Y$3,IFERROR(FIND(Definitions!$AR$5,$H56)&gt;0,FALSE))</f>
        <v>0</v>
      </c>
      <c r="Z56" s="12">
        <f>_xlfn.LET(
_xlpm._comment,$H56,
_xlpm._keyWord,Definitions!$AR$5,
_xlpm._diffLen,LEN(_xlpm._comment)-LEN(SUBSTITUTE(_xlpm._comment,_xlpm._keyWord,"")),
_xlpm._diffLen/LEN(_xlpm._keyWord))</f>
        <v>0</v>
      </c>
      <c r="AA56" s="12" t="b">
        <f ca="1">OR(IFERROR(_xlfn.XMATCH("*,"&amp;$B56&amp;",*",Assumptions!$AH:$AH,2)&gt;0,FALSE),
IFERROR(_xlfn.XMATCH("*,"&amp;$B56&amp;",*",Countermeasures!$AK:$AK,2)&gt;0,FALSE))</f>
        <v>0</v>
      </c>
      <c r="AB56" s="12" t="str" cm="1">
        <f t="array" aca="1" ref="AB56" ca="1">CreateSearchString($J56)</f>
        <v>,QA17[],</v>
      </c>
      <c r="AC56" s="12" t="str" cm="1">
        <f t="array" ref="AC56">IF($F56="","",IFERROR(SimpleLookup($F56,Definitions!$H:$J),""))</f>
        <v/>
      </c>
      <c r="AD56" s="12" t="b" cm="1">
        <f t="array" aca="1" ref="AD56" ca="1">IF($B56="",FALSE,SimpleLookup($B56,Questions!$A:$D)="x")</f>
        <v>1</v>
      </c>
      <c r="AE56" s="12" t="str" cm="1">
        <f t="array" aca="1" ref="AE56" ca="1">IF(OR($B56="",NOT($AD56)),"",SimpleLookup($B56,Questions!$A:$E))</f>
        <v>'[QuBA-libre.xlsx]Definitions'!$A$4</v>
      </c>
      <c r="AF56" s="12" cm="1">
        <f t="array" aca="1" ref="AF56" ca="1">IF(OR($B56="",NOT($AD56)),"",SimpleLookup($B56,Questions!$A:$F))</f>
        <v>2</v>
      </c>
      <c r="AG56" s="12" t="str" cm="1">
        <f t="array" aca="1" ref="AG56" ca="1">_xlfn.LET(
_xlpm._answer,$D56,
_xlpm._infoTextFull,IF($AD56,CHAR(10)&amp;SimpleLookup($B56,Questions!$A:$H)&amp;CHAR(10),""),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56" s="12" t="b" cm="1">
        <f t="array" aca="1" ref="AH56" ca="1">IF(OR($B56="",NOT($AD56)),FALSE,_xlfn.LET(
_xlpm._secondAnswerRequiredOn,SimpleLookup($B56,Questions!$A:$I),
_xlpm._firstAnwer,$D56,
IFERROR(FIND(CHAR(10)&amp;_xlpm._firstAnwer&amp;":",CHAR(10)&amp;_xlpm._secondAnswerRequiredOn)&gt;0,FALSE)))</f>
        <v>0</v>
      </c>
      <c r="AI56" s="12" t="str" cm="1">
        <f t="array" aca="1" ref="AI56" ca="1">IF(OR($B56="",NOT($AD56)),"",_xlfn.LET(
_xlpm._id,$B56,
_xlpm._firstAnswer,$D56,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'[QuBA-libre.xlsx]Definitions'!$A$4</v>
      </c>
      <c r="AJ56" s="12" cm="1">
        <f t="array" aca="1" ref="AJ56" ca="1">IF(OR($B56="",NOT($AD56)),"",_xlfn.LET(
_xlpm._id,$B56,
_xlpm._firstAnswer,$D56,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2</v>
      </c>
      <c r="AK56" s="12" t="str" cm="1">
        <f t="array" aca="1" ref="AK56" ca="1">IF($AH56,_xlfn.LET(
_xlpm._answer,$F56,
_xlpm._infoTextFull,IF($AD56,CHAR(10)&amp;SimpleLookup($B56,Questions!$A:$L)&amp;CHAR(10),""),
_xlpm._startSelectedByAnswerOne,IF(_xlpm._infoTextFull="",0,FIND("___"&amp;$D56&amp;"___",_xlpm._infoTextFull)+LEN("___"&amp;$D56&amp;"___")),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56" s="12" t="b" cm="1">
        <f t="array" aca="1" ref="AL56" ca="1">IF(OR($B56="",NOT($AD56)),FALSE,SimpleLookup($B56,Questions!$A:$Q))</f>
        <v>0</v>
      </c>
      <c r="AM56" s="12" t="str" cm="1">
        <f t="array" aca="1" ref="AM56" ca="1">IF(AND($B56=Questions!$A$41,IFERROR(SimpleLookup(Questions!$A$36,$B:$F)=Definitions!$O$5,FALSE),$D56=Definitions!$A$5),
Questions!$A$36&amp;" "&amp;Questions!$B$36&amp;CHAR(10)&amp;CHAR(187)&amp;" "&amp;SimpleLookup(Questions!$A$36,$B:$D)&amp;CHAR(10)&amp;SimpleLookup(Questions!$A$36,$B:$E)&amp;CHAR(10)&amp;CHAR(187)&amp;" "&amp;Definitions!$O$5&amp;CHAR(10)&amp;CHAR(10)&amp;
"is incosistent with"&amp;CHAR(10)&amp;CHAR(10)&amp;
$B56&amp;" "&amp;SimpleLookup($B56,Questions!$A:$B)&amp;CHAR(10)&amp;CHAR(187)&amp;" "&amp;$D56,
"")</f>
        <v/>
      </c>
      <c r="AN56" s="12" cm="1">
        <f t="array" aca="1" ref="AN56" ca="1">CreateID($AN$3,$AM56&lt;&gt;"")</f>
        <v>0</v>
      </c>
      <c r="AO56" s="12" t="str">
        <f ca="1">IF(OR($D56="",OFFSET($D56,1,0)=""),"",
IF(AND($B56=Questions!$A$59,OFFSET($B56,1,0)=Questions!$A$60),
IF(MATCH($D56,Definitions!$AW:$AW,0)&gt;MATCH(OFFSET($D56,1,0),Definitions!AW:AW,0),$B56&amp;" "&amp;$L56&amp;": "&amp;$D56&amp;CHAR(10)&amp;"&lt;---&gt;"&amp;CHAR(10)&amp;OFFSET($B56,1,0)&amp;" "&amp;OFFSET($L56,1,0)&amp;": "&amp;OFFSET($D56,1,0),""),
""))</f>
        <v/>
      </c>
      <c r="AP56" s="12" cm="1">
        <f t="array" aca="1" ref="AP56" ca="1">CreateID($AP$3,$AO56&lt;&gt;"")</f>
        <v>0</v>
      </c>
      <c r="AQ56" s="12" t="str" cm="1">
        <f t="array" ref="AQ56">IF($B56=Questions!$A$18,
  _xlfn.LET(
    _xlpm._impactValue7,IFERROR(SimpleLookup(SimpleLookup($F56,Definitions!$H:$J),Definitions!$Q:$R),0),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"&amp;$F56&amp;CHAR(10)&amp;"&lt;---&gt;"&amp;CHAR(10)&amp;Questions!$A$30&amp;": "&amp;_xlpm._impactName14,
        ""))),
  "")</f>
        <v/>
      </c>
      <c r="AR56" s="12" cm="1">
        <f t="array" aca="1" ref="AR56" ca="1">CreateID($AR$3,$AQ56&lt;&gt;"")</f>
        <v>0</v>
      </c>
    </row>
    <row r="57" spans="1:44" x14ac:dyDescent="0.25">
      <c r="A57" s="116" t="str">
        <f ca="1">HYPERLINK("#'"&amp;Helper!$G$22&amp;"'!A"&amp;MATCH($B57,'Answering Guideline'!$A:$A,0),Definitions!$AY$4)</f>
        <v>◈</v>
      </c>
      <c r="B57" s="68" t="s">
        <v>964</v>
      </c>
      <c r="C57" s="4" t="str" cm="1">
        <f t="array" aca="1" ref="C57" ca="1">IF($B57="","",CreateIndentedString($L57,Definitions!$T$4,SimpleLookup($B57,Questions!$A:$C)))</f>
        <v>Is  the  product  produced  in  a  secure  environment?</v>
      </c>
      <c r="E57" s="7" t="str">
        <f t="shared" ca="1" si="14"/>
        <v/>
      </c>
      <c r="G57" s="7" t="str">
        <f t="shared" ca="1" si="15"/>
        <v/>
      </c>
      <c r="J57" s="12" t="str">
        <f t="shared" ca="1" si="6"/>
        <v>QA18[]</v>
      </c>
      <c r="K57" s="12" t="str">
        <f t="shared" ca="1" si="7"/>
        <v>QA18[]</v>
      </c>
      <c r="L57" s="12" t="str" cm="1">
        <f t="array" aca="1" ref="L57" ca="1">SimpleLookup($B57,Questions!$A:$B)</f>
        <v>Is the product produced in a secure environment?</v>
      </c>
      <c r="M57" s="12" cm="1">
        <f t="array" aca="1" ref="M57" ca="1">CreateID($M$3,AND($B57&lt;&gt;"",$AD57))</f>
        <v>36</v>
      </c>
      <c r="N57" s="12" cm="1">
        <f t="array" ref="N57">CreateTaskID($N$3,$N:$N,Tasks!$B$17,$H57)</f>
        <v>0</v>
      </c>
      <c r="O57" s="12" t="str">
        <f t="shared" ca="1" si="8"/>
        <v>QA18 Is the product produced in a secure environment?</v>
      </c>
      <c r="P57" s="12" cm="1">
        <f t="array" aca="1" ref="P57" ca="1">CreateID($P$3,$O57&lt;&gt;"")</f>
        <v>36</v>
      </c>
      <c r="Q57" s="12" t="str">
        <f t="shared" ca="1" si="9"/>
        <v/>
      </c>
      <c r="R57" s="12" cm="1">
        <f t="array" aca="1" ref="R57" ca="1">CreateID($R$3,$Q57&lt;&gt;"")</f>
        <v>0</v>
      </c>
      <c r="S57" s="12" t="str">
        <f t="shared" ca="1" si="10"/>
        <v/>
      </c>
      <c r="T57" s="12" cm="1">
        <f t="array" aca="1" ref="T57" ca="1">CreateID($T$3,$S57&lt;&gt;"")</f>
        <v>0</v>
      </c>
      <c r="U57" s="12" t="str">
        <f t="shared" ca="1" si="11"/>
        <v/>
      </c>
      <c r="V57" s="12" cm="1">
        <f t="array" aca="1" ref="V57" ca="1">CreateID($V$3,$U57&lt;&gt;"")</f>
        <v>0</v>
      </c>
      <c r="W57" s="12" cm="1">
        <f t="array" aca="1" ref="W57" ca="1">CreateID($W$3,IFERROR(FIND(Definitions!$AR$4,$H57)&gt;0,FALSE))</f>
        <v>0</v>
      </c>
      <c r="X57" s="12">
        <f>_xlfn.LET(
_xlpm._comment,$H57,
_xlpm._keyWord,Definitions!$AR$4,
_xlpm._diffLen,LEN(_xlpm._comment)-LEN(SUBSTITUTE(_xlpm._comment,_xlpm._keyWord,"")),
_xlpm._diffLen/LEN(_xlpm._keyWord))</f>
        <v>0</v>
      </c>
      <c r="Y57" s="12" cm="1">
        <f t="array" aca="1" ref="Y57" ca="1">CreateID($Y$3,IFERROR(FIND(Definitions!$AR$5,$H57)&gt;0,FALSE))</f>
        <v>0</v>
      </c>
      <c r="Z57" s="12">
        <f>_xlfn.LET(
_xlpm._comment,$H57,
_xlpm._keyWord,Definitions!$AR$5,
_xlpm._diffLen,LEN(_xlpm._comment)-LEN(SUBSTITUTE(_xlpm._comment,_xlpm._keyWord,"")),
_xlpm._diffLen/LEN(_xlpm._keyWord))</f>
        <v>0</v>
      </c>
      <c r="AA57" s="12" t="b">
        <f ca="1">OR(IFERROR(_xlfn.XMATCH("*,"&amp;$B57&amp;",*",Assumptions!$AH:$AH,2)&gt;0,FALSE),
IFERROR(_xlfn.XMATCH("*,"&amp;$B57&amp;",*",Countermeasures!$AK:$AK,2)&gt;0,FALSE))</f>
        <v>0</v>
      </c>
      <c r="AB57" s="12" t="str" cm="1">
        <f t="array" aca="1" ref="AB57" ca="1">CreateSearchString($J57)</f>
        <v>,QA18[],</v>
      </c>
      <c r="AC57" s="12" t="str" cm="1">
        <f t="array" ref="AC57">IF($F57="","",IFERROR(SimpleLookup($F57,Definitions!$H:$J),""))</f>
        <v/>
      </c>
      <c r="AD57" s="12" t="b" cm="1">
        <f t="array" aca="1" ref="AD57" ca="1">IF($B57="",FALSE,SimpleLookup($B57,Questions!$A:$D)="x")</f>
        <v>1</v>
      </c>
      <c r="AE57" s="12" t="str" cm="1">
        <f t="array" aca="1" ref="AE57" ca="1">IF(OR($B57="",NOT($AD57)),"",SimpleLookup($B57,Questions!$A:$E))</f>
        <v>'[QuBA-libre.xlsx]Definitions'!$A$4</v>
      </c>
      <c r="AF57" s="12" cm="1">
        <f t="array" aca="1" ref="AF57" ca="1">IF(OR($B57="",NOT($AD57)),"",SimpleLookup($B57,Questions!$A:$F))</f>
        <v>2</v>
      </c>
      <c r="AG57" s="12" t="str" cm="1">
        <f t="array" aca="1" ref="AG57" ca="1">_xlfn.LET(
_xlpm._answer,$D57,
_xlpm._infoTextFull,IF($AD57,CHAR(10)&amp;SimpleLookup($B57,Questions!$A:$H)&amp;CHAR(10),""),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57" s="12" t="b" cm="1">
        <f t="array" aca="1" ref="AH57" ca="1">IF(OR($B57="",NOT($AD57)),FALSE,_xlfn.LET(
_xlpm._secondAnswerRequiredOn,SimpleLookup($B57,Questions!$A:$I),
_xlpm._firstAnwer,$D57,
IFERROR(FIND(CHAR(10)&amp;_xlpm._firstAnwer&amp;":",CHAR(10)&amp;_xlpm._secondAnswerRequiredOn)&gt;0,FALSE)))</f>
        <v>0</v>
      </c>
      <c r="AI57" s="12" t="str" cm="1">
        <f t="array" aca="1" ref="AI57" ca="1">IF(OR($B57="",NOT($AD57)),"",_xlfn.LET(
_xlpm._id,$B57,
_xlpm._firstAnswer,$D57,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57" s="12" cm="1">
        <f t="array" aca="1" ref="AJ57" ca="1">IF(OR($B57="",NOT($AD57)),"",_xlfn.LET(
_xlpm._id,$B57,
_xlpm._firstAnswer,$D57,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0</v>
      </c>
      <c r="AK57" s="12" t="str" cm="1">
        <f t="array" aca="1" ref="AK57" ca="1">IF($AH57,_xlfn.LET(
_xlpm._answer,$F57,
_xlpm._infoTextFull,IF($AD57,CHAR(10)&amp;SimpleLookup($B57,Questions!$A:$L)&amp;CHAR(10),""),
_xlpm._startSelectedByAnswerOne,IF(_xlpm._infoTextFull="",0,FIND("___"&amp;$D57&amp;"___",_xlpm._infoTextFull)+LEN("___"&amp;$D57&amp;"___")),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57" s="12" t="b" cm="1">
        <f t="array" aca="1" ref="AL57" ca="1">IF(OR($B57="",NOT($AD57)),FALSE,SimpleLookup($B57,Questions!$A:$Q))</f>
        <v>0</v>
      </c>
      <c r="AM57" s="12" t="str" cm="1">
        <f t="array" aca="1" ref="AM57" ca="1">IF(AND($B57=Questions!$A$41,IFERROR(SimpleLookup(Questions!$A$36,$B:$F)=Definitions!$O$5,FALSE),$D57=Definitions!$A$5),
Questions!$A$36&amp;" "&amp;Questions!$B$36&amp;CHAR(10)&amp;CHAR(187)&amp;" "&amp;SimpleLookup(Questions!$A$36,$B:$D)&amp;CHAR(10)&amp;SimpleLookup(Questions!$A$36,$B:$E)&amp;CHAR(10)&amp;CHAR(187)&amp;" "&amp;Definitions!$O$5&amp;CHAR(10)&amp;CHAR(10)&amp;
"is incosistent with"&amp;CHAR(10)&amp;CHAR(10)&amp;
$B57&amp;" "&amp;SimpleLookup($B57,Questions!$A:$B)&amp;CHAR(10)&amp;CHAR(187)&amp;" "&amp;$D57,
"")</f>
        <v/>
      </c>
      <c r="AN57" s="12" cm="1">
        <f t="array" aca="1" ref="AN57" ca="1">CreateID($AN$3,$AM57&lt;&gt;"")</f>
        <v>0</v>
      </c>
      <c r="AO57" s="12" t="str">
        <f ca="1">IF(OR($D57="",OFFSET($D57,1,0)=""),"",
IF(AND($B57=Questions!$A$59,OFFSET($B57,1,0)=Questions!$A$60),
IF(MATCH($D57,Definitions!$AW:$AW,0)&gt;MATCH(OFFSET($D57,1,0),Definitions!AW:AW,0),$B57&amp;" "&amp;$L57&amp;": "&amp;$D57&amp;CHAR(10)&amp;"&lt;---&gt;"&amp;CHAR(10)&amp;OFFSET($B57,1,0)&amp;" "&amp;OFFSET($L57,1,0)&amp;": "&amp;OFFSET($D57,1,0),""),
""))</f>
        <v/>
      </c>
      <c r="AP57" s="12" cm="1">
        <f t="array" aca="1" ref="AP57" ca="1">CreateID($AP$3,$AO57&lt;&gt;"")</f>
        <v>0</v>
      </c>
      <c r="AQ57" s="12" t="str" cm="1">
        <f t="array" ref="AQ57">IF($B57=Questions!$A$18,
  _xlfn.LET(
    _xlpm._impactValue7,IFERROR(SimpleLookup(SimpleLookup($F57,Definitions!$H:$J),Definitions!$Q:$R),0),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"&amp;$F57&amp;CHAR(10)&amp;"&lt;---&gt;"&amp;CHAR(10)&amp;Questions!$A$30&amp;": "&amp;_xlpm._impactName14,
        ""))),
  "")</f>
        <v/>
      </c>
      <c r="AR57" s="12" cm="1">
        <f t="array" aca="1" ref="AR57" ca="1">CreateID($AR$3,$AQ57&lt;&gt;"")</f>
        <v>0</v>
      </c>
    </row>
    <row r="58" spans="1:44" ht="30" x14ac:dyDescent="0.25">
      <c r="A58" s="116" t="str">
        <f ca="1">HYPERLINK("#'"&amp;Helper!$G$22&amp;"'!A"&amp;MATCH($B58,'Answering Guideline'!$A:$A,0),Definitions!$AY$4)</f>
        <v>◈</v>
      </c>
      <c r="B58" s="68" t="s">
        <v>965</v>
      </c>
      <c r="C58" s="4" t="str" cm="1">
        <f t="array" aca="1" ref="C58" ca="1">IF($B58="","",CreateIndentedString($L58,Definitions!$T$4,SimpleLookup($B58,Questions!$A:$C)))</f>
        <v>Are  the  supply  chain  partners  trustworthy  and
protected  against  attacks?</v>
      </c>
      <c r="E58" s="7" t="str">
        <f t="shared" ca="1" si="14"/>
        <v/>
      </c>
      <c r="G58" s="7" t="str">
        <f t="shared" ca="1" si="15"/>
        <v/>
      </c>
      <c r="J58" s="12" t="str">
        <f t="shared" ca="1" si="6"/>
        <v>QA19[]</v>
      </c>
      <c r="K58" s="12" t="str">
        <f t="shared" ca="1" si="7"/>
        <v>QA19[]</v>
      </c>
      <c r="L58" s="12" t="str" cm="1">
        <f t="array" aca="1" ref="L58" ca="1">SimpleLookup($B58,Questions!$A:$B)</f>
        <v>Are the supply chain partners trustworthy and protected against attacks?</v>
      </c>
      <c r="M58" s="12" cm="1">
        <f t="array" aca="1" ref="M58" ca="1">CreateID($M$3,AND($B58&lt;&gt;"",$AD58))</f>
        <v>37</v>
      </c>
      <c r="N58" s="12" cm="1">
        <f t="array" ref="N58">CreateTaskID($N$3,$N:$N,Tasks!$B$17,$H58)</f>
        <v>0</v>
      </c>
      <c r="O58" s="12" t="str">
        <f t="shared" ca="1" si="8"/>
        <v>QA19 Are the supply chain partners trustworthy and protected against attacks?</v>
      </c>
      <c r="P58" s="12" cm="1">
        <f t="array" aca="1" ref="P58" ca="1">CreateID($P$3,$O58&lt;&gt;"")</f>
        <v>37</v>
      </c>
      <c r="Q58" s="12" t="str">
        <f t="shared" ca="1" si="9"/>
        <v/>
      </c>
      <c r="R58" s="12" cm="1">
        <f t="array" aca="1" ref="R58" ca="1">CreateID($R$3,$Q58&lt;&gt;"")</f>
        <v>0</v>
      </c>
      <c r="S58" s="12" t="str">
        <f t="shared" ca="1" si="10"/>
        <v/>
      </c>
      <c r="T58" s="12" cm="1">
        <f t="array" aca="1" ref="T58" ca="1">CreateID($T$3,$S58&lt;&gt;"")</f>
        <v>0</v>
      </c>
      <c r="U58" s="12" t="str">
        <f t="shared" ca="1" si="11"/>
        <v/>
      </c>
      <c r="V58" s="12" cm="1">
        <f t="array" aca="1" ref="V58" ca="1">CreateID($V$3,$U58&lt;&gt;"")</f>
        <v>0</v>
      </c>
      <c r="W58" s="12" cm="1">
        <f t="array" aca="1" ref="W58" ca="1">CreateID($W$3,IFERROR(FIND(Definitions!$AR$4,$H58)&gt;0,FALSE))</f>
        <v>0</v>
      </c>
      <c r="X58" s="12">
        <f>_xlfn.LET(
_xlpm._comment,$H58,
_xlpm._keyWord,Definitions!$AR$4,
_xlpm._diffLen,LEN(_xlpm._comment)-LEN(SUBSTITUTE(_xlpm._comment,_xlpm._keyWord,"")),
_xlpm._diffLen/LEN(_xlpm._keyWord))</f>
        <v>0</v>
      </c>
      <c r="Y58" s="12" cm="1">
        <f t="array" aca="1" ref="Y58" ca="1">CreateID($Y$3,IFERROR(FIND(Definitions!$AR$5,$H58)&gt;0,FALSE))</f>
        <v>0</v>
      </c>
      <c r="Z58" s="12">
        <f>_xlfn.LET(
_xlpm._comment,$H58,
_xlpm._keyWord,Definitions!$AR$5,
_xlpm._diffLen,LEN(_xlpm._comment)-LEN(SUBSTITUTE(_xlpm._comment,_xlpm._keyWord,"")),
_xlpm._diffLen/LEN(_xlpm._keyWord))</f>
        <v>0</v>
      </c>
      <c r="AA58" s="12" t="b">
        <f ca="1">OR(IFERROR(_xlfn.XMATCH("*,"&amp;$B58&amp;",*",Assumptions!$AH:$AH,2)&gt;0,FALSE),
IFERROR(_xlfn.XMATCH("*,"&amp;$B58&amp;",*",Countermeasures!$AK:$AK,2)&gt;0,FALSE))</f>
        <v>0</v>
      </c>
      <c r="AB58" s="12" t="str" cm="1">
        <f t="array" aca="1" ref="AB58" ca="1">CreateSearchString($J58)</f>
        <v>,QA19[],</v>
      </c>
      <c r="AC58" s="12" t="str" cm="1">
        <f t="array" ref="AC58">IF($F58="","",IFERROR(SimpleLookup($F58,Definitions!$H:$J),""))</f>
        <v/>
      </c>
      <c r="AD58" s="12" t="b" cm="1">
        <f t="array" aca="1" ref="AD58" ca="1">IF($B58="",FALSE,SimpleLookup($B58,Questions!$A:$D)="x")</f>
        <v>1</v>
      </c>
      <c r="AE58" s="12" t="str" cm="1">
        <f t="array" aca="1" ref="AE58" ca="1">IF(OR($B58="",NOT($AD58)),"",SimpleLookup($B58,Questions!$A:$E))</f>
        <v>'[QuBA-libre.xlsx]Definitions'!$BF$4</v>
      </c>
      <c r="AF58" s="12" cm="1">
        <f t="array" aca="1" ref="AF58" ca="1">IF(OR($B58="",NOT($AD58)),"",SimpleLookup($B58,Questions!$A:$F))</f>
        <v>3</v>
      </c>
      <c r="AG58" s="12" t="str" cm="1">
        <f t="array" aca="1" ref="AG58" ca="1">_xlfn.LET(
_xlpm._answer,$D58,
_xlpm._infoTextFull,IF($AD58,CHAR(10)&amp;SimpleLookup($B58,Questions!$A:$H)&amp;CHAR(10),""),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58" s="12" t="b" cm="1">
        <f t="array" aca="1" ref="AH58" ca="1">IF(OR($B58="",NOT($AD58)),FALSE,_xlfn.LET(
_xlpm._secondAnswerRequiredOn,SimpleLookup($B58,Questions!$A:$I),
_xlpm._firstAnwer,$D58,
IFERROR(FIND(CHAR(10)&amp;_xlpm._firstAnwer&amp;":",CHAR(10)&amp;_xlpm._secondAnswerRequiredOn)&gt;0,FALSE)))</f>
        <v>0</v>
      </c>
      <c r="AI58" s="12" t="str" cm="1">
        <f t="array" aca="1" ref="AI58" ca="1">IF(OR($B58="",NOT($AD58)),"",_xlfn.LET(
_xlpm._id,$B58,
_xlpm._firstAnswer,$D58,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'[QuBA-libre.xlsx]Definitions'!$A$4</v>
      </c>
      <c r="AJ58" s="12" cm="1">
        <f t="array" aca="1" ref="AJ58" ca="1">IF(OR($B58="",NOT($AD58)),"",_xlfn.LET(
_xlpm._id,$B58,
_xlpm._firstAnswer,$D58,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2</v>
      </c>
      <c r="AK58" s="12" t="str" cm="1">
        <f t="array" aca="1" ref="AK58" ca="1">IF($AH58,_xlfn.LET(
_xlpm._answer,$F58,
_xlpm._infoTextFull,IF($AD58,CHAR(10)&amp;SimpleLookup($B58,Questions!$A:$L)&amp;CHAR(10),""),
_xlpm._startSelectedByAnswerOne,IF(_xlpm._infoTextFull="",0,FIND("___"&amp;$D58&amp;"___",_xlpm._infoTextFull)+LEN("___"&amp;$D58&amp;"___")),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58" s="12" t="b" cm="1">
        <f t="array" aca="1" ref="AL58" ca="1">IF(OR($B58="",NOT($AD58)),FALSE,SimpleLookup($B58,Questions!$A:$Q))</f>
        <v>0</v>
      </c>
      <c r="AM58" s="12" t="str" cm="1">
        <f t="array" aca="1" ref="AM58" ca="1">IF(AND($B58=Questions!$A$41,IFERROR(SimpleLookup(Questions!$A$36,$B:$F)=Definitions!$O$5,FALSE),$D58=Definitions!$A$5),
Questions!$A$36&amp;" "&amp;Questions!$B$36&amp;CHAR(10)&amp;CHAR(187)&amp;" "&amp;SimpleLookup(Questions!$A$36,$B:$D)&amp;CHAR(10)&amp;SimpleLookup(Questions!$A$36,$B:$E)&amp;CHAR(10)&amp;CHAR(187)&amp;" "&amp;Definitions!$O$5&amp;CHAR(10)&amp;CHAR(10)&amp;
"is incosistent with"&amp;CHAR(10)&amp;CHAR(10)&amp;
$B58&amp;" "&amp;SimpleLookup($B58,Questions!$A:$B)&amp;CHAR(10)&amp;CHAR(187)&amp;" "&amp;$D58,
"")</f>
        <v/>
      </c>
      <c r="AN58" s="12" cm="1">
        <f t="array" aca="1" ref="AN58" ca="1">CreateID($AN$3,$AM58&lt;&gt;"")</f>
        <v>0</v>
      </c>
      <c r="AO58" s="12" t="str">
        <f ca="1">IF(OR($D58="",OFFSET($D58,1,0)=""),"",
IF(AND($B58=Questions!$A$59,OFFSET($B58,1,0)=Questions!$A$60),
IF(MATCH($D58,Definitions!$AW:$AW,0)&gt;MATCH(OFFSET($D58,1,0),Definitions!AW:AW,0),$B58&amp;" "&amp;$L58&amp;": "&amp;$D58&amp;CHAR(10)&amp;"&lt;---&gt;"&amp;CHAR(10)&amp;OFFSET($B58,1,0)&amp;" "&amp;OFFSET($L58,1,0)&amp;": "&amp;OFFSET($D58,1,0),""),
""))</f>
        <v/>
      </c>
      <c r="AP58" s="12" cm="1">
        <f t="array" aca="1" ref="AP58" ca="1">CreateID($AP$3,$AO58&lt;&gt;"")</f>
        <v>0</v>
      </c>
      <c r="AQ58" s="12" t="str" cm="1">
        <f t="array" ref="AQ58">IF($B58=Questions!$A$18,
  _xlfn.LET(
    _xlpm._impactValue7,IFERROR(SimpleLookup(SimpleLookup($F58,Definitions!$H:$J),Definitions!$Q:$R),0),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"&amp;$F58&amp;CHAR(10)&amp;"&lt;---&gt;"&amp;CHAR(10)&amp;Questions!$A$30&amp;": "&amp;_xlpm._impactName14,
        ""))),
  "")</f>
        <v/>
      </c>
      <c r="AR58" s="12" cm="1">
        <f t="array" aca="1" ref="AR58" ca="1">CreateID($AR$3,$AQ58&lt;&gt;"")</f>
        <v>0</v>
      </c>
    </row>
    <row r="59" spans="1:44" x14ac:dyDescent="0.25">
      <c r="A59" s="116" t="str">
        <f ca="1">HYPERLINK("#'"&amp;Helper!$G$22&amp;"'!A"&amp;MATCH($B59,'Answering Guideline'!$A:$A,0),Definitions!$AY$4)</f>
        <v>◈</v>
      </c>
      <c r="B59" s="68" t="s">
        <v>1084</v>
      </c>
      <c r="C59" s="4" t="str" cm="1">
        <f t="array" aca="1" ref="C59" ca="1">IF($B59="","",CreateIndentedString($L59,Definitions!$T$4,SimpleLookup($B59,Questions!$A:$C)))</f>
        <v>What  is  the  product's  expected  lifetime?</v>
      </c>
      <c r="E59" s="7" t="str">
        <f t="shared" ca="1" si="14"/>
        <v/>
      </c>
      <c r="G59" s="7" t="str">
        <f t="shared" ca="1" si="15"/>
        <v/>
      </c>
      <c r="J59" s="12" t="str">
        <f t="shared" ca="1" si="6"/>
        <v>QA20[]</v>
      </c>
      <c r="K59" s="12" t="str">
        <f t="shared" ca="1" si="7"/>
        <v>QA20[]</v>
      </c>
      <c r="L59" s="12" t="str" cm="1">
        <f t="array" aca="1" ref="L59" ca="1">SimpleLookup($B59,Questions!$A:$B)</f>
        <v>What is the product's expected lifetime?</v>
      </c>
      <c r="M59" s="12" cm="1">
        <f t="array" aca="1" ref="M59" ca="1">CreateID($M$3,AND($B59&lt;&gt;"",$AD59))</f>
        <v>38</v>
      </c>
      <c r="N59" s="12" cm="1">
        <f t="array" ref="N59">CreateTaskID($N$3,$N:$N,Tasks!$B$17,$H59)</f>
        <v>0</v>
      </c>
      <c r="O59" s="12" t="str">
        <f t="shared" ca="1" si="8"/>
        <v>QA20 What is the product's expected lifetime?</v>
      </c>
      <c r="P59" s="12" cm="1">
        <f t="array" aca="1" ref="P59" ca="1">CreateID($P$3,$O59&lt;&gt;"")</f>
        <v>38</v>
      </c>
      <c r="Q59" s="12" t="str">
        <f t="shared" ca="1" si="9"/>
        <v/>
      </c>
      <c r="R59" s="12" cm="1">
        <f t="array" aca="1" ref="R59" ca="1">CreateID($R$3,$Q59&lt;&gt;"")</f>
        <v>0</v>
      </c>
      <c r="S59" s="12" t="str">
        <f t="shared" ca="1" si="10"/>
        <v/>
      </c>
      <c r="T59" s="12" cm="1">
        <f t="array" aca="1" ref="T59" ca="1">CreateID($T$3,$S59&lt;&gt;"")</f>
        <v>0</v>
      </c>
      <c r="U59" s="12" t="str">
        <f t="shared" ca="1" si="11"/>
        <v/>
      </c>
      <c r="V59" s="12" cm="1">
        <f t="array" aca="1" ref="V59" ca="1">CreateID($V$3,$U59&lt;&gt;"")</f>
        <v>0</v>
      </c>
      <c r="W59" s="12" cm="1">
        <f t="array" aca="1" ref="W59" ca="1">CreateID($W$3,IFERROR(FIND(Definitions!$AR$4,$H59)&gt;0,FALSE))</f>
        <v>0</v>
      </c>
      <c r="X59" s="12">
        <f>_xlfn.LET(
_xlpm._comment,$H59,
_xlpm._keyWord,Definitions!$AR$4,
_xlpm._diffLen,LEN(_xlpm._comment)-LEN(SUBSTITUTE(_xlpm._comment,_xlpm._keyWord,"")),
_xlpm._diffLen/LEN(_xlpm._keyWord))</f>
        <v>0</v>
      </c>
      <c r="Y59" s="12" cm="1">
        <f t="array" aca="1" ref="Y59" ca="1">CreateID($Y$3,IFERROR(FIND(Definitions!$AR$5,$H59)&gt;0,FALSE))</f>
        <v>0</v>
      </c>
      <c r="Z59" s="12">
        <f>_xlfn.LET(
_xlpm._comment,$H59,
_xlpm._keyWord,Definitions!$AR$5,
_xlpm._diffLen,LEN(_xlpm._comment)-LEN(SUBSTITUTE(_xlpm._comment,_xlpm._keyWord,"")),
_xlpm._diffLen/LEN(_xlpm._keyWord))</f>
        <v>0</v>
      </c>
      <c r="AA59" s="12" t="b">
        <f ca="1">OR(IFERROR(_xlfn.XMATCH("*,"&amp;$B59&amp;",*",Assumptions!$AH:$AH,2)&gt;0,FALSE),
IFERROR(_xlfn.XMATCH("*,"&amp;$B59&amp;",*",Countermeasures!$AK:$AK,2)&gt;0,FALSE))</f>
        <v>0</v>
      </c>
      <c r="AB59" s="12" t="str" cm="1">
        <f t="array" aca="1" ref="AB59" ca="1">CreateSearchString($J59)</f>
        <v>,QA20[],</v>
      </c>
      <c r="AC59" s="12" t="str" cm="1">
        <f t="array" ref="AC59">IF($F59="","",IFERROR(SimpleLookup($F59,Definitions!$H:$J),""))</f>
        <v/>
      </c>
      <c r="AD59" s="12" t="b" cm="1">
        <f t="array" aca="1" ref="AD59" ca="1">IF($B59="",FALSE,SimpleLookup($B59,Questions!$A:$D)="x")</f>
        <v>1</v>
      </c>
      <c r="AE59" s="12" t="str" cm="1">
        <f t="array" aca="1" ref="AE59" ca="1">IF(OR($B59="",NOT($AD59)),"",SimpleLookup($B59,Questions!$A:$E))</f>
        <v>'[QuBA-libre.xlsx]Definitions'!$AW$4</v>
      </c>
      <c r="AF59" s="12" cm="1">
        <f t="array" aca="1" ref="AF59" ca="1">IF(OR($B59="",NOT($AD59)),"",SimpleLookup($B59,Questions!$A:$F))</f>
        <v>4</v>
      </c>
      <c r="AG59" s="12" t="str" cm="1">
        <f t="array" aca="1" ref="AG59" ca="1">_xlfn.LET(
_xlpm._answer,$D59,
_xlpm._infoTextFull,IF($AD59,CHAR(10)&amp;SimpleLookup($B59,Questions!$A:$H)&amp;CHAR(10),""),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59" s="12" t="b" cm="1">
        <f t="array" aca="1" ref="AH59" ca="1">IF(OR($B59="",NOT($AD59)),FALSE,_xlfn.LET(
_xlpm._secondAnswerRequiredOn,SimpleLookup($B59,Questions!$A:$I),
_xlpm._firstAnwer,$D59,
IFERROR(FIND(CHAR(10)&amp;_xlpm._firstAnwer&amp;":",CHAR(10)&amp;_xlpm._secondAnswerRequiredOn)&gt;0,FALSE)))</f>
        <v>0</v>
      </c>
      <c r="AI59" s="12" t="str" cm="1">
        <f t="array" aca="1" ref="AI59" ca="1">IF(OR($B59="",NOT($AD59)),"",_xlfn.LET(
_xlpm._id,$B59,
_xlpm._firstAnswer,$D59,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59" s="12" t="str" cm="1">
        <f t="array" aca="1" ref="AJ59" ca="1">IF(OR($B59="",NOT($AD59)),"",_xlfn.LET(
_xlpm._id,$B59,
_xlpm._firstAnswer,$D59,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59" s="12" t="str" cm="1">
        <f t="array" aca="1" ref="AK59" ca="1">IF($AH59,_xlfn.LET(
_xlpm._answer,$F59,
_xlpm._infoTextFull,IF($AD59,CHAR(10)&amp;SimpleLookup($B59,Questions!$A:$L)&amp;CHAR(10),""),
_xlpm._startSelectedByAnswerOne,IF(_xlpm._infoTextFull="",0,FIND("___"&amp;$D59&amp;"___",_xlpm._infoTextFull)+LEN("___"&amp;$D59&amp;"___")),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59" s="12" t="b" cm="1">
        <f t="array" aca="1" ref="AL59" ca="1">IF(OR($B59="",NOT($AD59)),FALSE,SimpleLookup($B59,Questions!$A:$Q))</f>
        <v>0</v>
      </c>
      <c r="AM59" s="12" t="str" cm="1">
        <f t="array" aca="1" ref="AM59" ca="1">IF(AND($B59=Questions!$A$41,IFERROR(SimpleLookup(Questions!$A$36,$B:$F)=Definitions!$O$5,FALSE),$D59=Definitions!$A$5),
Questions!$A$36&amp;" "&amp;Questions!$B$36&amp;CHAR(10)&amp;CHAR(187)&amp;" "&amp;SimpleLookup(Questions!$A$36,$B:$D)&amp;CHAR(10)&amp;SimpleLookup(Questions!$A$36,$B:$E)&amp;CHAR(10)&amp;CHAR(187)&amp;" "&amp;Definitions!$O$5&amp;CHAR(10)&amp;CHAR(10)&amp;
"is incosistent with"&amp;CHAR(10)&amp;CHAR(10)&amp;
$B59&amp;" "&amp;SimpleLookup($B59,Questions!$A:$B)&amp;CHAR(10)&amp;CHAR(187)&amp;" "&amp;$D59,
"")</f>
        <v/>
      </c>
      <c r="AN59" s="12" cm="1">
        <f t="array" aca="1" ref="AN59" ca="1">CreateID($AN$3,$AM59&lt;&gt;"")</f>
        <v>0</v>
      </c>
      <c r="AO59" s="12" t="str">
        <f ca="1">IF(OR($D59="",OFFSET($D59,1,0)=""),"",
IF(AND($B59=Questions!$A$59,OFFSET($B59,1,0)=Questions!$A$60),
IF(MATCH($D59,Definitions!$AW:$AW,0)&gt;MATCH(OFFSET($D59,1,0),Definitions!AW:AW,0),$B59&amp;" "&amp;$L59&amp;": "&amp;$D59&amp;CHAR(10)&amp;"&lt;---&gt;"&amp;CHAR(10)&amp;OFFSET($B59,1,0)&amp;" "&amp;OFFSET($L59,1,0)&amp;": "&amp;OFFSET($D59,1,0),""),
""))</f>
        <v/>
      </c>
      <c r="AP59" s="12" cm="1">
        <f t="array" aca="1" ref="AP59" ca="1">CreateID($AP$3,$AO59&lt;&gt;"")</f>
        <v>0</v>
      </c>
      <c r="AQ59" s="12" t="str" cm="1">
        <f t="array" ref="AQ59">IF($B59=Questions!$A$18,
  _xlfn.LET(
    _xlpm._impactValue7,IFERROR(SimpleLookup(SimpleLookup($F59,Definitions!$H:$J),Definitions!$Q:$R),0),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"&amp;$F59&amp;CHAR(10)&amp;"&lt;---&gt;"&amp;CHAR(10)&amp;Questions!$A$30&amp;": "&amp;_xlpm._impactName14,
        ""))),
  "")</f>
        <v/>
      </c>
      <c r="AR59" s="12" cm="1">
        <f t="array" aca="1" ref="AR59" ca="1">CreateID($AR$3,$AQ59&lt;&gt;"")</f>
        <v>0</v>
      </c>
    </row>
    <row r="60" spans="1:44" x14ac:dyDescent="0.25">
      <c r="A60" s="116" t="str">
        <f ca="1">HYPERLINK("#'"&amp;Helper!$G$22&amp;"'!A"&amp;MATCH($B60,'Answering Guideline'!$A:$A,0),Definitions!$AY$4)</f>
        <v>◈</v>
      </c>
      <c r="B60" s="68" t="s">
        <v>1085</v>
      </c>
      <c r="C60" s="4" t="str" cm="1">
        <f t="array" aca="1" ref="C60" ca="1">IF($B60="","",CreateIndentedString($L60,Definitions!$T$4,SimpleLookup($B60,Questions!$A:$C)))</f>
        <v>What  is  the  product's  planned  support  duration?</v>
      </c>
      <c r="E60" s="7" t="str">
        <f t="shared" ca="1" si="14"/>
        <v/>
      </c>
      <c r="G60" s="7" t="str">
        <f t="shared" ca="1" si="15"/>
        <v/>
      </c>
      <c r="J60" s="12" t="str">
        <f t="shared" ca="1" si="6"/>
        <v>QA21[]</v>
      </c>
      <c r="K60" s="12" t="str">
        <f t="shared" ca="1" si="7"/>
        <v>QA21[]</v>
      </c>
      <c r="L60" s="12" t="str" cm="1">
        <f t="array" aca="1" ref="L60" ca="1">SimpleLookup($B60,Questions!$A:$B)</f>
        <v>What is the product's planned support duration?</v>
      </c>
      <c r="M60" s="12" cm="1">
        <f t="array" aca="1" ref="M60" ca="1">CreateID($M$3,AND($B60&lt;&gt;"",$AD60))</f>
        <v>39</v>
      </c>
      <c r="N60" s="12" cm="1">
        <f t="array" ref="N60">CreateTaskID($N$3,$N:$N,Tasks!$B$17,$H60)</f>
        <v>0</v>
      </c>
      <c r="O60" s="12" t="str">
        <f t="shared" ca="1" si="8"/>
        <v>QA21 What is the product's planned support duration?</v>
      </c>
      <c r="P60" s="12" cm="1">
        <f t="array" aca="1" ref="P60" ca="1">CreateID($P$3,$O60&lt;&gt;"")</f>
        <v>39</v>
      </c>
      <c r="Q60" s="12" t="str">
        <f t="shared" ca="1" si="9"/>
        <v/>
      </c>
      <c r="R60" s="12" cm="1">
        <f t="array" aca="1" ref="R60" ca="1">CreateID($R$3,$Q60&lt;&gt;"")</f>
        <v>0</v>
      </c>
      <c r="S60" s="12" t="str">
        <f t="shared" ca="1" si="10"/>
        <v/>
      </c>
      <c r="T60" s="12" cm="1">
        <f t="array" aca="1" ref="T60" ca="1">CreateID($T$3,$S60&lt;&gt;"")</f>
        <v>0</v>
      </c>
      <c r="U60" s="12" t="str">
        <f t="shared" ca="1" si="11"/>
        <v/>
      </c>
      <c r="V60" s="12" cm="1">
        <f t="array" aca="1" ref="V60" ca="1">CreateID($V$3,$U60&lt;&gt;"")</f>
        <v>0</v>
      </c>
      <c r="W60" s="12" cm="1">
        <f t="array" aca="1" ref="W60" ca="1">CreateID($W$3,IFERROR(FIND(Definitions!$AR$4,$H60)&gt;0,FALSE))</f>
        <v>0</v>
      </c>
      <c r="X60" s="12">
        <f>_xlfn.LET(
_xlpm._comment,$H60,
_xlpm._keyWord,Definitions!$AR$4,
_xlpm._diffLen,LEN(_xlpm._comment)-LEN(SUBSTITUTE(_xlpm._comment,_xlpm._keyWord,"")),
_xlpm._diffLen/LEN(_xlpm._keyWord))</f>
        <v>0</v>
      </c>
      <c r="Y60" s="12" cm="1">
        <f t="array" aca="1" ref="Y60" ca="1">CreateID($Y$3,IFERROR(FIND(Definitions!$AR$5,$H60)&gt;0,FALSE))</f>
        <v>0</v>
      </c>
      <c r="Z60" s="12">
        <f>_xlfn.LET(
_xlpm._comment,$H60,
_xlpm._keyWord,Definitions!$AR$5,
_xlpm._diffLen,LEN(_xlpm._comment)-LEN(SUBSTITUTE(_xlpm._comment,_xlpm._keyWord,"")),
_xlpm._diffLen/LEN(_xlpm._keyWord))</f>
        <v>0</v>
      </c>
      <c r="AA60" s="12" t="b">
        <f ca="1">OR(IFERROR(_xlfn.XMATCH("*,"&amp;$B60&amp;",*",Assumptions!$AH:$AH,2)&gt;0,FALSE),
IFERROR(_xlfn.XMATCH("*,"&amp;$B60&amp;",*",Countermeasures!$AK:$AK,2)&gt;0,FALSE))</f>
        <v>0</v>
      </c>
      <c r="AB60" s="12" t="str" cm="1">
        <f t="array" aca="1" ref="AB60" ca="1">CreateSearchString($J60)</f>
        <v>,QA21[],</v>
      </c>
      <c r="AC60" s="12" t="str" cm="1">
        <f t="array" ref="AC60">IF($F60="","",IFERROR(SimpleLookup($F60,Definitions!$H:$J),""))</f>
        <v/>
      </c>
      <c r="AD60" s="12" t="b" cm="1">
        <f t="array" aca="1" ref="AD60" ca="1">IF($B60="",FALSE,SimpleLookup($B60,Questions!$A:$D)="x")</f>
        <v>1</v>
      </c>
      <c r="AE60" s="12" t="str" cm="1">
        <f t="array" aca="1" ref="AE60" ca="1">IF(OR($B60="",NOT($AD60)),"",SimpleLookup($B60,Questions!$A:$E))</f>
        <v>'[QuBA-libre.xlsx]Definitions'!$AW$4</v>
      </c>
      <c r="AF60" s="12" cm="1">
        <f t="array" aca="1" ref="AF60" ca="1">IF(OR($B60="",NOT($AD60)),"",SimpleLookup($B60,Questions!$A:$F))</f>
        <v>4</v>
      </c>
      <c r="AG60" s="12" t="str" cm="1">
        <f t="array" aca="1" ref="AG60" ca="1">_xlfn.LET(
_xlpm._answer,$D60,
_xlpm._infoTextFull,IF($AD60,CHAR(10)&amp;SimpleLookup($B60,Questions!$A:$H)&amp;CHAR(10),""),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60" s="12" t="b" cm="1">
        <f t="array" aca="1" ref="AH60" ca="1">IF(OR($B60="",NOT($AD60)),FALSE,_xlfn.LET(
_xlpm._secondAnswerRequiredOn,SimpleLookup($B60,Questions!$A:$I),
_xlpm._firstAnwer,$D60,
IFERROR(FIND(CHAR(10)&amp;_xlpm._firstAnwer&amp;":",CHAR(10)&amp;_xlpm._secondAnswerRequiredOn)&gt;0,FALSE)))</f>
        <v>0</v>
      </c>
      <c r="AI60" s="12" t="str" cm="1">
        <f t="array" aca="1" ref="AI60" ca="1">IF(OR($B60="",NOT($AD60)),"",_xlfn.LET(
_xlpm._id,$B60,
_xlpm._firstAnswer,$D60,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60" s="12" t="str" cm="1">
        <f t="array" aca="1" ref="AJ60" ca="1">IF(OR($B60="",NOT($AD60)),"",_xlfn.LET(
_xlpm._id,$B60,
_xlpm._firstAnswer,$D60,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60" s="12" t="str" cm="1">
        <f t="array" aca="1" ref="AK60" ca="1">IF($AH60,_xlfn.LET(
_xlpm._answer,$F60,
_xlpm._infoTextFull,IF($AD60,CHAR(10)&amp;SimpleLookup($B60,Questions!$A:$L)&amp;CHAR(10),""),
_xlpm._startSelectedByAnswerOne,IF(_xlpm._infoTextFull="",0,FIND("___"&amp;$D60&amp;"___",_xlpm._infoTextFull)+LEN("___"&amp;$D60&amp;"___")),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60" s="12" t="b" cm="1">
        <f t="array" aca="1" ref="AL60" ca="1">IF(OR($B60="",NOT($AD60)),FALSE,SimpleLookup($B60,Questions!$A:$Q))</f>
        <v>0</v>
      </c>
      <c r="AM60" s="12" t="str" cm="1">
        <f t="array" aca="1" ref="AM60" ca="1">IF(AND($B60=Questions!$A$41,IFERROR(SimpleLookup(Questions!$A$36,$B:$F)=Definitions!$O$5,FALSE),$D60=Definitions!$A$5),
Questions!$A$36&amp;" "&amp;Questions!$B$36&amp;CHAR(10)&amp;CHAR(187)&amp;" "&amp;SimpleLookup(Questions!$A$36,$B:$D)&amp;CHAR(10)&amp;SimpleLookup(Questions!$A$36,$B:$E)&amp;CHAR(10)&amp;CHAR(187)&amp;" "&amp;Definitions!$O$5&amp;CHAR(10)&amp;CHAR(10)&amp;
"is incosistent with"&amp;CHAR(10)&amp;CHAR(10)&amp;
$B60&amp;" "&amp;SimpleLookup($B60,Questions!$A:$B)&amp;CHAR(10)&amp;CHAR(187)&amp;" "&amp;$D60,
"")</f>
        <v/>
      </c>
      <c r="AN60" s="12" cm="1">
        <f t="array" aca="1" ref="AN60" ca="1">CreateID($AN$3,$AM60&lt;&gt;"")</f>
        <v>0</v>
      </c>
      <c r="AO60" s="12" t="str">
        <f ca="1">IF(OR($D60="",OFFSET($D60,1,0)=""),"",
IF(AND($B60=Questions!$A$59,OFFSET($B60,1,0)=Questions!$A$60),
IF(MATCH($D60,Definitions!$AW:$AW,0)&gt;MATCH(OFFSET($D60,1,0),Definitions!AW:AW,0),$B60&amp;" "&amp;$L60&amp;": "&amp;$D60&amp;CHAR(10)&amp;"&lt;---&gt;"&amp;CHAR(10)&amp;OFFSET($B60,1,0)&amp;" "&amp;OFFSET($L60,1,0)&amp;": "&amp;OFFSET($D60,1,0),""),
""))</f>
        <v/>
      </c>
      <c r="AP60" s="12" cm="1">
        <f t="array" aca="1" ref="AP60" ca="1">CreateID($AP$3,$AO60&lt;&gt;"")</f>
        <v>0</v>
      </c>
      <c r="AQ60" s="12" t="str" cm="1">
        <f t="array" ref="AQ60">IF($B60=Questions!$A$18,
  _xlfn.LET(
    _xlpm._impactValue7,IFERROR(SimpleLookup(SimpleLookup($F60,Definitions!$H:$J),Definitions!$Q:$R),0),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"&amp;$F60&amp;CHAR(10)&amp;"&lt;---&gt;"&amp;CHAR(10)&amp;Questions!$A$30&amp;": "&amp;_xlpm._impactName14,
        ""))),
  "")</f>
        <v/>
      </c>
      <c r="AR60" s="12" cm="1">
        <f t="array" aca="1" ref="AR60" ca="1">CreateID($AR$3,$AQ60&lt;&gt;"")</f>
        <v>0</v>
      </c>
    </row>
    <row r="61" spans="1:44" x14ac:dyDescent="0.25">
      <c r="J61" s="12" t="str">
        <f t="shared" si="6"/>
        <v/>
      </c>
      <c r="K61" s="12" t="str">
        <f t="shared" si="7"/>
        <v/>
      </c>
      <c r="L61" s="12" t="e" cm="1">
        <f t="array" aca="1" ref="L61" ca="1">SimpleLookup($B61,Questions!$A:$B)</f>
        <v>#N/A</v>
      </c>
      <c r="M61" s="12" cm="1">
        <f t="array" aca="1" ref="M61" ca="1">CreateID($M$3,AND($B61&lt;&gt;"",$AD61))</f>
        <v>39</v>
      </c>
      <c r="N61" s="12" cm="1">
        <f t="array" ref="N61">CreateTaskID($N$3,$N:$N,Tasks!$B$17,$H61)</f>
        <v>0</v>
      </c>
      <c r="O61" s="12" t="str">
        <f t="shared" si="8"/>
        <v/>
      </c>
      <c r="P61" s="12" cm="1">
        <f t="array" aca="1" ref="P61" ca="1">CreateID($P$3,$O61&lt;&gt;"")</f>
        <v>39</v>
      </c>
      <c r="Q61" s="12" t="str">
        <f t="shared" si="9"/>
        <v/>
      </c>
      <c r="R61" s="12" cm="1">
        <f t="array" aca="1" ref="R61" ca="1">CreateID($R$3,$Q61&lt;&gt;"")</f>
        <v>0</v>
      </c>
      <c r="S61" s="12" t="str">
        <f t="shared" si="10"/>
        <v/>
      </c>
      <c r="T61" s="12" cm="1">
        <f t="array" aca="1" ref="T61" ca="1">CreateID($T$3,$S61&lt;&gt;"")</f>
        <v>0</v>
      </c>
      <c r="U61" s="12" t="str">
        <f t="shared" si="11"/>
        <v/>
      </c>
      <c r="V61" s="12" cm="1">
        <f t="array" aca="1" ref="V61" ca="1">CreateID($V$3,$U61&lt;&gt;"")</f>
        <v>0</v>
      </c>
      <c r="W61" s="12" cm="1">
        <f t="array" aca="1" ref="W61" ca="1">CreateID($W$3,IFERROR(FIND(Definitions!$AR$4,$H61)&gt;0,FALSE))</f>
        <v>0</v>
      </c>
      <c r="X61" s="12">
        <f>_xlfn.LET(
_xlpm._comment,$H61,
_xlpm._keyWord,Definitions!$AR$4,
_xlpm._diffLen,LEN(_xlpm._comment)-LEN(SUBSTITUTE(_xlpm._comment,_xlpm._keyWord,"")),
_xlpm._diffLen/LEN(_xlpm._keyWord))</f>
        <v>0</v>
      </c>
      <c r="Y61" s="12" cm="1">
        <f t="array" aca="1" ref="Y61" ca="1">CreateID($Y$3,IFERROR(FIND(Definitions!$AR$5,$H61)&gt;0,FALSE))</f>
        <v>0</v>
      </c>
      <c r="Z61" s="12">
        <f>_xlfn.LET(
_xlpm._comment,$H61,
_xlpm._keyWord,Definitions!$AR$5,
_xlpm._diffLen,LEN(_xlpm._comment)-LEN(SUBSTITUTE(_xlpm._comment,_xlpm._keyWord,"")),
_xlpm._diffLen/LEN(_xlpm._keyWord))</f>
        <v>0</v>
      </c>
      <c r="AA61" s="12" t="b">
        <f ca="1">OR(IFERROR(_xlfn.XMATCH("*,"&amp;$B61&amp;",*",Assumptions!$AH:$AH,2)&gt;0,FALSE),
IFERROR(_xlfn.XMATCH("*,"&amp;$B61&amp;",*",Countermeasures!$AK:$AK,2)&gt;0,FALSE))</f>
        <v>0</v>
      </c>
      <c r="AB61" s="12" t="str" cm="1">
        <f t="array" ref="AB61">CreateSearchString($J61)</f>
        <v/>
      </c>
      <c r="AC61" s="12" t="str" cm="1">
        <f t="array" ref="AC61">IF($F61="","",IFERROR(SimpleLookup($F61,Definitions!$H:$J),""))</f>
        <v/>
      </c>
      <c r="AD61" s="12" t="b" cm="1">
        <f t="array" ref="AD61">IF($B61="",FALSE,SimpleLookup($B61,Questions!$A:$D)="x")</f>
        <v>0</v>
      </c>
      <c r="AE61" s="12" t="str" cm="1">
        <f t="array" ref="AE61">IF(OR($B61="",NOT($AD61)),"",SimpleLookup($B61,Questions!$A:$E))</f>
        <v/>
      </c>
      <c r="AF61" s="12" t="str" cm="1">
        <f t="array" ref="AF61">IF(OR($B61="",NOT($AD61)),"",SimpleLookup($B61,Questions!$A:$F))</f>
        <v/>
      </c>
      <c r="AG61" s="12" t="str" cm="1">
        <f t="array" ref="AG61">_xlfn.LET(
_xlpm._answer,$D61,
_xlpm._infoTextFull,IF($AD61,CHAR(10)&amp;SimpleLookup($B61,Questions!$A:$H)&amp;CHAR(10),""),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61" s="12" t="b" cm="1">
        <f t="array" ref="AH61">IF(OR($B61="",NOT($AD61)),FALSE,_xlfn.LET(
_xlpm._secondAnswerRequiredOn,SimpleLookup($B61,Questions!$A:$I),
_xlpm._firstAnwer,$D61,
IFERROR(FIND(CHAR(10)&amp;_xlpm._firstAnwer&amp;":",CHAR(10)&amp;_xlpm._secondAnswerRequiredOn)&gt;0,FALSE)))</f>
        <v>0</v>
      </c>
      <c r="AI61" s="12" t="str" cm="1">
        <f t="array" ref="AI61">IF(OR($B61="",NOT($AD61)),"",_xlfn.LET(
_xlpm._id,$B61,
_xlpm._firstAnswer,$D61,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61" s="12" t="str" cm="1">
        <f t="array" ref="AJ61">IF(OR($B61="",NOT($AD61)),"",_xlfn.LET(
_xlpm._id,$B61,
_xlpm._firstAnswer,$D61,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61" s="12" t="str" cm="1">
        <f t="array" ref="AK61">IF($AH61,_xlfn.LET(
_xlpm._answer,$F61,
_xlpm._infoTextFull,IF($AD61,CHAR(10)&amp;SimpleLookup($B61,Questions!$A:$L)&amp;CHAR(10),""),
_xlpm._startSelectedByAnswerOne,IF(_xlpm._infoTextFull="",0,FIND("___"&amp;$D61&amp;"___",_xlpm._infoTextFull)+LEN("___"&amp;$D61&amp;"___")),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61" s="12" t="b" cm="1">
        <f t="array" ref="AL61">IF(OR($B61="",NOT($AD61)),FALSE,SimpleLookup($B61,Questions!$A:$Q))</f>
        <v>0</v>
      </c>
      <c r="AM61" s="12" t="str" cm="1">
        <f t="array" aca="1" ref="AM61" ca="1">IF(AND($B61=Questions!$A$41,IFERROR(SimpleLookup(Questions!$A$36,$B:$F)=Definitions!$O$5,FALSE),$D61=Definitions!$A$5),
Questions!$A$36&amp;" "&amp;Questions!$B$36&amp;CHAR(10)&amp;CHAR(187)&amp;" "&amp;SimpleLookup(Questions!$A$36,$B:$D)&amp;CHAR(10)&amp;SimpleLookup(Questions!$A$36,$B:$E)&amp;CHAR(10)&amp;CHAR(187)&amp;" "&amp;Definitions!$O$5&amp;CHAR(10)&amp;CHAR(10)&amp;
"is incosistent with"&amp;CHAR(10)&amp;CHAR(10)&amp;
$B61&amp;" "&amp;SimpleLookup($B61,Questions!$A:$B)&amp;CHAR(10)&amp;CHAR(187)&amp;" "&amp;$D61,
"")</f>
        <v/>
      </c>
      <c r="AN61" s="12" cm="1">
        <f t="array" aca="1" ref="AN61" ca="1">CreateID($AN$3,$AM61&lt;&gt;"")</f>
        <v>0</v>
      </c>
      <c r="AO61" s="12" t="str">
        <f ca="1">IF(OR($D61="",OFFSET($D61,1,0)=""),"",
IF(AND($B61=Questions!$A$59,OFFSET($B61,1,0)=Questions!$A$60),
IF(MATCH($D61,Definitions!$AW:$AW,0)&gt;MATCH(OFFSET($D61,1,0),Definitions!AW:AW,0),$B61&amp;" "&amp;$L61&amp;": "&amp;$D61&amp;CHAR(10)&amp;"&lt;---&gt;"&amp;CHAR(10)&amp;OFFSET($B61,1,0)&amp;" "&amp;OFFSET($L61,1,0)&amp;": "&amp;OFFSET($D61,1,0),""),
""))</f>
        <v/>
      </c>
      <c r="AP61" s="12" cm="1">
        <f t="array" aca="1" ref="AP61" ca="1">CreateID($AP$3,$AO61&lt;&gt;"")</f>
        <v>0</v>
      </c>
      <c r="AQ61" s="12" t="str" cm="1">
        <f t="array" ref="AQ61">IF($B61=Questions!$A$18,
  _xlfn.LET(
    _xlpm._impactValue7,IFERROR(SimpleLookup(SimpleLookup($F61,Definitions!$H:$J),Definitions!$Q:$R),0),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"&amp;$F61&amp;CHAR(10)&amp;"&lt;---&gt;"&amp;CHAR(10)&amp;Questions!$A$30&amp;": "&amp;_xlpm._impactName14,
        ""))),
  "")</f>
        <v/>
      </c>
      <c r="AR61" s="12" cm="1">
        <f t="array" aca="1" ref="AR61" ca="1">CreateID($AR$3,$AQ61&lt;&gt;"")</f>
        <v>0</v>
      </c>
    </row>
    <row r="62" spans="1:44" x14ac:dyDescent="0.25">
      <c r="J62" s="12" t="str">
        <f t="shared" si="6"/>
        <v/>
      </c>
      <c r="K62" s="12" t="str">
        <f t="shared" si="7"/>
        <v/>
      </c>
      <c r="L62" s="12" t="e" cm="1">
        <f t="array" aca="1" ref="L62" ca="1">SimpleLookup($B62,Questions!$A:$B)</f>
        <v>#N/A</v>
      </c>
      <c r="M62" s="12" cm="1">
        <f t="array" aca="1" ref="M62" ca="1">CreateID($M$3,AND($B62&lt;&gt;"",$AD62))</f>
        <v>39</v>
      </c>
      <c r="N62" s="12" cm="1">
        <f t="array" ref="N62">CreateTaskID($N$3,$N:$N,Tasks!$B$17,$H62)</f>
        <v>0</v>
      </c>
      <c r="O62" s="12" t="str">
        <f t="shared" si="8"/>
        <v/>
      </c>
      <c r="P62" s="12" cm="1">
        <f t="array" aca="1" ref="P62" ca="1">CreateID($P$3,$O62&lt;&gt;"")</f>
        <v>39</v>
      </c>
      <c r="Q62" s="12" t="str">
        <f t="shared" si="9"/>
        <v/>
      </c>
      <c r="R62" s="12" cm="1">
        <f t="array" aca="1" ref="R62" ca="1">CreateID($R$3,$Q62&lt;&gt;"")</f>
        <v>0</v>
      </c>
      <c r="S62" s="12" t="str">
        <f t="shared" si="10"/>
        <v/>
      </c>
      <c r="T62" s="12" cm="1">
        <f t="array" aca="1" ref="T62" ca="1">CreateID($T$3,$S62&lt;&gt;"")</f>
        <v>0</v>
      </c>
      <c r="U62" s="12" t="str">
        <f t="shared" si="11"/>
        <v/>
      </c>
      <c r="V62" s="12" cm="1">
        <f t="array" aca="1" ref="V62" ca="1">CreateID($V$3,$U62&lt;&gt;"")</f>
        <v>0</v>
      </c>
      <c r="W62" s="12" cm="1">
        <f t="array" aca="1" ref="W62" ca="1">CreateID($W$3,IFERROR(FIND(Definitions!$AR$4,$H62)&gt;0,FALSE))</f>
        <v>0</v>
      </c>
      <c r="X62" s="12">
        <f>_xlfn.LET(
_xlpm._comment,$H62,
_xlpm._keyWord,Definitions!$AR$4,
_xlpm._diffLen,LEN(_xlpm._comment)-LEN(SUBSTITUTE(_xlpm._comment,_xlpm._keyWord,"")),
_xlpm._diffLen/LEN(_xlpm._keyWord))</f>
        <v>0</v>
      </c>
      <c r="Y62" s="12" cm="1">
        <f t="array" aca="1" ref="Y62" ca="1">CreateID($Y$3,IFERROR(FIND(Definitions!$AR$5,$H62)&gt;0,FALSE))</f>
        <v>0</v>
      </c>
      <c r="Z62" s="12">
        <f>_xlfn.LET(
_xlpm._comment,$H62,
_xlpm._keyWord,Definitions!$AR$5,
_xlpm._diffLen,LEN(_xlpm._comment)-LEN(SUBSTITUTE(_xlpm._comment,_xlpm._keyWord,"")),
_xlpm._diffLen/LEN(_xlpm._keyWord))</f>
        <v>0</v>
      </c>
      <c r="AA62" s="12" t="b">
        <f ca="1">OR(IFERROR(_xlfn.XMATCH("*,"&amp;$B62&amp;",*",Assumptions!$AH:$AH,2)&gt;0,FALSE),
IFERROR(_xlfn.XMATCH("*,"&amp;$B62&amp;",*",Countermeasures!$AK:$AK,2)&gt;0,FALSE))</f>
        <v>0</v>
      </c>
      <c r="AB62" s="12" t="str" cm="1">
        <f t="array" ref="AB62">CreateSearchString($J62)</f>
        <v/>
      </c>
      <c r="AC62" s="12" t="str" cm="1">
        <f t="array" ref="AC62">IF($F62="","",IFERROR(SimpleLookup($F62,Definitions!$H:$J),""))</f>
        <v/>
      </c>
      <c r="AD62" s="12" t="b" cm="1">
        <f t="array" ref="AD62">IF($B62="",FALSE,SimpleLookup($B62,Questions!$A:$D)="x")</f>
        <v>0</v>
      </c>
      <c r="AE62" s="12" t="str" cm="1">
        <f t="array" ref="AE62">IF(OR($B62="",NOT($AD62)),"",SimpleLookup($B62,Questions!$A:$E))</f>
        <v/>
      </c>
      <c r="AF62" s="12" t="str" cm="1">
        <f t="array" ref="AF62">IF(OR($B62="",NOT($AD62)),"",SimpleLookup($B62,Questions!$A:$F))</f>
        <v/>
      </c>
      <c r="AG62" s="12" t="str" cm="1">
        <f t="array" ref="AG62">_xlfn.LET(
_xlpm._answer,$D62,
_xlpm._infoTextFull,IF($AD62,CHAR(10)&amp;SimpleLookup($B62,Questions!$A:$H)&amp;CHAR(10),""),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62" s="12" t="b" cm="1">
        <f t="array" ref="AH62">IF(OR($B62="",NOT($AD62)),FALSE,_xlfn.LET(
_xlpm._secondAnswerRequiredOn,SimpleLookup($B62,Questions!$A:$I),
_xlpm._firstAnwer,$D62,
IFERROR(FIND(CHAR(10)&amp;_xlpm._firstAnwer&amp;":",CHAR(10)&amp;_xlpm._secondAnswerRequiredOn)&gt;0,FALSE)))</f>
        <v>0</v>
      </c>
      <c r="AI62" s="12" t="str" cm="1">
        <f t="array" ref="AI62">IF(OR($B62="",NOT($AD62)),"",_xlfn.LET(
_xlpm._id,$B62,
_xlpm._firstAnswer,$D62,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62" s="12" t="str" cm="1">
        <f t="array" ref="AJ62">IF(OR($B62="",NOT($AD62)),"",_xlfn.LET(
_xlpm._id,$B62,
_xlpm._firstAnswer,$D62,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62" s="12" t="str" cm="1">
        <f t="array" ref="AK62">IF($AH62,_xlfn.LET(
_xlpm._answer,$F62,
_xlpm._infoTextFull,IF($AD62,CHAR(10)&amp;SimpleLookup($B62,Questions!$A:$L)&amp;CHAR(10),""),
_xlpm._startSelectedByAnswerOne,IF(_xlpm._infoTextFull="",0,FIND("___"&amp;$D62&amp;"___",_xlpm._infoTextFull)+LEN("___"&amp;$D62&amp;"___")),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62" s="12" t="b" cm="1">
        <f t="array" ref="AL62">IF(OR($B62="",NOT($AD62)),FALSE,SimpleLookup($B62,Questions!$A:$Q))</f>
        <v>0</v>
      </c>
      <c r="AM62" s="12" t="str" cm="1">
        <f t="array" aca="1" ref="AM62" ca="1">IF(AND($B62=Questions!$A$41,IFERROR(SimpleLookup(Questions!$A$36,$B:$F)=Definitions!$O$5,FALSE),$D62=Definitions!$A$5),
Questions!$A$36&amp;" "&amp;Questions!$B$36&amp;CHAR(10)&amp;CHAR(187)&amp;" "&amp;SimpleLookup(Questions!$A$36,$B:$D)&amp;CHAR(10)&amp;SimpleLookup(Questions!$A$36,$B:$E)&amp;CHAR(10)&amp;CHAR(187)&amp;" "&amp;Definitions!$O$5&amp;CHAR(10)&amp;CHAR(10)&amp;
"is incosistent with"&amp;CHAR(10)&amp;CHAR(10)&amp;
$B62&amp;" "&amp;SimpleLookup($B62,Questions!$A:$B)&amp;CHAR(10)&amp;CHAR(187)&amp;" "&amp;$D62,
"")</f>
        <v/>
      </c>
      <c r="AN62" s="12" cm="1">
        <f t="array" aca="1" ref="AN62" ca="1">CreateID($AN$3,$AM62&lt;&gt;"")</f>
        <v>0</v>
      </c>
      <c r="AO62" s="12" t="str">
        <f ca="1">IF(OR($D62="",OFFSET($D62,1,0)=""),"",
IF(AND($B62=Questions!$A$59,OFFSET($B62,1,0)=Questions!$A$60),
IF(MATCH($D62,Definitions!$AW:$AW,0)&gt;MATCH(OFFSET($D62,1,0),Definitions!AW:AW,0),$B62&amp;" "&amp;$L62&amp;": "&amp;$D62&amp;CHAR(10)&amp;"&lt;---&gt;"&amp;CHAR(10)&amp;OFFSET($B62,1,0)&amp;" "&amp;OFFSET($L62,1,0)&amp;": "&amp;OFFSET($D62,1,0),""),
""))</f>
        <v/>
      </c>
      <c r="AP62" s="12" cm="1">
        <f t="array" aca="1" ref="AP62" ca="1">CreateID($AP$3,$AO62&lt;&gt;"")</f>
        <v>0</v>
      </c>
      <c r="AQ62" s="12" t="str" cm="1">
        <f t="array" ref="AQ62">IF($B62=Questions!$A$18,
  _xlfn.LET(
    _xlpm._impactValue7,IFERROR(SimpleLookup(SimpleLookup($F62,Definitions!$H:$J),Definitions!$Q:$R),0),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"&amp;$F62&amp;CHAR(10)&amp;"&lt;---&gt;"&amp;CHAR(10)&amp;Questions!$A$30&amp;": "&amp;_xlpm._impactName14,
        ""))),
  "")</f>
        <v/>
      </c>
      <c r="AR62" s="12" cm="1">
        <f t="array" aca="1" ref="AR62" ca="1">CreateID($AR$3,$AQ62&lt;&gt;"")</f>
        <v>0</v>
      </c>
    </row>
    <row r="63" spans="1:44" x14ac:dyDescent="0.25">
      <c r="J63" s="12" t="str">
        <f t="shared" si="6"/>
        <v/>
      </c>
      <c r="K63" s="12" t="str">
        <f t="shared" si="7"/>
        <v/>
      </c>
      <c r="L63" s="12" t="e" cm="1">
        <f t="array" aca="1" ref="L63" ca="1">SimpleLookup($B63,Questions!$A:$B)</f>
        <v>#N/A</v>
      </c>
      <c r="M63" s="12" cm="1">
        <f t="array" aca="1" ref="M63" ca="1">CreateID($M$3,AND($B63&lt;&gt;"",$AD63))</f>
        <v>39</v>
      </c>
      <c r="N63" s="12" cm="1">
        <f t="array" ref="N63">CreateTaskID($N$3,$N:$N,Tasks!$B$17,$H63)</f>
        <v>0</v>
      </c>
      <c r="O63" s="12" t="str">
        <f t="shared" si="8"/>
        <v/>
      </c>
      <c r="P63" s="12" cm="1">
        <f t="array" aca="1" ref="P63" ca="1">CreateID($P$3,$O63&lt;&gt;"")</f>
        <v>39</v>
      </c>
      <c r="Q63" s="12" t="str">
        <f t="shared" si="9"/>
        <v/>
      </c>
      <c r="R63" s="12" cm="1">
        <f t="array" aca="1" ref="R63" ca="1">CreateID($R$3,$Q63&lt;&gt;"")</f>
        <v>0</v>
      </c>
      <c r="S63" s="12" t="str">
        <f t="shared" si="10"/>
        <v/>
      </c>
      <c r="T63" s="12" cm="1">
        <f t="array" aca="1" ref="T63" ca="1">CreateID($T$3,$S63&lt;&gt;"")</f>
        <v>0</v>
      </c>
      <c r="U63" s="12" t="str">
        <f t="shared" si="11"/>
        <v/>
      </c>
      <c r="V63" s="12" cm="1">
        <f t="array" aca="1" ref="V63" ca="1">CreateID($V$3,$U63&lt;&gt;"")</f>
        <v>0</v>
      </c>
      <c r="W63" s="12" cm="1">
        <f t="array" aca="1" ref="W63" ca="1">CreateID($W$3,IFERROR(FIND(Definitions!$AR$4,$H63)&gt;0,FALSE))</f>
        <v>0</v>
      </c>
      <c r="X63" s="12">
        <f>_xlfn.LET(
_xlpm._comment,$H63,
_xlpm._keyWord,Definitions!$AR$4,
_xlpm._diffLen,LEN(_xlpm._comment)-LEN(SUBSTITUTE(_xlpm._comment,_xlpm._keyWord,"")),
_xlpm._diffLen/LEN(_xlpm._keyWord))</f>
        <v>0</v>
      </c>
      <c r="Y63" s="12" cm="1">
        <f t="array" aca="1" ref="Y63" ca="1">CreateID($Y$3,IFERROR(FIND(Definitions!$AR$5,$H63)&gt;0,FALSE))</f>
        <v>0</v>
      </c>
      <c r="Z63" s="12">
        <f>_xlfn.LET(
_xlpm._comment,$H63,
_xlpm._keyWord,Definitions!$AR$5,
_xlpm._diffLen,LEN(_xlpm._comment)-LEN(SUBSTITUTE(_xlpm._comment,_xlpm._keyWord,"")),
_xlpm._diffLen/LEN(_xlpm._keyWord))</f>
        <v>0</v>
      </c>
      <c r="AA63" s="12" t="b">
        <f ca="1">OR(IFERROR(_xlfn.XMATCH("*,"&amp;$B63&amp;",*",Assumptions!$AH:$AH,2)&gt;0,FALSE),
IFERROR(_xlfn.XMATCH("*,"&amp;$B63&amp;",*",Countermeasures!$AK:$AK,2)&gt;0,FALSE))</f>
        <v>0</v>
      </c>
      <c r="AB63" s="12" t="str" cm="1">
        <f t="array" ref="AB63">CreateSearchString($J63)</f>
        <v/>
      </c>
      <c r="AC63" s="12" t="str" cm="1">
        <f t="array" ref="AC63">IF($F63="","",IFERROR(SimpleLookup($F63,Definitions!$H:$J),""))</f>
        <v/>
      </c>
      <c r="AD63" s="12" t="b" cm="1">
        <f t="array" ref="AD63">IF($B63="",FALSE,SimpleLookup($B63,Questions!$A:$D)="x")</f>
        <v>0</v>
      </c>
      <c r="AE63" s="12" t="str" cm="1">
        <f t="array" ref="AE63">IF(OR($B63="",NOT($AD63)),"",SimpleLookup($B63,Questions!$A:$E))</f>
        <v/>
      </c>
      <c r="AF63" s="12" t="str" cm="1">
        <f t="array" ref="AF63">IF(OR($B63="",NOT($AD63)),"",SimpleLookup($B63,Questions!$A:$F))</f>
        <v/>
      </c>
      <c r="AG63" s="12" t="str" cm="1">
        <f t="array" ref="AG63">_xlfn.LET(
_xlpm._answer,$D63,
_xlpm._infoTextFull,IF($AD63,CHAR(10)&amp;SimpleLookup($B63,Questions!$A:$H)&amp;CHAR(10),""),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63" s="12" t="b" cm="1">
        <f t="array" ref="AH63">IF(OR($B63="",NOT($AD63)),FALSE,_xlfn.LET(
_xlpm._secondAnswerRequiredOn,SimpleLookup($B63,Questions!$A:$I),
_xlpm._firstAnwer,$D63,
IFERROR(FIND(CHAR(10)&amp;_xlpm._firstAnwer&amp;":",CHAR(10)&amp;_xlpm._secondAnswerRequiredOn)&gt;0,FALSE)))</f>
        <v>0</v>
      </c>
      <c r="AI63" s="12" t="str" cm="1">
        <f t="array" ref="AI63">IF(OR($B63="",NOT($AD63)),"",_xlfn.LET(
_xlpm._id,$B63,
_xlpm._firstAnswer,$D63,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63" s="12" t="str" cm="1">
        <f t="array" ref="AJ63">IF(OR($B63="",NOT($AD63)),"",_xlfn.LET(
_xlpm._id,$B63,
_xlpm._firstAnswer,$D63,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63" s="12" t="str" cm="1">
        <f t="array" ref="AK63">IF($AH63,_xlfn.LET(
_xlpm._answer,$F63,
_xlpm._infoTextFull,IF($AD63,CHAR(10)&amp;SimpleLookup($B63,Questions!$A:$L)&amp;CHAR(10),""),
_xlpm._startSelectedByAnswerOne,IF(_xlpm._infoTextFull="",0,FIND("___"&amp;$D63&amp;"___",_xlpm._infoTextFull)+LEN("___"&amp;$D63&amp;"___")),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63" s="12" t="b" cm="1">
        <f t="array" ref="AL63">IF(OR($B63="",NOT($AD63)),FALSE,SimpleLookup($B63,Questions!$A:$Q))</f>
        <v>0</v>
      </c>
      <c r="AM63" s="12" t="str" cm="1">
        <f t="array" aca="1" ref="AM63" ca="1">IF(AND($B63=Questions!$A$41,IFERROR(SimpleLookup(Questions!$A$36,$B:$F)=Definitions!$O$5,FALSE),$D63=Definitions!$A$5),
Questions!$A$36&amp;" "&amp;Questions!$B$36&amp;CHAR(10)&amp;CHAR(187)&amp;" "&amp;SimpleLookup(Questions!$A$36,$B:$D)&amp;CHAR(10)&amp;SimpleLookup(Questions!$A$36,$B:$E)&amp;CHAR(10)&amp;CHAR(187)&amp;" "&amp;Definitions!$O$5&amp;CHAR(10)&amp;CHAR(10)&amp;
"is incosistent with"&amp;CHAR(10)&amp;CHAR(10)&amp;
$B63&amp;" "&amp;SimpleLookup($B63,Questions!$A:$B)&amp;CHAR(10)&amp;CHAR(187)&amp;" "&amp;$D63,
"")</f>
        <v/>
      </c>
      <c r="AN63" s="12" cm="1">
        <f t="array" aca="1" ref="AN63" ca="1">CreateID($AN$3,$AM63&lt;&gt;"")</f>
        <v>0</v>
      </c>
      <c r="AO63" s="12" t="str">
        <f ca="1">IF(OR($D63="",OFFSET($D63,1,0)=""),"",
IF(AND($B63=Questions!$A$59,OFFSET($B63,1,0)=Questions!$A$60),
IF(MATCH($D63,Definitions!$AW:$AW,0)&gt;MATCH(OFFSET($D63,1,0),Definitions!AW:AW,0),$B63&amp;" "&amp;$L63&amp;": "&amp;$D63&amp;CHAR(10)&amp;"&lt;---&gt;"&amp;CHAR(10)&amp;OFFSET($B63,1,0)&amp;" "&amp;OFFSET($L63,1,0)&amp;": "&amp;OFFSET($D63,1,0),""),
""))</f>
        <v/>
      </c>
      <c r="AP63" s="12" cm="1">
        <f t="array" aca="1" ref="AP63" ca="1">CreateID($AP$3,$AO63&lt;&gt;"")</f>
        <v>0</v>
      </c>
      <c r="AQ63" s="12" t="str" cm="1">
        <f t="array" ref="AQ63">IF($B63=Questions!$A$18,
  _xlfn.LET(
    _xlpm._impactValue7,IFERROR(SimpleLookup(SimpleLookup($F63,Definitions!$H:$J),Definitions!$Q:$R),0),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"&amp;$F63&amp;CHAR(10)&amp;"&lt;---&gt;"&amp;CHAR(10)&amp;Questions!$A$30&amp;": "&amp;_xlpm._impactName14,
        ""))),
  "")</f>
        <v/>
      </c>
      <c r="AR63" s="12" cm="1">
        <f t="array" aca="1" ref="AR63" ca="1">CreateID($AR$3,$AQ63&lt;&gt;"")</f>
        <v>0</v>
      </c>
    </row>
    <row r="64" spans="1:44" x14ac:dyDescent="0.25">
      <c r="J64" s="12" t="str">
        <f t="shared" si="6"/>
        <v/>
      </c>
      <c r="K64" s="12" t="str">
        <f t="shared" si="7"/>
        <v/>
      </c>
      <c r="L64" s="12" t="e" cm="1">
        <f t="array" aca="1" ref="L64" ca="1">SimpleLookup($B64,Questions!$A:$B)</f>
        <v>#N/A</v>
      </c>
      <c r="M64" s="12" cm="1">
        <f t="array" aca="1" ref="M64" ca="1">CreateID($M$3,AND($B64&lt;&gt;"",$AD64))</f>
        <v>39</v>
      </c>
      <c r="N64" s="12" cm="1">
        <f t="array" ref="N64">CreateTaskID($N$3,$N:$N,Tasks!$B$17,$H64)</f>
        <v>0</v>
      </c>
      <c r="O64" s="12" t="str">
        <f t="shared" si="8"/>
        <v/>
      </c>
      <c r="P64" s="12" cm="1">
        <f t="array" aca="1" ref="P64" ca="1">CreateID($P$3,$O64&lt;&gt;"")</f>
        <v>39</v>
      </c>
      <c r="Q64" s="12" t="str">
        <f t="shared" si="9"/>
        <v/>
      </c>
      <c r="R64" s="12" cm="1">
        <f t="array" aca="1" ref="R64" ca="1">CreateID($R$3,$Q64&lt;&gt;"")</f>
        <v>0</v>
      </c>
      <c r="S64" s="12" t="str">
        <f t="shared" si="10"/>
        <v/>
      </c>
      <c r="T64" s="12" cm="1">
        <f t="array" aca="1" ref="T64" ca="1">CreateID($T$3,$S64&lt;&gt;"")</f>
        <v>0</v>
      </c>
      <c r="U64" s="12" t="str">
        <f t="shared" si="11"/>
        <v/>
      </c>
      <c r="V64" s="12" cm="1">
        <f t="array" aca="1" ref="V64" ca="1">CreateID($V$3,$U64&lt;&gt;"")</f>
        <v>0</v>
      </c>
      <c r="W64" s="12" cm="1">
        <f t="array" aca="1" ref="W64" ca="1">CreateID($W$3,IFERROR(FIND(Definitions!$AR$4,$H64)&gt;0,FALSE))</f>
        <v>0</v>
      </c>
      <c r="X64" s="12">
        <f>_xlfn.LET(
_xlpm._comment,$H64,
_xlpm._keyWord,Definitions!$AR$4,
_xlpm._diffLen,LEN(_xlpm._comment)-LEN(SUBSTITUTE(_xlpm._comment,_xlpm._keyWord,"")),
_xlpm._diffLen/LEN(_xlpm._keyWord))</f>
        <v>0</v>
      </c>
      <c r="Y64" s="12" cm="1">
        <f t="array" aca="1" ref="Y64" ca="1">CreateID($Y$3,IFERROR(FIND(Definitions!$AR$5,$H64)&gt;0,FALSE))</f>
        <v>0</v>
      </c>
      <c r="Z64" s="12">
        <f>_xlfn.LET(
_xlpm._comment,$H64,
_xlpm._keyWord,Definitions!$AR$5,
_xlpm._diffLen,LEN(_xlpm._comment)-LEN(SUBSTITUTE(_xlpm._comment,_xlpm._keyWord,"")),
_xlpm._diffLen/LEN(_xlpm._keyWord))</f>
        <v>0</v>
      </c>
      <c r="AA64" s="12" t="b">
        <f ca="1">OR(IFERROR(_xlfn.XMATCH("*,"&amp;$B64&amp;",*",Assumptions!$AH:$AH,2)&gt;0,FALSE),
IFERROR(_xlfn.XMATCH("*,"&amp;$B64&amp;",*",Countermeasures!$AK:$AK,2)&gt;0,FALSE))</f>
        <v>0</v>
      </c>
      <c r="AB64" s="12" t="str" cm="1">
        <f t="array" ref="AB64">CreateSearchString($J64)</f>
        <v/>
      </c>
      <c r="AC64" s="12" t="str" cm="1">
        <f t="array" ref="AC64">IF($F64="","",IFERROR(SimpleLookup($F64,Definitions!$H:$J),""))</f>
        <v/>
      </c>
      <c r="AD64" s="12" t="b" cm="1">
        <f t="array" ref="AD64">IF($B64="",FALSE,SimpleLookup($B64,Questions!$A:$D)="x")</f>
        <v>0</v>
      </c>
      <c r="AE64" s="12" t="str" cm="1">
        <f t="array" ref="AE64">IF(OR($B64="",NOT($AD64)),"",SimpleLookup($B64,Questions!$A:$E))</f>
        <v/>
      </c>
      <c r="AF64" s="12" t="str" cm="1">
        <f t="array" ref="AF64">IF(OR($B64="",NOT($AD64)),"",SimpleLookup($B64,Questions!$A:$F))</f>
        <v/>
      </c>
      <c r="AG64" s="12" t="str" cm="1">
        <f t="array" ref="AG64">_xlfn.LET(
_xlpm._answer,$D64,
_xlpm._infoTextFull,IF($AD64,CHAR(10)&amp;SimpleLookup($B64,Questions!$A:$H)&amp;CHAR(10),""),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64" s="12" t="b" cm="1">
        <f t="array" ref="AH64">IF(OR($B64="",NOT($AD64)),FALSE,_xlfn.LET(
_xlpm._secondAnswerRequiredOn,SimpleLookup($B64,Questions!$A:$I),
_xlpm._firstAnwer,$D64,
IFERROR(FIND(CHAR(10)&amp;_xlpm._firstAnwer&amp;":",CHAR(10)&amp;_xlpm._secondAnswerRequiredOn)&gt;0,FALSE)))</f>
        <v>0</v>
      </c>
      <c r="AI64" s="12" t="str" cm="1">
        <f t="array" ref="AI64">IF(OR($B64="",NOT($AD64)),"",_xlfn.LET(
_xlpm._id,$B64,
_xlpm._firstAnswer,$D64,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64" s="12" t="str" cm="1">
        <f t="array" ref="AJ64">IF(OR($B64="",NOT($AD64)),"",_xlfn.LET(
_xlpm._id,$B64,
_xlpm._firstAnswer,$D64,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64" s="12" t="str" cm="1">
        <f t="array" ref="AK64">IF($AH64,_xlfn.LET(
_xlpm._answer,$F64,
_xlpm._infoTextFull,IF($AD64,CHAR(10)&amp;SimpleLookup($B64,Questions!$A:$L)&amp;CHAR(10),""),
_xlpm._startSelectedByAnswerOne,IF(_xlpm._infoTextFull="",0,FIND("___"&amp;$D64&amp;"___",_xlpm._infoTextFull)+LEN("___"&amp;$D64&amp;"___")),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64" s="12" t="b" cm="1">
        <f t="array" ref="AL64">IF(OR($B64="",NOT($AD64)),FALSE,SimpleLookup($B64,Questions!$A:$Q))</f>
        <v>0</v>
      </c>
      <c r="AM64" s="12" t="str" cm="1">
        <f t="array" aca="1" ref="AM64" ca="1">IF(AND($B64=Questions!$A$41,IFERROR(SimpleLookup(Questions!$A$36,$B:$F)=Definitions!$O$5,FALSE),$D64=Definitions!$A$5),
Questions!$A$36&amp;" "&amp;Questions!$B$36&amp;CHAR(10)&amp;CHAR(187)&amp;" "&amp;SimpleLookup(Questions!$A$36,$B:$D)&amp;CHAR(10)&amp;SimpleLookup(Questions!$A$36,$B:$E)&amp;CHAR(10)&amp;CHAR(187)&amp;" "&amp;Definitions!$O$5&amp;CHAR(10)&amp;CHAR(10)&amp;
"is incosistent with"&amp;CHAR(10)&amp;CHAR(10)&amp;
$B64&amp;" "&amp;SimpleLookup($B64,Questions!$A:$B)&amp;CHAR(10)&amp;CHAR(187)&amp;" "&amp;$D64,
"")</f>
        <v/>
      </c>
      <c r="AN64" s="12" cm="1">
        <f t="array" aca="1" ref="AN64" ca="1">CreateID($AN$3,$AM64&lt;&gt;"")</f>
        <v>0</v>
      </c>
      <c r="AO64" s="12" t="str">
        <f ca="1">IF(OR($D64="",OFFSET($D64,1,0)=""),"",
IF(AND($B64=Questions!$A$59,OFFSET($B64,1,0)=Questions!$A$60),
IF(MATCH($D64,Definitions!$AW:$AW,0)&gt;MATCH(OFFSET($D64,1,0),Definitions!AW:AW,0),$B64&amp;" "&amp;$L64&amp;": "&amp;$D64&amp;CHAR(10)&amp;"&lt;---&gt;"&amp;CHAR(10)&amp;OFFSET($B64,1,0)&amp;" "&amp;OFFSET($L64,1,0)&amp;": "&amp;OFFSET($D64,1,0),""),
""))</f>
        <v/>
      </c>
      <c r="AP64" s="12" cm="1">
        <f t="array" aca="1" ref="AP64" ca="1">CreateID($AP$3,$AO64&lt;&gt;"")</f>
        <v>0</v>
      </c>
      <c r="AQ64" s="12" t="str" cm="1">
        <f t="array" ref="AQ64">IF($B64=Questions!$A$18,
  _xlfn.LET(
    _xlpm._impactValue7,IFERROR(SimpleLookup(SimpleLookup($F64,Definitions!$H:$J),Definitions!$Q:$R),0),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"&amp;$F64&amp;CHAR(10)&amp;"&lt;---&gt;"&amp;CHAR(10)&amp;Questions!$A$30&amp;": "&amp;_xlpm._impactName14,
        ""))),
  "")</f>
        <v/>
      </c>
      <c r="AR64" s="12" cm="1">
        <f t="array" aca="1" ref="AR64" ca="1">CreateID($AR$3,$AQ64&lt;&gt;"")</f>
        <v>0</v>
      </c>
    </row>
    <row r="65" spans="10:44" x14ac:dyDescent="0.25">
      <c r="J65" s="12" t="str">
        <f t="shared" si="6"/>
        <v/>
      </c>
      <c r="K65" s="12" t="str">
        <f t="shared" si="7"/>
        <v/>
      </c>
      <c r="L65" s="12" t="e" cm="1">
        <f t="array" aca="1" ref="L65" ca="1">SimpleLookup($B65,Questions!$A:$B)</f>
        <v>#N/A</v>
      </c>
      <c r="M65" s="12" cm="1">
        <f t="array" aca="1" ref="M65" ca="1">CreateID($M$3,AND($B65&lt;&gt;"",$AD65))</f>
        <v>39</v>
      </c>
      <c r="N65" s="12" cm="1">
        <f t="array" ref="N65">CreateTaskID($N$3,$N:$N,Tasks!$B$17,$H65)</f>
        <v>0</v>
      </c>
      <c r="O65" s="12" t="str">
        <f t="shared" si="8"/>
        <v/>
      </c>
      <c r="P65" s="12" cm="1">
        <f t="array" aca="1" ref="P65" ca="1">CreateID($P$3,$O65&lt;&gt;"")</f>
        <v>39</v>
      </c>
      <c r="Q65" s="12" t="str">
        <f t="shared" si="9"/>
        <v/>
      </c>
      <c r="R65" s="12" cm="1">
        <f t="array" aca="1" ref="R65" ca="1">CreateID($R$3,$Q65&lt;&gt;"")</f>
        <v>0</v>
      </c>
      <c r="S65" s="12" t="str">
        <f t="shared" si="10"/>
        <v/>
      </c>
      <c r="T65" s="12" cm="1">
        <f t="array" aca="1" ref="T65" ca="1">CreateID($T$3,$S65&lt;&gt;"")</f>
        <v>0</v>
      </c>
      <c r="U65" s="12" t="str">
        <f t="shared" si="11"/>
        <v/>
      </c>
      <c r="V65" s="12" cm="1">
        <f t="array" aca="1" ref="V65" ca="1">CreateID($V$3,$U65&lt;&gt;"")</f>
        <v>0</v>
      </c>
      <c r="W65" s="12" cm="1">
        <f t="array" aca="1" ref="W65" ca="1">CreateID($W$3,IFERROR(FIND(Definitions!$AR$4,$H65)&gt;0,FALSE))</f>
        <v>0</v>
      </c>
      <c r="X65" s="12">
        <f>_xlfn.LET(
_xlpm._comment,$H65,
_xlpm._keyWord,Definitions!$AR$4,
_xlpm._diffLen,LEN(_xlpm._comment)-LEN(SUBSTITUTE(_xlpm._comment,_xlpm._keyWord,"")),
_xlpm._diffLen/LEN(_xlpm._keyWord))</f>
        <v>0</v>
      </c>
      <c r="Y65" s="12" cm="1">
        <f t="array" aca="1" ref="Y65" ca="1">CreateID($Y$3,IFERROR(FIND(Definitions!$AR$5,$H65)&gt;0,FALSE))</f>
        <v>0</v>
      </c>
      <c r="Z65" s="12">
        <f>_xlfn.LET(
_xlpm._comment,$H65,
_xlpm._keyWord,Definitions!$AR$5,
_xlpm._diffLen,LEN(_xlpm._comment)-LEN(SUBSTITUTE(_xlpm._comment,_xlpm._keyWord,"")),
_xlpm._diffLen/LEN(_xlpm._keyWord))</f>
        <v>0</v>
      </c>
      <c r="AA65" s="12" t="b">
        <f ca="1">OR(IFERROR(_xlfn.XMATCH("*,"&amp;$B65&amp;",*",Assumptions!$AH:$AH,2)&gt;0,FALSE),
IFERROR(_xlfn.XMATCH("*,"&amp;$B65&amp;",*",Countermeasures!$AK:$AK,2)&gt;0,FALSE))</f>
        <v>0</v>
      </c>
      <c r="AB65" s="12" t="str" cm="1">
        <f t="array" ref="AB65">CreateSearchString($J65)</f>
        <v/>
      </c>
      <c r="AC65" s="12" t="str" cm="1">
        <f t="array" ref="AC65">IF($F65="","",IFERROR(SimpleLookup($F65,Definitions!$H:$J),""))</f>
        <v/>
      </c>
      <c r="AD65" s="12" t="b" cm="1">
        <f t="array" ref="AD65">IF($B65="",FALSE,SimpleLookup($B65,Questions!$A:$D)="x")</f>
        <v>0</v>
      </c>
      <c r="AE65" s="12" t="str" cm="1">
        <f t="array" ref="AE65">IF(OR($B65="",NOT($AD65)),"",SimpleLookup($B65,Questions!$A:$E))</f>
        <v/>
      </c>
      <c r="AF65" s="12" t="str" cm="1">
        <f t="array" ref="AF65">IF(OR($B65="",NOT($AD65)),"",SimpleLookup($B65,Questions!$A:$F))</f>
        <v/>
      </c>
      <c r="AG65" s="12" t="str" cm="1">
        <f t="array" ref="AG65">_xlfn.LET(
_xlpm._answer,$D65,
_xlpm._infoTextFull,IF($AD65,CHAR(10)&amp;SimpleLookup($B65,Questions!$A:$H)&amp;CHAR(10),""),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65" s="12" t="b" cm="1">
        <f t="array" ref="AH65">IF(OR($B65="",NOT($AD65)),FALSE,_xlfn.LET(
_xlpm._secondAnswerRequiredOn,SimpleLookup($B65,Questions!$A:$I),
_xlpm._firstAnwer,$D65,
IFERROR(FIND(CHAR(10)&amp;_xlpm._firstAnwer&amp;":",CHAR(10)&amp;_xlpm._secondAnswerRequiredOn)&gt;0,FALSE)))</f>
        <v>0</v>
      </c>
      <c r="AI65" s="12" t="str" cm="1">
        <f t="array" ref="AI65">IF(OR($B65="",NOT($AD65)),"",_xlfn.LET(
_xlpm._id,$B65,
_xlpm._firstAnswer,$D65,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65" s="12" t="str" cm="1">
        <f t="array" ref="AJ65">IF(OR($B65="",NOT($AD65)),"",_xlfn.LET(
_xlpm._id,$B65,
_xlpm._firstAnswer,$D65,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65" s="12" t="str" cm="1">
        <f t="array" ref="AK65">IF($AH65,_xlfn.LET(
_xlpm._answer,$F65,
_xlpm._infoTextFull,IF($AD65,CHAR(10)&amp;SimpleLookup($B65,Questions!$A:$L)&amp;CHAR(10),""),
_xlpm._startSelectedByAnswerOne,IF(_xlpm._infoTextFull="",0,FIND("___"&amp;$D65&amp;"___",_xlpm._infoTextFull)+LEN("___"&amp;$D65&amp;"___")),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65" s="12" t="b" cm="1">
        <f t="array" ref="AL65">IF(OR($B65="",NOT($AD65)),FALSE,SimpleLookup($B65,Questions!$A:$Q))</f>
        <v>0</v>
      </c>
      <c r="AM65" s="12" t="str" cm="1">
        <f t="array" aca="1" ref="AM65" ca="1">IF(AND($B65=Questions!$A$41,IFERROR(SimpleLookup(Questions!$A$36,$B:$F)=Definitions!$O$5,FALSE),$D65=Definitions!$A$5),
Questions!$A$36&amp;" "&amp;Questions!$B$36&amp;CHAR(10)&amp;CHAR(187)&amp;" "&amp;SimpleLookup(Questions!$A$36,$B:$D)&amp;CHAR(10)&amp;SimpleLookup(Questions!$A$36,$B:$E)&amp;CHAR(10)&amp;CHAR(187)&amp;" "&amp;Definitions!$O$5&amp;CHAR(10)&amp;CHAR(10)&amp;
"is incosistent with"&amp;CHAR(10)&amp;CHAR(10)&amp;
$B65&amp;" "&amp;SimpleLookup($B65,Questions!$A:$B)&amp;CHAR(10)&amp;CHAR(187)&amp;" "&amp;$D65,
"")</f>
        <v/>
      </c>
      <c r="AN65" s="12" cm="1">
        <f t="array" aca="1" ref="AN65" ca="1">CreateID($AN$3,$AM65&lt;&gt;"")</f>
        <v>0</v>
      </c>
      <c r="AO65" s="12" t="str">
        <f ca="1">IF(OR($D65="",OFFSET($D65,1,0)=""),"",
IF(AND($B65=Questions!$A$59,OFFSET($B65,1,0)=Questions!$A$60),
IF(MATCH($D65,Definitions!$AW:$AW,0)&gt;MATCH(OFFSET($D65,1,0),Definitions!AW:AW,0),$B65&amp;" "&amp;$L65&amp;": "&amp;$D65&amp;CHAR(10)&amp;"&lt;---&gt;"&amp;CHAR(10)&amp;OFFSET($B65,1,0)&amp;" "&amp;OFFSET($L65,1,0)&amp;": "&amp;OFFSET($D65,1,0),""),
""))</f>
        <v/>
      </c>
      <c r="AP65" s="12" cm="1">
        <f t="array" aca="1" ref="AP65" ca="1">CreateID($AP$3,$AO65&lt;&gt;"")</f>
        <v>0</v>
      </c>
      <c r="AQ65" s="12" t="str" cm="1">
        <f t="array" ref="AQ65">IF($B65=Questions!$A$18,
  _xlfn.LET(
    _xlpm._impactValue7,IFERROR(SimpleLookup(SimpleLookup($F65,Definitions!$H:$J),Definitions!$Q:$R),0),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"&amp;$F65&amp;CHAR(10)&amp;"&lt;---&gt;"&amp;CHAR(10)&amp;Questions!$A$30&amp;": "&amp;_xlpm._impactName14,
        ""))),
  "")</f>
        <v/>
      </c>
      <c r="AR65" s="12" cm="1">
        <f t="array" aca="1" ref="AR65" ca="1">CreateID($AR$3,$AQ65&lt;&gt;"")</f>
        <v>0</v>
      </c>
    </row>
    <row r="66" spans="10:44" x14ac:dyDescent="0.25">
      <c r="J66" s="12" t="str">
        <f t="shared" si="6"/>
        <v/>
      </c>
      <c r="K66" s="12" t="str">
        <f t="shared" si="7"/>
        <v/>
      </c>
      <c r="L66" s="12" t="e" cm="1">
        <f t="array" aca="1" ref="L66" ca="1">SimpleLookup($B66,Questions!$A:$B)</f>
        <v>#N/A</v>
      </c>
      <c r="M66" s="12" cm="1">
        <f t="array" aca="1" ref="M66" ca="1">CreateID($M$3,AND($B66&lt;&gt;"",$AD66))</f>
        <v>39</v>
      </c>
      <c r="N66" s="12" cm="1">
        <f t="array" ref="N66">CreateTaskID($N$3,$N:$N,Tasks!$B$17,$H66)</f>
        <v>0</v>
      </c>
      <c r="O66" s="12" t="str">
        <f t="shared" si="8"/>
        <v/>
      </c>
      <c r="P66" s="12" cm="1">
        <f t="array" aca="1" ref="P66" ca="1">CreateID($P$3,$O66&lt;&gt;"")</f>
        <v>39</v>
      </c>
      <c r="Q66" s="12" t="str">
        <f t="shared" si="9"/>
        <v/>
      </c>
      <c r="R66" s="12" cm="1">
        <f t="array" aca="1" ref="R66" ca="1">CreateID($R$3,$Q66&lt;&gt;"")</f>
        <v>0</v>
      </c>
      <c r="S66" s="12" t="str">
        <f t="shared" si="10"/>
        <v/>
      </c>
      <c r="T66" s="12" cm="1">
        <f t="array" aca="1" ref="T66" ca="1">CreateID($T$3,$S66&lt;&gt;"")</f>
        <v>0</v>
      </c>
      <c r="U66" s="12" t="str">
        <f t="shared" si="11"/>
        <v/>
      </c>
      <c r="V66" s="12" cm="1">
        <f t="array" aca="1" ref="V66" ca="1">CreateID($V$3,$U66&lt;&gt;"")</f>
        <v>0</v>
      </c>
      <c r="W66" s="12" cm="1">
        <f t="array" aca="1" ref="W66" ca="1">CreateID($W$3,IFERROR(FIND(Definitions!$AR$4,$H66)&gt;0,FALSE))</f>
        <v>0</v>
      </c>
      <c r="X66" s="12">
        <f>_xlfn.LET(
_xlpm._comment,$H66,
_xlpm._keyWord,Definitions!$AR$4,
_xlpm._diffLen,LEN(_xlpm._comment)-LEN(SUBSTITUTE(_xlpm._comment,_xlpm._keyWord,"")),
_xlpm._diffLen/LEN(_xlpm._keyWord))</f>
        <v>0</v>
      </c>
      <c r="Y66" s="12" cm="1">
        <f t="array" aca="1" ref="Y66" ca="1">CreateID($Y$3,IFERROR(FIND(Definitions!$AR$5,$H66)&gt;0,FALSE))</f>
        <v>0</v>
      </c>
      <c r="Z66" s="12">
        <f>_xlfn.LET(
_xlpm._comment,$H66,
_xlpm._keyWord,Definitions!$AR$5,
_xlpm._diffLen,LEN(_xlpm._comment)-LEN(SUBSTITUTE(_xlpm._comment,_xlpm._keyWord,"")),
_xlpm._diffLen/LEN(_xlpm._keyWord))</f>
        <v>0</v>
      </c>
      <c r="AA66" s="12" t="b">
        <f ca="1">OR(IFERROR(_xlfn.XMATCH("*,"&amp;$B66&amp;",*",Assumptions!$AH:$AH,2)&gt;0,FALSE),
IFERROR(_xlfn.XMATCH("*,"&amp;$B66&amp;",*",Countermeasures!$AK:$AK,2)&gt;0,FALSE))</f>
        <v>0</v>
      </c>
      <c r="AB66" s="12" t="str" cm="1">
        <f t="array" ref="AB66">CreateSearchString($J66)</f>
        <v/>
      </c>
      <c r="AC66" s="12" t="str" cm="1">
        <f t="array" ref="AC66">IF($F66="","",IFERROR(SimpleLookup($F66,Definitions!$H:$J),""))</f>
        <v/>
      </c>
      <c r="AD66" s="12" t="b" cm="1">
        <f t="array" ref="AD66">IF($B66="",FALSE,SimpleLookup($B66,Questions!$A:$D)="x")</f>
        <v>0</v>
      </c>
      <c r="AE66" s="12" t="str" cm="1">
        <f t="array" ref="AE66">IF(OR($B66="",NOT($AD66)),"",SimpleLookup($B66,Questions!$A:$E))</f>
        <v/>
      </c>
      <c r="AF66" s="12" t="str" cm="1">
        <f t="array" ref="AF66">IF(OR($B66="",NOT($AD66)),"",SimpleLookup($B66,Questions!$A:$F))</f>
        <v/>
      </c>
      <c r="AG66" s="12" t="str" cm="1">
        <f t="array" ref="AG66">_xlfn.LET(
_xlpm._answer,$D66,
_xlpm._infoTextFull,IF($AD66,CHAR(10)&amp;SimpleLookup($B66,Questions!$A:$H)&amp;CHAR(10),""),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66" s="12" t="b" cm="1">
        <f t="array" ref="AH66">IF(OR($B66="",NOT($AD66)),FALSE,_xlfn.LET(
_xlpm._secondAnswerRequiredOn,SimpleLookup($B66,Questions!$A:$I),
_xlpm._firstAnwer,$D66,
IFERROR(FIND(CHAR(10)&amp;_xlpm._firstAnwer&amp;":",CHAR(10)&amp;_xlpm._secondAnswerRequiredOn)&gt;0,FALSE)))</f>
        <v>0</v>
      </c>
      <c r="AI66" s="12" t="str" cm="1">
        <f t="array" ref="AI66">IF(OR($B66="",NOT($AD66)),"",_xlfn.LET(
_xlpm._id,$B66,
_xlpm._firstAnswer,$D66,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66" s="12" t="str" cm="1">
        <f t="array" ref="AJ66">IF(OR($B66="",NOT($AD66)),"",_xlfn.LET(
_xlpm._id,$B66,
_xlpm._firstAnswer,$D66,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66" s="12" t="str" cm="1">
        <f t="array" ref="AK66">IF($AH66,_xlfn.LET(
_xlpm._answer,$F66,
_xlpm._infoTextFull,IF($AD66,CHAR(10)&amp;SimpleLookup($B66,Questions!$A:$L)&amp;CHAR(10),""),
_xlpm._startSelectedByAnswerOne,IF(_xlpm._infoTextFull="",0,FIND("___"&amp;$D66&amp;"___",_xlpm._infoTextFull)+LEN("___"&amp;$D66&amp;"___")),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66" s="12" t="b" cm="1">
        <f t="array" ref="AL66">IF(OR($B66="",NOT($AD66)),FALSE,SimpleLookup($B66,Questions!$A:$Q))</f>
        <v>0</v>
      </c>
      <c r="AM66" s="12" t="str" cm="1">
        <f t="array" aca="1" ref="AM66" ca="1">IF(AND($B66=Questions!$A$41,IFERROR(SimpleLookup(Questions!$A$36,$B:$F)=Definitions!$O$5,FALSE),$D66=Definitions!$A$5),
Questions!$A$36&amp;" "&amp;Questions!$B$36&amp;CHAR(10)&amp;CHAR(187)&amp;" "&amp;SimpleLookup(Questions!$A$36,$B:$D)&amp;CHAR(10)&amp;SimpleLookup(Questions!$A$36,$B:$E)&amp;CHAR(10)&amp;CHAR(187)&amp;" "&amp;Definitions!$O$5&amp;CHAR(10)&amp;CHAR(10)&amp;
"is incosistent with"&amp;CHAR(10)&amp;CHAR(10)&amp;
$B66&amp;" "&amp;SimpleLookup($B66,Questions!$A:$B)&amp;CHAR(10)&amp;CHAR(187)&amp;" "&amp;$D66,
"")</f>
        <v/>
      </c>
      <c r="AN66" s="12" cm="1">
        <f t="array" aca="1" ref="AN66" ca="1">CreateID($AN$3,$AM66&lt;&gt;"")</f>
        <v>0</v>
      </c>
      <c r="AO66" s="12" t="str">
        <f ca="1">IF(OR($D66="",OFFSET($D66,1,0)=""),"",
IF(AND($B66=Questions!$A$59,OFFSET($B66,1,0)=Questions!$A$60),
IF(MATCH($D66,Definitions!$AW:$AW,0)&gt;MATCH(OFFSET($D66,1,0),Definitions!AW:AW,0),$B66&amp;" "&amp;$L66&amp;": "&amp;$D66&amp;CHAR(10)&amp;"&lt;---&gt;"&amp;CHAR(10)&amp;OFFSET($B66,1,0)&amp;" "&amp;OFFSET($L66,1,0)&amp;": "&amp;OFFSET($D66,1,0),""),
""))</f>
        <v/>
      </c>
      <c r="AP66" s="12" cm="1">
        <f t="array" aca="1" ref="AP66" ca="1">CreateID($AP$3,$AO66&lt;&gt;"")</f>
        <v>0</v>
      </c>
      <c r="AQ66" s="12" t="str" cm="1">
        <f t="array" ref="AQ66">IF($B66=Questions!$A$18,
  _xlfn.LET(
    _xlpm._impactValue7,IFERROR(SimpleLookup(SimpleLookup($F66,Definitions!$H:$J),Definitions!$Q:$R),0),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"&amp;$F66&amp;CHAR(10)&amp;"&lt;---&gt;"&amp;CHAR(10)&amp;Questions!$A$30&amp;": "&amp;_xlpm._impactName14,
        ""))),
  "")</f>
        <v/>
      </c>
      <c r="AR66" s="12" cm="1">
        <f t="array" aca="1" ref="AR66" ca="1">CreateID($AR$3,$AQ66&lt;&gt;"")</f>
        <v>0</v>
      </c>
    </row>
    <row r="67" spans="10:44" x14ac:dyDescent="0.25">
      <c r="J67" s="12" t="str">
        <f t="shared" si="6"/>
        <v/>
      </c>
      <c r="K67" s="12" t="str">
        <f t="shared" si="7"/>
        <v/>
      </c>
      <c r="L67" s="12" t="e" cm="1">
        <f t="array" aca="1" ref="L67" ca="1">SimpleLookup($B67,Questions!$A:$B)</f>
        <v>#N/A</v>
      </c>
      <c r="M67" s="12" cm="1">
        <f t="array" aca="1" ref="M67" ca="1">CreateID($M$3,AND($B67&lt;&gt;"",$AD67))</f>
        <v>39</v>
      </c>
      <c r="N67" s="12" cm="1">
        <f t="array" ref="N67">CreateTaskID($N$3,$N:$N,Tasks!$B$17,$H67)</f>
        <v>0</v>
      </c>
      <c r="O67" s="12" t="str">
        <f t="shared" si="8"/>
        <v/>
      </c>
      <c r="P67" s="12" cm="1">
        <f t="array" aca="1" ref="P67" ca="1">CreateID($P$3,$O67&lt;&gt;"")</f>
        <v>39</v>
      </c>
      <c r="Q67" s="12" t="str">
        <f t="shared" si="9"/>
        <v/>
      </c>
      <c r="R67" s="12" cm="1">
        <f t="array" aca="1" ref="R67" ca="1">CreateID($R$3,$Q67&lt;&gt;"")</f>
        <v>0</v>
      </c>
      <c r="S67" s="12" t="str">
        <f t="shared" si="10"/>
        <v/>
      </c>
      <c r="T67" s="12" cm="1">
        <f t="array" aca="1" ref="T67" ca="1">CreateID($T$3,$S67&lt;&gt;"")</f>
        <v>0</v>
      </c>
      <c r="U67" s="12" t="str">
        <f t="shared" si="11"/>
        <v/>
      </c>
      <c r="V67" s="12" cm="1">
        <f t="array" aca="1" ref="V67" ca="1">CreateID($V$3,$U67&lt;&gt;"")</f>
        <v>0</v>
      </c>
      <c r="W67" s="12" cm="1">
        <f t="array" aca="1" ref="W67" ca="1">CreateID($W$3,IFERROR(FIND(Definitions!$AR$4,$H67)&gt;0,FALSE))</f>
        <v>0</v>
      </c>
      <c r="X67" s="12">
        <f>_xlfn.LET(
_xlpm._comment,$H67,
_xlpm._keyWord,Definitions!$AR$4,
_xlpm._diffLen,LEN(_xlpm._comment)-LEN(SUBSTITUTE(_xlpm._comment,_xlpm._keyWord,"")),
_xlpm._diffLen/LEN(_xlpm._keyWord))</f>
        <v>0</v>
      </c>
      <c r="Y67" s="12" cm="1">
        <f t="array" aca="1" ref="Y67" ca="1">CreateID($Y$3,IFERROR(FIND(Definitions!$AR$5,$H67)&gt;0,FALSE))</f>
        <v>0</v>
      </c>
      <c r="Z67" s="12">
        <f>_xlfn.LET(
_xlpm._comment,$H67,
_xlpm._keyWord,Definitions!$AR$5,
_xlpm._diffLen,LEN(_xlpm._comment)-LEN(SUBSTITUTE(_xlpm._comment,_xlpm._keyWord,"")),
_xlpm._diffLen/LEN(_xlpm._keyWord))</f>
        <v>0</v>
      </c>
      <c r="AA67" s="12" t="b">
        <f ca="1">OR(IFERROR(_xlfn.XMATCH("*,"&amp;$B67&amp;",*",Assumptions!$AH:$AH,2)&gt;0,FALSE),
IFERROR(_xlfn.XMATCH("*,"&amp;$B67&amp;",*",Countermeasures!$AK:$AK,2)&gt;0,FALSE))</f>
        <v>0</v>
      </c>
      <c r="AB67" s="12" t="str" cm="1">
        <f t="array" ref="AB67">CreateSearchString($J67)</f>
        <v/>
      </c>
      <c r="AC67" s="12" t="str" cm="1">
        <f t="array" ref="AC67">IF($F67="","",IFERROR(SimpleLookup($F67,Definitions!$H:$J),""))</f>
        <v/>
      </c>
      <c r="AD67" s="12" t="b" cm="1">
        <f t="array" ref="AD67">IF($B67="",FALSE,SimpleLookup($B67,Questions!$A:$D)="x")</f>
        <v>0</v>
      </c>
      <c r="AE67" s="12" t="str" cm="1">
        <f t="array" ref="AE67">IF(OR($B67="",NOT($AD67)),"",SimpleLookup($B67,Questions!$A:$E))</f>
        <v/>
      </c>
      <c r="AF67" s="12" t="str" cm="1">
        <f t="array" ref="AF67">IF(OR($B67="",NOT($AD67)),"",SimpleLookup($B67,Questions!$A:$F))</f>
        <v/>
      </c>
      <c r="AG67" s="12" t="str" cm="1">
        <f t="array" ref="AG67">_xlfn.LET(
_xlpm._answer,$D67,
_xlpm._infoTextFull,IF($AD67,CHAR(10)&amp;SimpleLookup($B67,Questions!$A:$H)&amp;CHAR(10),""),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67" s="12" t="b" cm="1">
        <f t="array" ref="AH67">IF(OR($B67="",NOT($AD67)),FALSE,_xlfn.LET(
_xlpm._secondAnswerRequiredOn,SimpleLookup($B67,Questions!$A:$I),
_xlpm._firstAnwer,$D67,
IFERROR(FIND(CHAR(10)&amp;_xlpm._firstAnwer&amp;":",CHAR(10)&amp;_xlpm._secondAnswerRequiredOn)&gt;0,FALSE)))</f>
        <v>0</v>
      </c>
      <c r="AI67" s="12" t="str" cm="1">
        <f t="array" ref="AI67">IF(OR($B67="",NOT($AD67)),"",_xlfn.LET(
_xlpm._id,$B67,
_xlpm._firstAnswer,$D67,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67" s="12" t="str" cm="1">
        <f t="array" ref="AJ67">IF(OR($B67="",NOT($AD67)),"",_xlfn.LET(
_xlpm._id,$B67,
_xlpm._firstAnswer,$D67,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67" s="12" t="str" cm="1">
        <f t="array" ref="AK67">IF($AH67,_xlfn.LET(
_xlpm._answer,$F67,
_xlpm._infoTextFull,IF($AD67,CHAR(10)&amp;SimpleLookup($B67,Questions!$A:$L)&amp;CHAR(10),""),
_xlpm._startSelectedByAnswerOne,IF(_xlpm._infoTextFull="",0,FIND("___"&amp;$D67&amp;"___",_xlpm._infoTextFull)+LEN("___"&amp;$D67&amp;"___")),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67" s="12" t="b" cm="1">
        <f t="array" ref="AL67">IF(OR($B67="",NOT($AD67)),FALSE,SimpleLookup($B67,Questions!$A:$Q))</f>
        <v>0</v>
      </c>
      <c r="AM67" s="12" t="str" cm="1">
        <f t="array" aca="1" ref="AM67" ca="1">IF(AND($B67=Questions!$A$41,IFERROR(SimpleLookup(Questions!$A$36,$B:$F)=Definitions!$O$5,FALSE),$D67=Definitions!$A$5),
Questions!$A$36&amp;" "&amp;Questions!$B$36&amp;CHAR(10)&amp;CHAR(187)&amp;" "&amp;SimpleLookup(Questions!$A$36,$B:$D)&amp;CHAR(10)&amp;SimpleLookup(Questions!$A$36,$B:$E)&amp;CHAR(10)&amp;CHAR(187)&amp;" "&amp;Definitions!$O$5&amp;CHAR(10)&amp;CHAR(10)&amp;
"is incosistent with"&amp;CHAR(10)&amp;CHAR(10)&amp;
$B67&amp;" "&amp;SimpleLookup($B67,Questions!$A:$B)&amp;CHAR(10)&amp;CHAR(187)&amp;" "&amp;$D67,
"")</f>
        <v/>
      </c>
      <c r="AN67" s="12" cm="1">
        <f t="array" aca="1" ref="AN67" ca="1">CreateID($AN$3,$AM67&lt;&gt;"")</f>
        <v>0</v>
      </c>
      <c r="AO67" s="12" t="str">
        <f ca="1">IF(OR($D67="",OFFSET($D67,1,0)=""),"",
IF(AND($B67=Questions!$A$59,OFFSET($B67,1,0)=Questions!$A$60),
IF(MATCH($D67,Definitions!$AW:$AW,0)&gt;MATCH(OFFSET($D67,1,0),Definitions!AW:AW,0),$B67&amp;" "&amp;$L67&amp;": "&amp;$D67&amp;CHAR(10)&amp;"&lt;---&gt;"&amp;CHAR(10)&amp;OFFSET($B67,1,0)&amp;" "&amp;OFFSET($L67,1,0)&amp;": "&amp;OFFSET($D67,1,0),""),
""))</f>
        <v/>
      </c>
      <c r="AP67" s="12" cm="1">
        <f t="array" aca="1" ref="AP67" ca="1">CreateID($AP$3,$AO67&lt;&gt;"")</f>
        <v>0</v>
      </c>
      <c r="AQ67" s="12" t="str" cm="1">
        <f t="array" ref="AQ67">IF($B67=Questions!$A$18,
  _xlfn.LET(
    _xlpm._impactValue7,IFERROR(SimpleLookup(SimpleLookup($F67,Definitions!$H:$J),Definitions!$Q:$R),0),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"&amp;$F67&amp;CHAR(10)&amp;"&lt;---&gt;"&amp;CHAR(10)&amp;Questions!$A$30&amp;": "&amp;_xlpm._impactName14,
        ""))),
  "")</f>
        <v/>
      </c>
      <c r="AR67" s="12" cm="1">
        <f t="array" aca="1" ref="AR67" ca="1">CreateID($AR$3,$AQ67&lt;&gt;"")</f>
        <v>0</v>
      </c>
    </row>
    <row r="68" spans="10:44" x14ac:dyDescent="0.25">
      <c r="J68" s="12" t="str">
        <f t="shared" si="6"/>
        <v/>
      </c>
      <c r="K68" s="12" t="str">
        <f t="shared" si="7"/>
        <v/>
      </c>
      <c r="L68" s="12" t="e" cm="1">
        <f t="array" aca="1" ref="L68" ca="1">SimpleLookup($B68,Questions!$A:$B)</f>
        <v>#N/A</v>
      </c>
      <c r="M68" s="12" cm="1">
        <f t="array" aca="1" ref="M68" ca="1">CreateID($M$3,AND($B68&lt;&gt;"",$AD68))</f>
        <v>39</v>
      </c>
      <c r="N68" s="12" cm="1">
        <f t="array" ref="N68">CreateTaskID($N$3,$N:$N,Tasks!$B$17,$H68)</f>
        <v>0</v>
      </c>
      <c r="O68" s="12" t="str">
        <f t="shared" ref="O68:O103" si="16">IF($AD68,IF(AND($B68&lt;&gt;"",$D68="",$AL68=FALSE),$B68&amp;" "&amp;$L68,""),"")</f>
        <v/>
      </c>
      <c r="P68" s="12" cm="1">
        <f t="array" aca="1" ref="P68" ca="1">CreateID($P$3,$O68&lt;&gt;"")</f>
        <v>39</v>
      </c>
      <c r="Q68" s="12" t="str">
        <f t="shared" si="9"/>
        <v/>
      </c>
      <c r="R68" s="12" cm="1">
        <f t="array" aca="1" ref="R68" ca="1">CreateID($R$3,$Q68&lt;&gt;"")</f>
        <v>0</v>
      </c>
      <c r="S68" s="12" t="str">
        <f t="shared" si="10"/>
        <v/>
      </c>
      <c r="T68" s="12" cm="1">
        <f t="array" aca="1" ref="T68" ca="1">CreateID($T$3,$S68&lt;&gt;"")</f>
        <v>0</v>
      </c>
      <c r="U68" s="12" t="str">
        <f t="shared" si="11"/>
        <v/>
      </c>
      <c r="V68" s="12" cm="1">
        <f t="array" aca="1" ref="V68" ca="1">CreateID($V$3,$U68&lt;&gt;"")</f>
        <v>0</v>
      </c>
      <c r="W68" s="12" cm="1">
        <f t="array" aca="1" ref="W68" ca="1">CreateID($W$3,IFERROR(FIND(Definitions!$AR$4,$H68)&gt;0,FALSE))</f>
        <v>0</v>
      </c>
      <c r="X68" s="12">
        <f>_xlfn.LET(
_xlpm._comment,$H68,
_xlpm._keyWord,Definitions!$AR$4,
_xlpm._diffLen,LEN(_xlpm._comment)-LEN(SUBSTITUTE(_xlpm._comment,_xlpm._keyWord,"")),
_xlpm._diffLen/LEN(_xlpm._keyWord))</f>
        <v>0</v>
      </c>
      <c r="Y68" s="12" cm="1">
        <f t="array" aca="1" ref="Y68" ca="1">CreateID($Y$3,IFERROR(FIND(Definitions!$AR$5,$H68)&gt;0,FALSE))</f>
        <v>0</v>
      </c>
      <c r="Z68" s="12">
        <f>_xlfn.LET(
_xlpm._comment,$H68,
_xlpm._keyWord,Definitions!$AR$5,
_xlpm._diffLen,LEN(_xlpm._comment)-LEN(SUBSTITUTE(_xlpm._comment,_xlpm._keyWord,"")),
_xlpm._diffLen/LEN(_xlpm._keyWord))</f>
        <v>0</v>
      </c>
      <c r="AA68" s="12" t="b">
        <f ca="1">OR(IFERROR(_xlfn.XMATCH("*,"&amp;$B68&amp;",*",Assumptions!$AH:$AH,2)&gt;0,FALSE),
IFERROR(_xlfn.XMATCH("*,"&amp;$B68&amp;",*",Countermeasures!$AK:$AK,2)&gt;0,FALSE))</f>
        <v>0</v>
      </c>
      <c r="AB68" s="12" t="str" cm="1">
        <f t="array" ref="AB68">CreateSearchString($J68)</f>
        <v/>
      </c>
      <c r="AC68" s="12" t="str" cm="1">
        <f t="array" ref="AC68">IF($F68="","",IFERROR(SimpleLookup($F68,Definitions!$H:$J),""))</f>
        <v/>
      </c>
      <c r="AD68" s="12" t="b" cm="1">
        <f t="array" ref="AD68">IF($B68="",FALSE,SimpleLookup($B68,Questions!$A:$D)="x")</f>
        <v>0</v>
      </c>
      <c r="AE68" s="12" t="str" cm="1">
        <f t="array" ref="AE68">IF(OR($B68="",NOT($AD68)),"",SimpleLookup($B68,Questions!$A:$E))</f>
        <v/>
      </c>
      <c r="AF68" s="12" t="str" cm="1">
        <f t="array" ref="AF68">IF(OR($B68="",NOT($AD68)),"",SimpleLookup($B68,Questions!$A:$F))</f>
        <v/>
      </c>
      <c r="AG68" s="12" t="str" cm="1">
        <f t="array" ref="AG68">_xlfn.LET(
_xlpm._answer,$D68,
_xlpm._infoTextFull,IF($AD68,CHAR(10)&amp;SimpleLookup($B68,Questions!$A:$H)&amp;CHAR(10),""),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68" s="12" t="b" cm="1">
        <f t="array" ref="AH68">IF(OR($B68="",NOT($AD68)),FALSE,_xlfn.LET(
_xlpm._secondAnswerRequiredOn,SimpleLookup($B68,Questions!$A:$I),
_xlpm._firstAnwer,$D68,
IFERROR(FIND(CHAR(10)&amp;_xlpm._firstAnwer&amp;":",CHAR(10)&amp;_xlpm._secondAnswerRequiredOn)&gt;0,FALSE)))</f>
        <v>0</v>
      </c>
      <c r="AI68" s="12" t="str" cm="1">
        <f t="array" ref="AI68">IF(OR($B68="",NOT($AD68)),"",_xlfn.LET(
_xlpm._id,$B68,
_xlpm._firstAnswer,$D68,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68" s="12" t="str" cm="1">
        <f t="array" ref="AJ68">IF(OR($B68="",NOT($AD68)),"",_xlfn.LET(
_xlpm._id,$B68,
_xlpm._firstAnswer,$D68,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68" s="12" t="str" cm="1">
        <f t="array" ref="AK68">IF($AH68,_xlfn.LET(
_xlpm._answer,$F68,
_xlpm._infoTextFull,IF($AD68,CHAR(10)&amp;SimpleLookup($B68,Questions!$A:$L)&amp;CHAR(10),""),
_xlpm._startSelectedByAnswerOne,IF(_xlpm._infoTextFull="",0,FIND("___"&amp;$D68&amp;"___",_xlpm._infoTextFull)+LEN("___"&amp;$D68&amp;"___")),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68" s="12" t="b" cm="1">
        <f t="array" ref="AL68">IF(OR($B68="",NOT($AD68)),FALSE,SimpleLookup($B68,Questions!$A:$Q))</f>
        <v>0</v>
      </c>
      <c r="AM68" s="12" t="str" cm="1">
        <f t="array" aca="1" ref="AM68" ca="1">IF(AND($B68=Questions!$A$41,IFERROR(SimpleLookup(Questions!$A$36,$B:$F)=Definitions!$O$5,FALSE),$D68=Definitions!$A$5),
Questions!$A$36&amp;" "&amp;Questions!$B$36&amp;CHAR(10)&amp;CHAR(187)&amp;" "&amp;SimpleLookup(Questions!$A$36,$B:$D)&amp;CHAR(10)&amp;SimpleLookup(Questions!$A$36,$B:$E)&amp;CHAR(10)&amp;CHAR(187)&amp;" "&amp;Definitions!$O$5&amp;CHAR(10)&amp;CHAR(10)&amp;
"is incosistent with"&amp;CHAR(10)&amp;CHAR(10)&amp;
$B68&amp;" "&amp;SimpleLookup($B68,Questions!$A:$B)&amp;CHAR(10)&amp;CHAR(187)&amp;" "&amp;$D68,
"")</f>
        <v/>
      </c>
      <c r="AN68" s="12" cm="1">
        <f t="array" aca="1" ref="AN68" ca="1">CreateID($AN$3,$AM68&lt;&gt;"")</f>
        <v>0</v>
      </c>
      <c r="AO68" s="12" t="str">
        <f ca="1">IF(OR($D68="",OFFSET($D68,1,0)=""),"",
IF(AND($B68=Questions!$A$59,OFFSET($B68,1,0)=Questions!$A$60),
IF(MATCH($D68,Definitions!$AW:$AW,0)&gt;MATCH(OFFSET($D68,1,0),Definitions!AW:AW,0),$B68&amp;" "&amp;$L68&amp;": "&amp;$D68&amp;CHAR(10)&amp;"&lt;---&gt;"&amp;CHAR(10)&amp;OFFSET($B68,1,0)&amp;" "&amp;OFFSET($L68,1,0)&amp;": "&amp;OFFSET($D68,1,0),""),
""))</f>
        <v/>
      </c>
      <c r="AP68" s="12" cm="1">
        <f t="array" aca="1" ref="AP68" ca="1">CreateID($AP$3,$AO68&lt;&gt;"")</f>
        <v>0</v>
      </c>
      <c r="AQ68" s="12" t="str" cm="1">
        <f t="array" ref="AQ68">IF($B68=Questions!$A$18,
  _xlfn.LET(
    _xlpm._impactValue7,IFERROR(SimpleLookup(SimpleLookup($F68,Definitions!$H:$J),Definitions!$Q:$R),0),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"&amp;$F68&amp;CHAR(10)&amp;"&lt;---&gt;"&amp;CHAR(10)&amp;Questions!$A$30&amp;": "&amp;_xlpm._impactName14,
        ""))),
  "")</f>
        <v/>
      </c>
      <c r="AR68" s="12" cm="1">
        <f t="array" aca="1" ref="AR68" ca="1">CreateID($AR$3,$AQ68&lt;&gt;"")</f>
        <v>0</v>
      </c>
    </row>
    <row r="69" spans="10:44" x14ac:dyDescent="0.25">
      <c r="J69" s="12" t="str">
        <f t="shared" si="6"/>
        <v/>
      </c>
      <c r="K69" s="12" t="str">
        <f t="shared" si="7"/>
        <v/>
      </c>
      <c r="L69" s="12" t="e" cm="1">
        <f t="array" aca="1" ref="L69" ca="1">SimpleLookup($B69,Questions!$A:$B)</f>
        <v>#N/A</v>
      </c>
      <c r="M69" s="12" cm="1">
        <f t="array" aca="1" ref="M69" ca="1">CreateID($M$3,AND($B69&lt;&gt;"",$AD69))</f>
        <v>39</v>
      </c>
      <c r="N69" s="12" cm="1">
        <f t="array" ref="N69">CreateTaskID($N$3,$N:$N,Tasks!$B$17,$H69)</f>
        <v>0</v>
      </c>
      <c r="O69" s="12" t="str">
        <f t="shared" si="16"/>
        <v/>
      </c>
      <c r="P69" s="12" cm="1">
        <f t="array" aca="1" ref="P69" ca="1">CreateID($P$3,$O69&lt;&gt;"")</f>
        <v>39</v>
      </c>
      <c r="Q69" s="12" t="str">
        <f t="shared" si="9"/>
        <v/>
      </c>
      <c r="R69" s="12" cm="1">
        <f t="array" aca="1" ref="R69" ca="1">CreateID($R$3,$Q69&lt;&gt;"")</f>
        <v>0</v>
      </c>
      <c r="S69" s="12" t="str">
        <f t="shared" si="10"/>
        <v/>
      </c>
      <c r="T69" s="12" cm="1">
        <f t="array" aca="1" ref="T69" ca="1">CreateID($T$3,$S69&lt;&gt;"")</f>
        <v>0</v>
      </c>
      <c r="U69" s="12" t="str">
        <f t="shared" si="11"/>
        <v/>
      </c>
      <c r="V69" s="12" cm="1">
        <f t="array" aca="1" ref="V69" ca="1">CreateID($V$3,$U69&lt;&gt;"")</f>
        <v>0</v>
      </c>
      <c r="W69" s="12" cm="1">
        <f t="array" aca="1" ref="W69" ca="1">CreateID($W$3,IFERROR(FIND(Definitions!$AR$4,$H69)&gt;0,FALSE))</f>
        <v>0</v>
      </c>
      <c r="X69" s="12">
        <f>_xlfn.LET(
_xlpm._comment,$H69,
_xlpm._keyWord,Definitions!$AR$4,
_xlpm._diffLen,LEN(_xlpm._comment)-LEN(SUBSTITUTE(_xlpm._comment,_xlpm._keyWord,"")),
_xlpm._diffLen/LEN(_xlpm._keyWord))</f>
        <v>0</v>
      </c>
      <c r="Y69" s="12" cm="1">
        <f t="array" aca="1" ref="Y69" ca="1">CreateID($Y$3,IFERROR(FIND(Definitions!$AR$5,$H69)&gt;0,FALSE))</f>
        <v>0</v>
      </c>
      <c r="Z69" s="12">
        <f>_xlfn.LET(
_xlpm._comment,$H69,
_xlpm._keyWord,Definitions!$AR$5,
_xlpm._diffLen,LEN(_xlpm._comment)-LEN(SUBSTITUTE(_xlpm._comment,_xlpm._keyWord,"")),
_xlpm._diffLen/LEN(_xlpm._keyWord))</f>
        <v>0</v>
      </c>
      <c r="AA69" s="12" t="b">
        <f ca="1">OR(IFERROR(_xlfn.XMATCH("*,"&amp;$B69&amp;",*",Assumptions!$AH:$AH,2)&gt;0,FALSE),
IFERROR(_xlfn.XMATCH("*,"&amp;$B69&amp;",*",Countermeasures!$AK:$AK,2)&gt;0,FALSE))</f>
        <v>0</v>
      </c>
      <c r="AB69" s="12" t="str" cm="1">
        <f t="array" ref="AB69">CreateSearchString($J69)</f>
        <v/>
      </c>
      <c r="AC69" s="12" t="str" cm="1">
        <f t="array" ref="AC69">IF($F69="","",IFERROR(SimpleLookup($F69,Definitions!$H:$J),""))</f>
        <v/>
      </c>
      <c r="AD69" s="12" t="b" cm="1">
        <f t="array" ref="AD69">IF($B69="",FALSE,SimpleLookup($B69,Questions!$A:$D)="x")</f>
        <v>0</v>
      </c>
      <c r="AE69" s="12" t="str" cm="1">
        <f t="array" ref="AE69">IF(OR($B69="",NOT($AD69)),"",SimpleLookup($B69,Questions!$A:$E))</f>
        <v/>
      </c>
      <c r="AF69" s="12" t="str" cm="1">
        <f t="array" ref="AF69">IF(OR($B69="",NOT($AD69)),"",SimpleLookup($B69,Questions!$A:$F))</f>
        <v/>
      </c>
      <c r="AG69" s="12" t="str" cm="1">
        <f t="array" ref="AG69">_xlfn.LET(
_xlpm._answer,$D69,
_xlpm._infoTextFull,IF($AD69,CHAR(10)&amp;SimpleLookup($B69,Questions!$A:$H)&amp;CHAR(10),""),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69" s="12" t="b" cm="1">
        <f t="array" ref="AH69">IF(OR($B69="",NOT($AD69)),FALSE,_xlfn.LET(
_xlpm._secondAnswerRequiredOn,SimpleLookup($B69,Questions!$A:$I),
_xlpm._firstAnwer,$D69,
IFERROR(FIND(CHAR(10)&amp;_xlpm._firstAnwer&amp;":",CHAR(10)&amp;_xlpm._secondAnswerRequiredOn)&gt;0,FALSE)))</f>
        <v>0</v>
      </c>
      <c r="AI69" s="12" t="str" cm="1">
        <f t="array" ref="AI69">IF(OR($B69="",NOT($AD69)),"",_xlfn.LET(
_xlpm._id,$B69,
_xlpm._firstAnswer,$D69,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69" s="12" t="str" cm="1">
        <f t="array" ref="AJ69">IF(OR($B69="",NOT($AD69)),"",_xlfn.LET(
_xlpm._id,$B69,
_xlpm._firstAnswer,$D69,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69" s="12" t="str" cm="1">
        <f t="array" ref="AK69">IF($AH69,_xlfn.LET(
_xlpm._answer,$F69,
_xlpm._infoTextFull,IF($AD69,CHAR(10)&amp;SimpleLookup($B69,Questions!$A:$L)&amp;CHAR(10),""),
_xlpm._startSelectedByAnswerOne,IF(_xlpm._infoTextFull="",0,FIND("___"&amp;$D69&amp;"___",_xlpm._infoTextFull)+LEN("___"&amp;$D69&amp;"___")),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69" s="12" t="b" cm="1">
        <f t="array" ref="AL69">IF(OR($B69="",NOT($AD69)),FALSE,SimpleLookup($B69,Questions!$A:$Q))</f>
        <v>0</v>
      </c>
      <c r="AM69" s="12" t="str" cm="1">
        <f t="array" aca="1" ref="AM69" ca="1">IF(AND($B69=Questions!$A$41,IFERROR(SimpleLookup(Questions!$A$36,$B:$F)=Definitions!$O$5,FALSE),$D69=Definitions!$A$5),
Questions!$A$36&amp;" "&amp;Questions!$B$36&amp;CHAR(10)&amp;CHAR(187)&amp;" "&amp;SimpleLookup(Questions!$A$36,$B:$D)&amp;CHAR(10)&amp;SimpleLookup(Questions!$A$36,$B:$E)&amp;CHAR(10)&amp;CHAR(187)&amp;" "&amp;Definitions!$O$5&amp;CHAR(10)&amp;CHAR(10)&amp;
"is incosistent with"&amp;CHAR(10)&amp;CHAR(10)&amp;
$B69&amp;" "&amp;SimpleLookup($B69,Questions!$A:$B)&amp;CHAR(10)&amp;CHAR(187)&amp;" "&amp;$D69,
"")</f>
        <v/>
      </c>
      <c r="AN69" s="12" cm="1">
        <f t="array" aca="1" ref="AN69" ca="1">CreateID($AN$3,$AM69&lt;&gt;"")</f>
        <v>0</v>
      </c>
      <c r="AO69" s="12" t="str">
        <f ca="1">IF(OR($D69="",OFFSET($D69,1,0)=""),"",
IF(AND($B69=Questions!$A$59,OFFSET($B69,1,0)=Questions!$A$60),
IF(MATCH($D69,Definitions!$AW:$AW,0)&gt;MATCH(OFFSET($D69,1,0),Definitions!AW:AW,0),$B69&amp;" "&amp;$L69&amp;": "&amp;$D69&amp;CHAR(10)&amp;"&lt;---&gt;"&amp;CHAR(10)&amp;OFFSET($B69,1,0)&amp;" "&amp;OFFSET($L69,1,0)&amp;": "&amp;OFFSET($D69,1,0),""),
""))</f>
        <v/>
      </c>
      <c r="AP69" s="12" cm="1">
        <f t="array" aca="1" ref="AP69" ca="1">CreateID($AP$3,$AO69&lt;&gt;"")</f>
        <v>0</v>
      </c>
      <c r="AQ69" s="12" t="str" cm="1">
        <f t="array" ref="AQ69">IF($B69=Questions!$A$18,
  _xlfn.LET(
    _xlpm._impactValue7,IFERROR(SimpleLookup(SimpleLookup($F69,Definitions!$H:$J),Definitions!$Q:$R),0),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"&amp;$F69&amp;CHAR(10)&amp;"&lt;---&gt;"&amp;CHAR(10)&amp;Questions!$A$30&amp;": "&amp;_xlpm._impactName14,
        ""))),
  "")</f>
        <v/>
      </c>
      <c r="AR69" s="12" cm="1">
        <f t="array" aca="1" ref="AR69" ca="1">CreateID($AR$3,$AQ69&lt;&gt;"")</f>
        <v>0</v>
      </c>
    </row>
    <row r="70" spans="10:44" x14ac:dyDescent="0.25">
      <c r="J70" s="12" t="str">
        <f t="shared" ref="J70:J103" si="17">IF($AD70,SUBSTITUTE(IF($B70="","",$B70&amp;"["&amp;$D70&amp;IF($F70="","","|"&amp;$F70)&amp;"]")," ",""),"")</f>
        <v/>
      </c>
      <c r="K70" s="12" t="str">
        <f t="shared" ref="K70:K103" si="18">IF($AD70,SUBSTITUTE(IF($B70="","",$B70&amp;"["&amp;$D70&amp;IF($F70="","]","|*]"))," ",""),"")</f>
        <v/>
      </c>
      <c r="L70" s="12" t="e" cm="1">
        <f t="array" aca="1" ref="L70" ca="1">SimpleLookup($B70,Questions!$A:$B)</f>
        <v>#N/A</v>
      </c>
      <c r="M70" s="12" cm="1">
        <f t="array" aca="1" ref="M70" ca="1">CreateID($M$3,AND($B70&lt;&gt;"",$AD70))</f>
        <v>39</v>
      </c>
      <c r="N70" s="12" cm="1">
        <f t="array" ref="N70">CreateTaskID($N$3,$N:$N,Tasks!$B$17,$H70)</f>
        <v>0</v>
      </c>
      <c r="O70" s="12" t="str">
        <f t="shared" si="16"/>
        <v/>
      </c>
      <c r="P70" s="12" cm="1">
        <f t="array" aca="1" ref="P70" ca="1">CreateID($P$3,$O70&lt;&gt;"")</f>
        <v>39</v>
      </c>
      <c r="Q70" s="12" t="str">
        <f t="shared" ref="Q70:Q103" si="19">IF(AND($E70&lt;&gt;"",$F70=""),$B70&amp;" "&amp;$L70,"")</f>
        <v/>
      </c>
      <c r="R70" s="12" cm="1">
        <f t="array" aca="1" ref="R70" ca="1">CreateID($R$3,$Q70&lt;&gt;"")</f>
        <v>0</v>
      </c>
      <c r="S70" s="12" t="str">
        <f t="shared" ref="S70:S103" si="20">IF(AND($G70&lt;&gt;"",$H70=""),$B70&amp;" "&amp;$L70,"")</f>
        <v/>
      </c>
      <c r="T70" s="12" cm="1">
        <f t="array" aca="1" ref="T70" ca="1">CreateID($T$3,$S70&lt;&gt;"")</f>
        <v>0</v>
      </c>
      <c r="U70" s="12" t="str">
        <f t="shared" ref="U70:U103" si="21">IF($B70="","",IF(AND(NOT($AH70),$F70&lt;&gt;""),$B70&amp;" "&amp;$L70,""))</f>
        <v/>
      </c>
      <c r="V70" s="12" cm="1">
        <f t="array" aca="1" ref="V70" ca="1">CreateID($V$3,$U70&lt;&gt;"")</f>
        <v>0</v>
      </c>
      <c r="W70" s="12" cm="1">
        <f t="array" aca="1" ref="W70" ca="1">CreateID($W$3,IFERROR(FIND(Definitions!$AR$4,$H70)&gt;0,FALSE))</f>
        <v>0</v>
      </c>
      <c r="X70" s="12">
        <f>_xlfn.LET(
_xlpm._comment,$H70,
_xlpm._keyWord,Definitions!$AR$4,
_xlpm._diffLen,LEN(_xlpm._comment)-LEN(SUBSTITUTE(_xlpm._comment,_xlpm._keyWord,"")),
_xlpm._diffLen/LEN(_xlpm._keyWord))</f>
        <v>0</v>
      </c>
      <c r="Y70" s="12" cm="1">
        <f t="array" aca="1" ref="Y70" ca="1">CreateID($Y$3,IFERROR(FIND(Definitions!$AR$5,$H70)&gt;0,FALSE))</f>
        <v>0</v>
      </c>
      <c r="Z70" s="12">
        <f>_xlfn.LET(
_xlpm._comment,$H70,
_xlpm._keyWord,Definitions!$AR$5,
_xlpm._diffLen,LEN(_xlpm._comment)-LEN(SUBSTITUTE(_xlpm._comment,_xlpm._keyWord,"")),
_xlpm._diffLen/LEN(_xlpm._keyWord))</f>
        <v>0</v>
      </c>
      <c r="AA70" s="12" t="b">
        <f ca="1">OR(IFERROR(_xlfn.XMATCH("*,"&amp;$B70&amp;",*",Assumptions!$AH:$AH,2)&gt;0,FALSE),
IFERROR(_xlfn.XMATCH("*,"&amp;$B70&amp;",*",Countermeasures!$AK:$AK,2)&gt;0,FALSE))</f>
        <v>0</v>
      </c>
      <c r="AB70" s="12" t="str" cm="1">
        <f t="array" ref="AB70">CreateSearchString($J70)</f>
        <v/>
      </c>
      <c r="AC70" s="12" t="str" cm="1">
        <f t="array" ref="AC70">IF($F70="","",IFERROR(SimpleLookup($F70,Definitions!$H:$J),""))</f>
        <v/>
      </c>
      <c r="AD70" s="12" t="b" cm="1">
        <f t="array" ref="AD70">IF($B70="",FALSE,SimpleLookup($B70,Questions!$A:$D)="x")</f>
        <v>0</v>
      </c>
      <c r="AE70" s="12" t="str" cm="1">
        <f t="array" ref="AE70">IF(OR($B70="",NOT($AD70)),"",SimpleLookup($B70,Questions!$A:$E))</f>
        <v/>
      </c>
      <c r="AF70" s="12" t="str" cm="1">
        <f t="array" ref="AF70">IF(OR($B70="",NOT($AD70)),"",SimpleLookup($B70,Questions!$A:$F))</f>
        <v/>
      </c>
      <c r="AG70" s="12" t="str" cm="1">
        <f t="array" ref="AG70">_xlfn.LET(
_xlpm._answer,$D70,
_xlpm._infoTextFull,IF($AD70,CHAR(10)&amp;SimpleLookup($B70,Questions!$A:$H)&amp;CHAR(10),""),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70" s="12" t="b" cm="1">
        <f t="array" ref="AH70">IF(OR($B70="",NOT($AD70)),FALSE,_xlfn.LET(
_xlpm._secondAnswerRequiredOn,SimpleLookup($B70,Questions!$A:$I),
_xlpm._firstAnwer,$D70,
IFERROR(FIND(CHAR(10)&amp;_xlpm._firstAnwer&amp;":",CHAR(10)&amp;_xlpm._secondAnswerRequiredOn)&gt;0,FALSE)))</f>
        <v>0</v>
      </c>
      <c r="AI70" s="12" t="str" cm="1">
        <f t="array" ref="AI70">IF(OR($B70="",NOT($AD70)),"",_xlfn.LET(
_xlpm._id,$B70,
_xlpm._firstAnswer,$D70,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70" s="12" t="str" cm="1">
        <f t="array" ref="AJ70">IF(OR($B70="",NOT($AD70)),"",_xlfn.LET(
_xlpm._id,$B70,
_xlpm._firstAnswer,$D70,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70" s="12" t="str" cm="1">
        <f t="array" ref="AK70">IF($AH70,_xlfn.LET(
_xlpm._answer,$F70,
_xlpm._infoTextFull,IF($AD70,CHAR(10)&amp;SimpleLookup($B70,Questions!$A:$L)&amp;CHAR(10),""),
_xlpm._startSelectedByAnswerOne,IF(_xlpm._infoTextFull="",0,FIND("___"&amp;$D70&amp;"___",_xlpm._infoTextFull)+LEN("___"&amp;$D70&amp;"___")),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70" s="12" t="b" cm="1">
        <f t="array" ref="AL70">IF(OR($B70="",NOT($AD70)),FALSE,SimpleLookup($B70,Questions!$A:$Q))</f>
        <v>0</v>
      </c>
      <c r="AM70" s="12" t="str" cm="1">
        <f t="array" aca="1" ref="AM70" ca="1">IF(AND($B70=Questions!$A$41,IFERROR(SimpleLookup(Questions!$A$36,$B:$F)=Definitions!$O$5,FALSE),$D70=Definitions!$A$5),
Questions!$A$36&amp;" "&amp;Questions!$B$36&amp;CHAR(10)&amp;CHAR(187)&amp;" "&amp;SimpleLookup(Questions!$A$36,$B:$D)&amp;CHAR(10)&amp;SimpleLookup(Questions!$A$36,$B:$E)&amp;CHAR(10)&amp;CHAR(187)&amp;" "&amp;Definitions!$O$5&amp;CHAR(10)&amp;CHAR(10)&amp;
"is incosistent with"&amp;CHAR(10)&amp;CHAR(10)&amp;
$B70&amp;" "&amp;SimpleLookup($B70,Questions!$A:$B)&amp;CHAR(10)&amp;CHAR(187)&amp;" "&amp;$D70,
"")</f>
        <v/>
      </c>
      <c r="AN70" s="12" cm="1">
        <f t="array" aca="1" ref="AN70" ca="1">CreateID($AN$3,$AM70&lt;&gt;"")</f>
        <v>0</v>
      </c>
      <c r="AO70" s="12" t="str">
        <f ca="1">IF(OR($D70="",OFFSET($D70,1,0)=""),"",
IF(AND($B70=Questions!$A$59,OFFSET($B70,1,0)=Questions!$A$60),
IF(MATCH($D70,Definitions!$AW:$AW,0)&gt;MATCH(OFFSET($D70,1,0),Definitions!AW:AW,0),$B70&amp;" "&amp;$L70&amp;": "&amp;$D70&amp;CHAR(10)&amp;"&lt;---&gt;"&amp;CHAR(10)&amp;OFFSET($B70,1,0)&amp;" "&amp;OFFSET($L70,1,0)&amp;": "&amp;OFFSET($D70,1,0),""),
""))</f>
        <v/>
      </c>
      <c r="AP70" s="12" cm="1">
        <f t="array" aca="1" ref="AP70" ca="1">CreateID($AP$3,$AO70&lt;&gt;"")</f>
        <v>0</v>
      </c>
      <c r="AQ70" s="12" t="str" cm="1">
        <f t="array" ref="AQ70">IF($B70=Questions!$A$18,
  _xlfn.LET(
    _xlpm._impactValue7,IFERROR(SimpleLookup(SimpleLookup($F70,Definitions!$H:$J),Definitions!$Q:$R),0),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"&amp;$F70&amp;CHAR(10)&amp;"&lt;---&gt;"&amp;CHAR(10)&amp;Questions!$A$30&amp;": "&amp;_xlpm._impactName14,
        ""))),
  "")</f>
        <v/>
      </c>
      <c r="AR70" s="12" cm="1">
        <f t="array" aca="1" ref="AR70" ca="1">CreateID($AR$3,$AQ70&lt;&gt;"")</f>
        <v>0</v>
      </c>
    </row>
    <row r="71" spans="10:44" x14ac:dyDescent="0.25">
      <c r="J71" s="12" t="str">
        <f t="shared" si="17"/>
        <v/>
      </c>
      <c r="K71" s="12" t="str">
        <f t="shared" si="18"/>
        <v/>
      </c>
      <c r="L71" s="12" t="e" cm="1">
        <f t="array" aca="1" ref="L71" ca="1">SimpleLookup($B71,Questions!$A:$B)</f>
        <v>#N/A</v>
      </c>
      <c r="M71" s="12" cm="1">
        <f t="array" aca="1" ref="M71" ca="1">CreateID($M$3,AND($B71&lt;&gt;"",$AD71))</f>
        <v>39</v>
      </c>
      <c r="N71" s="12" cm="1">
        <f t="array" ref="N71">CreateTaskID($N$3,$N:$N,Tasks!$B$17,$H71)</f>
        <v>0</v>
      </c>
      <c r="O71" s="12" t="str">
        <f t="shared" si="16"/>
        <v/>
      </c>
      <c r="P71" s="12" cm="1">
        <f t="array" aca="1" ref="P71" ca="1">CreateID($P$3,$O71&lt;&gt;"")</f>
        <v>39</v>
      </c>
      <c r="Q71" s="12" t="str">
        <f t="shared" si="19"/>
        <v/>
      </c>
      <c r="R71" s="12" cm="1">
        <f t="array" aca="1" ref="R71" ca="1">CreateID($R$3,$Q71&lt;&gt;"")</f>
        <v>0</v>
      </c>
      <c r="S71" s="12" t="str">
        <f t="shared" si="20"/>
        <v/>
      </c>
      <c r="T71" s="12" cm="1">
        <f t="array" aca="1" ref="T71" ca="1">CreateID($T$3,$S71&lt;&gt;"")</f>
        <v>0</v>
      </c>
      <c r="U71" s="12" t="str">
        <f t="shared" si="21"/>
        <v/>
      </c>
      <c r="V71" s="12" cm="1">
        <f t="array" aca="1" ref="V71" ca="1">CreateID($V$3,$U71&lt;&gt;"")</f>
        <v>0</v>
      </c>
      <c r="W71" s="12" cm="1">
        <f t="array" aca="1" ref="W71" ca="1">CreateID($W$3,IFERROR(FIND(Definitions!$AR$4,$H71)&gt;0,FALSE))</f>
        <v>0</v>
      </c>
      <c r="X71" s="12">
        <f>_xlfn.LET(
_xlpm._comment,$H71,
_xlpm._keyWord,Definitions!$AR$4,
_xlpm._diffLen,LEN(_xlpm._comment)-LEN(SUBSTITUTE(_xlpm._comment,_xlpm._keyWord,"")),
_xlpm._diffLen/LEN(_xlpm._keyWord))</f>
        <v>0</v>
      </c>
      <c r="Y71" s="12" cm="1">
        <f t="array" aca="1" ref="Y71" ca="1">CreateID($Y$3,IFERROR(FIND(Definitions!$AR$5,$H71)&gt;0,FALSE))</f>
        <v>0</v>
      </c>
      <c r="Z71" s="12">
        <f>_xlfn.LET(
_xlpm._comment,$H71,
_xlpm._keyWord,Definitions!$AR$5,
_xlpm._diffLen,LEN(_xlpm._comment)-LEN(SUBSTITUTE(_xlpm._comment,_xlpm._keyWord,"")),
_xlpm._diffLen/LEN(_xlpm._keyWord))</f>
        <v>0</v>
      </c>
      <c r="AA71" s="12" t="b">
        <f ca="1">OR(IFERROR(_xlfn.XMATCH("*,"&amp;$B71&amp;",*",Assumptions!$AH:$AH,2)&gt;0,FALSE),
IFERROR(_xlfn.XMATCH("*,"&amp;$B71&amp;",*",Countermeasures!$AK:$AK,2)&gt;0,FALSE))</f>
        <v>0</v>
      </c>
      <c r="AB71" s="12" t="str" cm="1">
        <f t="array" ref="AB71">CreateSearchString($J71)</f>
        <v/>
      </c>
      <c r="AC71" s="12" t="str" cm="1">
        <f t="array" ref="AC71">IF($F71="","",IFERROR(SimpleLookup($F71,Definitions!$H:$J),""))</f>
        <v/>
      </c>
      <c r="AD71" s="12" t="b" cm="1">
        <f t="array" ref="AD71">IF($B71="",FALSE,SimpleLookup($B71,Questions!$A:$D)="x")</f>
        <v>0</v>
      </c>
      <c r="AE71" s="12" t="str" cm="1">
        <f t="array" ref="AE71">IF(OR($B71="",NOT($AD71)),"",SimpleLookup($B71,Questions!$A:$E))</f>
        <v/>
      </c>
      <c r="AF71" s="12" t="str" cm="1">
        <f t="array" ref="AF71">IF(OR($B71="",NOT($AD71)),"",SimpleLookup($B71,Questions!$A:$F))</f>
        <v/>
      </c>
      <c r="AG71" s="12" t="str" cm="1">
        <f t="array" ref="AG71">_xlfn.LET(
_xlpm._answer,$D71,
_xlpm._infoTextFull,IF($AD71,CHAR(10)&amp;SimpleLookup($B71,Questions!$A:$H)&amp;CHAR(10),""),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71" s="12" t="b" cm="1">
        <f t="array" ref="AH71">IF(OR($B71="",NOT($AD71)),FALSE,_xlfn.LET(
_xlpm._secondAnswerRequiredOn,SimpleLookup($B71,Questions!$A:$I),
_xlpm._firstAnwer,$D71,
IFERROR(FIND(CHAR(10)&amp;_xlpm._firstAnwer&amp;":",CHAR(10)&amp;_xlpm._secondAnswerRequiredOn)&gt;0,FALSE)))</f>
        <v>0</v>
      </c>
      <c r="AI71" s="12" t="str" cm="1">
        <f t="array" ref="AI71">IF(OR($B71="",NOT($AD71)),"",_xlfn.LET(
_xlpm._id,$B71,
_xlpm._firstAnswer,$D71,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71" s="12" t="str" cm="1">
        <f t="array" ref="AJ71">IF(OR($B71="",NOT($AD71)),"",_xlfn.LET(
_xlpm._id,$B71,
_xlpm._firstAnswer,$D71,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71" s="12" t="str" cm="1">
        <f t="array" ref="AK71">IF($AH71,_xlfn.LET(
_xlpm._answer,$F71,
_xlpm._infoTextFull,IF($AD71,CHAR(10)&amp;SimpleLookup($B71,Questions!$A:$L)&amp;CHAR(10),""),
_xlpm._startSelectedByAnswerOne,IF(_xlpm._infoTextFull="",0,FIND("___"&amp;$D71&amp;"___",_xlpm._infoTextFull)+LEN("___"&amp;$D71&amp;"___")),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71" s="12" t="b" cm="1">
        <f t="array" ref="AL71">IF(OR($B71="",NOT($AD71)),FALSE,SimpleLookup($B71,Questions!$A:$Q))</f>
        <v>0</v>
      </c>
      <c r="AM71" s="12" t="str" cm="1">
        <f t="array" aca="1" ref="AM71" ca="1">IF(AND($B71=Questions!$A$41,IFERROR(SimpleLookup(Questions!$A$36,$B:$F)=Definitions!$O$5,FALSE),$D71=Definitions!$A$5),
Questions!$A$36&amp;" "&amp;Questions!$B$36&amp;CHAR(10)&amp;CHAR(187)&amp;" "&amp;SimpleLookup(Questions!$A$36,$B:$D)&amp;CHAR(10)&amp;SimpleLookup(Questions!$A$36,$B:$E)&amp;CHAR(10)&amp;CHAR(187)&amp;" "&amp;Definitions!$O$5&amp;CHAR(10)&amp;CHAR(10)&amp;
"is incosistent with"&amp;CHAR(10)&amp;CHAR(10)&amp;
$B71&amp;" "&amp;SimpleLookup($B71,Questions!$A:$B)&amp;CHAR(10)&amp;CHAR(187)&amp;" "&amp;$D71,
"")</f>
        <v/>
      </c>
      <c r="AN71" s="12" cm="1">
        <f t="array" aca="1" ref="AN71" ca="1">CreateID($AN$3,$AM71&lt;&gt;"")</f>
        <v>0</v>
      </c>
      <c r="AO71" s="12" t="str">
        <f ca="1">IF(OR($D71="",OFFSET($D71,1,0)=""),"",
IF(AND($B71=Questions!$A$59,OFFSET($B71,1,0)=Questions!$A$60),
IF(MATCH($D71,Definitions!$AW:$AW,0)&gt;MATCH(OFFSET($D71,1,0),Definitions!AW:AW,0),$B71&amp;" "&amp;$L71&amp;": "&amp;$D71&amp;CHAR(10)&amp;"&lt;---&gt;"&amp;CHAR(10)&amp;OFFSET($B71,1,0)&amp;" "&amp;OFFSET($L71,1,0)&amp;": "&amp;OFFSET($D71,1,0),""),
""))</f>
        <v/>
      </c>
      <c r="AP71" s="12" cm="1">
        <f t="array" aca="1" ref="AP71" ca="1">CreateID($AP$3,$AO71&lt;&gt;"")</f>
        <v>0</v>
      </c>
      <c r="AQ71" s="12" t="str" cm="1">
        <f t="array" ref="AQ71">IF($B71=Questions!$A$18,
  _xlfn.LET(
    _xlpm._impactValue7,IFERROR(SimpleLookup(SimpleLookup($F71,Definitions!$H:$J),Definitions!$Q:$R),0),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"&amp;$F71&amp;CHAR(10)&amp;"&lt;---&gt;"&amp;CHAR(10)&amp;Questions!$A$30&amp;": "&amp;_xlpm._impactName14,
        ""))),
  "")</f>
        <v/>
      </c>
      <c r="AR71" s="12" cm="1">
        <f t="array" aca="1" ref="AR71" ca="1">CreateID($AR$3,$AQ71&lt;&gt;"")</f>
        <v>0</v>
      </c>
    </row>
    <row r="72" spans="10:44" x14ac:dyDescent="0.25">
      <c r="J72" s="12" t="str">
        <f t="shared" si="17"/>
        <v/>
      </c>
      <c r="K72" s="12" t="str">
        <f t="shared" si="18"/>
        <v/>
      </c>
      <c r="L72" s="12" t="e" cm="1">
        <f t="array" aca="1" ref="L72" ca="1">SimpleLookup($B72,Questions!$A:$B)</f>
        <v>#N/A</v>
      </c>
      <c r="M72" s="12" cm="1">
        <f t="array" aca="1" ref="M72" ca="1">CreateID($M$3,AND($B72&lt;&gt;"",$AD72))</f>
        <v>39</v>
      </c>
      <c r="N72" s="12" cm="1">
        <f t="array" ref="N72">CreateTaskID($N$3,$N:$N,Tasks!$B$17,$H72)</f>
        <v>0</v>
      </c>
      <c r="O72" s="12" t="str">
        <f t="shared" si="16"/>
        <v/>
      </c>
      <c r="P72" s="12" cm="1">
        <f t="array" aca="1" ref="P72" ca="1">CreateID($P$3,$O72&lt;&gt;"")</f>
        <v>39</v>
      </c>
      <c r="Q72" s="12" t="str">
        <f t="shared" si="19"/>
        <v/>
      </c>
      <c r="R72" s="12" cm="1">
        <f t="array" aca="1" ref="R72" ca="1">CreateID($R$3,$Q72&lt;&gt;"")</f>
        <v>0</v>
      </c>
      <c r="S72" s="12" t="str">
        <f t="shared" si="20"/>
        <v/>
      </c>
      <c r="T72" s="12" cm="1">
        <f t="array" aca="1" ref="T72" ca="1">CreateID($T$3,$S72&lt;&gt;"")</f>
        <v>0</v>
      </c>
      <c r="U72" s="12" t="str">
        <f t="shared" si="21"/>
        <v/>
      </c>
      <c r="V72" s="12" cm="1">
        <f t="array" aca="1" ref="V72" ca="1">CreateID($V$3,$U72&lt;&gt;"")</f>
        <v>0</v>
      </c>
      <c r="W72" s="12" cm="1">
        <f t="array" aca="1" ref="W72" ca="1">CreateID($W$3,IFERROR(FIND(Definitions!$AR$4,$H72)&gt;0,FALSE))</f>
        <v>0</v>
      </c>
      <c r="X72" s="12">
        <f>_xlfn.LET(
_xlpm._comment,$H72,
_xlpm._keyWord,Definitions!$AR$4,
_xlpm._diffLen,LEN(_xlpm._comment)-LEN(SUBSTITUTE(_xlpm._comment,_xlpm._keyWord,"")),
_xlpm._diffLen/LEN(_xlpm._keyWord))</f>
        <v>0</v>
      </c>
      <c r="Y72" s="12" cm="1">
        <f t="array" aca="1" ref="Y72" ca="1">CreateID($Y$3,IFERROR(FIND(Definitions!$AR$5,$H72)&gt;0,FALSE))</f>
        <v>0</v>
      </c>
      <c r="Z72" s="12">
        <f>_xlfn.LET(
_xlpm._comment,$H72,
_xlpm._keyWord,Definitions!$AR$5,
_xlpm._diffLen,LEN(_xlpm._comment)-LEN(SUBSTITUTE(_xlpm._comment,_xlpm._keyWord,"")),
_xlpm._diffLen/LEN(_xlpm._keyWord))</f>
        <v>0</v>
      </c>
      <c r="AA72" s="12" t="b">
        <f ca="1">OR(IFERROR(_xlfn.XMATCH("*,"&amp;$B72&amp;",*",Assumptions!$AH:$AH,2)&gt;0,FALSE),
IFERROR(_xlfn.XMATCH("*,"&amp;$B72&amp;",*",Countermeasures!$AK:$AK,2)&gt;0,FALSE))</f>
        <v>0</v>
      </c>
      <c r="AB72" s="12" t="str" cm="1">
        <f t="array" ref="AB72">CreateSearchString($J72)</f>
        <v/>
      </c>
      <c r="AC72" s="12" t="str" cm="1">
        <f t="array" ref="AC72">IF($F72="","",IFERROR(SimpleLookup($F72,Definitions!$H:$J),""))</f>
        <v/>
      </c>
      <c r="AD72" s="12" t="b" cm="1">
        <f t="array" ref="AD72">IF($B72="",FALSE,SimpleLookup($B72,Questions!$A:$D)="x")</f>
        <v>0</v>
      </c>
      <c r="AE72" s="12" t="str" cm="1">
        <f t="array" ref="AE72">IF(OR($B72="",NOT($AD72)),"",SimpleLookup($B72,Questions!$A:$E))</f>
        <v/>
      </c>
      <c r="AF72" s="12" t="str" cm="1">
        <f t="array" ref="AF72">IF(OR($B72="",NOT($AD72)),"",SimpleLookup($B72,Questions!$A:$F))</f>
        <v/>
      </c>
      <c r="AG72" s="12" t="str" cm="1">
        <f t="array" ref="AG72">_xlfn.LET(
_xlpm._answer,$D72,
_xlpm._infoTextFull,IF($AD72,CHAR(10)&amp;SimpleLookup($B72,Questions!$A:$H)&amp;CHAR(10),""),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72" s="12" t="b" cm="1">
        <f t="array" ref="AH72">IF(OR($B72="",NOT($AD72)),FALSE,_xlfn.LET(
_xlpm._secondAnswerRequiredOn,SimpleLookup($B72,Questions!$A:$I),
_xlpm._firstAnwer,$D72,
IFERROR(FIND(CHAR(10)&amp;_xlpm._firstAnwer&amp;":",CHAR(10)&amp;_xlpm._secondAnswerRequiredOn)&gt;0,FALSE)))</f>
        <v>0</v>
      </c>
      <c r="AI72" s="12" t="str" cm="1">
        <f t="array" ref="AI72">IF(OR($B72="",NOT($AD72)),"",_xlfn.LET(
_xlpm._id,$B72,
_xlpm._firstAnswer,$D72,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72" s="12" t="str" cm="1">
        <f t="array" ref="AJ72">IF(OR($B72="",NOT($AD72)),"",_xlfn.LET(
_xlpm._id,$B72,
_xlpm._firstAnswer,$D72,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72" s="12" t="str" cm="1">
        <f t="array" ref="AK72">IF($AH72,_xlfn.LET(
_xlpm._answer,$F72,
_xlpm._infoTextFull,IF($AD72,CHAR(10)&amp;SimpleLookup($B72,Questions!$A:$L)&amp;CHAR(10),""),
_xlpm._startSelectedByAnswerOne,IF(_xlpm._infoTextFull="",0,FIND("___"&amp;$D72&amp;"___",_xlpm._infoTextFull)+LEN("___"&amp;$D72&amp;"___")),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72" s="12" t="b" cm="1">
        <f t="array" ref="AL72">IF(OR($B72="",NOT($AD72)),FALSE,SimpleLookup($B72,Questions!$A:$Q))</f>
        <v>0</v>
      </c>
      <c r="AM72" s="12" t="str" cm="1">
        <f t="array" aca="1" ref="AM72" ca="1">IF(AND($B72=Questions!$A$41,IFERROR(SimpleLookup(Questions!$A$36,$B:$F)=Definitions!$O$5,FALSE),$D72=Definitions!$A$5),
Questions!$A$36&amp;" "&amp;Questions!$B$36&amp;CHAR(10)&amp;CHAR(187)&amp;" "&amp;SimpleLookup(Questions!$A$36,$B:$D)&amp;CHAR(10)&amp;SimpleLookup(Questions!$A$36,$B:$E)&amp;CHAR(10)&amp;CHAR(187)&amp;" "&amp;Definitions!$O$5&amp;CHAR(10)&amp;CHAR(10)&amp;
"is incosistent with"&amp;CHAR(10)&amp;CHAR(10)&amp;
$B72&amp;" "&amp;SimpleLookup($B72,Questions!$A:$B)&amp;CHAR(10)&amp;CHAR(187)&amp;" "&amp;$D72,
"")</f>
        <v/>
      </c>
      <c r="AN72" s="12" cm="1">
        <f t="array" aca="1" ref="AN72" ca="1">CreateID($AN$3,$AM72&lt;&gt;"")</f>
        <v>0</v>
      </c>
      <c r="AO72" s="12" t="str">
        <f ca="1">IF(OR($D72="",OFFSET($D72,1,0)=""),"",
IF(AND($B72=Questions!$A$59,OFFSET($B72,1,0)=Questions!$A$60),
IF(MATCH($D72,Definitions!$AW:$AW,0)&gt;MATCH(OFFSET($D72,1,0),Definitions!AW:AW,0),$B72&amp;" "&amp;$L72&amp;": "&amp;$D72&amp;CHAR(10)&amp;"&lt;---&gt;"&amp;CHAR(10)&amp;OFFSET($B72,1,0)&amp;" "&amp;OFFSET($L72,1,0)&amp;": "&amp;OFFSET($D72,1,0),""),
""))</f>
        <v/>
      </c>
      <c r="AP72" s="12" cm="1">
        <f t="array" aca="1" ref="AP72" ca="1">CreateID($AP$3,$AO72&lt;&gt;"")</f>
        <v>0</v>
      </c>
      <c r="AQ72" s="12" t="str" cm="1">
        <f t="array" ref="AQ72">IF($B72=Questions!$A$18,
  _xlfn.LET(
    _xlpm._impactValue7,IFERROR(SimpleLookup(SimpleLookup($F72,Definitions!$H:$J),Definitions!$Q:$R),0),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"&amp;$F72&amp;CHAR(10)&amp;"&lt;---&gt;"&amp;CHAR(10)&amp;Questions!$A$30&amp;": "&amp;_xlpm._impactName14,
        ""))),
  "")</f>
        <v/>
      </c>
      <c r="AR72" s="12" cm="1">
        <f t="array" aca="1" ref="AR72" ca="1">CreateID($AR$3,$AQ72&lt;&gt;"")</f>
        <v>0</v>
      </c>
    </row>
    <row r="73" spans="10:44" x14ac:dyDescent="0.25">
      <c r="J73" s="12" t="str">
        <f t="shared" si="17"/>
        <v/>
      </c>
      <c r="K73" s="12" t="str">
        <f t="shared" si="18"/>
        <v/>
      </c>
      <c r="L73" s="12" t="e" cm="1">
        <f t="array" aca="1" ref="L73" ca="1">SimpleLookup($B73,Questions!$A:$B)</f>
        <v>#N/A</v>
      </c>
      <c r="M73" s="12" cm="1">
        <f t="array" aca="1" ref="M73" ca="1">CreateID($M$3,AND($B73&lt;&gt;"",$AD73))</f>
        <v>39</v>
      </c>
      <c r="N73" s="12" cm="1">
        <f t="array" ref="N73">CreateTaskID($N$3,$N:$N,Tasks!$B$17,$H73)</f>
        <v>0</v>
      </c>
      <c r="O73" s="12" t="str">
        <f t="shared" si="16"/>
        <v/>
      </c>
      <c r="P73" s="12" cm="1">
        <f t="array" aca="1" ref="P73" ca="1">CreateID($P$3,$O73&lt;&gt;"")</f>
        <v>39</v>
      </c>
      <c r="Q73" s="12" t="str">
        <f t="shared" si="19"/>
        <v/>
      </c>
      <c r="R73" s="12" cm="1">
        <f t="array" aca="1" ref="R73" ca="1">CreateID($R$3,$Q73&lt;&gt;"")</f>
        <v>0</v>
      </c>
      <c r="S73" s="12" t="str">
        <f t="shared" si="20"/>
        <v/>
      </c>
      <c r="T73" s="12" cm="1">
        <f t="array" aca="1" ref="T73" ca="1">CreateID($T$3,$S73&lt;&gt;"")</f>
        <v>0</v>
      </c>
      <c r="U73" s="12" t="str">
        <f t="shared" si="21"/>
        <v/>
      </c>
      <c r="V73" s="12" cm="1">
        <f t="array" aca="1" ref="V73" ca="1">CreateID($V$3,$U73&lt;&gt;"")</f>
        <v>0</v>
      </c>
      <c r="W73" s="12" cm="1">
        <f t="array" aca="1" ref="W73" ca="1">CreateID($W$3,IFERROR(FIND(Definitions!$AR$4,$H73)&gt;0,FALSE))</f>
        <v>0</v>
      </c>
      <c r="X73" s="12">
        <f>_xlfn.LET(
_xlpm._comment,$H73,
_xlpm._keyWord,Definitions!$AR$4,
_xlpm._diffLen,LEN(_xlpm._comment)-LEN(SUBSTITUTE(_xlpm._comment,_xlpm._keyWord,"")),
_xlpm._diffLen/LEN(_xlpm._keyWord))</f>
        <v>0</v>
      </c>
      <c r="Y73" s="12" cm="1">
        <f t="array" aca="1" ref="Y73" ca="1">CreateID($Y$3,IFERROR(FIND(Definitions!$AR$5,$H73)&gt;0,FALSE))</f>
        <v>0</v>
      </c>
      <c r="Z73" s="12">
        <f>_xlfn.LET(
_xlpm._comment,$H73,
_xlpm._keyWord,Definitions!$AR$5,
_xlpm._diffLen,LEN(_xlpm._comment)-LEN(SUBSTITUTE(_xlpm._comment,_xlpm._keyWord,"")),
_xlpm._diffLen/LEN(_xlpm._keyWord))</f>
        <v>0</v>
      </c>
      <c r="AA73" s="12" t="b">
        <f ca="1">OR(IFERROR(_xlfn.XMATCH("*,"&amp;$B73&amp;",*",Assumptions!$AH:$AH,2)&gt;0,FALSE),
IFERROR(_xlfn.XMATCH("*,"&amp;$B73&amp;",*",Countermeasures!$AK:$AK,2)&gt;0,FALSE))</f>
        <v>0</v>
      </c>
      <c r="AB73" s="12" t="str" cm="1">
        <f t="array" ref="AB73">CreateSearchString($J73)</f>
        <v/>
      </c>
      <c r="AC73" s="12" t="str" cm="1">
        <f t="array" ref="AC73">IF($F73="","",IFERROR(SimpleLookup($F73,Definitions!$H:$J),""))</f>
        <v/>
      </c>
      <c r="AD73" s="12" t="b" cm="1">
        <f t="array" ref="AD73">IF($B73="",FALSE,SimpleLookup($B73,Questions!$A:$D)="x")</f>
        <v>0</v>
      </c>
      <c r="AE73" s="12" t="str" cm="1">
        <f t="array" ref="AE73">IF(OR($B73="",NOT($AD73)),"",SimpleLookup($B73,Questions!$A:$E))</f>
        <v/>
      </c>
      <c r="AF73" s="12" t="str" cm="1">
        <f t="array" ref="AF73">IF(OR($B73="",NOT($AD73)),"",SimpleLookup($B73,Questions!$A:$F))</f>
        <v/>
      </c>
      <c r="AG73" s="12" t="str" cm="1">
        <f t="array" ref="AG73">_xlfn.LET(
_xlpm._answer,$D73,
_xlpm._infoTextFull,IF($AD73,CHAR(10)&amp;SimpleLookup($B73,Questions!$A:$H)&amp;CHAR(10),""),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73" s="12" t="b" cm="1">
        <f t="array" ref="AH73">IF(OR($B73="",NOT($AD73)),FALSE,_xlfn.LET(
_xlpm._secondAnswerRequiredOn,SimpleLookup($B73,Questions!$A:$I),
_xlpm._firstAnwer,$D73,
IFERROR(FIND(CHAR(10)&amp;_xlpm._firstAnwer&amp;":",CHAR(10)&amp;_xlpm._secondAnswerRequiredOn)&gt;0,FALSE)))</f>
        <v>0</v>
      </c>
      <c r="AI73" s="12" t="str" cm="1">
        <f t="array" ref="AI73">IF(OR($B73="",NOT($AD73)),"",_xlfn.LET(
_xlpm._id,$B73,
_xlpm._firstAnswer,$D73,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73" s="12" t="str" cm="1">
        <f t="array" ref="AJ73">IF(OR($B73="",NOT($AD73)),"",_xlfn.LET(
_xlpm._id,$B73,
_xlpm._firstAnswer,$D73,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73" s="12" t="str" cm="1">
        <f t="array" ref="AK73">IF($AH73,_xlfn.LET(
_xlpm._answer,$F73,
_xlpm._infoTextFull,IF($AD73,CHAR(10)&amp;SimpleLookup($B73,Questions!$A:$L)&amp;CHAR(10),""),
_xlpm._startSelectedByAnswerOne,IF(_xlpm._infoTextFull="",0,FIND("___"&amp;$D73&amp;"___",_xlpm._infoTextFull)+LEN("___"&amp;$D73&amp;"___")),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73" s="12" t="b" cm="1">
        <f t="array" ref="AL73">IF(OR($B73="",NOT($AD73)),FALSE,SimpleLookup($B73,Questions!$A:$Q))</f>
        <v>0</v>
      </c>
      <c r="AM73" s="12" t="str" cm="1">
        <f t="array" aca="1" ref="AM73" ca="1">IF(AND($B73=Questions!$A$41,IFERROR(SimpleLookup(Questions!$A$36,$B:$F)=Definitions!$O$5,FALSE),$D73=Definitions!$A$5),
Questions!$A$36&amp;" "&amp;Questions!$B$36&amp;CHAR(10)&amp;CHAR(187)&amp;" "&amp;SimpleLookup(Questions!$A$36,$B:$D)&amp;CHAR(10)&amp;SimpleLookup(Questions!$A$36,$B:$E)&amp;CHAR(10)&amp;CHAR(187)&amp;" "&amp;Definitions!$O$5&amp;CHAR(10)&amp;CHAR(10)&amp;
"is incosistent with"&amp;CHAR(10)&amp;CHAR(10)&amp;
$B73&amp;" "&amp;SimpleLookup($B73,Questions!$A:$B)&amp;CHAR(10)&amp;CHAR(187)&amp;" "&amp;$D73,
"")</f>
        <v/>
      </c>
      <c r="AN73" s="12" cm="1">
        <f t="array" aca="1" ref="AN73" ca="1">CreateID($AN$3,$AM73&lt;&gt;"")</f>
        <v>0</v>
      </c>
      <c r="AO73" s="12" t="str">
        <f ca="1">IF(OR($D73="",OFFSET($D73,1,0)=""),"",
IF(AND($B73=Questions!$A$59,OFFSET($B73,1,0)=Questions!$A$60),
IF(MATCH($D73,Definitions!$AW:$AW,0)&gt;MATCH(OFFSET($D73,1,0),Definitions!AW:AW,0),$B73&amp;" "&amp;$L73&amp;": "&amp;$D73&amp;CHAR(10)&amp;"&lt;---&gt;"&amp;CHAR(10)&amp;OFFSET($B73,1,0)&amp;" "&amp;OFFSET($L73,1,0)&amp;": "&amp;OFFSET($D73,1,0),""),
""))</f>
        <v/>
      </c>
      <c r="AP73" s="12" cm="1">
        <f t="array" aca="1" ref="AP73" ca="1">CreateID($AP$3,$AO73&lt;&gt;"")</f>
        <v>0</v>
      </c>
      <c r="AQ73" s="12" t="str" cm="1">
        <f t="array" ref="AQ73">IF($B73=Questions!$A$18,
  _xlfn.LET(
    _xlpm._impactValue7,IFERROR(SimpleLookup(SimpleLookup($F73,Definitions!$H:$J),Definitions!$Q:$R),0),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"&amp;$F73&amp;CHAR(10)&amp;"&lt;---&gt;"&amp;CHAR(10)&amp;Questions!$A$30&amp;": "&amp;_xlpm._impactName14,
        ""))),
  "")</f>
        <v/>
      </c>
      <c r="AR73" s="12" cm="1">
        <f t="array" aca="1" ref="AR73" ca="1">CreateID($AR$3,$AQ73&lt;&gt;"")</f>
        <v>0</v>
      </c>
    </row>
    <row r="74" spans="10:44" x14ac:dyDescent="0.25">
      <c r="J74" s="12" t="str">
        <f t="shared" si="17"/>
        <v/>
      </c>
      <c r="K74" s="12" t="str">
        <f t="shared" si="18"/>
        <v/>
      </c>
      <c r="L74" s="12" t="e" cm="1">
        <f t="array" aca="1" ref="L74" ca="1">SimpleLookup($B74,Questions!$A:$B)</f>
        <v>#N/A</v>
      </c>
      <c r="M74" s="12" cm="1">
        <f t="array" aca="1" ref="M74" ca="1">CreateID($M$3,AND($B74&lt;&gt;"",$AD74))</f>
        <v>39</v>
      </c>
      <c r="N74" s="12" cm="1">
        <f t="array" ref="N74">CreateTaskID($N$3,$N:$N,Tasks!$B$17,$H74)</f>
        <v>0</v>
      </c>
      <c r="O74" s="12" t="str">
        <f t="shared" si="16"/>
        <v/>
      </c>
      <c r="P74" s="12" cm="1">
        <f t="array" aca="1" ref="P74" ca="1">CreateID($P$3,$O74&lt;&gt;"")</f>
        <v>39</v>
      </c>
      <c r="Q74" s="12" t="str">
        <f t="shared" si="19"/>
        <v/>
      </c>
      <c r="R74" s="12" cm="1">
        <f t="array" aca="1" ref="R74" ca="1">CreateID($R$3,$Q74&lt;&gt;"")</f>
        <v>0</v>
      </c>
      <c r="S74" s="12" t="str">
        <f t="shared" si="20"/>
        <v/>
      </c>
      <c r="T74" s="12" cm="1">
        <f t="array" aca="1" ref="T74" ca="1">CreateID($T$3,$S74&lt;&gt;"")</f>
        <v>0</v>
      </c>
      <c r="U74" s="12" t="str">
        <f t="shared" si="21"/>
        <v/>
      </c>
      <c r="V74" s="12" cm="1">
        <f t="array" aca="1" ref="V74" ca="1">CreateID($V$3,$U74&lt;&gt;"")</f>
        <v>0</v>
      </c>
      <c r="W74" s="12" cm="1">
        <f t="array" aca="1" ref="W74" ca="1">CreateID($W$3,IFERROR(FIND(Definitions!$AR$4,$H74)&gt;0,FALSE))</f>
        <v>0</v>
      </c>
      <c r="X74" s="12">
        <f>_xlfn.LET(
_xlpm._comment,$H74,
_xlpm._keyWord,Definitions!$AR$4,
_xlpm._diffLen,LEN(_xlpm._comment)-LEN(SUBSTITUTE(_xlpm._comment,_xlpm._keyWord,"")),
_xlpm._diffLen/LEN(_xlpm._keyWord))</f>
        <v>0</v>
      </c>
      <c r="Y74" s="12" cm="1">
        <f t="array" aca="1" ref="Y74" ca="1">CreateID($Y$3,IFERROR(FIND(Definitions!$AR$5,$H74)&gt;0,FALSE))</f>
        <v>0</v>
      </c>
      <c r="Z74" s="12">
        <f>_xlfn.LET(
_xlpm._comment,$H74,
_xlpm._keyWord,Definitions!$AR$5,
_xlpm._diffLen,LEN(_xlpm._comment)-LEN(SUBSTITUTE(_xlpm._comment,_xlpm._keyWord,"")),
_xlpm._diffLen/LEN(_xlpm._keyWord))</f>
        <v>0</v>
      </c>
      <c r="AA74" s="12" t="b">
        <f ca="1">OR(IFERROR(_xlfn.XMATCH("*,"&amp;$B74&amp;",*",Assumptions!$AH:$AH,2)&gt;0,FALSE),
IFERROR(_xlfn.XMATCH("*,"&amp;$B74&amp;",*",Countermeasures!$AK:$AK,2)&gt;0,FALSE))</f>
        <v>0</v>
      </c>
      <c r="AB74" s="12" t="str" cm="1">
        <f t="array" ref="AB74">CreateSearchString($J74)</f>
        <v/>
      </c>
      <c r="AC74" s="12" t="str" cm="1">
        <f t="array" ref="AC74">IF($F74="","",IFERROR(SimpleLookup($F74,Definitions!$H:$J),""))</f>
        <v/>
      </c>
      <c r="AD74" s="12" t="b" cm="1">
        <f t="array" ref="AD74">IF($B74="",FALSE,SimpleLookup($B74,Questions!$A:$D)="x")</f>
        <v>0</v>
      </c>
      <c r="AE74" s="12" t="str" cm="1">
        <f t="array" ref="AE74">IF(OR($B74="",NOT($AD74)),"",SimpleLookup($B74,Questions!$A:$E))</f>
        <v/>
      </c>
      <c r="AF74" s="12" t="str" cm="1">
        <f t="array" ref="AF74">IF(OR($B74="",NOT($AD74)),"",SimpleLookup($B74,Questions!$A:$F))</f>
        <v/>
      </c>
      <c r="AG74" s="12" t="str" cm="1">
        <f t="array" ref="AG74">_xlfn.LET(
_xlpm._answer,$D74,
_xlpm._infoTextFull,IF($AD74,CHAR(10)&amp;SimpleLookup($B74,Questions!$A:$H)&amp;CHAR(10),""),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74" s="12" t="b" cm="1">
        <f t="array" ref="AH74">IF(OR($B74="",NOT($AD74)),FALSE,_xlfn.LET(
_xlpm._secondAnswerRequiredOn,SimpleLookup($B74,Questions!$A:$I),
_xlpm._firstAnwer,$D74,
IFERROR(FIND(CHAR(10)&amp;_xlpm._firstAnwer&amp;":",CHAR(10)&amp;_xlpm._secondAnswerRequiredOn)&gt;0,FALSE)))</f>
        <v>0</v>
      </c>
      <c r="AI74" s="12" t="str" cm="1">
        <f t="array" ref="AI74">IF(OR($B74="",NOT($AD74)),"",_xlfn.LET(
_xlpm._id,$B74,
_xlpm._firstAnswer,$D74,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74" s="12" t="str" cm="1">
        <f t="array" ref="AJ74">IF(OR($B74="",NOT($AD74)),"",_xlfn.LET(
_xlpm._id,$B74,
_xlpm._firstAnswer,$D74,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74" s="12" t="str" cm="1">
        <f t="array" ref="AK74">IF($AH74,_xlfn.LET(
_xlpm._answer,$F74,
_xlpm._infoTextFull,IF($AD74,CHAR(10)&amp;SimpleLookup($B74,Questions!$A:$L)&amp;CHAR(10),""),
_xlpm._startSelectedByAnswerOne,IF(_xlpm._infoTextFull="",0,FIND("___"&amp;$D74&amp;"___",_xlpm._infoTextFull)+LEN("___"&amp;$D74&amp;"___")),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74" s="12" t="b" cm="1">
        <f t="array" ref="AL74">IF(OR($B74="",NOT($AD74)),FALSE,SimpleLookup($B74,Questions!$A:$Q))</f>
        <v>0</v>
      </c>
      <c r="AM74" s="12" t="str" cm="1">
        <f t="array" aca="1" ref="AM74" ca="1">IF(AND($B74=Questions!$A$41,IFERROR(SimpleLookup(Questions!$A$36,$B:$F)=Definitions!$O$5,FALSE),$D74=Definitions!$A$5),
Questions!$A$36&amp;" "&amp;Questions!$B$36&amp;CHAR(10)&amp;CHAR(187)&amp;" "&amp;SimpleLookup(Questions!$A$36,$B:$D)&amp;CHAR(10)&amp;SimpleLookup(Questions!$A$36,$B:$E)&amp;CHAR(10)&amp;CHAR(187)&amp;" "&amp;Definitions!$O$5&amp;CHAR(10)&amp;CHAR(10)&amp;
"is incosistent with"&amp;CHAR(10)&amp;CHAR(10)&amp;
$B74&amp;" "&amp;SimpleLookup($B74,Questions!$A:$B)&amp;CHAR(10)&amp;CHAR(187)&amp;" "&amp;$D74,
"")</f>
        <v/>
      </c>
      <c r="AN74" s="12" cm="1">
        <f t="array" aca="1" ref="AN74" ca="1">CreateID($AN$3,$AM74&lt;&gt;"")</f>
        <v>0</v>
      </c>
      <c r="AO74" s="12" t="str">
        <f ca="1">IF(OR($D74="",OFFSET($D74,1,0)=""),"",
IF(AND($B74=Questions!$A$59,OFFSET($B74,1,0)=Questions!$A$60),
IF(MATCH($D74,Definitions!$AW:$AW,0)&gt;MATCH(OFFSET($D74,1,0),Definitions!AW:AW,0),$B74&amp;" "&amp;$L74&amp;": "&amp;$D74&amp;CHAR(10)&amp;"&lt;---&gt;"&amp;CHAR(10)&amp;OFFSET($B74,1,0)&amp;" "&amp;OFFSET($L74,1,0)&amp;": "&amp;OFFSET($D74,1,0),""),
""))</f>
        <v/>
      </c>
      <c r="AP74" s="12" cm="1">
        <f t="array" aca="1" ref="AP74" ca="1">CreateID($AP$3,$AO74&lt;&gt;"")</f>
        <v>0</v>
      </c>
      <c r="AQ74" s="12" t="str" cm="1">
        <f t="array" ref="AQ74">IF($B74=Questions!$A$18,
  _xlfn.LET(
    _xlpm._impactValue7,IFERROR(SimpleLookup(SimpleLookup($F74,Definitions!$H:$J),Definitions!$Q:$R),0),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"&amp;$F74&amp;CHAR(10)&amp;"&lt;---&gt;"&amp;CHAR(10)&amp;Questions!$A$30&amp;": "&amp;_xlpm._impactName14,
        ""))),
  "")</f>
        <v/>
      </c>
      <c r="AR74" s="12" cm="1">
        <f t="array" aca="1" ref="AR74" ca="1">CreateID($AR$3,$AQ74&lt;&gt;"")</f>
        <v>0</v>
      </c>
    </row>
    <row r="75" spans="10:44" x14ac:dyDescent="0.25">
      <c r="J75" s="12" t="str">
        <f t="shared" si="17"/>
        <v/>
      </c>
      <c r="K75" s="12" t="str">
        <f t="shared" si="18"/>
        <v/>
      </c>
      <c r="L75" s="12" t="e" cm="1">
        <f t="array" aca="1" ref="L75" ca="1">SimpleLookup($B75,Questions!$A:$B)</f>
        <v>#N/A</v>
      </c>
      <c r="M75" s="12" cm="1">
        <f t="array" aca="1" ref="M75" ca="1">CreateID($M$3,AND($B75&lt;&gt;"",$AD75))</f>
        <v>39</v>
      </c>
      <c r="N75" s="12" cm="1">
        <f t="array" ref="N75">CreateTaskID($N$3,$N:$N,Tasks!$B$17,$H75)</f>
        <v>0</v>
      </c>
      <c r="O75" s="12" t="str">
        <f t="shared" si="16"/>
        <v/>
      </c>
      <c r="P75" s="12" cm="1">
        <f t="array" aca="1" ref="P75" ca="1">CreateID($P$3,$O75&lt;&gt;"")</f>
        <v>39</v>
      </c>
      <c r="Q75" s="12" t="str">
        <f t="shared" si="19"/>
        <v/>
      </c>
      <c r="R75" s="12" cm="1">
        <f t="array" aca="1" ref="R75" ca="1">CreateID($R$3,$Q75&lt;&gt;"")</f>
        <v>0</v>
      </c>
      <c r="S75" s="12" t="str">
        <f t="shared" si="20"/>
        <v/>
      </c>
      <c r="T75" s="12" cm="1">
        <f t="array" aca="1" ref="T75" ca="1">CreateID($T$3,$S75&lt;&gt;"")</f>
        <v>0</v>
      </c>
      <c r="U75" s="12" t="str">
        <f t="shared" si="21"/>
        <v/>
      </c>
      <c r="V75" s="12" cm="1">
        <f t="array" aca="1" ref="V75" ca="1">CreateID($V$3,$U75&lt;&gt;"")</f>
        <v>0</v>
      </c>
      <c r="W75" s="12" cm="1">
        <f t="array" aca="1" ref="W75" ca="1">CreateID($W$3,IFERROR(FIND(Definitions!$AR$4,$H75)&gt;0,FALSE))</f>
        <v>0</v>
      </c>
      <c r="X75" s="12">
        <f>_xlfn.LET(
_xlpm._comment,$H75,
_xlpm._keyWord,Definitions!$AR$4,
_xlpm._diffLen,LEN(_xlpm._comment)-LEN(SUBSTITUTE(_xlpm._comment,_xlpm._keyWord,"")),
_xlpm._diffLen/LEN(_xlpm._keyWord))</f>
        <v>0</v>
      </c>
      <c r="Y75" s="12" cm="1">
        <f t="array" aca="1" ref="Y75" ca="1">CreateID($Y$3,IFERROR(FIND(Definitions!$AR$5,$H75)&gt;0,FALSE))</f>
        <v>0</v>
      </c>
      <c r="Z75" s="12">
        <f>_xlfn.LET(
_xlpm._comment,$H75,
_xlpm._keyWord,Definitions!$AR$5,
_xlpm._diffLen,LEN(_xlpm._comment)-LEN(SUBSTITUTE(_xlpm._comment,_xlpm._keyWord,"")),
_xlpm._diffLen/LEN(_xlpm._keyWord))</f>
        <v>0</v>
      </c>
      <c r="AA75" s="12" t="b">
        <f ca="1">OR(IFERROR(_xlfn.XMATCH("*,"&amp;$B75&amp;",*",Assumptions!$AH:$AH,2)&gt;0,FALSE),
IFERROR(_xlfn.XMATCH("*,"&amp;$B75&amp;",*",Countermeasures!$AK:$AK,2)&gt;0,FALSE))</f>
        <v>0</v>
      </c>
      <c r="AB75" s="12" t="str" cm="1">
        <f t="array" ref="AB75">CreateSearchString($J75)</f>
        <v/>
      </c>
      <c r="AC75" s="12" t="str" cm="1">
        <f t="array" ref="AC75">IF($F75="","",IFERROR(SimpleLookup($F75,Definitions!$H:$J),""))</f>
        <v/>
      </c>
      <c r="AD75" s="12" t="b" cm="1">
        <f t="array" ref="AD75">IF($B75="",FALSE,SimpleLookup($B75,Questions!$A:$D)="x")</f>
        <v>0</v>
      </c>
      <c r="AE75" s="12" t="str" cm="1">
        <f t="array" ref="AE75">IF(OR($B75="",NOT($AD75)),"",SimpleLookup($B75,Questions!$A:$E))</f>
        <v/>
      </c>
      <c r="AF75" s="12" t="str" cm="1">
        <f t="array" ref="AF75">IF(OR($B75="",NOT($AD75)),"",SimpleLookup($B75,Questions!$A:$F))</f>
        <v/>
      </c>
      <c r="AG75" s="12" t="str" cm="1">
        <f t="array" ref="AG75">_xlfn.LET(
_xlpm._answer,$D75,
_xlpm._infoTextFull,IF($AD75,CHAR(10)&amp;SimpleLookup($B75,Questions!$A:$H)&amp;CHAR(10),""),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75" s="12" t="b" cm="1">
        <f t="array" ref="AH75">IF(OR($B75="",NOT($AD75)),FALSE,_xlfn.LET(
_xlpm._secondAnswerRequiredOn,SimpleLookup($B75,Questions!$A:$I),
_xlpm._firstAnwer,$D75,
IFERROR(FIND(CHAR(10)&amp;_xlpm._firstAnwer&amp;":",CHAR(10)&amp;_xlpm._secondAnswerRequiredOn)&gt;0,FALSE)))</f>
        <v>0</v>
      </c>
      <c r="AI75" s="12" t="str" cm="1">
        <f t="array" ref="AI75">IF(OR($B75="",NOT($AD75)),"",_xlfn.LET(
_xlpm._id,$B75,
_xlpm._firstAnswer,$D75,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75" s="12" t="str" cm="1">
        <f t="array" ref="AJ75">IF(OR($B75="",NOT($AD75)),"",_xlfn.LET(
_xlpm._id,$B75,
_xlpm._firstAnswer,$D75,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75" s="12" t="str" cm="1">
        <f t="array" ref="AK75">IF($AH75,_xlfn.LET(
_xlpm._answer,$F75,
_xlpm._infoTextFull,IF($AD75,CHAR(10)&amp;SimpleLookup($B75,Questions!$A:$L)&amp;CHAR(10),""),
_xlpm._startSelectedByAnswerOne,IF(_xlpm._infoTextFull="",0,FIND("___"&amp;$D75&amp;"___",_xlpm._infoTextFull)+LEN("___"&amp;$D75&amp;"___")),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75" s="12" t="b" cm="1">
        <f t="array" ref="AL75">IF(OR($B75="",NOT($AD75)),FALSE,SimpleLookup($B75,Questions!$A:$Q))</f>
        <v>0</v>
      </c>
      <c r="AM75" s="12" t="str" cm="1">
        <f t="array" aca="1" ref="AM75" ca="1">IF(AND($B75=Questions!$A$41,IFERROR(SimpleLookup(Questions!$A$36,$B:$F)=Definitions!$O$5,FALSE),$D75=Definitions!$A$5),
Questions!$A$36&amp;" "&amp;Questions!$B$36&amp;CHAR(10)&amp;CHAR(187)&amp;" "&amp;SimpleLookup(Questions!$A$36,$B:$D)&amp;CHAR(10)&amp;SimpleLookup(Questions!$A$36,$B:$E)&amp;CHAR(10)&amp;CHAR(187)&amp;" "&amp;Definitions!$O$5&amp;CHAR(10)&amp;CHAR(10)&amp;
"is incosistent with"&amp;CHAR(10)&amp;CHAR(10)&amp;
$B75&amp;" "&amp;SimpleLookup($B75,Questions!$A:$B)&amp;CHAR(10)&amp;CHAR(187)&amp;" "&amp;$D75,
"")</f>
        <v/>
      </c>
      <c r="AN75" s="12" cm="1">
        <f t="array" aca="1" ref="AN75" ca="1">CreateID($AN$3,$AM75&lt;&gt;"")</f>
        <v>0</v>
      </c>
      <c r="AO75" s="12" t="str">
        <f ca="1">IF(OR($D75="",OFFSET($D75,1,0)=""),"",
IF(AND($B75=Questions!$A$59,OFFSET($B75,1,0)=Questions!$A$60),
IF(MATCH($D75,Definitions!$AW:$AW,0)&gt;MATCH(OFFSET($D75,1,0),Definitions!AW:AW,0),$B75&amp;" "&amp;$L75&amp;": "&amp;$D75&amp;CHAR(10)&amp;"&lt;---&gt;"&amp;CHAR(10)&amp;OFFSET($B75,1,0)&amp;" "&amp;OFFSET($L75,1,0)&amp;": "&amp;OFFSET($D75,1,0),""),
""))</f>
        <v/>
      </c>
      <c r="AP75" s="12" cm="1">
        <f t="array" aca="1" ref="AP75" ca="1">CreateID($AP$3,$AO75&lt;&gt;"")</f>
        <v>0</v>
      </c>
      <c r="AQ75" s="12" t="str" cm="1">
        <f t="array" ref="AQ75">IF($B75=Questions!$A$18,
  _xlfn.LET(
    _xlpm._impactValue7,IFERROR(SimpleLookup(SimpleLookup($F75,Definitions!$H:$J),Definitions!$Q:$R),0),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"&amp;$F75&amp;CHAR(10)&amp;"&lt;---&gt;"&amp;CHAR(10)&amp;Questions!$A$30&amp;": "&amp;_xlpm._impactName14,
        ""))),
  "")</f>
        <v/>
      </c>
      <c r="AR75" s="12" cm="1">
        <f t="array" aca="1" ref="AR75" ca="1">CreateID($AR$3,$AQ75&lt;&gt;"")</f>
        <v>0</v>
      </c>
    </row>
    <row r="76" spans="10:44" x14ac:dyDescent="0.25">
      <c r="J76" s="12" t="str">
        <f t="shared" si="17"/>
        <v/>
      </c>
      <c r="K76" s="12" t="str">
        <f t="shared" si="18"/>
        <v/>
      </c>
      <c r="L76" s="12" t="e" cm="1">
        <f t="array" aca="1" ref="L76" ca="1">SimpleLookup($B76,Questions!$A:$B)</f>
        <v>#N/A</v>
      </c>
      <c r="M76" s="12" cm="1">
        <f t="array" aca="1" ref="M76" ca="1">CreateID($M$3,AND($B76&lt;&gt;"",$AD76))</f>
        <v>39</v>
      </c>
      <c r="N76" s="12" cm="1">
        <f t="array" ref="N76">CreateTaskID($N$3,$N:$N,Tasks!$B$17,$H76)</f>
        <v>0</v>
      </c>
      <c r="O76" s="12" t="str">
        <f t="shared" si="16"/>
        <v/>
      </c>
      <c r="P76" s="12" cm="1">
        <f t="array" aca="1" ref="P76" ca="1">CreateID($P$3,$O76&lt;&gt;"")</f>
        <v>39</v>
      </c>
      <c r="Q76" s="12" t="str">
        <f t="shared" si="19"/>
        <v/>
      </c>
      <c r="R76" s="12" cm="1">
        <f t="array" aca="1" ref="R76" ca="1">CreateID($R$3,$Q76&lt;&gt;"")</f>
        <v>0</v>
      </c>
      <c r="S76" s="12" t="str">
        <f t="shared" si="20"/>
        <v/>
      </c>
      <c r="T76" s="12" cm="1">
        <f t="array" aca="1" ref="T76" ca="1">CreateID($T$3,$S76&lt;&gt;"")</f>
        <v>0</v>
      </c>
      <c r="U76" s="12" t="str">
        <f t="shared" si="21"/>
        <v/>
      </c>
      <c r="V76" s="12" cm="1">
        <f t="array" aca="1" ref="V76" ca="1">CreateID($V$3,$U76&lt;&gt;"")</f>
        <v>0</v>
      </c>
      <c r="W76" s="12" cm="1">
        <f t="array" aca="1" ref="W76" ca="1">CreateID($W$3,IFERROR(FIND(Definitions!$AR$4,$H76)&gt;0,FALSE))</f>
        <v>0</v>
      </c>
      <c r="X76" s="12">
        <f>_xlfn.LET(
_xlpm._comment,$H76,
_xlpm._keyWord,Definitions!$AR$4,
_xlpm._diffLen,LEN(_xlpm._comment)-LEN(SUBSTITUTE(_xlpm._comment,_xlpm._keyWord,"")),
_xlpm._diffLen/LEN(_xlpm._keyWord))</f>
        <v>0</v>
      </c>
      <c r="Y76" s="12" cm="1">
        <f t="array" aca="1" ref="Y76" ca="1">CreateID($Y$3,IFERROR(FIND(Definitions!$AR$5,$H76)&gt;0,FALSE))</f>
        <v>0</v>
      </c>
      <c r="Z76" s="12">
        <f>_xlfn.LET(
_xlpm._comment,$H76,
_xlpm._keyWord,Definitions!$AR$5,
_xlpm._diffLen,LEN(_xlpm._comment)-LEN(SUBSTITUTE(_xlpm._comment,_xlpm._keyWord,"")),
_xlpm._diffLen/LEN(_xlpm._keyWord))</f>
        <v>0</v>
      </c>
      <c r="AA76" s="12" t="b">
        <f ca="1">OR(IFERROR(_xlfn.XMATCH("*,"&amp;$B76&amp;",*",Assumptions!$AH:$AH,2)&gt;0,FALSE),
IFERROR(_xlfn.XMATCH("*,"&amp;$B76&amp;",*",Countermeasures!$AK:$AK,2)&gt;0,FALSE))</f>
        <v>0</v>
      </c>
      <c r="AB76" s="12" t="str" cm="1">
        <f t="array" ref="AB76">CreateSearchString($J76)</f>
        <v/>
      </c>
      <c r="AC76" s="12" t="str" cm="1">
        <f t="array" ref="AC76">IF($F76="","",IFERROR(SimpleLookup($F76,Definitions!$H:$J),""))</f>
        <v/>
      </c>
      <c r="AD76" s="12" t="b" cm="1">
        <f t="array" ref="AD76">IF($B76="",FALSE,SimpleLookup($B76,Questions!$A:$D)="x")</f>
        <v>0</v>
      </c>
      <c r="AE76" s="12" t="str" cm="1">
        <f t="array" ref="AE76">IF(OR($B76="",NOT($AD76)),"",SimpleLookup($B76,Questions!$A:$E))</f>
        <v/>
      </c>
      <c r="AF76" s="12" t="str" cm="1">
        <f t="array" ref="AF76">IF(OR($B76="",NOT($AD76)),"",SimpleLookup($B76,Questions!$A:$F))</f>
        <v/>
      </c>
      <c r="AG76" s="12" t="str" cm="1">
        <f t="array" ref="AG76">_xlfn.LET(
_xlpm._answer,$D76,
_xlpm._infoTextFull,IF($AD76,CHAR(10)&amp;SimpleLookup($B76,Questions!$A:$H)&amp;CHAR(10),""),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76" s="12" t="b" cm="1">
        <f t="array" ref="AH76">IF(OR($B76="",NOT($AD76)),FALSE,_xlfn.LET(
_xlpm._secondAnswerRequiredOn,SimpleLookup($B76,Questions!$A:$I),
_xlpm._firstAnwer,$D76,
IFERROR(FIND(CHAR(10)&amp;_xlpm._firstAnwer&amp;":",CHAR(10)&amp;_xlpm._secondAnswerRequiredOn)&gt;0,FALSE)))</f>
        <v>0</v>
      </c>
      <c r="AI76" s="12" t="str" cm="1">
        <f t="array" ref="AI76">IF(OR($B76="",NOT($AD76)),"",_xlfn.LET(
_xlpm._id,$B76,
_xlpm._firstAnswer,$D76,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76" s="12" t="str" cm="1">
        <f t="array" ref="AJ76">IF(OR($B76="",NOT($AD76)),"",_xlfn.LET(
_xlpm._id,$B76,
_xlpm._firstAnswer,$D76,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76" s="12" t="str" cm="1">
        <f t="array" ref="AK76">IF($AH76,_xlfn.LET(
_xlpm._answer,$F76,
_xlpm._infoTextFull,IF($AD76,CHAR(10)&amp;SimpleLookup($B76,Questions!$A:$L)&amp;CHAR(10),""),
_xlpm._startSelectedByAnswerOne,IF(_xlpm._infoTextFull="",0,FIND("___"&amp;$D76&amp;"___",_xlpm._infoTextFull)+LEN("___"&amp;$D76&amp;"___")),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76" s="12" t="b" cm="1">
        <f t="array" ref="AL76">IF(OR($B76="",NOT($AD76)),FALSE,SimpleLookup($B76,Questions!$A:$Q))</f>
        <v>0</v>
      </c>
      <c r="AM76" s="12" t="str" cm="1">
        <f t="array" aca="1" ref="AM76" ca="1">IF(AND($B76=Questions!$A$41,IFERROR(SimpleLookup(Questions!$A$36,$B:$F)=Definitions!$O$5,FALSE),$D76=Definitions!$A$5),
Questions!$A$36&amp;" "&amp;Questions!$B$36&amp;CHAR(10)&amp;CHAR(187)&amp;" "&amp;SimpleLookup(Questions!$A$36,$B:$D)&amp;CHAR(10)&amp;SimpleLookup(Questions!$A$36,$B:$E)&amp;CHAR(10)&amp;CHAR(187)&amp;" "&amp;Definitions!$O$5&amp;CHAR(10)&amp;CHAR(10)&amp;
"is incosistent with"&amp;CHAR(10)&amp;CHAR(10)&amp;
$B76&amp;" "&amp;SimpleLookup($B76,Questions!$A:$B)&amp;CHAR(10)&amp;CHAR(187)&amp;" "&amp;$D76,
"")</f>
        <v/>
      </c>
      <c r="AN76" s="12" cm="1">
        <f t="array" aca="1" ref="AN76" ca="1">CreateID($AN$3,$AM76&lt;&gt;"")</f>
        <v>0</v>
      </c>
      <c r="AO76" s="12" t="str">
        <f ca="1">IF(OR($D76="",OFFSET($D76,1,0)=""),"",
IF(AND($B76=Questions!$A$59,OFFSET($B76,1,0)=Questions!$A$60),
IF(MATCH($D76,Definitions!$AW:$AW,0)&gt;MATCH(OFFSET($D76,1,0),Definitions!AW:AW,0),$B76&amp;" "&amp;$L76&amp;": "&amp;$D76&amp;CHAR(10)&amp;"&lt;---&gt;"&amp;CHAR(10)&amp;OFFSET($B76,1,0)&amp;" "&amp;OFFSET($L76,1,0)&amp;": "&amp;OFFSET($D76,1,0),""),
""))</f>
        <v/>
      </c>
      <c r="AP76" s="12" cm="1">
        <f t="array" aca="1" ref="AP76" ca="1">CreateID($AP$3,$AO76&lt;&gt;"")</f>
        <v>0</v>
      </c>
      <c r="AQ76" s="12" t="str" cm="1">
        <f t="array" ref="AQ76">IF($B76=Questions!$A$18,
  _xlfn.LET(
    _xlpm._impactValue7,IFERROR(SimpleLookup(SimpleLookup($F76,Definitions!$H:$J),Definitions!$Q:$R),0),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"&amp;$F76&amp;CHAR(10)&amp;"&lt;---&gt;"&amp;CHAR(10)&amp;Questions!$A$30&amp;": "&amp;_xlpm._impactName14,
        ""))),
  "")</f>
        <v/>
      </c>
      <c r="AR76" s="12" cm="1">
        <f t="array" aca="1" ref="AR76" ca="1">CreateID($AR$3,$AQ76&lt;&gt;"")</f>
        <v>0</v>
      </c>
    </row>
    <row r="77" spans="10:44" x14ac:dyDescent="0.25">
      <c r="J77" s="12" t="str">
        <f t="shared" si="17"/>
        <v/>
      </c>
      <c r="K77" s="12" t="str">
        <f t="shared" si="18"/>
        <v/>
      </c>
      <c r="L77" s="12" t="e" cm="1">
        <f t="array" aca="1" ref="L77" ca="1">SimpleLookup($B77,Questions!$A:$B)</f>
        <v>#N/A</v>
      </c>
      <c r="M77" s="12" cm="1">
        <f t="array" aca="1" ref="M77" ca="1">CreateID($M$3,AND($B77&lt;&gt;"",$AD77))</f>
        <v>39</v>
      </c>
      <c r="N77" s="12" cm="1">
        <f t="array" ref="N77">CreateTaskID($N$3,$N:$N,Tasks!$B$17,$H77)</f>
        <v>0</v>
      </c>
      <c r="O77" s="12" t="str">
        <f t="shared" si="16"/>
        <v/>
      </c>
      <c r="P77" s="12" cm="1">
        <f t="array" aca="1" ref="P77" ca="1">CreateID($P$3,$O77&lt;&gt;"")</f>
        <v>39</v>
      </c>
      <c r="Q77" s="12" t="str">
        <f t="shared" si="19"/>
        <v/>
      </c>
      <c r="R77" s="12" cm="1">
        <f t="array" aca="1" ref="R77" ca="1">CreateID($R$3,$Q77&lt;&gt;"")</f>
        <v>0</v>
      </c>
      <c r="S77" s="12" t="str">
        <f t="shared" si="20"/>
        <v/>
      </c>
      <c r="T77" s="12" cm="1">
        <f t="array" aca="1" ref="T77" ca="1">CreateID($T$3,$S77&lt;&gt;"")</f>
        <v>0</v>
      </c>
      <c r="U77" s="12" t="str">
        <f t="shared" si="21"/>
        <v/>
      </c>
      <c r="V77" s="12" cm="1">
        <f t="array" aca="1" ref="V77" ca="1">CreateID($V$3,$U77&lt;&gt;"")</f>
        <v>0</v>
      </c>
      <c r="W77" s="12" cm="1">
        <f t="array" aca="1" ref="W77" ca="1">CreateID($W$3,IFERROR(FIND(Definitions!$AR$4,$H77)&gt;0,FALSE))</f>
        <v>0</v>
      </c>
      <c r="X77" s="12">
        <f>_xlfn.LET(
_xlpm._comment,$H77,
_xlpm._keyWord,Definitions!$AR$4,
_xlpm._diffLen,LEN(_xlpm._comment)-LEN(SUBSTITUTE(_xlpm._comment,_xlpm._keyWord,"")),
_xlpm._diffLen/LEN(_xlpm._keyWord))</f>
        <v>0</v>
      </c>
      <c r="Y77" s="12" cm="1">
        <f t="array" aca="1" ref="Y77" ca="1">CreateID($Y$3,IFERROR(FIND(Definitions!$AR$5,$H77)&gt;0,FALSE))</f>
        <v>0</v>
      </c>
      <c r="Z77" s="12">
        <f>_xlfn.LET(
_xlpm._comment,$H77,
_xlpm._keyWord,Definitions!$AR$5,
_xlpm._diffLen,LEN(_xlpm._comment)-LEN(SUBSTITUTE(_xlpm._comment,_xlpm._keyWord,"")),
_xlpm._diffLen/LEN(_xlpm._keyWord))</f>
        <v>0</v>
      </c>
      <c r="AA77" s="12" t="b">
        <f ca="1">OR(IFERROR(_xlfn.XMATCH("*,"&amp;$B77&amp;",*",Assumptions!$AH:$AH,2)&gt;0,FALSE),
IFERROR(_xlfn.XMATCH("*,"&amp;$B77&amp;",*",Countermeasures!$AK:$AK,2)&gt;0,FALSE))</f>
        <v>0</v>
      </c>
      <c r="AB77" s="12" t="str" cm="1">
        <f t="array" ref="AB77">CreateSearchString($J77)</f>
        <v/>
      </c>
      <c r="AC77" s="12" t="str" cm="1">
        <f t="array" ref="AC77">IF($F77="","",IFERROR(SimpleLookup($F77,Definitions!$H:$J),""))</f>
        <v/>
      </c>
      <c r="AD77" s="12" t="b" cm="1">
        <f t="array" ref="AD77">IF($B77="",FALSE,SimpleLookup($B77,Questions!$A:$D)="x")</f>
        <v>0</v>
      </c>
      <c r="AE77" s="12" t="str" cm="1">
        <f t="array" ref="AE77">IF(OR($B77="",NOT($AD77)),"",SimpleLookup($B77,Questions!$A:$E))</f>
        <v/>
      </c>
      <c r="AF77" s="12" t="str" cm="1">
        <f t="array" ref="AF77">IF(OR($B77="",NOT($AD77)),"",SimpleLookup($B77,Questions!$A:$F))</f>
        <v/>
      </c>
      <c r="AG77" s="12" t="str" cm="1">
        <f t="array" ref="AG77">_xlfn.LET(
_xlpm._answer,$D77,
_xlpm._infoTextFull,IF($AD77,CHAR(10)&amp;SimpleLookup($B77,Questions!$A:$H)&amp;CHAR(10),""),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77" s="12" t="b" cm="1">
        <f t="array" ref="AH77">IF(OR($B77="",NOT($AD77)),FALSE,_xlfn.LET(
_xlpm._secondAnswerRequiredOn,SimpleLookup($B77,Questions!$A:$I),
_xlpm._firstAnwer,$D77,
IFERROR(FIND(CHAR(10)&amp;_xlpm._firstAnwer&amp;":",CHAR(10)&amp;_xlpm._secondAnswerRequiredOn)&gt;0,FALSE)))</f>
        <v>0</v>
      </c>
      <c r="AI77" s="12" t="str" cm="1">
        <f t="array" ref="AI77">IF(OR($B77="",NOT($AD77)),"",_xlfn.LET(
_xlpm._id,$B77,
_xlpm._firstAnswer,$D77,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77" s="12" t="str" cm="1">
        <f t="array" ref="AJ77">IF(OR($B77="",NOT($AD77)),"",_xlfn.LET(
_xlpm._id,$B77,
_xlpm._firstAnswer,$D77,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77" s="12" t="str" cm="1">
        <f t="array" ref="AK77">IF($AH77,_xlfn.LET(
_xlpm._answer,$F77,
_xlpm._infoTextFull,IF($AD77,CHAR(10)&amp;SimpleLookup($B77,Questions!$A:$L)&amp;CHAR(10),""),
_xlpm._startSelectedByAnswerOne,IF(_xlpm._infoTextFull="",0,FIND("___"&amp;$D77&amp;"___",_xlpm._infoTextFull)+LEN("___"&amp;$D77&amp;"___")),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77" s="12" t="b" cm="1">
        <f t="array" ref="AL77">IF(OR($B77="",NOT($AD77)),FALSE,SimpleLookup($B77,Questions!$A:$Q))</f>
        <v>0</v>
      </c>
      <c r="AM77" s="12" t="str" cm="1">
        <f t="array" aca="1" ref="AM77" ca="1">IF(AND($B77=Questions!$A$41,IFERROR(SimpleLookup(Questions!$A$36,$B:$F)=Definitions!$O$5,FALSE),$D77=Definitions!$A$5),
Questions!$A$36&amp;" "&amp;Questions!$B$36&amp;CHAR(10)&amp;CHAR(187)&amp;" "&amp;SimpleLookup(Questions!$A$36,$B:$D)&amp;CHAR(10)&amp;SimpleLookup(Questions!$A$36,$B:$E)&amp;CHAR(10)&amp;CHAR(187)&amp;" "&amp;Definitions!$O$5&amp;CHAR(10)&amp;CHAR(10)&amp;
"is incosistent with"&amp;CHAR(10)&amp;CHAR(10)&amp;
$B77&amp;" "&amp;SimpleLookup($B77,Questions!$A:$B)&amp;CHAR(10)&amp;CHAR(187)&amp;" "&amp;$D77,
"")</f>
        <v/>
      </c>
      <c r="AN77" s="12" cm="1">
        <f t="array" aca="1" ref="AN77" ca="1">CreateID($AN$3,$AM77&lt;&gt;"")</f>
        <v>0</v>
      </c>
      <c r="AO77" s="12" t="str">
        <f ca="1">IF(OR($D77="",OFFSET($D77,1,0)=""),"",
IF(AND($B77=Questions!$A$59,OFFSET($B77,1,0)=Questions!$A$60),
IF(MATCH($D77,Definitions!$AW:$AW,0)&gt;MATCH(OFFSET($D77,1,0),Definitions!AW:AW,0),$B77&amp;" "&amp;$L77&amp;": "&amp;$D77&amp;CHAR(10)&amp;"&lt;---&gt;"&amp;CHAR(10)&amp;OFFSET($B77,1,0)&amp;" "&amp;OFFSET($L77,1,0)&amp;": "&amp;OFFSET($D77,1,0),""),
""))</f>
        <v/>
      </c>
      <c r="AP77" s="12" cm="1">
        <f t="array" aca="1" ref="AP77" ca="1">CreateID($AP$3,$AO77&lt;&gt;"")</f>
        <v>0</v>
      </c>
      <c r="AQ77" s="12" t="str" cm="1">
        <f t="array" ref="AQ77">IF($B77=Questions!$A$18,
  _xlfn.LET(
    _xlpm._impactValue7,IFERROR(SimpleLookup(SimpleLookup($F77,Definitions!$H:$J),Definitions!$Q:$R),0),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"&amp;$F77&amp;CHAR(10)&amp;"&lt;---&gt;"&amp;CHAR(10)&amp;Questions!$A$30&amp;": "&amp;_xlpm._impactName14,
        ""))),
  "")</f>
        <v/>
      </c>
      <c r="AR77" s="12" cm="1">
        <f t="array" aca="1" ref="AR77" ca="1">CreateID($AR$3,$AQ77&lt;&gt;"")</f>
        <v>0</v>
      </c>
    </row>
    <row r="78" spans="10:44" x14ac:dyDescent="0.25">
      <c r="J78" s="12" t="str">
        <f t="shared" si="17"/>
        <v/>
      </c>
      <c r="K78" s="12" t="str">
        <f t="shared" si="18"/>
        <v/>
      </c>
      <c r="L78" s="12" t="e" cm="1">
        <f t="array" aca="1" ref="L78" ca="1">SimpleLookup($B78,Questions!$A:$B)</f>
        <v>#N/A</v>
      </c>
      <c r="M78" s="12" cm="1">
        <f t="array" aca="1" ref="M78" ca="1">CreateID($M$3,AND($B78&lt;&gt;"",$AD78))</f>
        <v>39</v>
      </c>
      <c r="N78" s="12" cm="1">
        <f t="array" ref="N78">CreateTaskID($N$3,$N:$N,Tasks!$B$17,$H78)</f>
        <v>0</v>
      </c>
      <c r="O78" s="12" t="str">
        <f t="shared" si="16"/>
        <v/>
      </c>
      <c r="P78" s="12" cm="1">
        <f t="array" aca="1" ref="P78" ca="1">CreateID($P$3,$O78&lt;&gt;"")</f>
        <v>39</v>
      </c>
      <c r="Q78" s="12" t="str">
        <f t="shared" si="19"/>
        <v/>
      </c>
      <c r="R78" s="12" cm="1">
        <f t="array" aca="1" ref="R78" ca="1">CreateID($R$3,$Q78&lt;&gt;"")</f>
        <v>0</v>
      </c>
      <c r="S78" s="12" t="str">
        <f t="shared" si="20"/>
        <v/>
      </c>
      <c r="T78" s="12" cm="1">
        <f t="array" aca="1" ref="T78" ca="1">CreateID($T$3,$S78&lt;&gt;"")</f>
        <v>0</v>
      </c>
      <c r="U78" s="12" t="str">
        <f t="shared" si="21"/>
        <v/>
      </c>
      <c r="V78" s="12" cm="1">
        <f t="array" aca="1" ref="V78" ca="1">CreateID($V$3,$U78&lt;&gt;"")</f>
        <v>0</v>
      </c>
      <c r="W78" s="12" cm="1">
        <f t="array" aca="1" ref="W78" ca="1">CreateID($W$3,IFERROR(FIND(Definitions!$AR$4,$H78)&gt;0,FALSE))</f>
        <v>0</v>
      </c>
      <c r="X78" s="12">
        <f>_xlfn.LET(
_xlpm._comment,$H78,
_xlpm._keyWord,Definitions!$AR$4,
_xlpm._diffLen,LEN(_xlpm._comment)-LEN(SUBSTITUTE(_xlpm._comment,_xlpm._keyWord,"")),
_xlpm._diffLen/LEN(_xlpm._keyWord))</f>
        <v>0</v>
      </c>
      <c r="Y78" s="12" cm="1">
        <f t="array" aca="1" ref="Y78" ca="1">CreateID($Y$3,IFERROR(FIND(Definitions!$AR$5,$H78)&gt;0,FALSE))</f>
        <v>0</v>
      </c>
      <c r="Z78" s="12">
        <f>_xlfn.LET(
_xlpm._comment,$H78,
_xlpm._keyWord,Definitions!$AR$5,
_xlpm._diffLen,LEN(_xlpm._comment)-LEN(SUBSTITUTE(_xlpm._comment,_xlpm._keyWord,"")),
_xlpm._diffLen/LEN(_xlpm._keyWord))</f>
        <v>0</v>
      </c>
      <c r="AA78" s="12" t="b">
        <f ca="1">OR(IFERROR(_xlfn.XMATCH("*,"&amp;$B78&amp;",*",Assumptions!$AH:$AH,2)&gt;0,FALSE),
IFERROR(_xlfn.XMATCH("*,"&amp;$B78&amp;",*",Countermeasures!$AK:$AK,2)&gt;0,FALSE))</f>
        <v>0</v>
      </c>
      <c r="AB78" s="12" t="str" cm="1">
        <f t="array" ref="AB78">CreateSearchString($J78)</f>
        <v/>
      </c>
      <c r="AC78" s="12" t="str" cm="1">
        <f t="array" ref="AC78">IF($F78="","",IFERROR(SimpleLookup($F78,Definitions!$H:$J),""))</f>
        <v/>
      </c>
      <c r="AD78" s="12" t="b" cm="1">
        <f t="array" ref="AD78">IF($B78="",FALSE,SimpleLookup($B78,Questions!$A:$D)="x")</f>
        <v>0</v>
      </c>
      <c r="AE78" s="12" t="str" cm="1">
        <f t="array" ref="AE78">IF(OR($B78="",NOT($AD78)),"",SimpleLookup($B78,Questions!$A:$E))</f>
        <v/>
      </c>
      <c r="AF78" s="12" t="str" cm="1">
        <f t="array" ref="AF78">IF(OR($B78="",NOT($AD78)),"",SimpleLookup($B78,Questions!$A:$F))</f>
        <v/>
      </c>
      <c r="AG78" s="12" t="str" cm="1">
        <f t="array" ref="AG78">_xlfn.LET(
_xlpm._answer,$D78,
_xlpm._infoTextFull,IF($AD78,CHAR(10)&amp;SimpleLookup($B78,Questions!$A:$H)&amp;CHAR(10),""),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78" s="12" t="b" cm="1">
        <f t="array" ref="AH78">IF(OR($B78="",NOT($AD78)),FALSE,_xlfn.LET(
_xlpm._secondAnswerRequiredOn,SimpleLookup($B78,Questions!$A:$I),
_xlpm._firstAnwer,$D78,
IFERROR(FIND(CHAR(10)&amp;_xlpm._firstAnwer&amp;":",CHAR(10)&amp;_xlpm._secondAnswerRequiredOn)&gt;0,FALSE)))</f>
        <v>0</v>
      </c>
      <c r="AI78" s="12" t="str" cm="1">
        <f t="array" ref="AI78">IF(OR($B78="",NOT($AD78)),"",_xlfn.LET(
_xlpm._id,$B78,
_xlpm._firstAnswer,$D78,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78" s="12" t="str" cm="1">
        <f t="array" ref="AJ78">IF(OR($B78="",NOT($AD78)),"",_xlfn.LET(
_xlpm._id,$B78,
_xlpm._firstAnswer,$D78,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78" s="12" t="str" cm="1">
        <f t="array" ref="AK78">IF($AH78,_xlfn.LET(
_xlpm._answer,$F78,
_xlpm._infoTextFull,IF($AD78,CHAR(10)&amp;SimpleLookup($B78,Questions!$A:$L)&amp;CHAR(10),""),
_xlpm._startSelectedByAnswerOne,IF(_xlpm._infoTextFull="",0,FIND("___"&amp;$D78&amp;"___",_xlpm._infoTextFull)+LEN("___"&amp;$D78&amp;"___")),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78" s="12" t="b" cm="1">
        <f t="array" ref="AL78">IF(OR($B78="",NOT($AD78)),FALSE,SimpleLookup($B78,Questions!$A:$Q))</f>
        <v>0</v>
      </c>
      <c r="AM78" s="12" t="str" cm="1">
        <f t="array" aca="1" ref="AM78" ca="1">IF(AND($B78=Questions!$A$41,IFERROR(SimpleLookup(Questions!$A$36,$B:$F)=Definitions!$O$5,FALSE),$D78=Definitions!$A$5),
Questions!$A$36&amp;" "&amp;Questions!$B$36&amp;CHAR(10)&amp;CHAR(187)&amp;" "&amp;SimpleLookup(Questions!$A$36,$B:$D)&amp;CHAR(10)&amp;SimpleLookup(Questions!$A$36,$B:$E)&amp;CHAR(10)&amp;CHAR(187)&amp;" "&amp;Definitions!$O$5&amp;CHAR(10)&amp;CHAR(10)&amp;
"is incosistent with"&amp;CHAR(10)&amp;CHAR(10)&amp;
$B78&amp;" "&amp;SimpleLookup($B78,Questions!$A:$B)&amp;CHAR(10)&amp;CHAR(187)&amp;" "&amp;$D78,
"")</f>
        <v/>
      </c>
      <c r="AN78" s="12" cm="1">
        <f t="array" aca="1" ref="AN78" ca="1">CreateID($AN$3,$AM78&lt;&gt;"")</f>
        <v>0</v>
      </c>
      <c r="AO78" s="12" t="str">
        <f ca="1">IF(OR($D78="",OFFSET($D78,1,0)=""),"",
IF(AND($B78=Questions!$A$59,OFFSET($B78,1,0)=Questions!$A$60),
IF(MATCH($D78,Definitions!$AW:$AW,0)&gt;MATCH(OFFSET($D78,1,0),Definitions!AW:AW,0),$B78&amp;" "&amp;$L78&amp;": "&amp;$D78&amp;CHAR(10)&amp;"&lt;---&gt;"&amp;CHAR(10)&amp;OFFSET($B78,1,0)&amp;" "&amp;OFFSET($L78,1,0)&amp;": "&amp;OFFSET($D78,1,0),""),
""))</f>
        <v/>
      </c>
      <c r="AP78" s="12" cm="1">
        <f t="array" aca="1" ref="AP78" ca="1">CreateID($AP$3,$AO78&lt;&gt;"")</f>
        <v>0</v>
      </c>
      <c r="AQ78" s="12" t="str" cm="1">
        <f t="array" ref="AQ78">IF($B78=Questions!$A$18,
  _xlfn.LET(
    _xlpm._impactValue7,IFERROR(SimpleLookup(SimpleLookup($F78,Definitions!$H:$J),Definitions!$Q:$R),0),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"&amp;$F78&amp;CHAR(10)&amp;"&lt;---&gt;"&amp;CHAR(10)&amp;Questions!$A$30&amp;": "&amp;_xlpm._impactName14,
        ""))),
  "")</f>
        <v/>
      </c>
      <c r="AR78" s="12" cm="1">
        <f t="array" aca="1" ref="AR78" ca="1">CreateID($AR$3,$AQ78&lt;&gt;"")</f>
        <v>0</v>
      </c>
    </row>
    <row r="79" spans="10:44" x14ac:dyDescent="0.25">
      <c r="J79" s="12" t="str">
        <f t="shared" si="17"/>
        <v/>
      </c>
      <c r="K79" s="12" t="str">
        <f t="shared" si="18"/>
        <v/>
      </c>
      <c r="L79" s="12" t="e" cm="1">
        <f t="array" aca="1" ref="L79" ca="1">SimpleLookup($B79,Questions!$A:$B)</f>
        <v>#N/A</v>
      </c>
      <c r="M79" s="12" cm="1">
        <f t="array" aca="1" ref="M79" ca="1">CreateID($M$3,AND($B79&lt;&gt;"",$AD79))</f>
        <v>39</v>
      </c>
      <c r="N79" s="12" cm="1">
        <f t="array" ref="N79">CreateTaskID($N$3,$N:$N,Tasks!$B$17,$H79)</f>
        <v>0</v>
      </c>
      <c r="O79" s="12" t="str">
        <f t="shared" si="16"/>
        <v/>
      </c>
      <c r="P79" s="12" cm="1">
        <f t="array" aca="1" ref="P79" ca="1">CreateID($P$3,$O79&lt;&gt;"")</f>
        <v>39</v>
      </c>
      <c r="Q79" s="12" t="str">
        <f t="shared" si="19"/>
        <v/>
      </c>
      <c r="R79" s="12" cm="1">
        <f t="array" aca="1" ref="R79" ca="1">CreateID($R$3,$Q79&lt;&gt;"")</f>
        <v>0</v>
      </c>
      <c r="S79" s="12" t="str">
        <f t="shared" si="20"/>
        <v/>
      </c>
      <c r="T79" s="12" cm="1">
        <f t="array" aca="1" ref="T79" ca="1">CreateID($T$3,$S79&lt;&gt;"")</f>
        <v>0</v>
      </c>
      <c r="U79" s="12" t="str">
        <f t="shared" si="21"/>
        <v/>
      </c>
      <c r="V79" s="12" cm="1">
        <f t="array" aca="1" ref="V79" ca="1">CreateID($V$3,$U79&lt;&gt;"")</f>
        <v>0</v>
      </c>
      <c r="W79" s="12" cm="1">
        <f t="array" aca="1" ref="W79" ca="1">CreateID($W$3,IFERROR(FIND(Definitions!$AR$4,$H79)&gt;0,FALSE))</f>
        <v>0</v>
      </c>
      <c r="X79" s="12">
        <f>_xlfn.LET(
_xlpm._comment,$H79,
_xlpm._keyWord,Definitions!$AR$4,
_xlpm._diffLen,LEN(_xlpm._comment)-LEN(SUBSTITUTE(_xlpm._comment,_xlpm._keyWord,"")),
_xlpm._diffLen/LEN(_xlpm._keyWord))</f>
        <v>0</v>
      </c>
      <c r="Y79" s="12" cm="1">
        <f t="array" aca="1" ref="Y79" ca="1">CreateID($Y$3,IFERROR(FIND(Definitions!$AR$5,$H79)&gt;0,FALSE))</f>
        <v>0</v>
      </c>
      <c r="Z79" s="12">
        <f>_xlfn.LET(
_xlpm._comment,$H79,
_xlpm._keyWord,Definitions!$AR$5,
_xlpm._diffLen,LEN(_xlpm._comment)-LEN(SUBSTITUTE(_xlpm._comment,_xlpm._keyWord,"")),
_xlpm._diffLen/LEN(_xlpm._keyWord))</f>
        <v>0</v>
      </c>
      <c r="AA79" s="12" t="b">
        <f ca="1">OR(IFERROR(_xlfn.XMATCH("*,"&amp;$B79&amp;",*",Assumptions!$AH:$AH,2)&gt;0,FALSE),
IFERROR(_xlfn.XMATCH("*,"&amp;$B79&amp;",*",Countermeasures!$AK:$AK,2)&gt;0,FALSE))</f>
        <v>0</v>
      </c>
      <c r="AB79" s="12" t="str" cm="1">
        <f t="array" ref="AB79">CreateSearchString($J79)</f>
        <v/>
      </c>
      <c r="AC79" s="12" t="str" cm="1">
        <f t="array" ref="AC79">IF($F79="","",IFERROR(SimpleLookup($F79,Definitions!$H:$J),""))</f>
        <v/>
      </c>
      <c r="AD79" s="12" t="b" cm="1">
        <f t="array" ref="AD79">IF($B79="",FALSE,SimpleLookup($B79,Questions!$A:$D)="x")</f>
        <v>0</v>
      </c>
      <c r="AE79" s="12" t="str" cm="1">
        <f t="array" ref="AE79">IF(OR($B79="",NOT($AD79)),"",SimpleLookup($B79,Questions!$A:$E))</f>
        <v/>
      </c>
      <c r="AF79" s="12" t="str" cm="1">
        <f t="array" ref="AF79">IF(OR($B79="",NOT($AD79)),"",SimpleLookup($B79,Questions!$A:$F))</f>
        <v/>
      </c>
      <c r="AG79" s="12" t="str" cm="1">
        <f t="array" ref="AG79">_xlfn.LET(
_xlpm._answer,$D79,
_xlpm._infoTextFull,IF($AD79,CHAR(10)&amp;SimpleLookup($B79,Questions!$A:$H)&amp;CHAR(10),""),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79" s="12" t="b" cm="1">
        <f t="array" ref="AH79">IF(OR($B79="",NOT($AD79)),FALSE,_xlfn.LET(
_xlpm._secondAnswerRequiredOn,SimpleLookup($B79,Questions!$A:$I),
_xlpm._firstAnwer,$D79,
IFERROR(FIND(CHAR(10)&amp;_xlpm._firstAnwer&amp;":",CHAR(10)&amp;_xlpm._secondAnswerRequiredOn)&gt;0,FALSE)))</f>
        <v>0</v>
      </c>
      <c r="AI79" s="12" t="str" cm="1">
        <f t="array" ref="AI79">IF(OR($B79="",NOT($AD79)),"",_xlfn.LET(
_xlpm._id,$B79,
_xlpm._firstAnswer,$D79,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79" s="12" t="str" cm="1">
        <f t="array" ref="AJ79">IF(OR($B79="",NOT($AD79)),"",_xlfn.LET(
_xlpm._id,$B79,
_xlpm._firstAnswer,$D79,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79" s="12" t="str" cm="1">
        <f t="array" ref="AK79">IF($AH79,_xlfn.LET(
_xlpm._answer,$F79,
_xlpm._infoTextFull,IF($AD79,CHAR(10)&amp;SimpleLookup($B79,Questions!$A:$L)&amp;CHAR(10),""),
_xlpm._startSelectedByAnswerOne,IF(_xlpm._infoTextFull="",0,FIND("___"&amp;$D79&amp;"___",_xlpm._infoTextFull)+LEN("___"&amp;$D79&amp;"___")),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79" s="12" t="b" cm="1">
        <f t="array" ref="AL79">IF(OR($B79="",NOT($AD79)),FALSE,SimpleLookup($B79,Questions!$A:$Q))</f>
        <v>0</v>
      </c>
      <c r="AM79" s="12" t="str" cm="1">
        <f t="array" aca="1" ref="AM79" ca="1">IF(AND($B79=Questions!$A$41,IFERROR(SimpleLookup(Questions!$A$36,$B:$F)=Definitions!$O$5,FALSE),$D79=Definitions!$A$5),
Questions!$A$36&amp;" "&amp;Questions!$B$36&amp;CHAR(10)&amp;CHAR(187)&amp;" "&amp;SimpleLookup(Questions!$A$36,$B:$D)&amp;CHAR(10)&amp;SimpleLookup(Questions!$A$36,$B:$E)&amp;CHAR(10)&amp;CHAR(187)&amp;" "&amp;Definitions!$O$5&amp;CHAR(10)&amp;CHAR(10)&amp;
"is incosistent with"&amp;CHAR(10)&amp;CHAR(10)&amp;
$B79&amp;" "&amp;SimpleLookup($B79,Questions!$A:$B)&amp;CHAR(10)&amp;CHAR(187)&amp;" "&amp;$D79,
"")</f>
        <v/>
      </c>
      <c r="AN79" s="12" cm="1">
        <f t="array" aca="1" ref="AN79" ca="1">CreateID($AN$3,$AM79&lt;&gt;"")</f>
        <v>0</v>
      </c>
      <c r="AO79" s="12" t="str">
        <f ca="1">IF(OR($D79="",OFFSET($D79,1,0)=""),"",
IF(AND($B79=Questions!$A$59,OFFSET($B79,1,0)=Questions!$A$60),
IF(MATCH($D79,Definitions!$AW:$AW,0)&gt;MATCH(OFFSET($D79,1,0),Definitions!AW:AW,0),$B79&amp;" "&amp;$L79&amp;": "&amp;$D79&amp;CHAR(10)&amp;"&lt;---&gt;"&amp;CHAR(10)&amp;OFFSET($B79,1,0)&amp;" "&amp;OFFSET($L79,1,0)&amp;": "&amp;OFFSET($D79,1,0),""),
""))</f>
        <v/>
      </c>
      <c r="AP79" s="12" cm="1">
        <f t="array" aca="1" ref="AP79" ca="1">CreateID($AP$3,$AO79&lt;&gt;"")</f>
        <v>0</v>
      </c>
      <c r="AQ79" s="12" t="str" cm="1">
        <f t="array" ref="AQ79">IF($B79=Questions!$A$18,
  _xlfn.LET(
    _xlpm._impactValue7,IFERROR(SimpleLookup(SimpleLookup($F79,Definitions!$H:$J),Definitions!$Q:$R),0),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"&amp;$F79&amp;CHAR(10)&amp;"&lt;---&gt;"&amp;CHAR(10)&amp;Questions!$A$30&amp;": "&amp;_xlpm._impactName14,
        ""))),
  "")</f>
        <v/>
      </c>
      <c r="AR79" s="12" cm="1">
        <f t="array" aca="1" ref="AR79" ca="1">CreateID($AR$3,$AQ79&lt;&gt;"")</f>
        <v>0</v>
      </c>
    </row>
    <row r="80" spans="10:44" x14ac:dyDescent="0.25">
      <c r="J80" s="12" t="str">
        <f t="shared" si="17"/>
        <v/>
      </c>
      <c r="K80" s="12" t="str">
        <f t="shared" si="18"/>
        <v/>
      </c>
      <c r="L80" s="12" t="e" cm="1">
        <f t="array" aca="1" ref="L80" ca="1">SimpleLookup($B80,Questions!$A:$B)</f>
        <v>#N/A</v>
      </c>
      <c r="M80" s="12" cm="1">
        <f t="array" aca="1" ref="M80" ca="1">CreateID($M$3,AND($B80&lt;&gt;"",$AD80))</f>
        <v>39</v>
      </c>
      <c r="N80" s="12" cm="1">
        <f t="array" ref="N80">CreateTaskID($N$3,$N:$N,Tasks!$B$17,$H80)</f>
        <v>0</v>
      </c>
      <c r="O80" s="12" t="str">
        <f t="shared" si="16"/>
        <v/>
      </c>
      <c r="P80" s="12" cm="1">
        <f t="array" aca="1" ref="P80" ca="1">CreateID($P$3,$O80&lt;&gt;"")</f>
        <v>39</v>
      </c>
      <c r="Q80" s="12" t="str">
        <f t="shared" si="19"/>
        <v/>
      </c>
      <c r="R80" s="12" cm="1">
        <f t="array" aca="1" ref="R80" ca="1">CreateID($R$3,$Q80&lt;&gt;"")</f>
        <v>0</v>
      </c>
      <c r="S80" s="12" t="str">
        <f t="shared" si="20"/>
        <v/>
      </c>
      <c r="T80" s="12" cm="1">
        <f t="array" aca="1" ref="T80" ca="1">CreateID($T$3,$S80&lt;&gt;"")</f>
        <v>0</v>
      </c>
      <c r="U80" s="12" t="str">
        <f t="shared" si="21"/>
        <v/>
      </c>
      <c r="V80" s="12" cm="1">
        <f t="array" aca="1" ref="V80" ca="1">CreateID($V$3,$U80&lt;&gt;"")</f>
        <v>0</v>
      </c>
      <c r="W80" s="12" cm="1">
        <f t="array" aca="1" ref="W80" ca="1">CreateID($W$3,IFERROR(FIND(Definitions!$AR$4,$H80)&gt;0,FALSE))</f>
        <v>0</v>
      </c>
      <c r="X80" s="12">
        <f>_xlfn.LET(
_xlpm._comment,$H80,
_xlpm._keyWord,Definitions!$AR$4,
_xlpm._diffLen,LEN(_xlpm._comment)-LEN(SUBSTITUTE(_xlpm._comment,_xlpm._keyWord,"")),
_xlpm._diffLen/LEN(_xlpm._keyWord))</f>
        <v>0</v>
      </c>
      <c r="Y80" s="12" cm="1">
        <f t="array" aca="1" ref="Y80" ca="1">CreateID($Y$3,IFERROR(FIND(Definitions!$AR$5,$H80)&gt;0,FALSE))</f>
        <v>0</v>
      </c>
      <c r="Z80" s="12">
        <f>_xlfn.LET(
_xlpm._comment,$H80,
_xlpm._keyWord,Definitions!$AR$5,
_xlpm._diffLen,LEN(_xlpm._comment)-LEN(SUBSTITUTE(_xlpm._comment,_xlpm._keyWord,"")),
_xlpm._diffLen/LEN(_xlpm._keyWord))</f>
        <v>0</v>
      </c>
      <c r="AA80" s="12" t="b">
        <f ca="1">OR(IFERROR(_xlfn.XMATCH("*,"&amp;$B80&amp;",*",Assumptions!$AH:$AH,2)&gt;0,FALSE),
IFERROR(_xlfn.XMATCH("*,"&amp;$B80&amp;",*",Countermeasures!$AK:$AK,2)&gt;0,FALSE))</f>
        <v>0</v>
      </c>
      <c r="AB80" s="12" t="str" cm="1">
        <f t="array" ref="AB80">CreateSearchString($J80)</f>
        <v/>
      </c>
      <c r="AC80" s="12" t="str" cm="1">
        <f t="array" ref="AC80">IF($F80="","",IFERROR(SimpleLookup($F80,Definitions!$H:$J),""))</f>
        <v/>
      </c>
      <c r="AD80" s="12" t="b" cm="1">
        <f t="array" ref="AD80">IF($B80="",FALSE,SimpleLookup($B80,Questions!$A:$D)="x")</f>
        <v>0</v>
      </c>
      <c r="AE80" s="12" t="str" cm="1">
        <f t="array" ref="AE80">IF(OR($B80="",NOT($AD80)),"",SimpleLookup($B80,Questions!$A:$E))</f>
        <v/>
      </c>
      <c r="AF80" s="12" t="str" cm="1">
        <f t="array" ref="AF80">IF(OR($B80="",NOT($AD80)),"",SimpleLookup($B80,Questions!$A:$F))</f>
        <v/>
      </c>
      <c r="AG80" s="12" t="str" cm="1">
        <f t="array" ref="AG80">_xlfn.LET(
_xlpm._answer,$D80,
_xlpm._infoTextFull,IF($AD80,CHAR(10)&amp;SimpleLookup($B80,Questions!$A:$H)&amp;CHAR(10),""),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80" s="12" t="b" cm="1">
        <f t="array" ref="AH80">IF(OR($B80="",NOT($AD80)),FALSE,_xlfn.LET(
_xlpm._secondAnswerRequiredOn,SimpleLookup($B80,Questions!$A:$I),
_xlpm._firstAnwer,$D80,
IFERROR(FIND(CHAR(10)&amp;_xlpm._firstAnwer&amp;":",CHAR(10)&amp;_xlpm._secondAnswerRequiredOn)&gt;0,FALSE)))</f>
        <v>0</v>
      </c>
      <c r="AI80" s="12" t="str" cm="1">
        <f t="array" ref="AI80">IF(OR($B80="",NOT($AD80)),"",_xlfn.LET(
_xlpm._id,$B80,
_xlpm._firstAnswer,$D80,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80" s="12" t="str" cm="1">
        <f t="array" ref="AJ80">IF(OR($B80="",NOT($AD80)),"",_xlfn.LET(
_xlpm._id,$B80,
_xlpm._firstAnswer,$D80,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80" s="12" t="str" cm="1">
        <f t="array" ref="AK80">IF($AH80,_xlfn.LET(
_xlpm._answer,$F80,
_xlpm._infoTextFull,IF($AD80,CHAR(10)&amp;SimpleLookup($B80,Questions!$A:$L)&amp;CHAR(10),""),
_xlpm._startSelectedByAnswerOne,IF(_xlpm._infoTextFull="",0,FIND("___"&amp;$D80&amp;"___",_xlpm._infoTextFull)+LEN("___"&amp;$D80&amp;"___")),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80" s="12" t="b" cm="1">
        <f t="array" ref="AL80">IF(OR($B80="",NOT($AD80)),FALSE,SimpleLookup($B80,Questions!$A:$Q))</f>
        <v>0</v>
      </c>
      <c r="AM80" s="12" t="str" cm="1">
        <f t="array" aca="1" ref="AM80" ca="1">IF(AND($B80=Questions!$A$41,IFERROR(SimpleLookup(Questions!$A$36,$B:$F)=Definitions!$O$5,FALSE),$D80=Definitions!$A$5),
Questions!$A$36&amp;" "&amp;Questions!$B$36&amp;CHAR(10)&amp;CHAR(187)&amp;" "&amp;SimpleLookup(Questions!$A$36,$B:$D)&amp;CHAR(10)&amp;SimpleLookup(Questions!$A$36,$B:$E)&amp;CHAR(10)&amp;CHAR(187)&amp;" "&amp;Definitions!$O$5&amp;CHAR(10)&amp;CHAR(10)&amp;
"is incosistent with"&amp;CHAR(10)&amp;CHAR(10)&amp;
$B80&amp;" "&amp;SimpleLookup($B80,Questions!$A:$B)&amp;CHAR(10)&amp;CHAR(187)&amp;" "&amp;$D80,
"")</f>
        <v/>
      </c>
      <c r="AN80" s="12" cm="1">
        <f t="array" aca="1" ref="AN80" ca="1">CreateID($AN$3,$AM80&lt;&gt;"")</f>
        <v>0</v>
      </c>
      <c r="AO80" s="12" t="str">
        <f ca="1">IF(OR($D80="",OFFSET($D80,1,0)=""),"",
IF(AND($B80=Questions!$A$59,OFFSET($B80,1,0)=Questions!$A$60),
IF(MATCH($D80,Definitions!$AW:$AW,0)&gt;MATCH(OFFSET($D80,1,0),Definitions!AW:AW,0),$B80&amp;" "&amp;$L80&amp;": "&amp;$D80&amp;CHAR(10)&amp;"&lt;---&gt;"&amp;CHAR(10)&amp;OFFSET($B80,1,0)&amp;" "&amp;OFFSET($L80,1,0)&amp;": "&amp;OFFSET($D80,1,0),""),
""))</f>
        <v/>
      </c>
      <c r="AP80" s="12" cm="1">
        <f t="array" aca="1" ref="AP80" ca="1">CreateID($AP$3,$AO80&lt;&gt;"")</f>
        <v>0</v>
      </c>
      <c r="AQ80" s="12" t="str" cm="1">
        <f t="array" ref="AQ80">IF($B80=Questions!$A$18,
  _xlfn.LET(
    _xlpm._impactValue7,IFERROR(SimpleLookup(SimpleLookup($F80,Definitions!$H:$J),Definitions!$Q:$R),0),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"&amp;$F80&amp;CHAR(10)&amp;"&lt;---&gt;"&amp;CHAR(10)&amp;Questions!$A$30&amp;": "&amp;_xlpm._impactName14,
        ""))),
  "")</f>
        <v/>
      </c>
      <c r="AR80" s="12" cm="1">
        <f t="array" aca="1" ref="AR80" ca="1">CreateID($AR$3,$AQ80&lt;&gt;"")</f>
        <v>0</v>
      </c>
    </row>
    <row r="81" spans="10:44" x14ac:dyDescent="0.25">
      <c r="J81" s="12" t="str">
        <f t="shared" si="17"/>
        <v/>
      </c>
      <c r="K81" s="12" t="str">
        <f t="shared" si="18"/>
        <v/>
      </c>
      <c r="L81" s="12" t="e" cm="1">
        <f t="array" aca="1" ref="L81" ca="1">SimpleLookup($B81,Questions!$A:$B)</f>
        <v>#N/A</v>
      </c>
      <c r="M81" s="12" cm="1">
        <f t="array" aca="1" ref="M81" ca="1">CreateID($M$3,AND($B81&lt;&gt;"",$AD81))</f>
        <v>39</v>
      </c>
      <c r="N81" s="12" cm="1">
        <f t="array" ref="N81">CreateTaskID($N$3,$N:$N,Tasks!$B$17,$H81)</f>
        <v>0</v>
      </c>
      <c r="O81" s="12" t="str">
        <f t="shared" si="16"/>
        <v/>
      </c>
      <c r="P81" s="12" cm="1">
        <f t="array" aca="1" ref="P81" ca="1">CreateID($P$3,$O81&lt;&gt;"")</f>
        <v>39</v>
      </c>
      <c r="Q81" s="12" t="str">
        <f t="shared" si="19"/>
        <v/>
      </c>
      <c r="R81" s="12" cm="1">
        <f t="array" aca="1" ref="R81" ca="1">CreateID($R$3,$Q81&lt;&gt;"")</f>
        <v>0</v>
      </c>
      <c r="S81" s="12" t="str">
        <f t="shared" si="20"/>
        <v/>
      </c>
      <c r="T81" s="12" cm="1">
        <f t="array" aca="1" ref="T81" ca="1">CreateID($T$3,$S81&lt;&gt;"")</f>
        <v>0</v>
      </c>
      <c r="U81" s="12" t="str">
        <f t="shared" si="21"/>
        <v/>
      </c>
      <c r="V81" s="12" cm="1">
        <f t="array" aca="1" ref="V81" ca="1">CreateID($V$3,$U81&lt;&gt;"")</f>
        <v>0</v>
      </c>
      <c r="W81" s="12" cm="1">
        <f t="array" aca="1" ref="W81" ca="1">CreateID($W$3,IFERROR(FIND(Definitions!$AR$4,$H81)&gt;0,FALSE))</f>
        <v>0</v>
      </c>
      <c r="X81" s="12">
        <f>_xlfn.LET(
_xlpm._comment,$H81,
_xlpm._keyWord,Definitions!$AR$4,
_xlpm._diffLen,LEN(_xlpm._comment)-LEN(SUBSTITUTE(_xlpm._comment,_xlpm._keyWord,"")),
_xlpm._diffLen/LEN(_xlpm._keyWord))</f>
        <v>0</v>
      </c>
      <c r="Y81" s="12" cm="1">
        <f t="array" aca="1" ref="Y81" ca="1">CreateID($Y$3,IFERROR(FIND(Definitions!$AR$5,$H81)&gt;0,FALSE))</f>
        <v>0</v>
      </c>
      <c r="Z81" s="12">
        <f>_xlfn.LET(
_xlpm._comment,$H81,
_xlpm._keyWord,Definitions!$AR$5,
_xlpm._diffLen,LEN(_xlpm._comment)-LEN(SUBSTITUTE(_xlpm._comment,_xlpm._keyWord,"")),
_xlpm._diffLen/LEN(_xlpm._keyWord))</f>
        <v>0</v>
      </c>
      <c r="AA81" s="12" t="b">
        <f ca="1">OR(IFERROR(_xlfn.XMATCH("*,"&amp;$B81&amp;",*",Assumptions!$AH:$AH,2)&gt;0,FALSE),
IFERROR(_xlfn.XMATCH("*,"&amp;$B81&amp;",*",Countermeasures!$AK:$AK,2)&gt;0,FALSE))</f>
        <v>0</v>
      </c>
      <c r="AB81" s="12" t="str" cm="1">
        <f t="array" ref="AB81">CreateSearchString($J81)</f>
        <v/>
      </c>
      <c r="AC81" s="12" t="str" cm="1">
        <f t="array" ref="AC81">IF($F81="","",IFERROR(SimpleLookup($F81,Definitions!$H:$J),""))</f>
        <v/>
      </c>
      <c r="AD81" s="12" t="b" cm="1">
        <f t="array" ref="AD81">IF($B81="",FALSE,SimpleLookup($B81,Questions!$A:$D)="x")</f>
        <v>0</v>
      </c>
      <c r="AE81" s="12" t="str" cm="1">
        <f t="array" ref="AE81">IF(OR($B81="",NOT($AD81)),"",SimpleLookup($B81,Questions!$A:$E))</f>
        <v/>
      </c>
      <c r="AF81" s="12" t="str" cm="1">
        <f t="array" ref="AF81">IF(OR($B81="",NOT($AD81)),"",SimpleLookup($B81,Questions!$A:$F))</f>
        <v/>
      </c>
      <c r="AG81" s="12" t="str" cm="1">
        <f t="array" ref="AG81">_xlfn.LET(
_xlpm._answer,$D81,
_xlpm._infoTextFull,IF($AD81,CHAR(10)&amp;SimpleLookup($B81,Questions!$A:$H)&amp;CHAR(10),""),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81" s="12" t="b" cm="1">
        <f t="array" ref="AH81">IF(OR($B81="",NOT($AD81)),FALSE,_xlfn.LET(
_xlpm._secondAnswerRequiredOn,SimpleLookup($B81,Questions!$A:$I),
_xlpm._firstAnwer,$D81,
IFERROR(FIND(CHAR(10)&amp;_xlpm._firstAnwer&amp;":",CHAR(10)&amp;_xlpm._secondAnswerRequiredOn)&gt;0,FALSE)))</f>
        <v>0</v>
      </c>
      <c r="AI81" s="12" t="str" cm="1">
        <f t="array" ref="AI81">IF(OR($B81="",NOT($AD81)),"",_xlfn.LET(
_xlpm._id,$B81,
_xlpm._firstAnswer,$D81,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81" s="12" t="str" cm="1">
        <f t="array" ref="AJ81">IF(OR($B81="",NOT($AD81)),"",_xlfn.LET(
_xlpm._id,$B81,
_xlpm._firstAnswer,$D81,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81" s="12" t="str" cm="1">
        <f t="array" ref="AK81">IF($AH81,_xlfn.LET(
_xlpm._answer,$F81,
_xlpm._infoTextFull,IF($AD81,CHAR(10)&amp;SimpleLookup($B81,Questions!$A:$L)&amp;CHAR(10),""),
_xlpm._startSelectedByAnswerOne,IF(_xlpm._infoTextFull="",0,FIND("___"&amp;$D81&amp;"___",_xlpm._infoTextFull)+LEN("___"&amp;$D81&amp;"___")),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81" s="12" t="b" cm="1">
        <f t="array" ref="AL81">IF(OR($B81="",NOT($AD81)),FALSE,SimpleLookup($B81,Questions!$A:$Q))</f>
        <v>0</v>
      </c>
      <c r="AM81" s="12" t="str" cm="1">
        <f t="array" aca="1" ref="AM81" ca="1">IF(AND($B81=Questions!$A$41,IFERROR(SimpleLookup(Questions!$A$36,$B:$F)=Definitions!$O$5,FALSE),$D81=Definitions!$A$5),
Questions!$A$36&amp;" "&amp;Questions!$B$36&amp;CHAR(10)&amp;CHAR(187)&amp;" "&amp;SimpleLookup(Questions!$A$36,$B:$D)&amp;CHAR(10)&amp;SimpleLookup(Questions!$A$36,$B:$E)&amp;CHAR(10)&amp;CHAR(187)&amp;" "&amp;Definitions!$O$5&amp;CHAR(10)&amp;CHAR(10)&amp;
"is incosistent with"&amp;CHAR(10)&amp;CHAR(10)&amp;
$B81&amp;" "&amp;SimpleLookup($B81,Questions!$A:$B)&amp;CHAR(10)&amp;CHAR(187)&amp;" "&amp;$D81,
"")</f>
        <v/>
      </c>
      <c r="AN81" s="12" cm="1">
        <f t="array" aca="1" ref="AN81" ca="1">CreateID($AN$3,$AM81&lt;&gt;"")</f>
        <v>0</v>
      </c>
      <c r="AO81" s="12" t="str">
        <f ca="1">IF(OR($D81="",OFFSET($D81,1,0)=""),"",
IF(AND($B81=Questions!$A$59,OFFSET($B81,1,0)=Questions!$A$60),
IF(MATCH($D81,Definitions!$AW:$AW,0)&gt;MATCH(OFFSET($D81,1,0),Definitions!AW:AW,0),$B81&amp;" "&amp;$L81&amp;": "&amp;$D81&amp;CHAR(10)&amp;"&lt;---&gt;"&amp;CHAR(10)&amp;OFFSET($B81,1,0)&amp;" "&amp;OFFSET($L81,1,0)&amp;": "&amp;OFFSET($D81,1,0),""),
""))</f>
        <v/>
      </c>
      <c r="AP81" s="12" cm="1">
        <f t="array" aca="1" ref="AP81" ca="1">CreateID($AP$3,$AO81&lt;&gt;"")</f>
        <v>0</v>
      </c>
      <c r="AQ81" s="12" t="str" cm="1">
        <f t="array" ref="AQ81">IF($B81=Questions!$A$18,
  _xlfn.LET(
    _xlpm._impactValue7,IFERROR(SimpleLookup(SimpleLookup($F81,Definitions!$H:$J),Definitions!$Q:$R),0),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"&amp;$F81&amp;CHAR(10)&amp;"&lt;---&gt;"&amp;CHAR(10)&amp;Questions!$A$30&amp;": "&amp;_xlpm._impactName14,
        ""))),
  "")</f>
        <v/>
      </c>
      <c r="AR81" s="12" cm="1">
        <f t="array" aca="1" ref="AR81" ca="1">CreateID($AR$3,$AQ81&lt;&gt;"")</f>
        <v>0</v>
      </c>
    </row>
    <row r="82" spans="10:44" x14ac:dyDescent="0.25">
      <c r="J82" s="12" t="str">
        <f t="shared" si="17"/>
        <v/>
      </c>
      <c r="K82" s="12" t="str">
        <f t="shared" si="18"/>
        <v/>
      </c>
      <c r="L82" s="12" t="e" cm="1">
        <f t="array" aca="1" ref="L82" ca="1">SimpleLookup($B82,Questions!$A:$B)</f>
        <v>#N/A</v>
      </c>
      <c r="M82" s="12" cm="1">
        <f t="array" aca="1" ref="M82" ca="1">CreateID($M$3,AND($B82&lt;&gt;"",$AD82))</f>
        <v>39</v>
      </c>
      <c r="N82" s="12" cm="1">
        <f t="array" ref="N82">CreateTaskID($N$3,$N:$N,Tasks!$B$17,$H82)</f>
        <v>0</v>
      </c>
      <c r="O82" s="12" t="str">
        <f t="shared" si="16"/>
        <v/>
      </c>
      <c r="P82" s="12" cm="1">
        <f t="array" aca="1" ref="P82" ca="1">CreateID($P$3,$O82&lt;&gt;"")</f>
        <v>39</v>
      </c>
      <c r="Q82" s="12" t="str">
        <f t="shared" si="19"/>
        <v/>
      </c>
      <c r="R82" s="12" cm="1">
        <f t="array" aca="1" ref="R82" ca="1">CreateID($R$3,$Q82&lt;&gt;"")</f>
        <v>0</v>
      </c>
      <c r="S82" s="12" t="str">
        <f t="shared" si="20"/>
        <v/>
      </c>
      <c r="T82" s="12" cm="1">
        <f t="array" aca="1" ref="T82" ca="1">CreateID($T$3,$S82&lt;&gt;"")</f>
        <v>0</v>
      </c>
      <c r="U82" s="12" t="str">
        <f t="shared" si="21"/>
        <v/>
      </c>
      <c r="V82" s="12" cm="1">
        <f t="array" aca="1" ref="V82" ca="1">CreateID($V$3,$U82&lt;&gt;"")</f>
        <v>0</v>
      </c>
      <c r="W82" s="12" cm="1">
        <f t="array" aca="1" ref="W82" ca="1">CreateID($W$3,IFERROR(FIND(Definitions!$AR$4,$H82)&gt;0,FALSE))</f>
        <v>0</v>
      </c>
      <c r="X82" s="12">
        <f>_xlfn.LET(
_xlpm._comment,$H82,
_xlpm._keyWord,Definitions!$AR$4,
_xlpm._diffLen,LEN(_xlpm._comment)-LEN(SUBSTITUTE(_xlpm._comment,_xlpm._keyWord,"")),
_xlpm._diffLen/LEN(_xlpm._keyWord))</f>
        <v>0</v>
      </c>
      <c r="Y82" s="12" cm="1">
        <f t="array" aca="1" ref="Y82" ca="1">CreateID($Y$3,IFERROR(FIND(Definitions!$AR$5,$H82)&gt;0,FALSE))</f>
        <v>0</v>
      </c>
      <c r="Z82" s="12">
        <f>_xlfn.LET(
_xlpm._comment,$H82,
_xlpm._keyWord,Definitions!$AR$5,
_xlpm._diffLen,LEN(_xlpm._comment)-LEN(SUBSTITUTE(_xlpm._comment,_xlpm._keyWord,"")),
_xlpm._diffLen/LEN(_xlpm._keyWord))</f>
        <v>0</v>
      </c>
      <c r="AA82" s="12" t="b">
        <f ca="1">OR(IFERROR(_xlfn.XMATCH("*,"&amp;$B82&amp;",*",Assumptions!$AH:$AH,2)&gt;0,FALSE),
IFERROR(_xlfn.XMATCH("*,"&amp;$B82&amp;",*",Countermeasures!$AK:$AK,2)&gt;0,FALSE))</f>
        <v>0</v>
      </c>
      <c r="AB82" s="12" t="str" cm="1">
        <f t="array" ref="AB82">CreateSearchString($J82)</f>
        <v/>
      </c>
      <c r="AC82" s="12" t="str" cm="1">
        <f t="array" ref="AC82">IF($F82="","",IFERROR(SimpleLookup($F82,Definitions!$H:$J),""))</f>
        <v/>
      </c>
      <c r="AD82" s="12" t="b" cm="1">
        <f t="array" ref="AD82">IF($B82="",FALSE,SimpleLookup($B82,Questions!$A:$D)="x")</f>
        <v>0</v>
      </c>
      <c r="AE82" s="12" t="str" cm="1">
        <f t="array" ref="AE82">IF(OR($B82="",NOT($AD82)),"",SimpleLookup($B82,Questions!$A:$E))</f>
        <v/>
      </c>
      <c r="AF82" s="12" t="str" cm="1">
        <f t="array" ref="AF82">IF(OR($B82="",NOT($AD82)),"",SimpleLookup($B82,Questions!$A:$F))</f>
        <v/>
      </c>
      <c r="AG82" s="12" t="str" cm="1">
        <f t="array" ref="AG82">_xlfn.LET(
_xlpm._answer,$D82,
_xlpm._infoTextFull,IF($AD82,CHAR(10)&amp;SimpleLookup($B82,Questions!$A:$H)&amp;CHAR(10),""),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82" s="12" t="b" cm="1">
        <f t="array" ref="AH82">IF(OR($B82="",NOT($AD82)),FALSE,_xlfn.LET(
_xlpm._secondAnswerRequiredOn,SimpleLookup($B82,Questions!$A:$I),
_xlpm._firstAnwer,$D82,
IFERROR(FIND(CHAR(10)&amp;_xlpm._firstAnwer&amp;":",CHAR(10)&amp;_xlpm._secondAnswerRequiredOn)&gt;0,FALSE)))</f>
        <v>0</v>
      </c>
      <c r="AI82" s="12" t="str" cm="1">
        <f t="array" ref="AI82">IF(OR($B82="",NOT($AD82)),"",_xlfn.LET(
_xlpm._id,$B82,
_xlpm._firstAnswer,$D82,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82" s="12" t="str" cm="1">
        <f t="array" ref="AJ82">IF(OR($B82="",NOT($AD82)),"",_xlfn.LET(
_xlpm._id,$B82,
_xlpm._firstAnswer,$D82,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82" s="12" t="str" cm="1">
        <f t="array" ref="AK82">IF($AH82,_xlfn.LET(
_xlpm._answer,$F82,
_xlpm._infoTextFull,IF($AD82,CHAR(10)&amp;SimpleLookup($B82,Questions!$A:$L)&amp;CHAR(10),""),
_xlpm._startSelectedByAnswerOne,IF(_xlpm._infoTextFull="",0,FIND("___"&amp;$D82&amp;"___",_xlpm._infoTextFull)+LEN("___"&amp;$D82&amp;"___")),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82" s="12" t="b" cm="1">
        <f t="array" ref="AL82">IF(OR($B82="",NOT($AD82)),FALSE,SimpleLookup($B82,Questions!$A:$Q))</f>
        <v>0</v>
      </c>
      <c r="AM82" s="12" t="str" cm="1">
        <f t="array" aca="1" ref="AM82" ca="1">IF(AND($B82=Questions!$A$41,IFERROR(SimpleLookup(Questions!$A$36,$B:$F)=Definitions!$O$5,FALSE),$D82=Definitions!$A$5),
Questions!$A$36&amp;" "&amp;Questions!$B$36&amp;CHAR(10)&amp;CHAR(187)&amp;" "&amp;SimpleLookup(Questions!$A$36,$B:$D)&amp;CHAR(10)&amp;SimpleLookup(Questions!$A$36,$B:$E)&amp;CHAR(10)&amp;CHAR(187)&amp;" "&amp;Definitions!$O$5&amp;CHAR(10)&amp;CHAR(10)&amp;
"is incosistent with"&amp;CHAR(10)&amp;CHAR(10)&amp;
$B82&amp;" "&amp;SimpleLookup($B82,Questions!$A:$B)&amp;CHAR(10)&amp;CHAR(187)&amp;" "&amp;$D82,
"")</f>
        <v/>
      </c>
      <c r="AN82" s="12" cm="1">
        <f t="array" aca="1" ref="AN82" ca="1">CreateID($AN$3,$AM82&lt;&gt;"")</f>
        <v>0</v>
      </c>
      <c r="AO82" s="12" t="str">
        <f ca="1">IF(OR($D82="",OFFSET($D82,1,0)=""),"",
IF(AND($B82=Questions!$A$59,OFFSET($B82,1,0)=Questions!$A$60),
IF(MATCH($D82,Definitions!$AW:$AW,0)&gt;MATCH(OFFSET($D82,1,0),Definitions!AW:AW,0),$B82&amp;" "&amp;$L82&amp;": "&amp;$D82&amp;CHAR(10)&amp;"&lt;---&gt;"&amp;CHAR(10)&amp;OFFSET($B82,1,0)&amp;" "&amp;OFFSET($L82,1,0)&amp;": "&amp;OFFSET($D82,1,0),""),
""))</f>
        <v/>
      </c>
      <c r="AP82" s="12" cm="1">
        <f t="array" aca="1" ref="AP82" ca="1">CreateID($AP$3,$AO82&lt;&gt;"")</f>
        <v>0</v>
      </c>
      <c r="AQ82" s="12" t="str" cm="1">
        <f t="array" ref="AQ82">IF($B82=Questions!$A$18,
  _xlfn.LET(
    _xlpm._impactValue7,IFERROR(SimpleLookup(SimpleLookup($F82,Definitions!$H:$J),Definitions!$Q:$R),0),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"&amp;$F82&amp;CHAR(10)&amp;"&lt;---&gt;"&amp;CHAR(10)&amp;Questions!$A$30&amp;": "&amp;_xlpm._impactName14,
        ""))),
  "")</f>
        <v/>
      </c>
      <c r="AR82" s="12" cm="1">
        <f t="array" aca="1" ref="AR82" ca="1">CreateID($AR$3,$AQ82&lt;&gt;"")</f>
        <v>0</v>
      </c>
    </row>
    <row r="83" spans="10:44" x14ac:dyDescent="0.25">
      <c r="J83" s="12" t="str">
        <f t="shared" si="17"/>
        <v/>
      </c>
      <c r="K83" s="12" t="str">
        <f t="shared" si="18"/>
        <v/>
      </c>
      <c r="L83" s="12" t="e" cm="1">
        <f t="array" aca="1" ref="L83" ca="1">SimpleLookup($B83,Questions!$A:$B)</f>
        <v>#N/A</v>
      </c>
      <c r="M83" s="12" cm="1">
        <f t="array" aca="1" ref="M83" ca="1">CreateID($M$3,AND($B83&lt;&gt;"",$AD83))</f>
        <v>39</v>
      </c>
      <c r="N83" s="12" cm="1">
        <f t="array" ref="N83">CreateTaskID($N$3,$N:$N,Tasks!$B$17,$H83)</f>
        <v>0</v>
      </c>
      <c r="O83" s="12" t="str">
        <f t="shared" si="16"/>
        <v/>
      </c>
      <c r="P83" s="12" cm="1">
        <f t="array" aca="1" ref="P83" ca="1">CreateID($P$3,$O83&lt;&gt;"")</f>
        <v>39</v>
      </c>
      <c r="Q83" s="12" t="str">
        <f t="shared" si="19"/>
        <v/>
      </c>
      <c r="R83" s="12" cm="1">
        <f t="array" aca="1" ref="R83" ca="1">CreateID($R$3,$Q83&lt;&gt;"")</f>
        <v>0</v>
      </c>
      <c r="S83" s="12" t="str">
        <f t="shared" si="20"/>
        <v/>
      </c>
      <c r="T83" s="12" cm="1">
        <f t="array" aca="1" ref="T83" ca="1">CreateID($T$3,$S83&lt;&gt;"")</f>
        <v>0</v>
      </c>
      <c r="U83" s="12" t="str">
        <f t="shared" si="21"/>
        <v/>
      </c>
      <c r="V83" s="12" cm="1">
        <f t="array" aca="1" ref="V83" ca="1">CreateID($V$3,$U83&lt;&gt;"")</f>
        <v>0</v>
      </c>
      <c r="W83" s="12" cm="1">
        <f t="array" aca="1" ref="W83" ca="1">CreateID($W$3,IFERROR(FIND(Definitions!$AR$4,$H83)&gt;0,FALSE))</f>
        <v>0</v>
      </c>
      <c r="X83" s="12">
        <f>_xlfn.LET(
_xlpm._comment,$H83,
_xlpm._keyWord,Definitions!$AR$4,
_xlpm._diffLen,LEN(_xlpm._comment)-LEN(SUBSTITUTE(_xlpm._comment,_xlpm._keyWord,"")),
_xlpm._diffLen/LEN(_xlpm._keyWord))</f>
        <v>0</v>
      </c>
      <c r="Y83" s="12" cm="1">
        <f t="array" aca="1" ref="Y83" ca="1">CreateID($Y$3,IFERROR(FIND(Definitions!$AR$5,$H83)&gt;0,FALSE))</f>
        <v>0</v>
      </c>
      <c r="Z83" s="12">
        <f>_xlfn.LET(
_xlpm._comment,$H83,
_xlpm._keyWord,Definitions!$AR$5,
_xlpm._diffLen,LEN(_xlpm._comment)-LEN(SUBSTITUTE(_xlpm._comment,_xlpm._keyWord,"")),
_xlpm._diffLen/LEN(_xlpm._keyWord))</f>
        <v>0</v>
      </c>
      <c r="AA83" s="12" t="b">
        <f ca="1">OR(IFERROR(_xlfn.XMATCH("*,"&amp;$B83&amp;",*",Assumptions!$AH:$AH,2)&gt;0,FALSE),
IFERROR(_xlfn.XMATCH("*,"&amp;$B83&amp;",*",Countermeasures!$AK:$AK,2)&gt;0,FALSE))</f>
        <v>0</v>
      </c>
      <c r="AB83" s="12" t="str" cm="1">
        <f t="array" ref="AB83">CreateSearchString($J83)</f>
        <v/>
      </c>
      <c r="AC83" s="12" t="str" cm="1">
        <f t="array" ref="AC83">IF($F83="","",IFERROR(SimpleLookup($F83,Definitions!$H:$J),""))</f>
        <v/>
      </c>
      <c r="AD83" s="12" t="b" cm="1">
        <f t="array" ref="AD83">IF($B83="",FALSE,SimpleLookup($B83,Questions!$A:$D)="x")</f>
        <v>0</v>
      </c>
      <c r="AE83" s="12" t="str" cm="1">
        <f t="array" ref="AE83">IF(OR($B83="",NOT($AD83)),"",SimpleLookup($B83,Questions!$A:$E))</f>
        <v/>
      </c>
      <c r="AF83" s="12" t="str" cm="1">
        <f t="array" ref="AF83">IF(OR($B83="",NOT($AD83)),"",SimpleLookup($B83,Questions!$A:$F))</f>
        <v/>
      </c>
      <c r="AG83" s="12" t="str" cm="1">
        <f t="array" ref="AG83">_xlfn.LET(
_xlpm._answer,$D83,
_xlpm._infoTextFull,IF($AD83,CHAR(10)&amp;SimpleLookup($B83,Questions!$A:$H)&amp;CHAR(10),""),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83" s="12" t="b" cm="1">
        <f t="array" ref="AH83">IF(OR($B83="",NOT($AD83)),FALSE,_xlfn.LET(
_xlpm._secondAnswerRequiredOn,SimpleLookup($B83,Questions!$A:$I),
_xlpm._firstAnwer,$D83,
IFERROR(FIND(CHAR(10)&amp;_xlpm._firstAnwer&amp;":",CHAR(10)&amp;_xlpm._secondAnswerRequiredOn)&gt;0,FALSE)))</f>
        <v>0</v>
      </c>
      <c r="AI83" s="12" t="str" cm="1">
        <f t="array" ref="AI83">IF(OR($B83="",NOT($AD83)),"",_xlfn.LET(
_xlpm._id,$B83,
_xlpm._firstAnswer,$D83,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83" s="12" t="str" cm="1">
        <f t="array" ref="AJ83">IF(OR($B83="",NOT($AD83)),"",_xlfn.LET(
_xlpm._id,$B83,
_xlpm._firstAnswer,$D83,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83" s="12" t="str" cm="1">
        <f t="array" ref="AK83">IF($AH83,_xlfn.LET(
_xlpm._answer,$F83,
_xlpm._infoTextFull,IF($AD83,CHAR(10)&amp;SimpleLookup($B83,Questions!$A:$L)&amp;CHAR(10),""),
_xlpm._startSelectedByAnswerOne,IF(_xlpm._infoTextFull="",0,FIND("___"&amp;$D83&amp;"___",_xlpm._infoTextFull)+LEN("___"&amp;$D83&amp;"___")),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83" s="12" t="b" cm="1">
        <f t="array" ref="AL83">IF(OR($B83="",NOT($AD83)),FALSE,SimpleLookup($B83,Questions!$A:$Q))</f>
        <v>0</v>
      </c>
      <c r="AM83" s="12" t="str" cm="1">
        <f t="array" aca="1" ref="AM83" ca="1">IF(AND($B83=Questions!$A$41,IFERROR(SimpleLookup(Questions!$A$36,$B:$F)=Definitions!$O$5,FALSE),$D83=Definitions!$A$5),
Questions!$A$36&amp;" "&amp;Questions!$B$36&amp;CHAR(10)&amp;CHAR(187)&amp;" "&amp;SimpleLookup(Questions!$A$36,$B:$D)&amp;CHAR(10)&amp;SimpleLookup(Questions!$A$36,$B:$E)&amp;CHAR(10)&amp;CHAR(187)&amp;" "&amp;Definitions!$O$5&amp;CHAR(10)&amp;CHAR(10)&amp;
"is incosistent with"&amp;CHAR(10)&amp;CHAR(10)&amp;
$B83&amp;" "&amp;SimpleLookup($B83,Questions!$A:$B)&amp;CHAR(10)&amp;CHAR(187)&amp;" "&amp;$D83,
"")</f>
        <v/>
      </c>
      <c r="AN83" s="12" cm="1">
        <f t="array" aca="1" ref="AN83" ca="1">CreateID($AN$3,$AM83&lt;&gt;"")</f>
        <v>0</v>
      </c>
      <c r="AO83" s="12" t="str">
        <f ca="1">IF(OR($D83="",OFFSET($D83,1,0)=""),"",
IF(AND($B83=Questions!$A$59,OFFSET($B83,1,0)=Questions!$A$60),
IF(MATCH($D83,Definitions!$AW:$AW,0)&gt;MATCH(OFFSET($D83,1,0),Definitions!AW:AW,0),$B83&amp;" "&amp;$L83&amp;": "&amp;$D83&amp;CHAR(10)&amp;"&lt;---&gt;"&amp;CHAR(10)&amp;OFFSET($B83,1,0)&amp;" "&amp;OFFSET($L83,1,0)&amp;": "&amp;OFFSET($D83,1,0),""),
""))</f>
        <v/>
      </c>
      <c r="AP83" s="12" cm="1">
        <f t="array" aca="1" ref="AP83" ca="1">CreateID($AP$3,$AO83&lt;&gt;"")</f>
        <v>0</v>
      </c>
      <c r="AQ83" s="12" t="str" cm="1">
        <f t="array" ref="AQ83">IF($B83=Questions!$A$18,
  _xlfn.LET(
    _xlpm._impactValue7,IFERROR(SimpleLookup(SimpleLookup($F83,Definitions!$H:$J),Definitions!$Q:$R),0),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"&amp;$F83&amp;CHAR(10)&amp;"&lt;---&gt;"&amp;CHAR(10)&amp;Questions!$A$30&amp;": "&amp;_xlpm._impactName14,
        ""))),
  "")</f>
        <v/>
      </c>
      <c r="AR83" s="12" cm="1">
        <f t="array" aca="1" ref="AR83" ca="1">CreateID($AR$3,$AQ83&lt;&gt;"")</f>
        <v>0</v>
      </c>
    </row>
    <row r="84" spans="10:44" x14ac:dyDescent="0.25">
      <c r="J84" s="12" t="str">
        <f t="shared" si="17"/>
        <v/>
      </c>
      <c r="K84" s="12" t="str">
        <f t="shared" si="18"/>
        <v/>
      </c>
      <c r="L84" s="12" t="e" cm="1">
        <f t="array" aca="1" ref="L84" ca="1">SimpleLookup($B84,Questions!$A:$B)</f>
        <v>#N/A</v>
      </c>
      <c r="M84" s="12" cm="1">
        <f t="array" aca="1" ref="M84" ca="1">CreateID($M$3,AND($B84&lt;&gt;"",$AD84))</f>
        <v>39</v>
      </c>
      <c r="N84" s="12" cm="1">
        <f t="array" ref="N84">CreateTaskID($N$3,$N:$N,Tasks!$B$17,$H84)</f>
        <v>0</v>
      </c>
      <c r="O84" s="12" t="str">
        <f t="shared" si="16"/>
        <v/>
      </c>
      <c r="P84" s="12" cm="1">
        <f t="array" aca="1" ref="P84" ca="1">CreateID($P$3,$O84&lt;&gt;"")</f>
        <v>39</v>
      </c>
      <c r="Q84" s="12" t="str">
        <f t="shared" si="19"/>
        <v/>
      </c>
      <c r="R84" s="12" cm="1">
        <f t="array" aca="1" ref="R84" ca="1">CreateID($R$3,$Q84&lt;&gt;"")</f>
        <v>0</v>
      </c>
      <c r="S84" s="12" t="str">
        <f t="shared" si="20"/>
        <v/>
      </c>
      <c r="T84" s="12" cm="1">
        <f t="array" aca="1" ref="T84" ca="1">CreateID($T$3,$S84&lt;&gt;"")</f>
        <v>0</v>
      </c>
      <c r="U84" s="12" t="str">
        <f t="shared" si="21"/>
        <v/>
      </c>
      <c r="V84" s="12" cm="1">
        <f t="array" aca="1" ref="V84" ca="1">CreateID($V$3,$U84&lt;&gt;"")</f>
        <v>0</v>
      </c>
      <c r="W84" s="12" cm="1">
        <f t="array" aca="1" ref="W84" ca="1">CreateID($W$3,IFERROR(FIND(Definitions!$AR$4,$H84)&gt;0,FALSE))</f>
        <v>0</v>
      </c>
      <c r="X84" s="12">
        <f>_xlfn.LET(
_xlpm._comment,$H84,
_xlpm._keyWord,Definitions!$AR$4,
_xlpm._diffLen,LEN(_xlpm._comment)-LEN(SUBSTITUTE(_xlpm._comment,_xlpm._keyWord,"")),
_xlpm._diffLen/LEN(_xlpm._keyWord))</f>
        <v>0</v>
      </c>
      <c r="Y84" s="12" cm="1">
        <f t="array" aca="1" ref="Y84" ca="1">CreateID($Y$3,IFERROR(FIND(Definitions!$AR$5,$H84)&gt;0,FALSE))</f>
        <v>0</v>
      </c>
      <c r="Z84" s="12">
        <f>_xlfn.LET(
_xlpm._comment,$H84,
_xlpm._keyWord,Definitions!$AR$5,
_xlpm._diffLen,LEN(_xlpm._comment)-LEN(SUBSTITUTE(_xlpm._comment,_xlpm._keyWord,"")),
_xlpm._diffLen/LEN(_xlpm._keyWord))</f>
        <v>0</v>
      </c>
      <c r="AA84" s="12" t="b">
        <f ca="1">OR(IFERROR(_xlfn.XMATCH("*,"&amp;$B84&amp;",*",Assumptions!$AH:$AH,2)&gt;0,FALSE),
IFERROR(_xlfn.XMATCH("*,"&amp;$B84&amp;",*",Countermeasures!$AK:$AK,2)&gt;0,FALSE))</f>
        <v>0</v>
      </c>
      <c r="AB84" s="12" t="str" cm="1">
        <f t="array" ref="AB84">CreateSearchString($J84)</f>
        <v/>
      </c>
      <c r="AC84" s="12" t="str" cm="1">
        <f t="array" ref="AC84">IF($F84="","",IFERROR(SimpleLookup($F84,Definitions!$H:$J),""))</f>
        <v/>
      </c>
      <c r="AD84" s="12" t="b" cm="1">
        <f t="array" ref="AD84">IF($B84="",FALSE,SimpleLookup($B84,Questions!$A:$D)="x")</f>
        <v>0</v>
      </c>
      <c r="AE84" s="12" t="str" cm="1">
        <f t="array" ref="AE84">IF(OR($B84="",NOT($AD84)),"",SimpleLookup($B84,Questions!$A:$E))</f>
        <v/>
      </c>
      <c r="AF84" s="12" t="str" cm="1">
        <f t="array" ref="AF84">IF(OR($B84="",NOT($AD84)),"",SimpleLookup($B84,Questions!$A:$F))</f>
        <v/>
      </c>
      <c r="AG84" s="12" t="str" cm="1">
        <f t="array" ref="AG84">_xlfn.LET(
_xlpm._answer,$D84,
_xlpm._infoTextFull,IF($AD84,CHAR(10)&amp;SimpleLookup($B84,Questions!$A:$H)&amp;CHAR(10),""),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84" s="12" t="b" cm="1">
        <f t="array" ref="AH84">IF(OR($B84="",NOT($AD84)),FALSE,_xlfn.LET(
_xlpm._secondAnswerRequiredOn,SimpleLookup($B84,Questions!$A:$I),
_xlpm._firstAnwer,$D84,
IFERROR(FIND(CHAR(10)&amp;_xlpm._firstAnwer&amp;":",CHAR(10)&amp;_xlpm._secondAnswerRequiredOn)&gt;0,FALSE)))</f>
        <v>0</v>
      </c>
      <c r="AI84" s="12" t="str" cm="1">
        <f t="array" ref="AI84">IF(OR($B84="",NOT($AD84)),"",_xlfn.LET(
_xlpm._id,$B84,
_xlpm._firstAnswer,$D84,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84" s="12" t="str" cm="1">
        <f t="array" ref="AJ84">IF(OR($B84="",NOT($AD84)),"",_xlfn.LET(
_xlpm._id,$B84,
_xlpm._firstAnswer,$D84,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84" s="12" t="str" cm="1">
        <f t="array" ref="AK84">IF($AH84,_xlfn.LET(
_xlpm._answer,$F84,
_xlpm._infoTextFull,IF($AD84,CHAR(10)&amp;SimpleLookup($B84,Questions!$A:$L)&amp;CHAR(10),""),
_xlpm._startSelectedByAnswerOne,IF(_xlpm._infoTextFull="",0,FIND("___"&amp;$D84&amp;"___",_xlpm._infoTextFull)+LEN("___"&amp;$D84&amp;"___")),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84" s="12" t="b" cm="1">
        <f t="array" ref="AL84">IF(OR($B84="",NOT($AD84)),FALSE,SimpleLookup($B84,Questions!$A:$Q))</f>
        <v>0</v>
      </c>
      <c r="AM84" s="12" t="str" cm="1">
        <f t="array" aca="1" ref="AM84" ca="1">IF(AND($B84=Questions!$A$41,IFERROR(SimpleLookup(Questions!$A$36,$B:$F)=Definitions!$O$5,FALSE),$D84=Definitions!$A$5),
Questions!$A$36&amp;" "&amp;Questions!$B$36&amp;CHAR(10)&amp;CHAR(187)&amp;" "&amp;SimpleLookup(Questions!$A$36,$B:$D)&amp;CHAR(10)&amp;SimpleLookup(Questions!$A$36,$B:$E)&amp;CHAR(10)&amp;CHAR(187)&amp;" "&amp;Definitions!$O$5&amp;CHAR(10)&amp;CHAR(10)&amp;
"is incosistent with"&amp;CHAR(10)&amp;CHAR(10)&amp;
$B84&amp;" "&amp;SimpleLookup($B84,Questions!$A:$B)&amp;CHAR(10)&amp;CHAR(187)&amp;" "&amp;$D84,
"")</f>
        <v/>
      </c>
      <c r="AN84" s="12" cm="1">
        <f t="array" aca="1" ref="AN84" ca="1">CreateID($AN$3,$AM84&lt;&gt;"")</f>
        <v>0</v>
      </c>
      <c r="AO84" s="12" t="str">
        <f ca="1">IF(OR($D84="",OFFSET($D84,1,0)=""),"",
IF(AND($B84=Questions!$A$59,OFFSET($B84,1,0)=Questions!$A$60),
IF(MATCH($D84,Definitions!$AW:$AW,0)&gt;MATCH(OFFSET($D84,1,0),Definitions!AW:AW,0),$B84&amp;" "&amp;$L84&amp;": "&amp;$D84&amp;CHAR(10)&amp;"&lt;---&gt;"&amp;CHAR(10)&amp;OFFSET($B84,1,0)&amp;" "&amp;OFFSET($L84,1,0)&amp;": "&amp;OFFSET($D84,1,0),""),
""))</f>
        <v/>
      </c>
      <c r="AP84" s="12" cm="1">
        <f t="array" aca="1" ref="AP84" ca="1">CreateID($AP$3,$AO84&lt;&gt;"")</f>
        <v>0</v>
      </c>
      <c r="AQ84" s="12" t="str" cm="1">
        <f t="array" ref="AQ84">IF($B84=Questions!$A$18,
  _xlfn.LET(
    _xlpm._impactValue7,IFERROR(SimpleLookup(SimpleLookup($F84,Definitions!$H:$J),Definitions!$Q:$R),0),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"&amp;$F84&amp;CHAR(10)&amp;"&lt;---&gt;"&amp;CHAR(10)&amp;Questions!$A$30&amp;": "&amp;_xlpm._impactName14,
        ""))),
  "")</f>
        <v/>
      </c>
      <c r="AR84" s="12" cm="1">
        <f t="array" aca="1" ref="AR84" ca="1">CreateID($AR$3,$AQ84&lt;&gt;"")</f>
        <v>0</v>
      </c>
    </row>
    <row r="85" spans="10:44" x14ac:dyDescent="0.25">
      <c r="J85" s="12" t="str">
        <f t="shared" si="17"/>
        <v/>
      </c>
      <c r="K85" s="12" t="str">
        <f t="shared" si="18"/>
        <v/>
      </c>
      <c r="L85" s="12" t="e" cm="1">
        <f t="array" aca="1" ref="L85" ca="1">SimpleLookup($B85,Questions!$A:$B)</f>
        <v>#N/A</v>
      </c>
      <c r="M85" s="12" cm="1">
        <f t="array" aca="1" ref="M85" ca="1">CreateID($M$3,AND($B85&lt;&gt;"",$AD85))</f>
        <v>39</v>
      </c>
      <c r="N85" s="12" cm="1">
        <f t="array" ref="N85">CreateTaskID($N$3,$N:$N,Tasks!$B$17,$H85)</f>
        <v>0</v>
      </c>
      <c r="O85" s="12" t="str">
        <f t="shared" si="16"/>
        <v/>
      </c>
      <c r="P85" s="12" cm="1">
        <f t="array" aca="1" ref="P85" ca="1">CreateID($P$3,$O85&lt;&gt;"")</f>
        <v>39</v>
      </c>
      <c r="Q85" s="12" t="str">
        <f t="shared" si="19"/>
        <v/>
      </c>
      <c r="R85" s="12" cm="1">
        <f t="array" aca="1" ref="R85" ca="1">CreateID($R$3,$Q85&lt;&gt;"")</f>
        <v>0</v>
      </c>
      <c r="S85" s="12" t="str">
        <f t="shared" si="20"/>
        <v/>
      </c>
      <c r="T85" s="12" cm="1">
        <f t="array" aca="1" ref="T85" ca="1">CreateID($T$3,$S85&lt;&gt;"")</f>
        <v>0</v>
      </c>
      <c r="U85" s="12" t="str">
        <f t="shared" si="21"/>
        <v/>
      </c>
      <c r="V85" s="12" cm="1">
        <f t="array" aca="1" ref="V85" ca="1">CreateID($V$3,$U85&lt;&gt;"")</f>
        <v>0</v>
      </c>
      <c r="W85" s="12" cm="1">
        <f t="array" aca="1" ref="W85" ca="1">CreateID($W$3,IFERROR(FIND(Definitions!$AR$4,$H85)&gt;0,FALSE))</f>
        <v>0</v>
      </c>
      <c r="X85" s="12">
        <f>_xlfn.LET(
_xlpm._comment,$H85,
_xlpm._keyWord,Definitions!$AR$4,
_xlpm._diffLen,LEN(_xlpm._comment)-LEN(SUBSTITUTE(_xlpm._comment,_xlpm._keyWord,"")),
_xlpm._diffLen/LEN(_xlpm._keyWord))</f>
        <v>0</v>
      </c>
      <c r="Y85" s="12" cm="1">
        <f t="array" aca="1" ref="Y85" ca="1">CreateID($Y$3,IFERROR(FIND(Definitions!$AR$5,$H85)&gt;0,FALSE))</f>
        <v>0</v>
      </c>
      <c r="Z85" s="12">
        <f>_xlfn.LET(
_xlpm._comment,$H85,
_xlpm._keyWord,Definitions!$AR$5,
_xlpm._diffLen,LEN(_xlpm._comment)-LEN(SUBSTITUTE(_xlpm._comment,_xlpm._keyWord,"")),
_xlpm._diffLen/LEN(_xlpm._keyWord))</f>
        <v>0</v>
      </c>
      <c r="AA85" s="12" t="b">
        <f ca="1">OR(IFERROR(_xlfn.XMATCH("*,"&amp;$B85&amp;",*",Assumptions!$AH:$AH,2)&gt;0,FALSE),
IFERROR(_xlfn.XMATCH("*,"&amp;$B85&amp;",*",Countermeasures!$AK:$AK,2)&gt;0,FALSE))</f>
        <v>0</v>
      </c>
      <c r="AB85" s="12" t="str" cm="1">
        <f t="array" ref="AB85">CreateSearchString($J85)</f>
        <v/>
      </c>
      <c r="AC85" s="12" t="str" cm="1">
        <f t="array" ref="AC85">IF($F85="","",IFERROR(SimpleLookup($F85,Definitions!$H:$J),""))</f>
        <v/>
      </c>
      <c r="AD85" s="12" t="b" cm="1">
        <f t="array" ref="AD85">IF($B85="",FALSE,SimpleLookup($B85,Questions!$A:$D)="x")</f>
        <v>0</v>
      </c>
      <c r="AE85" s="12" t="str" cm="1">
        <f t="array" ref="AE85">IF(OR($B85="",NOT($AD85)),"",SimpleLookup($B85,Questions!$A:$E))</f>
        <v/>
      </c>
      <c r="AF85" s="12" t="str" cm="1">
        <f t="array" ref="AF85">IF(OR($B85="",NOT($AD85)),"",SimpleLookup($B85,Questions!$A:$F))</f>
        <v/>
      </c>
      <c r="AG85" s="12" t="str" cm="1">
        <f t="array" ref="AG85">_xlfn.LET(
_xlpm._answer,$D85,
_xlpm._infoTextFull,IF($AD85,CHAR(10)&amp;SimpleLookup($B85,Questions!$A:$H)&amp;CHAR(10),""),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85" s="12" t="b" cm="1">
        <f t="array" ref="AH85">IF(OR($B85="",NOT($AD85)),FALSE,_xlfn.LET(
_xlpm._secondAnswerRequiredOn,SimpleLookup($B85,Questions!$A:$I),
_xlpm._firstAnwer,$D85,
IFERROR(FIND(CHAR(10)&amp;_xlpm._firstAnwer&amp;":",CHAR(10)&amp;_xlpm._secondAnswerRequiredOn)&gt;0,FALSE)))</f>
        <v>0</v>
      </c>
      <c r="AI85" s="12" t="str" cm="1">
        <f t="array" ref="AI85">IF(OR($B85="",NOT($AD85)),"",_xlfn.LET(
_xlpm._id,$B85,
_xlpm._firstAnswer,$D85,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85" s="12" t="str" cm="1">
        <f t="array" ref="AJ85">IF(OR($B85="",NOT($AD85)),"",_xlfn.LET(
_xlpm._id,$B85,
_xlpm._firstAnswer,$D85,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85" s="12" t="str" cm="1">
        <f t="array" ref="AK85">IF($AH85,_xlfn.LET(
_xlpm._answer,$F85,
_xlpm._infoTextFull,IF($AD85,CHAR(10)&amp;SimpleLookup($B85,Questions!$A:$L)&amp;CHAR(10),""),
_xlpm._startSelectedByAnswerOne,IF(_xlpm._infoTextFull="",0,FIND("___"&amp;$D85&amp;"___",_xlpm._infoTextFull)+LEN("___"&amp;$D85&amp;"___")),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85" s="12" t="b" cm="1">
        <f t="array" ref="AL85">IF(OR($B85="",NOT($AD85)),FALSE,SimpleLookup($B85,Questions!$A:$Q))</f>
        <v>0</v>
      </c>
      <c r="AM85" s="12" t="str" cm="1">
        <f t="array" aca="1" ref="AM85" ca="1">IF(AND($B85=Questions!$A$41,IFERROR(SimpleLookup(Questions!$A$36,$B:$F)=Definitions!$O$5,FALSE),$D85=Definitions!$A$5),
Questions!$A$36&amp;" "&amp;Questions!$B$36&amp;CHAR(10)&amp;CHAR(187)&amp;" "&amp;SimpleLookup(Questions!$A$36,$B:$D)&amp;CHAR(10)&amp;SimpleLookup(Questions!$A$36,$B:$E)&amp;CHAR(10)&amp;CHAR(187)&amp;" "&amp;Definitions!$O$5&amp;CHAR(10)&amp;CHAR(10)&amp;
"is incosistent with"&amp;CHAR(10)&amp;CHAR(10)&amp;
$B85&amp;" "&amp;SimpleLookup($B85,Questions!$A:$B)&amp;CHAR(10)&amp;CHAR(187)&amp;" "&amp;$D85,
"")</f>
        <v/>
      </c>
      <c r="AN85" s="12" cm="1">
        <f t="array" aca="1" ref="AN85" ca="1">CreateID($AN$3,$AM85&lt;&gt;"")</f>
        <v>0</v>
      </c>
      <c r="AO85" s="12" t="str">
        <f ca="1">IF(OR($D85="",OFFSET($D85,1,0)=""),"",
IF(AND($B85=Questions!$A$59,OFFSET($B85,1,0)=Questions!$A$60),
IF(MATCH($D85,Definitions!$AW:$AW,0)&gt;MATCH(OFFSET($D85,1,0),Definitions!AW:AW,0),$B85&amp;" "&amp;$L85&amp;": "&amp;$D85&amp;CHAR(10)&amp;"&lt;---&gt;"&amp;CHAR(10)&amp;OFFSET($B85,1,0)&amp;" "&amp;OFFSET($L85,1,0)&amp;": "&amp;OFFSET($D85,1,0),""),
""))</f>
        <v/>
      </c>
      <c r="AP85" s="12" cm="1">
        <f t="array" aca="1" ref="AP85" ca="1">CreateID($AP$3,$AO85&lt;&gt;"")</f>
        <v>0</v>
      </c>
      <c r="AQ85" s="12" t="str" cm="1">
        <f t="array" ref="AQ85">IF($B85=Questions!$A$18,
  _xlfn.LET(
    _xlpm._impactValue7,IFERROR(SimpleLookup(SimpleLookup($F85,Definitions!$H:$J),Definitions!$Q:$R),0),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"&amp;$F85&amp;CHAR(10)&amp;"&lt;---&gt;"&amp;CHAR(10)&amp;Questions!$A$30&amp;": "&amp;_xlpm._impactName14,
        ""))),
  "")</f>
        <v/>
      </c>
      <c r="AR85" s="12" cm="1">
        <f t="array" aca="1" ref="AR85" ca="1">CreateID($AR$3,$AQ85&lt;&gt;"")</f>
        <v>0</v>
      </c>
    </row>
    <row r="86" spans="10:44" x14ac:dyDescent="0.25">
      <c r="J86" s="12" t="str">
        <f t="shared" si="17"/>
        <v/>
      </c>
      <c r="K86" s="12" t="str">
        <f t="shared" si="18"/>
        <v/>
      </c>
      <c r="L86" s="12" t="e" cm="1">
        <f t="array" aca="1" ref="L86" ca="1">SimpleLookup($B86,Questions!$A:$B)</f>
        <v>#N/A</v>
      </c>
      <c r="M86" s="12" cm="1">
        <f t="array" aca="1" ref="M86" ca="1">CreateID($M$3,AND($B86&lt;&gt;"",$AD86))</f>
        <v>39</v>
      </c>
      <c r="N86" s="12" cm="1">
        <f t="array" ref="N86">CreateTaskID($N$3,$N:$N,Tasks!$B$17,$H86)</f>
        <v>0</v>
      </c>
      <c r="O86" s="12" t="str">
        <f t="shared" si="16"/>
        <v/>
      </c>
      <c r="P86" s="12" cm="1">
        <f t="array" aca="1" ref="P86" ca="1">CreateID($P$3,$O86&lt;&gt;"")</f>
        <v>39</v>
      </c>
      <c r="Q86" s="12" t="str">
        <f t="shared" si="19"/>
        <v/>
      </c>
      <c r="R86" s="12" cm="1">
        <f t="array" aca="1" ref="R86" ca="1">CreateID($R$3,$Q86&lt;&gt;"")</f>
        <v>0</v>
      </c>
      <c r="S86" s="12" t="str">
        <f t="shared" si="20"/>
        <v/>
      </c>
      <c r="T86" s="12" cm="1">
        <f t="array" aca="1" ref="T86" ca="1">CreateID($T$3,$S86&lt;&gt;"")</f>
        <v>0</v>
      </c>
      <c r="U86" s="12" t="str">
        <f t="shared" si="21"/>
        <v/>
      </c>
      <c r="V86" s="12" cm="1">
        <f t="array" aca="1" ref="V86" ca="1">CreateID($V$3,$U86&lt;&gt;"")</f>
        <v>0</v>
      </c>
      <c r="W86" s="12" cm="1">
        <f t="array" aca="1" ref="W86" ca="1">CreateID($W$3,IFERROR(FIND(Definitions!$AR$4,$H86)&gt;0,FALSE))</f>
        <v>0</v>
      </c>
      <c r="X86" s="12">
        <f>_xlfn.LET(
_xlpm._comment,$H86,
_xlpm._keyWord,Definitions!$AR$4,
_xlpm._diffLen,LEN(_xlpm._comment)-LEN(SUBSTITUTE(_xlpm._comment,_xlpm._keyWord,"")),
_xlpm._diffLen/LEN(_xlpm._keyWord))</f>
        <v>0</v>
      </c>
      <c r="Y86" s="12" cm="1">
        <f t="array" aca="1" ref="Y86" ca="1">CreateID($Y$3,IFERROR(FIND(Definitions!$AR$5,$H86)&gt;0,FALSE))</f>
        <v>0</v>
      </c>
      <c r="Z86" s="12">
        <f>_xlfn.LET(
_xlpm._comment,$H86,
_xlpm._keyWord,Definitions!$AR$5,
_xlpm._diffLen,LEN(_xlpm._comment)-LEN(SUBSTITUTE(_xlpm._comment,_xlpm._keyWord,"")),
_xlpm._diffLen/LEN(_xlpm._keyWord))</f>
        <v>0</v>
      </c>
      <c r="AA86" s="12" t="b">
        <f ca="1">OR(IFERROR(_xlfn.XMATCH("*,"&amp;$B86&amp;",*",Assumptions!$AH:$AH,2)&gt;0,FALSE),
IFERROR(_xlfn.XMATCH("*,"&amp;$B86&amp;",*",Countermeasures!$AK:$AK,2)&gt;0,FALSE))</f>
        <v>0</v>
      </c>
      <c r="AB86" s="12" t="str" cm="1">
        <f t="array" ref="AB86">CreateSearchString($J86)</f>
        <v/>
      </c>
      <c r="AC86" s="12" t="str" cm="1">
        <f t="array" ref="AC86">IF($F86="","",IFERROR(SimpleLookup($F86,Definitions!$H:$J),""))</f>
        <v/>
      </c>
      <c r="AD86" s="12" t="b" cm="1">
        <f t="array" ref="AD86">IF($B86="",FALSE,SimpleLookup($B86,Questions!$A:$D)="x")</f>
        <v>0</v>
      </c>
      <c r="AE86" s="12" t="str" cm="1">
        <f t="array" ref="AE86">IF(OR($B86="",NOT($AD86)),"",SimpleLookup($B86,Questions!$A:$E))</f>
        <v/>
      </c>
      <c r="AF86" s="12" t="str" cm="1">
        <f t="array" ref="AF86">IF(OR($B86="",NOT($AD86)),"",SimpleLookup($B86,Questions!$A:$F))</f>
        <v/>
      </c>
      <c r="AG86" s="12" t="str" cm="1">
        <f t="array" ref="AG86">_xlfn.LET(
_xlpm._answer,$D86,
_xlpm._infoTextFull,IF($AD86,CHAR(10)&amp;SimpleLookup($B86,Questions!$A:$H)&amp;CHAR(10),""),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86" s="12" t="b" cm="1">
        <f t="array" ref="AH86">IF(OR($B86="",NOT($AD86)),FALSE,_xlfn.LET(
_xlpm._secondAnswerRequiredOn,SimpleLookup($B86,Questions!$A:$I),
_xlpm._firstAnwer,$D86,
IFERROR(FIND(CHAR(10)&amp;_xlpm._firstAnwer&amp;":",CHAR(10)&amp;_xlpm._secondAnswerRequiredOn)&gt;0,FALSE)))</f>
        <v>0</v>
      </c>
      <c r="AI86" s="12" t="str" cm="1">
        <f t="array" ref="AI86">IF(OR($B86="",NOT($AD86)),"",_xlfn.LET(
_xlpm._id,$B86,
_xlpm._firstAnswer,$D86,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86" s="12" t="str" cm="1">
        <f t="array" ref="AJ86">IF(OR($B86="",NOT($AD86)),"",_xlfn.LET(
_xlpm._id,$B86,
_xlpm._firstAnswer,$D86,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86" s="12" t="str" cm="1">
        <f t="array" ref="AK86">IF($AH86,_xlfn.LET(
_xlpm._answer,$F86,
_xlpm._infoTextFull,IF($AD86,CHAR(10)&amp;SimpleLookup($B86,Questions!$A:$L)&amp;CHAR(10),""),
_xlpm._startSelectedByAnswerOne,IF(_xlpm._infoTextFull="",0,FIND("___"&amp;$D86&amp;"___",_xlpm._infoTextFull)+LEN("___"&amp;$D86&amp;"___")),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86" s="12" t="b" cm="1">
        <f t="array" ref="AL86">IF(OR($B86="",NOT($AD86)),FALSE,SimpleLookup($B86,Questions!$A:$Q))</f>
        <v>0</v>
      </c>
      <c r="AM86" s="12" t="str" cm="1">
        <f t="array" aca="1" ref="AM86" ca="1">IF(AND($B86=Questions!$A$41,IFERROR(SimpleLookup(Questions!$A$36,$B:$F)=Definitions!$O$5,FALSE),$D86=Definitions!$A$5),
Questions!$A$36&amp;" "&amp;Questions!$B$36&amp;CHAR(10)&amp;CHAR(187)&amp;" "&amp;SimpleLookup(Questions!$A$36,$B:$D)&amp;CHAR(10)&amp;SimpleLookup(Questions!$A$36,$B:$E)&amp;CHAR(10)&amp;CHAR(187)&amp;" "&amp;Definitions!$O$5&amp;CHAR(10)&amp;CHAR(10)&amp;
"is incosistent with"&amp;CHAR(10)&amp;CHAR(10)&amp;
$B86&amp;" "&amp;SimpleLookup($B86,Questions!$A:$B)&amp;CHAR(10)&amp;CHAR(187)&amp;" "&amp;$D86,
"")</f>
        <v/>
      </c>
      <c r="AN86" s="12" cm="1">
        <f t="array" aca="1" ref="AN86" ca="1">CreateID($AN$3,$AM86&lt;&gt;"")</f>
        <v>0</v>
      </c>
      <c r="AO86" s="12" t="str">
        <f ca="1">IF(OR($D86="",OFFSET($D86,1,0)=""),"",
IF(AND($B86=Questions!$A$59,OFFSET($B86,1,0)=Questions!$A$60),
IF(MATCH($D86,Definitions!$AW:$AW,0)&gt;MATCH(OFFSET($D86,1,0),Definitions!AW:AW,0),$B86&amp;" "&amp;$L86&amp;": "&amp;$D86&amp;CHAR(10)&amp;"&lt;---&gt;"&amp;CHAR(10)&amp;OFFSET($B86,1,0)&amp;" "&amp;OFFSET($L86,1,0)&amp;": "&amp;OFFSET($D86,1,0),""),
""))</f>
        <v/>
      </c>
      <c r="AP86" s="12" cm="1">
        <f t="array" aca="1" ref="AP86" ca="1">CreateID($AP$3,$AO86&lt;&gt;"")</f>
        <v>0</v>
      </c>
      <c r="AQ86" s="12" t="str" cm="1">
        <f t="array" ref="AQ86">IF($B86=Questions!$A$18,
  _xlfn.LET(
    _xlpm._impactValue7,IFERROR(SimpleLookup(SimpleLookup($F86,Definitions!$H:$J),Definitions!$Q:$R),0),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"&amp;$F86&amp;CHAR(10)&amp;"&lt;---&gt;"&amp;CHAR(10)&amp;Questions!$A$30&amp;": "&amp;_xlpm._impactName14,
        ""))),
  "")</f>
        <v/>
      </c>
      <c r="AR86" s="12" cm="1">
        <f t="array" aca="1" ref="AR86" ca="1">CreateID($AR$3,$AQ86&lt;&gt;"")</f>
        <v>0</v>
      </c>
    </row>
    <row r="87" spans="10:44" x14ac:dyDescent="0.25">
      <c r="J87" s="12" t="str">
        <f t="shared" si="17"/>
        <v/>
      </c>
      <c r="K87" s="12" t="str">
        <f t="shared" si="18"/>
        <v/>
      </c>
      <c r="L87" s="12" t="e" cm="1">
        <f t="array" aca="1" ref="L87" ca="1">SimpleLookup($B87,Questions!$A:$B)</f>
        <v>#N/A</v>
      </c>
      <c r="M87" s="12" cm="1">
        <f t="array" aca="1" ref="M87" ca="1">CreateID($M$3,AND($B87&lt;&gt;"",$AD87))</f>
        <v>39</v>
      </c>
      <c r="N87" s="12" cm="1">
        <f t="array" ref="N87">CreateTaskID($N$3,$N:$N,Tasks!$B$17,$H87)</f>
        <v>0</v>
      </c>
      <c r="O87" s="12" t="str">
        <f t="shared" si="16"/>
        <v/>
      </c>
      <c r="P87" s="12" cm="1">
        <f t="array" aca="1" ref="P87" ca="1">CreateID($P$3,$O87&lt;&gt;"")</f>
        <v>39</v>
      </c>
      <c r="Q87" s="12" t="str">
        <f t="shared" si="19"/>
        <v/>
      </c>
      <c r="R87" s="12" cm="1">
        <f t="array" aca="1" ref="R87" ca="1">CreateID($R$3,$Q87&lt;&gt;"")</f>
        <v>0</v>
      </c>
      <c r="S87" s="12" t="str">
        <f t="shared" si="20"/>
        <v/>
      </c>
      <c r="T87" s="12" cm="1">
        <f t="array" aca="1" ref="T87" ca="1">CreateID($T$3,$S87&lt;&gt;"")</f>
        <v>0</v>
      </c>
      <c r="U87" s="12" t="str">
        <f t="shared" si="21"/>
        <v/>
      </c>
      <c r="V87" s="12" cm="1">
        <f t="array" aca="1" ref="V87" ca="1">CreateID($V$3,$U87&lt;&gt;"")</f>
        <v>0</v>
      </c>
      <c r="W87" s="12" cm="1">
        <f t="array" aca="1" ref="W87" ca="1">CreateID($W$3,IFERROR(FIND(Definitions!$AR$4,$H87)&gt;0,FALSE))</f>
        <v>0</v>
      </c>
      <c r="X87" s="12">
        <f>_xlfn.LET(
_xlpm._comment,$H87,
_xlpm._keyWord,Definitions!$AR$4,
_xlpm._diffLen,LEN(_xlpm._comment)-LEN(SUBSTITUTE(_xlpm._comment,_xlpm._keyWord,"")),
_xlpm._diffLen/LEN(_xlpm._keyWord))</f>
        <v>0</v>
      </c>
      <c r="Y87" s="12" cm="1">
        <f t="array" aca="1" ref="Y87" ca="1">CreateID($Y$3,IFERROR(FIND(Definitions!$AR$5,$H87)&gt;0,FALSE))</f>
        <v>0</v>
      </c>
      <c r="Z87" s="12">
        <f>_xlfn.LET(
_xlpm._comment,$H87,
_xlpm._keyWord,Definitions!$AR$5,
_xlpm._diffLen,LEN(_xlpm._comment)-LEN(SUBSTITUTE(_xlpm._comment,_xlpm._keyWord,"")),
_xlpm._diffLen/LEN(_xlpm._keyWord))</f>
        <v>0</v>
      </c>
      <c r="AA87" s="12" t="b">
        <f ca="1">OR(IFERROR(_xlfn.XMATCH("*,"&amp;$B87&amp;",*",Assumptions!$AH:$AH,2)&gt;0,FALSE),
IFERROR(_xlfn.XMATCH("*,"&amp;$B87&amp;",*",Countermeasures!$AK:$AK,2)&gt;0,FALSE))</f>
        <v>0</v>
      </c>
      <c r="AB87" s="12" t="str" cm="1">
        <f t="array" ref="AB87">CreateSearchString($J87)</f>
        <v/>
      </c>
      <c r="AC87" s="12" t="str" cm="1">
        <f t="array" ref="AC87">IF($F87="","",IFERROR(SimpleLookup($F87,Definitions!$H:$J),""))</f>
        <v/>
      </c>
      <c r="AD87" s="12" t="b" cm="1">
        <f t="array" ref="AD87">IF($B87="",FALSE,SimpleLookup($B87,Questions!$A:$D)="x")</f>
        <v>0</v>
      </c>
      <c r="AE87" s="12" t="str" cm="1">
        <f t="array" ref="AE87">IF(OR($B87="",NOT($AD87)),"",SimpleLookup($B87,Questions!$A:$E))</f>
        <v/>
      </c>
      <c r="AF87" s="12" t="str" cm="1">
        <f t="array" ref="AF87">IF(OR($B87="",NOT($AD87)),"",SimpleLookup($B87,Questions!$A:$F))</f>
        <v/>
      </c>
      <c r="AG87" s="12" t="str" cm="1">
        <f t="array" ref="AG87">_xlfn.LET(
_xlpm._answer,$D87,
_xlpm._infoTextFull,IF($AD87,CHAR(10)&amp;SimpleLookup($B87,Questions!$A:$H)&amp;CHAR(10),""),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87" s="12" t="b" cm="1">
        <f t="array" ref="AH87">IF(OR($B87="",NOT($AD87)),FALSE,_xlfn.LET(
_xlpm._secondAnswerRequiredOn,SimpleLookup($B87,Questions!$A:$I),
_xlpm._firstAnwer,$D87,
IFERROR(FIND(CHAR(10)&amp;_xlpm._firstAnwer&amp;":",CHAR(10)&amp;_xlpm._secondAnswerRequiredOn)&gt;0,FALSE)))</f>
        <v>0</v>
      </c>
      <c r="AI87" s="12" t="str" cm="1">
        <f t="array" ref="AI87">IF(OR($B87="",NOT($AD87)),"",_xlfn.LET(
_xlpm._id,$B87,
_xlpm._firstAnswer,$D87,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87" s="12" t="str" cm="1">
        <f t="array" ref="AJ87">IF(OR($B87="",NOT($AD87)),"",_xlfn.LET(
_xlpm._id,$B87,
_xlpm._firstAnswer,$D87,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87" s="12" t="str" cm="1">
        <f t="array" ref="AK87">IF($AH87,_xlfn.LET(
_xlpm._answer,$F87,
_xlpm._infoTextFull,IF($AD87,CHAR(10)&amp;SimpleLookup($B87,Questions!$A:$L)&amp;CHAR(10),""),
_xlpm._startSelectedByAnswerOne,IF(_xlpm._infoTextFull="",0,FIND("___"&amp;$D87&amp;"___",_xlpm._infoTextFull)+LEN("___"&amp;$D87&amp;"___")),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87" s="12" t="b" cm="1">
        <f t="array" ref="AL87">IF(OR($B87="",NOT($AD87)),FALSE,SimpleLookup($B87,Questions!$A:$Q))</f>
        <v>0</v>
      </c>
      <c r="AM87" s="12" t="str" cm="1">
        <f t="array" aca="1" ref="AM87" ca="1">IF(AND($B87=Questions!$A$41,IFERROR(SimpleLookup(Questions!$A$36,$B:$F)=Definitions!$O$5,FALSE),$D87=Definitions!$A$5),
Questions!$A$36&amp;" "&amp;Questions!$B$36&amp;CHAR(10)&amp;CHAR(187)&amp;" "&amp;SimpleLookup(Questions!$A$36,$B:$D)&amp;CHAR(10)&amp;SimpleLookup(Questions!$A$36,$B:$E)&amp;CHAR(10)&amp;CHAR(187)&amp;" "&amp;Definitions!$O$5&amp;CHAR(10)&amp;CHAR(10)&amp;
"is incosistent with"&amp;CHAR(10)&amp;CHAR(10)&amp;
$B87&amp;" "&amp;SimpleLookup($B87,Questions!$A:$B)&amp;CHAR(10)&amp;CHAR(187)&amp;" "&amp;$D87,
"")</f>
        <v/>
      </c>
      <c r="AN87" s="12" cm="1">
        <f t="array" aca="1" ref="AN87" ca="1">CreateID($AN$3,$AM87&lt;&gt;"")</f>
        <v>0</v>
      </c>
      <c r="AO87" s="12" t="str">
        <f ca="1">IF(OR($D87="",OFFSET($D87,1,0)=""),"",
IF(AND($B87=Questions!$A$59,OFFSET($B87,1,0)=Questions!$A$60),
IF(MATCH($D87,Definitions!$AW:$AW,0)&gt;MATCH(OFFSET($D87,1,0),Definitions!AW:AW,0),$B87&amp;" "&amp;$L87&amp;": "&amp;$D87&amp;CHAR(10)&amp;"&lt;---&gt;"&amp;CHAR(10)&amp;OFFSET($B87,1,0)&amp;" "&amp;OFFSET($L87,1,0)&amp;": "&amp;OFFSET($D87,1,0),""),
""))</f>
        <v/>
      </c>
      <c r="AP87" s="12" cm="1">
        <f t="array" aca="1" ref="AP87" ca="1">CreateID($AP$3,$AO87&lt;&gt;"")</f>
        <v>0</v>
      </c>
      <c r="AQ87" s="12" t="str" cm="1">
        <f t="array" ref="AQ87">IF($B87=Questions!$A$18,
  _xlfn.LET(
    _xlpm._impactValue7,IFERROR(SimpleLookup(SimpleLookup($F87,Definitions!$H:$J),Definitions!$Q:$R),0),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"&amp;$F87&amp;CHAR(10)&amp;"&lt;---&gt;"&amp;CHAR(10)&amp;Questions!$A$30&amp;": "&amp;_xlpm._impactName14,
        ""))),
  "")</f>
        <v/>
      </c>
      <c r="AR87" s="12" cm="1">
        <f t="array" aca="1" ref="AR87" ca="1">CreateID($AR$3,$AQ87&lt;&gt;"")</f>
        <v>0</v>
      </c>
    </row>
    <row r="88" spans="10:44" x14ac:dyDescent="0.25">
      <c r="J88" s="12" t="str">
        <f t="shared" si="17"/>
        <v/>
      </c>
      <c r="K88" s="12" t="str">
        <f t="shared" si="18"/>
        <v/>
      </c>
      <c r="L88" s="12" t="e" cm="1">
        <f t="array" aca="1" ref="L88" ca="1">SimpleLookup($B88,Questions!$A:$B)</f>
        <v>#N/A</v>
      </c>
      <c r="M88" s="12" cm="1">
        <f t="array" aca="1" ref="M88" ca="1">CreateID($M$3,AND($B88&lt;&gt;"",$AD88))</f>
        <v>39</v>
      </c>
      <c r="N88" s="12" cm="1">
        <f t="array" ref="N88">CreateTaskID($N$3,$N:$N,Tasks!$B$17,$H88)</f>
        <v>0</v>
      </c>
      <c r="O88" s="12" t="str">
        <f t="shared" si="16"/>
        <v/>
      </c>
      <c r="P88" s="12" cm="1">
        <f t="array" aca="1" ref="P88" ca="1">CreateID($P$3,$O88&lt;&gt;"")</f>
        <v>39</v>
      </c>
      <c r="Q88" s="12" t="str">
        <f t="shared" si="19"/>
        <v/>
      </c>
      <c r="R88" s="12" cm="1">
        <f t="array" aca="1" ref="R88" ca="1">CreateID($R$3,$Q88&lt;&gt;"")</f>
        <v>0</v>
      </c>
      <c r="S88" s="12" t="str">
        <f t="shared" si="20"/>
        <v/>
      </c>
      <c r="T88" s="12" cm="1">
        <f t="array" aca="1" ref="T88" ca="1">CreateID($T$3,$S88&lt;&gt;"")</f>
        <v>0</v>
      </c>
      <c r="U88" s="12" t="str">
        <f t="shared" si="21"/>
        <v/>
      </c>
      <c r="V88" s="12" cm="1">
        <f t="array" aca="1" ref="V88" ca="1">CreateID($V$3,$U88&lt;&gt;"")</f>
        <v>0</v>
      </c>
      <c r="W88" s="12" cm="1">
        <f t="array" aca="1" ref="W88" ca="1">CreateID($W$3,IFERROR(FIND(Definitions!$AR$4,$H88)&gt;0,FALSE))</f>
        <v>0</v>
      </c>
      <c r="X88" s="12">
        <f>_xlfn.LET(
_xlpm._comment,$H88,
_xlpm._keyWord,Definitions!$AR$4,
_xlpm._diffLen,LEN(_xlpm._comment)-LEN(SUBSTITUTE(_xlpm._comment,_xlpm._keyWord,"")),
_xlpm._diffLen/LEN(_xlpm._keyWord))</f>
        <v>0</v>
      </c>
      <c r="Y88" s="12" cm="1">
        <f t="array" aca="1" ref="Y88" ca="1">CreateID($Y$3,IFERROR(FIND(Definitions!$AR$5,$H88)&gt;0,FALSE))</f>
        <v>0</v>
      </c>
      <c r="Z88" s="12">
        <f>_xlfn.LET(
_xlpm._comment,$H88,
_xlpm._keyWord,Definitions!$AR$5,
_xlpm._diffLen,LEN(_xlpm._comment)-LEN(SUBSTITUTE(_xlpm._comment,_xlpm._keyWord,"")),
_xlpm._diffLen/LEN(_xlpm._keyWord))</f>
        <v>0</v>
      </c>
      <c r="AA88" s="12" t="b">
        <f ca="1">OR(IFERROR(_xlfn.XMATCH("*,"&amp;$B88&amp;",*",Assumptions!$AH:$AH,2)&gt;0,FALSE),
IFERROR(_xlfn.XMATCH("*,"&amp;$B88&amp;",*",Countermeasures!$AK:$AK,2)&gt;0,FALSE))</f>
        <v>0</v>
      </c>
      <c r="AB88" s="12" t="str" cm="1">
        <f t="array" ref="AB88">CreateSearchString($J88)</f>
        <v/>
      </c>
      <c r="AC88" s="12" t="str" cm="1">
        <f t="array" ref="AC88">IF($F88="","",IFERROR(SimpleLookup($F88,Definitions!$H:$J),""))</f>
        <v/>
      </c>
      <c r="AD88" s="12" t="b" cm="1">
        <f t="array" ref="AD88">IF($B88="",FALSE,SimpleLookup($B88,Questions!$A:$D)="x")</f>
        <v>0</v>
      </c>
      <c r="AE88" s="12" t="str" cm="1">
        <f t="array" ref="AE88">IF(OR($B88="",NOT($AD88)),"",SimpleLookup($B88,Questions!$A:$E))</f>
        <v/>
      </c>
      <c r="AF88" s="12" t="str" cm="1">
        <f t="array" ref="AF88">IF(OR($B88="",NOT($AD88)),"",SimpleLookup($B88,Questions!$A:$F))</f>
        <v/>
      </c>
      <c r="AG88" s="12" t="str" cm="1">
        <f t="array" ref="AG88">_xlfn.LET(
_xlpm._answer,$D88,
_xlpm._infoTextFull,IF($AD88,CHAR(10)&amp;SimpleLookup($B88,Questions!$A:$H)&amp;CHAR(10),""),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88" s="12" t="b" cm="1">
        <f t="array" ref="AH88">IF(OR($B88="",NOT($AD88)),FALSE,_xlfn.LET(
_xlpm._secondAnswerRequiredOn,SimpleLookup($B88,Questions!$A:$I),
_xlpm._firstAnwer,$D88,
IFERROR(FIND(CHAR(10)&amp;_xlpm._firstAnwer&amp;":",CHAR(10)&amp;_xlpm._secondAnswerRequiredOn)&gt;0,FALSE)))</f>
        <v>0</v>
      </c>
      <c r="AI88" s="12" t="str" cm="1">
        <f t="array" ref="AI88">IF(OR($B88="",NOT($AD88)),"",_xlfn.LET(
_xlpm._id,$B88,
_xlpm._firstAnswer,$D88,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88" s="12" t="str" cm="1">
        <f t="array" ref="AJ88">IF(OR($B88="",NOT($AD88)),"",_xlfn.LET(
_xlpm._id,$B88,
_xlpm._firstAnswer,$D88,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88" s="12" t="str" cm="1">
        <f t="array" ref="AK88">IF($AH88,_xlfn.LET(
_xlpm._answer,$F88,
_xlpm._infoTextFull,IF($AD88,CHAR(10)&amp;SimpleLookup($B88,Questions!$A:$L)&amp;CHAR(10),""),
_xlpm._startSelectedByAnswerOne,IF(_xlpm._infoTextFull="",0,FIND("___"&amp;$D88&amp;"___",_xlpm._infoTextFull)+LEN("___"&amp;$D88&amp;"___")),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88" s="12" t="b" cm="1">
        <f t="array" ref="AL88">IF(OR($B88="",NOT($AD88)),FALSE,SimpleLookup($B88,Questions!$A:$Q))</f>
        <v>0</v>
      </c>
      <c r="AM88" s="12" t="str" cm="1">
        <f t="array" aca="1" ref="AM88" ca="1">IF(AND($B88=Questions!$A$41,IFERROR(SimpleLookup(Questions!$A$36,$B:$F)=Definitions!$O$5,FALSE),$D88=Definitions!$A$5),
Questions!$A$36&amp;" "&amp;Questions!$B$36&amp;CHAR(10)&amp;CHAR(187)&amp;" "&amp;SimpleLookup(Questions!$A$36,$B:$D)&amp;CHAR(10)&amp;SimpleLookup(Questions!$A$36,$B:$E)&amp;CHAR(10)&amp;CHAR(187)&amp;" "&amp;Definitions!$O$5&amp;CHAR(10)&amp;CHAR(10)&amp;
"is incosistent with"&amp;CHAR(10)&amp;CHAR(10)&amp;
$B88&amp;" "&amp;SimpleLookup($B88,Questions!$A:$B)&amp;CHAR(10)&amp;CHAR(187)&amp;" "&amp;$D88,
"")</f>
        <v/>
      </c>
      <c r="AN88" s="12" cm="1">
        <f t="array" aca="1" ref="AN88" ca="1">CreateID($AN$3,$AM88&lt;&gt;"")</f>
        <v>0</v>
      </c>
      <c r="AO88" s="12" t="str">
        <f ca="1">IF(OR($D88="",OFFSET($D88,1,0)=""),"",
IF(AND($B88=Questions!$A$59,OFFSET($B88,1,0)=Questions!$A$60),
IF(MATCH($D88,Definitions!$AW:$AW,0)&gt;MATCH(OFFSET($D88,1,0),Definitions!AW:AW,0),$B88&amp;" "&amp;$L88&amp;": "&amp;$D88&amp;CHAR(10)&amp;"&lt;---&gt;"&amp;CHAR(10)&amp;OFFSET($B88,1,0)&amp;" "&amp;OFFSET($L88,1,0)&amp;": "&amp;OFFSET($D88,1,0),""),
""))</f>
        <v/>
      </c>
      <c r="AP88" s="12" cm="1">
        <f t="array" aca="1" ref="AP88" ca="1">CreateID($AP$3,$AO88&lt;&gt;"")</f>
        <v>0</v>
      </c>
      <c r="AQ88" s="12" t="str" cm="1">
        <f t="array" ref="AQ88">IF($B88=Questions!$A$18,
  _xlfn.LET(
    _xlpm._impactValue7,IFERROR(SimpleLookup(SimpleLookup($F88,Definitions!$H:$J),Definitions!$Q:$R),0),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"&amp;$F88&amp;CHAR(10)&amp;"&lt;---&gt;"&amp;CHAR(10)&amp;Questions!$A$30&amp;": "&amp;_xlpm._impactName14,
        ""))),
  "")</f>
        <v/>
      </c>
      <c r="AR88" s="12" cm="1">
        <f t="array" aca="1" ref="AR88" ca="1">CreateID($AR$3,$AQ88&lt;&gt;"")</f>
        <v>0</v>
      </c>
    </row>
    <row r="89" spans="10:44" x14ac:dyDescent="0.25">
      <c r="J89" s="12" t="str">
        <f t="shared" si="17"/>
        <v/>
      </c>
      <c r="K89" s="12" t="str">
        <f t="shared" si="18"/>
        <v/>
      </c>
      <c r="L89" s="12" t="e" cm="1">
        <f t="array" aca="1" ref="L89" ca="1">SimpleLookup($B89,Questions!$A:$B)</f>
        <v>#N/A</v>
      </c>
      <c r="M89" s="12" cm="1">
        <f t="array" aca="1" ref="M89" ca="1">CreateID($M$3,AND($B89&lt;&gt;"",$AD89))</f>
        <v>39</v>
      </c>
      <c r="N89" s="12" cm="1">
        <f t="array" ref="N89">CreateTaskID($N$3,$N:$N,Tasks!$B$17,$H89)</f>
        <v>0</v>
      </c>
      <c r="O89" s="12" t="str">
        <f t="shared" si="16"/>
        <v/>
      </c>
      <c r="P89" s="12" cm="1">
        <f t="array" aca="1" ref="P89" ca="1">CreateID($P$3,$O89&lt;&gt;"")</f>
        <v>39</v>
      </c>
      <c r="Q89" s="12" t="str">
        <f t="shared" si="19"/>
        <v/>
      </c>
      <c r="R89" s="12" cm="1">
        <f t="array" aca="1" ref="R89" ca="1">CreateID($R$3,$Q89&lt;&gt;"")</f>
        <v>0</v>
      </c>
      <c r="S89" s="12" t="str">
        <f t="shared" si="20"/>
        <v/>
      </c>
      <c r="T89" s="12" cm="1">
        <f t="array" aca="1" ref="T89" ca="1">CreateID($T$3,$S89&lt;&gt;"")</f>
        <v>0</v>
      </c>
      <c r="U89" s="12" t="str">
        <f t="shared" si="21"/>
        <v/>
      </c>
      <c r="V89" s="12" cm="1">
        <f t="array" aca="1" ref="V89" ca="1">CreateID($V$3,$U89&lt;&gt;"")</f>
        <v>0</v>
      </c>
      <c r="W89" s="12" cm="1">
        <f t="array" aca="1" ref="W89" ca="1">CreateID($W$3,IFERROR(FIND(Definitions!$AR$4,$H89)&gt;0,FALSE))</f>
        <v>0</v>
      </c>
      <c r="X89" s="12">
        <f>_xlfn.LET(
_xlpm._comment,$H89,
_xlpm._keyWord,Definitions!$AR$4,
_xlpm._diffLen,LEN(_xlpm._comment)-LEN(SUBSTITUTE(_xlpm._comment,_xlpm._keyWord,"")),
_xlpm._diffLen/LEN(_xlpm._keyWord))</f>
        <v>0</v>
      </c>
      <c r="Y89" s="12" cm="1">
        <f t="array" aca="1" ref="Y89" ca="1">CreateID($Y$3,IFERROR(FIND(Definitions!$AR$5,$H89)&gt;0,FALSE))</f>
        <v>0</v>
      </c>
      <c r="Z89" s="12">
        <f>_xlfn.LET(
_xlpm._comment,$H89,
_xlpm._keyWord,Definitions!$AR$5,
_xlpm._diffLen,LEN(_xlpm._comment)-LEN(SUBSTITUTE(_xlpm._comment,_xlpm._keyWord,"")),
_xlpm._diffLen/LEN(_xlpm._keyWord))</f>
        <v>0</v>
      </c>
      <c r="AA89" s="12" t="b">
        <f ca="1">OR(IFERROR(_xlfn.XMATCH("*,"&amp;$B89&amp;",*",Assumptions!$AH:$AH,2)&gt;0,FALSE),
IFERROR(_xlfn.XMATCH("*,"&amp;$B89&amp;",*",Countermeasures!$AK:$AK,2)&gt;0,FALSE))</f>
        <v>0</v>
      </c>
      <c r="AB89" s="12" t="str" cm="1">
        <f t="array" ref="AB89">CreateSearchString($J89)</f>
        <v/>
      </c>
      <c r="AC89" s="12" t="str" cm="1">
        <f t="array" ref="AC89">IF($F89="","",IFERROR(SimpleLookup($F89,Definitions!$H:$J),""))</f>
        <v/>
      </c>
      <c r="AD89" s="12" t="b" cm="1">
        <f t="array" ref="AD89">IF($B89="",FALSE,SimpleLookup($B89,Questions!$A:$D)="x")</f>
        <v>0</v>
      </c>
      <c r="AE89" s="12" t="str" cm="1">
        <f t="array" ref="AE89">IF(OR($B89="",NOT($AD89)),"",SimpleLookup($B89,Questions!$A:$E))</f>
        <v/>
      </c>
      <c r="AF89" s="12" t="str" cm="1">
        <f t="array" ref="AF89">IF(OR($B89="",NOT($AD89)),"",SimpleLookup($B89,Questions!$A:$F))</f>
        <v/>
      </c>
      <c r="AG89" s="12" t="str" cm="1">
        <f t="array" ref="AG89">_xlfn.LET(
_xlpm._answer,$D89,
_xlpm._infoTextFull,IF($AD89,CHAR(10)&amp;SimpleLookup($B89,Questions!$A:$H)&amp;CHAR(10),""),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89" s="12" t="b" cm="1">
        <f t="array" ref="AH89">IF(OR($B89="",NOT($AD89)),FALSE,_xlfn.LET(
_xlpm._secondAnswerRequiredOn,SimpleLookup($B89,Questions!$A:$I),
_xlpm._firstAnwer,$D89,
IFERROR(FIND(CHAR(10)&amp;_xlpm._firstAnwer&amp;":",CHAR(10)&amp;_xlpm._secondAnswerRequiredOn)&gt;0,FALSE)))</f>
        <v>0</v>
      </c>
      <c r="AI89" s="12" t="str" cm="1">
        <f t="array" ref="AI89">IF(OR($B89="",NOT($AD89)),"",_xlfn.LET(
_xlpm._id,$B89,
_xlpm._firstAnswer,$D89,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89" s="12" t="str" cm="1">
        <f t="array" ref="AJ89">IF(OR($B89="",NOT($AD89)),"",_xlfn.LET(
_xlpm._id,$B89,
_xlpm._firstAnswer,$D89,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89" s="12" t="str" cm="1">
        <f t="array" ref="AK89">IF($AH89,_xlfn.LET(
_xlpm._answer,$F89,
_xlpm._infoTextFull,IF($AD89,CHAR(10)&amp;SimpleLookup($B89,Questions!$A:$L)&amp;CHAR(10),""),
_xlpm._startSelectedByAnswerOne,IF(_xlpm._infoTextFull="",0,FIND("___"&amp;$D89&amp;"___",_xlpm._infoTextFull)+LEN("___"&amp;$D89&amp;"___")),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89" s="12" t="b" cm="1">
        <f t="array" ref="AL89">IF(OR($B89="",NOT($AD89)),FALSE,SimpleLookup($B89,Questions!$A:$Q))</f>
        <v>0</v>
      </c>
      <c r="AM89" s="12" t="str" cm="1">
        <f t="array" aca="1" ref="AM89" ca="1">IF(AND($B89=Questions!$A$41,IFERROR(SimpleLookup(Questions!$A$36,$B:$F)=Definitions!$O$5,FALSE),$D89=Definitions!$A$5),
Questions!$A$36&amp;" "&amp;Questions!$B$36&amp;CHAR(10)&amp;CHAR(187)&amp;" "&amp;SimpleLookup(Questions!$A$36,$B:$D)&amp;CHAR(10)&amp;SimpleLookup(Questions!$A$36,$B:$E)&amp;CHAR(10)&amp;CHAR(187)&amp;" "&amp;Definitions!$O$5&amp;CHAR(10)&amp;CHAR(10)&amp;
"is incosistent with"&amp;CHAR(10)&amp;CHAR(10)&amp;
$B89&amp;" "&amp;SimpleLookup($B89,Questions!$A:$B)&amp;CHAR(10)&amp;CHAR(187)&amp;" "&amp;$D89,
"")</f>
        <v/>
      </c>
      <c r="AN89" s="12" cm="1">
        <f t="array" aca="1" ref="AN89" ca="1">CreateID($AN$3,$AM89&lt;&gt;"")</f>
        <v>0</v>
      </c>
      <c r="AO89" s="12" t="str">
        <f ca="1">IF(OR($D89="",OFFSET($D89,1,0)=""),"",
IF(AND($B89=Questions!$A$59,OFFSET($B89,1,0)=Questions!$A$60),
IF(MATCH($D89,Definitions!$AW:$AW,0)&gt;MATCH(OFFSET($D89,1,0),Definitions!AW:AW,0),$B89&amp;" "&amp;$L89&amp;": "&amp;$D89&amp;CHAR(10)&amp;"&lt;---&gt;"&amp;CHAR(10)&amp;OFFSET($B89,1,0)&amp;" "&amp;OFFSET($L89,1,0)&amp;": "&amp;OFFSET($D89,1,0),""),
""))</f>
        <v/>
      </c>
      <c r="AP89" s="12" cm="1">
        <f t="array" aca="1" ref="AP89" ca="1">CreateID($AP$3,$AO89&lt;&gt;"")</f>
        <v>0</v>
      </c>
      <c r="AQ89" s="12" t="str" cm="1">
        <f t="array" ref="AQ89">IF($B89=Questions!$A$18,
  _xlfn.LET(
    _xlpm._impactValue7,IFERROR(SimpleLookup(SimpleLookup($F89,Definitions!$H:$J),Definitions!$Q:$R),0),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"&amp;$F89&amp;CHAR(10)&amp;"&lt;---&gt;"&amp;CHAR(10)&amp;Questions!$A$30&amp;": "&amp;_xlpm._impactName14,
        ""))),
  "")</f>
        <v/>
      </c>
      <c r="AR89" s="12" cm="1">
        <f t="array" aca="1" ref="AR89" ca="1">CreateID($AR$3,$AQ89&lt;&gt;"")</f>
        <v>0</v>
      </c>
    </row>
    <row r="90" spans="10:44" x14ac:dyDescent="0.25">
      <c r="J90" s="12" t="str">
        <f t="shared" si="17"/>
        <v/>
      </c>
      <c r="K90" s="12" t="str">
        <f t="shared" si="18"/>
        <v/>
      </c>
      <c r="L90" s="12" t="e" cm="1">
        <f t="array" aca="1" ref="L90" ca="1">SimpleLookup($B90,Questions!$A:$B)</f>
        <v>#N/A</v>
      </c>
      <c r="M90" s="12" cm="1">
        <f t="array" aca="1" ref="M90" ca="1">CreateID($M$3,AND($B90&lt;&gt;"",$AD90))</f>
        <v>39</v>
      </c>
      <c r="N90" s="12" cm="1">
        <f t="array" ref="N90">CreateTaskID($N$3,$N:$N,Tasks!$B$17,$H90)</f>
        <v>0</v>
      </c>
      <c r="O90" s="12" t="str">
        <f t="shared" si="16"/>
        <v/>
      </c>
      <c r="P90" s="12" cm="1">
        <f t="array" aca="1" ref="P90" ca="1">CreateID($P$3,$O90&lt;&gt;"")</f>
        <v>39</v>
      </c>
      <c r="Q90" s="12" t="str">
        <f t="shared" si="19"/>
        <v/>
      </c>
      <c r="R90" s="12" cm="1">
        <f t="array" aca="1" ref="R90" ca="1">CreateID($R$3,$Q90&lt;&gt;"")</f>
        <v>0</v>
      </c>
      <c r="S90" s="12" t="str">
        <f t="shared" si="20"/>
        <v/>
      </c>
      <c r="T90" s="12" cm="1">
        <f t="array" aca="1" ref="T90" ca="1">CreateID($T$3,$S90&lt;&gt;"")</f>
        <v>0</v>
      </c>
      <c r="U90" s="12" t="str">
        <f t="shared" si="21"/>
        <v/>
      </c>
      <c r="V90" s="12" cm="1">
        <f t="array" aca="1" ref="V90" ca="1">CreateID($V$3,$U90&lt;&gt;"")</f>
        <v>0</v>
      </c>
      <c r="W90" s="12" cm="1">
        <f t="array" aca="1" ref="W90" ca="1">CreateID($W$3,IFERROR(FIND(Definitions!$AR$4,$H90)&gt;0,FALSE))</f>
        <v>0</v>
      </c>
      <c r="X90" s="12">
        <f>_xlfn.LET(
_xlpm._comment,$H90,
_xlpm._keyWord,Definitions!$AR$4,
_xlpm._diffLen,LEN(_xlpm._comment)-LEN(SUBSTITUTE(_xlpm._comment,_xlpm._keyWord,"")),
_xlpm._diffLen/LEN(_xlpm._keyWord))</f>
        <v>0</v>
      </c>
      <c r="Y90" s="12" cm="1">
        <f t="array" aca="1" ref="Y90" ca="1">CreateID($Y$3,IFERROR(FIND(Definitions!$AR$5,$H90)&gt;0,FALSE))</f>
        <v>0</v>
      </c>
      <c r="Z90" s="12">
        <f>_xlfn.LET(
_xlpm._comment,$H90,
_xlpm._keyWord,Definitions!$AR$5,
_xlpm._diffLen,LEN(_xlpm._comment)-LEN(SUBSTITUTE(_xlpm._comment,_xlpm._keyWord,"")),
_xlpm._diffLen/LEN(_xlpm._keyWord))</f>
        <v>0</v>
      </c>
      <c r="AA90" s="12" t="b">
        <f ca="1">OR(IFERROR(_xlfn.XMATCH("*,"&amp;$B90&amp;",*",Assumptions!$AH:$AH,2)&gt;0,FALSE),
IFERROR(_xlfn.XMATCH("*,"&amp;$B90&amp;",*",Countermeasures!$AK:$AK,2)&gt;0,FALSE))</f>
        <v>0</v>
      </c>
      <c r="AB90" s="12" t="str" cm="1">
        <f t="array" ref="AB90">CreateSearchString($J90)</f>
        <v/>
      </c>
      <c r="AC90" s="12" t="str" cm="1">
        <f t="array" ref="AC90">IF($F90="","",IFERROR(SimpleLookup($F90,Definitions!$H:$J),""))</f>
        <v/>
      </c>
      <c r="AD90" s="12" t="b" cm="1">
        <f t="array" ref="AD90">IF($B90="",FALSE,SimpleLookup($B90,Questions!$A:$D)="x")</f>
        <v>0</v>
      </c>
      <c r="AE90" s="12" t="str" cm="1">
        <f t="array" ref="AE90">IF(OR($B90="",NOT($AD90)),"",SimpleLookup($B90,Questions!$A:$E))</f>
        <v/>
      </c>
      <c r="AF90" s="12" t="str" cm="1">
        <f t="array" ref="AF90">IF(OR($B90="",NOT($AD90)),"",SimpleLookup($B90,Questions!$A:$F))</f>
        <v/>
      </c>
      <c r="AG90" s="12" t="str" cm="1">
        <f t="array" ref="AG90">_xlfn.LET(
_xlpm._answer,$D90,
_xlpm._infoTextFull,IF($AD90,CHAR(10)&amp;SimpleLookup($B90,Questions!$A:$H)&amp;CHAR(10),""),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90" s="12" t="b" cm="1">
        <f t="array" ref="AH90">IF(OR($B90="",NOT($AD90)),FALSE,_xlfn.LET(
_xlpm._secondAnswerRequiredOn,SimpleLookup($B90,Questions!$A:$I),
_xlpm._firstAnwer,$D90,
IFERROR(FIND(CHAR(10)&amp;_xlpm._firstAnwer&amp;":",CHAR(10)&amp;_xlpm._secondAnswerRequiredOn)&gt;0,FALSE)))</f>
        <v>0</v>
      </c>
      <c r="AI90" s="12" t="str" cm="1">
        <f t="array" ref="AI90">IF(OR($B90="",NOT($AD90)),"",_xlfn.LET(
_xlpm._id,$B90,
_xlpm._firstAnswer,$D90,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90" s="12" t="str" cm="1">
        <f t="array" ref="AJ90">IF(OR($B90="",NOT($AD90)),"",_xlfn.LET(
_xlpm._id,$B90,
_xlpm._firstAnswer,$D90,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90" s="12" t="str" cm="1">
        <f t="array" ref="AK90">IF($AH90,_xlfn.LET(
_xlpm._answer,$F90,
_xlpm._infoTextFull,IF($AD90,CHAR(10)&amp;SimpleLookup($B90,Questions!$A:$L)&amp;CHAR(10),""),
_xlpm._startSelectedByAnswerOne,IF(_xlpm._infoTextFull="",0,FIND("___"&amp;$D90&amp;"___",_xlpm._infoTextFull)+LEN("___"&amp;$D90&amp;"___")),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90" s="12" t="b" cm="1">
        <f t="array" ref="AL90">IF(OR($B90="",NOT($AD90)),FALSE,SimpleLookup($B90,Questions!$A:$Q))</f>
        <v>0</v>
      </c>
      <c r="AM90" s="12" t="str" cm="1">
        <f t="array" aca="1" ref="AM90" ca="1">IF(AND($B90=Questions!$A$41,IFERROR(SimpleLookup(Questions!$A$36,$B:$F)=Definitions!$O$5,FALSE),$D90=Definitions!$A$5),
Questions!$A$36&amp;" "&amp;Questions!$B$36&amp;CHAR(10)&amp;CHAR(187)&amp;" "&amp;SimpleLookup(Questions!$A$36,$B:$D)&amp;CHAR(10)&amp;SimpleLookup(Questions!$A$36,$B:$E)&amp;CHAR(10)&amp;CHAR(187)&amp;" "&amp;Definitions!$O$5&amp;CHAR(10)&amp;CHAR(10)&amp;
"is incosistent with"&amp;CHAR(10)&amp;CHAR(10)&amp;
$B90&amp;" "&amp;SimpleLookup($B90,Questions!$A:$B)&amp;CHAR(10)&amp;CHAR(187)&amp;" "&amp;$D90,
"")</f>
        <v/>
      </c>
      <c r="AN90" s="12" cm="1">
        <f t="array" aca="1" ref="AN90" ca="1">CreateID($AN$3,$AM90&lt;&gt;"")</f>
        <v>0</v>
      </c>
      <c r="AO90" s="12" t="str">
        <f ca="1">IF(OR($D90="",OFFSET($D90,1,0)=""),"",
IF(AND($B90=Questions!$A$59,OFFSET($B90,1,0)=Questions!$A$60),
IF(MATCH($D90,Definitions!$AW:$AW,0)&gt;MATCH(OFFSET($D90,1,0),Definitions!AW:AW,0),$B90&amp;" "&amp;$L90&amp;": "&amp;$D90&amp;CHAR(10)&amp;"&lt;---&gt;"&amp;CHAR(10)&amp;OFFSET($B90,1,0)&amp;" "&amp;OFFSET($L90,1,0)&amp;": "&amp;OFFSET($D90,1,0),""),
""))</f>
        <v/>
      </c>
      <c r="AP90" s="12" cm="1">
        <f t="array" aca="1" ref="AP90" ca="1">CreateID($AP$3,$AO90&lt;&gt;"")</f>
        <v>0</v>
      </c>
      <c r="AQ90" s="12" t="str" cm="1">
        <f t="array" ref="AQ90">IF($B90=Questions!$A$18,
  _xlfn.LET(
    _xlpm._impactValue7,IFERROR(SimpleLookup(SimpleLookup($F90,Definitions!$H:$J),Definitions!$Q:$R),0),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"&amp;$F90&amp;CHAR(10)&amp;"&lt;---&gt;"&amp;CHAR(10)&amp;Questions!$A$30&amp;": "&amp;_xlpm._impactName14,
        ""))),
  "")</f>
        <v/>
      </c>
      <c r="AR90" s="12" cm="1">
        <f t="array" aca="1" ref="AR90" ca="1">CreateID($AR$3,$AQ90&lt;&gt;"")</f>
        <v>0</v>
      </c>
    </row>
    <row r="91" spans="10:44" x14ac:dyDescent="0.25">
      <c r="J91" s="12" t="str">
        <f t="shared" si="17"/>
        <v/>
      </c>
      <c r="K91" s="12" t="str">
        <f t="shared" si="18"/>
        <v/>
      </c>
      <c r="L91" s="12" t="e" cm="1">
        <f t="array" aca="1" ref="L91" ca="1">SimpleLookup($B91,Questions!$A:$B)</f>
        <v>#N/A</v>
      </c>
      <c r="M91" s="12" cm="1">
        <f t="array" aca="1" ref="M91" ca="1">CreateID($M$3,AND($B91&lt;&gt;"",$AD91))</f>
        <v>39</v>
      </c>
      <c r="N91" s="12" cm="1">
        <f t="array" ref="N91">CreateTaskID($N$3,$N:$N,Tasks!$B$17,$H91)</f>
        <v>0</v>
      </c>
      <c r="O91" s="12" t="str">
        <f t="shared" si="16"/>
        <v/>
      </c>
      <c r="P91" s="12" cm="1">
        <f t="array" aca="1" ref="P91" ca="1">CreateID($P$3,$O91&lt;&gt;"")</f>
        <v>39</v>
      </c>
      <c r="Q91" s="12" t="str">
        <f t="shared" si="19"/>
        <v/>
      </c>
      <c r="R91" s="12" cm="1">
        <f t="array" aca="1" ref="R91" ca="1">CreateID($R$3,$Q91&lt;&gt;"")</f>
        <v>0</v>
      </c>
      <c r="S91" s="12" t="str">
        <f t="shared" si="20"/>
        <v/>
      </c>
      <c r="T91" s="12" cm="1">
        <f t="array" aca="1" ref="T91" ca="1">CreateID($T$3,$S91&lt;&gt;"")</f>
        <v>0</v>
      </c>
      <c r="U91" s="12" t="str">
        <f t="shared" si="21"/>
        <v/>
      </c>
      <c r="V91" s="12" cm="1">
        <f t="array" aca="1" ref="V91" ca="1">CreateID($V$3,$U91&lt;&gt;"")</f>
        <v>0</v>
      </c>
      <c r="W91" s="12" cm="1">
        <f t="array" aca="1" ref="W91" ca="1">CreateID($W$3,IFERROR(FIND(Definitions!$AR$4,$H91)&gt;0,FALSE))</f>
        <v>0</v>
      </c>
      <c r="X91" s="12">
        <f>_xlfn.LET(
_xlpm._comment,$H91,
_xlpm._keyWord,Definitions!$AR$4,
_xlpm._diffLen,LEN(_xlpm._comment)-LEN(SUBSTITUTE(_xlpm._comment,_xlpm._keyWord,"")),
_xlpm._diffLen/LEN(_xlpm._keyWord))</f>
        <v>0</v>
      </c>
      <c r="Y91" s="12" cm="1">
        <f t="array" aca="1" ref="Y91" ca="1">CreateID($Y$3,IFERROR(FIND(Definitions!$AR$5,$H91)&gt;0,FALSE))</f>
        <v>0</v>
      </c>
      <c r="Z91" s="12">
        <f>_xlfn.LET(
_xlpm._comment,$H91,
_xlpm._keyWord,Definitions!$AR$5,
_xlpm._diffLen,LEN(_xlpm._comment)-LEN(SUBSTITUTE(_xlpm._comment,_xlpm._keyWord,"")),
_xlpm._diffLen/LEN(_xlpm._keyWord))</f>
        <v>0</v>
      </c>
      <c r="AA91" s="12" t="b">
        <f ca="1">OR(IFERROR(_xlfn.XMATCH("*,"&amp;$B91&amp;",*",Assumptions!$AH:$AH,2)&gt;0,FALSE),
IFERROR(_xlfn.XMATCH("*,"&amp;$B91&amp;",*",Countermeasures!$AK:$AK,2)&gt;0,FALSE))</f>
        <v>0</v>
      </c>
      <c r="AB91" s="12" t="str" cm="1">
        <f t="array" ref="AB91">CreateSearchString($J91)</f>
        <v/>
      </c>
      <c r="AC91" s="12" t="str" cm="1">
        <f t="array" ref="AC91">IF($F91="","",IFERROR(SimpleLookup($F91,Definitions!$H:$J),""))</f>
        <v/>
      </c>
      <c r="AD91" s="12" t="b" cm="1">
        <f t="array" ref="AD91">IF($B91="",FALSE,SimpleLookup($B91,Questions!$A:$D)="x")</f>
        <v>0</v>
      </c>
      <c r="AE91" s="12" t="str" cm="1">
        <f t="array" ref="AE91">IF(OR($B91="",NOT($AD91)),"",SimpleLookup($B91,Questions!$A:$E))</f>
        <v/>
      </c>
      <c r="AF91" s="12" t="str" cm="1">
        <f t="array" ref="AF91">IF(OR($B91="",NOT($AD91)),"",SimpleLookup($B91,Questions!$A:$F))</f>
        <v/>
      </c>
      <c r="AG91" s="12" t="str" cm="1">
        <f t="array" ref="AG91">_xlfn.LET(
_xlpm._answer,$D91,
_xlpm._infoTextFull,IF($AD91,CHAR(10)&amp;SimpleLookup($B91,Questions!$A:$H)&amp;CHAR(10),""),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91" s="12" t="b" cm="1">
        <f t="array" ref="AH91">IF(OR($B91="",NOT($AD91)),FALSE,_xlfn.LET(
_xlpm._secondAnswerRequiredOn,SimpleLookup($B91,Questions!$A:$I),
_xlpm._firstAnwer,$D91,
IFERROR(FIND(CHAR(10)&amp;_xlpm._firstAnwer&amp;":",CHAR(10)&amp;_xlpm._secondAnswerRequiredOn)&gt;0,FALSE)))</f>
        <v>0</v>
      </c>
      <c r="AI91" s="12" t="str" cm="1">
        <f t="array" ref="AI91">IF(OR($B91="",NOT($AD91)),"",_xlfn.LET(
_xlpm._id,$B91,
_xlpm._firstAnswer,$D91,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91" s="12" t="str" cm="1">
        <f t="array" ref="AJ91">IF(OR($B91="",NOT($AD91)),"",_xlfn.LET(
_xlpm._id,$B91,
_xlpm._firstAnswer,$D91,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91" s="12" t="str" cm="1">
        <f t="array" ref="AK91">IF($AH91,_xlfn.LET(
_xlpm._answer,$F91,
_xlpm._infoTextFull,IF($AD91,CHAR(10)&amp;SimpleLookup($B91,Questions!$A:$L)&amp;CHAR(10),""),
_xlpm._startSelectedByAnswerOne,IF(_xlpm._infoTextFull="",0,FIND("___"&amp;$D91&amp;"___",_xlpm._infoTextFull)+LEN("___"&amp;$D91&amp;"___")),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91" s="12" t="b" cm="1">
        <f t="array" ref="AL91">IF(OR($B91="",NOT($AD91)),FALSE,SimpleLookup($B91,Questions!$A:$Q))</f>
        <v>0</v>
      </c>
      <c r="AM91" s="12" t="str" cm="1">
        <f t="array" aca="1" ref="AM91" ca="1">IF(AND($B91=Questions!$A$41,IFERROR(SimpleLookup(Questions!$A$36,$B:$F)=Definitions!$O$5,FALSE),$D91=Definitions!$A$5),
Questions!$A$36&amp;" "&amp;Questions!$B$36&amp;CHAR(10)&amp;CHAR(187)&amp;" "&amp;SimpleLookup(Questions!$A$36,$B:$D)&amp;CHAR(10)&amp;SimpleLookup(Questions!$A$36,$B:$E)&amp;CHAR(10)&amp;CHAR(187)&amp;" "&amp;Definitions!$O$5&amp;CHAR(10)&amp;CHAR(10)&amp;
"is incosistent with"&amp;CHAR(10)&amp;CHAR(10)&amp;
$B91&amp;" "&amp;SimpleLookup($B91,Questions!$A:$B)&amp;CHAR(10)&amp;CHAR(187)&amp;" "&amp;$D91,
"")</f>
        <v/>
      </c>
      <c r="AN91" s="12" cm="1">
        <f t="array" aca="1" ref="AN91" ca="1">CreateID($AN$3,$AM91&lt;&gt;"")</f>
        <v>0</v>
      </c>
      <c r="AO91" s="12" t="str">
        <f ca="1">IF(OR($D91="",OFFSET($D91,1,0)=""),"",
IF(AND($B91=Questions!$A$59,OFFSET($B91,1,0)=Questions!$A$60),
IF(MATCH($D91,Definitions!$AW:$AW,0)&gt;MATCH(OFFSET($D91,1,0),Definitions!AW:AW,0),$B91&amp;" "&amp;$L91&amp;": "&amp;$D91&amp;CHAR(10)&amp;"&lt;---&gt;"&amp;CHAR(10)&amp;OFFSET($B91,1,0)&amp;" "&amp;OFFSET($L91,1,0)&amp;": "&amp;OFFSET($D91,1,0),""),
""))</f>
        <v/>
      </c>
      <c r="AP91" s="12" cm="1">
        <f t="array" aca="1" ref="AP91" ca="1">CreateID($AP$3,$AO91&lt;&gt;"")</f>
        <v>0</v>
      </c>
      <c r="AQ91" s="12" t="str" cm="1">
        <f t="array" ref="AQ91">IF($B91=Questions!$A$18,
  _xlfn.LET(
    _xlpm._impactValue7,IFERROR(SimpleLookup(SimpleLookup($F91,Definitions!$H:$J),Definitions!$Q:$R),0),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"&amp;$F91&amp;CHAR(10)&amp;"&lt;---&gt;"&amp;CHAR(10)&amp;Questions!$A$30&amp;": "&amp;_xlpm._impactName14,
        ""))),
  "")</f>
        <v/>
      </c>
      <c r="AR91" s="12" cm="1">
        <f t="array" aca="1" ref="AR91" ca="1">CreateID($AR$3,$AQ91&lt;&gt;"")</f>
        <v>0</v>
      </c>
    </row>
    <row r="92" spans="10:44" x14ac:dyDescent="0.25">
      <c r="J92" s="12" t="str">
        <f t="shared" si="17"/>
        <v/>
      </c>
      <c r="K92" s="12" t="str">
        <f t="shared" si="18"/>
        <v/>
      </c>
      <c r="L92" s="12" t="e" cm="1">
        <f t="array" aca="1" ref="L92" ca="1">SimpleLookup($B92,Questions!$A:$B)</f>
        <v>#N/A</v>
      </c>
      <c r="M92" s="12" cm="1">
        <f t="array" aca="1" ref="M92" ca="1">CreateID($M$3,AND($B92&lt;&gt;"",$AD92))</f>
        <v>39</v>
      </c>
      <c r="N92" s="12" cm="1">
        <f t="array" ref="N92">CreateTaskID($N$3,$N:$N,Tasks!$B$17,$H92)</f>
        <v>0</v>
      </c>
      <c r="O92" s="12" t="str">
        <f t="shared" si="16"/>
        <v/>
      </c>
      <c r="P92" s="12" cm="1">
        <f t="array" aca="1" ref="P92" ca="1">CreateID($P$3,$O92&lt;&gt;"")</f>
        <v>39</v>
      </c>
      <c r="Q92" s="12" t="str">
        <f t="shared" si="19"/>
        <v/>
      </c>
      <c r="R92" s="12" cm="1">
        <f t="array" aca="1" ref="R92" ca="1">CreateID($R$3,$Q92&lt;&gt;"")</f>
        <v>0</v>
      </c>
      <c r="S92" s="12" t="str">
        <f t="shared" si="20"/>
        <v/>
      </c>
      <c r="T92" s="12" cm="1">
        <f t="array" aca="1" ref="T92" ca="1">CreateID($T$3,$S92&lt;&gt;"")</f>
        <v>0</v>
      </c>
      <c r="U92" s="12" t="str">
        <f t="shared" si="21"/>
        <v/>
      </c>
      <c r="V92" s="12" cm="1">
        <f t="array" aca="1" ref="V92" ca="1">CreateID($V$3,$U92&lt;&gt;"")</f>
        <v>0</v>
      </c>
      <c r="W92" s="12" cm="1">
        <f t="array" aca="1" ref="W92" ca="1">CreateID($W$3,IFERROR(FIND(Definitions!$AR$4,$H92)&gt;0,FALSE))</f>
        <v>0</v>
      </c>
      <c r="X92" s="12">
        <f>_xlfn.LET(
_xlpm._comment,$H92,
_xlpm._keyWord,Definitions!$AR$4,
_xlpm._diffLen,LEN(_xlpm._comment)-LEN(SUBSTITUTE(_xlpm._comment,_xlpm._keyWord,"")),
_xlpm._diffLen/LEN(_xlpm._keyWord))</f>
        <v>0</v>
      </c>
      <c r="Y92" s="12" cm="1">
        <f t="array" aca="1" ref="Y92" ca="1">CreateID($Y$3,IFERROR(FIND(Definitions!$AR$5,$H92)&gt;0,FALSE))</f>
        <v>0</v>
      </c>
      <c r="Z92" s="12">
        <f>_xlfn.LET(
_xlpm._comment,$H92,
_xlpm._keyWord,Definitions!$AR$5,
_xlpm._diffLen,LEN(_xlpm._comment)-LEN(SUBSTITUTE(_xlpm._comment,_xlpm._keyWord,"")),
_xlpm._diffLen/LEN(_xlpm._keyWord))</f>
        <v>0</v>
      </c>
      <c r="AA92" s="12" t="b">
        <f ca="1">OR(IFERROR(_xlfn.XMATCH("*,"&amp;$B92&amp;",*",Assumptions!$AH:$AH,2)&gt;0,FALSE),
IFERROR(_xlfn.XMATCH("*,"&amp;$B92&amp;",*",Countermeasures!$AK:$AK,2)&gt;0,FALSE))</f>
        <v>0</v>
      </c>
      <c r="AB92" s="12" t="str" cm="1">
        <f t="array" ref="AB92">CreateSearchString($J92)</f>
        <v/>
      </c>
      <c r="AC92" s="12" t="str" cm="1">
        <f t="array" ref="AC92">IF($F92="","",IFERROR(SimpleLookup($F92,Definitions!$H:$J),""))</f>
        <v/>
      </c>
      <c r="AD92" s="12" t="b" cm="1">
        <f t="array" ref="AD92">IF($B92="",FALSE,SimpleLookup($B92,Questions!$A:$D)="x")</f>
        <v>0</v>
      </c>
      <c r="AE92" s="12" t="str" cm="1">
        <f t="array" ref="AE92">IF(OR($B92="",NOT($AD92)),"",SimpleLookup($B92,Questions!$A:$E))</f>
        <v/>
      </c>
      <c r="AF92" s="12" t="str" cm="1">
        <f t="array" ref="AF92">IF(OR($B92="",NOT($AD92)),"",SimpleLookup($B92,Questions!$A:$F))</f>
        <v/>
      </c>
      <c r="AG92" s="12" t="str" cm="1">
        <f t="array" ref="AG92">_xlfn.LET(
_xlpm._answer,$D92,
_xlpm._infoTextFull,IF($AD92,CHAR(10)&amp;SimpleLookup($B92,Questions!$A:$H)&amp;CHAR(10),""),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92" s="12" t="b" cm="1">
        <f t="array" ref="AH92">IF(OR($B92="",NOT($AD92)),FALSE,_xlfn.LET(
_xlpm._secondAnswerRequiredOn,SimpleLookup($B92,Questions!$A:$I),
_xlpm._firstAnwer,$D92,
IFERROR(FIND(CHAR(10)&amp;_xlpm._firstAnwer&amp;":",CHAR(10)&amp;_xlpm._secondAnswerRequiredOn)&gt;0,FALSE)))</f>
        <v>0</v>
      </c>
      <c r="AI92" s="12" t="str" cm="1">
        <f t="array" ref="AI92">IF(OR($B92="",NOT($AD92)),"",_xlfn.LET(
_xlpm._id,$B92,
_xlpm._firstAnswer,$D92,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92" s="12" t="str" cm="1">
        <f t="array" ref="AJ92">IF(OR($B92="",NOT($AD92)),"",_xlfn.LET(
_xlpm._id,$B92,
_xlpm._firstAnswer,$D92,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92" s="12" t="str" cm="1">
        <f t="array" ref="AK92">IF($AH92,_xlfn.LET(
_xlpm._answer,$F92,
_xlpm._infoTextFull,IF($AD92,CHAR(10)&amp;SimpleLookup($B92,Questions!$A:$L)&amp;CHAR(10),""),
_xlpm._startSelectedByAnswerOne,IF(_xlpm._infoTextFull="",0,FIND("___"&amp;$D92&amp;"___",_xlpm._infoTextFull)+LEN("___"&amp;$D92&amp;"___")),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92" s="12" t="b" cm="1">
        <f t="array" ref="AL92">IF(OR($B92="",NOT($AD92)),FALSE,SimpleLookup($B92,Questions!$A:$Q))</f>
        <v>0</v>
      </c>
      <c r="AM92" s="12" t="str" cm="1">
        <f t="array" aca="1" ref="AM92" ca="1">IF(AND($B92=Questions!$A$41,IFERROR(SimpleLookup(Questions!$A$36,$B:$F)=Definitions!$O$5,FALSE),$D92=Definitions!$A$5),
Questions!$A$36&amp;" "&amp;Questions!$B$36&amp;CHAR(10)&amp;CHAR(187)&amp;" "&amp;SimpleLookup(Questions!$A$36,$B:$D)&amp;CHAR(10)&amp;SimpleLookup(Questions!$A$36,$B:$E)&amp;CHAR(10)&amp;CHAR(187)&amp;" "&amp;Definitions!$O$5&amp;CHAR(10)&amp;CHAR(10)&amp;
"is incosistent with"&amp;CHAR(10)&amp;CHAR(10)&amp;
$B92&amp;" "&amp;SimpleLookup($B92,Questions!$A:$B)&amp;CHAR(10)&amp;CHAR(187)&amp;" "&amp;$D92,
"")</f>
        <v/>
      </c>
      <c r="AN92" s="12" cm="1">
        <f t="array" aca="1" ref="AN92" ca="1">CreateID($AN$3,$AM92&lt;&gt;"")</f>
        <v>0</v>
      </c>
      <c r="AO92" s="12" t="str">
        <f ca="1">IF(OR($D92="",OFFSET($D92,1,0)=""),"",
IF(AND($B92=Questions!$A$59,OFFSET($B92,1,0)=Questions!$A$60),
IF(MATCH($D92,Definitions!$AW:$AW,0)&gt;MATCH(OFFSET($D92,1,0),Definitions!AW:AW,0),$B92&amp;" "&amp;$L92&amp;": "&amp;$D92&amp;CHAR(10)&amp;"&lt;---&gt;"&amp;CHAR(10)&amp;OFFSET($B92,1,0)&amp;" "&amp;OFFSET($L92,1,0)&amp;": "&amp;OFFSET($D92,1,0),""),
""))</f>
        <v/>
      </c>
      <c r="AP92" s="12" cm="1">
        <f t="array" aca="1" ref="AP92" ca="1">CreateID($AP$3,$AO92&lt;&gt;"")</f>
        <v>0</v>
      </c>
      <c r="AQ92" s="12" t="str" cm="1">
        <f t="array" ref="AQ92">IF($B92=Questions!$A$18,
  _xlfn.LET(
    _xlpm._impactValue7,IFERROR(SimpleLookup(SimpleLookup($F92,Definitions!$H:$J),Definitions!$Q:$R),0),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"&amp;$F92&amp;CHAR(10)&amp;"&lt;---&gt;"&amp;CHAR(10)&amp;Questions!$A$30&amp;": "&amp;_xlpm._impactName14,
        ""))),
  "")</f>
        <v/>
      </c>
      <c r="AR92" s="12" cm="1">
        <f t="array" aca="1" ref="AR92" ca="1">CreateID($AR$3,$AQ92&lt;&gt;"")</f>
        <v>0</v>
      </c>
    </row>
    <row r="93" spans="10:44" x14ac:dyDescent="0.25">
      <c r="J93" s="12" t="str">
        <f t="shared" si="17"/>
        <v/>
      </c>
      <c r="K93" s="12" t="str">
        <f t="shared" si="18"/>
        <v/>
      </c>
      <c r="L93" s="12" t="e" cm="1">
        <f t="array" aca="1" ref="L93" ca="1">SimpleLookup($B93,Questions!$A:$B)</f>
        <v>#N/A</v>
      </c>
      <c r="M93" s="12" cm="1">
        <f t="array" aca="1" ref="M93" ca="1">CreateID($M$3,AND($B93&lt;&gt;"",$AD93))</f>
        <v>39</v>
      </c>
      <c r="N93" s="12" cm="1">
        <f t="array" ref="N93">CreateTaskID($N$3,$N:$N,Tasks!$B$17,$H93)</f>
        <v>0</v>
      </c>
      <c r="O93" s="12" t="str">
        <f t="shared" si="16"/>
        <v/>
      </c>
      <c r="P93" s="12" cm="1">
        <f t="array" aca="1" ref="P93" ca="1">CreateID($P$3,$O93&lt;&gt;"")</f>
        <v>39</v>
      </c>
      <c r="Q93" s="12" t="str">
        <f t="shared" si="19"/>
        <v/>
      </c>
      <c r="R93" s="12" cm="1">
        <f t="array" aca="1" ref="R93" ca="1">CreateID($R$3,$Q93&lt;&gt;"")</f>
        <v>0</v>
      </c>
      <c r="S93" s="12" t="str">
        <f t="shared" si="20"/>
        <v/>
      </c>
      <c r="T93" s="12" cm="1">
        <f t="array" aca="1" ref="T93" ca="1">CreateID($T$3,$S93&lt;&gt;"")</f>
        <v>0</v>
      </c>
      <c r="U93" s="12" t="str">
        <f t="shared" si="21"/>
        <v/>
      </c>
      <c r="V93" s="12" cm="1">
        <f t="array" aca="1" ref="V93" ca="1">CreateID($V$3,$U93&lt;&gt;"")</f>
        <v>0</v>
      </c>
      <c r="W93" s="12" cm="1">
        <f t="array" aca="1" ref="W93" ca="1">CreateID($W$3,IFERROR(FIND(Definitions!$AR$4,$H93)&gt;0,FALSE))</f>
        <v>0</v>
      </c>
      <c r="X93" s="12">
        <f>_xlfn.LET(
_xlpm._comment,$H93,
_xlpm._keyWord,Definitions!$AR$4,
_xlpm._diffLen,LEN(_xlpm._comment)-LEN(SUBSTITUTE(_xlpm._comment,_xlpm._keyWord,"")),
_xlpm._diffLen/LEN(_xlpm._keyWord))</f>
        <v>0</v>
      </c>
      <c r="Y93" s="12" cm="1">
        <f t="array" aca="1" ref="Y93" ca="1">CreateID($Y$3,IFERROR(FIND(Definitions!$AR$5,$H93)&gt;0,FALSE))</f>
        <v>0</v>
      </c>
      <c r="Z93" s="12">
        <f>_xlfn.LET(
_xlpm._comment,$H93,
_xlpm._keyWord,Definitions!$AR$5,
_xlpm._diffLen,LEN(_xlpm._comment)-LEN(SUBSTITUTE(_xlpm._comment,_xlpm._keyWord,"")),
_xlpm._diffLen/LEN(_xlpm._keyWord))</f>
        <v>0</v>
      </c>
      <c r="AA93" s="12" t="b">
        <f ca="1">OR(IFERROR(_xlfn.XMATCH("*,"&amp;$B93&amp;",*",Assumptions!$AH:$AH,2)&gt;0,FALSE),
IFERROR(_xlfn.XMATCH("*,"&amp;$B93&amp;",*",Countermeasures!$AK:$AK,2)&gt;0,FALSE))</f>
        <v>0</v>
      </c>
      <c r="AB93" s="12" t="str" cm="1">
        <f t="array" ref="AB93">CreateSearchString($J93)</f>
        <v/>
      </c>
      <c r="AC93" s="12" t="str" cm="1">
        <f t="array" ref="AC93">IF($F93="","",IFERROR(SimpleLookup($F93,Definitions!$H:$J),""))</f>
        <v/>
      </c>
      <c r="AD93" s="12" t="b" cm="1">
        <f t="array" ref="AD93">IF($B93="",FALSE,SimpleLookup($B93,Questions!$A:$D)="x")</f>
        <v>0</v>
      </c>
      <c r="AE93" s="12" t="str" cm="1">
        <f t="array" ref="AE93">IF(OR($B93="",NOT($AD93)),"",SimpleLookup($B93,Questions!$A:$E))</f>
        <v/>
      </c>
      <c r="AF93" s="12" t="str" cm="1">
        <f t="array" ref="AF93">IF(OR($B93="",NOT($AD93)),"",SimpleLookup($B93,Questions!$A:$F))</f>
        <v/>
      </c>
      <c r="AG93" s="12" t="str" cm="1">
        <f t="array" ref="AG93">_xlfn.LET(
_xlpm._answer,$D93,
_xlpm._infoTextFull,IF($AD93,CHAR(10)&amp;SimpleLookup($B93,Questions!$A:$H)&amp;CHAR(10),""),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93" s="12" t="b" cm="1">
        <f t="array" ref="AH93">IF(OR($B93="",NOT($AD93)),FALSE,_xlfn.LET(
_xlpm._secondAnswerRequiredOn,SimpleLookup($B93,Questions!$A:$I),
_xlpm._firstAnwer,$D93,
IFERROR(FIND(CHAR(10)&amp;_xlpm._firstAnwer&amp;":",CHAR(10)&amp;_xlpm._secondAnswerRequiredOn)&gt;0,FALSE)))</f>
        <v>0</v>
      </c>
      <c r="AI93" s="12" t="str" cm="1">
        <f t="array" ref="AI93">IF(OR($B93="",NOT($AD93)),"",_xlfn.LET(
_xlpm._id,$B93,
_xlpm._firstAnswer,$D93,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93" s="12" t="str" cm="1">
        <f t="array" ref="AJ93">IF(OR($B93="",NOT($AD93)),"",_xlfn.LET(
_xlpm._id,$B93,
_xlpm._firstAnswer,$D93,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93" s="12" t="str" cm="1">
        <f t="array" ref="AK93">IF($AH93,_xlfn.LET(
_xlpm._answer,$F93,
_xlpm._infoTextFull,IF($AD93,CHAR(10)&amp;SimpleLookup($B93,Questions!$A:$L)&amp;CHAR(10),""),
_xlpm._startSelectedByAnswerOne,IF(_xlpm._infoTextFull="",0,FIND("___"&amp;$D93&amp;"___",_xlpm._infoTextFull)+LEN("___"&amp;$D93&amp;"___")),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93" s="12" t="b" cm="1">
        <f t="array" ref="AL93">IF(OR($B93="",NOT($AD93)),FALSE,SimpleLookup($B93,Questions!$A:$Q))</f>
        <v>0</v>
      </c>
      <c r="AM93" s="12" t="str" cm="1">
        <f t="array" aca="1" ref="AM93" ca="1">IF(AND($B93=Questions!$A$41,IFERROR(SimpleLookup(Questions!$A$36,$B:$F)=Definitions!$O$5,FALSE),$D93=Definitions!$A$5),
Questions!$A$36&amp;" "&amp;Questions!$B$36&amp;CHAR(10)&amp;CHAR(187)&amp;" "&amp;SimpleLookup(Questions!$A$36,$B:$D)&amp;CHAR(10)&amp;SimpleLookup(Questions!$A$36,$B:$E)&amp;CHAR(10)&amp;CHAR(187)&amp;" "&amp;Definitions!$O$5&amp;CHAR(10)&amp;CHAR(10)&amp;
"is incosistent with"&amp;CHAR(10)&amp;CHAR(10)&amp;
$B93&amp;" "&amp;SimpleLookup($B93,Questions!$A:$B)&amp;CHAR(10)&amp;CHAR(187)&amp;" "&amp;$D93,
"")</f>
        <v/>
      </c>
      <c r="AN93" s="12" cm="1">
        <f t="array" aca="1" ref="AN93" ca="1">CreateID($AN$3,$AM93&lt;&gt;"")</f>
        <v>0</v>
      </c>
      <c r="AO93" s="12" t="str">
        <f ca="1">IF(OR($D93="",OFFSET($D93,1,0)=""),"",
IF(AND($B93=Questions!$A$59,OFFSET($B93,1,0)=Questions!$A$60),
IF(MATCH($D93,Definitions!$AW:$AW,0)&gt;MATCH(OFFSET($D93,1,0),Definitions!AW:AW,0),$B93&amp;" "&amp;$L93&amp;": "&amp;$D93&amp;CHAR(10)&amp;"&lt;---&gt;"&amp;CHAR(10)&amp;OFFSET($B93,1,0)&amp;" "&amp;OFFSET($L93,1,0)&amp;": "&amp;OFFSET($D93,1,0),""),
""))</f>
        <v/>
      </c>
      <c r="AP93" s="12" cm="1">
        <f t="array" aca="1" ref="AP93" ca="1">CreateID($AP$3,$AO93&lt;&gt;"")</f>
        <v>0</v>
      </c>
      <c r="AQ93" s="12" t="str" cm="1">
        <f t="array" ref="AQ93">IF($B93=Questions!$A$18,
  _xlfn.LET(
    _xlpm._impactValue7,IFERROR(SimpleLookup(SimpleLookup($F93,Definitions!$H:$J),Definitions!$Q:$R),0),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"&amp;$F93&amp;CHAR(10)&amp;"&lt;---&gt;"&amp;CHAR(10)&amp;Questions!$A$30&amp;": "&amp;_xlpm._impactName14,
        ""))),
  "")</f>
        <v/>
      </c>
      <c r="AR93" s="12" cm="1">
        <f t="array" aca="1" ref="AR93" ca="1">CreateID($AR$3,$AQ93&lt;&gt;"")</f>
        <v>0</v>
      </c>
    </row>
    <row r="94" spans="10:44" x14ac:dyDescent="0.25">
      <c r="J94" s="12" t="str">
        <f t="shared" si="17"/>
        <v/>
      </c>
      <c r="K94" s="12" t="str">
        <f t="shared" si="18"/>
        <v/>
      </c>
      <c r="L94" s="12" t="e" cm="1">
        <f t="array" aca="1" ref="L94" ca="1">SimpleLookup($B94,Questions!$A:$B)</f>
        <v>#N/A</v>
      </c>
      <c r="M94" s="12" cm="1">
        <f t="array" aca="1" ref="M94" ca="1">CreateID($M$3,AND($B94&lt;&gt;"",$AD94))</f>
        <v>39</v>
      </c>
      <c r="N94" s="12" cm="1">
        <f t="array" ref="N94">CreateTaskID($N$3,$N:$N,Tasks!$B$17,$H94)</f>
        <v>0</v>
      </c>
      <c r="O94" s="12" t="str">
        <f t="shared" si="16"/>
        <v/>
      </c>
      <c r="P94" s="12" cm="1">
        <f t="array" aca="1" ref="P94" ca="1">CreateID($P$3,$O94&lt;&gt;"")</f>
        <v>39</v>
      </c>
      <c r="Q94" s="12" t="str">
        <f t="shared" si="19"/>
        <v/>
      </c>
      <c r="R94" s="12" cm="1">
        <f t="array" aca="1" ref="R94" ca="1">CreateID($R$3,$Q94&lt;&gt;"")</f>
        <v>0</v>
      </c>
      <c r="S94" s="12" t="str">
        <f t="shared" si="20"/>
        <v/>
      </c>
      <c r="T94" s="12" cm="1">
        <f t="array" aca="1" ref="T94" ca="1">CreateID($T$3,$S94&lt;&gt;"")</f>
        <v>0</v>
      </c>
      <c r="U94" s="12" t="str">
        <f t="shared" si="21"/>
        <v/>
      </c>
      <c r="V94" s="12" cm="1">
        <f t="array" aca="1" ref="V94" ca="1">CreateID($V$3,$U94&lt;&gt;"")</f>
        <v>0</v>
      </c>
      <c r="W94" s="12" cm="1">
        <f t="array" aca="1" ref="W94" ca="1">CreateID($W$3,IFERROR(FIND(Definitions!$AR$4,$H94)&gt;0,FALSE))</f>
        <v>0</v>
      </c>
      <c r="X94" s="12">
        <f>_xlfn.LET(
_xlpm._comment,$H94,
_xlpm._keyWord,Definitions!$AR$4,
_xlpm._diffLen,LEN(_xlpm._comment)-LEN(SUBSTITUTE(_xlpm._comment,_xlpm._keyWord,"")),
_xlpm._diffLen/LEN(_xlpm._keyWord))</f>
        <v>0</v>
      </c>
      <c r="Y94" s="12" cm="1">
        <f t="array" aca="1" ref="Y94" ca="1">CreateID($Y$3,IFERROR(FIND(Definitions!$AR$5,$H94)&gt;0,FALSE))</f>
        <v>0</v>
      </c>
      <c r="Z94" s="12">
        <f>_xlfn.LET(
_xlpm._comment,$H94,
_xlpm._keyWord,Definitions!$AR$5,
_xlpm._diffLen,LEN(_xlpm._comment)-LEN(SUBSTITUTE(_xlpm._comment,_xlpm._keyWord,"")),
_xlpm._diffLen/LEN(_xlpm._keyWord))</f>
        <v>0</v>
      </c>
      <c r="AA94" s="12" t="b">
        <f ca="1">OR(IFERROR(_xlfn.XMATCH("*,"&amp;$B94&amp;",*",Assumptions!$AH:$AH,2)&gt;0,FALSE),
IFERROR(_xlfn.XMATCH("*,"&amp;$B94&amp;",*",Countermeasures!$AK:$AK,2)&gt;0,FALSE))</f>
        <v>0</v>
      </c>
      <c r="AB94" s="12" t="str" cm="1">
        <f t="array" ref="AB94">CreateSearchString($J94)</f>
        <v/>
      </c>
      <c r="AC94" s="12" t="str" cm="1">
        <f t="array" ref="AC94">IF($F94="","",IFERROR(SimpleLookup($F94,Definitions!$H:$J),""))</f>
        <v/>
      </c>
      <c r="AD94" s="12" t="b" cm="1">
        <f t="array" ref="AD94">IF($B94="",FALSE,SimpleLookup($B94,Questions!$A:$D)="x")</f>
        <v>0</v>
      </c>
      <c r="AE94" s="12" t="str" cm="1">
        <f t="array" ref="AE94">IF(OR($B94="",NOT($AD94)),"",SimpleLookup($B94,Questions!$A:$E))</f>
        <v/>
      </c>
      <c r="AF94" s="12" t="str" cm="1">
        <f t="array" ref="AF94">IF(OR($B94="",NOT($AD94)),"",SimpleLookup($B94,Questions!$A:$F))</f>
        <v/>
      </c>
      <c r="AG94" s="12" t="str" cm="1">
        <f t="array" ref="AG94">_xlfn.LET(
_xlpm._answer,$D94,
_xlpm._infoTextFull,IF($AD94,CHAR(10)&amp;SimpleLookup($B94,Questions!$A:$H)&amp;CHAR(10),""),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94" s="12" t="b" cm="1">
        <f t="array" ref="AH94">IF(OR($B94="",NOT($AD94)),FALSE,_xlfn.LET(
_xlpm._secondAnswerRequiredOn,SimpleLookup($B94,Questions!$A:$I),
_xlpm._firstAnwer,$D94,
IFERROR(FIND(CHAR(10)&amp;_xlpm._firstAnwer&amp;":",CHAR(10)&amp;_xlpm._secondAnswerRequiredOn)&gt;0,FALSE)))</f>
        <v>0</v>
      </c>
      <c r="AI94" s="12" t="str" cm="1">
        <f t="array" ref="AI94">IF(OR($B94="",NOT($AD94)),"",_xlfn.LET(
_xlpm._id,$B94,
_xlpm._firstAnswer,$D94,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94" s="12" t="str" cm="1">
        <f t="array" ref="AJ94">IF(OR($B94="",NOT($AD94)),"",_xlfn.LET(
_xlpm._id,$B94,
_xlpm._firstAnswer,$D94,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94" s="12" t="str" cm="1">
        <f t="array" ref="AK94">IF($AH94,_xlfn.LET(
_xlpm._answer,$F94,
_xlpm._infoTextFull,IF($AD94,CHAR(10)&amp;SimpleLookup($B94,Questions!$A:$L)&amp;CHAR(10),""),
_xlpm._startSelectedByAnswerOne,IF(_xlpm._infoTextFull="",0,FIND("___"&amp;$D94&amp;"___",_xlpm._infoTextFull)+LEN("___"&amp;$D94&amp;"___")),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94" s="12" t="b" cm="1">
        <f t="array" ref="AL94">IF(OR($B94="",NOT($AD94)),FALSE,SimpleLookup($B94,Questions!$A:$Q))</f>
        <v>0</v>
      </c>
      <c r="AM94" s="12" t="str" cm="1">
        <f t="array" aca="1" ref="AM94" ca="1">IF(AND($B94=Questions!$A$41,IFERROR(SimpleLookup(Questions!$A$36,$B:$F)=Definitions!$O$5,FALSE),$D94=Definitions!$A$5),
Questions!$A$36&amp;" "&amp;Questions!$B$36&amp;CHAR(10)&amp;CHAR(187)&amp;" "&amp;SimpleLookup(Questions!$A$36,$B:$D)&amp;CHAR(10)&amp;SimpleLookup(Questions!$A$36,$B:$E)&amp;CHAR(10)&amp;CHAR(187)&amp;" "&amp;Definitions!$O$5&amp;CHAR(10)&amp;CHAR(10)&amp;
"is incosistent with"&amp;CHAR(10)&amp;CHAR(10)&amp;
$B94&amp;" "&amp;SimpleLookup($B94,Questions!$A:$B)&amp;CHAR(10)&amp;CHAR(187)&amp;" "&amp;$D94,
"")</f>
        <v/>
      </c>
      <c r="AN94" s="12" cm="1">
        <f t="array" aca="1" ref="AN94" ca="1">CreateID($AN$3,$AM94&lt;&gt;"")</f>
        <v>0</v>
      </c>
      <c r="AO94" s="12" t="str">
        <f ca="1">IF(OR($D94="",OFFSET($D94,1,0)=""),"",
IF(AND($B94=Questions!$A$59,OFFSET($B94,1,0)=Questions!$A$60),
IF(MATCH($D94,Definitions!$AW:$AW,0)&gt;MATCH(OFFSET($D94,1,0),Definitions!AW:AW,0),$B94&amp;" "&amp;$L94&amp;": "&amp;$D94&amp;CHAR(10)&amp;"&lt;---&gt;"&amp;CHAR(10)&amp;OFFSET($B94,1,0)&amp;" "&amp;OFFSET($L94,1,0)&amp;": "&amp;OFFSET($D94,1,0),""),
""))</f>
        <v/>
      </c>
      <c r="AP94" s="12" cm="1">
        <f t="array" aca="1" ref="AP94" ca="1">CreateID($AP$3,$AO94&lt;&gt;"")</f>
        <v>0</v>
      </c>
      <c r="AQ94" s="12" t="str" cm="1">
        <f t="array" ref="AQ94">IF($B94=Questions!$A$18,
  _xlfn.LET(
    _xlpm._impactValue7,IFERROR(SimpleLookup(SimpleLookup($F94,Definitions!$H:$J),Definitions!$Q:$R),0),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"&amp;$F94&amp;CHAR(10)&amp;"&lt;---&gt;"&amp;CHAR(10)&amp;Questions!$A$30&amp;": "&amp;_xlpm._impactName14,
        ""))),
  "")</f>
        <v/>
      </c>
      <c r="AR94" s="12" cm="1">
        <f t="array" aca="1" ref="AR94" ca="1">CreateID($AR$3,$AQ94&lt;&gt;"")</f>
        <v>0</v>
      </c>
    </row>
    <row r="95" spans="10:44" x14ac:dyDescent="0.25">
      <c r="J95" s="12" t="str">
        <f t="shared" si="17"/>
        <v/>
      </c>
      <c r="K95" s="12" t="str">
        <f t="shared" si="18"/>
        <v/>
      </c>
      <c r="L95" s="12" t="e" cm="1">
        <f t="array" aca="1" ref="L95" ca="1">SimpleLookup($B95,Questions!$A:$B)</f>
        <v>#N/A</v>
      </c>
      <c r="M95" s="12" cm="1">
        <f t="array" aca="1" ref="M95" ca="1">CreateID($M$3,AND($B95&lt;&gt;"",$AD95))</f>
        <v>39</v>
      </c>
      <c r="N95" s="12" cm="1">
        <f t="array" ref="N95">CreateTaskID($N$3,$N:$N,Tasks!$B$17,$H95)</f>
        <v>0</v>
      </c>
      <c r="O95" s="12" t="str">
        <f t="shared" si="16"/>
        <v/>
      </c>
      <c r="P95" s="12" cm="1">
        <f t="array" aca="1" ref="P95" ca="1">CreateID($P$3,$O95&lt;&gt;"")</f>
        <v>39</v>
      </c>
      <c r="Q95" s="12" t="str">
        <f t="shared" si="19"/>
        <v/>
      </c>
      <c r="R95" s="12" cm="1">
        <f t="array" aca="1" ref="R95" ca="1">CreateID($R$3,$Q95&lt;&gt;"")</f>
        <v>0</v>
      </c>
      <c r="S95" s="12" t="str">
        <f t="shared" si="20"/>
        <v/>
      </c>
      <c r="T95" s="12" cm="1">
        <f t="array" aca="1" ref="T95" ca="1">CreateID($T$3,$S95&lt;&gt;"")</f>
        <v>0</v>
      </c>
      <c r="U95" s="12" t="str">
        <f t="shared" si="21"/>
        <v/>
      </c>
      <c r="V95" s="12" cm="1">
        <f t="array" aca="1" ref="V95" ca="1">CreateID($V$3,$U95&lt;&gt;"")</f>
        <v>0</v>
      </c>
      <c r="W95" s="12" cm="1">
        <f t="array" aca="1" ref="W95" ca="1">CreateID($W$3,IFERROR(FIND(Definitions!$AR$4,$H95)&gt;0,FALSE))</f>
        <v>0</v>
      </c>
      <c r="X95" s="12">
        <f>_xlfn.LET(
_xlpm._comment,$H95,
_xlpm._keyWord,Definitions!$AR$4,
_xlpm._diffLen,LEN(_xlpm._comment)-LEN(SUBSTITUTE(_xlpm._comment,_xlpm._keyWord,"")),
_xlpm._diffLen/LEN(_xlpm._keyWord))</f>
        <v>0</v>
      </c>
      <c r="Y95" s="12" cm="1">
        <f t="array" aca="1" ref="Y95" ca="1">CreateID($Y$3,IFERROR(FIND(Definitions!$AR$5,$H95)&gt;0,FALSE))</f>
        <v>0</v>
      </c>
      <c r="Z95" s="12">
        <f>_xlfn.LET(
_xlpm._comment,$H95,
_xlpm._keyWord,Definitions!$AR$5,
_xlpm._diffLen,LEN(_xlpm._comment)-LEN(SUBSTITUTE(_xlpm._comment,_xlpm._keyWord,"")),
_xlpm._diffLen/LEN(_xlpm._keyWord))</f>
        <v>0</v>
      </c>
      <c r="AA95" s="12" t="b">
        <f ca="1">OR(IFERROR(_xlfn.XMATCH("*,"&amp;$B95&amp;",*",Assumptions!$AH:$AH,2)&gt;0,FALSE),
IFERROR(_xlfn.XMATCH("*,"&amp;$B95&amp;",*",Countermeasures!$AK:$AK,2)&gt;0,FALSE))</f>
        <v>0</v>
      </c>
      <c r="AB95" s="12" t="str" cm="1">
        <f t="array" ref="AB95">CreateSearchString($J95)</f>
        <v/>
      </c>
      <c r="AC95" s="12" t="str" cm="1">
        <f t="array" ref="AC95">IF($F95="","",IFERROR(SimpleLookup($F95,Definitions!$H:$J),""))</f>
        <v/>
      </c>
      <c r="AD95" s="12" t="b" cm="1">
        <f t="array" ref="AD95">IF($B95="",FALSE,SimpleLookup($B95,Questions!$A:$D)="x")</f>
        <v>0</v>
      </c>
      <c r="AE95" s="12" t="str" cm="1">
        <f t="array" ref="AE95">IF(OR($B95="",NOT($AD95)),"",SimpleLookup($B95,Questions!$A:$E))</f>
        <v/>
      </c>
      <c r="AF95" s="12" t="str" cm="1">
        <f t="array" ref="AF95">IF(OR($B95="",NOT($AD95)),"",SimpleLookup($B95,Questions!$A:$F))</f>
        <v/>
      </c>
      <c r="AG95" s="12" t="str" cm="1">
        <f t="array" ref="AG95">_xlfn.LET(
_xlpm._answer,$D95,
_xlpm._infoTextFull,IF($AD95,CHAR(10)&amp;SimpleLookup($B95,Questions!$A:$H)&amp;CHAR(10),""),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95" s="12" t="b" cm="1">
        <f t="array" ref="AH95">IF(OR($B95="",NOT($AD95)),FALSE,_xlfn.LET(
_xlpm._secondAnswerRequiredOn,SimpleLookup($B95,Questions!$A:$I),
_xlpm._firstAnwer,$D95,
IFERROR(FIND(CHAR(10)&amp;_xlpm._firstAnwer&amp;":",CHAR(10)&amp;_xlpm._secondAnswerRequiredOn)&gt;0,FALSE)))</f>
        <v>0</v>
      </c>
      <c r="AI95" s="12" t="str" cm="1">
        <f t="array" ref="AI95">IF(OR($B95="",NOT($AD95)),"",_xlfn.LET(
_xlpm._id,$B95,
_xlpm._firstAnswer,$D95,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95" s="12" t="str" cm="1">
        <f t="array" ref="AJ95">IF(OR($B95="",NOT($AD95)),"",_xlfn.LET(
_xlpm._id,$B95,
_xlpm._firstAnswer,$D95,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95" s="12" t="str" cm="1">
        <f t="array" ref="AK95">IF($AH95,_xlfn.LET(
_xlpm._answer,$F95,
_xlpm._infoTextFull,IF($AD95,CHAR(10)&amp;SimpleLookup($B95,Questions!$A:$L)&amp;CHAR(10),""),
_xlpm._startSelectedByAnswerOne,IF(_xlpm._infoTextFull="",0,FIND("___"&amp;$D95&amp;"___",_xlpm._infoTextFull)+LEN("___"&amp;$D95&amp;"___")),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95" s="12" t="b" cm="1">
        <f t="array" ref="AL95">IF(OR($B95="",NOT($AD95)),FALSE,SimpleLookup($B95,Questions!$A:$Q))</f>
        <v>0</v>
      </c>
      <c r="AM95" s="12" t="str" cm="1">
        <f t="array" aca="1" ref="AM95" ca="1">IF(AND($B95=Questions!$A$41,IFERROR(SimpleLookup(Questions!$A$36,$B:$F)=Definitions!$O$5,FALSE),$D95=Definitions!$A$5),
Questions!$A$36&amp;" "&amp;Questions!$B$36&amp;CHAR(10)&amp;CHAR(187)&amp;" "&amp;SimpleLookup(Questions!$A$36,$B:$D)&amp;CHAR(10)&amp;SimpleLookup(Questions!$A$36,$B:$E)&amp;CHAR(10)&amp;CHAR(187)&amp;" "&amp;Definitions!$O$5&amp;CHAR(10)&amp;CHAR(10)&amp;
"is incosistent with"&amp;CHAR(10)&amp;CHAR(10)&amp;
$B95&amp;" "&amp;SimpleLookup($B95,Questions!$A:$B)&amp;CHAR(10)&amp;CHAR(187)&amp;" "&amp;$D95,
"")</f>
        <v/>
      </c>
      <c r="AN95" s="12" cm="1">
        <f t="array" aca="1" ref="AN95" ca="1">CreateID($AN$3,$AM95&lt;&gt;"")</f>
        <v>0</v>
      </c>
      <c r="AO95" s="12" t="str">
        <f ca="1">IF(OR($D95="",OFFSET($D95,1,0)=""),"",
IF(AND($B95=Questions!$A$59,OFFSET($B95,1,0)=Questions!$A$60),
IF(MATCH($D95,Definitions!$AW:$AW,0)&gt;MATCH(OFFSET($D95,1,0),Definitions!AW:AW,0),$B95&amp;" "&amp;$L95&amp;": "&amp;$D95&amp;CHAR(10)&amp;"&lt;---&gt;"&amp;CHAR(10)&amp;OFFSET($B95,1,0)&amp;" "&amp;OFFSET($L95,1,0)&amp;": "&amp;OFFSET($D95,1,0),""),
""))</f>
        <v/>
      </c>
      <c r="AP95" s="12" cm="1">
        <f t="array" aca="1" ref="AP95" ca="1">CreateID($AP$3,$AO95&lt;&gt;"")</f>
        <v>0</v>
      </c>
      <c r="AQ95" s="12" t="str" cm="1">
        <f t="array" ref="AQ95">IF($B95=Questions!$A$18,
  _xlfn.LET(
    _xlpm._impactValue7,IFERROR(SimpleLookup(SimpleLookup($F95,Definitions!$H:$J),Definitions!$Q:$R),0),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"&amp;$F95&amp;CHAR(10)&amp;"&lt;---&gt;"&amp;CHAR(10)&amp;Questions!$A$30&amp;": "&amp;_xlpm._impactName14,
        ""))),
  "")</f>
        <v/>
      </c>
      <c r="AR95" s="12" cm="1">
        <f t="array" aca="1" ref="AR95" ca="1">CreateID($AR$3,$AQ95&lt;&gt;"")</f>
        <v>0</v>
      </c>
    </row>
    <row r="96" spans="10:44" x14ac:dyDescent="0.25">
      <c r="J96" s="12" t="str">
        <f t="shared" si="17"/>
        <v/>
      </c>
      <c r="K96" s="12" t="str">
        <f t="shared" si="18"/>
        <v/>
      </c>
      <c r="L96" s="12" t="e" cm="1">
        <f t="array" aca="1" ref="L96" ca="1">SimpleLookup($B96,Questions!$A:$B)</f>
        <v>#N/A</v>
      </c>
      <c r="M96" s="12" cm="1">
        <f t="array" aca="1" ref="M96" ca="1">CreateID($M$3,AND($B96&lt;&gt;"",$AD96))</f>
        <v>39</v>
      </c>
      <c r="N96" s="12" cm="1">
        <f t="array" ref="N96">CreateTaskID($N$3,$N:$N,Tasks!$B$17,$H96)</f>
        <v>0</v>
      </c>
      <c r="O96" s="12" t="str">
        <f t="shared" si="16"/>
        <v/>
      </c>
      <c r="P96" s="12" cm="1">
        <f t="array" aca="1" ref="P96" ca="1">CreateID($P$3,$O96&lt;&gt;"")</f>
        <v>39</v>
      </c>
      <c r="Q96" s="12" t="str">
        <f t="shared" si="19"/>
        <v/>
      </c>
      <c r="R96" s="12" cm="1">
        <f t="array" aca="1" ref="R96" ca="1">CreateID($R$3,$Q96&lt;&gt;"")</f>
        <v>0</v>
      </c>
      <c r="S96" s="12" t="str">
        <f t="shared" si="20"/>
        <v/>
      </c>
      <c r="T96" s="12" cm="1">
        <f t="array" aca="1" ref="T96" ca="1">CreateID($T$3,$S96&lt;&gt;"")</f>
        <v>0</v>
      </c>
      <c r="U96" s="12" t="str">
        <f t="shared" si="21"/>
        <v/>
      </c>
      <c r="V96" s="12" cm="1">
        <f t="array" aca="1" ref="V96" ca="1">CreateID($V$3,$U96&lt;&gt;"")</f>
        <v>0</v>
      </c>
      <c r="W96" s="12" cm="1">
        <f t="array" aca="1" ref="W96" ca="1">CreateID($W$3,IFERROR(FIND(Definitions!$AR$4,$H96)&gt;0,FALSE))</f>
        <v>0</v>
      </c>
      <c r="X96" s="12">
        <f>_xlfn.LET(
_xlpm._comment,$H96,
_xlpm._keyWord,Definitions!$AR$4,
_xlpm._diffLen,LEN(_xlpm._comment)-LEN(SUBSTITUTE(_xlpm._comment,_xlpm._keyWord,"")),
_xlpm._diffLen/LEN(_xlpm._keyWord))</f>
        <v>0</v>
      </c>
      <c r="Y96" s="12" cm="1">
        <f t="array" aca="1" ref="Y96" ca="1">CreateID($Y$3,IFERROR(FIND(Definitions!$AR$5,$H96)&gt;0,FALSE))</f>
        <v>0</v>
      </c>
      <c r="Z96" s="12">
        <f>_xlfn.LET(
_xlpm._comment,$H96,
_xlpm._keyWord,Definitions!$AR$5,
_xlpm._diffLen,LEN(_xlpm._comment)-LEN(SUBSTITUTE(_xlpm._comment,_xlpm._keyWord,"")),
_xlpm._diffLen/LEN(_xlpm._keyWord))</f>
        <v>0</v>
      </c>
      <c r="AA96" s="12" t="b">
        <f ca="1">OR(IFERROR(_xlfn.XMATCH("*,"&amp;$B96&amp;",*",Assumptions!$AH:$AH,2)&gt;0,FALSE),
IFERROR(_xlfn.XMATCH("*,"&amp;$B96&amp;",*",Countermeasures!$AK:$AK,2)&gt;0,FALSE))</f>
        <v>0</v>
      </c>
      <c r="AB96" s="12" t="str" cm="1">
        <f t="array" ref="AB96">CreateSearchString($J96)</f>
        <v/>
      </c>
      <c r="AC96" s="12" t="str" cm="1">
        <f t="array" ref="AC96">IF($F96="","",IFERROR(SimpleLookup($F96,Definitions!$H:$J),""))</f>
        <v/>
      </c>
      <c r="AD96" s="12" t="b" cm="1">
        <f t="array" ref="AD96">IF($B96="",FALSE,SimpleLookup($B96,Questions!$A:$D)="x")</f>
        <v>0</v>
      </c>
      <c r="AE96" s="12" t="str" cm="1">
        <f t="array" ref="AE96">IF(OR($B96="",NOT($AD96)),"",SimpleLookup($B96,Questions!$A:$E))</f>
        <v/>
      </c>
      <c r="AF96" s="12" t="str" cm="1">
        <f t="array" ref="AF96">IF(OR($B96="",NOT($AD96)),"",SimpleLookup($B96,Questions!$A:$F))</f>
        <v/>
      </c>
      <c r="AG96" s="12" t="str" cm="1">
        <f t="array" ref="AG96">_xlfn.LET(
_xlpm._answer,$D96,
_xlpm._infoTextFull,IF($AD96,CHAR(10)&amp;SimpleLookup($B96,Questions!$A:$H)&amp;CHAR(10),""),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96" s="12" t="b" cm="1">
        <f t="array" ref="AH96">IF(OR($B96="",NOT($AD96)),FALSE,_xlfn.LET(
_xlpm._secondAnswerRequiredOn,SimpleLookup($B96,Questions!$A:$I),
_xlpm._firstAnwer,$D96,
IFERROR(FIND(CHAR(10)&amp;_xlpm._firstAnwer&amp;":",CHAR(10)&amp;_xlpm._secondAnswerRequiredOn)&gt;0,FALSE)))</f>
        <v>0</v>
      </c>
      <c r="AI96" s="12" t="str" cm="1">
        <f t="array" ref="AI96">IF(OR($B96="",NOT($AD96)),"",_xlfn.LET(
_xlpm._id,$B96,
_xlpm._firstAnswer,$D96,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96" s="12" t="str" cm="1">
        <f t="array" ref="AJ96">IF(OR($B96="",NOT($AD96)),"",_xlfn.LET(
_xlpm._id,$B96,
_xlpm._firstAnswer,$D96,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96" s="12" t="str" cm="1">
        <f t="array" ref="AK96">IF($AH96,_xlfn.LET(
_xlpm._answer,$F96,
_xlpm._infoTextFull,IF($AD96,CHAR(10)&amp;SimpleLookup($B96,Questions!$A:$L)&amp;CHAR(10),""),
_xlpm._startSelectedByAnswerOne,IF(_xlpm._infoTextFull="",0,FIND("___"&amp;$D96&amp;"___",_xlpm._infoTextFull)+LEN("___"&amp;$D96&amp;"___")),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96" s="12" t="b" cm="1">
        <f t="array" ref="AL96">IF(OR($B96="",NOT($AD96)),FALSE,SimpleLookup($B96,Questions!$A:$Q))</f>
        <v>0</v>
      </c>
      <c r="AM96" s="12" t="str" cm="1">
        <f t="array" aca="1" ref="AM96" ca="1">IF(AND($B96=Questions!$A$41,IFERROR(SimpleLookup(Questions!$A$36,$B:$F)=Definitions!$O$5,FALSE),$D96=Definitions!$A$5),
Questions!$A$36&amp;" "&amp;Questions!$B$36&amp;CHAR(10)&amp;CHAR(187)&amp;" "&amp;SimpleLookup(Questions!$A$36,$B:$D)&amp;CHAR(10)&amp;SimpleLookup(Questions!$A$36,$B:$E)&amp;CHAR(10)&amp;CHAR(187)&amp;" "&amp;Definitions!$O$5&amp;CHAR(10)&amp;CHAR(10)&amp;
"is incosistent with"&amp;CHAR(10)&amp;CHAR(10)&amp;
$B96&amp;" "&amp;SimpleLookup($B96,Questions!$A:$B)&amp;CHAR(10)&amp;CHAR(187)&amp;" "&amp;$D96,
"")</f>
        <v/>
      </c>
      <c r="AN96" s="12" cm="1">
        <f t="array" aca="1" ref="AN96" ca="1">CreateID($AN$3,$AM96&lt;&gt;"")</f>
        <v>0</v>
      </c>
      <c r="AO96" s="12" t="str">
        <f ca="1">IF(OR($D96="",OFFSET($D96,1,0)=""),"",
IF(AND($B96=Questions!$A$59,OFFSET($B96,1,0)=Questions!$A$60),
IF(MATCH($D96,Definitions!$AW:$AW,0)&gt;MATCH(OFFSET($D96,1,0),Definitions!AW:AW,0),$B96&amp;" "&amp;$L96&amp;": "&amp;$D96&amp;CHAR(10)&amp;"&lt;---&gt;"&amp;CHAR(10)&amp;OFFSET($B96,1,0)&amp;" "&amp;OFFSET($L96,1,0)&amp;": "&amp;OFFSET($D96,1,0),""),
""))</f>
        <v/>
      </c>
      <c r="AP96" s="12" cm="1">
        <f t="array" aca="1" ref="AP96" ca="1">CreateID($AP$3,$AO96&lt;&gt;"")</f>
        <v>0</v>
      </c>
      <c r="AQ96" s="12" t="str" cm="1">
        <f t="array" ref="AQ96">IF($B96=Questions!$A$18,
  _xlfn.LET(
    _xlpm._impactValue7,IFERROR(SimpleLookup(SimpleLookup($F96,Definitions!$H:$J),Definitions!$Q:$R),0),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"&amp;$F96&amp;CHAR(10)&amp;"&lt;---&gt;"&amp;CHAR(10)&amp;Questions!$A$30&amp;": "&amp;_xlpm._impactName14,
        ""))),
  "")</f>
        <v/>
      </c>
      <c r="AR96" s="12" cm="1">
        <f t="array" aca="1" ref="AR96" ca="1">CreateID($AR$3,$AQ96&lt;&gt;"")</f>
        <v>0</v>
      </c>
    </row>
    <row r="97" spans="10:44" x14ac:dyDescent="0.25">
      <c r="J97" s="12" t="str">
        <f t="shared" si="17"/>
        <v/>
      </c>
      <c r="K97" s="12" t="str">
        <f t="shared" si="18"/>
        <v/>
      </c>
      <c r="L97" s="12" t="e" cm="1">
        <f t="array" aca="1" ref="L97" ca="1">SimpleLookup($B97,Questions!$A:$B)</f>
        <v>#N/A</v>
      </c>
      <c r="M97" s="12" cm="1">
        <f t="array" aca="1" ref="M97" ca="1">CreateID($M$3,AND($B97&lt;&gt;"",$AD97))</f>
        <v>39</v>
      </c>
      <c r="N97" s="12" cm="1">
        <f t="array" ref="N97">CreateTaskID($N$3,$N:$N,Tasks!$B$17,$H97)</f>
        <v>0</v>
      </c>
      <c r="O97" s="12" t="str">
        <f t="shared" si="16"/>
        <v/>
      </c>
      <c r="P97" s="12" cm="1">
        <f t="array" aca="1" ref="P97" ca="1">CreateID($P$3,$O97&lt;&gt;"")</f>
        <v>39</v>
      </c>
      <c r="Q97" s="12" t="str">
        <f t="shared" si="19"/>
        <v/>
      </c>
      <c r="R97" s="12" cm="1">
        <f t="array" aca="1" ref="R97" ca="1">CreateID($R$3,$Q97&lt;&gt;"")</f>
        <v>0</v>
      </c>
      <c r="S97" s="12" t="str">
        <f t="shared" si="20"/>
        <v/>
      </c>
      <c r="T97" s="12" cm="1">
        <f t="array" aca="1" ref="T97" ca="1">CreateID($T$3,$S97&lt;&gt;"")</f>
        <v>0</v>
      </c>
      <c r="U97" s="12" t="str">
        <f t="shared" si="21"/>
        <v/>
      </c>
      <c r="V97" s="12" cm="1">
        <f t="array" aca="1" ref="V97" ca="1">CreateID($V$3,$U97&lt;&gt;"")</f>
        <v>0</v>
      </c>
      <c r="W97" s="12" cm="1">
        <f t="array" aca="1" ref="W97" ca="1">CreateID($W$3,IFERROR(FIND(Definitions!$AR$4,$H97)&gt;0,FALSE))</f>
        <v>0</v>
      </c>
      <c r="X97" s="12">
        <f>_xlfn.LET(
_xlpm._comment,$H97,
_xlpm._keyWord,Definitions!$AR$4,
_xlpm._diffLen,LEN(_xlpm._comment)-LEN(SUBSTITUTE(_xlpm._comment,_xlpm._keyWord,"")),
_xlpm._diffLen/LEN(_xlpm._keyWord))</f>
        <v>0</v>
      </c>
      <c r="Y97" s="12" cm="1">
        <f t="array" aca="1" ref="Y97" ca="1">CreateID($Y$3,IFERROR(FIND(Definitions!$AR$5,$H97)&gt;0,FALSE))</f>
        <v>0</v>
      </c>
      <c r="Z97" s="12">
        <f>_xlfn.LET(
_xlpm._comment,$H97,
_xlpm._keyWord,Definitions!$AR$5,
_xlpm._diffLen,LEN(_xlpm._comment)-LEN(SUBSTITUTE(_xlpm._comment,_xlpm._keyWord,"")),
_xlpm._diffLen/LEN(_xlpm._keyWord))</f>
        <v>0</v>
      </c>
      <c r="AA97" s="12" t="b">
        <f ca="1">OR(IFERROR(_xlfn.XMATCH("*,"&amp;$B97&amp;",*",Assumptions!$AH:$AH,2)&gt;0,FALSE),
IFERROR(_xlfn.XMATCH("*,"&amp;$B97&amp;",*",Countermeasures!$AK:$AK,2)&gt;0,FALSE))</f>
        <v>0</v>
      </c>
      <c r="AB97" s="12" t="str" cm="1">
        <f t="array" ref="AB97">CreateSearchString($J97)</f>
        <v/>
      </c>
      <c r="AC97" s="12" t="str" cm="1">
        <f t="array" ref="AC97">IF($F97="","",IFERROR(SimpleLookup($F97,Definitions!$H:$J),""))</f>
        <v/>
      </c>
      <c r="AD97" s="12" t="b" cm="1">
        <f t="array" ref="AD97">IF($B97="",FALSE,SimpleLookup($B97,Questions!$A:$D)="x")</f>
        <v>0</v>
      </c>
      <c r="AE97" s="12" t="str" cm="1">
        <f t="array" ref="AE97">IF(OR($B97="",NOT($AD97)),"",SimpleLookup($B97,Questions!$A:$E))</f>
        <v/>
      </c>
      <c r="AF97" s="12" t="str" cm="1">
        <f t="array" ref="AF97">IF(OR($B97="",NOT($AD97)),"",SimpleLookup($B97,Questions!$A:$F))</f>
        <v/>
      </c>
      <c r="AG97" s="12" t="str" cm="1">
        <f t="array" ref="AG97">_xlfn.LET(
_xlpm._answer,$D97,
_xlpm._infoTextFull,IF($AD97,CHAR(10)&amp;SimpleLookup($B97,Questions!$A:$H)&amp;CHAR(10),""),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97" s="12" t="b" cm="1">
        <f t="array" ref="AH97">IF(OR($B97="",NOT($AD97)),FALSE,_xlfn.LET(
_xlpm._secondAnswerRequiredOn,SimpleLookup($B97,Questions!$A:$I),
_xlpm._firstAnwer,$D97,
IFERROR(FIND(CHAR(10)&amp;_xlpm._firstAnwer&amp;":",CHAR(10)&amp;_xlpm._secondAnswerRequiredOn)&gt;0,FALSE)))</f>
        <v>0</v>
      </c>
      <c r="AI97" s="12" t="str" cm="1">
        <f t="array" ref="AI97">IF(OR($B97="",NOT($AD97)),"",_xlfn.LET(
_xlpm._id,$B97,
_xlpm._firstAnswer,$D97,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97" s="12" t="str" cm="1">
        <f t="array" ref="AJ97">IF(OR($B97="",NOT($AD97)),"",_xlfn.LET(
_xlpm._id,$B97,
_xlpm._firstAnswer,$D97,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97" s="12" t="str" cm="1">
        <f t="array" ref="AK97">IF($AH97,_xlfn.LET(
_xlpm._answer,$F97,
_xlpm._infoTextFull,IF($AD97,CHAR(10)&amp;SimpleLookup($B97,Questions!$A:$L)&amp;CHAR(10),""),
_xlpm._startSelectedByAnswerOne,IF(_xlpm._infoTextFull="",0,FIND("___"&amp;$D97&amp;"___",_xlpm._infoTextFull)+LEN("___"&amp;$D97&amp;"___")),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97" s="12" t="b" cm="1">
        <f t="array" ref="AL97">IF(OR($B97="",NOT($AD97)),FALSE,SimpleLookup($B97,Questions!$A:$Q))</f>
        <v>0</v>
      </c>
      <c r="AM97" s="12" t="str" cm="1">
        <f t="array" aca="1" ref="AM97" ca="1">IF(AND($B97=Questions!$A$41,IFERROR(SimpleLookup(Questions!$A$36,$B:$F)=Definitions!$O$5,FALSE),$D97=Definitions!$A$5),
Questions!$A$36&amp;" "&amp;Questions!$B$36&amp;CHAR(10)&amp;CHAR(187)&amp;" "&amp;SimpleLookup(Questions!$A$36,$B:$D)&amp;CHAR(10)&amp;SimpleLookup(Questions!$A$36,$B:$E)&amp;CHAR(10)&amp;CHAR(187)&amp;" "&amp;Definitions!$O$5&amp;CHAR(10)&amp;CHAR(10)&amp;
"is incosistent with"&amp;CHAR(10)&amp;CHAR(10)&amp;
$B97&amp;" "&amp;SimpleLookup($B97,Questions!$A:$B)&amp;CHAR(10)&amp;CHAR(187)&amp;" "&amp;$D97,
"")</f>
        <v/>
      </c>
      <c r="AN97" s="12" cm="1">
        <f t="array" aca="1" ref="AN97" ca="1">CreateID($AN$3,$AM97&lt;&gt;"")</f>
        <v>0</v>
      </c>
      <c r="AO97" s="12" t="str">
        <f ca="1">IF(OR($D97="",OFFSET($D97,1,0)=""),"",
IF(AND($B97=Questions!$A$59,OFFSET($B97,1,0)=Questions!$A$60),
IF(MATCH($D97,Definitions!$AW:$AW,0)&gt;MATCH(OFFSET($D97,1,0),Definitions!AW:AW,0),$B97&amp;" "&amp;$L97&amp;": "&amp;$D97&amp;CHAR(10)&amp;"&lt;---&gt;"&amp;CHAR(10)&amp;OFFSET($B97,1,0)&amp;" "&amp;OFFSET($L97,1,0)&amp;": "&amp;OFFSET($D97,1,0),""),
""))</f>
        <v/>
      </c>
      <c r="AP97" s="12" cm="1">
        <f t="array" aca="1" ref="AP97" ca="1">CreateID($AP$3,$AO97&lt;&gt;"")</f>
        <v>0</v>
      </c>
      <c r="AQ97" s="12" t="str" cm="1">
        <f t="array" ref="AQ97">IF($B97=Questions!$A$18,
  _xlfn.LET(
    _xlpm._impactValue7,IFERROR(SimpleLookup(SimpleLookup($F97,Definitions!$H:$J),Definitions!$Q:$R),0),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"&amp;$F97&amp;CHAR(10)&amp;"&lt;---&gt;"&amp;CHAR(10)&amp;Questions!$A$30&amp;": "&amp;_xlpm._impactName14,
        ""))),
  "")</f>
        <v/>
      </c>
      <c r="AR97" s="12" cm="1">
        <f t="array" aca="1" ref="AR97" ca="1">CreateID($AR$3,$AQ97&lt;&gt;"")</f>
        <v>0</v>
      </c>
    </row>
    <row r="98" spans="10:44" x14ac:dyDescent="0.25">
      <c r="J98" s="12" t="str">
        <f t="shared" si="17"/>
        <v/>
      </c>
      <c r="K98" s="12" t="str">
        <f t="shared" si="18"/>
        <v/>
      </c>
      <c r="L98" s="12" t="e" cm="1">
        <f t="array" aca="1" ref="L98" ca="1">SimpleLookup($B98,Questions!$A:$B)</f>
        <v>#N/A</v>
      </c>
      <c r="M98" s="12" cm="1">
        <f t="array" aca="1" ref="M98" ca="1">CreateID($M$3,AND($B98&lt;&gt;"",$AD98))</f>
        <v>39</v>
      </c>
      <c r="N98" s="12" cm="1">
        <f t="array" ref="N98">CreateTaskID($N$3,$N:$N,Tasks!$B$17,$H98)</f>
        <v>0</v>
      </c>
      <c r="O98" s="12" t="str">
        <f t="shared" si="16"/>
        <v/>
      </c>
      <c r="P98" s="12" cm="1">
        <f t="array" aca="1" ref="P98" ca="1">CreateID($P$3,$O98&lt;&gt;"")</f>
        <v>39</v>
      </c>
      <c r="Q98" s="12" t="str">
        <f t="shared" si="19"/>
        <v/>
      </c>
      <c r="R98" s="12" cm="1">
        <f t="array" aca="1" ref="R98" ca="1">CreateID($R$3,$Q98&lt;&gt;"")</f>
        <v>0</v>
      </c>
      <c r="S98" s="12" t="str">
        <f t="shared" si="20"/>
        <v/>
      </c>
      <c r="T98" s="12" cm="1">
        <f t="array" aca="1" ref="T98" ca="1">CreateID($T$3,$S98&lt;&gt;"")</f>
        <v>0</v>
      </c>
      <c r="U98" s="12" t="str">
        <f t="shared" si="21"/>
        <v/>
      </c>
      <c r="V98" s="12" cm="1">
        <f t="array" aca="1" ref="V98" ca="1">CreateID($V$3,$U98&lt;&gt;"")</f>
        <v>0</v>
      </c>
      <c r="W98" s="12" cm="1">
        <f t="array" aca="1" ref="W98" ca="1">CreateID($W$3,IFERROR(FIND(Definitions!$AR$4,$H98)&gt;0,FALSE))</f>
        <v>0</v>
      </c>
      <c r="X98" s="12">
        <f>_xlfn.LET(
_xlpm._comment,$H98,
_xlpm._keyWord,Definitions!$AR$4,
_xlpm._diffLen,LEN(_xlpm._comment)-LEN(SUBSTITUTE(_xlpm._comment,_xlpm._keyWord,"")),
_xlpm._diffLen/LEN(_xlpm._keyWord))</f>
        <v>0</v>
      </c>
      <c r="Y98" s="12" cm="1">
        <f t="array" aca="1" ref="Y98" ca="1">CreateID($Y$3,IFERROR(FIND(Definitions!$AR$5,$H98)&gt;0,FALSE))</f>
        <v>0</v>
      </c>
      <c r="Z98" s="12">
        <f>_xlfn.LET(
_xlpm._comment,$H98,
_xlpm._keyWord,Definitions!$AR$5,
_xlpm._diffLen,LEN(_xlpm._comment)-LEN(SUBSTITUTE(_xlpm._comment,_xlpm._keyWord,"")),
_xlpm._diffLen/LEN(_xlpm._keyWord))</f>
        <v>0</v>
      </c>
      <c r="AA98" s="12" t="b">
        <f ca="1">OR(IFERROR(_xlfn.XMATCH("*,"&amp;$B98&amp;",*",Assumptions!$AH:$AH,2)&gt;0,FALSE),
IFERROR(_xlfn.XMATCH("*,"&amp;$B98&amp;",*",Countermeasures!$AK:$AK,2)&gt;0,FALSE))</f>
        <v>0</v>
      </c>
      <c r="AB98" s="12" t="str" cm="1">
        <f t="array" ref="AB98">CreateSearchString($J98)</f>
        <v/>
      </c>
      <c r="AC98" s="12" t="str" cm="1">
        <f t="array" ref="AC98">IF($F98="","",IFERROR(SimpleLookup($F98,Definitions!$H:$J),""))</f>
        <v/>
      </c>
      <c r="AD98" s="12" t="b" cm="1">
        <f t="array" ref="AD98">IF($B98="",FALSE,SimpleLookup($B98,Questions!$A:$D)="x")</f>
        <v>0</v>
      </c>
      <c r="AE98" s="12" t="str" cm="1">
        <f t="array" ref="AE98">IF(OR($B98="",NOT($AD98)),"",SimpleLookup($B98,Questions!$A:$E))</f>
        <v/>
      </c>
      <c r="AF98" s="12" t="str" cm="1">
        <f t="array" ref="AF98">IF(OR($B98="",NOT($AD98)),"",SimpleLookup($B98,Questions!$A:$F))</f>
        <v/>
      </c>
      <c r="AG98" s="12" t="str" cm="1">
        <f t="array" ref="AG98">_xlfn.LET(
_xlpm._answer,$D98,
_xlpm._infoTextFull,IF($AD98,CHAR(10)&amp;SimpleLookup($B98,Questions!$A:$H)&amp;CHAR(10),""),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98" s="12" t="b" cm="1">
        <f t="array" ref="AH98">IF(OR($B98="",NOT($AD98)),FALSE,_xlfn.LET(
_xlpm._secondAnswerRequiredOn,SimpleLookup($B98,Questions!$A:$I),
_xlpm._firstAnwer,$D98,
IFERROR(FIND(CHAR(10)&amp;_xlpm._firstAnwer&amp;":",CHAR(10)&amp;_xlpm._secondAnswerRequiredOn)&gt;0,FALSE)))</f>
        <v>0</v>
      </c>
      <c r="AI98" s="12" t="str" cm="1">
        <f t="array" ref="AI98">IF(OR($B98="",NOT($AD98)),"",_xlfn.LET(
_xlpm._id,$B98,
_xlpm._firstAnswer,$D98,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98" s="12" t="str" cm="1">
        <f t="array" ref="AJ98">IF(OR($B98="",NOT($AD98)),"",_xlfn.LET(
_xlpm._id,$B98,
_xlpm._firstAnswer,$D98,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98" s="12" t="str" cm="1">
        <f t="array" ref="AK98">IF($AH98,_xlfn.LET(
_xlpm._answer,$F98,
_xlpm._infoTextFull,IF($AD98,CHAR(10)&amp;SimpleLookup($B98,Questions!$A:$L)&amp;CHAR(10),""),
_xlpm._startSelectedByAnswerOne,IF(_xlpm._infoTextFull="",0,FIND("___"&amp;$D98&amp;"___",_xlpm._infoTextFull)+LEN("___"&amp;$D98&amp;"___")),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98" s="12" t="b" cm="1">
        <f t="array" ref="AL98">IF(OR($B98="",NOT($AD98)),FALSE,SimpleLookup($B98,Questions!$A:$Q))</f>
        <v>0</v>
      </c>
      <c r="AM98" s="12" t="str" cm="1">
        <f t="array" aca="1" ref="AM98" ca="1">IF(AND($B98=Questions!$A$41,IFERROR(SimpleLookup(Questions!$A$36,$B:$F)=Definitions!$O$5,FALSE),$D98=Definitions!$A$5),
Questions!$A$36&amp;" "&amp;Questions!$B$36&amp;CHAR(10)&amp;CHAR(187)&amp;" "&amp;SimpleLookup(Questions!$A$36,$B:$D)&amp;CHAR(10)&amp;SimpleLookup(Questions!$A$36,$B:$E)&amp;CHAR(10)&amp;CHAR(187)&amp;" "&amp;Definitions!$O$5&amp;CHAR(10)&amp;CHAR(10)&amp;
"is incosistent with"&amp;CHAR(10)&amp;CHAR(10)&amp;
$B98&amp;" "&amp;SimpleLookup($B98,Questions!$A:$B)&amp;CHAR(10)&amp;CHAR(187)&amp;" "&amp;$D98,
"")</f>
        <v/>
      </c>
      <c r="AN98" s="12" cm="1">
        <f t="array" aca="1" ref="AN98" ca="1">CreateID($AN$3,$AM98&lt;&gt;"")</f>
        <v>0</v>
      </c>
      <c r="AO98" s="12" t="str">
        <f ca="1">IF(OR($D98="",OFFSET($D98,1,0)=""),"",
IF(AND($B98=Questions!$A$59,OFFSET($B98,1,0)=Questions!$A$60),
IF(MATCH($D98,Definitions!$AW:$AW,0)&gt;MATCH(OFFSET($D98,1,0),Definitions!AW:AW,0),$B98&amp;" "&amp;$L98&amp;": "&amp;$D98&amp;CHAR(10)&amp;"&lt;---&gt;"&amp;CHAR(10)&amp;OFFSET($B98,1,0)&amp;" "&amp;OFFSET($L98,1,0)&amp;": "&amp;OFFSET($D98,1,0),""),
""))</f>
        <v/>
      </c>
      <c r="AP98" s="12" cm="1">
        <f t="array" aca="1" ref="AP98" ca="1">CreateID($AP$3,$AO98&lt;&gt;"")</f>
        <v>0</v>
      </c>
      <c r="AQ98" s="12" t="str" cm="1">
        <f t="array" ref="AQ98">IF($B98=Questions!$A$18,
  _xlfn.LET(
    _xlpm._impactValue7,IFERROR(SimpleLookup(SimpleLookup($F98,Definitions!$H:$J),Definitions!$Q:$R),0),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"&amp;$F98&amp;CHAR(10)&amp;"&lt;---&gt;"&amp;CHAR(10)&amp;Questions!$A$30&amp;": "&amp;_xlpm._impactName14,
        ""))),
  "")</f>
        <v/>
      </c>
      <c r="AR98" s="12" cm="1">
        <f t="array" aca="1" ref="AR98" ca="1">CreateID($AR$3,$AQ98&lt;&gt;"")</f>
        <v>0</v>
      </c>
    </row>
    <row r="99" spans="10:44" x14ac:dyDescent="0.25">
      <c r="J99" s="12" t="str">
        <f t="shared" si="17"/>
        <v/>
      </c>
      <c r="K99" s="12" t="str">
        <f t="shared" si="18"/>
        <v/>
      </c>
      <c r="L99" s="12" t="e" cm="1">
        <f t="array" aca="1" ref="L99" ca="1">SimpleLookup($B99,Questions!$A:$B)</f>
        <v>#N/A</v>
      </c>
      <c r="M99" s="12" cm="1">
        <f t="array" aca="1" ref="M99" ca="1">CreateID($M$3,AND($B99&lt;&gt;"",$AD99))</f>
        <v>39</v>
      </c>
      <c r="N99" s="12" cm="1">
        <f t="array" ref="N99">CreateTaskID($N$3,$N:$N,Tasks!$B$17,$H99)</f>
        <v>0</v>
      </c>
      <c r="O99" s="12" t="str">
        <f t="shared" si="16"/>
        <v/>
      </c>
      <c r="P99" s="12" cm="1">
        <f t="array" aca="1" ref="P99" ca="1">CreateID($P$3,$O99&lt;&gt;"")</f>
        <v>39</v>
      </c>
      <c r="Q99" s="12" t="str">
        <f t="shared" si="19"/>
        <v/>
      </c>
      <c r="R99" s="12" cm="1">
        <f t="array" aca="1" ref="R99" ca="1">CreateID($R$3,$Q99&lt;&gt;"")</f>
        <v>0</v>
      </c>
      <c r="S99" s="12" t="str">
        <f t="shared" si="20"/>
        <v/>
      </c>
      <c r="T99" s="12" cm="1">
        <f t="array" aca="1" ref="T99" ca="1">CreateID($T$3,$S99&lt;&gt;"")</f>
        <v>0</v>
      </c>
      <c r="U99" s="12" t="str">
        <f t="shared" si="21"/>
        <v/>
      </c>
      <c r="V99" s="12" cm="1">
        <f t="array" aca="1" ref="V99" ca="1">CreateID($V$3,$U99&lt;&gt;"")</f>
        <v>0</v>
      </c>
      <c r="W99" s="12" cm="1">
        <f t="array" aca="1" ref="W99" ca="1">CreateID($W$3,IFERROR(FIND(Definitions!$AR$4,$H99)&gt;0,FALSE))</f>
        <v>0</v>
      </c>
      <c r="X99" s="12">
        <f>_xlfn.LET(
_xlpm._comment,$H99,
_xlpm._keyWord,Definitions!$AR$4,
_xlpm._diffLen,LEN(_xlpm._comment)-LEN(SUBSTITUTE(_xlpm._comment,_xlpm._keyWord,"")),
_xlpm._diffLen/LEN(_xlpm._keyWord))</f>
        <v>0</v>
      </c>
      <c r="Y99" s="12" cm="1">
        <f t="array" aca="1" ref="Y99" ca="1">CreateID($Y$3,IFERROR(FIND(Definitions!$AR$5,$H99)&gt;0,FALSE))</f>
        <v>0</v>
      </c>
      <c r="Z99" s="12">
        <f>_xlfn.LET(
_xlpm._comment,$H99,
_xlpm._keyWord,Definitions!$AR$5,
_xlpm._diffLen,LEN(_xlpm._comment)-LEN(SUBSTITUTE(_xlpm._comment,_xlpm._keyWord,"")),
_xlpm._diffLen/LEN(_xlpm._keyWord))</f>
        <v>0</v>
      </c>
      <c r="AA99" s="12" t="b">
        <f ca="1">OR(IFERROR(_xlfn.XMATCH("*,"&amp;$B99&amp;",*",Assumptions!$AH:$AH,2)&gt;0,FALSE),
IFERROR(_xlfn.XMATCH("*,"&amp;$B99&amp;",*",Countermeasures!$AK:$AK,2)&gt;0,FALSE))</f>
        <v>0</v>
      </c>
      <c r="AB99" s="12" t="str" cm="1">
        <f t="array" ref="AB99">CreateSearchString($J99)</f>
        <v/>
      </c>
      <c r="AC99" s="12" t="str" cm="1">
        <f t="array" ref="AC99">IF($F99="","",IFERROR(SimpleLookup($F99,Definitions!$H:$J),""))</f>
        <v/>
      </c>
      <c r="AD99" s="12" t="b" cm="1">
        <f t="array" ref="AD99">IF($B99="",FALSE,SimpleLookup($B99,Questions!$A:$D)="x")</f>
        <v>0</v>
      </c>
      <c r="AE99" s="12" t="str" cm="1">
        <f t="array" ref="AE99">IF(OR($B99="",NOT($AD99)),"",SimpleLookup($B99,Questions!$A:$E))</f>
        <v/>
      </c>
      <c r="AF99" s="12" t="str" cm="1">
        <f t="array" ref="AF99">IF(OR($B99="",NOT($AD99)),"",SimpleLookup($B99,Questions!$A:$F))</f>
        <v/>
      </c>
      <c r="AG99" s="12" t="str" cm="1">
        <f t="array" ref="AG99">_xlfn.LET(
_xlpm._answer,$D99,
_xlpm._infoTextFull,IF($AD99,CHAR(10)&amp;SimpleLookup($B99,Questions!$A:$H)&amp;CHAR(10),""),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99" s="12" t="b" cm="1">
        <f t="array" ref="AH99">IF(OR($B99="",NOT($AD99)),FALSE,_xlfn.LET(
_xlpm._secondAnswerRequiredOn,SimpleLookup($B99,Questions!$A:$I),
_xlpm._firstAnwer,$D99,
IFERROR(FIND(CHAR(10)&amp;_xlpm._firstAnwer&amp;":",CHAR(10)&amp;_xlpm._secondAnswerRequiredOn)&gt;0,FALSE)))</f>
        <v>0</v>
      </c>
      <c r="AI99" s="12" t="str" cm="1">
        <f t="array" ref="AI99">IF(OR($B99="",NOT($AD99)),"",_xlfn.LET(
_xlpm._id,$B99,
_xlpm._firstAnswer,$D99,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99" s="12" t="str" cm="1">
        <f t="array" ref="AJ99">IF(OR($B99="",NOT($AD99)),"",_xlfn.LET(
_xlpm._id,$B99,
_xlpm._firstAnswer,$D99,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99" s="12" t="str" cm="1">
        <f t="array" ref="AK99">IF($AH99,_xlfn.LET(
_xlpm._answer,$F99,
_xlpm._infoTextFull,IF($AD99,CHAR(10)&amp;SimpleLookup($B99,Questions!$A:$L)&amp;CHAR(10),""),
_xlpm._startSelectedByAnswerOne,IF(_xlpm._infoTextFull="",0,FIND("___"&amp;$D99&amp;"___",_xlpm._infoTextFull)+LEN("___"&amp;$D99&amp;"___")),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99" s="12" t="b" cm="1">
        <f t="array" ref="AL99">IF(OR($B99="",NOT($AD99)),FALSE,SimpleLookup($B99,Questions!$A:$Q))</f>
        <v>0</v>
      </c>
      <c r="AM99" s="12" t="str" cm="1">
        <f t="array" aca="1" ref="AM99" ca="1">IF(AND($B99=Questions!$A$41,IFERROR(SimpleLookup(Questions!$A$36,$B:$F)=Definitions!$O$5,FALSE),$D99=Definitions!$A$5),
Questions!$A$36&amp;" "&amp;Questions!$B$36&amp;CHAR(10)&amp;CHAR(187)&amp;" "&amp;SimpleLookup(Questions!$A$36,$B:$D)&amp;CHAR(10)&amp;SimpleLookup(Questions!$A$36,$B:$E)&amp;CHAR(10)&amp;CHAR(187)&amp;" "&amp;Definitions!$O$5&amp;CHAR(10)&amp;CHAR(10)&amp;
"is incosistent with"&amp;CHAR(10)&amp;CHAR(10)&amp;
$B99&amp;" "&amp;SimpleLookup($B99,Questions!$A:$B)&amp;CHAR(10)&amp;CHAR(187)&amp;" "&amp;$D99,
"")</f>
        <v/>
      </c>
      <c r="AN99" s="12" cm="1">
        <f t="array" aca="1" ref="AN99" ca="1">CreateID($AN$3,$AM99&lt;&gt;"")</f>
        <v>0</v>
      </c>
      <c r="AO99" s="12" t="str">
        <f ca="1">IF(OR($D99="",OFFSET($D99,1,0)=""),"",
IF(AND($B99=Questions!$A$59,OFFSET($B99,1,0)=Questions!$A$60),
IF(MATCH($D99,Definitions!$AW:$AW,0)&gt;MATCH(OFFSET($D99,1,0),Definitions!AW:AW,0),$B99&amp;" "&amp;$L99&amp;": "&amp;$D99&amp;CHAR(10)&amp;"&lt;---&gt;"&amp;CHAR(10)&amp;OFFSET($B99,1,0)&amp;" "&amp;OFFSET($L99,1,0)&amp;": "&amp;OFFSET($D99,1,0),""),
""))</f>
        <v/>
      </c>
      <c r="AP99" s="12" cm="1">
        <f t="array" aca="1" ref="AP99" ca="1">CreateID($AP$3,$AO99&lt;&gt;"")</f>
        <v>0</v>
      </c>
      <c r="AQ99" s="12" t="str" cm="1">
        <f t="array" ref="AQ99">IF($B99=Questions!$A$18,
  _xlfn.LET(
    _xlpm._impactValue7,IFERROR(SimpleLookup(SimpleLookup($F99,Definitions!$H:$J),Definitions!$Q:$R),0),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"&amp;$F99&amp;CHAR(10)&amp;"&lt;---&gt;"&amp;CHAR(10)&amp;Questions!$A$30&amp;": "&amp;_xlpm._impactName14,
        ""))),
  "")</f>
        <v/>
      </c>
      <c r="AR99" s="12" cm="1">
        <f t="array" aca="1" ref="AR99" ca="1">CreateID($AR$3,$AQ99&lt;&gt;"")</f>
        <v>0</v>
      </c>
    </row>
    <row r="100" spans="10:44" x14ac:dyDescent="0.25">
      <c r="J100" s="12" t="str">
        <f t="shared" si="17"/>
        <v/>
      </c>
      <c r="K100" s="12" t="str">
        <f t="shared" si="18"/>
        <v/>
      </c>
      <c r="L100" s="12" t="e" cm="1">
        <f t="array" aca="1" ref="L100" ca="1">SimpleLookup($B100,Questions!$A:$B)</f>
        <v>#N/A</v>
      </c>
      <c r="M100" s="12" cm="1">
        <f t="array" aca="1" ref="M100" ca="1">CreateID($M$3,AND($B100&lt;&gt;"",$AD100))</f>
        <v>39</v>
      </c>
      <c r="N100" s="12" cm="1">
        <f t="array" ref="N100">CreateTaskID($N$3,$N:$N,Tasks!$B$17,$H100)</f>
        <v>0</v>
      </c>
      <c r="O100" s="12" t="str">
        <f t="shared" si="16"/>
        <v/>
      </c>
      <c r="P100" s="12" cm="1">
        <f t="array" aca="1" ref="P100" ca="1">CreateID($P$3,$O100&lt;&gt;"")</f>
        <v>39</v>
      </c>
      <c r="Q100" s="12" t="str">
        <f t="shared" si="19"/>
        <v/>
      </c>
      <c r="R100" s="12" cm="1">
        <f t="array" aca="1" ref="R100" ca="1">CreateID($R$3,$Q100&lt;&gt;"")</f>
        <v>0</v>
      </c>
      <c r="S100" s="12" t="str">
        <f t="shared" si="20"/>
        <v/>
      </c>
      <c r="T100" s="12" cm="1">
        <f t="array" aca="1" ref="T100" ca="1">CreateID($T$3,$S100&lt;&gt;"")</f>
        <v>0</v>
      </c>
      <c r="U100" s="12" t="str">
        <f t="shared" si="21"/>
        <v/>
      </c>
      <c r="V100" s="12" cm="1">
        <f t="array" aca="1" ref="V100" ca="1">CreateID($V$3,$U100&lt;&gt;"")</f>
        <v>0</v>
      </c>
      <c r="W100" s="12" cm="1">
        <f t="array" aca="1" ref="W100" ca="1">CreateID($W$3,IFERROR(FIND(Definitions!$AR$4,$H100)&gt;0,FALSE))</f>
        <v>0</v>
      </c>
      <c r="X100" s="12">
        <f>_xlfn.LET(
_xlpm._comment,$H100,
_xlpm._keyWord,Definitions!$AR$4,
_xlpm._diffLen,LEN(_xlpm._comment)-LEN(SUBSTITUTE(_xlpm._comment,_xlpm._keyWord,"")),
_xlpm._diffLen/LEN(_xlpm._keyWord))</f>
        <v>0</v>
      </c>
      <c r="Y100" s="12" cm="1">
        <f t="array" aca="1" ref="Y100" ca="1">CreateID($Y$3,IFERROR(FIND(Definitions!$AR$5,$H100)&gt;0,FALSE))</f>
        <v>0</v>
      </c>
      <c r="Z100" s="12">
        <f>_xlfn.LET(
_xlpm._comment,$H100,
_xlpm._keyWord,Definitions!$AR$5,
_xlpm._diffLen,LEN(_xlpm._comment)-LEN(SUBSTITUTE(_xlpm._comment,_xlpm._keyWord,"")),
_xlpm._diffLen/LEN(_xlpm._keyWord))</f>
        <v>0</v>
      </c>
      <c r="AA100" s="12" t="b">
        <f ca="1">OR(IFERROR(_xlfn.XMATCH("*,"&amp;$B100&amp;",*",Assumptions!$AH:$AH,2)&gt;0,FALSE),
IFERROR(_xlfn.XMATCH("*,"&amp;$B100&amp;",*",Countermeasures!$AK:$AK,2)&gt;0,FALSE))</f>
        <v>0</v>
      </c>
      <c r="AB100" s="12" t="str" cm="1">
        <f t="array" ref="AB100">CreateSearchString($J100)</f>
        <v/>
      </c>
      <c r="AC100" s="12" t="str" cm="1">
        <f t="array" ref="AC100">IF($F100="","",IFERROR(SimpleLookup($F100,Definitions!$H:$J),""))</f>
        <v/>
      </c>
      <c r="AD100" s="12" t="b" cm="1">
        <f t="array" ref="AD100">IF($B100="",FALSE,SimpleLookup($B100,Questions!$A:$D)="x")</f>
        <v>0</v>
      </c>
      <c r="AE100" s="12" t="str" cm="1">
        <f t="array" ref="AE100">IF(OR($B100="",NOT($AD100)),"",SimpleLookup($B100,Questions!$A:$E))</f>
        <v/>
      </c>
      <c r="AF100" s="12" t="str" cm="1">
        <f t="array" ref="AF100">IF(OR($B100="",NOT($AD100)),"",SimpleLookup($B100,Questions!$A:$F))</f>
        <v/>
      </c>
      <c r="AG100" s="12" t="str" cm="1">
        <f t="array" ref="AG100">_xlfn.LET(
_xlpm._answer,$D100,
_xlpm._infoTextFull,IF($AD100,CHAR(10)&amp;SimpleLookup($B100,Questions!$A:$H)&amp;CHAR(10),""),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100" s="12" t="b" cm="1">
        <f t="array" ref="AH100">IF(OR($B100="",NOT($AD100)),FALSE,_xlfn.LET(
_xlpm._secondAnswerRequiredOn,SimpleLookup($B100,Questions!$A:$I),
_xlpm._firstAnwer,$D100,
IFERROR(FIND(CHAR(10)&amp;_xlpm._firstAnwer&amp;":",CHAR(10)&amp;_xlpm._secondAnswerRequiredOn)&gt;0,FALSE)))</f>
        <v>0</v>
      </c>
      <c r="AI100" s="12" t="str" cm="1">
        <f t="array" ref="AI100">IF(OR($B100="",NOT($AD100)),"",_xlfn.LET(
_xlpm._id,$B100,
_xlpm._firstAnswer,$D100,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100" s="12" t="str" cm="1">
        <f t="array" ref="AJ100">IF(OR($B100="",NOT($AD100)),"",_xlfn.LET(
_xlpm._id,$B100,
_xlpm._firstAnswer,$D100,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100" s="12" t="str" cm="1">
        <f t="array" ref="AK100">IF($AH100,_xlfn.LET(
_xlpm._answer,$F100,
_xlpm._infoTextFull,IF($AD100,CHAR(10)&amp;SimpleLookup($B100,Questions!$A:$L)&amp;CHAR(10),""),
_xlpm._startSelectedByAnswerOne,IF(_xlpm._infoTextFull="",0,FIND("___"&amp;$D100&amp;"___",_xlpm._infoTextFull)+LEN("___"&amp;$D100&amp;"___")),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100" s="12" t="b" cm="1">
        <f t="array" ref="AL100">IF(OR($B100="",NOT($AD100)),FALSE,SimpleLookup($B100,Questions!$A:$Q))</f>
        <v>0</v>
      </c>
      <c r="AM100" s="12" t="str" cm="1">
        <f t="array" aca="1" ref="AM100" ca="1">IF(AND($B100=Questions!$A$41,IFERROR(SimpleLookup(Questions!$A$36,$B:$F)=Definitions!$O$5,FALSE),$D100=Definitions!$A$5),
Questions!$A$36&amp;" "&amp;Questions!$B$36&amp;CHAR(10)&amp;CHAR(187)&amp;" "&amp;SimpleLookup(Questions!$A$36,$B:$D)&amp;CHAR(10)&amp;SimpleLookup(Questions!$A$36,$B:$E)&amp;CHAR(10)&amp;CHAR(187)&amp;" "&amp;Definitions!$O$5&amp;CHAR(10)&amp;CHAR(10)&amp;
"is incosistent with"&amp;CHAR(10)&amp;CHAR(10)&amp;
$B100&amp;" "&amp;SimpleLookup($B100,Questions!$A:$B)&amp;CHAR(10)&amp;CHAR(187)&amp;" "&amp;$D100,
"")</f>
        <v/>
      </c>
      <c r="AN100" s="12" cm="1">
        <f t="array" aca="1" ref="AN100" ca="1">CreateID($AN$3,$AM100&lt;&gt;"")</f>
        <v>0</v>
      </c>
      <c r="AO100" s="12" t="str">
        <f ca="1">IF(OR($D100="",OFFSET($D100,1,0)=""),"",
IF(AND($B100=Questions!$A$59,OFFSET($B100,1,0)=Questions!$A$60),
IF(MATCH($D100,Definitions!$AW:$AW,0)&gt;MATCH(OFFSET($D100,1,0),Definitions!AW:AW,0),$B100&amp;" "&amp;$L100&amp;": "&amp;$D100&amp;CHAR(10)&amp;"&lt;---&gt;"&amp;CHAR(10)&amp;OFFSET($B100,1,0)&amp;" "&amp;OFFSET($L100,1,0)&amp;": "&amp;OFFSET($D100,1,0),""),
""))</f>
        <v/>
      </c>
      <c r="AP100" s="12" cm="1">
        <f t="array" aca="1" ref="AP100" ca="1">CreateID($AP$3,$AO100&lt;&gt;"")</f>
        <v>0</v>
      </c>
      <c r="AQ100" s="12" t="str" cm="1">
        <f t="array" ref="AQ100">IF($B100=Questions!$A$18,
  _xlfn.LET(
    _xlpm._impactValue7,IFERROR(SimpleLookup(SimpleLookup($F100,Definitions!$H:$J),Definitions!$Q:$R),0),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"&amp;$F100&amp;CHAR(10)&amp;"&lt;---&gt;"&amp;CHAR(10)&amp;Questions!$A$30&amp;": "&amp;_xlpm._impactName14,
        ""))),
  "")</f>
        <v/>
      </c>
      <c r="AR100" s="12" cm="1">
        <f t="array" aca="1" ref="AR100" ca="1">CreateID($AR$3,$AQ100&lt;&gt;"")</f>
        <v>0</v>
      </c>
    </row>
    <row r="101" spans="10:44" x14ac:dyDescent="0.25">
      <c r="J101" s="12" t="str">
        <f t="shared" si="17"/>
        <v/>
      </c>
      <c r="K101" s="12" t="str">
        <f t="shared" si="18"/>
        <v/>
      </c>
      <c r="L101" s="12" t="e" cm="1">
        <f t="array" aca="1" ref="L101" ca="1">SimpleLookup($B101,Questions!$A:$B)</f>
        <v>#N/A</v>
      </c>
      <c r="M101" s="12" cm="1">
        <f t="array" aca="1" ref="M101" ca="1">CreateID($M$3,AND($B101&lt;&gt;"",$AD101))</f>
        <v>39</v>
      </c>
      <c r="N101" s="12" cm="1">
        <f t="array" ref="N101">CreateTaskID($N$3,$N:$N,Tasks!$B$17,$H101)</f>
        <v>0</v>
      </c>
      <c r="O101" s="12" t="str">
        <f t="shared" si="16"/>
        <v/>
      </c>
      <c r="P101" s="12" cm="1">
        <f t="array" aca="1" ref="P101" ca="1">CreateID($P$3,$O101&lt;&gt;"")</f>
        <v>39</v>
      </c>
      <c r="Q101" s="12" t="str">
        <f t="shared" si="19"/>
        <v/>
      </c>
      <c r="R101" s="12" cm="1">
        <f t="array" aca="1" ref="R101" ca="1">CreateID($R$3,$Q101&lt;&gt;"")</f>
        <v>0</v>
      </c>
      <c r="S101" s="12" t="str">
        <f t="shared" si="20"/>
        <v/>
      </c>
      <c r="T101" s="12" cm="1">
        <f t="array" aca="1" ref="T101" ca="1">CreateID($T$3,$S101&lt;&gt;"")</f>
        <v>0</v>
      </c>
      <c r="U101" s="12" t="str">
        <f t="shared" si="21"/>
        <v/>
      </c>
      <c r="V101" s="12" cm="1">
        <f t="array" aca="1" ref="V101" ca="1">CreateID($V$3,$U101&lt;&gt;"")</f>
        <v>0</v>
      </c>
      <c r="W101" s="12" cm="1">
        <f t="array" aca="1" ref="W101" ca="1">CreateID($W$3,IFERROR(FIND(Definitions!$AR$4,$H101)&gt;0,FALSE))</f>
        <v>0</v>
      </c>
      <c r="X101" s="12">
        <f>_xlfn.LET(
_xlpm._comment,$H101,
_xlpm._keyWord,Definitions!$AR$4,
_xlpm._diffLen,LEN(_xlpm._comment)-LEN(SUBSTITUTE(_xlpm._comment,_xlpm._keyWord,"")),
_xlpm._diffLen/LEN(_xlpm._keyWord))</f>
        <v>0</v>
      </c>
      <c r="Y101" s="12" cm="1">
        <f t="array" aca="1" ref="Y101" ca="1">CreateID($Y$3,IFERROR(FIND(Definitions!$AR$5,$H101)&gt;0,FALSE))</f>
        <v>0</v>
      </c>
      <c r="Z101" s="12">
        <f>_xlfn.LET(
_xlpm._comment,$H101,
_xlpm._keyWord,Definitions!$AR$5,
_xlpm._diffLen,LEN(_xlpm._comment)-LEN(SUBSTITUTE(_xlpm._comment,_xlpm._keyWord,"")),
_xlpm._diffLen/LEN(_xlpm._keyWord))</f>
        <v>0</v>
      </c>
      <c r="AA101" s="12" t="b">
        <f ca="1">OR(IFERROR(_xlfn.XMATCH("*,"&amp;$B101&amp;",*",Assumptions!$AH:$AH,2)&gt;0,FALSE),
IFERROR(_xlfn.XMATCH("*,"&amp;$B101&amp;",*",Countermeasures!$AK:$AK,2)&gt;0,FALSE))</f>
        <v>0</v>
      </c>
      <c r="AB101" s="12" t="str" cm="1">
        <f t="array" ref="AB101">CreateSearchString($J101)</f>
        <v/>
      </c>
      <c r="AC101" s="12" t="str" cm="1">
        <f t="array" ref="AC101">IF($F101="","",IFERROR(SimpleLookup($F101,Definitions!$H:$J),""))</f>
        <v/>
      </c>
      <c r="AD101" s="12" t="b" cm="1">
        <f t="array" ref="AD101">IF($B101="",FALSE,SimpleLookup($B101,Questions!$A:$D)="x")</f>
        <v>0</v>
      </c>
      <c r="AE101" s="12" t="str" cm="1">
        <f t="array" ref="AE101">IF(OR($B101="",NOT($AD101)),"",SimpleLookup($B101,Questions!$A:$E))</f>
        <v/>
      </c>
      <c r="AF101" s="12" t="str" cm="1">
        <f t="array" ref="AF101">IF(OR($B101="",NOT($AD101)),"",SimpleLookup($B101,Questions!$A:$F))</f>
        <v/>
      </c>
      <c r="AG101" s="12" t="str" cm="1">
        <f t="array" ref="AG101">_xlfn.LET(
_xlpm._answer,$D101,
_xlpm._infoTextFull,IF($AD101,CHAR(10)&amp;SimpleLookup($B101,Questions!$A:$H)&amp;CHAR(10),""),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101" s="12" t="b" cm="1">
        <f t="array" ref="AH101">IF(OR($B101="",NOT($AD101)),FALSE,_xlfn.LET(
_xlpm._secondAnswerRequiredOn,SimpleLookup($B101,Questions!$A:$I),
_xlpm._firstAnwer,$D101,
IFERROR(FIND(CHAR(10)&amp;_xlpm._firstAnwer&amp;":",CHAR(10)&amp;_xlpm._secondAnswerRequiredOn)&gt;0,FALSE)))</f>
        <v>0</v>
      </c>
      <c r="AI101" s="12" t="str" cm="1">
        <f t="array" ref="AI101">IF(OR($B101="",NOT($AD101)),"",_xlfn.LET(
_xlpm._id,$B101,
_xlpm._firstAnswer,$D101,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101" s="12" t="str" cm="1">
        <f t="array" ref="AJ101">IF(OR($B101="",NOT($AD101)),"",_xlfn.LET(
_xlpm._id,$B101,
_xlpm._firstAnswer,$D101,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101" s="12" t="str" cm="1">
        <f t="array" ref="AK101">IF($AH101,_xlfn.LET(
_xlpm._answer,$F101,
_xlpm._infoTextFull,IF($AD101,CHAR(10)&amp;SimpleLookup($B101,Questions!$A:$L)&amp;CHAR(10),""),
_xlpm._startSelectedByAnswerOne,IF(_xlpm._infoTextFull="",0,FIND("___"&amp;$D101&amp;"___",_xlpm._infoTextFull)+LEN("___"&amp;$D101&amp;"___")),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101" s="12" t="b" cm="1">
        <f t="array" ref="AL101">IF(OR($B101="",NOT($AD101)),FALSE,SimpleLookup($B101,Questions!$A:$Q))</f>
        <v>0</v>
      </c>
      <c r="AM101" s="12" t="str" cm="1">
        <f t="array" aca="1" ref="AM101" ca="1">IF(AND($B101=Questions!$A$41,IFERROR(SimpleLookup(Questions!$A$36,$B:$F)=Definitions!$O$5,FALSE),$D101=Definitions!$A$5),
Questions!$A$36&amp;" "&amp;Questions!$B$36&amp;CHAR(10)&amp;CHAR(187)&amp;" "&amp;SimpleLookup(Questions!$A$36,$B:$D)&amp;CHAR(10)&amp;SimpleLookup(Questions!$A$36,$B:$E)&amp;CHAR(10)&amp;CHAR(187)&amp;" "&amp;Definitions!$O$5&amp;CHAR(10)&amp;CHAR(10)&amp;
"is incosistent with"&amp;CHAR(10)&amp;CHAR(10)&amp;
$B101&amp;" "&amp;SimpleLookup($B101,Questions!$A:$B)&amp;CHAR(10)&amp;CHAR(187)&amp;" "&amp;$D101,
"")</f>
        <v/>
      </c>
      <c r="AN101" s="12" cm="1">
        <f t="array" aca="1" ref="AN101" ca="1">CreateID($AN$3,$AM101&lt;&gt;"")</f>
        <v>0</v>
      </c>
      <c r="AO101" s="12" t="str">
        <f ca="1">IF(OR($D101="",OFFSET($D101,1,0)=""),"",
IF(AND($B101=Questions!$A$59,OFFSET($B101,1,0)=Questions!$A$60),
IF(MATCH($D101,Definitions!$AW:$AW,0)&gt;MATCH(OFFSET($D101,1,0),Definitions!AW:AW,0),$B101&amp;" "&amp;$L101&amp;": "&amp;$D101&amp;CHAR(10)&amp;"&lt;---&gt;"&amp;CHAR(10)&amp;OFFSET($B101,1,0)&amp;" "&amp;OFFSET($L101,1,0)&amp;": "&amp;OFFSET($D101,1,0),""),
""))</f>
        <v/>
      </c>
      <c r="AP101" s="12" cm="1">
        <f t="array" aca="1" ref="AP101" ca="1">CreateID($AP$3,$AO101&lt;&gt;"")</f>
        <v>0</v>
      </c>
      <c r="AQ101" s="12" t="str" cm="1">
        <f t="array" ref="AQ101">IF($B101=Questions!$A$18,
  _xlfn.LET(
    _xlpm._impactValue7,IFERROR(SimpleLookup(SimpleLookup($F101,Definitions!$H:$J),Definitions!$Q:$R),0),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"&amp;$F101&amp;CHAR(10)&amp;"&lt;---&gt;"&amp;CHAR(10)&amp;Questions!$A$30&amp;": "&amp;_xlpm._impactName14,
        ""))),
  "")</f>
        <v/>
      </c>
      <c r="AR101" s="12" cm="1">
        <f t="array" aca="1" ref="AR101" ca="1">CreateID($AR$3,$AQ101&lt;&gt;"")</f>
        <v>0</v>
      </c>
    </row>
    <row r="102" spans="10:44" x14ac:dyDescent="0.25">
      <c r="J102" s="12" t="str">
        <f t="shared" si="17"/>
        <v/>
      </c>
      <c r="K102" s="12" t="str">
        <f t="shared" si="18"/>
        <v/>
      </c>
      <c r="L102" s="12" t="e" cm="1">
        <f t="array" aca="1" ref="L102" ca="1">SimpleLookup($B102,Questions!$A:$B)</f>
        <v>#N/A</v>
      </c>
      <c r="M102" s="12" cm="1">
        <f t="array" aca="1" ref="M102" ca="1">CreateID($M$3,AND($B102&lt;&gt;"",$AD102))</f>
        <v>39</v>
      </c>
      <c r="N102" s="12" cm="1">
        <f t="array" ref="N102">CreateTaskID($N$3,$N:$N,Tasks!$B$17,$H102)</f>
        <v>0</v>
      </c>
      <c r="O102" s="12" t="str">
        <f t="shared" si="16"/>
        <v/>
      </c>
      <c r="P102" s="12" cm="1">
        <f t="array" aca="1" ref="P102" ca="1">CreateID($P$3,$O102&lt;&gt;"")</f>
        <v>39</v>
      </c>
      <c r="Q102" s="12" t="str">
        <f t="shared" si="19"/>
        <v/>
      </c>
      <c r="R102" s="12" cm="1">
        <f t="array" aca="1" ref="R102" ca="1">CreateID($R$3,$Q102&lt;&gt;"")</f>
        <v>0</v>
      </c>
      <c r="S102" s="12" t="str">
        <f t="shared" si="20"/>
        <v/>
      </c>
      <c r="T102" s="12" cm="1">
        <f t="array" aca="1" ref="T102" ca="1">CreateID($T$3,$S102&lt;&gt;"")</f>
        <v>0</v>
      </c>
      <c r="U102" s="12" t="str">
        <f t="shared" si="21"/>
        <v/>
      </c>
      <c r="V102" s="12" cm="1">
        <f t="array" aca="1" ref="V102" ca="1">CreateID($V$3,$U102&lt;&gt;"")</f>
        <v>0</v>
      </c>
      <c r="W102" s="12" cm="1">
        <f t="array" aca="1" ref="W102" ca="1">CreateID($W$3,IFERROR(FIND(Definitions!$AR$4,$H102)&gt;0,FALSE))</f>
        <v>0</v>
      </c>
      <c r="X102" s="12">
        <f>_xlfn.LET(
_xlpm._comment,$H102,
_xlpm._keyWord,Definitions!$AR$4,
_xlpm._diffLen,LEN(_xlpm._comment)-LEN(SUBSTITUTE(_xlpm._comment,_xlpm._keyWord,"")),
_xlpm._diffLen/LEN(_xlpm._keyWord))</f>
        <v>0</v>
      </c>
      <c r="Y102" s="12" cm="1">
        <f t="array" aca="1" ref="Y102" ca="1">CreateID($Y$3,IFERROR(FIND(Definitions!$AR$5,$H102)&gt;0,FALSE))</f>
        <v>0</v>
      </c>
      <c r="Z102" s="12">
        <f>_xlfn.LET(
_xlpm._comment,$H102,
_xlpm._keyWord,Definitions!$AR$5,
_xlpm._diffLen,LEN(_xlpm._comment)-LEN(SUBSTITUTE(_xlpm._comment,_xlpm._keyWord,"")),
_xlpm._diffLen/LEN(_xlpm._keyWord))</f>
        <v>0</v>
      </c>
      <c r="AA102" s="12" t="b">
        <f ca="1">OR(IFERROR(_xlfn.XMATCH("*,"&amp;$B102&amp;",*",Assumptions!$AH:$AH,2)&gt;0,FALSE),
IFERROR(_xlfn.XMATCH("*,"&amp;$B102&amp;",*",Countermeasures!$AK:$AK,2)&gt;0,FALSE))</f>
        <v>0</v>
      </c>
      <c r="AB102" s="12" t="str" cm="1">
        <f t="array" ref="AB102">CreateSearchString($J102)</f>
        <v/>
      </c>
      <c r="AC102" s="12" t="str" cm="1">
        <f t="array" ref="AC102">IF($F102="","",IFERROR(SimpleLookup($F102,Definitions!$H:$J),""))</f>
        <v/>
      </c>
      <c r="AD102" s="12" t="b" cm="1">
        <f t="array" ref="AD102">IF($B102="",FALSE,SimpleLookup($B102,Questions!$A:$D)="x")</f>
        <v>0</v>
      </c>
      <c r="AE102" s="12" t="str" cm="1">
        <f t="array" ref="AE102">IF(OR($B102="",NOT($AD102)),"",SimpleLookup($B102,Questions!$A:$E))</f>
        <v/>
      </c>
      <c r="AF102" s="12" t="str" cm="1">
        <f t="array" ref="AF102">IF(OR($B102="",NOT($AD102)),"",SimpleLookup($B102,Questions!$A:$F))</f>
        <v/>
      </c>
      <c r="AG102" s="12" t="str" cm="1">
        <f t="array" ref="AG102">_xlfn.LET(
_xlpm._answer,$D102,
_xlpm._infoTextFull,IF($AD102,CHAR(10)&amp;SimpleLookup($B102,Questions!$A:$H)&amp;CHAR(10),""),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102" s="12" t="b" cm="1">
        <f t="array" ref="AH102">IF(OR($B102="",NOT($AD102)),FALSE,_xlfn.LET(
_xlpm._secondAnswerRequiredOn,SimpleLookup($B102,Questions!$A:$I),
_xlpm._firstAnwer,$D102,
IFERROR(FIND(CHAR(10)&amp;_xlpm._firstAnwer&amp;":",CHAR(10)&amp;_xlpm._secondAnswerRequiredOn)&gt;0,FALSE)))</f>
        <v>0</v>
      </c>
      <c r="AI102" s="12" t="str" cm="1">
        <f t="array" ref="AI102">IF(OR($B102="",NOT($AD102)),"",_xlfn.LET(
_xlpm._id,$B102,
_xlpm._firstAnswer,$D102,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102" s="12" t="str" cm="1">
        <f t="array" ref="AJ102">IF(OR($B102="",NOT($AD102)),"",_xlfn.LET(
_xlpm._id,$B102,
_xlpm._firstAnswer,$D102,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102" s="12" t="str" cm="1">
        <f t="array" ref="AK102">IF($AH102,_xlfn.LET(
_xlpm._answer,$F102,
_xlpm._infoTextFull,IF($AD102,CHAR(10)&amp;SimpleLookup($B102,Questions!$A:$L)&amp;CHAR(10),""),
_xlpm._startSelectedByAnswerOne,IF(_xlpm._infoTextFull="",0,FIND("___"&amp;$D102&amp;"___",_xlpm._infoTextFull)+LEN("___"&amp;$D102&amp;"___")),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102" s="12" t="b" cm="1">
        <f t="array" ref="AL102">IF(OR($B102="",NOT($AD102)),FALSE,SimpleLookup($B102,Questions!$A:$Q))</f>
        <v>0</v>
      </c>
      <c r="AM102" s="12" t="str" cm="1">
        <f t="array" aca="1" ref="AM102" ca="1">IF(AND($B102=Questions!$A$41,IFERROR(SimpleLookup(Questions!$A$36,$B:$F)=Definitions!$O$5,FALSE),$D102=Definitions!$A$5),
Questions!$A$36&amp;" "&amp;Questions!$B$36&amp;CHAR(10)&amp;CHAR(187)&amp;" "&amp;SimpleLookup(Questions!$A$36,$B:$D)&amp;CHAR(10)&amp;SimpleLookup(Questions!$A$36,$B:$E)&amp;CHAR(10)&amp;CHAR(187)&amp;" "&amp;Definitions!$O$5&amp;CHAR(10)&amp;CHAR(10)&amp;
"is incosistent with"&amp;CHAR(10)&amp;CHAR(10)&amp;
$B102&amp;" "&amp;SimpleLookup($B102,Questions!$A:$B)&amp;CHAR(10)&amp;CHAR(187)&amp;" "&amp;$D102,
"")</f>
        <v/>
      </c>
      <c r="AN102" s="12" cm="1">
        <f t="array" aca="1" ref="AN102" ca="1">CreateID($AN$3,$AM102&lt;&gt;"")</f>
        <v>0</v>
      </c>
      <c r="AO102" s="12" t="str">
        <f ca="1">IF(OR($D102="",OFFSET($D102,1,0)=""),"",
IF(AND($B102=Questions!$A$59,OFFSET($B102,1,0)=Questions!$A$60),
IF(MATCH($D102,Definitions!$AW:$AW,0)&gt;MATCH(OFFSET($D102,1,0),Definitions!AW:AW,0),$B102&amp;" "&amp;$L102&amp;": "&amp;$D102&amp;CHAR(10)&amp;"&lt;---&gt;"&amp;CHAR(10)&amp;OFFSET($B102,1,0)&amp;" "&amp;OFFSET($L102,1,0)&amp;": "&amp;OFFSET($D102,1,0),""),
""))</f>
        <v/>
      </c>
      <c r="AP102" s="12" cm="1">
        <f t="array" aca="1" ref="AP102" ca="1">CreateID($AP$3,$AO102&lt;&gt;"")</f>
        <v>0</v>
      </c>
      <c r="AQ102" s="12" t="str" cm="1">
        <f t="array" ref="AQ102">IF($B102=Questions!$A$18,
  _xlfn.LET(
    _xlpm._impactValue7,IFERROR(SimpleLookup(SimpleLookup($F102,Definitions!$H:$J),Definitions!$Q:$R),0),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"&amp;$F102&amp;CHAR(10)&amp;"&lt;---&gt;"&amp;CHAR(10)&amp;Questions!$A$30&amp;": "&amp;_xlpm._impactName14,
        ""))),
  "")</f>
        <v/>
      </c>
      <c r="AR102" s="12" cm="1">
        <f t="array" aca="1" ref="AR102" ca="1">CreateID($AR$3,$AQ102&lt;&gt;"")</f>
        <v>0</v>
      </c>
    </row>
    <row r="103" spans="10:44" x14ac:dyDescent="0.25">
      <c r="J103" s="12" t="str">
        <f t="shared" si="17"/>
        <v/>
      </c>
      <c r="K103" s="12" t="str">
        <f t="shared" si="18"/>
        <v/>
      </c>
      <c r="L103" s="12" t="e" cm="1">
        <f t="array" aca="1" ref="L103" ca="1">SimpleLookup($B103,Questions!$A:$B)</f>
        <v>#N/A</v>
      </c>
      <c r="M103" s="12" cm="1">
        <f t="array" aca="1" ref="M103" ca="1">CreateID($M$3,AND($B103&lt;&gt;"",$AD103))</f>
        <v>39</v>
      </c>
      <c r="N103" s="12" cm="1">
        <f t="array" ref="N103">CreateTaskID($N$3,$N:$N,Tasks!$B$17,$H103)</f>
        <v>0</v>
      </c>
      <c r="O103" s="12" t="str">
        <f t="shared" si="16"/>
        <v/>
      </c>
      <c r="P103" s="12" cm="1">
        <f t="array" aca="1" ref="P103" ca="1">CreateID($P$3,$O103&lt;&gt;"")</f>
        <v>39</v>
      </c>
      <c r="Q103" s="12" t="str">
        <f t="shared" si="19"/>
        <v/>
      </c>
      <c r="R103" s="12" cm="1">
        <f t="array" aca="1" ref="R103" ca="1">CreateID($R$3,$Q103&lt;&gt;"")</f>
        <v>0</v>
      </c>
      <c r="S103" s="12" t="str">
        <f t="shared" si="20"/>
        <v/>
      </c>
      <c r="T103" s="12" cm="1">
        <f t="array" aca="1" ref="T103" ca="1">CreateID($T$3,$S103&lt;&gt;"")</f>
        <v>0</v>
      </c>
      <c r="U103" s="12" t="str">
        <f t="shared" si="21"/>
        <v/>
      </c>
      <c r="V103" s="12" cm="1">
        <f t="array" aca="1" ref="V103" ca="1">CreateID($V$3,$U103&lt;&gt;"")</f>
        <v>0</v>
      </c>
      <c r="W103" s="12" cm="1">
        <f t="array" aca="1" ref="W103" ca="1">CreateID($W$3,IFERROR(FIND(Definitions!$AR$4,$H103)&gt;0,FALSE))</f>
        <v>0</v>
      </c>
      <c r="X103" s="12">
        <f>_xlfn.LET(
_xlpm._comment,$H103,
_xlpm._keyWord,Definitions!$AR$4,
_xlpm._diffLen,LEN(_xlpm._comment)-LEN(SUBSTITUTE(_xlpm._comment,_xlpm._keyWord,"")),
_xlpm._diffLen/LEN(_xlpm._keyWord))</f>
        <v>0</v>
      </c>
      <c r="Y103" s="12" cm="1">
        <f t="array" aca="1" ref="Y103" ca="1">CreateID($Y$3,IFERROR(FIND(Definitions!$AR$5,$H103)&gt;0,FALSE))</f>
        <v>0</v>
      </c>
      <c r="Z103" s="12">
        <f>_xlfn.LET(
_xlpm._comment,$H103,
_xlpm._keyWord,Definitions!$AR$5,
_xlpm._diffLen,LEN(_xlpm._comment)-LEN(SUBSTITUTE(_xlpm._comment,_xlpm._keyWord,"")),
_xlpm._diffLen/LEN(_xlpm._keyWord))</f>
        <v>0</v>
      </c>
      <c r="AA103" s="12" t="b">
        <f ca="1">OR(IFERROR(_xlfn.XMATCH("*,"&amp;$B103&amp;",*",Assumptions!$AH:$AH,2)&gt;0,FALSE),
IFERROR(_xlfn.XMATCH("*,"&amp;$B103&amp;",*",Countermeasures!$AK:$AK,2)&gt;0,FALSE))</f>
        <v>0</v>
      </c>
      <c r="AB103" s="12" t="str" cm="1">
        <f t="array" ref="AB103">CreateSearchString($J103)</f>
        <v/>
      </c>
      <c r="AC103" s="12" t="str" cm="1">
        <f t="array" ref="AC103">IF($F103="","",IFERROR(SimpleLookup($F103,Definitions!$H:$J),""))</f>
        <v/>
      </c>
      <c r="AD103" s="12" t="b" cm="1">
        <f t="array" ref="AD103">IF($B103="",FALSE,SimpleLookup($B103,Questions!$A:$D)="x")</f>
        <v>0</v>
      </c>
      <c r="AE103" s="12" t="str" cm="1">
        <f t="array" ref="AE103">IF(OR($B103="",NOT($AD103)),"",SimpleLookup($B103,Questions!$A:$E))</f>
        <v/>
      </c>
      <c r="AF103" s="12" t="str" cm="1">
        <f t="array" ref="AF103">IF(OR($B103="",NOT($AD103)),"",SimpleLookup($B103,Questions!$A:$F))</f>
        <v/>
      </c>
      <c r="AG103" s="12" t="str" cm="1">
        <f t="array" ref="AG103">_xlfn.LET(
_xlpm._answer,$D103,
_xlpm._infoTextFull,IF($AD103,CHAR(10)&amp;SimpleLookup($B103,Questions!$A:$H)&amp;CHAR(10),""),
IF(_xlpm._answer="","",_xlfn.LET(
_xlpm._start,FIND(CHAR(10)&amp;_xlpm._answer&amp;":",_xlpm._infoTextFull)+LEN(CHAR(10)&amp;_xlpm._answer&amp;":"),
_xlpm._end,FIND(CHAR(10),_xlpm._infoTextFull,_xlpm._start)-_xlpm._start,
_xlpm._textForAnswer,MID(_xlpm._infoTextFull,_xlpm._start,_xlpm._end),
IFERROR(TRIM(_xlpm._textForAnswer),"Error: No information text for answer "&amp;_xlpm._answer&amp;" defined."))))</f>
        <v/>
      </c>
      <c r="AH103" s="12" t="b" cm="1">
        <f t="array" ref="AH103">IF(OR($B103="",NOT($AD103)),FALSE,_xlfn.LET(
_xlpm._secondAnswerRequiredOn,SimpleLookup($B103,Questions!$A:$I),
_xlpm._firstAnwer,$D103,
IFERROR(FIND(CHAR(10)&amp;_xlpm._firstAnwer&amp;":",CHAR(10)&amp;_xlpm._secondAnswerRequiredOn)&gt;0,FALSE)))</f>
        <v>0</v>
      </c>
      <c r="AI103" s="12" t="str" cm="1">
        <f t="array" ref="AI103">IF(OR($B103="",NOT($AD103)),"",_xlfn.LET(
_xlpm._id,$B103,
_xlpm._firstAnswer,$D103,
_xlpm._optionsHeaders,SimpleLookup(_xlpm._id,Questions!$A:$I)&amp;CHAR(10),
_xlpm._startPos,IFERROR(FIND(_xlpm._firstAnswer&amp;":",_xlpm._optionsHeaders),0),
_xlpm._endPos,IF(_xlpm._startPos=0,0,FIND(CHAR(10),_xlpm._optionsHeaders,_xlpm._startPos)),
_xlpm._optionSelected,IF(_xlpm._startPos=0,"",MID(_xlpm._optionsHeaders,_xlpm._startPos,_xlpm._endPos-_xlpm._startPos)),
TRIM(SUBSTITUTE(_xlpm._optionSelected,_xlpm._firstAnswer&amp;":",""))))</f>
        <v/>
      </c>
      <c r="AJ103" s="12" t="str" cm="1">
        <f t="array" ref="AJ103">IF(OR($B103="",NOT($AD103)),"",_xlfn.LET(
_xlpm._id,$B103,
_xlpm._firstAnswer,$D103,
_xlpm._optionsHeaders,SimpleLookup(_xlpm._id,Questions!$A:$J)&amp;CHAR(10),
_xlpm._startPos,IFERROR(FIND(_xlpm._firstAnswer&amp;":",_xlpm._optionsHeaders),0),
_xlpm._endPos,IF(_xlpm._startPos=0,0,FIND(CHAR(10),_xlpm._optionsHeaders,_xlpm._startPos)),
_xlpm._optionSelected,IF(_xlpm._startPos=0,"",MID(_xlpm._optionsHeaders,_xlpm._startPos,_xlpm._endPos-_xlpm._startPos)),
IF(_xlpm._optionSelected="","",VALUE(TRIM(SUBSTITUTE(_xlpm._optionSelected,_xlpm._firstAnswer&amp;":",""))))))</f>
        <v/>
      </c>
      <c r="AK103" s="12" t="str" cm="1">
        <f t="array" ref="AK103">IF($AH103,_xlfn.LET(
_xlpm._answer,$F103,
_xlpm._infoTextFull,IF($AD103,CHAR(10)&amp;SimpleLookup($B103,Questions!$A:$L)&amp;CHAR(10),""),
_xlpm._startSelectedByAnswerOne,IF(_xlpm._infoTextFull="",0,FIND("___"&amp;$D103&amp;"___",_xlpm._infoTextFull)+LEN("___"&amp;$D103&amp;"___")),
_xlpm._endSelectedByAnswerOne,IF(_xlpm._infoTextFull="",0,FIND("___",_xlpm._infoTextFull&amp;"___",_xlpm._startSelectedByAnswerOne)),
_xlpm._infoTextMatchingFirstAnswer,IF(_xlpm._infoTextFull="","",MID(_xlpm._infoTextFull,_xlpm._startSelectedByAnswerOne,_xlpm._endSelectedByAnswerOne-_xlpm._startSelectedByAnswerOne)),
_xlpm._inforTextWithoutStar,SUBSTITUTE(_xlpm._infoTextMatchingFirstAnswer,"*",""),
_xlpm._start,FIND(CHAR(10)&amp;_xlpm._answer&amp;":",_xlpm._inforTextWithoutStar)+LEN(CHAR(10)&amp;_xlpm._answer&amp;":"),
_xlpm._end,FIND(CHAR(10),_xlpm._inforTextWithoutStar,_xlpm._start)-_xlpm._start,
_xlpm._textForAnswer,MID(_xlpm._inforTextWithoutStar,_xlpm._start,_xlpm._end),
IF(AND(_xlpm._answer="",NOT(IFERROR(FIND("*",_xlpm._infoTextMatchingFirstAnswer)&gt;0,FALSE))),"",
IFERROR(TRIM(_xlpm._textForAnswer),"Error: No information text for answer "&amp;_xlpm._answer&amp;" defined."))),
"")</f>
        <v/>
      </c>
      <c r="AL103" s="12" t="b" cm="1">
        <f t="array" ref="AL103">IF(OR($B103="",NOT($AD103)),FALSE,SimpleLookup($B103,Questions!$A:$Q))</f>
        <v>0</v>
      </c>
      <c r="AM103" s="12" t="str" cm="1">
        <f t="array" aca="1" ref="AM103" ca="1">IF(AND($B103=Questions!$A$41,IFERROR(SimpleLookup(Questions!$A$36,$B:$F)=Definitions!$O$5,FALSE),$D103=Definitions!$A$5),
Questions!$A$36&amp;" "&amp;Questions!$B$36&amp;CHAR(10)&amp;CHAR(187)&amp;" "&amp;SimpleLookup(Questions!$A$36,$B:$D)&amp;CHAR(10)&amp;SimpleLookup(Questions!$A$36,$B:$E)&amp;CHAR(10)&amp;CHAR(187)&amp;" "&amp;Definitions!$O$5&amp;CHAR(10)&amp;CHAR(10)&amp;
"is incosistent with"&amp;CHAR(10)&amp;CHAR(10)&amp;
$B103&amp;" "&amp;SimpleLookup($B103,Questions!$A:$B)&amp;CHAR(10)&amp;CHAR(187)&amp;" "&amp;$D103,
"")</f>
        <v/>
      </c>
      <c r="AN103" s="12" cm="1">
        <f t="array" aca="1" ref="AN103" ca="1">CreateID($AN$3,$AM103&lt;&gt;"")</f>
        <v>0</v>
      </c>
      <c r="AO103" s="12" t="str">
        <f ca="1">IF(OR($D103="",OFFSET($D103,1,0)=""),"",
IF(AND($B103=Questions!$A$59,OFFSET($B103,1,0)=Questions!$A$60),
IF(MATCH($D103,Definitions!$AW:$AW,0)&gt;MATCH(OFFSET($D103,1,0),Definitions!AW:AW,0),$B103&amp;" "&amp;$L103&amp;": "&amp;$D103&amp;CHAR(10)&amp;"&lt;---&gt;"&amp;CHAR(10)&amp;OFFSET($B103,1,0)&amp;" "&amp;OFFSET($L103,1,0)&amp;": "&amp;OFFSET($D103,1,0),""),
""))</f>
        <v/>
      </c>
      <c r="AP103" s="12" cm="1">
        <f t="array" aca="1" ref="AP103" ca="1">CreateID($AP$3,$AO103&lt;&gt;"")</f>
        <v>0</v>
      </c>
      <c r="AQ103" s="12" t="str" cm="1">
        <f t="array" ref="AQ103">IF($B103=Questions!$A$18,
  _xlfn.LET(
    _xlpm._impactValue7,IFERROR(SimpleLookup(SimpleLookup($F103,Definitions!$H:$J),Definitions!$Q:$R),0),
    _xlpm._impactName14,SimpleLookup(Questions!$A$30,$B:$F),
    _xlpm._impactValue14,IFERROR(SimpleLookup(SimpleLookup(_xlpm._impactName14,Definitions!$H:$J),Definitions!$Q:$R),0),
    IF(OR(_xlpm._impactValue7=0,_xlpm._impactValue14=0),
      "",
      IF(_xlpm._impactValue7&gt;_xlpm._impactValue14,
        "Loss of availability should not have greater impact than loss of integrity:"&amp;CHAR(10)&amp;Questions!$A$18&amp;": "&amp;$F103&amp;CHAR(10)&amp;"&lt;---&gt;"&amp;CHAR(10)&amp;Questions!$A$30&amp;": "&amp;_xlpm._impactName14,
        ""))),
  "")</f>
        <v/>
      </c>
      <c r="AR103" s="12" cm="1">
        <f t="array" aca="1" ref="AR103" ca="1">CreateID($AR$3,$AQ103&lt;&gt;"")</f>
        <v>0</v>
      </c>
    </row>
  </sheetData>
  <phoneticPr fontId="4" type="noConversion"/>
  <conditionalFormatting sqref="B1:B1048576">
    <cfRule type="expression" dxfId="75" priority="360">
      <formula>$AD1</formula>
    </cfRule>
  </conditionalFormatting>
  <conditionalFormatting sqref="C1:H1048576">
    <cfRule type="expression" dxfId="74" priority="357">
      <formula>AND($C1&lt;&gt;"",LEFT($C1,1)&lt;&gt;" ",ROW(C1)&gt;ROW($C$2))</formula>
    </cfRule>
    <cfRule type="expression" dxfId="73" priority="358">
      <formula>AND(ROW($C1)&gt;ROW($C$2),$C1&lt;&gt;"",MOD(ROW($C1),2)=1)</formula>
    </cfRule>
    <cfRule type="expression" dxfId="72" priority="359">
      <formula>$AL1</formula>
    </cfRule>
  </conditionalFormatting>
  <conditionalFormatting sqref="D1:D1048576">
    <cfRule type="expression" dxfId="71" priority="9">
      <formula>AND($B1&lt;&gt;"",$D1="",NOT($AL1),$AD1)</formula>
    </cfRule>
  </conditionalFormatting>
  <conditionalFormatting sqref="F1:F1048576">
    <cfRule type="expression" dxfId="70" priority="354">
      <formula>AND($E1&lt;&gt;"",$F1="")</formula>
    </cfRule>
    <cfRule type="expression" dxfId="69" priority="355">
      <formula>AND($AH1&lt;&gt;"",$AH1=FALSE,$F1&lt;&gt;"")</formula>
    </cfRule>
  </conditionalFormatting>
  <conditionalFormatting sqref="H1:H1048576">
    <cfRule type="expression" dxfId="64" priority="353">
      <formula>AND($G1&lt;&gt;"",$H1="")</formula>
    </cfRule>
  </conditionalFormatting>
  <dataValidations count="2">
    <dataValidation type="list" allowBlank="1" showInputMessage="1" showErrorMessage="1" sqref="D6:D60" xr:uid="{B6F34ED9-BE4F-4F2C-879B-0BD345F83BA2}">
      <formula1>OFFSET(INDIRECT($AE6),0,0,$AF6,1)</formula1>
    </dataValidation>
    <dataValidation type="list" allowBlank="1" showInputMessage="1" showErrorMessage="1" sqref="F6:F7 F53:F60 F43:F51 F31:F32 F29 F25:F27 F23 F19:F20 F17 F15 F11:F12 F35:F36 F38:F41 F9" xr:uid="{C4591C9A-524A-4570-BD88-371D8676482D}">
      <formula1>IF($E6="","",OFFSET(INDIRECT($AI6),0,0,$AJ6,1))</formula1>
    </dataValidation>
  </dataValidations>
  <pageMargins left="0.7" right="0.7" top="0.75" bottom="0.75" header="0.3" footer="0.3"/>
  <pageSetup paperSize="9" scale="50" fitToHeight="0"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361" id="{C3CD6B64-F6EF-4FD9-83FF-20CF71B3B842}">
            <xm:f>$AC1=Definitions!$Q$5</xm:f>
            <x14:dxf>
              <font>
                <color rgb="FF92D050"/>
              </font>
            </x14:dxf>
          </x14:cfRule>
          <x14:cfRule type="expression" priority="362" id="{307B8EBC-65C7-4378-9161-7A6443592ADC}">
            <xm:f>$AC1=Definitions!$Q$6</xm:f>
            <x14:dxf>
              <font>
                <color rgb="FFFFFF9B"/>
              </font>
            </x14:dxf>
          </x14:cfRule>
          <x14:cfRule type="expression" priority="363" id="{5AD1C065-4315-4213-9674-37B538AF4A2B}">
            <xm:f>$AC1=Definitions!$Q$7</xm:f>
            <x14:dxf>
              <font>
                <color theme="5" tint="0.39994506668294322"/>
              </font>
            </x14:dxf>
          </x14:cfRule>
          <x14:cfRule type="expression" priority="364" id="{EA221D0E-E5F2-4A61-9661-FA49AE4896D8}">
            <xm:f>$AC1=Definitions!$Q$8</xm:f>
            <x14:dxf>
              <font>
                <color rgb="FFFFB9B9"/>
              </font>
            </x14:dxf>
          </x14:cfRule>
          <xm:sqref>F1:F1048576</xm:sqref>
        </x14:conditionalFormatting>
        <x14:conditionalFormatting xmlns:xm="http://schemas.microsoft.com/office/excel/2006/main">
          <x14:cfRule type="expression" priority="356" id="{82ED4715-C010-452B-95D5-D5E0114E259B}">
            <xm:f>IFERROR(FIND(Tasks!$B$17,H1)&gt;0,FALSE)</xm:f>
            <x14:dxf>
              <font>
                <b/>
                <i val="0"/>
                <color rgb="FF99FFCC"/>
              </font>
            </x14:dxf>
          </x14:cfRule>
          <x14:cfRule type="expression" priority="365" id="{96AF377D-6D69-4E90-9F88-1E93816E9933}">
            <xm:f>AND(Definitions!$AU$4=Definitions!$A$4,$AA1=TRUE,$B1&lt;&gt;"")</xm:f>
            <x14:dxf>
              <border>
                <left style="thin">
                  <color theme="4" tint="0.59996337778862885"/>
                </left>
                <right style="thin">
                  <color theme="4" tint="0.59996337778862885"/>
                </right>
                <top style="thin">
                  <color theme="4" tint="0.59996337778862885"/>
                </top>
                <bottom style="thin">
                  <color theme="4" tint="0.59996337778862885"/>
                </bottom>
                <vertical/>
                <horizontal/>
              </border>
            </x14:dxf>
          </x14:cfRule>
          <xm:sqref>H1:H1048576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A6EF-D578-4924-93EF-5F1BC0353EB7}">
  <sheetPr>
    <tabColor theme="3"/>
  </sheetPr>
  <dimension ref="A1:H20"/>
  <sheetViews>
    <sheetView workbookViewId="0">
      <pane xSplit="2" ySplit="2" topLeftCell="C3" activePane="bottomRight" state="frozen"/>
      <selection pane="topRight" activeCell="C1" sqref="C1"/>
      <selection pane="bottomLeft" activeCell="A3" sqref="A3"/>
      <selection pane="bottomRight" activeCell="E22" sqref="E22"/>
    </sheetView>
  </sheetViews>
  <sheetFormatPr defaultColWidth="9.140625" defaultRowHeight="15" x14ac:dyDescent="0.25"/>
  <cols>
    <col min="1" max="1" width="9.140625" style="4"/>
    <col min="2" max="2" width="60.7109375" style="4" customWidth="1"/>
    <col min="3" max="3" width="15.7109375" style="4" bestFit="1" customWidth="1"/>
    <col min="4" max="5" width="60.7109375" style="4" customWidth="1"/>
    <col min="6" max="6" width="12.42578125" style="2" hidden="1" customWidth="1"/>
    <col min="7" max="8" width="9.140625" style="2" hidden="1" customWidth="1"/>
    <col min="9" max="16384" width="9.140625" style="2"/>
  </cols>
  <sheetData>
    <row r="1" spans="1:8" s="80" customFormat="1" x14ac:dyDescent="0.25">
      <c r="A1" s="79" t="str" cm="1">
        <f t="array" aca="1" ref="A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HYPERLINK("#'"&amp;Helper!$G$2&amp;"'!"&amp;CHAR(CODE("A")+COLUMN(_xlpm._columnNameHeader)-1)&amp;_xlpm._entryOffset,Definitions!$AY$4)))(Helper!$G$11,A$2,README!$E:$E,README!$I$35,README!$B$35)</f>
        <v>◈</v>
      </c>
      <c r="B1" s="79" t="str" cm="1">
        <f t="array" aca="1" ref="B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HYPERLINK("#'"&amp;Helper!$G$2&amp;"'!"&amp;CHAR(CODE("A")+COLUMN(_xlpm._columnNameHeader)-1)&amp;_xlpm._entryOffset,Definitions!$AY$4)))(Helper!$G$11,B$2,README!$E:$E,README!$I$35,README!$B$35)</f>
        <v>◈</v>
      </c>
      <c r="C1" s="79" t="str" cm="1">
        <f t="array" aca="1" ref="C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HYPERLINK("#'"&amp;Helper!$G$2&amp;"'!"&amp;CHAR(CODE("A")+COLUMN(_xlpm._columnNameHeader)-1)&amp;_xlpm._entryOffset,Definitions!$AY$4)))(Helper!$G$11,C$2,README!$E:$E,README!$I$35,README!$B$35)</f>
        <v>◈</v>
      </c>
      <c r="D1" s="79" t="str" cm="1">
        <f t="array" aca="1" ref="D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HYPERLINK("#'"&amp;Helper!$G$2&amp;"'!"&amp;CHAR(CODE("A")+COLUMN(_xlpm._columnNameHeader)-1)&amp;_xlpm._entryOffset,Definitions!$AY$4)))(Helper!$G$11,D$2,README!$E:$E,README!$I$35,README!$B$35)</f>
        <v>◈</v>
      </c>
      <c r="E1" s="79"/>
    </row>
    <row r="2" spans="1:8" x14ac:dyDescent="0.25">
      <c r="A2" s="13" t="s">
        <v>46</v>
      </c>
      <c r="B2" s="13" t="s">
        <v>45</v>
      </c>
      <c r="C2" s="13" t="s">
        <v>158</v>
      </c>
      <c r="D2" s="13" t="s">
        <v>358</v>
      </c>
      <c r="E2" s="10" t="s">
        <v>2</v>
      </c>
      <c r="F2" s="9" t="s">
        <v>47</v>
      </c>
      <c r="G2" s="9" t="s">
        <v>75</v>
      </c>
      <c r="H2" s="9" t="s">
        <v>196</v>
      </c>
    </row>
    <row r="3" spans="1:8" x14ac:dyDescent="0.25">
      <c r="A3" s="13" t="str" cm="1">
        <f t="array" aca="1" ref="A3" ca="1">IF($G3="","",INDEX('Damage Scenarios'!A:A,$G3))</f>
        <v/>
      </c>
      <c r="B3" s="13" t="str" cm="1">
        <f t="array" aca="1" ref="B3" ca="1">IF($G3="","",INDEX('Damage Scenarios'!J:J,$G3))</f>
        <v/>
      </c>
      <c r="C3" s="13" t="str" cm="1">
        <f t="array" aca="1" ref="C3" ca="1">IF($G3="","",INDEX('Damage Scenarios'!M:M,$G3))</f>
        <v/>
      </c>
      <c r="D3" s="13" t="str" cm="1">
        <f t="array" aca="1" ref="D3" ca="1">IF($G3="","",INDEX('Damage Scenarios'!$O:$O,$G3))</f>
        <v/>
      </c>
      <c r="E3" s="10"/>
      <c r="F3" s="9" cm="1">
        <f t="array" aca="1" ref="F3" ca="1">CreateID($F$2,$A3&lt;&gt;"")</f>
        <v>0</v>
      </c>
      <c r="G3" s="17" t="str">
        <f ca="1">IFERROR(MATCH(ROW()-ROW($G$2),'Damage Scenarios'!$S:$S,0),"")</f>
        <v/>
      </c>
      <c r="H3" s="11" cm="1">
        <f t="array" ref="H3">CreateTaskID($H$2,$H:$H,Tasks!$B$17,$E3)</f>
        <v>0</v>
      </c>
    </row>
    <row r="4" spans="1:8" x14ac:dyDescent="0.25">
      <c r="A4" s="13" t="str" cm="1">
        <f t="array" aca="1" ref="A4" ca="1">IF($G4="","",INDEX('Damage Scenarios'!A:A,$G4))</f>
        <v/>
      </c>
      <c r="B4" s="13" t="str" cm="1">
        <f t="array" aca="1" ref="B4" ca="1">IF($G4="","",INDEX('Damage Scenarios'!J:J,$G4))</f>
        <v/>
      </c>
      <c r="C4" s="13" t="str" cm="1">
        <f t="array" aca="1" ref="C4" ca="1">IF($G4="","",INDEX('Damage Scenarios'!M:M,$G4))</f>
        <v/>
      </c>
      <c r="D4" s="13" t="str" cm="1">
        <f t="array" aca="1" ref="D4" ca="1">IF($G4="","",INDEX('Damage Scenarios'!$O:$O,$G4))</f>
        <v/>
      </c>
      <c r="E4" s="10"/>
      <c r="F4" s="9" cm="1">
        <f t="array" aca="1" ref="F4" ca="1">CreateID($F$2,$A4&lt;&gt;"")</f>
        <v>0</v>
      </c>
      <c r="G4" s="17" t="str">
        <f ca="1">IFERROR(MATCH(ROW()-ROW($G$2),'Damage Scenarios'!$S:$S,0),"")</f>
        <v/>
      </c>
      <c r="H4" s="11" cm="1">
        <f t="array" ref="H4">CreateTaskID($H$2,$H:$H,Tasks!$B$17,$E4)</f>
        <v>0</v>
      </c>
    </row>
    <row r="5" spans="1:8" x14ac:dyDescent="0.25">
      <c r="A5" s="13" t="str" cm="1">
        <f t="array" aca="1" ref="A5" ca="1">IF($G5="","",INDEX('Damage Scenarios'!A:A,$G5))</f>
        <v/>
      </c>
      <c r="B5" s="13" t="str" cm="1">
        <f t="array" aca="1" ref="B5" ca="1">IF($G5="","",INDEX('Damage Scenarios'!J:J,$G5))</f>
        <v/>
      </c>
      <c r="C5" s="13" t="str" cm="1">
        <f t="array" aca="1" ref="C5" ca="1">IF($G5="","",INDEX('Damage Scenarios'!M:M,$G5))</f>
        <v/>
      </c>
      <c r="D5" s="13" t="str" cm="1">
        <f t="array" aca="1" ref="D5" ca="1">IF($G5="","",INDEX('Damage Scenarios'!$O:$O,$G5))</f>
        <v/>
      </c>
      <c r="E5" s="10"/>
      <c r="F5" s="9" cm="1">
        <f t="array" aca="1" ref="F5" ca="1">CreateID($F$2,$A5&lt;&gt;"")</f>
        <v>0</v>
      </c>
      <c r="G5" s="17" t="str">
        <f ca="1">IFERROR(MATCH(ROW()-ROW($G$2),'Damage Scenarios'!$S:$S,0),"")</f>
        <v/>
      </c>
      <c r="H5" s="11" cm="1">
        <f t="array" ref="H5">CreateTaskID($H$2,$H:$H,Tasks!$B$17,$E5)</f>
        <v>0</v>
      </c>
    </row>
    <row r="6" spans="1:8" x14ac:dyDescent="0.25">
      <c r="A6" s="13" t="str" cm="1">
        <f t="array" aca="1" ref="A6" ca="1">IF($G6="","",INDEX('Damage Scenarios'!A:A,$G6))</f>
        <v/>
      </c>
      <c r="B6" s="13" t="str" cm="1">
        <f t="array" aca="1" ref="B6" ca="1">IF($G6="","",INDEX('Damage Scenarios'!J:J,$G6))</f>
        <v/>
      </c>
      <c r="C6" s="13" t="str" cm="1">
        <f t="array" aca="1" ref="C6" ca="1">IF($G6="","",INDEX('Damage Scenarios'!M:M,$G6))</f>
        <v/>
      </c>
      <c r="D6" s="13" t="str" cm="1">
        <f t="array" aca="1" ref="D6" ca="1">IF($G6="","",INDEX('Damage Scenarios'!$O:$O,$G6))</f>
        <v/>
      </c>
      <c r="E6" s="10"/>
      <c r="F6" s="9" cm="1">
        <f t="array" aca="1" ref="F6" ca="1">CreateID($F$2,$A6&lt;&gt;"")</f>
        <v>0</v>
      </c>
      <c r="G6" s="17" t="str">
        <f ca="1">IFERROR(MATCH(ROW()-ROW($G$2),'Damage Scenarios'!$S:$S,0),"")</f>
        <v/>
      </c>
      <c r="H6" s="11" cm="1">
        <f t="array" ref="H6">CreateTaskID($H$2,$H:$H,Tasks!$B$17,$E6)</f>
        <v>0</v>
      </c>
    </row>
    <row r="7" spans="1:8" x14ac:dyDescent="0.25">
      <c r="A7" s="13" t="str" cm="1">
        <f t="array" aca="1" ref="A7" ca="1">IF($G7="","",INDEX('Damage Scenarios'!A:A,$G7))</f>
        <v/>
      </c>
      <c r="B7" s="13" t="str" cm="1">
        <f t="array" aca="1" ref="B7" ca="1">IF($G7="","",INDEX('Damage Scenarios'!J:J,$G7))</f>
        <v/>
      </c>
      <c r="C7" s="13" t="str" cm="1">
        <f t="array" aca="1" ref="C7" ca="1">IF($G7="","",INDEX('Damage Scenarios'!M:M,$G7))</f>
        <v/>
      </c>
      <c r="D7" s="13" t="str" cm="1">
        <f t="array" aca="1" ref="D7" ca="1">IF($G7="","",INDEX('Damage Scenarios'!$O:$O,$G7))</f>
        <v/>
      </c>
      <c r="E7" s="10"/>
      <c r="F7" s="9" cm="1">
        <f t="array" aca="1" ref="F7" ca="1">CreateID($F$2,$A7&lt;&gt;"")</f>
        <v>0</v>
      </c>
      <c r="G7" s="17" t="str">
        <f ca="1">IFERROR(MATCH(ROW()-ROW($G$2),'Damage Scenarios'!$S:$S,0),"")</f>
        <v/>
      </c>
      <c r="H7" s="11" cm="1">
        <f t="array" ref="H7">CreateTaskID($H$2,$H:$H,Tasks!$B$17,$E7)</f>
        <v>0</v>
      </c>
    </row>
    <row r="8" spans="1:8" x14ac:dyDescent="0.25">
      <c r="A8" s="13" t="str" cm="1">
        <f t="array" aca="1" ref="A8" ca="1">IF($G8="","",INDEX('Damage Scenarios'!A:A,$G8))</f>
        <v/>
      </c>
      <c r="B8" s="13" t="str" cm="1">
        <f t="array" aca="1" ref="B8" ca="1">IF($G8="","",INDEX('Damage Scenarios'!J:J,$G8))</f>
        <v/>
      </c>
      <c r="C8" s="13" t="str" cm="1">
        <f t="array" aca="1" ref="C8" ca="1">IF($G8="","",INDEX('Damage Scenarios'!M:M,$G8))</f>
        <v/>
      </c>
      <c r="D8" s="13" t="str" cm="1">
        <f t="array" aca="1" ref="D8" ca="1">IF($G8="","",INDEX('Damage Scenarios'!$O:$O,$G8))</f>
        <v/>
      </c>
      <c r="E8" s="10"/>
      <c r="F8" s="9" cm="1">
        <f t="array" aca="1" ref="F8" ca="1">CreateID($F$2,$A8&lt;&gt;"")</f>
        <v>0</v>
      </c>
      <c r="G8" s="17" t="str">
        <f ca="1">IFERROR(MATCH(ROW()-ROW($G$2),'Damage Scenarios'!$S:$S,0),"")</f>
        <v/>
      </c>
      <c r="H8" s="11" cm="1">
        <f t="array" ref="H8">CreateTaskID($H$2,$H:$H,Tasks!$B$17,$E8)</f>
        <v>0</v>
      </c>
    </row>
    <row r="9" spans="1:8" x14ac:dyDescent="0.25">
      <c r="A9" s="13" t="str" cm="1">
        <f t="array" aca="1" ref="A9" ca="1">IF($G9="","",INDEX('Damage Scenarios'!A:A,$G9))</f>
        <v/>
      </c>
      <c r="B9" s="13" t="str" cm="1">
        <f t="array" aca="1" ref="B9" ca="1">IF($G9="","",INDEX('Damage Scenarios'!J:J,$G9))</f>
        <v/>
      </c>
      <c r="C9" s="13" t="str" cm="1">
        <f t="array" aca="1" ref="C9" ca="1">IF($G9="","",INDEX('Damage Scenarios'!M:M,$G9))</f>
        <v/>
      </c>
      <c r="D9" s="13" t="str" cm="1">
        <f t="array" aca="1" ref="D9" ca="1">IF($G9="","",INDEX('Damage Scenarios'!$O:$O,$G9))</f>
        <v/>
      </c>
      <c r="E9" s="10"/>
      <c r="F9" s="9" cm="1">
        <f t="array" aca="1" ref="F9" ca="1">CreateID($F$2,$A9&lt;&gt;"")</f>
        <v>0</v>
      </c>
      <c r="G9" s="17" t="str">
        <f ca="1">IFERROR(MATCH(ROW()-ROW($G$2),'Damage Scenarios'!$S:$S,0),"")</f>
        <v/>
      </c>
      <c r="H9" s="11" cm="1">
        <f t="array" ref="H9">CreateTaskID($H$2,$H:$H,Tasks!$B$17,$E9)</f>
        <v>0</v>
      </c>
    </row>
    <row r="10" spans="1:8" x14ac:dyDescent="0.25">
      <c r="A10" s="13" t="str" cm="1">
        <f t="array" aca="1" ref="A10" ca="1">IF($G10="","",INDEX('Damage Scenarios'!A:A,$G10))</f>
        <v/>
      </c>
      <c r="B10" s="13" t="str" cm="1">
        <f t="array" aca="1" ref="B10" ca="1">IF($G10="","",INDEX('Damage Scenarios'!J:J,$G10))</f>
        <v/>
      </c>
      <c r="C10" s="13" t="str" cm="1">
        <f t="array" aca="1" ref="C10" ca="1">IF($G10="","",INDEX('Damage Scenarios'!M:M,$G10))</f>
        <v/>
      </c>
      <c r="D10" s="13" t="str" cm="1">
        <f t="array" aca="1" ref="D10" ca="1">IF($G10="","",INDEX('Damage Scenarios'!$O:$O,$G10))</f>
        <v/>
      </c>
      <c r="E10" s="10"/>
      <c r="F10" s="9" cm="1">
        <f t="array" aca="1" ref="F10" ca="1">CreateID($F$2,$A10&lt;&gt;"")</f>
        <v>0</v>
      </c>
      <c r="G10" s="17" t="str">
        <f ca="1">IFERROR(MATCH(ROW()-ROW($G$2),'Damage Scenarios'!$S:$S,0),"")</f>
        <v/>
      </c>
      <c r="H10" s="11" cm="1">
        <f t="array" ref="H10">CreateTaskID($H$2,$H:$H,Tasks!$B$17,$E10)</f>
        <v>0</v>
      </c>
    </row>
    <row r="11" spans="1:8" x14ac:dyDescent="0.25">
      <c r="A11" s="13" t="str" cm="1">
        <f t="array" aca="1" ref="A11" ca="1">IF($G11="","",INDEX('Damage Scenarios'!A:A,$G11))</f>
        <v/>
      </c>
      <c r="B11" s="13" t="str" cm="1">
        <f t="array" aca="1" ref="B11" ca="1">IF($G11="","",INDEX('Damage Scenarios'!J:J,$G11))</f>
        <v/>
      </c>
      <c r="C11" s="13" t="str" cm="1">
        <f t="array" aca="1" ref="C11" ca="1">IF($G11="","",INDEX('Damage Scenarios'!M:M,$G11))</f>
        <v/>
      </c>
      <c r="D11" s="13" t="str" cm="1">
        <f t="array" aca="1" ref="D11" ca="1">IF($G11="","",INDEX('Damage Scenarios'!$O:$O,$G11))</f>
        <v/>
      </c>
      <c r="E11" s="10"/>
      <c r="F11" s="9" cm="1">
        <f t="array" aca="1" ref="F11" ca="1">CreateID($F$2,$A11&lt;&gt;"")</f>
        <v>0</v>
      </c>
      <c r="G11" s="17" t="str">
        <f ca="1">IFERROR(MATCH(ROW()-ROW($G$2),'Damage Scenarios'!$S:$S,0),"")</f>
        <v/>
      </c>
      <c r="H11" s="11" cm="1">
        <f t="array" ref="H11">CreateTaskID($H$2,$H:$H,Tasks!$B$17,$E11)</f>
        <v>0</v>
      </c>
    </row>
    <row r="12" spans="1:8" x14ac:dyDescent="0.25">
      <c r="A12" s="13" t="str" cm="1">
        <f t="array" aca="1" ref="A12" ca="1">IF($G12="","",INDEX('Damage Scenarios'!A:A,$G12))</f>
        <v/>
      </c>
      <c r="B12" s="13" t="str" cm="1">
        <f t="array" aca="1" ref="B12" ca="1">IF($G12="","",INDEX('Damage Scenarios'!J:J,$G12))</f>
        <v/>
      </c>
      <c r="C12" s="13" t="str" cm="1">
        <f t="array" aca="1" ref="C12" ca="1">IF($G12="","",INDEX('Damage Scenarios'!M:M,$G12))</f>
        <v/>
      </c>
      <c r="D12" s="13" t="str" cm="1">
        <f t="array" aca="1" ref="D12" ca="1">IF($G12="","",INDEX('Damage Scenarios'!$O:$O,$G12))</f>
        <v/>
      </c>
      <c r="E12" s="10"/>
      <c r="F12" s="9" cm="1">
        <f t="array" aca="1" ref="F12" ca="1">CreateID($F$2,$A12&lt;&gt;"")</f>
        <v>0</v>
      </c>
      <c r="G12" s="17" t="str">
        <f ca="1">IFERROR(MATCH(ROW()-ROW($G$2),'Damage Scenarios'!$S:$S,0),"")</f>
        <v/>
      </c>
      <c r="H12" s="11" cm="1">
        <f t="array" ref="H12">CreateTaskID($H$2,$H:$H,Tasks!$B$17,$E12)</f>
        <v>0</v>
      </c>
    </row>
    <row r="13" spans="1:8" x14ac:dyDescent="0.25">
      <c r="A13" s="13" t="str" cm="1">
        <f t="array" aca="1" ref="A13" ca="1">IF($G13="","",INDEX('Damage Scenarios'!A:A,$G13))</f>
        <v/>
      </c>
      <c r="B13" s="13" t="str" cm="1">
        <f t="array" aca="1" ref="B13" ca="1">IF($G13="","",INDEX('Damage Scenarios'!J:J,$G13))</f>
        <v/>
      </c>
      <c r="C13" s="13" t="str" cm="1">
        <f t="array" aca="1" ref="C13" ca="1">IF($G13="","",INDEX('Damage Scenarios'!M:M,$G13))</f>
        <v/>
      </c>
      <c r="D13" s="13" t="str" cm="1">
        <f t="array" aca="1" ref="D13" ca="1">IF($G13="","",INDEX('Damage Scenarios'!$O:$O,$G13))</f>
        <v/>
      </c>
      <c r="E13" s="10"/>
      <c r="F13" s="9" cm="1">
        <f t="array" aca="1" ref="F13" ca="1">CreateID($F$2,$A13&lt;&gt;"")</f>
        <v>0</v>
      </c>
      <c r="G13" s="17" t="str">
        <f ca="1">IFERROR(MATCH(ROW()-ROW($G$2),'Damage Scenarios'!$S:$S,0),"")</f>
        <v/>
      </c>
      <c r="H13" s="11" cm="1">
        <f t="array" ref="H13">CreateTaskID($H$2,$H:$H,Tasks!$B$17,$E13)</f>
        <v>0</v>
      </c>
    </row>
    <row r="14" spans="1:8" x14ac:dyDescent="0.25">
      <c r="A14" s="13" t="str" cm="1">
        <f t="array" aca="1" ref="A14" ca="1">IF($G14="","",INDEX('Damage Scenarios'!A:A,$G14))</f>
        <v/>
      </c>
      <c r="B14" s="13" t="str" cm="1">
        <f t="array" aca="1" ref="B14" ca="1">IF($G14="","",INDEX('Damage Scenarios'!J:J,$G14))</f>
        <v/>
      </c>
      <c r="C14" s="13" t="str" cm="1">
        <f t="array" aca="1" ref="C14" ca="1">IF($G14="","",INDEX('Damage Scenarios'!M:M,$G14))</f>
        <v/>
      </c>
      <c r="D14" s="13" t="str" cm="1">
        <f t="array" aca="1" ref="D14" ca="1">IF($G14="","",INDEX('Damage Scenarios'!$O:$O,$G14))</f>
        <v/>
      </c>
      <c r="E14" s="10"/>
      <c r="F14" s="9" cm="1">
        <f t="array" aca="1" ref="F14" ca="1">CreateID($F$2,$A14&lt;&gt;"")</f>
        <v>0</v>
      </c>
      <c r="G14" s="17" t="str">
        <f ca="1">IFERROR(MATCH(ROW()-ROW($G$2),'Damage Scenarios'!$S:$S,0),"")</f>
        <v/>
      </c>
      <c r="H14" s="11" cm="1">
        <f t="array" ref="H14">CreateTaskID($H$2,$H:$H,Tasks!$B$17,$E14)</f>
        <v>0</v>
      </c>
    </row>
    <row r="15" spans="1:8" x14ac:dyDescent="0.25">
      <c r="A15" s="13" t="str" cm="1">
        <f t="array" aca="1" ref="A15" ca="1">IF($G15="","",INDEX('Damage Scenarios'!A:A,$G15))</f>
        <v/>
      </c>
      <c r="B15" s="13" t="str" cm="1">
        <f t="array" aca="1" ref="B15" ca="1">IF($G15="","",INDEX('Damage Scenarios'!J:J,$G15))</f>
        <v/>
      </c>
      <c r="C15" s="13" t="str" cm="1">
        <f t="array" aca="1" ref="C15" ca="1">IF($G15="","",INDEX('Damage Scenarios'!M:M,$G15))</f>
        <v/>
      </c>
      <c r="D15" s="13" t="str" cm="1">
        <f t="array" aca="1" ref="D15" ca="1">IF($G15="","",INDEX('Damage Scenarios'!$O:$O,$G15))</f>
        <v/>
      </c>
      <c r="E15" s="10"/>
      <c r="F15" s="9" cm="1">
        <f t="array" aca="1" ref="F15" ca="1">CreateID($F$2,$A15&lt;&gt;"")</f>
        <v>0</v>
      </c>
      <c r="G15" s="17" t="str">
        <f ca="1">IFERROR(MATCH(ROW()-ROW($G$2),'Damage Scenarios'!$S:$S,0),"")</f>
        <v/>
      </c>
      <c r="H15" s="11" cm="1">
        <f t="array" ref="H15">CreateTaskID($H$2,$H:$H,Tasks!$B$17,$E15)</f>
        <v>0</v>
      </c>
    </row>
    <row r="16" spans="1:8" x14ac:dyDescent="0.25">
      <c r="A16" s="13" t="str" cm="1">
        <f t="array" aca="1" ref="A16" ca="1">IF($G16="","",INDEX('Damage Scenarios'!A:A,$G16))</f>
        <v/>
      </c>
      <c r="B16" s="13" t="str" cm="1">
        <f t="array" aca="1" ref="B16" ca="1">IF($G16="","",INDEX('Damage Scenarios'!J:J,$G16))</f>
        <v/>
      </c>
      <c r="C16" s="13" t="str" cm="1">
        <f t="array" aca="1" ref="C16" ca="1">IF($G16="","",INDEX('Damage Scenarios'!M:M,$G16))</f>
        <v/>
      </c>
      <c r="D16" s="13" t="str" cm="1">
        <f t="array" aca="1" ref="D16" ca="1">IF($G16="","",INDEX('Damage Scenarios'!$O:$O,$G16))</f>
        <v/>
      </c>
      <c r="E16" s="10"/>
      <c r="F16" s="9" cm="1">
        <f t="array" aca="1" ref="F16" ca="1">CreateID($F$2,$A16&lt;&gt;"")</f>
        <v>0</v>
      </c>
      <c r="G16" s="17" t="str">
        <f ca="1">IFERROR(MATCH(ROW()-ROW($G$2),'Damage Scenarios'!$S:$S,0),"")</f>
        <v/>
      </c>
      <c r="H16" s="11" cm="1">
        <f t="array" ref="H16">CreateTaskID($H$2,$H:$H,Tasks!$B$17,$E16)</f>
        <v>0</v>
      </c>
    </row>
    <row r="17" spans="1:8" x14ac:dyDescent="0.25">
      <c r="A17" s="13" t="str" cm="1">
        <f t="array" aca="1" ref="A17" ca="1">IF($G17="","",INDEX('Damage Scenarios'!A:A,$G17))</f>
        <v/>
      </c>
      <c r="B17" s="13" t="str" cm="1">
        <f t="array" aca="1" ref="B17" ca="1">IF($G17="","",INDEX('Damage Scenarios'!J:J,$G17))</f>
        <v/>
      </c>
      <c r="C17" s="13" t="str" cm="1">
        <f t="array" aca="1" ref="C17" ca="1">IF($G17="","",INDEX('Damage Scenarios'!M:M,$G17))</f>
        <v/>
      </c>
      <c r="D17" s="13" t="str" cm="1">
        <f t="array" aca="1" ref="D17" ca="1">IF($G17="","",INDEX('Damage Scenarios'!$O:$O,$G17))</f>
        <v/>
      </c>
      <c r="E17" s="10"/>
      <c r="F17" s="9" cm="1">
        <f t="array" aca="1" ref="F17" ca="1">CreateID($F$2,$A17&lt;&gt;"")</f>
        <v>0</v>
      </c>
      <c r="G17" s="17" t="str">
        <f ca="1">IFERROR(MATCH(ROW()-ROW($G$2),'Damage Scenarios'!$S:$S,0),"")</f>
        <v/>
      </c>
      <c r="H17" s="11" cm="1">
        <f t="array" ref="H17">CreateTaskID($H$2,$H:$H,Tasks!$B$17,$E17)</f>
        <v>0</v>
      </c>
    </row>
    <row r="18" spans="1:8" x14ac:dyDescent="0.25">
      <c r="A18" s="13" t="str" cm="1">
        <f t="array" aca="1" ref="A18" ca="1">IF($G18="","",INDEX('Damage Scenarios'!A:A,$G18))</f>
        <v/>
      </c>
      <c r="B18" s="13" t="str" cm="1">
        <f t="array" aca="1" ref="B18" ca="1">IF($G18="","",INDEX('Damage Scenarios'!J:J,$G18))</f>
        <v/>
      </c>
      <c r="C18" s="13" t="str" cm="1">
        <f t="array" aca="1" ref="C18" ca="1">IF($G18="","",INDEX('Damage Scenarios'!M:M,$G18))</f>
        <v/>
      </c>
      <c r="D18" s="13" t="str" cm="1">
        <f t="array" aca="1" ref="D18" ca="1">IF($G18="","",INDEX('Damage Scenarios'!$O:$O,$G18))</f>
        <v/>
      </c>
      <c r="E18" s="10"/>
      <c r="F18" s="9" cm="1">
        <f t="array" aca="1" ref="F18" ca="1">CreateID($F$2,$A18&lt;&gt;"")</f>
        <v>0</v>
      </c>
      <c r="G18" s="17" t="str">
        <f ca="1">IFERROR(MATCH(ROW()-ROW($G$2),'Damage Scenarios'!$S:$S,0),"")</f>
        <v/>
      </c>
      <c r="H18" s="11" cm="1">
        <f t="array" ref="H18">CreateTaskID($H$2,$H:$H,Tasks!$B$17,$E18)</f>
        <v>0</v>
      </c>
    </row>
    <row r="19" spans="1:8" x14ac:dyDescent="0.25">
      <c r="A19" s="13" t="str" cm="1">
        <f t="array" aca="1" ref="A19" ca="1">IF($G19="","",INDEX('Damage Scenarios'!A:A,$G19))</f>
        <v/>
      </c>
      <c r="B19" s="13" t="str" cm="1">
        <f t="array" aca="1" ref="B19" ca="1">IF($G19="","",INDEX('Damage Scenarios'!J:J,$G19))</f>
        <v/>
      </c>
      <c r="C19" s="13" t="str" cm="1">
        <f t="array" aca="1" ref="C19" ca="1">IF($G19="","",INDEX('Damage Scenarios'!M:M,$G19))</f>
        <v/>
      </c>
      <c r="D19" s="13" t="str" cm="1">
        <f t="array" aca="1" ref="D19" ca="1">IF($G19="","",INDEX('Damage Scenarios'!$O:$O,$G19))</f>
        <v/>
      </c>
      <c r="E19" s="10"/>
      <c r="F19" s="9" cm="1">
        <f t="array" aca="1" ref="F19" ca="1">CreateID($F$2,$A19&lt;&gt;"")</f>
        <v>0</v>
      </c>
      <c r="G19" s="17" t="str">
        <f ca="1">IFERROR(MATCH(ROW()-ROW($G$2),'Damage Scenarios'!$S:$S,0),"")</f>
        <v/>
      </c>
      <c r="H19" s="11" cm="1">
        <f t="array" ref="H19">CreateTaskID($H$2,$H:$H,Tasks!$B$17,$E19)</f>
        <v>0</v>
      </c>
    </row>
    <row r="20" spans="1:8" x14ac:dyDescent="0.25">
      <c r="A20" s="13" t="str" cm="1">
        <f t="array" aca="1" ref="A20" ca="1">IF($G20="","",INDEX('Damage Scenarios'!A:A,$G20))</f>
        <v/>
      </c>
      <c r="B20" s="13" t="str" cm="1">
        <f t="array" aca="1" ref="B20" ca="1">IF($G20="","",INDEX('Damage Scenarios'!J:J,$G20))</f>
        <v/>
      </c>
      <c r="C20" s="13" t="str" cm="1">
        <f t="array" aca="1" ref="C20" ca="1">IF($G20="","",INDEX('Damage Scenarios'!M:M,$G20))</f>
        <v/>
      </c>
      <c r="D20" s="13" t="str" cm="1">
        <f t="array" aca="1" ref="D20" ca="1">IF($G20="","",INDEX('Damage Scenarios'!$O:$O,$G20))</f>
        <v/>
      </c>
      <c r="E20" s="10"/>
      <c r="F20" s="9" cm="1">
        <f t="array" aca="1" ref="F20" ca="1">CreateID($F$2,$A20&lt;&gt;"")</f>
        <v>0</v>
      </c>
      <c r="G20" s="17" t="str">
        <f ca="1">IFERROR(MATCH(ROW()-ROW($G$2),'Damage Scenarios'!$S:$S,0),"")</f>
        <v/>
      </c>
      <c r="H20" s="11" cm="1">
        <f t="array" ref="H20">CreateTaskID($H$2,$H:$H,Tasks!$B$17,$E20)</f>
        <v>0</v>
      </c>
    </row>
  </sheetData>
  <phoneticPr fontId="4"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CF315-27FA-4AA2-984B-11893A7618E5}">
  <sheetPr>
    <tabColor theme="3"/>
  </sheetPr>
  <dimension ref="A1:AZ102"/>
  <sheetViews>
    <sheetView workbookViewId="0">
      <pane xSplit="2" ySplit="2" topLeftCell="C3" activePane="bottomRight" state="frozen"/>
      <selection pane="topRight" activeCell="C1" sqref="C1"/>
      <selection pane="bottomLeft" activeCell="A3" sqref="A3"/>
      <selection pane="bottomRight" activeCell="G104" sqref="G104"/>
    </sheetView>
  </sheetViews>
  <sheetFormatPr defaultColWidth="9.140625" defaultRowHeight="15" x14ac:dyDescent="0.25"/>
  <cols>
    <col min="1" max="1" width="15.7109375" style="4" customWidth="1"/>
    <col min="2" max="3" width="60.7109375" style="4" customWidth="1"/>
    <col min="4" max="4" width="15.7109375" style="4" customWidth="1"/>
    <col min="5" max="5" width="35.7109375" style="4" customWidth="1"/>
    <col min="6" max="7" width="15.7109375" style="4" customWidth="1"/>
    <col min="8" max="8" width="15.7109375" style="4" hidden="1" customWidth="1"/>
    <col min="9" max="9" width="15.5703125" style="2" hidden="1" customWidth="1"/>
    <col min="10" max="11" width="13.140625" style="2" hidden="1" customWidth="1"/>
    <col min="12" max="12" width="29.5703125" style="2" hidden="1" customWidth="1"/>
    <col min="13" max="13" width="13.140625" style="2" hidden="1" customWidth="1"/>
    <col min="14" max="14" width="24.85546875" style="2" hidden="1" customWidth="1"/>
    <col min="15" max="15" width="20.7109375" style="2" hidden="1" customWidth="1"/>
    <col min="16" max="16" width="18.5703125" style="2" hidden="1" customWidth="1"/>
    <col min="17" max="17" width="20" style="2" hidden="1" customWidth="1"/>
    <col min="18" max="18" width="9.140625" style="2" hidden="1" customWidth="1"/>
    <col min="19" max="19" width="10.5703125" style="2" hidden="1" customWidth="1"/>
    <col min="20" max="20" width="9.140625" style="2" hidden="1" customWidth="1"/>
    <col min="21" max="21" width="24.28515625" style="2" hidden="1" customWidth="1"/>
    <col min="22" max="22" width="20.42578125" style="2" hidden="1" customWidth="1"/>
    <col min="23" max="24" width="9.140625" style="2" hidden="1" customWidth="1"/>
    <col min="25" max="25" width="12" style="2" hidden="1" customWidth="1"/>
    <col min="26" max="26" width="17.7109375" style="2" hidden="1" customWidth="1"/>
    <col min="27" max="27" width="27.5703125" style="2" hidden="1" customWidth="1"/>
    <col min="28" max="28" width="9.7109375" style="2" hidden="1" customWidth="1"/>
    <col min="29" max="29" width="19.140625" style="2" hidden="1" customWidth="1"/>
    <col min="30" max="31" width="14.85546875" style="2" hidden="1" customWidth="1"/>
    <col min="32" max="33" width="14.140625" style="2" hidden="1" customWidth="1"/>
    <col min="34" max="34" width="38.5703125" style="2" hidden="1" customWidth="1"/>
    <col min="35" max="35" width="27.85546875" style="2" hidden="1" customWidth="1"/>
    <col min="36" max="36" width="23.7109375" style="2" hidden="1" customWidth="1"/>
    <col min="37" max="37" width="27.140625" style="2" hidden="1" customWidth="1"/>
    <col min="38" max="38" width="23.28515625" style="2" hidden="1" customWidth="1"/>
    <col min="39" max="39" width="9.28515625" style="2" hidden="1" customWidth="1"/>
    <col min="40" max="40" width="18.7109375" style="2" hidden="1" customWidth="1"/>
    <col min="41" max="41" width="14.42578125" style="2" hidden="1" customWidth="1"/>
    <col min="42" max="42" width="8.5703125" style="2" hidden="1" customWidth="1"/>
    <col min="43" max="43" width="13.7109375" style="2" hidden="1" customWidth="1"/>
    <col min="44" max="44" width="14.140625" style="2" hidden="1" customWidth="1"/>
    <col min="45" max="45" width="14.5703125" style="2" hidden="1" customWidth="1"/>
    <col min="46" max="47" width="24.28515625" style="2" hidden="1" customWidth="1"/>
    <col min="48" max="48" width="21.140625" style="2" hidden="1" customWidth="1"/>
    <col min="49" max="49" width="19" style="2" hidden="1" customWidth="1"/>
    <col min="50" max="50" width="18.85546875" style="2" hidden="1" customWidth="1"/>
    <col min="51" max="51" width="5.7109375" style="2" customWidth="1"/>
    <col min="52" max="52" width="40.7109375" style="2" customWidth="1"/>
    <col min="53" max="53" width="9.140625" style="2" customWidth="1"/>
    <col min="54" max="16384" width="9.140625" style="2"/>
  </cols>
  <sheetData>
    <row r="1" spans="1:52" s="80" customFormat="1" x14ac:dyDescent="0.25">
      <c r="A1" s="79" t="str" cm="1">
        <f t="array" aca="1" ref="A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HYPERLINK("#'"&amp;Helper!$G$2&amp;"'!"&amp;CHAR(CODE("A")+COLUMN(_xlpm._columnNameHeader)-1)&amp;_xlpm._entryOffset,Definitions!$AY$4)))(Helper!$G$12,A$2,README!$E:$E,README!$I$35,README!$B$35)</f>
        <v>◈</v>
      </c>
      <c r="B1" s="79" t="str" cm="1">
        <f t="array" aca="1" ref="B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HYPERLINK("#'"&amp;Helper!$G$2&amp;"'!"&amp;CHAR(CODE("A")+COLUMN(_xlpm._columnNameHeader)-1)&amp;_xlpm._entryOffset,Definitions!$AY$4)))(Helper!$G$12,B$2,README!$E:$E,README!$I$35,README!$B$35)</f>
        <v>◈</v>
      </c>
      <c r="C1" s="79" t="str" cm="1">
        <f t="array" aca="1" ref="C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HYPERLINK("#'"&amp;Helper!$G$2&amp;"'!"&amp;CHAR(CODE("A")+COLUMN(_xlpm._columnNameHeader)-1)&amp;_xlpm._entryOffset,Definitions!$AY$4)))(Helper!$G$12,C$2,README!$E:$E,README!$I$35,README!$B$35)</f>
        <v>◈</v>
      </c>
      <c r="D1" s="79" t="str" cm="1">
        <f t="array" aca="1" ref="D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HYPERLINK("#'"&amp;Helper!$G$2&amp;"'!"&amp;CHAR(CODE("A")+COLUMN(_xlpm._columnNameHeader)-1)&amp;_xlpm._entryOffset,Definitions!$AY$4)))(Helper!$G$12,D$2,README!$E:$E,README!$I$35,README!$B$35)</f>
        <v>◈</v>
      </c>
      <c r="E1" s="79" t="str" cm="1">
        <f t="array" aca="1" ref="E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HYPERLINK("#'"&amp;Helper!$G$2&amp;"'!"&amp;CHAR(CODE("A")+COLUMN(_xlpm._columnNameHeader)-1)&amp;_xlpm._entryOffset,Definitions!$AY$4)))(Helper!$G$12,E$2,README!$E:$E,README!$I$35,README!$B$35)</f>
        <v>◈</v>
      </c>
      <c r="F1" s="79" t="str" cm="1">
        <f t="array" aca="1" ref="F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HYPERLINK("#'"&amp;Helper!$G$2&amp;"'!"&amp;CHAR(CODE("A")+COLUMN(_xlpm._columnNameHeader)-1)&amp;_xlpm._entryOffset,Definitions!$AY$4)))(Helper!$G$12,F$2,README!$E:$E,README!$I$35,README!$B$35)</f>
        <v>◈</v>
      </c>
      <c r="G1" s="79" t="str" cm="1">
        <f t="array" aca="1" ref="G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HYPERLINK("#'"&amp;Helper!$G$2&amp;"'!"&amp;CHAR(CODE("A")+COLUMN(_xlpm._columnNameHeader)-1)&amp;_xlpm._entryOffset,Definitions!$AY$4)))(Helper!$G$12,G$2,README!$E:$E,README!$I$35,README!$B$35)</f>
        <v>◈</v>
      </c>
      <c r="H1" s="79"/>
    </row>
    <row r="2" spans="1:52" x14ac:dyDescent="0.25">
      <c r="A2" s="13" t="s">
        <v>147</v>
      </c>
      <c r="B2" s="13" t="s">
        <v>76</v>
      </c>
      <c r="C2" s="13" t="s">
        <v>128</v>
      </c>
      <c r="D2" s="13" t="s">
        <v>158</v>
      </c>
      <c r="E2" s="13" t="s">
        <v>423</v>
      </c>
      <c r="F2" s="13" t="s">
        <v>159</v>
      </c>
      <c r="G2" s="13" t="s">
        <v>160</v>
      </c>
      <c r="H2" s="10" t="s">
        <v>47</v>
      </c>
      <c r="I2" s="9" t="s">
        <v>148</v>
      </c>
      <c r="J2" s="9" t="s">
        <v>150</v>
      </c>
      <c r="K2" s="9" t="s">
        <v>154</v>
      </c>
      <c r="L2" s="9" t="s">
        <v>179</v>
      </c>
      <c r="M2" s="9" t="s">
        <v>155</v>
      </c>
      <c r="N2" s="9" t="s">
        <v>344</v>
      </c>
      <c r="O2" s="9" t="s">
        <v>343</v>
      </c>
      <c r="P2" s="9" t="s">
        <v>151</v>
      </c>
      <c r="Q2" s="9" t="s">
        <v>152</v>
      </c>
      <c r="R2" s="9" t="s">
        <v>149</v>
      </c>
      <c r="S2" s="9" t="s">
        <v>153</v>
      </c>
      <c r="T2" s="9" t="s">
        <v>161</v>
      </c>
      <c r="U2" s="9" t="s">
        <v>345</v>
      </c>
      <c r="V2" s="9" t="s">
        <v>346</v>
      </c>
      <c r="W2" s="9" t="s">
        <v>70</v>
      </c>
      <c r="X2" s="9" t="s">
        <v>220</v>
      </c>
      <c r="Y2" s="9" t="s">
        <v>243</v>
      </c>
      <c r="Z2" s="9" t="s">
        <v>244</v>
      </c>
      <c r="AA2" s="9" t="s">
        <v>246</v>
      </c>
      <c r="AB2" s="9" t="s">
        <v>249</v>
      </c>
      <c r="AC2" s="9" t="s">
        <v>1094</v>
      </c>
      <c r="AD2" s="9" t="s">
        <v>1096</v>
      </c>
      <c r="AE2" s="9" t="s">
        <v>250</v>
      </c>
      <c r="AF2" s="9" t="s">
        <v>251</v>
      </c>
      <c r="AG2" s="9" t="s">
        <v>253</v>
      </c>
      <c r="AH2" s="9" t="s">
        <v>1248</v>
      </c>
      <c r="AI2" s="9" t="s">
        <v>1253</v>
      </c>
      <c r="AJ2" s="9" t="s">
        <v>1254</v>
      </c>
      <c r="AK2" s="9" t="s">
        <v>1251</v>
      </c>
      <c r="AL2" s="9" t="s">
        <v>1252</v>
      </c>
      <c r="AM2" s="9" t="s">
        <v>1242</v>
      </c>
      <c r="AN2" s="9" t="s">
        <v>1243</v>
      </c>
      <c r="AO2" s="9" t="s">
        <v>1244</v>
      </c>
      <c r="AP2" s="9" t="s">
        <v>1245</v>
      </c>
      <c r="AQ2" s="9" t="s">
        <v>1246</v>
      </c>
      <c r="AR2" s="9" t="s">
        <v>1247</v>
      </c>
      <c r="AS2" s="9" t="s">
        <v>461</v>
      </c>
      <c r="AT2" s="9" t="s">
        <v>463</v>
      </c>
      <c r="AU2" s="9" t="s">
        <v>464</v>
      </c>
      <c r="AV2" s="9" t="s">
        <v>1132</v>
      </c>
      <c r="AW2" s="9" t="s">
        <v>1133</v>
      </c>
      <c r="AX2" s="9" t="s">
        <v>1498</v>
      </c>
      <c r="AZ2" s="39" t="str">
        <f ca="1">IF(IFERROR(MATCH(TRUE,$AS:$AS,0)&gt;0,FALSE),"","Please enlarge the table to calculate all risks!")</f>
        <v/>
      </c>
    </row>
    <row r="3" spans="1:52" x14ac:dyDescent="0.25">
      <c r="A3" s="13" t="str" cm="1">
        <f t="array" aca="1" ref="A3" ca="1">IF($B3="","","R"&amp;RemoveDelimiter(SUBSTITUTE(SUBSTITUTE($K3,"AS",""),",","-"),"-"))</f>
        <v/>
      </c>
      <c r="B3" s="13" t="str" cm="1">
        <f t="array" aca="1" ref="B3" ca="1">IF($L3="","",_xlfn.LET(
_xlpm._finalAttackStep,$L3,
_xlpm._prepAttacks,RemoveFirstElement(_xlpm._finalAttackStep&amp;","&amp;$K3),
_xlpm._prepAttackNames,IFERROR(LookupNames(_xlpm._prepAttacks,'Attack Steps'!$A:$B),""),
_xlpm._delimiter,REPT(CHAR(150),55),
$L3&amp;" "&amp;SimpleLookup($L3,'Attack Steps'!$A:$B)&amp;
IF(_xlpm._prepAttackNames="","",CHAR(10)&amp;_xlpm._delimiter&amp;CHAR(10)&amp;_xlpm._prepAttackNames)))</f>
        <v/>
      </c>
      <c r="C3" s="16" t="str" cm="1">
        <f t="array" aca="1" ref="C3" ca="1">IFERROR(LookupNames($M3,'Damage Scenarios'!$A:$V),"")</f>
        <v/>
      </c>
      <c r="D3" s="13" t="str">
        <f ca="1">IFERROR(IF($T3=0,"",INDEX(Definitions!$Q:$Q,MATCH($T3,Definitions!$R:$R,0))),"")</f>
        <v/>
      </c>
      <c r="E3" s="16" t="str" cm="1">
        <f t="array" aca="1" ref="E3" ca="1">IF($K3="","",_xlfn.LET(
_xlpm._listOfAttackSteps,$K3,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3" s="13" t="str">
        <f ca="1">IF($A3="","",IFERROR(VLOOKUP($W3,Definitions!$V:$W,COLUMNS(Definitions!$V:$W),TRUE),""))</f>
        <v/>
      </c>
      <c r="G3" s="13" t="str">
        <f ca="1">IFERROR(IF(OR($D3="",$F3=""),
"",
VLOOKUP($D3,Definitions!$AH:$AM,MATCH($F3,Definitions!$AH$3:$AM$3,0),FALSE)),
"")</f>
        <v/>
      </c>
      <c r="H3" s="10" cm="1">
        <f t="array" aca="1" ref="H3" ca="1">CreateID($H$2,$A3&lt;&gt;"")</f>
        <v>0</v>
      </c>
      <c r="I3" s="9" cm="1">
        <f t="array" ref="I3">IF(ROW()=ROW($I$2)+1,
1,
INDEX($I:$I,ROW()-1)+IF(INDEX($S:$S,ROW()-1),1,0))</f>
        <v>1</v>
      </c>
      <c r="J3" s="9">
        <f t="shared" ref="J3:J34" ca="1" si="0">COUNTIF(OFFSET($I$2,1,0,ROW()-ROW($I$2),1),$I3)</f>
        <v>1</v>
      </c>
      <c r="K3" s="9" t="str">
        <f t="shared" ref="K3:K34" ca="1" si="1">IF($Q3="","",_xlfn.LET(
_xlpm._aps,$Q3,
_xlpm._firstPos,FIND("$",SUBSTITUTE(_xlpm._aps,"§","$",$J3))+1,
_xlpm._lastPos,FIND("$",SUBSTITUTE(_xlpm._aps,"§","$",$J3+1)),
MID(_xlpm._aps,_xlpm._firstPos,_xlpm._lastPos-_xlpm._firstPos)))</f>
        <v/>
      </c>
      <c r="L3" s="9" t="str" cm="1">
        <f t="array" aca="1" ref="L3" ca="1">IF($P3="","",INDEX('Attack Steps'!$A:$A,$P3))</f>
        <v/>
      </c>
      <c r="M3" s="9" t="str" cm="1">
        <f t="array" aca="1" ref="M3" ca="1">IF($P3="","",INDEX('Attack Steps'!$U:$U,$P3))</f>
        <v/>
      </c>
      <c r="N3" s="9" t="str" cm="1">
        <f t="array" aca="1" ref="N3" ca="1">_xlfn.LET(_xlpm._dm,SanitizeInput(GetValuesWithFallback(SanitizeInput($AA3),Assumptions!$A:$J,Countermeasures!$A:$J,"",",",FALSE)),
IF(_xlpm._dm="","",","&amp;_xlpm._dm))</f>
        <v/>
      </c>
      <c r="O3" s="9" t="str" cm="1">
        <f t="array" aca="1" ref="O3" ca="1">ApplyDamageMitigation($M3,$N3,"")</f>
        <v/>
      </c>
      <c r="P3" s="9" t="str">
        <f ca="1">IFERROR(MATCH($I3,'Attack Steps'!$W:$W,0),"")</f>
        <v/>
      </c>
      <c r="Q3" s="9" t="str" cm="1">
        <f t="array" aca="1" ref="Q3" ca="1">IF($P3="","","§"&amp;INDEX('Attack Steps'!$T:$T,$P3))</f>
        <v/>
      </c>
      <c r="R3" s="9" t="str" cm="1">
        <f t="array" aca="1" ref="R3" ca="1">IF($P3="","",INDEX('Attack Steps'!$X:$X,$P3))</f>
        <v/>
      </c>
      <c r="S3" s="9" t="b">
        <f t="shared" ref="S3:S34" ca="1" si="2">$J3=$R3</f>
        <v>0</v>
      </c>
      <c r="T3" s="9" cm="1">
        <f t="array" aca="1" ref="T3" ca="1">IF($M3="",0,OperateOnList($M3,_xlfn.LAMBDA(_xlpm._x,SimpleLookup(_xlpm._x,'Damage Scenarios'!$A:$U)),_xlfn.LAMBDA(_xlpm._x,_xlpm._y,MAX(_xlpm._x,_xlpm._y))))</f>
        <v>0</v>
      </c>
      <c r="U3" s="9" cm="1">
        <f t="array" aca="1" ref="U3" ca="1">IF($O3="",0,OperateOnList($O3,_xlfn.LAMBDA(_xlpm._x,SimpleLookup(_xlpm._x,'Damage Scenarios'!$A:$U)),_xlfn.LAMBDA(_xlpm._x,_xlpm._y,MAX(_xlpm._x,_xlpm._y))))</f>
        <v>0</v>
      </c>
      <c r="V3" s="9" t="str">
        <f ca="1">IF($U3=0,"",INDEX(Definitions!$Q:$Q,MATCH($U3,Definitions!$R:$R,0)))</f>
        <v/>
      </c>
      <c r="W3" s="9" cm="1">
        <f t="array" aca="1" ref="W3" ca="1">IF($K3="",0,_xlfn.LET(
_xlpm._listOfAttackSteps,$K3,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3" s="9" t="str" cm="1">
        <f t="array" aca="1" ref="X3" ca="1">IF(ROW()=ROW($X$2)+1,"",INDEX($X:$X,ROW()-1))&amp;IF($A3="","",$A3&amp;",")</f>
        <v/>
      </c>
      <c r="Y3" s="9" t="str" cm="1">
        <f t="array" aca="1" ref="Y3" ca="1">CreateSearchString($K3)</f>
        <v/>
      </c>
      <c r="Z3" s="9" cm="1">
        <f t="array" aca="1" ref="Z3" ca="1">IF($G3="",0,SimpleLookup($G3,Definitions!$AE:$AF))</f>
        <v>0</v>
      </c>
      <c r="AA3" s="9" t="str" cm="1">
        <f t="array" aca="1" ref="AA3" ca="1">SanitizeInput(InverseLookup($A3,Mitigation!$U$2,Mitigation!$J$2,1,Helper!$B$5,","))</f>
        <v/>
      </c>
      <c r="AB3" s="9" cm="1">
        <f t="array" aca="1" ref="AB3" ca="1">IF($K3="",0,_xlfn.LET(
_xlpm._listOfAttackStepsAndMitigations,$K3&amp;$AA3,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3" s="9" t="str">
        <f ca="1">IFERROR(VLOOKUP($AB3,Definitions!$V:$W,COLUMNS(Definitions!$V:$W),TRUE),"")</f>
        <v>Basic</v>
      </c>
      <c r="AD3" s="9" t="str">
        <f ca="1">_xlfn.LET(
_xlpm._comments,GetValues($K3,Mitigation!$A:$O,"","",FALSE),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3" s="9" t="str" cm="1">
        <f t="array" aca="1" ref="AE3" ca="1">_xlfn.LET(
_xlpm._rapRange,Definitions!$W:$W,
_xlpm._calculatedRAP,$AC3,
_xlpm._inlineRAP,$AD3,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3" s="9" t="str">
        <f ca="1">IFERROR(IF(OR($V3="",$AE3=""),
Definitions!$AE$4,
VLOOKUP($V3,Definitions!$AH:$AM,MATCH($AE3,Definitions!$AH$3:$AM$3,0),FALSE)),
"")</f>
        <v>No Risk</v>
      </c>
      <c r="AG3" s="9" cm="1">
        <f t="array" aca="1" ref="AG3" ca="1">IF($AF3="",0,SimpleLookup($AF3,Definitions!$AE:$AF))</f>
        <v>0</v>
      </c>
      <c r="AH3" s="9" t="str" cm="1">
        <f t="array" aca="1" ref="AH3" ca="1">IFERROR(SimpleLookup($A3,Tracing!$B:$Z),"")</f>
        <v/>
      </c>
      <c r="AI3" s="9" t="str" cm="1">
        <f t="array" aca="1" ref="AI3" ca="1">_xlfn.LET(_xlpm._dm,SanitizeInput(GetValuesWithFallback(SanitizeInput($AH3),Assumptions!$A:$J,Countermeasures!$A:$J,"",",",FALSE)),
IF(_xlpm._dm="","",","&amp;_xlpm._dm))</f>
        <v/>
      </c>
      <c r="AJ3" s="9" t="str" cm="1">
        <f t="array" aca="1" ref="AJ3" ca="1">ApplyDamageMitigation($M3,$AI3,"")</f>
        <v/>
      </c>
      <c r="AK3" s="9" cm="1">
        <f t="array" aca="1" ref="AK3" ca="1">CalculateMaxFromList($AJ3,0,'Damage Scenarios'!$A:$U)</f>
        <v>0</v>
      </c>
      <c r="AL3" s="9" t="str">
        <f ca="1">IF($AK3=0,"",INDEX(Definitions!$Q:$Q,MATCH($AK3,Definitions!$R:$R,0)))</f>
        <v/>
      </c>
      <c r="AM3" s="9" cm="1">
        <f t="array" aca="1" ref="AM3" ca="1">IF($K3="",0,_xlfn.LET(
_xlpm._listOfAttackStepsAndMitigations,$K3&amp;$AH3,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3" s="9" t="str">
        <f ca="1">IFERROR(VLOOKUP($AM3,Definitions!$V:$W,COLUMNS(Definitions!$V:$W),TRUE),"")</f>
        <v>Basic</v>
      </c>
      <c r="AO3" s="9" t="str">
        <f ca="1">_xlfn.LET(
_xlpm._comments,SimpleLookup($A3,Tracing!$B:$AB),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3" s="9" t="str" cm="1">
        <f t="array" aca="1" ref="AP3" ca="1">_xlfn.LET(
_xlpm._rapRange,Definitions!$W:$W,
_xlpm._calculatedRAP,$AN3,
_xlpm._inlineRAP,$AO3,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3" s="9" t="str">
        <f ca="1">IFERROR(IF(OR($AL3="",$AP3=""),
Definitions!$AE$4,
VLOOKUP($AL3,Definitions!$AH:$AM,MATCH($AP3,Definitions!$AH$3:$AM$3,0),FALSE)),
"")</f>
        <v>No Risk</v>
      </c>
      <c r="AR3" s="9" cm="1">
        <f t="array" aca="1" ref="AR3" ca="1">IF($AQ3="",0,SimpleLookup($AQ3,Definitions!$AE:$AF))</f>
        <v>0</v>
      </c>
      <c r="AS3" s="9" t="b">
        <f ca="1">OR(AND($S3,$I3=Helper!$B$7),$I3&gt;Helper!$B$7)</f>
        <v>1</v>
      </c>
      <c r="AT3" s="9" t="str">
        <f t="shared" ref="AT3:AT34" ca="1" si="3">IF(NOT(OR($AS3,AND(NOT($AS3),OFFSET($AS3,1,0)&lt;&gt;""))),"Please enlarge the table!","")</f>
        <v/>
      </c>
      <c r="AU3" s="9" cm="1">
        <f t="array" aca="1" ref="AU3" ca="1">CreateID($AU$2,$AT3&lt;&gt;"")</f>
        <v>0</v>
      </c>
      <c r="AV3" s="9" t="str">
        <f ca="1">IF(IFERROR(MATCH(","&amp;A3&amp;",",'Risk Treatment'!$AT:$AT,0)&gt;0,FALSE),"",$A3)</f>
        <v/>
      </c>
      <c r="AW3" s="9" cm="1">
        <f t="array" aca="1" ref="AW3" ca="1">CreateID($AW$2,$AV3&lt;&gt;"")</f>
        <v>0</v>
      </c>
      <c r="AX3" s="9" t="str" cm="1">
        <f t="array" aca="1" ref="AX3" ca="1">CreateSearchString($AA3)</f>
        <v/>
      </c>
    </row>
    <row r="4" spans="1:52" x14ac:dyDescent="0.25">
      <c r="A4" s="13" t="str" cm="1">
        <f t="array" aca="1" ref="A4" ca="1">IF($B4="","","R"&amp;RemoveDelimiter(SUBSTITUTE(SUBSTITUTE($K4,"AS",""),",","-"),"-"))</f>
        <v/>
      </c>
      <c r="B4" s="13" t="str" cm="1">
        <f t="array" aca="1" ref="B4" ca="1">IF($L4="","",_xlfn.LET(
_xlpm._finalAttackStep,$L4,
_xlpm._prepAttacks,RemoveFirstElement(_xlpm._finalAttackStep&amp;","&amp;$K4),
_xlpm._prepAttackNames,IFERROR(LookupNames(_xlpm._prepAttacks,'Attack Steps'!$A:$B),""),
_xlpm._delimiter,REPT(CHAR(150),55),
$L4&amp;" "&amp;SimpleLookup($L4,'Attack Steps'!$A:$B)&amp;
IF(_xlpm._prepAttackNames="","",CHAR(10)&amp;_xlpm._delimiter&amp;CHAR(10)&amp;_xlpm._prepAttackNames)))</f>
        <v/>
      </c>
      <c r="C4" s="16" t="str" cm="1">
        <f t="array" aca="1" ref="C4" ca="1">IFERROR(LookupNames($M4,'Damage Scenarios'!$A:$V),"")</f>
        <v/>
      </c>
      <c r="D4" s="13" t="str">
        <f ca="1">IFERROR(IF($T4=0,"",INDEX(Definitions!$Q:$Q,MATCH($T4,Definitions!$R:$R,0))),"")</f>
        <v/>
      </c>
      <c r="E4" s="16" t="str" cm="1">
        <f t="array" aca="1" ref="E4" ca="1">IF($K4="","",_xlfn.LET(
_xlpm._listOfAttackSteps,$K4,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4" s="13" t="str">
        <f ca="1">IF($A4="","",IFERROR(VLOOKUP($W4,Definitions!$V:$W,COLUMNS(Definitions!$V:$W),TRUE),""))</f>
        <v/>
      </c>
      <c r="G4" s="13" t="str">
        <f ca="1">IFERROR(IF(OR($D4="",$F4=""),
"",
VLOOKUP($D4,Definitions!$AH:$AM,MATCH($F4,Definitions!$AH$3:$AM$3,0),FALSE)),
"")</f>
        <v/>
      </c>
      <c r="H4" s="10" cm="1">
        <f t="array" aca="1" ref="H4" ca="1">CreateID($H$2,$A4&lt;&gt;"")</f>
        <v>0</v>
      </c>
      <c r="I4" s="9" cm="1">
        <f t="array" aca="1" ref="I4" ca="1">IF(ROW()=ROW($I$2)+1,
1,
INDEX($I:$I,ROW()-1)+IF(INDEX($S:$S,ROW()-1),1,0))</f>
        <v>1</v>
      </c>
      <c r="J4" s="9">
        <f t="shared" ca="1" si="0"/>
        <v>2</v>
      </c>
      <c r="K4" s="9" t="str">
        <f t="shared" ca="1" si="1"/>
        <v/>
      </c>
      <c r="L4" s="9" t="str" cm="1">
        <f t="array" aca="1" ref="L4" ca="1">IF($P4="","",INDEX('Attack Steps'!$A:$A,$P4))</f>
        <v/>
      </c>
      <c r="M4" s="9" t="str" cm="1">
        <f t="array" aca="1" ref="M4" ca="1">IF($P4="","",INDEX('Attack Steps'!$U:$U,$P4))</f>
        <v/>
      </c>
      <c r="N4" s="9" t="str" cm="1">
        <f t="array" aca="1" ref="N4" ca="1">_xlfn.LET(_xlpm._dm,SanitizeInput(GetValuesWithFallback(SanitizeInput($AA4),Assumptions!$A:$J,Countermeasures!$A:$J,"",",",FALSE)),
IF(_xlpm._dm="","",","&amp;_xlpm._dm))</f>
        <v/>
      </c>
      <c r="O4" s="9" t="str" cm="1">
        <f t="array" aca="1" ref="O4" ca="1">ApplyDamageMitigation($M4,$N4,"")</f>
        <v/>
      </c>
      <c r="P4" s="9" t="str">
        <f ca="1">IFERROR(MATCH($I4,'Attack Steps'!$W:$W,0),"")</f>
        <v/>
      </c>
      <c r="Q4" s="9" t="str" cm="1">
        <f t="array" aca="1" ref="Q4" ca="1">IF($P4="","","§"&amp;INDEX('Attack Steps'!$T:$T,$P4))</f>
        <v/>
      </c>
      <c r="R4" s="9" t="str" cm="1">
        <f t="array" aca="1" ref="R4" ca="1">IF($P4="","",INDEX('Attack Steps'!$X:$X,$P4))</f>
        <v/>
      </c>
      <c r="S4" s="9" t="b">
        <f t="shared" ca="1" si="2"/>
        <v>0</v>
      </c>
      <c r="T4" s="9" cm="1">
        <f t="array" aca="1" ref="T4" ca="1">IF($M4="",0,OperateOnList($M4,_xlfn.LAMBDA(_xlpm._x,SimpleLookup(_xlpm._x,'Damage Scenarios'!$A:$U)),_xlfn.LAMBDA(_xlpm._x,_xlpm._y,MAX(_xlpm._x,_xlpm._y))))</f>
        <v>0</v>
      </c>
      <c r="U4" s="9" cm="1">
        <f t="array" aca="1" ref="U4" ca="1">IF($O4="",0,OperateOnList($O4,_xlfn.LAMBDA(_xlpm._x,SimpleLookup(_xlpm._x,'Damage Scenarios'!$A:$U)),_xlfn.LAMBDA(_xlpm._x,_xlpm._y,MAX(_xlpm._x,_xlpm._y))))</f>
        <v>0</v>
      </c>
      <c r="V4" s="9" t="str">
        <f ca="1">IF($U4=0,"",INDEX(Definitions!$Q:$Q,MATCH($U4,Definitions!$R:$R,0)))</f>
        <v/>
      </c>
      <c r="W4" s="9" cm="1">
        <f t="array" aca="1" ref="W4" ca="1">IF($K4="",0,_xlfn.LET(
_xlpm._listOfAttackSteps,$K4,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4" s="9" t="str" cm="1">
        <f t="array" aca="1" ref="X4" ca="1">IF(ROW()=ROW($X$2)+1,"",INDEX($X:$X,ROW()-1))&amp;IF($A4="","",$A4&amp;",")</f>
        <v/>
      </c>
      <c r="Y4" s="9" t="str" cm="1">
        <f t="array" aca="1" ref="Y4" ca="1">CreateSearchString($K4)</f>
        <v/>
      </c>
      <c r="Z4" s="9" cm="1">
        <f t="array" aca="1" ref="Z4" ca="1">IF($G4="",0,SimpleLookup($G4,Definitions!$AE:$AF))</f>
        <v>0</v>
      </c>
      <c r="AA4" s="9" t="str" cm="1">
        <f t="array" aca="1" ref="AA4" ca="1">SanitizeInput(InverseLookup($A4,Mitigation!$U$2,Mitigation!$J$2,1,Helper!$B$5,","))</f>
        <v/>
      </c>
      <c r="AB4" s="9" cm="1">
        <f t="array" aca="1" ref="AB4" ca="1">IF($K4="",0,_xlfn.LET(
_xlpm._listOfAttackStepsAndMitigations,$K4&amp;$AA4,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4" s="9" t="str">
        <f ca="1">IFERROR(VLOOKUP($AB4,Definitions!$V:$W,COLUMNS(Definitions!$V:$W),TRUE),"")</f>
        <v>Basic</v>
      </c>
      <c r="AD4" s="9" t="str">
        <f ca="1">_xlfn.LET(
_xlpm._comments,GetValues($K4,Mitigation!$A:$O,"","",FALSE),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4" s="9" t="str" cm="1">
        <f t="array" aca="1" ref="AE4" ca="1">_xlfn.LET(
_xlpm._rapRange,Definitions!$W:$W,
_xlpm._calculatedRAP,$AC4,
_xlpm._inlineRAP,$AD4,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4" s="9" t="str">
        <f ca="1">IFERROR(IF(OR($V4="",$AE4=""),
Definitions!$AE$4,
VLOOKUP($V4,Definitions!$AH:$AM,MATCH($AE4,Definitions!$AH$3:$AM$3,0),FALSE)),
"")</f>
        <v>No Risk</v>
      </c>
      <c r="AG4" s="9" cm="1">
        <f t="array" aca="1" ref="AG4" ca="1">IF($AF4="",0,SimpleLookup($AF4,Definitions!$AE:$AF))</f>
        <v>0</v>
      </c>
      <c r="AH4" s="9" t="str" cm="1">
        <f t="array" aca="1" ref="AH4" ca="1">IFERROR(SimpleLookup($A4,Tracing!$B:$Z),"")</f>
        <v/>
      </c>
      <c r="AI4" s="9" t="str" cm="1">
        <f t="array" aca="1" ref="AI4" ca="1">_xlfn.LET(_xlpm._dm,SanitizeInput(GetValuesWithFallback(SanitizeInput($AH4),Assumptions!$A:$J,Countermeasures!$A:$J,"",",",FALSE)),
IF(_xlpm._dm="","",","&amp;_xlpm._dm))</f>
        <v/>
      </c>
      <c r="AJ4" s="9" t="str" cm="1">
        <f t="array" aca="1" ref="AJ4" ca="1">ApplyDamageMitigation($M4,$AI4,"")</f>
        <v/>
      </c>
      <c r="AK4" s="9" cm="1">
        <f t="array" aca="1" ref="AK4" ca="1">CalculateMaxFromList($AJ4,0,'Damage Scenarios'!$A:$U)</f>
        <v>0</v>
      </c>
      <c r="AL4" s="9" t="str">
        <f ca="1">IF($AK4=0,"",INDEX(Definitions!$Q:$Q,MATCH($AK4,Definitions!$R:$R,0)))</f>
        <v/>
      </c>
      <c r="AM4" s="9" cm="1">
        <f t="array" aca="1" ref="AM4" ca="1">IF($K4="",0,_xlfn.LET(
_xlpm._listOfAttackStepsAndMitigations,$K4&amp;$AH4,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4" s="9" t="str">
        <f ca="1">IFERROR(VLOOKUP($AM4,Definitions!$V:$W,COLUMNS(Definitions!$V:$W),TRUE),"")</f>
        <v>Basic</v>
      </c>
      <c r="AO4" s="9" t="str">
        <f ca="1">_xlfn.LET(
_xlpm._comments,SimpleLookup($A4,Tracing!$B:$AB),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4" s="9" t="str" cm="1">
        <f t="array" aca="1" ref="AP4" ca="1">_xlfn.LET(
_xlpm._rapRange,Definitions!$W:$W,
_xlpm._calculatedRAP,$AN4,
_xlpm._inlineRAP,$AO4,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4" s="9" t="str">
        <f ca="1">IFERROR(IF(OR($AL4="",$AP4=""),
Definitions!$AE$4,
VLOOKUP($AL4,Definitions!$AH:$AM,MATCH($AP4,Definitions!$AH$3:$AM$3,0),FALSE)),
"")</f>
        <v>No Risk</v>
      </c>
      <c r="AR4" s="9" cm="1">
        <f t="array" aca="1" ref="AR4" ca="1">IF($AQ4="",0,SimpleLookup($AQ4,Definitions!$AE:$AF))</f>
        <v>0</v>
      </c>
      <c r="AS4" s="9" t="b">
        <f ca="1">OR(AND($S4,$I4=Helper!$B$7),$I4&gt;Helper!$B$7)</f>
        <v>1</v>
      </c>
      <c r="AT4" s="9" t="str">
        <f t="shared" ca="1" si="3"/>
        <v/>
      </c>
      <c r="AU4" s="9" cm="1">
        <f t="array" aca="1" ref="AU4" ca="1">CreateID($AU$2,$AT4&lt;&gt;"")</f>
        <v>0</v>
      </c>
      <c r="AV4" s="9" t="str">
        <f ca="1">IF(IFERROR(MATCH(","&amp;A4&amp;",",'Risk Treatment'!$AT:$AT,0)&gt;0,FALSE),"",$A4)</f>
        <v/>
      </c>
      <c r="AW4" s="9" cm="1">
        <f t="array" aca="1" ref="AW4" ca="1">CreateID($AW$2,$AV4&lt;&gt;"")</f>
        <v>0</v>
      </c>
      <c r="AX4" s="9" t="str" cm="1">
        <f t="array" aca="1" ref="AX4" ca="1">CreateSearchString($AA4)</f>
        <v/>
      </c>
    </row>
    <row r="5" spans="1:52" x14ac:dyDescent="0.25">
      <c r="A5" s="13" t="str" cm="1">
        <f t="array" aca="1" ref="A5" ca="1">IF($B5="","","R"&amp;RemoveDelimiter(SUBSTITUTE(SUBSTITUTE($K5,"AS",""),",","-"),"-"))</f>
        <v/>
      </c>
      <c r="B5" s="13" t="str" cm="1">
        <f t="array" aca="1" ref="B5" ca="1">IF($L5="","",_xlfn.LET(
_xlpm._finalAttackStep,$L5,
_xlpm._prepAttacks,RemoveFirstElement(_xlpm._finalAttackStep&amp;","&amp;$K5),
_xlpm._prepAttackNames,IFERROR(LookupNames(_xlpm._prepAttacks,'Attack Steps'!$A:$B),""),
_xlpm._delimiter,REPT(CHAR(150),55),
$L5&amp;" "&amp;SimpleLookup($L5,'Attack Steps'!$A:$B)&amp;
IF(_xlpm._prepAttackNames="","",CHAR(10)&amp;_xlpm._delimiter&amp;CHAR(10)&amp;_xlpm._prepAttackNames)))</f>
        <v/>
      </c>
      <c r="C5" s="16" t="str" cm="1">
        <f t="array" aca="1" ref="C5" ca="1">IFERROR(LookupNames($M5,'Damage Scenarios'!$A:$V),"")</f>
        <v/>
      </c>
      <c r="D5" s="13" t="str">
        <f ca="1">IFERROR(IF($T5=0,"",INDEX(Definitions!$Q:$Q,MATCH($T5,Definitions!$R:$R,0))),"")</f>
        <v/>
      </c>
      <c r="E5" s="16" t="str" cm="1">
        <f t="array" aca="1" ref="E5" ca="1">IF($K5="","",_xlfn.LET(
_xlpm._listOfAttackSteps,$K5,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5" s="13" t="str">
        <f ca="1">IF($A5="","",IFERROR(VLOOKUP($W5,Definitions!$V:$W,COLUMNS(Definitions!$V:$W),TRUE),""))</f>
        <v/>
      </c>
      <c r="G5" s="13" t="str">
        <f ca="1">IFERROR(IF(OR($D5="",$F5=""),
"",
VLOOKUP($D5,Definitions!$AH:$AM,MATCH($F5,Definitions!$AH$3:$AM$3,0),FALSE)),
"")</f>
        <v/>
      </c>
      <c r="H5" s="10" cm="1">
        <f t="array" aca="1" ref="H5" ca="1">CreateID($H$2,$A5&lt;&gt;"")</f>
        <v>0</v>
      </c>
      <c r="I5" s="9" cm="1">
        <f t="array" aca="1" ref="I5" ca="1">IF(ROW()=ROW($I$2)+1,
1,
INDEX($I:$I,ROW()-1)+IF(INDEX($S:$S,ROW()-1),1,0))</f>
        <v>1</v>
      </c>
      <c r="J5" s="9">
        <f t="shared" ca="1" si="0"/>
        <v>3</v>
      </c>
      <c r="K5" s="9" t="str">
        <f t="shared" ca="1" si="1"/>
        <v/>
      </c>
      <c r="L5" s="9" t="str" cm="1">
        <f t="array" aca="1" ref="L5" ca="1">IF($P5="","",INDEX('Attack Steps'!$A:$A,$P5))</f>
        <v/>
      </c>
      <c r="M5" s="9" t="str" cm="1">
        <f t="array" aca="1" ref="M5" ca="1">IF($P5="","",INDEX('Attack Steps'!$U:$U,$P5))</f>
        <v/>
      </c>
      <c r="N5" s="9" t="str" cm="1">
        <f t="array" aca="1" ref="N5" ca="1">_xlfn.LET(_xlpm._dm,SanitizeInput(GetValuesWithFallback(SanitizeInput($AA5),Assumptions!$A:$J,Countermeasures!$A:$J,"",",",FALSE)),
IF(_xlpm._dm="","",","&amp;_xlpm._dm))</f>
        <v/>
      </c>
      <c r="O5" s="9" t="str" cm="1">
        <f t="array" aca="1" ref="O5" ca="1">ApplyDamageMitigation($M5,$N5,"")</f>
        <v/>
      </c>
      <c r="P5" s="9" t="str">
        <f ca="1">IFERROR(MATCH($I5,'Attack Steps'!$W:$W,0),"")</f>
        <v/>
      </c>
      <c r="Q5" s="9" t="str" cm="1">
        <f t="array" aca="1" ref="Q5" ca="1">IF($P5="","","§"&amp;INDEX('Attack Steps'!$T:$T,$P5))</f>
        <v/>
      </c>
      <c r="R5" s="9" t="str" cm="1">
        <f t="array" aca="1" ref="R5" ca="1">IF($P5="","",INDEX('Attack Steps'!$X:$X,$P5))</f>
        <v/>
      </c>
      <c r="S5" s="9" t="b">
        <f t="shared" ca="1" si="2"/>
        <v>0</v>
      </c>
      <c r="T5" s="9" cm="1">
        <f t="array" aca="1" ref="T5" ca="1">IF($M5="",0,OperateOnList($M5,_xlfn.LAMBDA(_xlpm._x,SimpleLookup(_xlpm._x,'Damage Scenarios'!$A:$U)),_xlfn.LAMBDA(_xlpm._x,_xlpm._y,MAX(_xlpm._x,_xlpm._y))))</f>
        <v>0</v>
      </c>
      <c r="U5" s="9" cm="1">
        <f t="array" aca="1" ref="U5" ca="1">IF($O5="",0,OperateOnList($O5,_xlfn.LAMBDA(_xlpm._x,SimpleLookup(_xlpm._x,'Damage Scenarios'!$A:$U)),_xlfn.LAMBDA(_xlpm._x,_xlpm._y,MAX(_xlpm._x,_xlpm._y))))</f>
        <v>0</v>
      </c>
      <c r="V5" s="9" t="str">
        <f ca="1">IF($U5=0,"",INDEX(Definitions!$Q:$Q,MATCH($U5,Definitions!$R:$R,0)))</f>
        <v/>
      </c>
      <c r="W5" s="9" cm="1">
        <f t="array" aca="1" ref="W5" ca="1">IF($K5="",0,_xlfn.LET(
_xlpm._listOfAttackSteps,$K5,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5" s="9" t="str" cm="1">
        <f t="array" aca="1" ref="X5" ca="1">IF(ROW()=ROW($X$2)+1,"",INDEX($X:$X,ROW()-1))&amp;IF($A5="","",$A5&amp;",")</f>
        <v/>
      </c>
      <c r="Y5" s="9" t="str" cm="1">
        <f t="array" aca="1" ref="Y5" ca="1">CreateSearchString($K5)</f>
        <v/>
      </c>
      <c r="Z5" s="9" cm="1">
        <f t="array" aca="1" ref="Z5" ca="1">IF($G5="",0,SimpleLookup($G5,Definitions!$AE:$AF))</f>
        <v>0</v>
      </c>
      <c r="AA5" s="9" t="str" cm="1">
        <f t="array" aca="1" ref="AA5" ca="1">SanitizeInput(InverseLookup($A5,Mitigation!$U$2,Mitigation!$J$2,1,Helper!$B$5,","))</f>
        <v/>
      </c>
      <c r="AB5" s="9" cm="1">
        <f t="array" aca="1" ref="AB5" ca="1">IF($K5="",0,_xlfn.LET(
_xlpm._listOfAttackStepsAndMitigations,$K5&amp;$AA5,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5" s="9" t="str">
        <f ca="1">IFERROR(VLOOKUP($AB5,Definitions!$V:$W,COLUMNS(Definitions!$V:$W),TRUE),"")</f>
        <v>Basic</v>
      </c>
      <c r="AD5" s="9" t="str">
        <f ca="1">_xlfn.LET(
_xlpm._comments,GetValues($K5,Mitigation!$A:$O,"","",FALSE),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5" s="9" t="str" cm="1">
        <f t="array" aca="1" ref="AE5" ca="1">_xlfn.LET(
_xlpm._rapRange,Definitions!$W:$W,
_xlpm._calculatedRAP,$AC5,
_xlpm._inlineRAP,$AD5,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5" s="9" t="str">
        <f ca="1">IFERROR(IF(OR($V5="",$AE5=""),
Definitions!$AE$4,
VLOOKUP($V5,Definitions!$AH:$AM,MATCH($AE5,Definitions!$AH$3:$AM$3,0),FALSE)),
"")</f>
        <v>No Risk</v>
      </c>
      <c r="AG5" s="9" cm="1">
        <f t="array" aca="1" ref="AG5" ca="1">IF($AF5="",0,SimpleLookup($AF5,Definitions!$AE:$AF))</f>
        <v>0</v>
      </c>
      <c r="AH5" s="9" t="str" cm="1">
        <f t="array" aca="1" ref="AH5" ca="1">IFERROR(SimpleLookup($A5,Tracing!$B:$Z),"")</f>
        <v/>
      </c>
      <c r="AI5" s="9" t="str" cm="1">
        <f t="array" aca="1" ref="AI5" ca="1">_xlfn.LET(_xlpm._dm,SanitizeInput(GetValuesWithFallback(SanitizeInput($AH5),Assumptions!$A:$J,Countermeasures!$A:$J,"",",",FALSE)),
IF(_xlpm._dm="","",","&amp;_xlpm._dm))</f>
        <v/>
      </c>
      <c r="AJ5" s="9" t="str" cm="1">
        <f t="array" aca="1" ref="AJ5" ca="1">ApplyDamageMitigation($M5,$AI5,"")</f>
        <v/>
      </c>
      <c r="AK5" s="9" cm="1">
        <f t="array" aca="1" ref="AK5" ca="1">CalculateMaxFromList($AJ5,0,'Damage Scenarios'!$A:$U)</f>
        <v>0</v>
      </c>
      <c r="AL5" s="9" t="str">
        <f ca="1">IF($AK5=0,"",INDEX(Definitions!$Q:$Q,MATCH($AK5,Definitions!$R:$R,0)))</f>
        <v/>
      </c>
      <c r="AM5" s="9" cm="1">
        <f t="array" aca="1" ref="AM5" ca="1">IF($K5="",0,_xlfn.LET(
_xlpm._listOfAttackStepsAndMitigations,$K5&amp;$AH5,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5" s="9" t="str">
        <f ca="1">IFERROR(VLOOKUP($AM5,Definitions!$V:$W,COLUMNS(Definitions!$V:$W),TRUE),"")</f>
        <v>Basic</v>
      </c>
      <c r="AO5" s="9" t="str">
        <f ca="1">_xlfn.LET(
_xlpm._comments,SimpleLookup($A5,Tracing!$B:$AB),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5" s="9" t="str" cm="1">
        <f t="array" aca="1" ref="AP5" ca="1">_xlfn.LET(
_xlpm._rapRange,Definitions!$W:$W,
_xlpm._calculatedRAP,$AN5,
_xlpm._inlineRAP,$AO5,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5" s="9" t="str">
        <f ca="1">IFERROR(IF(OR($AL5="",$AP5=""),
Definitions!$AE$4,
VLOOKUP($AL5,Definitions!$AH:$AM,MATCH($AP5,Definitions!$AH$3:$AM$3,0),FALSE)),
"")</f>
        <v>No Risk</v>
      </c>
      <c r="AR5" s="9" cm="1">
        <f t="array" aca="1" ref="AR5" ca="1">IF($AQ5="",0,SimpleLookup($AQ5,Definitions!$AE:$AF))</f>
        <v>0</v>
      </c>
      <c r="AS5" s="9" t="b">
        <f ca="1">OR(AND($S5,$I5=Helper!$B$7),$I5&gt;Helper!$B$7)</f>
        <v>1</v>
      </c>
      <c r="AT5" s="9" t="str">
        <f t="shared" ca="1" si="3"/>
        <v/>
      </c>
      <c r="AU5" s="9" cm="1">
        <f t="array" aca="1" ref="AU5" ca="1">CreateID($AU$2,$AT5&lt;&gt;"")</f>
        <v>0</v>
      </c>
      <c r="AV5" s="9" t="str">
        <f ca="1">IF(IFERROR(MATCH(","&amp;A5&amp;",",'Risk Treatment'!$AT:$AT,0)&gt;0,FALSE),"",$A5)</f>
        <v/>
      </c>
      <c r="AW5" s="9" cm="1">
        <f t="array" aca="1" ref="AW5" ca="1">CreateID($AW$2,$AV5&lt;&gt;"")</f>
        <v>0</v>
      </c>
      <c r="AX5" s="9" t="str" cm="1">
        <f t="array" aca="1" ref="AX5" ca="1">CreateSearchString($AA5)</f>
        <v/>
      </c>
    </row>
    <row r="6" spans="1:52" x14ac:dyDescent="0.25">
      <c r="A6" s="13" t="str" cm="1">
        <f t="array" aca="1" ref="A6" ca="1">IF($B6="","","R"&amp;RemoveDelimiter(SUBSTITUTE(SUBSTITUTE($K6,"AS",""),",","-"),"-"))</f>
        <v/>
      </c>
      <c r="B6" s="13" t="str" cm="1">
        <f t="array" aca="1" ref="B6" ca="1">IF($L6="","",_xlfn.LET(
_xlpm._finalAttackStep,$L6,
_xlpm._prepAttacks,RemoveFirstElement(_xlpm._finalAttackStep&amp;","&amp;$K6),
_xlpm._prepAttackNames,IFERROR(LookupNames(_xlpm._prepAttacks,'Attack Steps'!$A:$B),""),
_xlpm._delimiter,REPT(CHAR(150),55),
$L6&amp;" "&amp;SimpleLookup($L6,'Attack Steps'!$A:$B)&amp;
IF(_xlpm._prepAttackNames="","",CHAR(10)&amp;_xlpm._delimiter&amp;CHAR(10)&amp;_xlpm._prepAttackNames)))</f>
        <v/>
      </c>
      <c r="C6" s="16" t="str" cm="1">
        <f t="array" aca="1" ref="C6" ca="1">IFERROR(LookupNames($M6,'Damage Scenarios'!$A:$V),"")</f>
        <v/>
      </c>
      <c r="D6" s="13" t="str">
        <f ca="1">IFERROR(IF($T6=0,"",INDEX(Definitions!$Q:$Q,MATCH($T6,Definitions!$R:$R,0))),"")</f>
        <v/>
      </c>
      <c r="E6" s="16" t="str" cm="1">
        <f t="array" aca="1" ref="E6" ca="1">IF($K6="","",_xlfn.LET(
_xlpm._listOfAttackSteps,$K6,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6" s="13" t="str">
        <f ca="1">IF($A6="","",IFERROR(VLOOKUP($W6,Definitions!$V:$W,COLUMNS(Definitions!$V:$W),TRUE),""))</f>
        <v/>
      </c>
      <c r="G6" s="13" t="str">
        <f ca="1">IFERROR(IF(OR($D6="",$F6=""),
"",
VLOOKUP($D6,Definitions!$AH:$AM,MATCH($F6,Definitions!$AH$3:$AM$3,0),FALSE)),
"")</f>
        <v/>
      </c>
      <c r="H6" s="10" cm="1">
        <f t="array" aca="1" ref="H6" ca="1">CreateID($H$2,$A6&lt;&gt;"")</f>
        <v>0</v>
      </c>
      <c r="I6" s="9" cm="1">
        <f t="array" aca="1" ref="I6" ca="1">IF(ROW()=ROW($I$2)+1,
1,
INDEX($I:$I,ROW()-1)+IF(INDEX($S:$S,ROW()-1),1,0))</f>
        <v>1</v>
      </c>
      <c r="J6" s="9">
        <f t="shared" ca="1" si="0"/>
        <v>4</v>
      </c>
      <c r="K6" s="9" t="str">
        <f t="shared" ca="1" si="1"/>
        <v/>
      </c>
      <c r="L6" s="9" t="str" cm="1">
        <f t="array" aca="1" ref="L6" ca="1">IF($P6="","",INDEX('Attack Steps'!$A:$A,$P6))</f>
        <v/>
      </c>
      <c r="M6" s="9" t="str" cm="1">
        <f t="array" aca="1" ref="M6" ca="1">IF($P6="","",INDEX('Attack Steps'!$U:$U,$P6))</f>
        <v/>
      </c>
      <c r="N6" s="9" t="str" cm="1">
        <f t="array" aca="1" ref="N6" ca="1">_xlfn.LET(_xlpm._dm,SanitizeInput(GetValuesWithFallback(SanitizeInput($AA6),Assumptions!$A:$J,Countermeasures!$A:$J,"",",",FALSE)),
IF(_xlpm._dm="","",","&amp;_xlpm._dm))</f>
        <v/>
      </c>
      <c r="O6" s="9" t="str" cm="1">
        <f t="array" aca="1" ref="O6" ca="1">ApplyDamageMitigation($M6,$N6,"")</f>
        <v/>
      </c>
      <c r="P6" s="9" t="str">
        <f ca="1">IFERROR(MATCH($I6,'Attack Steps'!$W:$W,0),"")</f>
        <v/>
      </c>
      <c r="Q6" s="9" t="str" cm="1">
        <f t="array" aca="1" ref="Q6" ca="1">IF($P6="","","§"&amp;INDEX('Attack Steps'!$T:$T,$P6))</f>
        <v/>
      </c>
      <c r="R6" s="9" t="str" cm="1">
        <f t="array" aca="1" ref="R6" ca="1">IF($P6="","",INDEX('Attack Steps'!$X:$X,$P6))</f>
        <v/>
      </c>
      <c r="S6" s="9" t="b">
        <f t="shared" ca="1" si="2"/>
        <v>0</v>
      </c>
      <c r="T6" s="9" cm="1">
        <f t="array" aca="1" ref="T6" ca="1">IF($M6="",0,OperateOnList($M6,_xlfn.LAMBDA(_xlpm._x,SimpleLookup(_xlpm._x,'Damage Scenarios'!$A:$U)),_xlfn.LAMBDA(_xlpm._x,_xlpm._y,MAX(_xlpm._x,_xlpm._y))))</f>
        <v>0</v>
      </c>
      <c r="U6" s="9" cm="1">
        <f t="array" aca="1" ref="U6" ca="1">IF($O6="",0,OperateOnList($O6,_xlfn.LAMBDA(_xlpm._x,SimpleLookup(_xlpm._x,'Damage Scenarios'!$A:$U)),_xlfn.LAMBDA(_xlpm._x,_xlpm._y,MAX(_xlpm._x,_xlpm._y))))</f>
        <v>0</v>
      </c>
      <c r="V6" s="9" t="str">
        <f ca="1">IF($U6=0,"",INDEX(Definitions!$Q:$Q,MATCH($U6,Definitions!$R:$R,0)))</f>
        <v/>
      </c>
      <c r="W6" s="9" cm="1">
        <f t="array" aca="1" ref="W6" ca="1">IF($K6="",0,_xlfn.LET(
_xlpm._listOfAttackSteps,$K6,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6" s="9" t="str" cm="1">
        <f t="array" aca="1" ref="X6" ca="1">IF(ROW()=ROW($X$2)+1,"",INDEX($X:$X,ROW()-1))&amp;IF($A6="","",$A6&amp;",")</f>
        <v/>
      </c>
      <c r="Y6" s="9" t="str" cm="1">
        <f t="array" aca="1" ref="Y6" ca="1">CreateSearchString($K6)</f>
        <v/>
      </c>
      <c r="Z6" s="9" cm="1">
        <f t="array" aca="1" ref="Z6" ca="1">IF($G6="",0,SimpleLookup($G6,Definitions!$AE:$AF))</f>
        <v>0</v>
      </c>
      <c r="AA6" s="9" t="str" cm="1">
        <f t="array" aca="1" ref="AA6" ca="1">SanitizeInput(InverseLookup($A6,Mitigation!$U$2,Mitigation!$J$2,1,Helper!$B$5,","))</f>
        <v/>
      </c>
      <c r="AB6" s="9" cm="1">
        <f t="array" aca="1" ref="AB6" ca="1">IF($K6="",0,_xlfn.LET(
_xlpm._listOfAttackStepsAndMitigations,$K6&amp;$AA6,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6" s="9" t="str">
        <f ca="1">IFERROR(VLOOKUP($AB6,Definitions!$V:$W,COLUMNS(Definitions!$V:$W),TRUE),"")</f>
        <v>Basic</v>
      </c>
      <c r="AD6" s="9" t="str">
        <f ca="1">_xlfn.LET(
_xlpm._comments,GetValues($K6,Mitigation!$A:$O,"","",FALSE),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6" s="9" t="str" cm="1">
        <f t="array" aca="1" ref="AE6" ca="1">_xlfn.LET(
_xlpm._rapRange,Definitions!$W:$W,
_xlpm._calculatedRAP,$AC6,
_xlpm._inlineRAP,$AD6,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6" s="9" t="str">
        <f ca="1">IFERROR(IF(OR($V6="",$AE6=""),
Definitions!$AE$4,
VLOOKUP($V6,Definitions!$AH:$AM,MATCH($AE6,Definitions!$AH$3:$AM$3,0),FALSE)),
"")</f>
        <v>No Risk</v>
      </c>
      <c r="AG6" s="9" cm="1">
        <f t="array" aca="1" ref="AG6" ca="1">IF($AF6="",0,SimpleLookup($AF6,Definitions!$AE:$AF))</f>
        <v>0</v>
      </c>
      <c r="AH6" s="9" t="str" cm="1">
        <f t="array" aca="1" ref="AH6" ca="1">IFERROR(SimpleLookup($A6,Tracing!$B:$Z),"")</f>
        <v/>
      </c>
      <c r="AI6" s="9" t="str" cm="1">
        <f t="array" aca="1" ref="AI6" ca="1">_xlfn.LET(_xlpm._dm,SanitizeInput(GetValuesWithFallback(SanitizeInput($AH6),Assumptions!$A:$J,Countermeasures!$A:$J,"",",",FALSE)),
IF(_xlpm._dm="","",","&amp;_xlpm._dm))</f>
        <v/>
      </c>
      <c r="AJ6" s="9" t="str" cm="1">
        <f t="array" aca="1" ref="AJ6" ca="1">ApplyDamageMitigation($M6,$AI6,"")</f>
        <v/>
      </c>
      <c r="AK6" s="9" cm="1">
        <f t="array" aca="1" ref="AK6" ca="1">CalculateMaxFromList($AJ6,0,'Damage Scenarios'!$A:$U)</f>
        <v>0</v>
      </c>
      <c r="AL6" s="9" t="str">
        <f ca="1">IF($AK6=0,"",INDEX(Definitions!$Q:$Q,MATCH($AK6,Definitions!$R:$R,0)))</f>
        <v/>
      </c>
      <c r="AM6" s="9" cm="1">
        <f t="array" aca="1" ref="AM6" ca="1">IF($K6="",0,_xlfn.LET(
_xlpm._listOfAttackStepsAndMitigations,$K6&amp;$AH6,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6" s="9" t="str">
        <f ca="1">IFERROR(VLOOKUP($AM6,Definitions!$V:$W,COLUMNS(Definitions!$V:$W),TRUE),"")</f>
        <v>Basic</v>
      </c>
      <c r="AO6" s="9" t="str">
        <f ca="1">_xlfn.LET(
_xlpm._comments,SimpleLookup($A6,Tracing!$B:$AB),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6" s="9" t="str" cm="1">
        <f t="array" aca="1" ref="AP6" ca="1">_xlfn.LET(
_xlpm._rapRange,Definitions!$W:$W,
_xlpm._calculatedRAP,$AN6,
_xlpm._inlineRAP,$AO6,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6" s="9" t="str">
        <f ca="1">IFERROR(IF(OR($AL6="",$AP6=""),
Definitions!$AE$4,
VLOOKUP($AL6,Definitions!$AH:$AM,MATCH($AP6,Definitions!$AH$3:$AM$3,0),FALSE)),
"")</f>
        <v>No Risk</v>
      </c>
      <c r="AR6" s="9" cm="1">
        <f t="array" aca="1" ref="AR6" ca="1">IF($AQ6="",0,SimpleLookup($AQ6,Definitions!$AE:$AF))</f>
        <v>0</v>
      </c>
      <c r="AS6" s="9" t="b">
        <f ca="1">OR(AND($S6,$I6=Helper!$B$7),$I6&gt;Helper!$B$7)</f>
        <v>1</v>
      </c>
      <c r="AT6" s="9" t="str">
        <f t="shared" ca="1" si="3"/>
        <v/>
      </c>
      <c r="AU6" s="9" cm="1">
        <f t="array" aca="1" ref="AU6" ca="1">CreateID($AU$2,$AT6&lt;&gt;"")</f>
        <v>0</v>
      </c>
      <c r="AV6" s="9" t="str">
        <f ca="1">IF(IFERROR(MATCH(","&amp;A6&amp;",",'Risk Treatment'!$AT:$AT,0)&gt;0,FALSE),"",$A6)</f>
        <v/>
      </c>
      <c r="AW6" s="9" cm="1">
        <f t="array" aca="1" ref="AW6" ca="1">CreateID($AW$2,$AV6&lt;&gt;"")</f>
        <v>0</v>
      </c>
      <c r="AX6" s="9" t="str" cm="1">
        <f t="array" aca="1" ref="AX6" ca="1">CreateSearchString($AA6)</f>
        <v/>
      </c>
    </row>
    <row r="7" spans="1:52" x14ac:dyDescent="0.25">
      <c r="A7" s="13" t="str" cm="1">
        <f t="array" aca="1" ref="A7" ca="1">IF($B7="","","R"&amp;RemoveDelimiter(SUBSTITUTE(SUBSTITUTE($K7,"AS",""),",","-"),"-"))</f>
        <v/>
      </c>
      <c r="B7" s="13" t="str" cm="1">
        <f t="array" aca="1" ref="B7" ca="1">IF($L7="","",_xlfn.LET(
_xlpm._finalAttackStep,$L7,
_xlpm._prepAttacks,RemoveFirstElement(_xlpm._finalAttackStep&amp;","&amp;$K7),
_xlpm._prepAttackNames,IFERROR(LookupNames(_xlpm._prepAttacks,'Attack Steps'!$A:$B),""),
_xlpm._delimiter,REPT(CHAR(150),55),
$L7&amp;" "&amp;SimpleLookup($L7,'Attack Steps'!$A:$B)&amp;
IF(_xlpm._prepAttackNames="","",CHAR(10)&amp;_xlpm._delimiter&amp;CHAR(10)&amp;_xlpm._prepAttackNames)))</f>
        <v/>
      </c>
      <c r="C7" s="16" t="str" cm="1">
        <f t="array" aca="1" ref="C7" ca="1">IFERROR(LookupNames($M7,'Damage Scenarios'!$A:$V),"")</f>
        <v/>
      </c>
      <c r="D7" s="13" t="str">
        <f ca="1">IFERROR(IF($T7=0,"",INDEX(Definitions!$Q:$Q,MATCH($T7,Definitions!$R:$R,0))),"")</f>
        <v/>
      </c>
      <c r="E7" s="16" t="str" cm="1">
        <f t="array" aca="1" ref="E7" ca="1">IF($K7="","",_xlfn.LET(
_xlpm._listOfAttackSteps,$K7,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7" s="13" t="str">
        <f ca="1">IF($A7="","",IFERROR(VLOOKUP($W7,Definitions!$V:$W,COLUMNS(Definitions!$V:$W),TRUE),""))</f>
        <v/>
      </c>
      <c r="G7" s="13" t="str">
        <f ca="1">IFERROR(IF(OR($D7="",$F7=""),
"",
VLOOKUP($D7,Definitions!$AH:$AM,MATCH($F7,Definitions!$AH$3:$AM$3,0),FALSE)),
"")</f>
        <v/>
      </c>
      <c r="H7" s="10" cm="1">
        <f t="array" aca="1" ref="H7" ca="1">CreateID($H$2,$A7&lt;&gt;"")</f>
        <v>0</v>
      </c>
      <c r="I7" s="9" cm="1">
        <f t="array" aca="1" ref="I7" ca="1">IF(ROW()=ROW($I$2)+1,
1,
INDEX($I:$I,ROW()-1)+IF(INDEX($S:$S,ROW()-1),1,0))</f>
        <v>1</v>
      </c>
      <c r="J7" s="9">
        <f t="shared" ca="1" si="0"/>
        <v>5</v>
      </c>
      <c r="K7" s="9" t="str">
        <f t="shared" ca="1" si="1"/>
        <v/>
      </c>
      <c r="L7" s="9" t="str" cm="1">
        <f t="array" aca="1" ref="L7" ca="1">IF($P7="","",INDEX('Attack Steps'!$A:$A,$P7))</f>
        <v/>
      </c>
      <c r="M7" s="9" t="str" cm="1">
        <f t="array" aca="1" ref="M7" ca="1">IF($P7="","",INDEX('Attack Steps'!$U:$U,$P7))</f>
        <v/>
      </c>
      <c r="N7" s="9" t="str" cm="1">
        <f t="array" aca="1" ref="N7" ca="1">_xlfn.LET(_xlpm._dm,SanitizeInput(GetValuesWithFallback(SanitizeInput($AA7),Assumptions!$A:$J,Countermeasures!$A:$J,"",",",FALSE)),
IF(_xlpm._dm="","",","&amp;_xlpm._dm))</f>
        <v/>
      </c>
      <c r="O7" s="9" t="str" cm="1">
        <f t="array" aca="1" ref="O7" ca="1">ApplyDamageMitigation($M7,$N7,"")</f>
        <v/>
      </c>
      <c r="P7" s="9" t="str">
        <f ca="1">IFERROR(MATCH($I7,'Attack Steps'!$W:$W,0),"")</f>
        <v/>
      </c>
      <c r="Q7" s="9" t="str" cm="1">
        <f t="array" aca="1" ref="Q7" ca="1">IF($P7="","","§"&amp;INDEX('Attack Steps'!$T:$T,$P7))</f>
        <v/>
      </c>
      <c r="R7" s="9" t="str" cm="1">
        <f t="array" aca="1" ref="R7" ca="1">IF($P7="","",INDEX('Attack Steps'!$X:$X,$P7))</f>
        <v/>
      </c>
      <c r="S7" s="9" t="b">
        <f t="shared" ca="1" si="2"/>
        <v>0</v>
      </c>
      <c r="T7" s="9" cm="1">
        <f t="array" aca="1" ref="T7" ca="1">IF($M7="",0,OperateOnList($M7,_xlfn.LAMBDA(_xlpm._x,SimpleLookup(_xlpm._x,'Damage Scenarios'!$A:$U)),_xlfn.LAMBDA(_xlpm._x,_xlpm._y,MAX(_xlpm._x,_xlpm._y))))</f>
        <v>0</v>
      </c>
      <c r="U7" s="9" cm="1">
        <f t="array" aca="1" ref="U7" ca="1">IF($O7="",0,OperateOnList($O7,_xlfn.LAMBDA(_xlpm._x,SimpleLookup(_xlpm._x,'Damage Scenarios'!$A:$U)),_xlfn.LAMBDA(_xlpm._x,_xlpm._y,MAX(_xlpm._x,_xlpm._y))))</f>
        <v>0</v>
      </c>
      <c r="V7" s="9" t="str">
        <f ca="1">IF($U7=0,"",INDEX(Definitions!$Q:$Q,MATCH($U7,Definitions!$R:$R,0)))</f>
        <v/>
      </c>
      <c r="W7" s="9" cm="1">
        <f t="array" aca="1" ref="W7" ca="1">IF($K7="",0,_xlfn.LET(
_xlpm._listOfAttackSteps,$K7,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7" s="9" t="str" cm="1">
        <f t="array" aca="1" ref="X7" ca="1">IF(ROW()=ROW($X$2)+1,"",INDEX($X:$X,ROW()-1))&amp;IF($A7="","",$A7&amp;",")</f>
        <v/>
      </c>
      <c r="Y7" s="9" t="str" cm="1">
        <f t="array" aca="1" ref="Y7" ca="1">CreateSearchString($K7)</f>
        <v/>
      </c>
      <c r="Z7" s="9" cm="1">
        <f t="array" aca="1" ref="Z7" ca="1">IF($G7="",0,SimpleLookup($G7,Definitions!$AE:$AF))</f>
        <v>0</v>
      </c>
      <c r="AA7" s="9" t="str" cm="1">
        <f t="array" aca="1" ref="AA7" ca="1">SanitizeInput(InverseLookup($A7,Mitigation!$U$2,Mitigation!$J$2,1,Helper!$B$5,","))</f>
        <v/>
      </c>
      <c r="AB7" s="9" cm="1">
        <f t="array" aca="1" ref="AB7" ca="1">IF($K7="",0,_xlfn.LET(
_xlpm._listOfAttackStepsAndMitigations,$K7&amp;$AA7,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7" s="9" t="str">
        <f ca="1">IFERROR(VLOOKUP($AB7,Definitions!$V:$W,COLUMNS(Definitions!$V:$W),TRUE),"")</f>
        <v>Basic</v>
      </c>
      <c r="AD7" s="9" t="str">
        <f ca="1">_xlfn.LET(
_xlpm._comments,GetValues($K7,Mitigation!$A:$O,"","",FALSE),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7" s="9" t="str" cm="1">
        <f t="array" aca="1" ref="AE7" ca="1">_xlfn.LET(
_xlpm._rapRange,Definitions!$W:$W,
_xlpm._calculatedRAP,$AC7,
_xlpm._inlineRAP,$AD7,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7" s="9" t="str">
        <f ca="1">IFERROR(IF(OR($V7="",$AE7=""),
Definitions!$AE$4,
VLOOKUP($V7,Definitions!$AH:$AM,MATCH($AE7,Definitions!$AH$3:$AM$3,0),FALSE)),
"")</f>
        <v>No Risk</v>
      </c>
      <c r="AG7" s="9" cm="1">
        <f t="array" aca="1" ref="AG7" ca="1">IF($AF7="",0,SimpleLookup($AF7,Definitions!$AE:$AF))</f>
        <v>0</v>
      </c>
      <c r="AH7" s="9" t="str" cm="1">
        <f t="array" aca="1" ref="AH7" ca="1">IFERROR(SimpleLookup($A7,Tracing!$B:$Z),"")</f>
        <v/>
      </c>
      <c r="AI7" s="9" t="str" cm="1">
        <f t="array" aca="1" ref="AI7" ca="1">_xlfn.LET(_xlpm._dm,SanitizeInput(GetValuesWithFallback(SanitizeInput($AH7),Assumptions!$A:$J,Countermeasures!$A:$J,"",",",FALSE)),
IF(_xlpm._dm="","",","&amp;_xlpm._dm))</f>
        <v/>
      </c>
      <c r="AJ7" s="9" t="str" cm="1">
        <f t="array" aca="1" ref="AJ7" ca="1">ApplyDamageMitigation($M7,$AI7,"")</f>
        <v/>
      </c>
      <c r="AK7" s="9" cm="1">
        <f t="array" aca="1" ref="AK7" ca="1">CalculateMaxFromList($AJ7,0,'Damage Scenarios'!$A:$U)</f>
        <v>0</v>
      </c>
      <c r="AL7" s="9" t="str">
        <f ca="1">IF($AK7=0,"",INDEX(Definitions!$Q:$Q,MATCH($AK7,Definitions!$R:$R,0)))</f>
        <v/>
      </c>
      <c r="AM7" s="9" cm="1">
        <f t="array" aca="1" ref="AM7" ca="1">IF($K7="",0,_xlfn.LET(
_xlpm._listOfAttackStepsAndMitigations,$K7&amp;$AH7,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7" s="9" t="str">
        <f ca="1">IFERROR(VLOOKUP($AM7,Definitions!$V:$W,COLUMNS(Definitions!$V:$W),TRUE),"")</f>
        <v>Basic</v>
      </c>
      <c r="AO7" s="9" t="str">
        <f ca="1">_xlfn.LET(
_xlpm._comments,SimpleLookup($A7,Tracing!$B:$AB),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7" s="9" t="str" cm="1">
        <f t="array" aca="1" ref="AP7" ca="1">_xlfn.LET(
_xlpm._rapRange,Definitions!$W:$W,
_xlpm._calculatedRAP,$AN7,
_xlpm._inlineRAP,$AO7,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7" s="9" t="str">
        <f ca="1">IFERROR(IF(OR($AL7="",$AP7=""),
Definitions!$AE$4,
VLOOKUP($AL7,Definitions!$AH:$AM,MATCH($AP7,Definitions!$AH$3:$AM$3,0),FALSE)),
"")</f>
        <v>No Risk</v>
      </c>
      <c r="AR7" s="9" cm="1">
        <f t="array" aca="1" ref="AR7" ca="1">IF($AQ7="",0,SimpleLookup($AQ7,Definitions!$AE:$AF))</f>
        <v>0</v>
      </c>
      <c r="AS7" s="9" t="b">
        <f ca="1">OR(AND($S7,$I7=Helper!$B$7),$I7&gt;Helper!$B$7)</f>
        <v>1</v>
      </c>
      <c r="AT7" s="9" t="str">
        <f t="shared" ca="1" si="3"/>
        <v/>
      </c>
      <c r="AU7" s="9" cm="1">
        <f t="array" aca="1" ref="AU7" ca="1">CreateID($AU$2,$AT7&lt;&gt;"")</f>
        <v>0</v>
      </c>
      <c r="AV7" s="9" t="str">
        <f ca="1">IF(IFERROR(MATCH(","&amp;A7&amp;",",'Risk Treatment'!$AT:$AT,0)&gt;0,FALSE),"",$A7)</f>
        <v/>
      </c>
      <c r="AW7" s="9" cm="1">
        <f t="array" aca="1" ref="AW7" ca="1">CreateID($AW$2,$AV7&lt;&gt;"")</f>
        <v>0</v>
      </c>
      <c r="AX7" s="9" t="str" cm="1">
        <f t="array" aca="1" ref="AX7" ca="1">CreateSearchString($AA7)</f>
        <v/>
      </c>
    </row>
    <row r="8" spans="1:52" x14ac:dyDescent="0.25">
      <c r="A8" s="13" t="str" cm="1">
        <f t="array" aca="1" ref="A8" ca="1">IF($B8="","","R"&amp;RemoveDelimiter(SUBSTITUTE(SUBSTITUTE($K8,"AS",""),",","-"),"-"))</f>
        <v/>
      </c>
      <c r="B8" s="13" t="str" cm="1">
        <f t="array" aca="1" ref="B8" ca="1">IF($L8="","",_xlfn.LET(
_xlpm._finalAttackStep,$L8,
_xlpm._prepAttacks,RemoveFirstElement(_xlpm._finalAttackStep&amp;","&amp;$K8),
_xlpm._prepAttackNames,IFERROR(LookupNames(_xlpm._prepAttacks,'Attack Steps'!$A:$B),""),
_xlpm._delimiter,REPT(CHAR(150),55),
$L8&amp;" "&amp;SimpleLookup($L8,'Attack Steps'!$A:$B)&amp;
IF(_xlpm._prepAttackNames="","",CHAR(10)&amp;_xlpm._delimiter&amp;CHAR(10)&amp;_xlpm._prepAttackNames)))</f>
        <v/>
      </c>
      <c r="C8" s="16" t="str" cm="1">
        <f t="array" aca="1" ref="C8" ca="1">IFERROR(LookupNames($M8,'Damage Scenarios'!$A:$V),"")</f>
        <v/>
      </c>
      <c r="D8" s="13" t="str">
        <f ca="1">IFERROR(IF($T8=0,"",INDEX(Definitions!$Q:$Q,MATCH($T8,Definitions!$R:$R,0))),"")</f>
        <v/>
      </c>
      <c r="E8" s="16" t="str" cm="1">
        <f t="array" aca="1" ref="E8" ca="1">IF($K8="","",_xlfn.LET(
_xlpm._listOfAttackSteps,$K8,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8" s="13" t="str">
        <f ca="1">IF($A8="","",IFERROR(VLOOKUP($W8,Definitions!$V:$W,COLUMNS(Definitions!$V:$W),TRUE),""))</f>
        <v/>
      </c>
      <c r="G8" s="13" t="str">
        <f ca="1">IFERROR(IF(OR($D8="",$F8=""),
"",
VLOOKUP($D8,Definitions!$AH:$AM,MATCH($F8,Definitions!$AH$3:$AM$3,0),FALSE)),
"")</f>
        <v/>
      </c>
      <c r="H8" s="10" cm="1">
        <f t="array" aca="1" ref="H8" ca="1">CreateID($H$2,$A8&lt;&gt;"")</f>
        <v>0</v>
      </c>
      <c r="I8" s="9" cm="1">
        <f t="array" aca="1" ref="I8" ca="1">IF(ROW()=ROW($I$2)+1,
1,
INDEX($I:$I,ROW()-1)+IF(INDEX($S:$S,ROW()-1),1,0))</f>
        <v>1</v>
      </c>
      <c r="J8" s="9">
        <f t="shared" ca="1" si="0"/>
        <v>6</v>
      </c>
      <c r="K8" s="9" t="str">
        <f t="shared" ca="1" si="1"/>
        <v/>
      </c>
      <c r="L8" s="9" t="str" cm="1">
        <f t="array" aca="1" ref="L8" ca="1">IF($P8="","",INDEX('Attack Steps'!$A:$A,$P8))</f>
        <v/>
      </c>
      <c r="M8" s="9" t="str" cm="1">
        <f t="array" aca="1" ref="M8" ca="1">IF($P8="","",INDEX('Attack Steps'!$U:$U,$P8))</f>
        <v/>
      </c>
      <c r="N8" s="9" t="str" cm="1">
        <f t="array" aca="1" ref="N8" ca="1">_xlfn.LET(_xlpm._dm,SanitizeInput(GetValuesWithFallback(SanitizeInput($AA8),Assumptions!$A:$J,Countermeasures!$A:$J,"",",",FALSE)),
IF(_xlpm._dm="","",","&amp;_xlpm._dm))</f>
        <v/>
      </c>
      <c r="O8" s="9" t="str" cm="1">
        <f t="array" aca="1" ref="O8" ca="1">ApplyDamageMitigation($M8,$N8,"")</f>
        <v/>
      </c>
      <c r="P8" s="9" t="str">
        <f ca="1">IFERROR(MATCH($I8,'Attack Steps'!$W:$W,0),"")</f>
        <v/>
      </c>
      <c r="Q8" s="9" t="str" cm="1">
        <f t="array" aca="1" ref="Q8" ca="1">IF($P8="","","§"&amp;INDEX('Attack Steps'!$T:$T,$P8))</f>
        <v/>
      </c>
      <c r="R8" s="9" t="str" cm="1">
        <f t="array" aca="1" ref="R8" ca="1">IF($P8="","",INDEX('Attack Steps'!$X:$X,$P8))</f>
        <v/>
      </c>
      <c r="S8" s="9" t="b">
        <f t="shared" ca="1" si="2"/>
        <v>0</v>
      </c>
      <c r="T8" s="9" cm="1">
        <f t="array" aca="1" ref="T8" ca="1">IF($M8="",0,OperateOnList($M8,_xlfn.LAMBDA(_xlpm._x,SimpleLookup(_xlpm._x,'Damage Scenarios'!$A:$U)),_xlfn.LAMBDA(_xlpm._x,_xlpm._y,MAX(_xlpm._x,_xlpm._y))))</f>
        <v>0</v>
      </c>
      <c r="U8" s="9" cm="1">
        <f t="array" aca="1" ref="U8" ca="1">IF($O8="",0,OperateOnList($O8,_xlfn.LAMBDA(_xlpm._x,SimpleLookup(_xlpm._x,'Damage Scenarios'!$A:$U)),_xlfn.LAMBDA(_xlpm._x,_xlpm._y,MAX(_xlpm._x,_xlpm._y))))</f>
        <v>0</v>
      </c>
      <c r="V8" s="9" t="str">
        <f ca="1">IF($U8=0,"",INDEX(Definitions!$Q:$Q,MATCH($U8,Definitions!$R:$R,0)))</f>
        <v/>
      </c>
      <c r="W8" s="9" cm="1">
        <f t="array" aca="1" ref="W8" ca="1">IF($K8="",0,_xlfn.LET(
_xlpm._listOfAttackSteps,$K8,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8" s="9" t="str" cm="1">
        <f t="array" aca="1" ref="X8" ca="1">IF(ROW()=ROW($X$2)+1,"",INDEX($X:$X,ROW()-1))&amp;IF($A8="","",$A8&amp;",")</f>
        <v/>
      </c>
      <c r="Y8" s="9" t="str" cm="1">
        <f t="array" aca="1" ref="Y8" ca="1">CreateSearchString($K8)</f>
        <v/>
      </c>
      <c r="Z8" s="9" cm="1">
        <f t="array" aca="1" ref="Z8" ca="1">IF($G8="",0,SimpleLookup($G8,Definitions!$AE:$AF))</f>
        <v>0</v>
      </c>
      <c r="AA8" s="9" t="str" cm="1">
        <f t="array" aca="1" ref="AA8" ca="1">SanitizeInput(InverseLookup($A8,Mitigation!$U$2,Mitigation!$J$2,1,Helper!$B$5,","))</f>
        <v/>
      </c>
      <c r="AB8" s="9" cm="1">
        <f t="array" aca="1" ref="AB8" ca="1">IF($K8="",0,_xlfn.LET(
_xlpm._listOfAttackStepsAndMitigations,$K8&amp;$AA8,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8" s="9" t="str">
        <f ca="1">IFERROR(VLOOKUP($AB8,Definitions!$V:$W,COLUMNS(Definitions!$V:$W),TRUE),"")</f>
        <v>Basic</v>
      </c>
      <c r="AD8" s="9" t="str">
        <f ca="1">_xlfn.LET(
_xlpm._comments,GetValues($K8,Mitigation!$A:$O,"","",FALSE),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8" s="9" t="str" cm="1">
        <f t="array" aca="1" ref="AE8" ca="1">_xlfn.LET(
_xlpm._rapRange,Definitions!$W:$W,
_xlpm._calculatedRAP,$AC8,
_xlpm._inlineRAP,$AD8,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8" s="9" t="str">
        <f ca="1">IFERROR(IF(OR($V8="",$AE8=""),
Definitions!$AE$4,
VLOOKUP($V8,Definitions!$AH:$AM,MATCH($AE8,Definitions!$AH$3:$AM$3,0),FALSE)),
"")</f>
        <v>No Risk</v>
      </c>
      <c r="AG8" s="9" cm="1">
        <f t="array" aca="1" ref="AG8" ca="1">IF($AF8="",0,SimpleLookup($AF8,Definitions!$AE:$AF))</f>
        <v>0</v>
      </c>
      <c r="AH8" s="9" t="str" cm="1">
        <f t="array" aca="1" ref="AH8" ca="1">IFERROR(SimpleLookup($A8,Tracing!$B:$Z),"")</f>
        <v/>
      </c>
      <c r="AI8" s="9" t="str" cm="1">
        <f t="array" aca="1" ref="AI8" ca="1">_xlfn.LET(_xlpm._dm,SanitizeInput(GetValuesWithFallback(SanitizeInput($AH8),Assumptions!$A:$J,Countermeasures!$A:$J,"",",",FALSE)),
IF(_xlpm._dm="","",","&amp;_xlpm._dm))</f>
        <v/>
      </c>
      <c r="AJ8" s="9" t="str" cm="1">
        <f t="array" aca="1" ref="AJ8" ca="1">ApplyDamageMitigation($M8,$AI8,"")</f>
        <v/>
      </c>
      <c r="AK8" s="9" cm="1">
        <f t="array" aca="1" ref="AK8" ca="1">CalculateMaxFromList($AJ8,0,'Damage Scenarios'!$A:$U)</f>
        <v>0</v>
      </c>
      <c r="AL8" s="9" t="str">
        <f ca="1">IF($AK8=0,"",INDEX(Definitions!$Q:$Q,MATCH($AK8,Definitions!$R:$R,0)))</f>
        <v/>
      </c>
      <c r="AM8" s="9" cm="1">
        <f t="array" aca="1" ref="AM8" ca="1">IF($K8="",0,_xlfn.LET(
_xlpm._listOfAttackStepsAndMitigations,$K8&amp;$AH8,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8" s="9" t="str">
        <f ca="1">IFERROR(VLOOKUP($AM8,Definitions!$V:$W,COLUMNS(Definitions!$V:$W),TRUE),"")</f>
        <v>Basic</v>
      </c>
      <c r="AO8" s="9" t="str">
        <f ca="1">_xlfn.LET(
_xlpm._comments,SimpleLookup($A8,Tracing!$B:$AB),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8" s="9" t="str" cm="1">
        <f t="array" aca="1" ref="AP8" ca="1">_xlfn.LET(
_xlpm._rapRange,Definitions!$W:$W,
_xlpm._calculatedRAP,$AN8,
_xlpm._inlineRAP,$AO8,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8" s="9" t="str">
        <f ca="1">IFERROR(IF(OR($AL8="",$AP8=""),
Definitions!$AE$4,
VLOOKUP($AL8,Definitions!$AH:$AM,MATCH($AP8,Definitions!$AH$3:$AM$3,0),FALSE)),
"")</f>
        <v>No Risk</v>
      </c>
      <c r="AR8" s="9" cm="1">
        <f t="array" aca="1" ref="AR8" ca="1">IF($AQ8="",0,SimpleLookup($AQ8,Definitions!$AE:$AF))</f>
        <v>0</v>
      </c>
      <c r="AS8" s="9" t="b">
        <f ca="1">OR(AND($S8,$I8=Helper!$B$7),$I8&gt;Helper!$B$7)</f>
        <v>1</v>
      </c>
      <c r="AT8" s="9" t="str">
        <f t="shared" ca="1" si="3"/>
        <v/>
      </c>
      <c r="AU8" s="9" cm="1">
        <f t="array" aca="1" ref="AU8" ca="1">CreateID($AU$2,$AT8&lt;&gt;"")</f>
        <v>0</v>
      </c>
      <c r="AV8" s="9" t="str">
        <f ca="1">IF(IFERROR(MATCH(","&amp;A8&amp;",",'Risk Treatment'!$AT:$AT,0)&gt;0,FALSE),"",$A8)</f>
        <v/>
      </c>
      <c r="AW8" s="9" cm="1">
        <f t="array" aca="1" ref="AW8" ca="1">CreateID($AW$2,$AV8&lt;&gt;"")</f>
        <v>0</v>
      </c>
      <c r="AX8" s="9" t="str" cm="1">
        <f t="array" aca="1" ref="AX8" ca="1">CreateSearchString($AA8)</f>
        <v/>
      </c>
    </row>
    <row r="9" spans="1:52" x14ac:dyDescent="0.25">
      <c r="A9" s="13" t="str" cm="1">
        <f t="array" aca="1" ref="A9" ca="1">IF($B9="","","R"&amp;RemoveDelimiter(SUBSTITUTE(SUBSTITUTE($K9,"AS",""),",","-"),"-"))</f>
        <v/>
      </c>
      <c r="B9" s="13" t="str" cm="1">
        <f t="array" aca="1" ref="B9" ca="1">IF($L9="","",_xlfn.LET(
_xlpm._finalAttackStep,$L9,
_xlpm._prepAttacks,RemoveFirstElement(_xlpm._finalAttackStep&amp;","&amp;$K9),
_xlpm._prepAttackNames,IFERROR(LookupNames(_xlpm._prepAttacks,'Attack Steps'!$A:$B),""),
_xlpm._delimiter,REPT(CHAR(150),55),
$L9&amp;" "&amp;SimpleLookup($L9,'Attack Steps'!$A:$B)&amp;
IF(_xlpm._prepAttackNames="","",CHAR(10)&amp;_xlpm._delimiter&amp;CHAR(10)&amp;_xlpm._prepAttackNames)))</f>
        <v/>
      </c>
      <c r="C9" s="16" t="str" cm="1">
        <f t="array" aca="1" ref="C9" ca="1">IFERROR(LookupNames($M9,'Damage Scenarios'!$A:$V),"")</f>
        <v/>
      </c>
      <c r="D9" s="13" t="str">
        <f ca="1">IFERROR(IF($T9=0,"",INDEX(Definitions!$Q:$Q,MATCH($T9,Definitions!$R:$R,0))),"")</f>
        <v/>
      </c>
      <c r="E9" s="16" t="str" cm="1">
        <f t="array" aca="1" ref="E9" ca="1">IF($K9="","",_xlfn.LET(
_xlpm._listOfAttackSteps,$K9,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9" s="13" t="str">
        <f ca="1">IF($A9="","",IFERROR(VLOOKUP($W9,Definitions!$V:$W,COLUMNS(Definitions!$V:$W),TRUE),""))</f>
        <v/>
      </c>
      <c r="G9" s="13" t="str">
        <f ca="1">IFERROR(IF(OR($D9="",$F9=""),
"",
VLOOKUP($D9,Definitions!$AH:$AM,MATCH($F9,Definitions!$AH$3:$AM$3,0),FALSE)),
"")</f>
        <v/>
      </c>
      <c r="H9" s="10" cm="1">
        <f t="array" aca="1" ref="H9" ca="1">CreateID($H$2,$A9&lt;&gt;"")</f>
        <v>0</v>
      </c>
      <c r="I9" s="9" cm="1">
        <f t="array" aca="1" ref="I9" ca="1">IF(ROW()=ROW($I$2)+1,
1,
INDEX($I:$I,ROW()-1)+IF(INDEX($S:$S,ROW()-1),1,0))</f>
        <v>1</v>
      </c>
      <c r="J9" s="9">
        <f t="shared" ca="1" si="0"/>
        <v>7</v>
      </c>
      <c r="K9" s="9" t="str">
        <f t="shared" ca="1" si="1"/>
        <v/>
      </c>
      <c r="L9" s="9" t="str" cm="1">
        <f t="array" aca="1" ref="L9" ca="1">IF($P9="","",INDEX('Attack Steps'!$A:$A,$P9))</f>
        <v/>
      </c>
      <c r="M9" s="9" t="str" cm="1">
        <f t="array" aca="1" ref="M9" ca="1">IF($P9="","",INDEX('Attack Steps'!$U:$U,$P9))</f>
        <v/>
      </c>
      <c r="N9" s="9" t="str" cm="1">
        <f t="array" aca="1" ref="N9" ca="1">_xlfn.LET(_xlpm._dm,SanitizeInput(GetValuesWithFallback(SanitizeInput($AA9),Assumptions!$A:$J,Countermeasures!$A:$J,"",",",FALSE)),
IF(_xlpm._dm="","",","&amp;_xlpm._dm))</f>
        <v/>
      </c>
      <c r="O9" s="9" t="str" cm="1">
        <f t="array" aca="1" ref="O9" ca="1">ApplyDamageMitigation($M9,$N9,"")</f>
        <v/>
      </c>
      <c r="P9" s="9" t="str">
        <f ca="1">IFERROR(MATCH($I9,'Attack Steps'!$W:$W,0),"")</f>
        <v/>
      </c>
      <c r="Q9" s="9" t="str" cm="1">
        <f t="array" aca="1" ref="Q9" ca="1">IF($P9="","","§"&amp;INDEX('Attack Steps'!$T:$T,$P9))</f>
        <v/>
      </c>
      <c r="R9" s="9" t="str" cm="1">
        <f t="array" aca="1" ref="R9" ca="1">IF($P9="","",INDEX('Attack Steps'!$X:$X,$P9))</f>
        <v/>
      </c>
      <c r="S9" s="9" t="b">
        <f t="shared" ca="1" si="2"/>
        <v>0</v>
      </c>
      <c r="T9" s="9" cm="1">
        <f t="array" aca="1" ref="T9" ca="1">IF($M9="",0,OperateOnList($M9,_xlfn.LAMBDA(_xlpm._x,SimpleLookup(_xlpm._x,'Damage Scenarios'!$A:$U)),_xlfn.LAMBDA(_xlpm._x,_xlpm._y,MAX(_xlpm._x,_xlpm._y))))</f>
        <v>0</v>
      </c>
      <c r="U9" s="9" cm="1">
        <f t="array" aca="1" ref="U9" ca="1">IF($O9="",0,OperateOnList($O9,_xlfn.LAMBDA(_xlpm._x,SimpleLookup(_xlpm._x,'Damage Scenarios'!$A:$U)),_xlfn.LAMBDA(_xlpm._x,_xlpm._y,MAX(_xlpm._x,_xlpm._y))))</f>
        <v>0</v>
      </c>
      <c r="V9" s="9" t="str">
        <f ca="1">IF($U9=0,"",INDEX(Definitions!$Q:$Q,MATCH($U9,Definitions!$R:$R,0)))</f>
        <v/>
      </c>
      <c r="W9" s="9" cm="1">
        <f t="array" aca="1" ref="W9" ca="1">IF($K9="",0,_xlfn.LET(
_xlpm._listOfAttackSteps,$K9,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9" s="9" t="str" cm="1">
        <f t="array" aca="1" ref="X9" ca="1">IF(ROW()=ROW($X$2)+1,"",INDEX($X:$X,ROW()-1))&amp;IF($A9="","",$A9&amp;",")</f>
        <v/>
      </c>
      <c r="Y9" s="9" t="str" cm="1">
        <f t="array" aca="1" ref="Y9" ca="1">CreateSearchString($K9)</f>
        <v/>
      </c>
      <c r="Z9" s="9" cm="1">
        <f t="array" aca="1" ref="Z9" ca="1">IF($G9="",0,SimpleLookup($G9,Definitions!$AE:$AF))</f>
        <v>0</v>
      </c>
      <c r="AA9" s="9" t="str" cm="1">
        <f t="array" aca="1" ref="AA9" ca="1">SanitizeInput(InverseLookup($A9,Mitigation!$U$2,Mitigation!$J$2,1,Helper!$B$5,","))</f>
        <v/>
      </c>
      <c r="AB9" s="9" cm="1">
        <f t="array" aca="1" ref="AB9" ca="1">IF($K9="",0,_xlfn.LET(
_xlpm._listOfAttackStepsAndMitigations,$K9&amp;$AA9,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9" s="9" t="str">
        <f ca="1">IFERROR(VLOOKUP($AB9,Definitions!$V:$W,COLUMNS(Definitions!$V:$W),TRUE),"")</f>
        <v>Basic</v>
      </c>
      <c r="AD9" s="9" t="str">
        <f ca="1">_xlfn.LET(
_xlpm._comments,GetValues($K9,Mitigation!$A:$O,"","",FALSE),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9" s="9" t="str" cm="1">
        <f t="array" aca="1" ref="AE9" ca="1">_xlfn.LET(
_xlpm._rapRange,Definitions!$W:$W,
_xlpm._calculatedRAP,$AC9,
_xlpm._inlineRAP,$AD9,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9" s="9" t="str">
        <f ca="1">IFERROR(IF(OR($V9="",$AE9=""),
Definitions!$AE$4,
VLOOKUP($V9,Definitions!$AH:$AM,MATCH($AE9,Definitions!$AH$3:$AM$3,0),FALSE)),
"")</f>
        <v>No Risk</v>
      </c>
      <c r="AG9" s="9" cm="1">
        <f t="array" aca="1" ref="AG9" ca="1">IF($AF9="",0,SimpleLookup($AF9,Definitions!$AE:$AF))</f>
        <v>0</v>
      </c>
      <c r="AH9" s="9" t="str" cm="1">
        <f t="array" aca="1" ref="AH9" ca="1">IFERROR(SimpleLookup($A9,Tracing!$B:$Z),"")</f>
        <v/>
      </c>
      <c r="AI9" s="9" t="str" cm="1">
        <f t="array" aca="1" ref="AI9" ca="1">_xlfn.LET(_xlpm._dm,SanitizeInput(GetValuesWithFallback(SanitizeInput($AH9),Assumptions!$A:$J,Countermeasures!$A:$J,"",",",FALSE)),
IF(_xlpm._dm="","",","&amp;_xlpm._dm))</f>
        <v/>
      </c>
      <c r="AJ9" s="9" t="str" cm="1">
        <f t="array" aca="1" ref="AJ9" ca="1">ApplyDamageMitigation($M9,$AI9,"")</f>
        <v/>
      </c>
      <c r="AK9" s="9" cm="1">
        <f t="array" aca="1" ref="AK9" ca="1">CalculateMaxFromList($AJ9,0,'Damage Scenarios'!$A:$U)</f>
        <v>0</v>
      </c>
      <c r="AL9" s="9" t="str">
        <f ca="1">IF($AK9=0,"",INDEX(Definitions!$Q:$Q,MATCH($AK9,Definitions!$R:$R,0)))</f>
        <v/>
      </c>
      <c r="AM9" s="9" cm="1">
        <f t="array" aca="1" ref="AM9" ca="1">IF($K9="",0,_xlfn.LET(
_xlpm._listOfAttackStepsAndMitigations,$K9&amp;$AH9,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9" s="9" t="str">
        <f ca="1">IFERROR(VLOOKUP($AM9,Definitions!$V:$W,COLUMNS(Definitions!$V:$W),TRUE),"")</f>
        <v>Basic</v>
      </c>
      <c r="AO9" s="9" t="str">
        <f ca="1">_xlfn.LET(
_xlpm._comments,SimpleLookup($A9,Tracing!$B:$AB),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9" s="9" t="str" cm="1">
        <f t="array" aca="1" ref="AP9" ca="1">_xlfn.LET(
_xlpm._rapRange,Definitions!$W:$W,
_xlpm._calculatedRAP,$AN9,
_xlpm._inlineRAP,$AO9,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9" s="9" t="str">
        <f ca="1">IFERROR(IF(OR($AL9="",$AP9=""),
Definitions!$AE$4,
VLOOKUP($AL9,Definitions!$AH:$AM,MATCH($AP9,Definitions!$AH$3:$AM$3,0),FALSE)),
"")</f>
        <v>No Risk</v>
      </c>
      <c r="AR9" s="9" cm="1">
        <f t="array" aca="1" ref="AR9" ca="1">IF($AQ9="",0,SimpleLookup($AQ9,Definitions!$AE:$AF))</f>
        <v>0</v>
      </c>
      <c r="AS9" s="9" t="b">
        <f ca="1">OR(AND($S9,$I9=Helper!$B$7),$I9&gt;Helper!$B$7)</f>
        <v>1</v>
      </c>
      <c r="AT9" s="9" t="str">
        <f t="shared" ca="1" si="3"/>
        <v/>
      </c>
      <c r="AU9" s="9" cm="1">
        <f t="array" aca="1" ref="AU9" ca="1">CreateID($AU$2,$AT9&lt;&gt;"")</f>
        <v>0</v>
      </c>
      <c r="AV9" s="9" t="str">
        <f ca="1">IF(IFERROR(MATCH(","&amp;A9&amp;",",'Risk Treatment'!$AT:$AT,0)&gt;0,FALSE),"",$A9)</f>
        <v/>
      </c>
      <c r="AW9" s="9" cm="1">
        <f t="array" aca="1" ref="AW9" ca="1">CreateID($AW$2,$AV9&lt;&gt;"")</f>
        <v>0</v>
      </c>
      <c r="AX9" s="9" t="str" cm="1">
        <f t="array" aca="1" ref="AX9" ca="1">CreateSearchString($AA9)</f>
        <v/>
      </c>
    </row>
    <row r="10" spans="1:52" x14ac:dyDescent="0.25">
      <c r="A10" s="13" t="str" cm="1">
        <f t="array" aca="1" ref="A10" ca="1">IF($B10="","","R"&amp;RemoveDelimiter(SUBSTITUTE(SUBSTITUTE($K10,"AS",""),",","-"),"-"))</f>
        <v/>
      </c>
      <c r="B10" s="13" t="str" cm="1">
        <f t="array" aca="1" ref="B10" ca="1">IF($L10="","",_xlfn.LET(
_xlpm._finalAttackStep,$L10,
_xlpm._prepAttacks,RemoveFirstElement(_xlpm._finalAttackStep&amp;","&amp;$K10),
_xlpm._prepAttackNames,IFERROR(LookupNames(_xlpm._prepAttacks,'Attack Steps'!$A:$B),""),
_xlpm._delimiter,REPT(CHAR(150),55),
$L10&amp;" "&amp;SimpleLookup($L10,'Attack Steps'!$A:$B)&amp;
IF(_xlpm._prepAttackNames="","",CHAR(10)&amp;_xlpm._delimiter&amp;CHAR(10)&amp;_xlpm._prepAttackNames)))</f>
        <v/>
      </c>
      <c r="C10" s="16" t="str" cm="1">
        <f t="array" aca="1" ref="C10" ca="1">IFERROR(LookupNames($M10,'Damage Scenarios'!$A:$V),"")</f>
        <v/>
      </c>
      <c r="D10" s="13" t="str">
        <f ca="1">IFERROR(IF($T10=0,"",INDEX(Definitions!$Q:$Q,MATCH($T10,Definitions!$R:$R,0))),"")</f>
        <v/>
      </c>
      <c r="E10" s="16" t="str" cm="1">
        <f t="array" aca="1" ref="E10" ca="1">IF($K10="","",_xlfn.LET(
_xlpm._listOfAttackSteps,$K10,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10" s="13" t="str">
        <f ca="1">IF($A10="","",IFERROR(VLOOKUP($W10,Definitions!$V:$W,COLUMNS(Definitions!$V:$W),TRUE),""))</f>
        <v/>
      </c>
      <c r="G10" s="13" t="str">
        <f ca="1">IFERROR(IF(OR($D10="",$F10=""),
"",
VLOOKUP($D10,Definitions!$AH:$AM,MATCH($F10,Definitions!$AH$3:$AM$3,0),FALSE)),
"")</f>
        <v/>
      </c>
      <c r="H10" s="10" cm="1">
        <f t="array" aca="1" ref="H10" ca="1">CreateID($H$2,$A10&lt;&gt;"")</f>
        <v>0</v>
      </c>
      <c r="I10" s="9" cm="1">
        <f t="array" aca="1" ref="I10" ca="1">IF(ROW()=ROW($I$2)+1,
1,
INDEX($I:$I,ROW()-1)+IF(INDEX($S:$S,ROW()-1),1,0))</f>
        <v>1</v>
      </c>
      <c r="J10" s="9">
        <f t="shared" ca="1" si="0"/>
        <v>8</v>
      </c>
      <c r="K10" s="9" t="str">
        <f t="shared" ca="1" si="1"/>
        <v/>
      </c>
      <c r="L10" s="9" t="str" cm="1">
        <f t="array" aca="1" ref="L10" ca="1">IF($P10="","",INDEX('Attack Steps'!$A:$A,$P10))</f>
        <v/>
      </c>
      <c r="M10" s="9" t="str" cm="1">
        <f t="array" aca="1" ref="M10" ca="1">IF($P10="","",INDEX('Attack Steps'!$U:$U,$P10))</f>
        <v/>
      </c>
      <c r="N10" s="9" t="str" cm="1">
        <f t="array" aca="1" ref="N10" ca="1">_xlfn.LET(_xlpm._dm,SanitizeInput(GetValuesWithFallback(SanitizeInput($AA10),Assumptions!$A:$J,Countermeasures!$A:$J,"",",",FALSE)),
IF(_xlpm._dm="","",","&amp;_xlpm._dm))</f>
        <v/>
      </c>
      <c r="O10" s="9" t="str" cm="1">
        <f t="array" aca="1" ref="O10" ca="1">ApplyDamageMitigation($M10,$N10,"")</f>
        <v/>
      </c>
      <c r="P10" s="9" t="str">
        <f ca="1">IFERROR(MATCH($I10,'Attack Steps'!$W:$W,0),"")</f>
        <v/>
      </c>
      <c r="Q10" s="9" t="str" cm="1">
        <f t="array" aca="1" ref="Q10" ca="1">IF($P10="","","§"&amp;INDEX('Attack Steps'!$T:$T,$P10))</f>
        <v/>
      </c>
      <c r="R10" s="9" t="str" cm="1">
        <f t="array" aca="1" ref="R10" ca="1">IF($P10="","",INDEX('Attack Steps'!$X:$X,$P10))</f>
        <v/>
      </c>
      <c r="S10" s="9" t="b">
        <f t="shared" ca="1" si="2"/>
        <v>0</v>
      </c>
      <c r="T10" s="9" cm="1">
        <f t="array" aca="1" ref="T10" ca="1">IF($M10="",0,OperateOnList($M10,_xlfn.LAMBDA(_xlpm._x,SimpleLookup(_xlpm._x,'Damage Scenarios'!$A:$U)),_xlfn.LAMBDA(_xlpm._x,_xlpm._y,MAX(_xlpm._x,_xlpm._y))))</f>
        <v>0</v>
      </c>
      <c r="U10" s="9" cm="1">
        <f t="array" aca="1" ref="U10" ca="1">IF($O10="",0,OperateOnList($O10,_xlfn.LAMBDA(_xlpm._x,SimpleLookup(_xlpm._x,'Damage Scenarios'!$A:$U)),_xlfn.LAMBDA(_xlpm._x,_xlpm._y,MAX(_xlpm._x,_xlpm._y))))</f>
        <v>0</v>
      </c>
      <c r="V10" s="9" t="str">
        <f ca="1">IF($U10=0,"",INDEX(Definitions!$Q:$Q,MATCH($U10,Definitions!$R:$R,0)))</f>
        <v/>
      </c>
      <c r="W10" s="9" cm="1">
        <f t="array" aca="1" ref="W10" ca="1">IF($K10="",0,_xlfn.LET(
_xlpm._listOfAttackSteps,$K10,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10" s="9" t="str" cm="1">
        <f t="array" aca="1" ref="X10" ca="1">IF(ROW()=ROW($X$2)+1,"",INDEX($X:$X,ROW()-1))&amp;IF($A10="","",$A10&amp;",")</f>
        <v/>
      </c>
      <c r="Y10" s="9" t="str" cm="1">
        <f t="array" aca="1" ref="Y10" ca="1">CreateSearchString($K10)</f>
        <v/>
      </c>
      <c r="Z10" s="9" cm="1">
        <f t="array" aca="1" ref="Z10" ca="1">IF($G10="",0,SimpleLookup($G10,Definitions!$AE:$AF))</f>
        <v>0</v>
      </c>
      <c r="AA10" s="9" t="str" cm="1">
        <f t="array" aca="1" ref="AA10" ca="1">SanitizeInput(InverseLookup($A10,Mitigation!$U$2,Mitigation!$J$2,1,Helper!$B$5,","))</f>
        <v/>
      </c>
      <c r="AB10" s="9" cm="1">
        <f t="array" aca="1" ref="AB10" ca="1">IF($K10="",0,_xlfn.LET(
_xlpm._listOfAttackStepsAndMitigations,$K10&amp;$AA10,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10" s="9" t="str">
        <f ca="1">IFERROR(VLOOKUP($AB10,Definitions!$V:$W,COLUMNS(Definitions!$V:$W),TRUE),"")</f>
        <v>Basic</v>
      </c>
      <c r="AD10" s="9" t="str">
        <f ca="1">_xlfn.LET(
_xlpm._comments,GetValues($K10,Mitigation!$A:$O,"","",FALSE),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10" s="9" t="str" cm="1">
        <f t="array" aca="1" ref="AE10" ca="1">_xlfn.LET(
_xlpm._rapRange,Definitions!$W:$W,
_xlpm._calculatedRAP,$AC10,
_xlpm._inlineRAP,$AD10,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10" s="9" t="str">
        <f ca="1">IFERROR(IF(OR($V10="",$AE10=""),
Definitions!$AE$4,
VLOOKUP($V10,Definitions!$AH:$AM,MATCH($AE10,Definitions!$AH$3:$AM$3,0),FALSE)),
"")</f>
        <v>No Risk</v>
      </c>
      <c r="AG10" s="9" cm="1">
        <f t="array" aca="1" ref="AG10" ca="1">IF($AF10="",0,SimpleLookup($AF10,Definitions!$AE:$AF))</f>
        <v>0</v>
      </c>
      <c r="AH10" s="9" t="str" cm="1">
        <f t="array" aca="1" ref="AH10" ca="1">IFERROR(SimpleLookup($A10,Tracing!$B:$Z),"")</f>
        <v/>
      </c>
      <c r="AI10" s="9" t="str" cm="1">
        <f t="array" aca="1" ref="AI10" ca="1">_xlfn.LET(_xlpm._dm,SanitizeInput(GetValuesWithFallback(SanitizeInput($AH10),Assumptions!$A:$J,Countermeasures!$A:$J,"",",",FALSE)),
IF(_xlpm._dm="","",","&amp;_xlpm._dm))</f>
        <v/>
      </c>
      <c r="AJ10" s="9" t="str" cm="1">
        <f t="array" aca="1" ref="AJ10" ca="1">ApplyDamageMitigation($M10,$AI10,"")</f>
        <v/>
      </c>
      <c r="AK10" s="9" cm="1">
        <f t="array" aca="1" ref="AK10" ca="1">CalculateMaxFromList($AJ10,0,'Damage Scenarios'!$A:$U)</f>
        <v>0</v>
      </c>
      <c r="AL10" s="9" t="str">
        <f ca="1">IF($AK10=0,"",INDEX(Definitions!$Q:$Q,MATCH($AK10,Definitions!$R:$R,0)))</f>
        <v/>
      </c>
      <c r="AM10" s="9" cm="1">
        <f t="array" aca="1" ref="AM10" ca="1">IF($K10="",0,_xlfn.LET(
_xlpm._listOfAttackStepsAndMitigations,$K10&amp;$AH10,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10" s="9" t="str">
        <f ca="1">IFERROR(VLOOKUP($AM10,Definitions!$V:$W,COLUMNS(Definitions!$V:$W),TRUE),"")</f>
        <v>Basic</v>
      </c>
      <c r="AO10" s="9" t="str">
        <f ca="1">_xlfn.LET(
_xlpm._comments,SimpleLookup($A10,Tracing!$B:$AB),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10" s="9" t="str" cm="1">
        <f t="array" aca="1" ref="AP10" ca="1">_xlfn.LET(
_xlpm._rapRange,Definitions!$W:$W,
_xlpm._calculatedRAP,$AN10,
_xlpm._inlineRAP,$AO10,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10" s="9" t="str">
        <f ca="1">IFERROR(IF(OR($AL10="",$AP10=""),
Definitions!$AE$4,
VLOOKUP($AL10,Definitions!$AH:$AM,MATCH($AP10,Definitions!$AH$3:$AM$3,0),FALSE)),
"")</f>
        <v>No Risk</v>
      </c>
      <c r="AR10" s="9" cm="1">
        <f t="array" aca="1" ref="AR10" ca="1">IF($AQ10="",0,SimpleLookup($AQ10,Definitions!$AE:$AF))</f>
        <v>0</v>
      </c>
      <c r="AS10" s="9" t="b">
        <f ca="1">OR(AND($S10,$I10=Helper!$B$7),$I10&gt;Helper!$B$7)</f>
        <v>1</v>
      </c>
      <c r="AT10" s="9" t="str">
        <f t="shared" ca="1" si="3"/>
        <v/>
      </c>
      <c r="AU10" s="9" cm="1">
        <f t="array" aca="1" ref="AU10" ca="1">CreateID($AU$2,$AT10&lt;&gt;"")</f>
        <v>0</v>
      </c>
      <c r="AV10" s="9" t="str">
        <f ca="1">IF(IFERROR(MATCH(","&amp;A10&amp;",",'Risk Treatment'!$AT:$AT,0)&gt;0,FALSE),"",$A10)</f>
        <v/>
      </c>
      <c r="AW10" s="9" cm="1">
        <f t="array" aca="1" ref="AW10" ca="1">CreateID($AW$2,$AV10&lt;&gt;"")</f>
        <v>0</v>
      </c>
      <c r="AX10" s="9" t="str" cm="1">
        <f t="array" aca="1" ref="AX10" ca="1">CreateSearchString($AA10)</f>
        <v/>
      </c>
    </row>
    <row r="11" spans="1:52" x14ac:dyDescent="0.25">
      <c r="A11" s="13" t="str" cm="1">
        <f t="array" aca="1" ref="A11" ca="1">IF($B11="","","R"&amp;RemoveDelimiter(SUBSTITUTE(SUBSTITUTE($K11,"AS",""),",","-"),"-"))</f>
        <v/>
      </c>
      <c r="B11" s="13" t="str" cm="1">
        <f t="array" aca="1" ref="B11" ca="1">IF($L11="","",_xlfn.LET(
_xlpm._finalAttackStep,$L11,
_xlpm._prepAttacks,RemoveFirstElement(_xlpm._finalAttackStep&amp;","&amp;$K11),
_xlpm._prepAttackNames,IFERROR(LookupNames(_xlpm._prepAttacks,'Attack Steps'!$A:$B),""),
_xlpm._delimiter,REPT(CHAR(150),55),
$L11&amp;" "&amp;SimpleLookup($L11,'Attack Steps'!$A:$B)&amp;
IF(_xlpm._prepAttackNames="","",CHAR(10)&amp;_xlpm._delimiter&amp;CHAR(10)&amp;_xlpm._prepAttackNames)))</f>
        <v/>
      </c>
      <c r="C11" s="16" t="str" cm="1">
        <f t="array" aca="1" ref="C11" ca="1">IFERROR(LookupNames($M11,'Damage Scenarios'!$A:$V),"")</f>
        <v/>
      </c>
      <c r="D11" s="13" t="str">
        <f ca="1">IFERROR(IF($T11=0,"",INDEX(Definitions!$Q:$Q,MATCH($T11,Definitions!$R:$R,0))),"")</f>
        <v/>
      </c>
      <c r="E11" s="16" t="str" cm="1">
        <f t="array" aca="1" ref="E11" ca="1">IF($K11="","",_xlfn.LET(
_xlpm._listOfAttackSteps,$K11,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11" s="13" t="str">
        <f ca="1">IF($A11="","",IFERROR(VLOOKUP($W11,Definitions!$V:$W,COLUMNS(Definitions!$V:$W),TRUE),""))</f>
        <v/>
      </c>
      <c r="G11" s="13" t="str">
        <f ca="1">IFERROR(IF(OR($D11="",$F11=""),
"",
VLOOKUP($D11,Definitions!$AH:$AM,MATCH($F11,Definitions!$AH$3:$AM$3,0),FALSE)),
"")</f>
        <v/>
      </c>
      <c r="H11" s="10" cm="1">
        <f t="array" aca="1" ref="H11" ca="1">CreateID($H$2,$A11&lt;&gt;"")</f>
        <v>0</v>
      </c>
      <c r="I11" s="9" cm="1">
        <f t="array" aca="1" ref="I11" ca="1">IF(ROW()=ROW($I$2)+1,
1,
INDEX($I:$I,ROW()-1)+IF(INDEX($S:$S,ROW()-1),1,0))</f>
        <v>1</v>
      </c>
      <c r="J11" s="9">
        <f t="shared" ca="1" si="0"/>
        <v>9</v>
      </c>
      <c r="K11" s="9" t="str">
        <f t="shared" ca="1" si="1"/>
        <v/>
      </c>
      <c r="L11" s="9" t="str" cm="1">
        <f t="array" aca="1" ref="L11" ca="1">IF($P11="","",INDEX('Attack Steps'!$A:$A,$P11))</f>
        <v/>
      </c>
      <c r="M11" s="9" t="str" cm="1">
        <f t="array" aca="1" ref="M11" ca="1">IF($P11="","",INDEX('Attack Steps'!$U:$U,$P11))</f>
        <v/>
      </c>
      <c r="N11" s="9" t="str" cm="1">
        <f t="array" aca="1" ref="N11" ca="1">_xlfn.LET(_xlpm._dm,SanitizeInput(GetValuesWithFallback(SanitizeInput($AA11),Assumptions!$A:$J,Countermeasures!$A:$J,"",",",FALSE)),
IF(_xlpm._dm="","",","&amp;_xlpm._dm))</f>
        <v/>
      </c>
      <c r="O11" s="9" t="str" cm="1">
        <f t="array" aca="1" ref="O11" ca="1">ApplyDamageMitigation($M11,$N11,"")</f>
        <v/>
      </c>
      <c r="P11" s="9" t="str">
        <f ca="1">IFERROR(MATCH($I11,'Attack Steps'!$W:$W,0),"")</f>
        <v/>
      </c>
      <c r="Q11" s="9" t="str" cm="1">
        <f t="array" aca="1" ref="Q11" ca="1">IF($P11="","","§"&amp;INDEX('Attack Steps'!$T:$T,$P11))</f>
        <v/>
      </c>
      <c r="R11" s="9" t="str" cm="1">
        <f t="array" aca="1" ref="R11" ca="1">IF($P11="","",INDEX('Attack Steps'!$X:$X,$P11))</f>
        <v/>
      </c>
      <c r="S11" s="9" t="b">
        <f t="shared" ca="1" si="2"/>
        <v>0</v>
      </c>
      <c r="T11" s="9" cm="1">
        <f t="array" aca="1" ref="T11" ca="1">IF($M11="",0,OperateOnList($M11,_xlfn.LAMBDA(_xlpm._x,SimpleLookup(_xlpm._x,'Damage Scenarios'!$A:$U)),_xlfn.LAMBDA(_xlpm._x,_xlpm._y,MAX(_xlpm._x,_xlpm._y))))</f>
        <v>0</v>
      </c>
      <c r="U11" s="9" cm="1">
        <f t="array" aca="1" ref="U11" ca="1">IF($O11="",0,OperateOnList($O11,_xlfn.LAMBDA(_xlpm._x,SimpleLookup(_xlpm._x,'Damage Scenarios'!$A:$U)),_xlfn.LAMBDA(_xlpm._x,_xlpm._y,MAX(_xlpm._x,_xlpm._y))))</f>
        <v>0</v>
      </c>
      <c r="V11" s="9" t="str">
        <f ca="1">IF($U11=0,"",INDEX(Definitions!$Q:$Q,MATCH($U11,Definitions!$R:$R,0)))</f>
        <v/>
      </c>
      <c r="W11" s="9" cm="1">
        <f t="array" aca="1" ref="W11" ca="1">IF($K11="",0,_xlfn.LET(
_xlpm._listOfAttackSteps,$K11,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11" s="9" t="str" cm="1">
        <f t="array" aca="1" ref="X11" ca="1">IF(ROW()=ROW($X$2)+1,"",INDEX($X:$X,ROW()-1))&amp;IF($A11="","",$A11&amp;",")</f>
        <v/>
      </c>
      <c r="Y11" s="9" t="str" cm="1">
        <f t="array" aca="1" ref="Y11" ca="1">CreateSearchString($K11)</f>
        <v/>
      </c>
      <c r="Z11" s="9" cm="1">
        <f t="array" aca="1" ref="Z11" ca="1">IF($G11="",0,SimpleLookup($G11,Definitions!$AE:$AF))</f>
        <v>0</v>
      </c>
      <c r="AA11" s="9" t="str" cm="1">
        <f t="array" aca="1" ref="AA11" ca="1">SanitizeInput(InverseLookup($A11,Mitigation!$U$2,Mitigation!$J$2,1,Helper!$B$5,","))</f>
        <v/>
      </c>
      <c r="AB11" s="9" cm="1">
        <f t="array" aca="1" ref="AB11" ca="1">IF($K11="",0,_xlfn.LET(
_xlpm._listOfAttackStepsAndMitigations,$K11&amp;$AA11,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11" s="9" t="str">
        <f ca="1">IFERROR(VLOOKUP($AB11,Definitions!$V:$W,COLUMNS(Definitions!$V:$W),TRUE),"")</f>
        <v>Basic</v>
      </c>
      <c r="AD11" s="9" t="str">
        <f ca="1">_xlfn.LET(
_xlpm._comments,GetValues($K11,Mitigation!$A:$O,"","",FALSE),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11" s="9" t="str" cm="1">
        <f t="array" aca="1" ref="AE11" ca="1">_xlfn.LET(
_xlpm._rapRange,Definitions!$W:$W,
_xlpm._calculatedRAP,$AC11,
_xlpm._inlineRAP,$AD11,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11" s="9" t="str">
        <f ca="1">IFERROR(IF(OR($V11="",$AE11=""),
Definitions!$AE$4,
VLOOKUP($V11,Definitions!$AH:$AM,MATCH($AE11,Definitions!$AH$3:$AM$3,0),FALSE)),
"")</f>
        <v>No Risk</v>
      </c>
      <c r="AG11" s="9" cm="1">
        <f t="array" aca="1" ref="AG11" ca="1">IF($AF11="",0,SimpleLookup($AF11,Definitions!$AE:$AF))</f>
        <v>0</v>
      </c>
      <c r="AH11" s="9" t="str" cm="1">
        <f t="array" aca="1" ref="AH11" ca="1">IFERROR(SimpleLookup($A11,Tracing!$B:$Z),"")</f>
        <v/>
      </c>
      <c r="AI11" s="9" t="str" cm="1">
        <f t="array" aca="1" ref="AI11" ca="1">_xlfn.LET(_xlpm._dm,SanitizeInput(GetValuesWithFallback(SanitizeInput($AH11),Assumptions!$A:$J,Countermeasures!$A:$J,"",",",FALSE)),
IF(_xlpm._dm="","",","&amp;_xlpm._dm))</f>
        <v/>
      </c>
      <c r="AJ11" s="9" t="str" cm="1">
        <f t="array" aca="1" ref="AJ11" ca="1">ApplyDamageMitigation($M11,$AI11,"")</f>
        <v/>
      </c>
      <c r="AK11" s="9" cm="1">
        <f t="array" aca="1" ref="AK11" ca="1">CalculateMaxFromList($AJ11,0,'Damage Scenarios'!$A:$U)</f>
        <v>0</v>
      </c>
      <c r="AL11" s="9" t="str">
        <f ca="1">IF($AK11=0,"",INDEX(Definitions!$Q:$Q,MATCH($AK11,Definitions!$R:$R,0)))</f>
        <v/>
      </c>
      <c r="AM11" s="9" cm="1">
        <f t="array" aca="1" ref="AM11" ca="1">IF($K11="",0,_xlfn.LET(
_xlpm._listOfAttackStepsAndMitigations,$K11&amp;$AH11,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11" s="9" t="str">
        <f ca="1">IFERROR(VLOOKUP($AM11,Definitions!$V:$W,COLUMNS(Definitions!$V:$W),TRUE),"")</f>
        <v>Basic</v>
      </c>
      <c r="AO11" s="9" t="str">
        <f ca="1">_xlfn.LET(
_xlpm._comments,SimpleLookup($A11,Tracing!$B:$AB),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11" s="9" t="str" cm="1">
        <f t="array" aca="1" ref="AP11" ca="1">_xlfn.LET(
_xlpm._rapRange,Definitions!$W:$W,
_xlpm._calculatedRAP,$AN11,
_xlpm._inlineRAP,$AO11,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11" s="9" t="str">
        <f ca="1">IFERROR(IF(OR($AL11="",$AP11=""),
Definitions!$AE$4,
VLOOKUP($AL11,Definitions!$AH:$AM,MATCH($AP11,Definitions!$AH$3:$AM$3,0),FALSE)),
"")</f>
        <v>No Risk</v>
      </c>
      <c r="AR11" s="9" cm="1">
        <f t="array" aca="1" ref="AR11" ca="1">IF($AQ11="",0,SimpleLookup($AQ11,Definitions!$AE:$AF))</f>
        <v>0</v>
      </c>
      <c r="AS11" s="9" t="b">
        <f ca="1">OR(AND($S11,$I11=Helper!$B$7),$I11&gt;Helper!$B$7)</f>
        <v>1</v>
      </c>
      <c r="AT11" s="9" t="str">
        <f t="shared" ca="1" si="3"/>
        <v/>
      </c>
      <c r="AU11" s="9" cm="1">
        <f t="array" aca="1" ref="AU11" ca="1">CreateID($AU$2,$AT11&lt;&gt;"")</f>
        <v>0</v>
      </c>
      <c r="AV11" s="9" t="str">
        <f ca="1">IF(IFERROR(MATCH(","&amp;A11&amp;",",'Risk Treatment'!$AT:$AT,0)&gt;0,FALSE),"",$A11)</f>
        <v/>
      </c>
      <c r="AW11" s="9" cm="1">
        <f t="array" aca="1" ref="AW11" ca="1">CreateID($AW$2,$AV11&lt;&gt;"")</f>
        <v>0</v>
      </c>
      <c r="AX11" s="9" t="str" cm="1">
        <f t="array" aca="1" ref="AX11" ca="1">CreateSearchString($AA11)</f>
        <v/>
      </c>
    </row>
    <row r="12" spans="1:52" x14ac:dyDescent="0.25">
      <c r="A12" s="13" t="str" cm="1">
        <f t="array" aca="1" ref="A12" ca="1">IF($B12="","","R"&amp;RemoveDelimiter(SUBSTITUTE(SUBSTITUTE($K12,"AS",""),",","-"),"-"))</f>
        <v/>
      </c>
      <c r="B12" s="13" t="str" cm="1">
        <f t="array" aca="1" ref="B12" ca="1">IF($L12="","",_xlfn.LET(
_xlpm._finalAttackStep,$L12,
_xlpm._prepAttacks,RemoveFirstElement(_xlpm._finalAttackStep&amp;","&amp;$K12),
_xlpm._prepAttackNames,IFERROR(LookupNames(_xlpm._prepAttacks,'Attack Steps'!$A:$B),""),
_xlpm._delimiter,REPT(CHAR(150),55),
$L12&amp;" "&amp;SimpleLookup($L12,'Attack Steps'!$A:$B)&amp;
IF(_xlpm._prepAttackNames="","",CHAR(10)&amp;_xlpm._delimiter&amp;CHAR(10)&amp;_xlpm._prepAttackNames)))</f>
        <v/>
      </c>
      <c r="C12" s="16" t="str" cm="1">
        <f t="array" aca="1" ref="C12" ca="1">IFERROR(LookupNames($M12,'Damage Scenarios'!$A:$V),"")</f>
        <v/>
      </c>
      <c r="D12" s="13" t="str">
        <f ca="1">IFERROR(IF($T12=0,"",INDEX(Definitions!$Q:$Q,MATCH($T12,Definitions!$R:$R,0))),"")</f>
        <v/>
      </c>
      <c r="E12" s="16" t="str" cm="1">
        <f t="array" aca="1" ref="E12" ca="1">IF($K12="","",_xlfn.LET(
_xlpm._listOfAttackSteps,$K12,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12" s="13" t="str">
        <f ca="1">IF($A12="","",IFERROR(VLOOKUP($W12,Definitions!$V:$W,COLUMNS(Definitions!$V:$W),TRUE),""))</f>
        <v/>
      </c>
      <c r="G12" s="13" t="str">
        <f ca="1">IFERROR(IF(OR($D12="",$F12=""),
"",
VLOOKUP($D12,Definitions!$AH:$AM,MATCH($F12,Definitions!$AH$3:$AM$3,0),FALSE)),
"")</f>
        <v/>
      </c>
      <c r="H12" s="10" cm="1">
        <f t="array" aca="1" ref="H12" ca="1">CreateID($H$2,$A12&lt;&gt;"")</f>
        <v>0</v>
      </c>
      <c r="I12" s="9" cm="1">
        <f t="array" aca="1" ref="I12" ca="1">IF(ROW()=ROW($I$2)+1,
1,
INDEX($I:$I,ROW()-1)+IF(INDEX($S:$S,ROW()-1),1,0))</f>
        <v>1</v>
      </c>
      <c r="J12" s="9">
        <f t="shared" ca="1" si="0"/>
        <v>10</v>
      </c>
      <c r="K12" s="9" t="str">
        <f t="shared" ca="1" si="1"/>
        <v/>
      </c>
      <c r="L12" s="9" t="str" cm="1">
        <f t="array" aca="1" ref="L12" ca="1">IF($P12="","",INDEX('Attack Steps'!$A:$A,$P12))</f>
        <v/>
      </c>
      <c r="M12" s="9" t="str" cm="1">
        <f t="array" aca="1" ref="M12" ca="1">IF($P12="","",INDEX('Attack Steps'!$U:$U,$P12))</f>
        <v/>
      </c>
      <c r="N12" s="9" t="str" cm="1">
        <f t="array" aca="1" ref="N12" ca="1">_xlfn.LET(_xlpm._dm,SanitizeInput(GetValuesWithFallback(SanitizeInput($AA12),Assumptions!$A:$J,Countermeasures!$A:$J,"",",",FALSE)),
IF(_xlpm._dm="","",","&amp;_xlpm._dm))</f>
        <v/>
      </c>
      <c r="O12" s="9" t="str" cm="1">
        <f t="array" aca="1" ref="O12" ca="1">ApplyDamageMitigation($M12,$N12,"")</f>
        <v/>
      </c>
      <c r="P12" s="9" t="str">
        <f ca="1">IFERROR(MATCH($I12,'Attack Steps'!$W:$W,0),"")</f>
        <v/>
      </c>
      <c r="Q12" s="9" t="str" cm="1">
        <f t="array" aca="1" ref="Q12" ca="1">IF($P12="","","§"&amp;INDEX('Attack Steps'!$T:$T,$P12))</f>
        <v/>
      </c>
      <c r="R12" s="9" t="str" cm="1">
        <f t="array" aca="1" ref="R12" ca="1">IF($P12="","",INDEX('Attack Steps'!$X:$X,$P12))</f>
        <v/>
      </c>
      <c r="S12" s="9" t="b">
        <f t="shared" ca="1" si="2"/>
        <v>0</v>
      </c>
      <c r="T12" s="9" cm="1">
        <f t="array" aca="1" ref="T12" ca="1">IF($M12="",0,OperateOnList($M12,_xlfn.LAMBDA(_xlpm._x,SimpleLookup(_xlpm._x,'Damage Scenarios'!$A:$U)),_xlfn.LAMBDA(_xlpm._x,_xlpm._y,MAX(_xlpm._x,_xlpm._y))))</f>
        <v>0</v>
      </c>
      <c r="U12" s="9" cm="1">
        <f t="array" aca="1" ref="U12" ca="1">IF($O12="",0,OperateOnList($O12,_xlfn.LAMBDA(_xlpm._x,SimpleLookup(_xlpm._x,'Damage Scenarios'!$A:$U)),_xlfn.LAMBDA(_xlpm._x,_xlpm._y,MAX(_xlpm._x,_xlpm._y))))</f>
        <v>0</v>
      </c>
      <c r="V12" s="9" t="str">
        <f ca="1">IF($U12=0,"",INDEX(Definitions!$Q:$Q,MATCH($U12,Definitions!$R:$R,0)))</f>
        <v/>
      </c>
      <c r="W12" s="9" cm="1">
        <f t="array" aca="1" ref="W12" ca="1">IF($K12="",0,_xlfn.LET(
_xlpm._listOfAttackSteps,$K12,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12" s="9" t="str" cm="1">
        <f t="array" aca="1" ref="X12" ca="1">IF(ROW()=ROW($X$2)+1,"",INDEX($X:$X,ROW()-1))&amp;IF($A12="","",$A12&amp;",")</f>
        <v/>
      </c>
      <c r="Y12" s="9" t="str" cm="1">
        <f t="array" aca="1" ref="Y12" ca="1">CreateSearchString($K12)</f>
        <v/>
      </c>
      <c r="Z12" s="9" cm="1">
        <f t="array" aca="1" ref="Z12" ca="1">IF($G12="",0,SimpleLookup($G12,Definitions!$AE:$AF))</f>
        <v>0</v>
      </c>
      <c r="AA12" s="9" t="str" cm="1">
        <f t="array" aca="1" ref="AA12" ca="1">SanitizeInput(InverseLookup($A12,Mitigation!$U$2,Mitigation!$J$2,1,Helper!$B$5,","))</f>
        <v/>
      </c>
      <c r="AB12" s="9" cm="1">
        <f t="array" aca="1" ref="AB12" ca="1">IF($K12="",0,_xlfn.LET(
_xlpm._listOfAttackStepsAndMitigations,$K12&amp;$AA12,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12" s="9" t="str">
        <f ca="1">IFERROR(VLOOKUP($AB12,Definitions!$V:$W,COLUMNS(Definitions!$V:$W),TRUE),"")</f>
        <v>Basic</v>
      </c>
      <c r="AD12" s="9" t="str">
        <f ca="1">_xlfn.LET(
_xlpm._comments,GetValues($K12,Mitigation!$A:$O,"","",FALSE),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12" s="9" t="str" cm="1">
        <f t="array" aca="1" ref="AE12" ca="1">_xlfn.LET(
_xlpm._rapRange,Definitions!$W:$W,
_xlpm._calculatedRAP,$AC12,
_xlpm._inlineRAP,$AD12,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12" s="9" t="str">
        <f ca="1">IFERROR(IF(OR($V12="",$AE12=""),
Definitions!$AE$4,
VLOOKUP($V12,Definitions!$AH:$AM,MATCH($AE12,Definitions!$AH$3:$AM$3,0),FALSE)),
"")</f>
        <v>No Risk</v>
      </c>
      <c r="AG12" s="9" cm="1">
        <f t="array" aca="1" ref="AG12" ca="1">IF($AF12="",0,SimpleLookup($AF12,Definitions!$AE:$AF))</f>
        <v>0</v>
      </c>
      <c r="AH12" s="9" t="str" cm="1">
        <f t="array" aca="1" ref="AH12" ca="1">IFERROR(SimpleLookup($A12,Tracing!$B:$Z),"")</f>
        <v/>
      </c>
      <c r="AI12" s="9" t="str" cm="1">
        <f t="array" aca="1" ref="AI12" ca="1">_xlfn.LET(_xlpm._dm,SanitizeInput(GetValuesWithFallback(SanitizeInput($AH12),Assumptions!$A:$J,Countermeasures!$A:$J,"",",",FALSE)),
IF(_xlpm._dm="","",","&amp;_xlpm._dm))</f>
        <v/>
      </c>
      <c r="AJ12" s="9" t="str" cm="1">
        <f t="array" aca="1" ref="AJ12" ca="1">ApplyDamageMitigation($M12,$AI12,"")</f>
        <v/>
      </c>
      <c r="AK12" s="9" cm="1">
        <f t="array" aca="1" ref="AK12" ca="1">CalculateMaxFromList($AJ12,0,'Damage Scenarios'!$A:$U)</f>
        <v>0</v>
      </c>
      <c r="AL12" s="9" t="str">
        <f ca="1">IF($AK12=0,"",INDEX(Definitions!$Q:$Q,MATCH($AK12,Definitions!$R:$R,0)))</f>
        <v/>
      </c>
      <c r="AM12" s="9" cm="1">
        <f t="array" aca="1" ref="AM12" ca="1">IF($K12="",0,_xlfn.LET(
_xlpm._listOfAttackStepsAndMitigations,$K12&amp;$AH12,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12" s="9" t="str">
        <f ca="1">IFERROR(VLOOKUP($AM12,Definitions!$V:$W,COLUMNS(Definitions!$V:$W),TRUE),"")</f>
        <v>Basic</v>
      </c>
      <c r="AO12" s="9" t="str">
        <f ca="1">_xlfn.LET(
_xlpm._comments,SimpleLookup($A12,Tracing!$B:$AB),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12" s="9" t="str" cm="1">
        <f t="array" aca="1" ref="AP12" ca="1">_xlfn.LET(
_xlpm._rapRange,Definitions!$W:$W,
_xlpm._calculatedRAP,$AN12,
_xlpm._inlineRAP,$AO12,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12" s="9" t="str">
        <f ca="1">IFERROR(IF(OR($AL12="",$AP12=""),
Definitions!$AE$4,
VLOOKUP($AL12,Definitions!$AH:$AM,MATCH($AP12,Definitions!$AH$3:$AM$3,0),FALSE)),
"")</f>
        <v>No Risk</v>
      </c>
      <c r="AR12" s="9" cm="1">
        <f t="array" aca="1" ref="AR12" ca="1">IF($AQ12="",0,SimpleLookup($AQ12,Definitions!$AE:$AF))</f>
        <v>0</v>
      </c>
      <c r="AS12" s="9" t="b">
        <f ca="1">OR(AND($S12,$I12=Helper!$B$7),$I12&gt;Helper!$B$7)</f>
        <v>1</v>
      </c>
      <c r="AT12" s="9" t="str">
        <f t="shared" ca="1" si="3"/>
        <v/>
      </c>
      <c r="AU12" s="9" cm="1">
        <f t="array" aca="1" ref="AU12" ca="1">CreateID($AU$2,$AT12&lt;&gt;"")</f>
        <v>0</v>
      </c>
      <c r="AV12" s="9" t="str">
        <f ca="1">IF(IFERROR(MATCH(","&amp;A12&amp;",",'Risk Treatment'!$AT:$AT,0)&gt;0,FALSE),"",$A12)</f>
        <v/>
      </c>
      <c r="AW12" s="9" cm="1">
        <f t="array" aca="1" ref="AW12" ca="1">CreateID($AW$2,$AV12&lt;&gt;"")</f>
        <v>0</v>
      </c>
      <c r="AX12" s="9" t="str" cm="1">
        <f t="array" aca="1" ref="AX12" ca="1">CreateSearchString($AA12)</f>
        <v/>
      </c>
    </row>
    <row r="13" spans="1:52" x14ac:dyDescent="0.25">
      <c r="A13" s="13" t="str" cm="1">
        <f t="array" aca="1" ref="A13" ca="1">IF($B13="","","R"&amp;RemoveDelimiter(SUBSTITUTE(SUBSTITUTE($K13,"AS",""),",","-"),"-"))</f>
        <v/>
      </c>
      <c r="B13" s="13" t="str" cm="1">
        <f t="array" aca="1" ref="B13" ca="1">IF($L13="","",_xlfn.LET(
_xlpm._finalAttackStep,$L13,
_xlpm._prepAttacks,RemoveFirstElement(_xlpm._finalAttackStep&amp;","&amp;$K13),
_xlpm._prepAttackNames,IFERROR(LookupNames(_xlpm._prepAttacks,'Attack Steps'!$A:$B),""),
_xlpm._delimiter,REPT(CHAR(150),55),
$L13&amp;" "&amp;SimpleLookup($L13,'Attack Steps'!$A:$B)&amp;
IF(_xlpm._prepAttackNames="","",CHAR(10)&amp;_xlpm._delimiter&amp;CHAR(10)&amp;_xlpm._prepAttackNames)))</f>
        <v/>
      </c>
      <c r="C13" s="16" t="str" cm="1">
        <f t="array" aca="1" ref="C13" ca="1">IFERROR(LookupNames($M13,'Damage Scenarios'!$A:$V),"")</f>
        <v/>
      </c>
      <c r="D13" s="13" t="str">
        <f ca="1">IFERROR(IF($T13=0,"",INDEX(Definitions!$Q:$Q,MATCH($T13,Definitions!$R:$R,0))),"")</f>
        <v/>
      </c>
      <c r="E13" s="16" t="str" cm="1">
        <f t="array" aca="1" ref="E13" ca="1">IF($K13="","",_xlfn.LET(
_xlpm._listOfAttackSteps,$K13,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13" s="13" t="str">
        <f ca="1">IF($A13="","",IFERROR(VLOOKUP($W13,Definitions!$V:$W,COLUMNS(Definitions!$V:$W),TRUE),""))</f>
        <v/>
      </c>
      <c r="G13" s="13" t="str">
        <f ca="1">IFERROR(IF(OR($D13="",$F13=""),
"",
VLOOKUP($D13,Definitions!$AH:$AM,MATCH($F13,Definitions!$AH$3:$AM$3,0),FALSE)),
"")</f>
        <v/>
      </c>
      <c r="H13" s="10" cm="1">
        <f t="array" aca="1" ref="H13" ca="1">CreateID($H$2,$A13&lt;&gt;"")</f>
        <v>0</v>
      </c>
      <c r="I13" s="9" cm="1">
        <f t="array" aca="1" ref="I13" ca="1">IF(ROW()=ROW($I$2)+1,
1,
INDEX($I:$I,ROW()-1)+IF(INDEX($S:$S,ROW()-1),1,0))</f>
        <v>1</v>
      </c>
      <c r="J13" s="9">
        <f t="shared" ca="1" si="0"/>
        <v>11</v>
      </c>
      <c r="K13" s="9" t="str">
        <f t="shared" ca="1" si="1"/>
        <v/>
      </c>
      <c r="L13" s="9" t="str" cm="1">
        <f t="array" aca="1" ref="L13" ca="1">IF($P13="","",INDEX('Attack Steps'!$A:$A,$P13))</f>
        <v/>
      </c>
      <c r="M13" s="9" t="str" cm="1">
        <f t="array" aca="1" ref="M13" ca="1">IF($P13="","",INDEX('Attack Steps'!$U:$U,$P13))</f>
        <v/>
      </c>
      <c r="N13" s="9" t="str" cm="1">
        <f t="array" aca="1" ref="N13" ca="1">_xlfn.LET(_xlpm._dm,SanitizeInput(GetValuesWithFallback(SanitizeInput($AA13),Assumptions!$A:$J,Countermeasures!$A:$J,"",",",FALSE)),
IF(_xlpm._dm="","",","&amp;_xlpm._dm))</f>
        <v/>
      </c>
      <c r="O13" s="9" t="str" cm="1">
        <f t="array" aca="1" ref="O13" ca="1">ApplyDamageMitigation($M13,$N13,"")</f>
        <v/>
      </c>
      <c r="P13" s="9" t="str">
        <f ca="1">IFERROR(MATCH($I13,'Attack Steps'!$W:$W,0),"")</f>
        <v/>
      </c>
      <c r="Q13" s="9" t="str" cm="1">
        <f t="array" aca="1" ref="Q13" ca="1">IF($P13="","","§"&amp;INDEX('Attack Steps'!$T:$T,$P13))</f>
        <v/>
      </c>
      <c r="R13" s="9" t="str" cm="1">
        <f t="array" aca="1" ref="R13" ca="1">IF($P13="","",INDEX('Attack Steps'!$X:$X,$P13))</f>
        <v/>
      </c>
      <c r="S13" s="9" t="b">
        <f t="shared" ca="1" si="2"/>
        <v>0</v>
      </c>
      <c r="T13" s="9" cm="1">
        <f t="array" aca="1" ref="T13" ca="1">IF($M13="",0,OperateOnList($M13,_xlfn.LAMBDA(_xlpm._x,SimpleLookup(_xlpm._x,'Damage Scenarios'!$A:$U)),_xlfn.LAMBDA(_xlpm._x,_xlpm._y,MAX(_xlpm._x,_xlpm._y))))</f>
        <v>0</v>
      </c>
      <c r="U13" s="9" cm="1">
        <f t="array" aca="1" ref="U13" ca="1">IF($O13="",0,OperateOnList($O13,_xlfn.LAMBDA(_xlpm._x,SimpleLookup(_xlpm._x,'Damage Scenarios'!$A:$U)),_xlfn.LAMBDA(_xlpm._x,_xlpm._y,MAX(_xlpm._x,_xlpm._y))))</f>
        <v>0</v>
      </c>
      <c r="V13" s="9" t="str">
        <f ca="1">IF($U13=0,"",INDEX(Definitions!$Q:$Q,MATCH($U13,Definitions!$R:$R,0)))</f>
        <v/>
      </c>
      <c r="W13" s="9" cm="1">
        <f t="array" aca="1" ref="W13" ca="1">IF($K13="",0,_xlfn.LET(
_xlpm._listOfAttackSteps,$K13,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13" s="9" t="str" cm="1">
        <f t="array" aca="1" ref="X13" ca="1">IF(ROW()=ROW($X$2)+1,"",INDEX($X:$X,ROW()-1))&amp;IF($A13="","",$A13&amp;",")</f>
        <v/>
      </c>
      <c r="Y13" s="9" t="str" cm="1">
        <f t="array" aca="1" ref="Y13" ca="1">CreateSearchString($K13)</f>
        <v/>
      </c>
      <c r="Z13" s="9" cm="1">
        <f t="array" aca="1" ref="Z13" ca="1">IF($G13="",0,SimpleLookup($G13,Definitions!$AE:$AF))</f>
        <v>0</v>
      </c>
      <c r="AA13" s="9" t="str" cm="1">
        <f t="array" aca="1" ref="AA13" ca="1">SanitizeInput(InverseLookup($A13,Mitigation!$U$2,Mitigation!$J$2,1,Helper!$B$5,","))</f>
        <v/>
      </c>
      <c r="AB13" s="9" cm="1">
        <f t="array" aca="1" ref="AB13" ca="1">IF($K13="",0,_xlfn.LET(
_xlpm._listOfAttackStepsAndMitigations,$K13&amp;$AA13,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13" s="9" t="str">
        <f ca="1">IFERROR(VLOOKUP($AB13,Definitions!$V:$W,COLUMNS(Definitions!$V:$W),TRUE),"")</f>
        <v>Basic</v>
      </c>
      <c r="AD13" s="9" t="str">
        <f ca="1">_xlfn.LET(
_xlpm._comments,GetValues($K13,Mitigation!$A:$O,"","",FALSE),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13" s="9" t="str" cm="1">
        <f t="array" aca="1" ref="AE13" ca="1">_xlfn.LET(
_xlpm._rapRange,Definitions!$W:$W,
_xlpm._calculatedRAP,$AC13,
_xlpm._inlineRAP,$AD13,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13" s="9" t="str">
        <f ca="1">IFERROR(IF(OR($V13="",$AE13=""),
Definitions!$AE$4,
VLOOKUP($V13,Definitions!$AH:$AM,MATCH($AE13,Definitions!$AH$3:$AM$3,0),FALSE)),
"")</f>
        <v>No Risk</v>
      </c>
      <c r="AG13" s="9" cm="1">
        <f t="array" aca="1" ref="AG13" ca="1">IF($AF13="",0,SimpleLookup($AF13,Definitions!$AE:$AF))</f>
        <v>0</v>
      </c>
      <c r="AH13" s="9" t="str" cm="1">
        <f t="array" aca="1" ref="AH13" ca="1">IFERROR(SimpleLookup($A13,Tracing!$B:$Z),"")</f>
        <v/>
      </c>
      <c r="AI13" s="9" t="str" cm="1">
        <f t="array" aca="1" ref="AI13" ca="1">_xlfn.LET(_xlpm._dm,SanitizeInput(GetValuesWithFallback(SanitizeInput($AH13),Assumptions!$A:$J,Countermeasures!$A:$J,"",",",FALSE)),
IF(_xlpm._dm="","",","&amp;_xlpm._dm))</f>
        <v/>
      </c>
      <c r="AJ13" s="9" t="str" cm="1">
        <f t="array" aca="1" ref="AJ13" ca="1">ApplyDamageMitigation($M13,$AI13,"")</f>
        <v/>
      </c>
      <c r="AK13" s="9" cm="1">
        <f t="array" aca="1" ref="AK13" ca="1">CalculateMaxFromList($AJ13,0,'Damage Scenarios'!$A:$U)</f>
        <v>0</v>
      </c>
      <c r="AL13" s="9" t="str">
        <f ca="1">IF($AK13=0,"",INDEX(Definitions!$Q:$Q,MATCH($AK13,Definitions!$R:$R,0)))</f>
        <v/>
      </c>
      <c r="AM13" s="9" cm="1">
        <f t="array" aca="1" ref="AM13" ca="1">IF($K13="",0,_xlfn.LET(
_xlpm._listOfAttackStepsAndMitigations,$K13&amp;$AH13,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13" s="9" t="str">
        <f ca="1">IFERROR(VLOOKUP($AM13,Definitions!$V:$W,COLUMNS(Definitions!$V:$W),TRUE),"")</f>
        <v>Basic</v>
      </c>
      <c r="AO13" s="9" t="str">
        <f ca="1">_xlfn.LET(
_xlpm._comments,SimpleLookup($A13,Tracing!$B:$AB),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13" s="9" t="str" cm="1">
        <f t="array" aca="1" ref="AP13" ca="1">_xlfn.LET(
_xlpm._rapRange,Definitions!$W:$W,
_xlpm._calculatedRAP,$AN13,
_xlpm._inlineRAP,$AO13,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13" s="9" t="str">
        <f ca="1">IFERROR(IF(OR($AL13="",$AP13=""),
Definitions!$AE$4,
VLOOKUP($AL13,Definitions!$AH:$AM,MATCH($AP13,Definitions!$AH$3:$AM$3,0),FALSE)),
"")</f>
        <v>No Risk</v>
      </c>
      <c r="AR13" s="9" cm="1">
        <f t="array" aca="1" ref="AR13" ca="1">IF($AQ13="",0,SimpleLookup($AQ13,Definitions!$AE:$AF))</f>
        <v>0</v>
      </c>
      <c r="AS13" s="9" t="b">
        <f ca="1">OR(AND($S13,$I13=Helper!$B$7),$I13&gt;Helper!$B$7)</f>
        <v>1</v>
      </c>
      <c r="AT13" s="9" t="str">
        <f t="shared" ca="1" si="3"/>
        <v/>
      </c>
      <c r="AU13" s="9" cm="1">
        <f t="array" aca="1" ref="AU13" ca="1">CreateID($AU$2,$AT13&lt;&gt;"")</f>
        <v>0</v>
      </c>
      <c r="AV13" s="9" t="str">
        <f ca="1">IF(IFERROR(MATCH(","&amp;A13&amp;",",'Risk Treatment'!$AT:$AT,0)&gt;0,FALSE),"",$A13)</f>
        <v/>
      </c>
      <c r="AW13" s="9" cm="1">
        <f t="array" aca="1" ref="AW13" ca="1">CreateID($AW$2,$AV13&lt;&gt;"")</f>
        <v>0</v>
      </c>
      <c r="AX13" s="9" t="str" cm="1">
        <f t="array" aca="1" ref="AX13" ca="1">CreateSearchString($AA13)</f>
        <v/>
      </c>
    </row>
    <row r="14" spans="1:52" x14ac:dyDescent="0.25">
      <c r="A14" s="13" t="str" cm="1">
        <f t="array" aca="1" ref="A14" ca="1">IF($B14="","","R"&amp;RemoveDelimiter(SUBSTITUTE(SUBSTITUTE($K14,"AS",""),",","-"),"-"))</f>
        <v/>
      </c>
      <c r="B14" s="13" t="str" cm="1">
        <f t="array" aca="1" ref="B14" ca="1">IF($L14="","",_xlfn.LET(
_xlpm._finalAttackStep,$L14,
_xlpm._prepAttacks,RemoveFirstElement(_xlpm._finalAttackStep&amp;","&amp;$K14),
_xlpm._prepAttackNames,IFERROR(LookupNames(_xlpm._prepAttacks,'Attack Steps'!$A:$B),""),
_xlpm._delimiter,REPT(CHAR(150),55),
$L14&amp;" "&amp;SimpleLookup($L14,'Attack Steps'!$A:$B)&amp;
IF(_xlpm._prepAttackNames="","",CHAR(10)&amp;_xlpm._delimiter&amp;CHAR(10)&amp;_xlpm._prepAttackNames)))</f>
        <v/>
      </c>
      <c r="C14" s="16" t="str" cm="1">
        <f t="array" aca="1" ref="C14" ca="1">IFERROR(LookupNames($M14,'Damage Scenarios'!$A:$V),"")</f>
        <v/>
      </c>
      <c r="D14" s="13" t="str">
        <f ca="1">IFERROR(IF($T14=0,"",INDEX(Definitions!$Q:$Q,MATCH($T14,Definitions!$R:$R,0))),"")</f>
        <v/>
      </c>
      <c r="E14" s="16" t="str" cm="1">
        <f t="array" aca="1" ref="E14" ca="1">IF($K14="","",_xlfn.LET(
_xlpm._listOfAttackSteps,$K14,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14" s="13" t="str">
        <f ca="1">IF($A14="","",IFERROR(VLOOKUP($W14,Definitions!$V:$W,COLUMNS(Definitions!$V:$W),TRUE),""))</f>
        <v/>
      </c>
      <c r="G14" s="13" t="str">
        <f ca="1">IFERROR(IF(OR($D14="",$F14=""),
"",
VLOOKUP($D14,Definitions!$AH:$AM,MATCH($F14,Definitions!$AH$3:$AM$3,0),FALSE)),
"")</f>
        <v/>
      </c>
      <c r="H14" s="10" cm="1">
        <f t="array" aca="1" ref="H14" ca="1">CreateID($H$2,$A14&lt;&gt;"")</f>
        <v>0</v>
      </c>
      <c r="I14" s="9" cm="1">
        <f t="array" aca="1" ref="I14" ca="1">IF(ROW()=ROW($I$2)+1,
1,
INDEX($I:$I,ROW()-1)+IF(INDEX($S:$S,ROW()-1),1,0))</f>
        <v>1</v>
      </c>
      <c r="J14" s="9">
        <f t="shared" ca="1" si="0"/>
        <v>12</v>
      </c>
      <c r="K14" s="9" t="str">
        <f t="shared" ca="1" si="1"/>
        <v/>
      </c>
      <c r="L14" s="9" t="str" cm="1">
        <f t="array" aca="1" ref="L14" ca="1">IF($P14="","",INDEX('Attack Steps'!$A:$A,$P14))</f>
        <v/>
      </c>
      <c r="M14" s="9" t="str" cm="1">
        <f t="array" aca="1" ref="M14" ca="1">IF($P14="","",INDEX('Attack Steps'!$U:$U,$P14))</f>
        <v/>
      </c>
      <c r="N14" s="9" t="str" cm="1">
        <f t="array" aca="1" ref="N14" ca="1">_xlfn.LET(_xlpm._dm,SanitizeInput(GetValuesWithFallback(SanitizeInput($AA14),Assumptions!$A:$J,Countermeasures!$A:$J,"",",",FALSE)),
IF(_xlpm._dm="","",","&amp;_xlpm._dm))</f>
        <v/>
      </c>
      <c r="O14" s="9" t="str" cm="1">
        <f t="array" aca="1" ref="O14" ca="1">ApplyDamageMitigation($M14,$N14,"")</f>
        <v/>
      </c>
      <c r="P14" s="9" t="str">
        <f ca="1">IFERROR(MATCH($I14,'Attack Steps'!$W:$W,0),"")</f>
        <v/>
      </c>
      <c r="Q14" s="9" t="str" cm="1">
        <f t="array" aca="1" ref="Q14" ca="1">IF($P14="","","§"&amp;INDEX('Attack Steps'!$T:$T,$P14))</f>
        <v/>
      </c>
      <c r="R14" s="9" t="str" cm="1">
        <f t="array" aca="1" ref="R14" ca="1">IF($P14="","",INDEX('Attack Steps'!$X:$X,$P14))</f>
        <v/>
      </c>
      <c r="S14" s="9" t="b">
        <f t="shared" ca="1" si="2"/>
        <v>0</v>
      </c>
      <c r="T14" s="9" cm="1">
        <f t="array" aca="1" ref="T14" ca="1">IF($M14="",0,OperateOnList($M14,_xlfn.LAMBDA(_xlpm._x,SimpleLookup(_xlpm._x,'Damage Scenarios'!$A:$U)),_xlfn.LAMBDA(_xlpm._x,_xlpm._y,MAX(_xlpm._x,_xlpm._y))))</f>
        <v>0</v>
      </c>
      <c r="U14" s="9" cm="1">
        <f t="array" aca="1" ref="U14" ca="1">IF($O14="",0,OperateOnList($O14,_xlfn.LAMBDA(_xlpm._x,SimpleLookup(_xlpm._x,'Damage Scenarios'!$A:$U)),_xlfn.LAMBDA(_xlpm._x,_xlpm._y,MAX(_xlpm._x,_xlpm._y))))</f>
        <v>0</v>
      </c>
      <c r="V14" s="9" t="str">
        <f ca="1">IF($U14=0,"",INDEX(Definitions!$Q:$Q,MATCH($U14,Definitions!$R:$R,0)))</f>
        <v/>
      </c>
      <c r="W14" s="9" cm="1">
        <f t="array" aca="1" ref="W14" ca="1">IF($K14="",0,_xlfn.LET(
_xlpm._listOfAttackSteps,$K14,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14" s="9" t="str" cm="1">
        <f t="array" aca="1" ref="X14" ca="1">IF(ROW()=ROW($X$2)+1,"",INDEX($X:$X,ROW()-1))&amp;IF($A14="","",$A14&amp;",")</f>
        <v/>
      </c>
      <c r="Y14" s="9" t="str" cm="1">
        <f t="array" aca="1" ref="Y14" ca="1">CreateSearchString($K14)</f>
        <v/>
      </c>
      <c r="Z14" s="9" cm="1">
        <f t="array" aca="1" ref="Z14" ca="1">IF($G14="",0,SimpleLookup($G14,Definitions!$AE:$AF))</f>
        <v>0</v>
      </c>
      <c r="AA14" s="9" t="str" cm="1">
        <f t="array" aca="1" ref="AA14" ca="1">SanitizeInput(InverseLookup($A14,Mitigation!$U$2,Mitigation!$J$2,1,Helper!$B$5,","))</f>
        <v/>
      </c>
      <c r="AB14" s="9" cm="1">
        <f t="array" aca="1" ref="AB14" ca="1">IF($K14="",0,_xlfn.LET(
_xlpm._listOfAttackStepsAndMitigations,$K14&amp;$AA14,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14" s="9" t="str">
        <f ca="1">IFERROR(VLOOKUP($AB14,Definitions!$V:$W,COLUMNS(Definitions!$V:$W),TRUE),"")</f>
        <v>Basic</v>
      </c>
      <c r="AD14" s="9" t="str">
        <f ca="1">_xlfn.LET(
_xlpm._comments,GetValues($K14,Mitigation!$A:$O,"","",FALSE),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14" s="9" t="str" cm="1">
        <f t="array" aca="1" ref="AE14" ca="1">_xlfn.LET(
_xlpm._rapRange,Definitions!$W:$W,
_xlpm._calculatedRAP,$AC14,
_xlpm._inlineRAP,$AD14,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14" s="9" t="str">
        <f ca="1">IFERROR(IF(OR($V14="",$AE14=""),
Definitions!$AE$4,
VLOOKUP($V14,Definitions!$AH:$AM,MATCH($AE14,Definitions!$AH$3:$AM$3,0),FALSE)),
"")</f>
        <v>No Risk</v>
      </c>
      <c r="AG14" s="9" cm="1">
        <f t="array" aca="1" ref="AG14" ca="1">IF($AF14="",0,SimpleLookup($AF14,Definitions!$AE:$AF))</f>
        <v>0</v>
      </c>
      <c r="AH14" s="9" t="str" cm="1">
        <f t="array" aca="1" ref="AH14" ca="1">IFERROR(SimpleLookup($A14,Tracing!$B:$Z),"")</f>
        <v/>
      </c>
      <c r="AI14" s="9" t="str" cm="1">
        <f t="array" aca="1" ref="AI14" ca="1">_xlfn.LET(_xlpm._dm,SanitizeInput(GetValuesWithFallback(SanitizeInput($AH14),Assumptions!$A:$J,Countermeasures!$A:$J,"",",",FALSE)),
IF(_xlpm._dm="","",","&amp;_xlpm._dm))</f>
        <v/>
      </c>
      <c r="AJ14" s="9" t="str" cm="1">
        <f t="array" aca="1" ref="AJ14" ca="1">ApplyDamageMitigation($M14,$AI14,"")</f>
        <v/>
      </c>
      <c r="AK14" s="9" cm="1">
        <f t="array" aca="1" ref="AK14" ca="1">CalculateMaxFromList($AJ14,0,'Damage Scenarios'!$A:$U)</f>
        <v>0</v>
      </c>
      <c r="AL14" s="9" t="str">
        <f ca="1">IF($AK14=0,"",INDEX(Definitions!$Q:$Q,MATCH($AK14,Definitions!$R:$R,0)))</f>
        <v/>
      </c>
      <c r="AM14" s="9" cm="1">
        <f t="array" aca="1" ref="AM14" ca="1">IF($K14="",0,_xlfn.LET(
_xlpm._listOfAttackStepsAndMitigations,$K14&amp;$AH14,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14" s="9" t="str">
        <f ca="1">IFERROR(VLOOKUP($AM14,Definitions!$V:$W,COLUMNS(Definitions!$V:$W),TRUE),"")</f>
        <v>Basic</v>
      </c>
      <c r="AO14" s="9" t="str">
        <f ca="1">_xlfn.LET(
_xlpm._comments,SimpleLookup($A14,Tracing!$B:$AB),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14" s="9" t="str" cm="1">
        <f t="array" aca="1" ref="AP14" ca="1">_xlfn.LET(
_xlpm._rapRange,Definitions!$W:$W,
_xlpm._calculatedRAP,$AN14,
_xlpm._inlineRAP,$AO14,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14" s="9" t="str">
        <f ca="1">IFERROR(IF(OR($AL14="",$AP14=""),
Definitions!$AE$4,
VLOOKUP($AL14,Definitions!$AH:$AM,MATCH($AP14,Definitions!$AH$3:$AM$3,0),FALSE)),
"")</f>
        <v>No Risk</v>
      </c>
      <c r="AR14" s="9" cm="1">
        <f t="array" aca="1" ref="AR14" ca="1">IF($AQ14="",0,SimpleLookup($AQ14,Definitions!$AE:$AF))</f>
        <v>0</v>
      </c>
      <c r="AS14" s="9" t="b">
        <f ca="1">OR(AND($S14,$I14=Helper!$B$7),$I14&gt;Helper!$B$7)</f>
        <v>1</v>
      </c>
      <c r="AT14" s="9" t="str">
        <f t="shared" ca="1" si="3"/>
        <v/>
      </c>
      <c r="AU14" s="9" cm="1">
        <f t="array" aca="1" ref="AU14" ca="1">CreateID($AU$2,$AT14&lt;&gt;"")</f>
        <v>0</v>
      </c>
      <c r="AV14" s="9" t="str">
        <f ca="1">IF(IFERROR(MATCH(","&amp;A14&amp;",",'Risk Treatment'!$AT:$AT,0)&gt;0,FALSE),"",$A14)</f>
        <v/>
      </c>
      <c r="AW14" s="9" cm="1">
        <f t="array" aca="1" ref="AW14" ca="1">CreateID($AW$2,$AV14&lt;&gt;"")</f>
        <v>0</v>
      </c>
      <c r="AX14" s="9" t="str" cm="1">
        <f t="array" aca="1" ref="AX14" ca="1">CreateSearchString($AA14)</f>
        <v/>
      </c>
    </row>
    <row r="15" spans="1:52" x14ac:dyDescent="0.25">
      <c r="A15" s="13" t="str" cm="1">
        <f t="array" aca="1" ref="A15" ca="1">IF($B15="","","R"&amp;RemoveDelimiter(SUBSTITUTE(SUBSTITUTE($K15,"AS",""),",","-"),"-"))</f>
        <v/>
      </c>
      <c r="B15" s="13" t="str" cm="1">
        <f t="array" aca="1" ref="B15" ca="1">IF($L15="","",_xlfn.LET(
_xlpm._finalAttackStep,$L15,
_xlpm._prepAttacks,RemoveFirstElement(_xlpm._finalAttackStep&amp;","&amp;$K15),
_xlpm._prepAttackNames,IFERROR(LookupNames(_xlpm._prepAttacks,'Attack Steps'!$A:$B),""),
_xlpm._delimiter,REPT(CHAR(150),55),
$L15&amp;" "&amp;SimpleLookup($L15,'Attack Steps'!$A:$B)&amp;
IF(_xlpm._prepAttackNames="","",CHAR(10)&amp;_xlpm._delimiter&amp;CHAR(10)&amp;_xlpm._prepAttackNames)))</f>
        <v/>
      </c>
      <c r="C15" s="16" t="str" cm="1">
        <f t="array" aca="1" ref="C15" ca="1">IFERROR(LookupNames($M15,'Damage Scenarios'!$A:$V),"")</f>
        <v/>
      </c>
      <c r="D15" s="13" t="str">
        <f ca="1">IFERROR(IF($T15=0,"",INDEX(Definitions!$Q:$Q,MATCH($T15,Definitions!$R:$R,0))),"")</f>
        <v/>
      </c>
      <c r="E15" s="16" t="str" cm="1">
        <f t="array" aca="1" ref="E15" ca="1">IF($K15="","",_xlfn.LET(
_xlpm._listOfAttackSteps,$K15,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15" s="13" t="str">
        <f ca="1">IF($A15="","",IFERROR(VLOOKUP($W15,Definitions!$V:$W,COLUMNS(Definitions!$V:$W),TRUE),""))</f>
        <v/>
      </c>
      <c r="G15" s="13" t="str">
        <f ca="1">IFERROR(IF(OR($D15="",$F15=""),
"",
VLOOKUP($D15,Definitions!$AH:$AM,MATCH($F15,Definitions!$AH$3:$AM$3,0),FALSE)),
"")</f>
        <v/>
      </c>
      <c r="H15" s="10" cm="1">
        <f t="array" aca="1" ref="H15" ca="1">CreateID($H$2,$A15&lt;&gt;"")</f>
        <v>0</v>
      </c>
      <c r="I15" s="9" cm="1">
        <f t="array" aca="1" ref="I15" ca="1">IF(ROW()=ROW($I$2)+1,
1,
INDEX($I:$I,ROW()-1)+IF(INDEX($S:$S,ROW()-1),1,0))</f>
        <v>1</v>
      </c>
      <c r="J15" s="9">
        <f t="shared" ca="1" si="0"/>
        <v>13</v>
      </c>
      <c r="K15" s="9" t="str">
        <f t="shared" ca="1" si="1"/>
        <v/>
      </c>
      <c r="L15" s="9" t="str" cm="1">
        <f t="array" aca="1" ref="L15" ca="1">IF($P15="","",INDEX('Attack Steps'!$A:$A,$P15))</f>
        <v/>
      </c>
      <c r="M15" s="9" t="str" cm="1">
        <f t="array" aca="1" ref="M15" ca="1">IF($P15="","",INDEX('Attack Steps'!$U:$U,$P15))</f>
        <v/>
      </c>
      <c r="N15" s="9" t="str" cm="1">
        <f t="array" aca="1" ref="N15" ca="1">_xlfn.LET(_xlpm._dm,SanitizeInput(GetValuesWithFallback(SanitizeInput($AA15),Assumptions!$A:$J,Countermeasures!$A:$J,"",",",FALSE)),
IF(_xlpm._dm="","",","&amp;_xlpm._dm))</f>
        <v/>
      </c>
      <c r="O15" s="9" t="str" cm="1">
        <f t="array" aca="1" ref="O15" ca="1">ApplyDamageMitigation($M15,$N15,"")</f>
        <v/>
      </c>
      <c r="P15" s="9" t="str">
        <f ca="1">IFERROR(MATCH($I15,'Attack Steps'!$W:$W,0),"")</f>
        <v/>
      </c>
      <c r="Q15" s="9" t="str" cm="1">
        <f t="array" aca="1" ref="Q15" ca="1">IF($P15="","","§"&amp;INDEX('Attack Steps'!$T:$T,$P15))</f>
        <v/>
      </c>
      <c r="R15" s="9" t="str" cm="1">
        <f t="array" aca="1" ref="R15" ca="1">IF($P15="","",INDEX('Attack Steps'!$X:$X,$P15))</f>
        <v/>
      </c>
      <c r="S15" s="9" t="b">
        <f t="shared" ca="1" si="2"/>
        <v>0</v>
      </c>
      <c r="T15" s="9" cm="1">
        <f t="array" aca="1" ref="T15" ca="1">IF($M15="",0,OperateOnList($M15,_xlfn.LAMBDA(_xlpm._x,SimpleLookup(_xlpm._x,'Damage Scenarios'!$A:$U)),_xlfn.LAMBDA(_xlpm._x,_xlpm._y,MAX(_xlpm._x,_xlpm._y))))</f>
        <v>0</v>
      </c>
      <c r="U15" s="9" cm="1">
        <f t="array" aca="1" ref="U15" ca="1">IF($O15="",0,OperateOnList($O15,_xlfn.LAMBDA(_xlpm._x,SimpleLookup(_xlpm._x,'Damage Scenarios'!$A:$U)),_xlfn.LAMBDA(_xlpm._x,_xlpm._y,MAX(_xlpm._x,_xlpm._y))))</f>
        <v>0</v>
      </c>
      <c r="V15" s="9" t="str">
        <f ca="1">IF($U15=0,"",INDEX(Definitions!$Q:$Q,MATCH($U15,Definitions!$R:$R,0)))</f>
        <v/>
      </c>
      <c r="W15" s="9" cm="1">
        <f t="array" aca="1" ref="W15" ca="1">IF($K15="",0,_xlfn.LET(
_xlpm._listOfAttackSteps,$K15,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15" s="9" t="str" cm="1">
        <f t="array" aca="1" ref="X15" ca="1">IF(ROW()=ROW($X$2)+1,"",INDEX($X:$X,ROW()-1))&amp;IF($A15="","",$A15&amp;",")</f>
        <v/>
      </c>
      <c r="Y15" s="9" t="str" cm="1">
        <f t="array" aca="1" ref="Y15" ca="1">CreateSearchString($K15)</f>
        <v/>
      </c>
      <c r="Z15" s="9" cm="1">
        <f t="array" aca="1" ref="Z15" ca="1">IF($G15="",0,SimpleLookup($G15,Definitions!$AE:$AF))</f>
        <v>0</v>
      </c>
      <c r="AA15" s="9" t="str" cm="1">
        <f t="array" aca="1" ref="AA15" ca="1">SanitizeInput(InverseLookup($A15,Mitigation!$U$2,Mitigation!$J$2,1,Helper!$B$5,","))</f>
        <v/>
      </c>
      <c r="AB15" s="9" cm="1">
        <f t="array" aca="1" ref="AB15" ca="1">IF($K15="",0,_xlfn.LET(
_xlpm._listOfAttackStepsAndMitigations,$K15&amp;$AA15,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15" s="9" t="str">
        <f ca="1">IFERROR(VLOOKUP($AB15,Definitions!$V:$W,COLUMNS(Definitions!$V:$W),TRUE),"")</f>
        <v>Basic</v>
      </c>
      <c r="AD15" s="9" t="str">
        <f ca="1">_xlfn.LET(
_xlpm._comments,GetValues($K15,Mitigation!$A:$O,"","",FALSE),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15" s="9" t="str" cm="1">
        <f t="array" aca="1" ref="AE15" ca="1">_xlfn.LET(
_xlpm._rapRange,Definitions!$W:$W,
_xlpm._calculatedRAP,$AC15,
_xlpm._inlineRAP,$AD15,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15" s="9" t="str">
        <f ca="1">IFERROR(IF(OR($V15="",$AE15=""),
Definitions!$AE$4,
VLOOKUP($V15,Definitions!$AH:$AM,MATCH($AE15,Definitions!$AH$3:$AM$3,0),FALSE)),
"")</f>
        <v>No Risk</v>
      </c>
      <c r="AG15" s="9" cm="1">
        <f t="array" aca="1" ref="AG15" ca="1">IF($AF15="",0,SimpleLookup($AF15,Definitions!$AE:$AF))</f>
        <v>0</v>
      </c>
      <c r="AH15" s="9" t="str" cm="1">
        <f t="array" aca="1" ref="AH15" ca="1">IFERROR(SimpleLookup($A15,Tracing!$B:$Z),"")</f>
        <v/>
      </c>
      <c r="AI15" s="9" t="str" cm="1">
        <f t="array" aca="1" ref="AI15" ca="1">_xlfn.LET(_xlpm._dm,SanitizeInput(GetValuesWithFallback(SanitizeInput($AH15),Assumptions!$A:$J,Countermeasures!$A:$J,"",",",FALSE)),
IF(_xlpm._dm="","",","&amp;_xlpm._dm))</f>
        <v/>
      </c>
      <c r="AJ15" s="9" t="str" cm="1">
        <f t="array" aca="1" ref="AJ15" ca="1">ApplyDamageMitigation($M15,$AI15,"")</f>
        <v/>
      </c>
      <c r="AK15" s="9" cm="1">
        <f t="array" aca="1" ref="AK15" ca="1">CalculateMaxFromList($AJ15,0,'Damage Scenarios'!$A:$U)</f>
        <v>0</v>
      </c>
      <c r="AL15" s="9" t="str">
        <f ca="1">IF($AK15=0,"",INDEX(Definitions!$Q:$Q,MATCH($AK15,Definitions!$R:$R,0)))</f>
        <v/>
      </c>
      <c r="AM15" s="9" cm="1">
        <f t="array" aca="1" ref="AM15" ca="1">IF($K15="",0,_xlfn.LET(
_xlpm._listOfAttackStepsAndMitigations,$K15&amp;$AH15,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15" s="9" t="str">
        <f ca="1">IFERROR(VLOOKUP($AM15,Definitions!$V:$W,COLUMNS(Definitions!$V:$W),TRUE),"")</f>
        <v>Basic</v>
      </c>
      <c r="AO15" s="9" t="str">
        <f ca="1">_xlfn.LET(
_xlpm._comments,SimpleLookup($A15,Tracing!$B:$AB),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15" s="9" t="str" cm="1">
        <f t="array" aca="1" ref="AP15" ca="1">_xlfn.LET(
_xlpm._rapRange,Definitions!$W:$W,
_xlpm._calculatedRAP,$AN15,
_xlpm._inlineRAP,$AO15,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15" s="9" t="str">
        <f ca="1">IFERROR(IF(OR($AL15="",$AP15=""),
Definitions!$AE$4,
VLOOKUP($AL15,Definitions!$AH:$AM,MATCH($AP15,Definitions!$AH$3:$AM$3,0),FALSE)),
"")</f>
        <v>No Risk</v>
      </c>
      <c r="AR15" s="9" cm="1">
        <f t="array" aca="1" ref="AR15" ca="1">IF($AQ15="",0,SimpleLookup($AQ15,Definitions!$AE:$AF))</f>
        <v>0</v>
      </c>
      <c r="AS15" s="9" t="b">
        <f ca="1">OR(AND($S15,$I15=Helper!$B$7),$I15&gt;Helper!$B$7)</f>
        <v>1</v>
      </c>
      <c r="AT15" s="9" t="str">
        <f t="shared" ca="1" si="3"/>
        <v/>
      </c>
      <c r="AU15" s="9" cm="1">
        <f t="array" aca="1" ref="AU15" ca="1">CreateID($AU$2,$AT15&lt;&gt;"")</f>
        <v>0</v>
      </c>
      <c r="AV15" s="9" t="str">
        <f ca="1">IF(IFERROR(MATCH(","&amp;A15&amp;",",'Risk Treatment'!$AT:$AT,0)&gt;0,FALSE),"",$A15)</f>
        <v/>
      </c>
      <c r="AW15" s="9" cm="1">
        <f t="array" aca="1" ref="AW15" ca="1">CreateID($AW$2,$AV15&lt;&gt;"")</f>
        <v>0</v>
      </c>
      <c r="AX15" s="9" t="str" cm="1">
        <f t="array" aca="1" ref="AX15" ca="1">CreateSearchString($AA15)</f>
        <v/>
      </c>
    </row>
    <row r="16" spans="1:52" x14ac:dyDescent="0.25">
      <c r="A16" s="13" t="str" cm="1">
        <f t="array" aca="1" ref="A16" ca="1">IF($B16="","","R"&amp;RemoveDelimiter(SUBSTITUTE(SUBSTITUTE($K16,"AS",""),",","-"),"-"))</f>
        <v/>
      </c>
      <c r="B16" s="13" t="str" cm="1">
        <f t="array" aca="1" ref="B16" ca="1">IF($L16="","",_xlfn.LET(
_xlpm._finalAttackStep,$L16,
_xlpm._prepAttacks,RemoveFirstElement(_xlpm._finalAttackStep&amp;","&amp;$K16),
_xlpm._prepAttackNames,IFERROR(LookupNames(_xlpm._prepAttacks,'Attack Steps'!$A:$B),""),
_xlpm._delimiter,REPT(CHAR(150),55),
$L16&amp;" "&amp;SimpleLookup($L16,'Attack Steps'!$A:$B)&amp;
IF(_xlpm._prepAttackNames="","",CHAR(10)&amp;_xlpm._delimiter&amp;CHAR(10)&amp;_xlpm._prepAttackNames)))</f>
        <v/>
      </c>
      <c r="C16" s="16" t="str" cm="1">
        <f t="array" aca="1" ref="C16" ca="1">IFERROR(LookupNames($M16,'Damage Scenarios'!$A:$V),"")</f>
        <v/>
      </c>
      <c r="D16" s="13" t="str">
        <f ca="1">IFERROR(IF($T16=0,"",INDEX(Definitions!$Q:$Q,MATCH($T16,Definitions!$R:$R,0))),"")</f>
        <v/>
      </c>
      <c r="E16" s="16" t="str" cm="1">
        <f t="array" aca="1" ref="E16" ca="1">IF($K16="","",_xlfn.LET(
_xlpm._listOfAttackSteps,$K16,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16" s="13" t="str">
        <f ca="1">IF($A16="","",IFERROR(VLOOKUP($W16,Definitions!$V:$W,COLUMNS(Definitions!$V:$W),TRUE),""))</f>
        <v/>
      </c>
      <c r="G16" s="13" t="str">
        <f ca="1">IFERROR(IF(OR($D16="",$F16=""),
"",
VLOOKUP($D16,Definitions!$AH:$AM,MATCH($F16,Definitions!$AH$3:$AM$3,0),FALSE)),
"")</f>
        <v/>
      </c>
      <c r="H16" s="10" cm="1">
        <f t="array" aca="1" ref="H16" ca="1">CreateID($H$2,$A16&lt;&gt;"")</f>
        <v>0</v>
      </c>
      <c r="I16" s="9" cm="1">
        <f t="array" aca="1" ref="I16" ca="1">IF(ROW()=ROW($I$2)+1,
1,
INDEX($I:$I,ROW()-1)+IF(INDEX($S:$S,ROW()-1),1,0))</f>
        <v>1</v>
      </c>
      <c r="J16" s="9">
        <f t="shared" ca="1" si="0"/>
        <v>14</v>
      </c>
      <c r="K16" s="9" t="str">
        <f t="shared" ca="1" si="1"/>
        <v/>
      </c>
      <c r="L16" s="9" t="str" cm="1">
        <f t="array" aca="1" ref="L16" ca="1">IF($P16="","",INDEX('Attack Steps'!$A:$A,$P16))</f>
        <v/>
      </c>
      <c r="M16" s="9" t="str" cm="1">
        <f t="array" aca="1" ref="M16" ca="1">IF($P16="","",INDEX('Attack Steps'!$U:$U,$P16))</f>
        <v/>
      </c>
      <c r="N16" s="9" t="str" cm="1">
        <f t="array" aca="1" ref="N16" ca="1">_xlfn.LET(_xlpm._dm,SanitizeInput(GetValuesWithFallback(SanitizeInput($AA16),Assumptions!$A:$J,Countermeasures!$A:$J,"",",",FALSE)),
IF(_xlpm._dm="","",","&amp;_xlpm._dm))</f>
        <v/>
      </c>
      <c r="O16" s="9" t="str" cm="1">
        <f t="array" aca="1" ref="O16" ca="1">ApplyDamageMitigation($M16,$N16,"")</f>
        <v/>
      </c>
      <c r="P16" s="9" t="str">
        <f ca="1">IFERROR(MATCH($I16,'Attack Steps'!$W:$W,0),"")</f>
        <v/>
      </c>
      <c r="Q16" s="9" t="str" cm="1">
        <f t="array" aca="1" ref="Q16" ca="1">IF($P16="","","§"&amp;INDEX('Attack Steps'!$T:$T,$P16))</f>
        <v/>
      </c>
      <c r="R16" s="9" t="str" cm="1">
        <f t="array" aca="1" ref="R16" ca="1">IF($P16="","",INDEX('Attack Steps'!$X:$X,$P16))</f>
        <v/>
      </c>
      <c r="S16" s="9" t="b">
        <f t="shared" ca="1" si="2"/>
        <v>0</v>
      </c>
      <c r="T16" s="9" cm="1">
        <f t="array" aca="1" ref="T16" ca="1">IF($M16="",0,OperateOnList($M16,_xlfn.LAMBDA(_xlpm._x,SimpleLookup(_xlpm._x,'Damage Scenarios'!$A:$U)),_xlfn.LAMBDA(_xlpm._x,_xlpm._y,MAX(_xlpm._x,_xlpm._y))))</f>
        <v>0</v>
      </c>
      <c r="U16" s="9" cm="1">
        <f t="array" aca="1" ref="U16" ca="1">IF($O16="",0,OperateOnList($O16,_xlfn.LAMBDA(_xlpm._x,SimpleLookup(_xlpm._x,'Damage Scenarios'!$A:$U)),_xlfn.LAMBDA(_xlpm._x,_xlpm._y,MAX(_xlpm._x,_xlpm._y))))</f>
        <v>0</v>
      </c>
      <c r="V16" s="9" t="str">
        <f ca="1">IF($U16=0,"",INDEX(Definitions!$Q:$Q,MATCH($U16,Definitions!$R:$R,0)))</f>
        <v/>
      </c>
      <c r="W16" s="9" cm="1">
        <f t="array" aca="1" ref="W16" ca="1">IF($K16="",0,_xlfn.LET(
_xlpm._listOfAttackSteps,$K16,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16" s="9" t="str" cm="1">
        <f t="array" aca="1" ref="X16" ca="1">IF(ROW()=ROW($X$2)+1,"",INDEX($X:$X,ROW()-1))&amp;IF($A16="","",$A16&amp;",")</f>
        <v/>
      </c>
      <c r="Y16" s="9" t="str" cm="1">
        <f t="array" aca="1" ref="Y16" ca="1">CreateSearchString($K16)</f>
        <v/>
      </c>
      <c r="Z16" s="9" cm="1">
        <f t="array" aca="1" ref="Z16" ca="1">IF($G16="",0,SimpleLookup($G16,Definitions!$AE:$AF))</f>
        <v>0</v>
      </c>
      <c r="AA16" s="9" t="str" cm="1">
        <f t="array" aca="1" ref="AA16" ca="1">SanitizeInput(InverseLookup($A16,Mitigation!$U$2,Mitigation!$J$2,1,Helper!$B$5,","))</f>
        <v/>
      </c>
      <c r="AB16" s="9" cm="1">
        <f t="array" aca="1" ref="AB16" ca="1">IF($K16="",0,_xlfn.LET(
_xlpm._listOfAttackStepsAndMitigations,$K16&amp;$AA16,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16" s="9" t="str">
        <f ca="1">IFERROR(VLOOKUP($AB16,Definitions!$V:$W,COLUMNS(Definitions!$V:$W),TRUE),"")</f>
        <v>Basic</v>
      </c>
      <c r="AD16" s="9" t="str">
        <f ca="1">_xlfn.LET(
_xlpm._comments,GetValues($K16,Mitigation!$A:$O,"","",FALSE),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16" s="9" t="str" cm="1">
        <f t="array" aca="1" ref="AE16" ca="1">_xlfn.LET(
_xlpm._rapRange,Definitions!$W:$W,
_xlpm._calculatedRAP,$AC16,
_xlpm._inlineRAP,$AD16,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16" s="9" t="str">
        <f ca="1">IFERROR(IF(OR($V16="",$AE16=""),
Definitions!$AE$4,
VLOOKUP($V16,Definitions!$AH:$AM,MATCH($AE16,Definitions!$AH$3:$AM$3,0),FALSE)),
"")</f>
        <v>No Risk</v>
      </c>
      <c r="AG16" s="9" cm="1">
        <f t="array" aca="1" ref="AG16" ca="1">IF($AF16="",0,SimpleLookup($AF16,Definitions!$AE:$AF))</f>
        <v>0</v>
      </c>
      <c r="AH16" s="9" t="str" cm="1">
        <f t="array" aca="1" ref="AH16" ca="1">IFERROR(SimpleLookup($A16,Tracing!$B:$Z),"")</f>
        <v/>
      </c>
      <c r="AI16" s="9" t="str" cm="1">
        <f t="array" aca="1" ref="AI16" ca="1">_xlfn.LET(_xlpm._dm,SanitizeInput(GetValuesWithFallback(SanitizeInput($AH16),Assumptions!$A:$J,Countermeasures!$A:$J,"",",",FALSE)),
IF(_xlpm._dm="","",","&amp;_xlpm._dm))</f>
        <v/>
      </c>
      <c r="AJ16" s="9" t="str" cm="1">
        <f t="array" aca="1" ref="AJ16" ca="1">ApplyDamageMitigation($M16,$AI16,"")</f>
        <v/>
      </c>
      <c r="AK16" s="9" cm="1">
        <f t="array" aca="1" ref="AK16" ca="1">CalculateMaxFromList($AJ16,0,'Damage Scenarios'!$A:$U)</f>
        <v>0</v>
      </c>
      <c r="AL16" s="9" t="str">
        <f ca="1">IF($AK16=0,"",INDEX(Definitions!$Q:$Q,MATCH($AK16,Definitions!$R:$R,0)))</f>
        <v/>
      </c>
      <c r="AM16" s="9" cm="1">
        <f t="array" aca="1" ref="AM16" ca="1">IF($K16="",0,_xlfn.LET(
_xlpm._listOfAttackStepsAndMitigations,$K16&amp;$AH16,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16" s="9" t="str">
        <f ca="1">IFERROR(VLOOKUP($AM16,Definitions!$V:$W,COLUMNS(Definitions!$V:$W),TRUE),"")</f>
        <v>Basic</v>
      </c>
      <c r="AO16" s="9" t="str">
        <f ca="1">_xlfn.LET(
_xlpm._comments,SimpleLookup($A16,Tracing!$B:$AB),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16" s="9" t="str" cm="1">
        <f t="array" aca="1" ref="AP16" ca="1">_xlfn.LET(
_xlpm._rapRange,Definitions!$W:$W,
_xlpm._calculatedRAP,$AN16,
_xlpm._inlineRAP,$AO16,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16" s="9" t="str">
        <f ca="1">IFERROR(IF(OR($AL16="",$AP16=""),
Definitions!$AE$4,
VLOOKUP($AL16,Definitions!$AH:$AM,MATCH($AP16,Definitions!$AH$3:$AM$3,0),FALSE)),
"")</f>
        <v>No Risk</v>
      </c>
      <c r="AR16" s="9" cm="1">
        <f t="array" aca="1" ref="AR16" ca="1">IF($AQ16="",0,SimpleLookup($AQ16,Definitions!$AE:$AF))</f>
        <v>0</v>
      </c>
      <c r="AS16" s="9" t="b">
        <f ca="1">OR(AND($S16,$I16=Helper!$B$7),$I16&gt;Helper!$B$7)</f>
        <v>1</v>
      </c>
      <c r="AT16" s="9" t="str">
        <f t="shared" ca="1" si="3"/>
        <v/>
      </c>
      <c r="AU16" s="9" cm="1">
        <f t="array" aca="1" ref="AU16" ca="1">CreateID($AU$2,$AT16&lt;&gt;"")</f>
        <v>0</v>
      </c>
      <c r="AV16" s="9" t="str">
        <f ca="1">IF(IFERROR(MATCH(","&amp;A16&amp;",",'Risk Treatment'!$AT:$AT,0)&gt;0,FALSE),"",$A16)</f>
        <v/>
      </c>
      <c r="AW16" s="9" cm="1">
        <f t="array" aca="1" ref="AW16" ca="1">CreateID($AW$2,$AV16&lt;&gt;"")</f>
        <v>0</v>
      </c>
      <c r="AX16" s="9" t="str" cm="1">
        <f t="array" aca="1" ref="AX16" ca="1">CreateSearchString($AA16)</f>
        <v/>
      </c>
    </row>
    <row r="17" spans="1:50" x14ac:dyDescent="0.25">
      <c r="A17" s="13" t="str" cm="1">
        <f t="array" aca="1" ref="A17" ca="1">IF($B17="","","R"&amp;RemoveDelimiter(SUBSTITUTE(SUBSTITUTE($K17,"AS",""),",","-"),"-"))</f>
        <v/>
      </c>
      <c r="B17" s="13" t="str" cm="1">
        <f t="array" aca="1" ref="B17" ca="1">IF($L17="","",_xlfn.LET(
_xlpm._finalAttackStep,$L17,
_xlpm._prepAttacks,RemoveFirstElement(_xlpm._finalAttackStep&amp;","&amp;$K17),
_xlpm._prepAttackNames,IFERROR(LookupNames(_xlpm._prepAttacks,'Attack Steps'!$A:$B),""),
_xlpm._delimiter,REPT(CHAR(150),55),
$L17&amp;" "&amp;SimpleLookup($L17,'Attack Steps'!$A:$B)&amp;
IF(_xlpm._prepAttackNames="","",CHAR(10)&amp;_xlpm._delimiter&amp;CHAR(10)&amp;_xlpm._prepAttackNames)))</f>
        <v/>
      </c>
      <c r="C17" s="16" t="str" cm="1">
        <f t="array" aca="1" ref="C17" ca="1">IFERROR(LookupNames($M17,'Damage Scenarios'!$A:$V),"")</f>
        <v/>
      </c>
      <c r="D17" s="13" t="str">
        <f ca="1">IFERROR(IF($T17=0,"",INDEX(Definitions!$Q:$Q,MATCH($T17,Definitions!$R:$R,0))),"")</f>
        <v/>
      </c>
      <c r="E17" s="16" t="str" cm="1">
        <f t="array" aca="1" ref="E17" ca="1">IF($K17="","",_xlfn.LET(
_xlpm._listOfAttackSteps,$K17,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17" s="13" t="str">
        <f ca="1">IF($A17="","",IFERROR(VLOOKUP($W17,Definitions!$V:$W,COLUMNS(Definitions!$V:$W),TRUE),""))</f>
        <v/>
      </c>
      <c r="G17" s="13" t="str">
        <f ca="1">IFERROR(IF(OR($D17="",$F17=""),
"",
VLOOKUP($D17,Definitions!$AH:$AM,MATCH($F17,Definitions!$AH$3:$AM$3,0),FALSE)),
"")</f>
        <v/>
      </c>
      <c r="H17" s="10" cm="1">
        <f t="array" aca="1" ref="H17" ca="1">CreateID($H$2,$A17&lt;&gt;"")</f>
        <v>0</v>
      </c>
      <c r="I17" s="9" cm="1">
        <f t="array" aca="1" ref="I17" ca="1">IF(ROW()=ROW($I$2)+1,
1,
INDEX($I:$I,ROW()-1)+IF(INDEX($S:$S,ROW()-1),1,0))</f>
        <v>1</v>
      </c>
      <c r="J17" s="9">
        <f t="shared" ca="1" si="0"/>
        <v>15</v>
      </c>
      <c r="K17" s="9" t="str">
        <f t="shared" ca="1" si="1"/>
        <v/>
      </c>
      <c r="L17" s="9" t="str" cm="1">
        <f t="array" aca="1" ref="L17" ca="1">IF($P17="","",INDEX('Attack Steps'!$A:$A,$P17))</f>
        <v/>
      </c>
      <c r="M17" s="9" t="str" cm="1">
        <f t="array" aca="1" ref="M17" ca="1">IF($P17="","",INDEX('Attack Steps'!$U:$U,$P17))</f>
        <v/>
      </c>
      <c r="N17" s="9" t="str" cm="1">
        <f t="array" aca="1" ref="N17" ca="1">_xlfn.LET(_xlpm._dm,SanitizeInput(GetValuesWithFallback(SanitizeInput($AA17),Assumptions!$A:$J,Countermeasures!$A:$J,"",",",FALSE)),
IF(_xlpm._dm="","",","&amp;_xlpm._dm))</f>
        <v/>
      </c>
      <c r="O17" s="9" t="str" cm="1">
        <f t="array" aca="1" ref="O17" ca="1">ApplyDamageMitigation($M17,$N17,"")</f>
        <v/>
      </c>
      <c r="P17" s="9" t="str">
        <f ca="1">IFERROR(MATCH($I17,'Attack Steps'!$W:$W,0),"")</f>
        <v/>
      </c>
      <c r="Q17" s="9" t="str" cm="1">
        <f t="array" aca="1" ref="Q17" ca="1">IF($P17="","","§"&amp;INDEX('Attack Steps'!$T:$T,$P17))</f>
        <v/>
      </c>
      <c r="R17" s="9" t="str" cm="1">
        <f t="array" aca="1" ref="R17" ca="1">IF($P17="","",INDEX('Attack Steps'!$X:$X,$P17))</f>
        <v/>
      </c>
      <c r="S17" s="9" t="b">
        <f t="shared" ca="1" si="2"/>
        <v>0</v>
      </c>
      <c r="T17" s="9" cm="1">
        <f t="array" aca="1" ref="T17" ca="1">IF($M17="",0,OperateOnList($M17,_xlfn.LAMBDA(_xlpm._x,SimpleLookup(_xlpm._x,'Damage Scenarios'!$A:$U)),_xlfn.LAMBDA(_xlpm._x,_xlpm._y,MAX(_xlpm._x,_xlpm._y))))</f>
        <v>0</v>
      </c>
      <c r="U17" s="9" cm="1">
        <f t="array" aca="1" ref="U17" ca="1">IF($O17="",0,OperateOnList($O17,_xlfn.LAMBDA(_xlpm._x,SimpleLookup(_xlpm._x,'Damage Scenarios'!$A:$U)),_xlfn.LAMBDA(_xlpm._x,_xlpm._y,MAX(_xlpm._x,_xlpm._y))))</f>
        <v>0</v>
      </c>
      <c r="V17" s="9" t="str">
        <f ca="1">IF($U17=0,"",INDEX(Definitions!$Q:$Q,MATCH($U17,Definitions!$R:$R,0)))</f>
        <v/>
      </c>
      <c r="W17" s="9" cm="1">
        <f t="array" aca="1" ref="W17" ca="1">IF($K17="",0,_xlfn.LET(
_xlpm._listOfAttackSteps,$K17,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17" s="9" t="str" cm="1">
        <f t="array" aca="1" ref="X17" ca="1">IF(ROW()=ROW($X$2)+1,"",INDEX($X:$X,ROW()-1))&amp;IF($A17="","",$A17&amp;",")</f>
        <v/>
      </c>
      <c r="Y17" s="9" t="str" cm="1">
        <f t="array" aca="1" ref="Y17" ca="1">CreateSearchString($K17)</f>
        <v/>
      </c>
      <c r="Z17" s="9" cm="1">
        <f t="array" aca="1" ref="Z17" ca="1">IF($G17="",0,SimpleLookup($G17,Definitions!$AE:$AF))</f>
        <v>0</v>
      </c>
      <c r="AA17" s="9" t="str" cm="1">
        <f t="array" aca="1" ref="AA17" ca="1">SanitizeInput(InverseLookup($A17,Mitigation!$U$2,Mitigation!$J$2,1,Helper!$B$5,","))</f>
        <v/>
      </c>
      <c r="AB17" s="9" cm="1">
        <f t="array" aca="1" ref="AB17" ca="1">IF($K17="",0,_xlfn.LET(
_xlpm._listOfAttackStepsAndMitigations,$K17&amp;$AA17,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17" s="9" t="str">
        <f ca="1">IFERROR(VLOOKUP($AB17,Definitions!$V:$W,COLUMNS(Definitions!$V:$W),TRUE),"")</f>
        <v>Basic</v>
      </c>
      <c r="AD17" s="9" t="str">
        <f ca="1">_xlfn.LET(
_xlpm._comments,GetValues($K17,Mitigation!$A:$O,"","",FALSE),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17" s="9" t="str" cm="1">
        <f t="array" aca="1" ref="AE17" ca="1">_xlfn.LET(
_xlpm._rapRange,Definitions!$W:$W,
_xlpm._calculatedRAP,$AC17,
_xlpm._inlineRAP,$AD17,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17" s="9" t="str">
        <f ca="1">IFERROR(IF(OR($V17="",$AE17=""),
Definitions!$AE$4,
VLOOKUP($V17,Definitions!$AH:$AM,MATCH($AE17,Definitions!$AH$3:$AM$3,0),FALSE)),
"")</f>
        <v>No Risk</v>
      </c>
      <c r="AG17" s="9" cm="1">
        <f t="array" aca="1" ref="AG17" ca="1">IF($AF17="",0,SimpleLookup($AF17,Definitions!$AE:$AF))</f>
        <v>0</v>
      </c>
      <c r="AH17" s="9" t="str" cm="1">
        <f t="array" aca="1" ref="AH17" ca="1">IFERROR(SimpleLookup($A17,Tracing!$B:$Z),"")</f>
        <v/>
      </c>
      <c r="AI17" s="9" t="str" cm="1">
        <f t="array" aca="1" ref="AI17" ca="1">_xlfn.LET(_xlpm._dm,SanitizeInput(GetValuesWithFallback(SanitizeInput($AH17),Assumptions!$A:$J,Countermeasures!$A:$J,"",",",FALSE)),
IF(_xlpm._dm="","",","&amp;_xlpm._dm))</f>
        <v/>
      </c>
      <c r="AJ17" s="9" t="str" cm="1">
        <f t="array" aca="1" ref="AJ17" ca="1">ApplyDamageMitigation($M17,$AI17,"")</f>
        <v/>
      </c>
      <c r="AK17" s="9" cm="1">
        <f t="array" aca="1" ref="AK17" ca="1">CalculateMaxFromList($AJ17,0,'Damage Scenarios'!$A:$U)</f>
        <v>0</v>
      </c>
      <c r="AL17" s="9" t="str">
        <f ca="1">IF($AK17=0,"",INDEX(Definitions!$Q:$Q,MATCH($AK17,Definitions!$R:$R,0)))</f>
        <v/>
      </c>
      <c r="AM17" s="9" cm="1">
        <f t="array" aca="1" ref="AM17" ca="1">IF($K17="",0,_xlfn.LET(
_xlpm._listOfAttackStepsAndMitigations,$K17&amp;$AH17,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17" s="9" t="str">
        <f ca="1">IFERROR(VLOOKUP($AM17,Definitions!$V:$W,COLUMNS(Definitions!$V:$W),TRUE),"")</f>
        <v>Basic</v>
      </c>
      <c r="AO17" s="9" t="str">
        <f ca="1">_xlfn.LET(
_xlpm._comments,SimpleLookup($A17,Tracing!$B:$AB),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17" s="9" t="str" cm="1">
        <f t="array" aca="1" ref="AP17" ca="1">_xlfn.LET(
_xlpm._rapRange,Definitions!$W:$W,
_xlpm._calculatedRAP,$AN17,
_xlpm._inlineRAP,$AO17,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17" s="9" t="str">
        <f ca="1">IFERROR(IF(OR($AL17="",$AP17=""),
Definitions!$AE$4,
VLOOKUP($AL17,Definitions!$AH:$AM,MATCH($AP17,Definitions!$AH$3:$AM$3,0),FALSE)),
"")</f>
        <v>No Risk</v>
      </c>
      <c r="AR17" s="9" cm="1">
        <f t="array" aca="1" ref="AR17" ca="1">IF($AQ17="",0,SimpleLookup($AQ17,Definitions!$AE:$AF))</f>
        <v>0</v>
      </c>
      <c r="AS17" s="9" t="b">
        <f ca="1">OR(AND($S17,$I17=Helper!$B$7),$I17&gt;Helper!$B$7)</f>
        <v>1</v>
      </c>
      <c r="AT17" s="9" t="str">
        <f t="shared" ca="1" si="3"/>
        <v/>
      </c>
      <c r="AU17" s="9" cm="1">
        <f t="array" aca="1" ref="AU17" ca="1">CreateID($AU$2,$AT17&lt;&gt;"")</f>
        <v>0</v>
      </c>
      <c r="AV17" s="9" t="str">
        <f ca="1">IF(IFERROR(MATCH(","&amp;A17&amp;",",'Risk Treatment'!$AT:$AT,0)&gt;0,FALSE),"",$A17)</f>
        <v/>
      </c>
      <c r="AW17" s="9" cm="1">
        <f t="array" aca="1" ref="AW17" ca="1">CreateID($AW$2,$AV17&lt;&gt;"")</f>
        <v>0</v>
      </c>
      <c r="AX17" s="9" t="str" cm="1">
        <f t="array" aca="1" ref="AX17" ca="1">CreateSearchString($AA17)</f>
        <v/>
      </c>
    </row>
    <row r="18" spans="1:50" x14ac:dyDescent="0.25">
      <c r="A18" s="13" t="str" cm="1">
        <f t="array" aca="1" ref="A18" ca="1">IF($B18="","","R"&amp;RemoveDelimiter(SUBSTITUTE(SUBSTITUTE($K18,"AS",""),",","-"),"-"))</f>
        <v/>
      </c>
      <c r="B18" s="13" t="str" cm="1">
        <f t="array" aca="1" ref="B18" ca="1">IF($L18="","",_xlfn.LET(
_xlpm._finalAttackStep,$L18,
_xlpm._prepAttacks,RemoveFirstElement(_xlpm._finalAttackStep&amp;","&amp;$K18),
_xlpm._prepAttackNames,IFERROR(LookupNames(_xlpm._prepAttacks,'Attack Steps'!$A:$B),""),
_xlpm._delimiter,REPT(CHAR(150),55),
$L18&amp;" "&amp;SimpleLookup($L18,'Attack Steps'!$A:$B)&amp;
IF(_xlpm._prepAttackNames="","",CHAR(10)&amp;_xlpm._delimiter&amp;CHAR(10)&amp;_xlpm._prepAttackNames)))</f>
        <v/>
      </c>
      <c r="C18" s="16" t="str" cm="1">
        <f t="array" aca="1" ref="C18" ca="1">IFERROR(LookupNames($M18,'Damage Scenarios'!$A:$V),"")</f>
        <v/>
      </c>
      <c r="D18" s="13" t="str">
        <f ca="1">IFERROR(IF($T18=0,"",INDEX(Definitions!$Q:$Q,MATCH($T18,Definitions!$R:$R,0))),"")</f>
        <v/>
      </c>
      <c r="E18" s="16" t="str" cm="1">
        <f t="array" aca="1" ref="E18" ca="1">IF($K18="","",_xlfn.LET(
_xlpm._listOfAttackSteps,$K18,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18" s="13" t="str">
        <f ca="1">IF($A18="","",IFERROR(VLOOKUP($W18,Definitions!$V:$W,COLUMNS(Definitions!$V:$W),TRUE),""))</f>
        <v/>
      </c>
      <c r="G18" s="13" t="str">
        <f ca="1">IFERROR(IF(OR($D18="",$F18=""),
"",
VLOOKUP($D18,Definitions!$AH:$AM,MATCH($F18,Definitions!$AH$3:$AM$3,0),FALSE)),
"")</f>
        <v/>
      </c>
      <c r="H18" s="10" cm="1">
        <f t="array" aca="1" ref="H18" ca="1">CreateID($H$2,$A18&lt;&gt;"")</f>
        <v>0</v>
      </c>
      <c r="I18" s="9" cm="1">
        <f t="array" aca="1" ref="I18" ca="1">IF(ROW()=ROW($I$2)+1,
1,
INDEX($I:$I,ROW()-1)+IF(INDEX($S:$S,ROW()-1),1,0))</f>
        <v>1</v>
      </c>
      <c r="J18" s="9">
        <f t="shared" ca="1" si="0"/>
        <v>16</v>
      </c>
      <c r="K18" s="9" t="str">
        <f t="shared" ca="1" si="1"/>
        <v/>
      </c>
      <c r="L18" s="9" t="str" cm="1">
        <f t="array" aca="1" ref="L18" ca="1">IF($P18="","",INDEX('Attack Steps'!$A:$A,$P18))</f>
        <v/>
      </c>
      <c r="M18" s="9" t="str" cm="1">
        <f t="array" aca="1" ref="M18" ca="1">IF($P18="","",INDEX('Attack Steps'!$U:$U,$P18))</f>
        <v/>
      </c>
      <c r="N18" s="9" t="str" cm="1">
        <f t="array" aca="1" ref="N18" ca="1">_xlfn.LET(_xlpm._dm,SanitizeInput(GetValuesWithFallback(SanitizeInput($AA18),Assumptions!$A:$J,Countermeasures!$A:$J,"",",",FALSE)),
IF(_xlpm._dm="","",","&amp;_xlpm._dm))</f>
        <v/>
      </c>
      <c r="O18" s="9" t="str" cm="1">
        <f t="array" aca="1" ref="O18" ca="1">ApplyDamageMitigation($M18,$N18,"")</f>
        <v/>
      </c>
      <c r="P18" s="9" t="str">
        <f ca="1">IFERROR(MATCH($I18,'Attack Steps'!$W:$W,0),"")</f>
        <v/>
      </c>
      <c r="Q18" s="9" t="str" cm="1">
        <f t="array" aca="1" ref="Q18" ca="1">IF($P18="","","§"&amp;INDEX('Attack Steps'!$T:$T,$P18))</f>
        <v/>
      </c>
      <c r="R18" s="9" t="str" cm="1">
        <f t="array" aca="1" ref="R18" ca="1">IF($P18="","",INDEX('Attack Steps'!$X:$X,$P18))</f>
        <v/>
      </c>
      <c r="S18" s="9" t="b">
        <f t="shared" ca="1" si="2"/>
        <v>0</v>
      </c>
      <c r="T18" s="9" cm="1">
        <f t="array" aca="1" ref="T18" ca="1">IF($M18="",0,OperateOnList($M18,_xlfn.LAMBDA(_xlpm._x,SimpleLookup(_xlpm._x,'Damage Scenarios'!$A:$U)),_xlfn.LAMBDA(_xlpm._x,_xlpm._y,MAX(_xlpm._x,_xlpm._y))))</f>
        <v>0</v>
      </c>
      <c r="U18" s="9" cm="1">
        <f t="array" aca="1" ref="U18" ca="1">IF($O18="",0,OperateOnList($O18,_xlfn.LAMBDA(_xlpm._x,SimpleLookup(_xlpm._x,'Damage Scenarios'!$A:$U)),_xlfn.LAMBDA(_xlpm._x,_xlpm._y,MAX(_xlpm._x,_xlpm._y))))</f>
        <v>0</v>
      </c>
      <c r="V18" s="9" t="str">
        <f ca="1">IF($U18=0,"",INDEX(Definitions!$Q:$Q,MATCH($U18,Definitions!$R:$R,0)))</f>
        <v/>
      </c>
      <c r="W18" s="9" cm="1">
        <f t="array" aca="1" ref="W18" ca="1">IF($K18="",0,_xlfn.LET(
_xlpm._listOfAttackSteps,$K18,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18" s="9" t="str" cm="1">
        <f t="array" aca="1" ref="X18" ca="1">IF(ROW()=ROW($X$2)+1,"",INDEX($X:$X,ROW()-1))&amp;IF($A18="","",$A18&amp;",")</f>
        <v/>
      </c>
      <c r="Y18" s="9" t="str" cm="1">
        <f t="array" aca="1" ref="Y18" ca="1">CreateSearchString($K18)</f>
        <v/>
      </c>
      <c r="Z18" s="9" cm="1">
        <f t="array" aca="1" ref="Z18" ca="1">IF($G18="",0,SimpleLookup($G18,Definitions!$AE:$AF))</f>
        <v>0</v>
      </c>
      <c r="AA18" s="9" t="str" cm="1">
        <f t="array" aca="1" ref="AA18" ca="1">SanitizeInput(InverseLookup($A18,Mitigation!$U$2,Mitigation!$J$2,1,Helper!$B$5,","))</f>
        <v/>
      </c>
      <c r="AB18" s="9" cm="1">
        <f t="array" aca="1" ref="AB18" ca="1">IF($K18="",0,_xlfn.LET(
_xlpm._listOfAttackStepsAndMitigations,$K18&amp;$AA18,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18" s="9" t="str">
        <f ca="1">IFERROR(VLOOKUP($AB18,Definitions!$V:$W,COLUMNS(Definitions!$V:$W),TRUE),"")</f>
        <v>Basic</v>
      </c>
      <c r="AD18" s="9" t="str">
        <f ca="1">_xlfn.LET(
_xlpm._comments,GetValues($K18,Mitigation!$A:$O,"","",FALSE),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18" s="9" t="str" cm="1">
        <f t="array" aca="1" ref="AE18" ca="1">_xlfn.LET(
_xlpm._rapRange,Definitions!$W:$W,
_xlpm._calculatedRAP,$AC18,
_xlpm._inlineRAP,$AD18,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18" s="9" t="str">
        <f ca="1">IFERROR(IF(OR($V18="",$AE18=""),
Definitions!$AE$4,
VLOOKUP($V18,Definitions!$AH:$AM,MATCH($AE18,Definitions!$AH$3:$AM$3,0),FALSE)),
"")</f>
        <v>No Risk</v>
      </c>
      <c r="AG18" s="9" cm="1">
        <f t="array" aca="1" ref="AG18" ca="1">IF($AF18="",0,SimpleLookup($AF18,Definitions!$AE:$AF))</f>
        <v>0</v>
      </c>
      <c r="AH18" s="9" t="str" cm="1">
        <f t="array" aca="1" ref="AH18" ca="1">IFERROR(SimpleLookup($A18,Tracing!$B:$Z),"")</f>
        <v/>
      </c>
      <c r="AI18" s="9" t="str" cm="1">
        <f t="array" aca="1" ref="AI18" ca="1">_xlfn.LET(_xlpm._dm,SanitizeInput(GetValuesWithFallback(SanitizeInput($AH18),Assumptions!$A:$J,Countermeasures!$A:$J,"",",",FALSE)),
IF(_xlpm._dm="","",","&amp;_xlpm._dm))</f>
        <v/>
      </c>
      <c r="AJ18" s="9" t="str" cm="1">
        <f t="array" aca="1" ref="AJ18" ca="1">ApplyDamageMitigation($M18,$AI18,"")</f>
        <v/>
      </c>
      <c r="AK18" s="9" cm="1">
        <f t="array" aca="1" ref="AK18" ca="1">CalculateMaxFromList($AJ18,0,'Damage Scenarios'!$A:$U)</f>
        <v>0</v>
      </c>
      <c r="AL18" s="9" t="str">
        <f ca="1">IF($AK18=0,"",INDEX(Definitions!$Q:$Q,MATCH($AK18,Definitions!$R:$R,0)))</f>
        <v/>
      </c>
      <c r="AM18" s="9" cm="1">
        <f t="array" aca="1" ref="AM18" ca="1">IF($K18="",0,_xlfn.LET(
_xlpm._listOfAttackStepsAndMitigations,$K18&amp;$AH18,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18" s="9" t="str">
        <f ca="1">IFERROR(VLOOKUP($AM18,Definitions!$V:$W,COLUMNS(Definitions!$V:$W),TRUE),"")</f>
        <v>Basic</v>
      </c>
      <c r="AO18" s="9" t="str">
        <f ca="1">_xlfn.LET(
_xlpm._comments,SimpleLookup($A18,Tracing!$B:$AB),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18" s="9" t="str" cm="1">
        <f t="array" aca="1" ref="AP18" ca="1">_xlfn.LET(
_xlpm._rapRange,Definitions!$W:$W,
_xlpm._calculatedRAP,$AN18,
_xlpm._inlineRAP,$AO18,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18" s="9" t="str">
        <f ca="1">IFERROR(IF(OR($AL18="",$AP18=""),
Definitions!$AE$4,
VLOOKUP($AL18,Definitions!$AH:$AM,MATCH($AP18,Definitions!$AH$3:$AM$3,0),FALSE)),
"")</f>
        <v>No Risk</v>
      </c>
      <c r="AR18" s="9" cm="1">
        <f t="array" aca="1" ref="AR18" ca="1">IF($AQ18="",0,SimpleLookup($AQ18,Definitions!$AE:$AF))</f>
        <v>0</v>
      </c>
      <c r="AS18" s="9" t="b">
        <f ca="1">OR(AND($S18,$I18=Helper!$B$7),$I18&gt;Helper!$B$7)</f>
        <v>1</v>
      </c>
      <c r="AT18" s="9" t="str">
        <f t="shared" ca="1" si="3"/>
        <v/>
      </c>
      <c r="AU18" s="9" cm="1">
        <f t="array" aca="1" ref="AU18" ca="1">CreateID($AU$2,$AT18&lt;&gt;"")</f>
        <v>0</v>
      </c>
      <c r="AV18" s="9" t="str">
        <f ca="1">IF(IFERROR(MATCH(","&amp;A18&amp;",",'Risk Treatment'!$AT:$AT,0)&gt;0,FALSE),"",$A18)</f>
        <v/>
      </c>
      <c r="AW18" s="9" cm="1">
        <f t="array" aca="1" ref="AW18" ca="1">CreateID($AW$2,$AV18&lt;&gt;"")</f>
        <v>0</v>
      </c>
      <c r="AX18" s="9" t="str" cm="1">
        <f t="array" aca="1" ref="AX18" ca="1">CreateSearchString($AA18)</f>
        <v/>
      </c>
    </row>
    <row r="19" spans="1:50" x14ac:dyDescent="0.25">
      <c r="A19" s="13" t="str" cm="1">
        <f t="array" aca="1" ref="A19" ca="1">IF($B19="","","R"&amp;RemoveDelimiter(SUBSTITUTE(SUBSTITUTE($K19,"AS",""),",","-"),"-"))</f>
        <v/>
      </c>
      <c r="B19" s="13" t="str" cm="1">
        <f t="array" aca="1" ref="B19" ca="1">IF($L19="","",_xlfn.LET(
_xlpm._finalAttackStep,$L19,
_xlpm._prepAttacks,RemoveFirstElement(_xlpm._finalAttackStep&amp;","&amp;$K19),
_xlpm._prepAttackNames,IFERROR(LookupNames(_xlpm._prepAttacks,'Attack Steps'!$A:$B),""),
_xlpm._delimiter,REPT(CHAR(150),55),
$L19&amp;" "&amp;SimpleLookup($L19,'Attack Steps'!$A:$B)&amp;
IF(_xlpm._prepAttackNames="","",CHAR(10)&amp;_xlpm._delimiter&amp;CHAR(10)&amp;_xlpm._prepAttackNames)))</f>
        <v/>
      </c>
      <c r="C19" s="16" t="str" cm="1">
        <f t="array" aca="1" ref="C19" ca="1">IFERROR(LookupNames($M19,'Damage Scenarios'!$A:$V),"")</f>
        <v/>
      </c>
      <c r="D19" s="13" t="str">
        <f ca="1">IFERROR(IF($T19=0,"",INDEX(Definitions!$Q:$Q,MATCH($T19,Definitions!$R:$R,0))),"")</f>
        <v/>
      </c>
      <c r="E19" s="16" t="str" cm="1">
        <f t="array" aca="1" ref="E19" ca="1">IF($K19="","",_xlfn.LET(
_xlpm._listOfAttackSteps,$K19,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19" s="13" t="str">
        <f ca="1">IF($A19="","",IFERROR(VLOOKUP($W19,Definitions!$V:$W,COLUMNS(Definitions!$V:$W),TRUE),""))</f>
        <v/>
      </c>
      <c r="G19" s="13" t="str">
        <f ca="1">IFERROR(IF(OR($D19="",$F19=""),
"",
VLOOKUP($D19,Definitions!$AH:$AM,MATCH($F19,Definitions!$AH$3:$AM$3,0),FALSE)),
"")</f>
        <v/>
      </c>
      <c r="H19" s="10" cm="1">
        <f t="array" aca="1" ref="H19" ca="1">CreateID($H$2,$A19&lt;&gt;"")</f>
        <v>0</v>
      </c>
      <c r="I19" s="9" cm="1">
        <f t="array" aca="1" ref="I19" ca="1">IF(ROW()=ROW($I$2)+1,
1,
INDEX($I:$I,ROW()-1)+IF(INDEX($S:$S,ROW()-1),1,0))</f>
        <v>1</v>
      </c>
      <c r="J19" s="9">
        <f t="shared" ca="1" si="0"/>
        <v>17</v>
      </c>
      <c r="K19" s="9" t="str">
        <f t="shared" ca="1" si="1"/>
        <v/>
      </c>
      <c r="L19" s="9" t="str" cm="1">
        <f t="array" aca="1" ref="L19" ca="1">IF($P19="","",INDEX('Attack Steps'!$A:$A,$P19))</f>
        <v/>
      </c>
      <c r="M19" s="9" t="str" cm="1">
        <f t="array" aca="1" ref="M19" ca="1">IF($P19="","",INDEX('Attack Steps'!$U:$U,$P19))</f>
        <v/>
      </c>
      <c r="N19" s="9" t="str" cm="1">
        <f t="array" aca="1" ref="N19" ca="1">_xlfn.LET(_xlpm._dm,SanitizeInput(GetValuesWithFallback(SanitizeInput($AA19),Assumptions!$A:$J,Countermeasures!$A:$J,"",",",FALSE)),
IF(_xlpm._dm="","",","&amp;_xlpm._dm))</f>
        <v/>
      </c>
      <c r="O19" s="9" t="str" cm="1">
        <f t="array" aca="1" ref="O19" ca="1">ApplyDamageMitigation($M19,$N19,"")</f>
        <v/>
      </c>
      <c r="P19" s="9" t="str">
        <f ca="1">IFERROR(MATCH($I19,'Attack Steps'!$W:$W,0),"")</f>
        <v/>
      </c>
      <c r="Q19" s="9" t="str" cm="1">
        <f t="array" aca="1" ref="Q19" ca="1">IF($P19="","","§"&amp;INDEX('Attack Steps'!$T:$T,$P19))</f>
        <v/>
      </c>
      <c r="R19" s="9" t="str" cm="1">
        <f t="array" aca="1" ref="R19" ca="1">IF($P19="","",INDEX('Attack Steps'!$X:$X,$P19))</f>
        <v/>
      </c>
      <c r="S19" s="9" t="b">
        <f t="shared" ca="1" si="2"/>
        <v>0</v>
      </c>
      <c r="T19" s="9" cm="1">
        <f t="array" aca="1" ref="T19" ca="1">IF($M19="",0,OperateOnList($M19,_xlfn.LAMBDA(_xlpm._x,SimpleLookup(_xlpm._x,'Damage Scenarios'!$A:$U)),_xlfn.LAMBDA(_xlpm._x,_xlpm._y,MAX(_xlpm._x,_xlpm._y))))</f>
        <v>0</v>
      </c>
      <c r="U19" s="9" cm="1">
        <f t="array" aca="1" ref="U19" ca="1">IF($O19="",0,OperateOnList($O19,_xlfn.LAMBDA(_xlpm._x,SimpleLookup(_xlpm._x,'Damage Scenarios'!$A:$U)),_xlfn.LAMBDA(_xlpm._x,_xlpm._y,MAX(_xlpm._x,_xlpm._y))))</f>
        <v>0</v>
      </c>
      <c r="V19" s="9" t="str">
        <f ca="1">IF($U19=0,"",INDEX(Definitions!$Q:$Q,MATCH($U19,Definitions!$R:$R,0)))</f>
        <v/>
      </c>
      <c r="W19" s="9" cm="1">
        <f t="array" aca="1" ref="W19" ca="1">IF($K19="",0,_xlfn.LET(
_xlpm._listOfAttackSteps,$K19,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19" s="9" t="str" cm="1">
        <f t="array" aca="1" ref="X19" ca="1">IF(ROW()=ROW($X$2)+1,"",INDEX($X:$X,ROW()-1))&amp;IF($A19="","",$A19&amp;",")</f>
        <v/>
      </c>
      <c r="Y19" s="9" t="str" cm="1">
        <f t="array" aca="1" ref="Y19" ca="1">CreateSearchString($K19)</f>
        <v/>
      </c>
      <c r="Z19" s="9" cm="1">
        <f t="array" aca="1" ref="Z19" ca="1">IF($G19="",0,SimpleLookup($G19,Definitions!$AE:$AF))</f>
        <v>0</v>
      </c>
      <c r="AA19" s="9" t="str" cm="1">
        <f t="array" aca="1" ref="AA19" ca="1">SanitizeInput(InverseLookup($A19,Mitigation!$U$2,Mitigation!$J$2,1,Helper!$B$5,","))</f>
        <v/>
      </c>
      <c r="AB19" s="9" cm="1">
        <f t="array" aca="1" ref="AB19" ca="1">IF($K19="",0,_xlfn.LET(
_xlpm._listOfAttackStepsAndMitigations,$K19&amp;$AA19,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19" s="9" t="str">
        <f ca="1">IFERROR(VLOOKUP($AB19,Definitions!$V:$W,COLUMNS(Definitions!$V:$W),TRUE),"")</f>
        <v>Basic</v>
      </c>
      <c r="AD19" s="9" t="str">
        <f ca="1">_xlfn.LET(
_xlpm._comments,GetValues($K19,Mitigation!$A:$O,"","",FALSE),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19" s="9" t="str" cm="1">
        <f t="array" aca="1" ref="AE19" ca="1">_xlfn.LET(
_xlpm._rapRange,Definitions!$W:$W,
_xlpm._calculatedRAP,$AC19,
_xlpm._inlineRAP,$AD19,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19" s="9" t="str">
        <f ca="1">IFERROR(IF(OR($V19="",$AE19=""),
Definitions!$AE$4,
VLOOKUP($V19,Definitions!$AH:$AM,MATCH($AE19,Definitions!$AH$3:$AM$3,0),FALSE)),
"")</f>
        <v>No Risk</v>
      </c>
      <c r="AG19" s="9" cm="1">
        <f t="array" aca="1" ref="AG19" ca="1">IF($AF19="",0,SimpleLookup($AF19,Definitions!$AE:$AF))</f>
        <v>0</v>
      </c>
      <c r="AH19" s="9" t="str" cm="1">
        <f t="array" aca="1" ref="AH19" ca="1">IFERROR(SimpleLookup($A19,Tracing!$B:$Z),"")</f>
        <v/>
      </c>
      <c r="AI19" s="9" t="str" cm="1">
        <f t="array" aca="1" ref="AI19" ca="1">_xlfn.LET(_xlpm._dm,SanitizeInput(GetValuesWithFallback(SanitizeInput($AH19),Assumptions!$A:$J,Countermeasures!$A:$J,"",",",FALSE)),
IF(_xlpm._dm="","",","&amp;_xlpm._dm))</f>
        <v/>
      </c>
      <c r="AJ19" s="9" t="str" cm="1">
        <f t="array" aca="1" ref="AJ19" ca="1">ApplyDamageMitigation($M19,$AI19,"")</f>
        <v/>
      </c>
      <c r="AK19" s="9" cm="1">
        <f t="array" aca="1" ref="AK19" ca="1">CalculateMaxFromList($AJ19,0,'Damage Scenarios'!$A:$U)</f>
        <v>0</v>
      </c>
      <c r="AL19" s="9" t="str">
        <f ca="1">IF($AK19=0,"",INDEX(Definitions!$Q:$Q,MATCH($AK19,Definitions!$R:$R,0)))</f>
        <v/>
      </c>
      <c r="AM19" s="9" cm="1">
        <f t="array" aca="1" ref="AM19" ca="1">IF($K19="",0,_xlfn.LET(
_xlpm._listOfAttackStepsAndMitigations,$K19&amp;$AH19,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19" s="9" t="str">
        <f ca="1">IFERROR(VLOOKUP($AM19,Definitions!$V:$W,COLUMNS(Definitions!$V:$W),TRUE),"")</f>
        <v>Basic</v>
      </c>
      <c r="AO19" s="9" t="str">
        <f ca="1">_xlfn.LET(
_xlpm._comments,SimpleLookup($A19,Tracing!$B:$AB),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19" s="9" t="str" cm="1">
        <f t="array" aca="1" ref="AP19" ca="1">_xlfn.LET(
_xlpm._rapRange,Definitions!$W:$W,
_xlpm._calculatedRAP,$AN19,
_xlpm._inlineRAP,$AO19,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19" s="9" t="str">
        <f ca="1">IFERROR(IF(OR($AL19="",$AP19=""),
Definitions!$AE$4,
VLOOKUP($AL19,Definitions!$AH:$AM,MATCH($AP19,Definitions!$AH$3:$AM$3,0),FALSE)),
"")</f>
        <v>No Risk</v>
      </c>
      <c r="AR19" s="9" cm="1">
        <f t="array" aca="1" ref="AR19" ca="1">IF($AQ19="",0,SimpleLookup($AQ19,Definitions!$AE:$AF))</f>
        <v>0</v>
      </c>
      <c r="AS19" s="9" t="b">
        <f ca="1">OR(AND($S19,$I19=Helper!$B$7),$I19&gt;Helper!$B$7)</f>
        <v>1</v>
      </c>
      <c r="AT19" s="9" t="str">
        <f t="shared" ca="1" si="3"/>
        <v/>
      </c>
      <c r="AU19" s="9" cm="1">
        <f t="array" aca="1" ref="AU19" ca="1">CreateID($AU$2,$AT19&lt;&gt;"")</f>
        <v>0</v>
      </c>
      <c r="AV19" s="9" t="str">
        <f ca="1">IF(IFERROR(MATCH(","&amp;A19&amp;",",'Risk Treatment'!$AT:$AT,0)&gt;0,FALSE),"",$A19)</f>
        <v/>
      </c>
      <c r="AW19" s="9" cm="1">
        <f t="array" aca="1" ref="AW19" ca="1">CreateID($AW$2,$AV19&lt;&gt;"")</f>
        <v>0</v>
      </c>
      <c r="AX19" s="9" t="str" cm="1">
        <f t="array" aca="1" ref="AX19" ca="1">CreateSearchString($AA19)</f>
        <v/>
      </c>
    </row>
    <row r="20" spans="1:50" x14ac:dyDescent="0.25">
      <c r="A20" s="13" t="str" cm="1">
        <f t="array" aca="1" ref="A20" ca="1">IF($B20="","","R"&amp;RemoveDelimiter(SUBSTITUTE(SUBSTITUTE($K20,"AS",""),",","-"),"-"))</f>
        <v/>
      </c>
      <c r="B20" s="13" t="str" cm="1">
        <f t="array" aca="1" ref="B20" ca="1">IF($L20="","",_xlfn.LET(
_xlpm._finalAttackStep,$L20,
_xlpm._prepAttacks,RemoveFirstElement(_xlpm._finalAttackStep&amp;","&amp;$K20),
_xlpm._prepAttackNames,IFERROR(LookupNames(_xlpm._prepAttacks,'Attack Steps'!$A:$B),""),
_xlpm._delimiter,REPT(CHAR(150),55),
$L20&amp;" "&amp;SimpleLookup($L20,'Attack Steps'!$A:$B)&amp;
IF(_xlpm._prepAttackNames="","",CHAR(10)&amp;_xlpm._delimiter&amp;CHAR(10)&amp;_xlpm._prepAttackNames)))</f>
        <v/>
      </c>
      <c r="C20" s="16" t="str" cm="1">
        <f t="array" aca="1" ref="C20" ca="1">IFERROR(LookupNames($M20,'Damage Scenarios'!$A:$V),"")</f>
        <v/>
      </c>
      <c r="D20" s="13" t="str">
        <f ca="1">IFERROR(IF($T20=0,"",INDEX(Definitions!$Q:$Q,MATCH($T20,Definitions!$R:$R,0))),"")</f>
        <v/>
      </c>
      <c r="E20" s="16" t="str" cm="1">
        <f t="array" aca="1" ref="E20" ca="1">IF($K20="","",_xlfn.LET(
_xlpm._listOfAttackSteps,$K20,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20" s="13" t="str">
        <f ca="1">IF($A20="","",IFERROR(VLOOKUP($W20,Definitions!$V:$W,COLUMNS(Definitions!$V:$W),TRUE),""))</f>
        <v/>
      </c>
      <c r="G20" s="13" t="str">
        <f ca="1">IFERROR(IF(OR($D20="",$F20=""),
"",
VLOOKUP($D20,Definitions!$AH:$AM,MATCH($F20,Definitions!$AH$3:$AM$3,0),FALSE)),
"")</f>
        <v/>
      </c>
      <c r="H20" s="10" cm="1">
        <f t="array" aca="1" ref="H20" ca="1">CreateID($H$2,$A20&lt;&gt;"")</f>
        <v>0</v>
      </c>
      <c r="I20" s="9" cm="1">
        <f t="array" aca="1" ref="I20" ca="1">IF(ROW()=ROW($I$2)+1,
1,
INDEX($I:$I,ROW()-1)+IF(INDEX($S:$S,ROW()-1),1,0))</f>
        <v>1</v>
      </c>
      <c r="J20" s="9">
        <f t="shared" ca="1" si="0"/>
        <v>18</v>
      </c>
      <c r="K20" s="9" t="str">
        <f t="shared" ca="1" si="1"/>
        <v/>
      </c>
      <c r="L20" s="9" t="str" cm="1">
        <f t="array" aca="1" ref="L20" ca="1">IF($P20="","",INDEX('Attack Steps'!$A:$A,$P20))</f>
        <v/>
      </c>
      <c r="M20" s="9" t="str" cm="1">
        <f t="array" aca="1" ref="M20" ca="1">IF($P20="","",INDEX('Attack Steps'!$U:$U,$P20))</f>
        <v/>
      </c>
      <c r="N20" s="9" t="str" cm="1">
        <f t="array" aca="1" ref="N20" ca="1">_xlfn.LET(_xlpm._dm,SanitizeInput(GetValuesWithFallback(SanitizeInput($AA20),Assumptions!$A:$J,Countermeasures!$A:$J,"",",",FALSE)),
IF(_xlpm._dm="","",","&amp;_xlpm._dm))</f>
        <v/>
      </c>
      <c r="O20" s="9" t="str" cm="1">
        <f t="array" aca="1" ref="O20" ca="1">ApplyDamageMitigation($M20,$N20,"")</f>
        <v/>
      </c>
      <c r="P20" s="9" t="str">
        <f ca="1">IFERROR(MATCH($I20,'Attack Steps'!$W:$W,0),"")</f>
        <v/>
      </c>
      <c r="Q20" s="9" t="str" cm="1">
        <f t="array" aca="1" ref="Q20" ca="1">IF($P20="","","§"&amp;INDEX('Attack Steps'!$T:$T,$P20))</f>
        <v/>
      </c>
      <c r="R20" s="9" t="str" cm="1">
        <f t="array" aca="1" ref="R20" ca="1">IF($P20="","",INDEX('Attack Steps'!$X:$X,$P20))</f>
        <v/>
      </c>
      <c r="S20" s="9" t="b">
        <f t="shared" ca="1" si="2"/>
        <v>0</v>
      </c>
      <c r="T20" s="9" cm="1">
        <f t="array" aca="1" ref="T20" ca="1">IF($M20="",0,OperateOnList($M20,_xlfn.LAMBDA(_xlpm._x,SimpleLookup(_xlpm._x,'Damage Scenarios'!$A:$U)),_xlfn.LAMBDA(_xlpm._x,_xlpm._y,MAX(_xlpm._x,_xlpm._y))))</f>
        <v>0</v>
      </c>
      <c r="U20" s="9" cm="1">
        <f t="array" aca="1" ref="U20" ca="1">IF($O20="",0,OperateOnList($O20,_xlfn.LAMBDA(_xlpm._x,SimpleLookup(_xlpm._x,'Damage Scenarios'!$A:$U)),_xlfn.LAMBDA(_xlpm._x,_xlpm._y,MAX(_xlpm._x,_xlpm._y))))</f>
        <v>0</v>
      </c>
      <c r="V20" s="9" t="str">
        <f ca="1">IF($U20=0,"",INDEX(Definitions!$Q:$Q,MATCH($U20,Definitions!$R:$R,0)))</f>
        <v/>
      </c>
      <c r="W20" s="9" cm="1">
        <f t="array" aca="1" ref="W20" ca="1">IF($K20="",0,_xlfn.LET(
_xlpm._listOfAttackSteps,$K20,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20" s="9" t="str" cm="1">
        <f t="array" aca="1" ref="X20" ca="1">IF(ROW()=ROW($X$2)+1,"",INDEX($X:$X,ROW()-1))&amp;IF($A20="","",$A20&amp;",")</f>
        <v/>
      </c>
      <c r="Y20" s="9" t="str" cm="1">
        <f t="array" aca="1" ref="Y20" ca="1">CreateSearchString($K20)</f>
        <v/>
      </c>
      <c r="Z20" s="9" cm="1">
        <f t="array" aca="1" ref="Z20" ca="1">IF($G20="",0,SimpleLookup($G20,Definitions!$AE:$AF))</f>
        <v>0</v>
      </c>
      <c r="AA20" s="9" t="str" cm="1">
        <f t="array" aca="1" ref="AA20" ca="1">SanitizeInput(InverseLookup($A20,Mitigation!$U$2,Mitigation!$J$2,1,Helper!$B$5,","))</f>
        <v/>
      </c>
      <c r="AB20" s="9" cm="1">
        <f t="array" aca="1" ref="AB20" ca="1">IF($K20="",0,_xlfn.LET(
_xlpm._listOfAttackStepsAndMitigations,$K20&amp;$AA20,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20" s="9" t="str">
        <f ca="1">IFERROR(VLOOKUP($AB20,Definitions!$V:$W,COLUMNS(Definitions!$V:$W),TRUE),"")</f>
        <v>Basic</v>
      </c>
      <c r="AD20" s="9" t="str">
        <f ca="1">_xlfn.LET(
_xlpm._comments,GetValues($K20,Mitigation!$A:$O,"","",FALSE),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20" s="9" t="str" cm="1">
        <f t="array" aca="1" ref="AE20" ca="1">_xlfn.LET(
_xlpm._rapRange,Definitions!$W:$W,
_xlpm._calculatedRAP,$AC20,
_xlpm._inlineRAP,$AD20,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20" s="9" t="str">
        <f ca="1">IFERROR(IF(OR($V20="",$AE20=""),
Definitions!$AE$4,
VLOOKUP($V20,Definitions!$AH:$AM,MATCH($AE20,Definitions!$AH$3:$AM$3,0),FALSE)),
"")</f>
        <v>No Risk</v>
      </c>
      <c r="AG20" s="9" cm="1">
        <f t="array" aca="1" ref="AG20" ca="1">IF($AF20="",0,SimpleLookup($AF20,Definitions!$AE:$AF))</f>
        <v>0</v>
      </c>
      <c r="AH20" s="9" t="str" cm="1">
        <f t="array" aca="1" ref="AH20" ca="1">IFERROR(SimpleLookup($A20,Tracing!$B:$Z),"")</f>
        <v/>
      </c>
      <c r="AI20" s="9" t="str" cm="1">
        <f t="array" aca="1" ref="AI20" ca="1">_xlfn.LET(_xlpm._dm,SanitizeInput(GetValuesWithFallback(SanitizeInput($AH20),Assumptions!$A:$J,Countermeasures!$A:$J,"",",",FALSE)),
IF(_xlpm._dm="","",","&amp;_xlpm._dm))</f>
        <v/>
      </c>
      <c r="AJ20" s="9" t="str" cm="1">
        <f t="array" aca="1" ref="AJ20" ca="1">ApplyDamageMitigation($M20,$AI20,"")</f>
        <v/>
      </c>
      <c r="AK20" s="9" cm="1">
        <f t="array" aca="1" ref="AK20" ca="1">CalculateMaxFromList($AJ20,0,'Damage Scenarios'!$A:$U)</f>
        <v>0</v>
      </c>
      <c r="AL20" s="9" t="str">
        <f ca="1">IF($AK20=0,"",INDEX(Definitions!$Q:$Q,MATCH($AK20,Definitions!$R:$R,0)))</f>
        <v/>
      </c>
      <c r="AM20" s="9" cm="1">
        <f t="array" aca="1" ref="AM20" ca="1">IF($K20="",0,_xlfn.LET(
_xlpm._listOfAttackStepsAndMitigations,$K20&amp;$AH20,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20" s="9" t="str">
        <f ca="1">IFERROR(VLOOKUP($AM20,Definitions!$V:$W,COLUMNS(Definitions!$V:$W),TRUE),"")</f>
        <v>Basic</v>
      </c>
      <c r="AO20" s="9" t="str">
        <f ca="1">_xlfn.LET(
_xlpm._comments,SimpleLookup($A20,Tracing!$B:$AB),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20" s="9" t="str" cm="1">
        <f t="array" aca="1" ref="AP20" ca="1">_xlfn.LET(
_xlpm._rapRange,Definitions!$W:$W,
_xlpm._calculatedRAP,$AN20,
_xlpm._inlineRAP,$AO20,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20" s="9" t="str">
        <f ca="1">IFERROR(IF(OR($AL20="",$AP20=""),
Definitions!$AE$4,
VLOOKUP($AL20,Definitions!$AH:$AM,MATCH($AP20,Definitions!$AH$3:$AM$3,0),FALSE)),
"")</f>
        <v>No Risk</v>
      </c>
      <c r="AR20" s="9" cm="1">
        <f t="array" aca="1" ref="AR20" ca="1">IF($AQ20="",0,SimpleLookup($AQ20,Definitions!$AE:$AF))</f>
        <v>0</v>
      </c>
      <c r="AS20" s="9" t="b">
        <f ca="1">OR(AND($S20,$I20=Helper!$B$7),$I20&gt;Helper!$B$7)</f>
        <v>1</v>
      </c>
      <c r="AT20" s="9" t="str">
        <f t="shared" ca="1" si="3"/>
        <v/>
      </c>
      <c r="AU20" s="9" cm="1">
        <f t="array" aca="1" ref="AU20" ca="1">CreateID($AU$2,$AT20&lt;&gt;"")</f>
        <v>0</v>
      </c>
      <c r="AV20" s="9" t="str">
        <f ca="1">IF(IFERROR(MATCH(","&amp;A20&amp;",",'Risk Treatment'!$AT:$AT,0)&gt;0,FALSE),"",$A20)</f>
        <v/>
      </c>
      <c r="AW20" s="9" cm="1">
        <f t="array" aca="1" ref="AW20" ca="1">CreateID($AW$2,$AV20&lt;&gt;"")</f>
        <v>0</v>
      </c>
      <c r="AX20" s="9" t="str" cm="1">
        <f t="array" aca="1" ref="AX20" ca="1">CreateSearchString($AA20)</f>
        <v/>
      </c>
    </row>
    <row r="21" spans="1:50" x14ac:dyDescent="0.25">
      <c r="A21" s="13" t="str" cm="1">
        <f t="array" aca="1" ref="A21" ca="1">IF($B21="","","R"&amp;RemoveDelimiter(SUBSTITUTE(SUBSTITUTE($K21,"AS",""),",","-"),"-"))</f>
        <v/>
      </c>
      <c r="B21" s="13" t="str" cm="1">
        <f t="array" aca="1" ref="B21" ca="1">IF($L21="","",_xlfn.LET(
_xlpm._finalAttackStep,$L21,
_xlpm._prepAttacks,RemoveFirstElement(_xlpm._finalAttackStep&amp;","&amp;$K21),
_xlpm._prepAttackNames,IFERROR(LookupNames(_xlpm._prepAttacks,'Attack Steps'!$A:$B),""),
_xlpm._delimiter,REPT(CHAR(150),55),
$L21&amp;" "&amp;SimpleLookup($L21,'Attack Steps'!$A:$B)&amp;
IF(_xlpm._prepAttackNames="","",CHAR(10)&amp;_xlpm._delimiter&amp;CHAR(10)&amp;_xlpm._prepAttackNames)))</f>
        <v/>
      </c>
      <c r="C21" s="16" t="str" cm="1">
        <f t="array" aca="1" ref="C21" ca="1">IFERROR(LookupNames($M21,'Damage Scenarios'!$A:$V),"")</f>
        <v/>
      </c>
      <c r="D21" s="13" t="str">
        <f ca="1">IFERROR(IF($T21=0,"",INDEX(Definitions!$Q:$Q,MATCH($T21,Definitions!$R:$R,0))),"")</f>
        <v/>
      </c>
      <c r="E21" s="16" t="str" cm="1">
        <f t="array" aca="1" ref="E21" ca="1">IF($K21="","",_xlfn.LET(
_xlpm._listOfAttackSteps,$K21,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21" s="13" t="str">
        <f ca="1">IF($A21="","",IFERROR(VLOOKUP($W21,Definitions!$V:$W,COLUMNS(Definitions!$V:$W),TRUE),""))</f>
        <v/>
      </c>
      <c r="G21" s="13" t="str">
        <f ca="1">IFERROR(IF(OR($D21="",$F21=""),
"",
VLOOKUP($D21,Definitions!$AH:$AM,MATCH($F21,Definitions!$AH$3:$AM$3,0),FALSE)),
"")</f>
        <v/>
      </c>
      <c r="H21" s="10" cm="1">
        <f t="array" aca="1" ref="H21" ca="1">CreateID($H$2,$A21&lt;&gt;"")</f>
        <v>0</v>
      </c>
      <c r="I21" s="9" cm="1">
        <f t="array" aca="1" ref="I21" ca="1">IF(ROW()=ROW($I$2)+1,
1,
INDEX($I:$I,ROW()-1)+IF(INDEX($S:$S,ROW()-1),1,0))</f>
        <v>1</v>
      </c>
      <c r="J21" s="9">
        <f t="shared" ca="1" si="0"/>
        <v>19</v>
      </c>
      <c r="K21" s="9" t="str">
        <f t="shared" ca="1" si="1"/>
        <v/>
      </c>
      <c r="L21" s="9" t="str" cm="1">
        <f t="array" aca="1" ref="L21" ca="1">IF($P21="","",INDEX('Attack Steps'!$A:$A,$P21))</f>
        <v/>
      </c>
      <c r="M21" s="9" t="str" cm="1">
        <f t="array" aca="1" ref="M21" ca="1">IF($P21="","",INDEX('Attack Steps'!$U:$U,$P21))</f>
        <v/>
      </c>
      <c r="N21" s="9" t="str" cm="1">
        <f t="array" aca="1" ref="N21" ca="1">_xlfn.LET(_xlpm._dm,SanitizeInput(GetValuesWithFallback(SanitizeInput($AA21),Assumptions!$A:$J,Countermeasures!$A:$J,"",",",FALSE)),
IF(_xlpm._dm="","",","&amp;_xlpm._dm))</f>
        <v/>
      </c>
      <c r="O21" s="9" t="str" cm="1">
        <f t="array" aca="1" ref="O21" ca="1">ApplyDamageMitigation($M21,$N21,"")</f>
        <v/>
      </c>
      <c r="P21" s="9" t="str">
        <f ca="1">IFERROR(MATCH($I21,'Attack Steps'!$W:$W,0),"")</f>
        <v/>
      </c>
      <c r="Q21" s="9" t="str" cm="1">
        <f t="array" aca="1" ref="Q21" ca="1">IF($P21="","","§"&amp;INDEX('Attack Steps'!$T:$T,$P21))</f>
        <v/>
      </c>
      <c r="R21" s="9" t="str" cm="1">
        <f t="array" aca="1" ref="R21" ca="1">IF($P21="","",INDEX('Attack Steps'!$X:$X,$P21))</f>
        <v/>
      </c>
      <c r="S21" s="9" t="b">
        <f t="shared" ca="1" si="2"/>
        <v>0</v>
      </c>
      <c r="T21" s="9" cm="1">
        <f t="array" aca="1" ref="T21" ca="1">IF($M21="",0,OperateOnList($M21,_xlfn.LAMBDA(_xlpm._x,SimpleLookup(_xlpm._x,'Damage Scenarios'!$A:$U)),_xlfn.LAMBDA(_xlpm._x,_xlpm._y,MAX(_xlpm._x,_xlpm._y))))</f>
        <v>0</v>
      </c>
      <c r="U21" s="9" cm="1">
        <f t="array" aca="1" ref="U21" ca="1">IF($O21="",0,OperateOnList($O21,_xlfn.LAMBDA(_xlpm._x,SimpleLookup(_xlpm._x,'Damage Scenarios'!$A:$U)),_xlfn.LAMBDA(_xlpm._x,_xlpm._y,MAX(_xlpm._x,_xlpm._y))))</f>
        <v>0</v>
      </c>
      <c r="V21" s="9" t="str">
        <f ca="1">IF($U21=0,"",INDEX(Definitions!$Q:$Q,MATCH($U21,Definitions!$R:$R,0)))</f>
        <v/>
      </c>
      <c r="W21" s="9" cm="1">
        <f t="array" aca="1" ref="W21" ca="1">IF($K21="",0,_xlfn.LET(
_xlpm._listOfAttackSteps,$K21,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21" s="9" t="str" cm="1">
        <f t="array" aca="1" ref="X21" ca="1">IF(ROW()=ROW($X$2)+1,"",INDEX($X:$X,ROW()-1))&amp;IF($A21="","",$A21&amp;",")</f>
        <v/>
      </c>
      <c r="Y21" s="9" t="str" cm="1">
        <f t="array" aca="1" ref="Y21" ca="1">CreateSearchString($K21)</f>
        <v/>
      </c>
      <c r="Z21" s="9" cm="1">
        <f t="array" aca="1" ref="Z21" ca="1">IF($G21="",0,SimpleLookup($G21,Definitions!$AE:$AF))</f>
        <v>0</v>
      </c>
      <c r="AA21" s="9" t="str" cm="1">
        <f t="array" aca="1" ref="AA21" ca="1">SanitizeInput(InverseLookup($A21,Mitigation!$U$2,Mitigation!$J$2,1,Helper!$B$5,","))</f>
        <v/>
      </c>
      <c r="AB21" s="9" cm="1">
        <f t="array" aca="1" ref="AB21" ca="1">IF($K21="",0,_xlfn.LET(
_xlpm._listOfAttackStepsAndMitigations,$K21&amp;$AA21,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21" s="9" t="str">
        <f ca="1">IFERROR(VLOOKUP($AB21,Definitions!$V:$W,COLUMNS(Definitions!$V:$W),TRUE),"")</f>
        <v>Basic</v>
      </c>
      <c r="AD21" s="9" t="str">
        <f ca="1">_xlfn.LET(
_xlpm._comments,GetValues($K21,Mitigation!$A:$O,"","",FALSE),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21" s="9" t="str" cm="1">
        <f t="array" aca="1" ref="AE21" ca="1">_xlfn.LET(
_xlpm._rapRange,Definitions!$W:$W,
_xlpm._calculatedRAP,$AC21,
_xlpm._inlineRAP,$AD21,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21" s="9" t="str">
        <f ca="1">IFERROR(IF(OR($V21="",$AE21=""),
Definitions!$AE$4,
VLOOKUP($V21,Definitions!$AH:$AM,MATCH($AE21,Definitions!$AH$3:$AM$3,0),FALSE)),
"")</f>
        <v>No Risk</v>
      </c>
      <c r="AG21" s="9" cm="1">
        <f t="array" aca="1" ref="AG21" ca="1">IF($AF21="",0,SimpleLookup($AF21,Definitions!$AE:$AF))</f>
        <v>0</v>
      </c>
      <c r="AH21" s="9" t="str" cm="1">
        <f t="array" aca="1" ref="AH21" ca="1">IFERROR(SimpleLookup($A21,Tracing!$B:$Z),"")</f>
        <v/>
      </c>
      <c r="AI21" s="9" t="str" cm="1">
        <f t="array" aca="1" ref="AI21" ca="1">_xlfn.LET(_xlpm._dm,SanitizeInput(GetValuesWithFallback(SanitizeInput($AH21),Assumptions!$A:$J,Countermeasures!$A:$J,"",",",FALSE)),
IF(_xlpm._dm="","",","&amp;_xlpm._dm))</f>
        <v/>
      </c>
      <c r="AJ21" s="9" t="str" cm="1">
        <f t="array" aca="1" ref="AJ21" ca="1">ApplyDamageMitigation($M21,$AI21,"")</f>
        <v/>
      </c>
      <c r="AK21" s="9" cm="1">
        <f t="array" aca="1" ref="AK21" ca="1">CalculateMaxFromList($AJ21,0,'Damage Scenarios'!$A:$U)</f>
        <v>0</v>
      </c>
      <c r="AL21" s="9" t="str">
        <f ca="1">IF($AK21=0,"",INDEX(Definitions!$Q:$Q,MATCH($AK21,Definitions!$R:$R,0)))</f>
        <v/>
      </c>
      <c r="AM21" s="9" cm="1">
        <f t="array" aca="1" ref="AM21" ca="1">IF($K21="",0,_xlfn.LET(
_xlpm._listOfAttackStepsAndMitigations,$K21&amp;$AH21,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21" s="9" t="str">
        <f ca="1">IFERROR(VLOOKUP($AM21,Definitions!$V:$W,COLUMNS(Definitions!$V:$W),TRUE),"")</f>
        <v>Basic</v>
      </c>
      <c r="AO21" s="9" t="str">
        <f ca="1">_xlfn.LET(
_xlpm._comments,SimpleLookup($A21,Tracing!$B:$AB),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21" s="9" t="str" cm="1">
        <f t="array" aca="1" ref="AP21" ca="1">_xlfn.LET(
_xlpm._rapRange,Definitions!$W:$W,
_xlpm._calculatedRAP,$AN21,
_xlpm._inlineRAP,$AO21,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21" s="9" t="str">
        <f ca="1">IFERROR(IF(OR($AL21="",$AP21=""),
Definitions!$AE$4,
VLOOKUP($AL21,Definitions!$AH:$AM,MATCH($AP21,Definitions!$AH$3:$AM$3,0),FALSE)),
"")</f>
        <v>No Risk</v>
      </c>
      <c r="AR21" s="9" cm="1">
        <f t="array" aca="1" ref="AR21" ca="1">IF($AQ21="",0,SimpleLookup($AQ21,Definitions!$AE:$AF))</f>
        <v>0</v>
      </c>
      <c r="AS21" s="9" t="b">
        <f ca="1">OR(AND($S21,$I21=Helper!$B$7),$I21&gt;Helper!$B$7)</f>
        <v>1</v>
      </c>
      <c r="AT21" s="9" t="str">
        <f t="shared" ca="1" si="3"/>
        <v/>
      </c>
      <c r="AU21" s="9" cm="1">
        <f t="array" aca="1" ref="AU21" ca="1">CreateID($AU$2,$AT21&lt;&gt;"")</f>
        <v>0</v>
      </c>
      <c r="AV21" s="9" t="str">
        <f ca="1">IF(IFERROR(MATCH(","&amp;A21&amp;",",'Risk Treatment'!$AT:$AT,0)&gt;0,FALSE),"",$A21)</f>
        <v/>
      </c>
      <c r="AW21" s="9" cm="1">
        <f t="array" aca="1" ref="AW21" ca="1">CreateID($AW$2,$AV21&lt;&gt;"")</f>
        <v>0</v>
      </c>
      <c r="AX21" s="9" t="str" cm="1">
        <f t="array" aca="1" ref="AX21" ca="1">CreateSearchString($AA21)</f>
        <v/>
      </c>
    </row>
    <row r="22" spans="1:50" x14ac:dyDescent="0.25">
      <c r="A22" s="13" t="str" cm="1">
        <f t="array" aca="1" ref="A22" ca="1">IF($B22="","","R"&amp;RemoveDelimiter(SUBSTITUTE(SUBSTITUTE($K22,"AS",""),",","-"),"-"))</f>
        <v/>
      </c>
      <c r="B22" s="13" t="str" cm="1">
        <f t="array" aca="1" ref="B22" ca="1">IF($L22="","",_xlfn.LET(
_xlpm._finalAttackStep,$L22,
_xlpm._prepAttacks,RemoveFirstElement(_xlpm._finalAttackStep&amp;","&amp;$K22),
_xlpm._prepAttackNames,IFERROR(LookupNames(_xlpm._prepAttacks,'Attack Steps'!$A:$B),""),
_xlpm._delimiter,REPT(CHAR(150),55),
$L22&amp;" "&amp;SimpleLookup($L22,'Attack Steps'!$A:$B)&amp;
IF(_xlpm._prepAttackNames="","",CHAR(10)&amp;_xlpm._delimiter&amp;CHAR(10)&amp;_xlpm._prepAttackNames)))</f>
        <v/>
      </c>
      <c r="C22" s="16" t="str" cm="1">
        <f t="array" aca="1" ref="C22" ca="1">IFERROR(LookupNames($M22,'Damage Scenarios'!$A:$V),"")</f>
        <v/>
      </c>
      <c r="D22" s="13" t="str">
        <f ca="1">IFERROR(IF($T22=0,"",INDEX(Definitions!$Q:$Q,MATCH($T22,Definitions!$R:$R,0))),"")</f>
        <v/>
      </c>
      <c r="E22" s="16" t="str" cm="1">
        <f t="array" aca="1" ref="E22" ca="1">IF($K22="","",_xlfn.LET(
_xlpm._listOfAttackSteps,$K22,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22" s="13" t="str">
        <f ca="1">IF($A22="","",IFERROR(VLOOKUP($W22,Definitions!$V:$W,COLUMNS(Definitions!$V:$W),TRUE),""))</f>
        <v/>
      </c>
      <c r="G22" s="13" t="str">
        <f ca="1">IFERROR(IF(OR($D22="",$F22=""),
"",
VLOOKUP($D22,Definitions!$AH:$AM,MATCH($F22,Definitions!$AH$3:$AM$3,0),FALSE)),
"")</f>
        <v/>
      </c>
      <c r="H22" s="10" cm="1">
        <f t="array" aca="1" ref="H22" ca="1">CreateID($H$2,$A22&lt;&gt;"")</f>
        <v>0</v>
      </c>
      <c r="I22" s="9" cm="1">
        <f t="array" aca="1" ref="I22" ca="1">IF(ROW()=ROW($I$2)+1,
1,
INDEX($I:$I,ROW()-1)+IF(INDEX($S:$S,ROW()-1),1,0))</f>
        <v>1</v>
      </c>
      <c r="J22" s="9">
        <f t="shared" ca="1" si="0"/>
        <v>20</v>
      </c>
      <c r="K22" s="9" t="str">
        <f t="shared" ca="1" si="1"/>
        <v/>
      </c>
      <c r="L22" s="9" t="str" cm="1">
        <f t="array" aca="1" ref="L22" ca="1">IF($P22="","",INDEX('Attack Steps'!$A:$A,$P22))</f>
        <v/>
      </c>
      <c r="M22" s="9" t="str" cm="1">
        <f t="array" aca="1" ref="M22" ca="1">IF($P22="","",INDEX('Attack Steps'!$U:$U,$P22))</f>
        <v/>
      </c>
      <c r="N22" s="9" t="str" cm="1">
        <f t="array" aca="1" ref="N22" ca="1">_xlfn.LET(_xlpm._dm,SanitizeInput(GetValuesWithFallback(SanitizeInput($AA22),Assumptions!$A:$J,Countermeasures!$A:$J,"",",",FALSE)),
IF(_xlpm._dm="","",","&amp;_xlpm._dm))</f>
        <v/>
      </c>
      <c r="O22" s="9" t="str" cm="1">
        <f t="array" aca="1" ref="O22" ca="1">ApplyDamageMitigation($M22,$N22,"")</f>
        <v/>
      </c>
      <c r="P22" s="9" t="str">
        <f ca="1">IFERROR(MATCH($I22,'Attack Steps'!$W:$W,0),"")</f>
        <v/>
      </c>
      <c r="Q22" s="9" t="str" cm="1">
        <f t="array" aca="1" ref="Q22" ca="1">IF($P22="","","§"&amp;INDEX('Attack Steps'!$T:$T,$P22))</f>
        <v/>
      </c>
      <c r="R22" s="9" t="str" cm="1">
        <f t="array" aca="1" ref="R22" ca="1">IF($P22="","",INDEX('Attack Steps'!$X:$X,$P22))</f>
        <v/>
      </c>
      <c r="S22" s="9" t="b">
        <f t="shared" ca="1" si="2"/>
        <v>0</v>
      </c>
      <c r="T22" s="9" cm="1">
        <f t="array" aca="1" ref="T22" ca="1">IF($M22="",0,OperateOnList($M22,_xlfn.LAMBDA(_xlpm._x,SimpleLookup(_xlpm._x,'Damage Scenarios'!$A:$U)),_xlfn.LAMBDA(_xlpm._x,_xlpm._y,MAX(_xlpm._x,_xlpm._y))))</f>
        <v>0</v>
      </c>
      <c r="U22" s="9" cm="1">
        <f t="array" aca="1" ref="U22" ca="1">IF($O22="",0,OperateOnList($O22,_xlfn.LAMBDA(_xlpm._x,SimpleLookup(_xlpm._x,'Damage Scenarios'!$A:$U)),_xlfn.LAMBDA(_xlpm._x,_xlpm._y,MAX(_xlpm._x,_xlpm._y))))</f>
        <v>0</v>
      </c>
      <c r="V22" s="9" t="str">
        <f ca="1">IF($U22=0,"",INDEX(Definitions!$Q:$Q,MATCH($U22,Definitions!$R:$R,0)))</f>
        <v/>
      </c>
      <c r="W22" s="9" cm="1">
        <f t="array" aca="1" ref="W22" ca="1">IF($K22="",0,_xlfn.LET(
_xlpm._listOfAttackSteps,$K22,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22" s="9" t="str" cm="1">
        <f t="array" aca="1" ref="X22" ca="1">IF(ROW()=ROW($X$2)+1,"",INDEX($X:$X,ROW()-1))&amp;IF($A22="","",$A22&amp;",")</f>
        <v/>
      </c>
      <c r="Y22" s="9" t="str" cm="1">
        <f t="array" aca="1" ref="Y22" ca="1">CreateSearchString($K22)</f>
        <v/>
      </c>
      <c r="Z22" s="9" cm="1">
        <f t="array" aca="1" ref="Z22" ca="1">IF($G22="",0,SimpleLookup($G22,Definitions!$AE:$AF))</f>
        <v>0</v>
      </c>
      <c r="AA22" s="9" t="str" cm="1">
        <f t="array" aca="1" ref="AA22" ca="1">SanitizeInput(InverseLookup($A22,Mitigation!$U$2,Mitigation!$J$2,1,Helper!$B$5,","))</f>
        <v/>
      </c>
      <c r="AB22" s="9" cm="1">
        <f t="array" aca="1" ref="AB22" ca="1">IF($K22="",0,_xlfn.LET(
_xlpm._listOfAttackStepsAndMitigations,$K22&amp;$AA22,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22" s="9" t="str">
        <f ca="1">IFERROR(VLOOKUP($AB22,Definitions!$V:$W,COLUMNS(Definitions!$V:$W),TRUE),"")</f>
        <v>Basic</v>
      </c>
      <c r="AD22" s="9" t="str">
        <f ca="1">_xlfn.LET(
_xlpm._comments,GetValues($K22,Mitigation!$A:$O,"","",FALSE),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22" s="9" t="str" cm="1">
        <f t="array" aca="1" ref="AE22" ca="1">_xlfn.LET(
_xlpm._rapRange,Definitions!$W:$W,
_xlpm._calculatedRAP,$AC22,
_xlpm._inlineRAP,$AD22,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22" s="9" t="str">
        <f ca="1">IFERROR(IF(OR($V22="",$AE22=""),
Definitions!$AE$4,
VLOOKUP($V22,Definitions!$AH:$AM,MATCH($AE22,Definitions!$AH$3:$AM$3,0),FALSE)),
"")</f>
        <v>No Risk</v>
      </c>
      <c r="AG22" s="9" cm="1">
        <f t="array" aca="1" ref="AG22" ca="1">IF($AF22="",0,SimpleLookup($AF22,Definitions!$AE:$AF))</f>
        <v>0</v>
      </c>
      <c r="AH22" s="9" t="str" cm="1">
        <f t="array" aca="1" ref="AH22" ca="1">IFERROR(SimpleLookup($A22,Tracing!$B:$Z),"")</f>
        <v/>
      </c>
      <c r="AI22" s="9" t="str" cm="1">
        <f t="array" aca="1" ref="AI22" ca="1">_xlfn.LET(_xlpm._dm,SanitizeInput(GetValuesWithFallback(SanitizeInput($AH22),Assumptions!$A:$J,Countermeasures!$A:$J,"",",",FALSE)),
IF(_xlpm._dm="","",","&amp;_xlpm._dm))</f>
        <v/>
      </c>
      <c r="AJ22" s="9" t="str" cm="1">
        <f t="array" aca="1" ref="AJ22" ca="1">ApplyDamageMitigation($M22,$AI22,"")</f>
        <v/>
      </c>
      <c r="AK22" s="9" cm="1">
        <f t="array" aca="1" ref="AK22" ca="1">CalculateMaxFromList($AJ22,0,'Damage Scenarios'!$A:$U)</f>
        <v>0</v>
      </c>
      <c r="AL22" s="9" t="str">
        <f ca="1">IF($AK22=0,"",INDEX(Definitions!$Q:$Q,MATCH($AK22,Definitions!$R:$R,0)))</f>
        <v/>
      </c>
      <c r="AM22" s="9" cm="1">
        <f t="array" aca="1" ref="AM22" ca="1">IF($K22="",0,_xlfn.LET(
_xlpm._listOfAttackStepsAndMitigations,$K22&amp;$AH22,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22" s="9" t="str">
        <f ca="1">IFERROR(VLOOKUP($AM22,Definitions!$V:$W,COLUMNS(Definitions!$V:$W),TRUE),"")</f>
        <v>Basic</v>
      </c>
      <c r="AO22" s="9" t="str">
        <f ca="1">_xlfn.LET(
_xlpm._comments,SimpleLookup($A22,Tracing!$B:$AB),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22" s="9" t="str" cm="1">
        <f t="array" aca="1" ref="AP22" ca="1">_xlfn.LET(
_xlpm._rapRange,Definitions!$W:$W,
_xlpm._calculatedRAP,$AN22,
_xlpm._inlineRAP,$AO22,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22" s="9" t="str">
        <f ca="1">IFERROR(IF(OR($AL22="",$AP22=""),
Definitions!$AE$4,
VLOOKUP($AL22,Definitions!$AH:$AM,MATCH($AP22,Definitions!$AH$3:$AM$3,0),FALSE)),
"")</f>
        <v>No Risk</v>
      </c>
      <c r="AR22" s="9" cm="1">
        <f t="array" aca="1" ref="AR22" ca="1">IF($AQ22="",0,SimpleLookup($AQ22,Definitions!$AE:$AF))</f>
        <v>0</v>
      </c>
      <c r="AS22" s="9" t="b">
        <f ca="1">OR(AND($S22,$I22=Helper!$B$7),$I22&gt;Helper!$B$7)</f>
        <v>1</v>
      </c>
      <c r="AT22" s="9" t="str">
        <f t="shared" ca="1" si="3"/>
        <v/>
      </c>
      <c r="AU22" s="9" cm="1">
        <f t="array" aca="1" ref="AU22" ca="1">CreateID($AU$2,$AT22&lt;&gt;"")</f>
        <v>0</v>
      </c>
      <c r="AV22" s="9" t="str">
        <f ca="1">IF(IFERROR(MATCH(","&amp;A22&amp;",",'Risk Treatment'!$AT:$AT,0)&gt;0,FALSE),"",$A22)</f>
        <v/>
      </c>
      <c r="AW22" s="9" cm="1">
        <f t="array" aca="1" ref="AW22" ca="1">CreateID($AW$2,$AV22&lt;&gt;"")</f>
        <v>0</v>
      </c>
      <c r="AX22" s="9" t="str" cm="1">
        <f t="array" aca="1" ref="AX22" ca="1">CreateSearchString($AA22)</f>
        <v/>
      </c>
    </row>
    <row r="23" spans="1:50" x14ac:dyDescent="0.25">
      <c r="A23" s="13" t="str" cm="1">
        <f t="array" aca="1" ref="A23" ca="1">IF($B23="","","R"&amp;RemoveDelimiter(SUBSTITUTE(SUBSTITUTE($K23,"AS",""),",","-"),"-"))</f>
        <v/>
      </c>
      <c r="B23" s="13" t="str" cm="1">
        <f t="array" aca="1" ref="B23" ca="1">IF($L23="","",_xlfn.LET(
_xlpm._finalAttackStep,$L23,
_xlpm._prepAttacks,RemoveFirstElement(_xlpm._finalAttackStep&amp;","&amp;$K23),
_xlpm._prepAttackNames,IFERROR(LookupNames(_xlpm._prepAttacks,'Attack Steps'!$A:$B),""),
_xlpm._delimiter,REPT(CHAR(150),55),
$L23&amp;" "&amp;SimpleLookup($L23,'Attack Steps'!$A:$B)&amp;
IF(_xlpm._prepAttackNames="","",CHAR(10)&amp;_xlpm._delimiter&amp;CHAR(10)&amp;_xlpm._prepAttackNames)))</f>
        <v/>
      </c>
      <c r="C23" s="16" t="str" cm="1">
        <f t="array" aca="1" ref="C23" ca="1">IFERROR(LookupNames($M23,'Damage Scenarios'!$A:$V),"")</f>
        <v/>
      </c>
      <c r="D23" s="13" t="str">
        <f ca="1">IFERROR(IF($T23=0,"",INDEX(Definitions!$Q:$Q,MATCH($T23,Definitions!$R:$R,0))),"")</f>
        <v/>
      </c>
      <c r="E23" s="16" t="str" cm="1">
        <f t="array" aca="1" ref="E23" ca="1">IF($K23="","",_xlfn.LET(
_xlpm._listOfAttackSteps,$K23,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23" s="13" t="str">
        <f ca="1">IF($A23="","",IFERROR(VLOOKUP($W23,Definitions!$V:$W,COLUMNS(Definitions!$V:$W),TRUE),""))</f>
        <v/>
      </c>
      <c r="G23" s="13" t="str">
        <f ca="1">IFERROR(IF(OR($D23="",$F23=""),
"",
VLOOKUP($D23,Definitions!$AH:$AM,MATCH($F23,Definitions!$AH$3:$AM$3,0),FALSE)),
"")</f>
        <v/>
      </c>
      <c r="H23" s="10" cm="1">
        <f t="array" aca="1" ref="H23" ca="1">CreateID($H$2,$A23&lt;&gt;"")</f>
        <v>0</v>
      </c>
      <c r="I23" s="9" cm="1">
        <f t="array" aca="1" ref="I23" ca="1">IF(ROW()=ROW($I$2)+1,
1,
INDEX($I:$I,ROW()-1)+IF(INDEX($S:$S,ROW()-1),1,0))</f>
        <v>1</v>
      </c>
      <c r="J23" s="9">
        <f t="shared" ca="1" si="0"/>
        <v>21</v>
      </c>
      <c r="K23" s="9" t="str">
        <f t="shared" ca="1" si="1"/>
        <v/>
      </c>
      <c r="L23" s="9" t="str" cm="1">
        <f t="array" aca="1" ref="L23" ca="1">IF($P23="","",INDEX('Attack Steps'!$A:$A,$P23))</f>
        <v/>
      </c>
      <c r="M23" s="9" t="str" cm="1">
        <f t="array" aca="1" ref="M23" ca="1">IF($P23="","",INDEX('Attack Steps'!$U:$U,$P23))</f>
        <v/>
      </c>
      <c r="N23" s="9" t="str" cm="1">
        <f t="array" aca="1" ref="N23" ca="1">_xlfn.LET(_xlpm._dm,SanitizeInput(GetValuesWithFallback(SanitizeInput($AA23),Assumptions!$A:$J,Countermeasures!$A:$J,"",",",FALSE)),
IF(_xlpm._dm="","",","&amp;_xlpm._dm))</f>
        <v/>
      </c>
      <c r="O23" s="9" t="str" cm="1">
        <f t="array" aca="1" ref="O23" ca="1">ApplyDamageMitigation($M23,$N23,"")</f>
        <v/>
      </c>
      <c r="P23" s="9" t="str">
        <f ca="1">IFERROR(MATCH($I23,'Attack Steps'!$W:$W,0),"")</f>
        <v/>
      </c>
      <c r="Q23" s="9" t="str" cm="1">
        <f t="array" aca="1" ref="Q23" ca="1">IF($P23="","","§"&amp;INDEX('Attack Steps'!$T:$T,$P23))</f>
        <v/>
      </c>
      <c r="R23" s="9" t="str" cm="1">
        <f t="array" aca="1" ref="R23" ca="1">IF($P23="","",INDEX('Attack Steps'!$X:$X,$P23))</f>
        <v/>
      </c>
      <c r="S23" s="9" t="b">
        <f t="shared" ca="1" si="2"/>
        <v>0</v>
      </c>
      <c r="T23" s="9" cm="1">
        <f t="array" aca="1" ref="T23" ca="1">IF($M23="",0,OperateOnList($M23,_xlfn.LAMBDA(_xlpm._x,SimpleLookup(_xlpm._x,'Damage Scenarios'!$A:$U)),_xlfn.LAMBDA(_xlpm._x,_xlpm._y,MAX(_xlpm._x,_xlpm._y))))</f>
        <v>0</v>
      </c>
      <c r="U23" s="9" cm="1">
        <f t="array" aca="1" ref="U23" ca="1">IF($O23="",0,OperateOnList($O23,_xlfn.LAMBDA(_xlpm._x,SimpleLookup(_xlpm._x,'Damage Scenarios'!$A:$U)),_xlfn.LAMBDA(_xlpm._x,_xlpm._y,MAX(_xlpm._x,_xlpm._y))))</f>
        <v>0</v>
      </c>
      <c r="V23" s="9" t="str">
        <f ca="1">IF($U23=0,"",INDEX(Definitions!$Q:$Q,MATCH($U23,Definitions!$R:$R,0)))</f>
        <v/>
      </c>
      <c r="W23" s="9" cm="1">
        <f t="array" aca="1" ref="W23" ca="1">IF($K23="",0,_xlfn.LET(
_xlpm._listOfAttackSteps,$K23,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23" s="9" t="str" cm="1">
        <f t="array" aca="1" ref="X23" ca="1">IF(ROW()=ROW($X$2)+1,"",INDEX($X:$X,ROW()-1))&amp;IF($A23="","",$A23&amp;",")</f>
        <v/>
      </c>
      <c r="Y23" s="9" t="str" cm="1">
        <f t="array" aca="1" ref="Y23" ca="1">CreateSearchString($K23)</f>
        <v/>
      </c>
      <c r="Z23" s="9" cm="1">
        <f t="array" aca="1" ref="Z23" ca="1">IF($G23="",0,SimpleLookup($G23,Definitions!$AE:$AF))</f>
        <v>0</v>
      </c>
      <c r="AA23" s="9" t="str" cm="1">
        <f t="array" aca="1" ref="AA23" ca="1">SanitizeInput(InverseLookup($A23,Mitigation!$U$2,Mitigation!$J$2,1,Helper!$B$5,","))</f>
        <v/>
      </c>
      <c r="AB23" s="9" cm="1">
        <f t="array" aca="1" ref="AB23" ca="1">IF($K23="",0,_xlfn.LET(
_xlpm._listOfAttackStepsAndMitigations,$K23&amp;$AA23,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23" s="9" t="str">
        <f ca="1">IFERROR(VLOOKUP($AB23,Definitions!$V:$W,COLUMNS(Definitions!$V:$W),TRUE),"")</f>
        <v>Basic</v>
      </c>
      <c r="AD23" s="9" t="str">
        <f ca="1">_xlfn.LET(
_xlpm._comments,GetValues($K23,Mitigation!$A:$O,"","",FALSE),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23" s="9" t="str" cm="1">
        <f t="array" aca="1" ref="AE23" ca="1">_xlfn.LET(
_xlpm._rapRange,Definitions!$W:$W,
_xlpm._calculatedRAP,$AC23,
_xlpm._inlineRAP,$AD23,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23" s="9" t="str">
        <f ca="1">IFERROR(IF(OR($V23="",$AE23=""),
Definitions!$AE$4,
VLOOKUP($V23,Definitions!$AH:$AM,MATCH($AE23,Definitions!$AH$3:$AM$3,0),FALSE)),
"")</f>
        <v>No Risk</v>
      </c>
      <c r="AG23" s="9" cm="1">
        <f t="array" aca="1" ref="AG23" ca="1">IF($AF23="",0,SimpleLookup($AF23,Definitions!$AE:$AF))</f>
        <v>0</v>
      </c>
      <c r="AH23" s="9" t="str" cm="1">
        <f t="array" aca="1" ref="AH23" ca="1">IFERROR(SimpleLookup($A23,Tracing!$B:$Z),"")</f>
        <v/>
      </c>
      <c r="AI23" s="9" t="str" cm="1">
        <f t="array" aca="1" ref="AI23" ca="1">_xlfn.LET(_xlpm._dm,SanitizeInput(GetValuesWithFallback(SanitizeInput($AH23),Assumptions!$A:$J,Countermeasures!$A:$J,"",",",FALSE)),
IF(_xlpm._dm="","",","&amp;_xlpm._dm))</f>
        <v/>
      </c>
      <c r="AJ23" s="9" t="str" cm="1">
        <f t="array" aca="1" ref="AJ23" ca="1">ApplyDamageMitigation($M23,$AI23,"")</f>
        <v/>
      </c>
      <c r="AK23" s="9" cm="1">
        <f t="array" aca="1" ref="AK23" ca="1">CalculateMaxFromList($AJ23,0,'Damage Scenarios'!$A:$U)</f>
        <v>0</v>
      </c>
      <c r="AL23" s="9" t="str">
        <f ca="1">IF($AK23=0,"",INDEX(Definitions!$Q:$Q,MATCH($AK23,Definitions!$R:$R,0)))</f>
        <v/>
      </c>
      <c r="AM23" s="9" cm="1">
        <f t="array" aca="1" ref="AM23" ca="1">IF($K23="",0,_xlfn.LET(
_xlpm._listOfAttackStepsAndMitigations,$K23&amp;$AH23,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23" s="9" t="str">
        <f ca="1">IFERROR(VLOOKUP($AM23,Definitions!$V:$W,COLUMNS(Definitions!$V:$W),TRUE),"")</f>
        <v>Basic</v>
      </c>
      <c r="AO23" s="9" t="str">
        <f ca="1">_xlfn.LET(
_xlpm._comments,SimpleLookup($A23,Tracing!$B:$AB),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23" s="9" t="str" cm="1">
        <f t="array" aca="1" ref="AP23" ca="1">_xlfn.LET(
_xlpm._rapRange,Definitions!$W:$W,
_xlpm._calculatedRAP,$AN23,
_xlpm._inlineRAP,$AO23,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23" s="9" t="str">
        <f ca="1">IFERROR(IF(OR($AL23="",$AP23=""),
Definitions!$AE$4,
VLOOKUP($AL23,Definitions!$AH:$AM,MATCH($AP23,Definitions!$AH$3:$AM$3,0),FALSE)),
"")</f>
        <v>No Risk</v>
      </c>
      <c r="AR23" s="9" cm="1">
        <f t="array" aca="1" ref="AR23" ca="1">IF($AQ23="",0,SimpleLookup($AQ23,Definitions!$AE:$AF))</f>
        <v>0</v>
      </c>
      <c r="AS23" s="9" t="b">
        <f ca="1">OR(AND($S23,$I23=Helper!$B$7),$I23&gt;Helper!$B$7)</f>
        <v>1</v>
      </c>
      <c r="AT23" s="9" t="str">
        <f t="shared" ca="1" si="3"/>
        <v/>
      </c>
      <c r="AU23" s="9" cm="1">
        <f t="array" aca="1" ref="AU23" ca="1">CreateID($AU$2,$AT23&lt;&gt;"")</f>
        <v>0</v>
      </c>
      <c r="AV23" s="9" t="str">
        <f ca="1">IF(IFERROR(MATCH(","&amp;A23&amp;",",'Risk Treatment'!$AT:$AT,0)&gt;0,FALSE),"",$A23)</f>
        <v/>
      </c>
      <c r="AW23" s="9" cm="1">
        <f t="array" aca="1" ref="AW23" ca="1">CreateID($AW$2,$AV23&lt;&gt;"")</f>
        <v>0</v>
      </c>
      <c r="AX23" s="9" t="str" cm="1">
        <f t="array" aca="1" ref="AX23" ca="1">CreateSearchString($AA23)</f>
        <v/>
      </c>
    </row>
    <row r="24" spans="1:50" x14ac:dyDescent="0.25">
      <c r="A24" s="13" t="str" cm="1">
        <f t="array" aca="1" ref="A24" ca="1">IF($B24="","","R"&amp;RemoveDelimiter(SUBSTITUTE(SUBSTITUTE($K24,"AS",""),",","-"),"-"))</f>
        <v/>
      </c>
      <c r="B24" s="13" t="str" cm="1">
        <f t="array" aca="1" ref="B24" ca="1">IF($L24="","",_xlfn.LET(
_xlpm._finalAttackStep,$L24,
_xlpm._prepAttacks,RemoveFirstElement(_xlpm._finalAttackStep&amp;","&amp;$K24),
_xlpm._prepAttackNames,IFERROR(LookupNames(_xlpm._prepAttacks,'Attack Steps'!$A:$B),""),
_xlpm._delimiter,REPT(CHAR(150),55),
$L24&amp;" "&amp;SimpleLookup($L24,'Attack Steps'!$A:$B)&amp;
IF(_xlpm._prepAttackNames="","",CHAR(10)&amp;_xlpm._delimiter&amp;CHAR(10)&amp;_xlpm._prepAttackNames)))</f>
        <v/>
      </c>
      <c r="C24" s="16" t="str" cm="1">
        <f t="array" aca="1" ref="C24" ca="1">IFERROR(LookupNames($M24,'Damage Scenarios'!$A:$V),"")</f>
        <v/>
      </c>
      <c r="D24" s="13" t="str">
        <f ca="1">IFERROR(IF($T24=0,"",INDEX(Definitions!$Q:$Q,MATCH($T24,Definitions!$R:$R,0))),"")</f>
        <v/>
      </c>
      <c r="E24" s="16" t="str" cm="1">
        <f t="array" aca="1" ref="E24" ca="1">IF($K24="","",_xlfn.LET(
_xlpm._listOfAttackSteps,$K24,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24" s="13" t="str">
        <f ca="1">IF($A24="","",IFERROR(VLOOKUP($W24,Definitions!$V:$W,COLUMNS(Definitions!$V:$W),TRUE),""))</f>
        <v/>
      </c>
      <c r="G24" s="13" t="str">
        <f ca="1">IFERROR(IF(OR($D24="",$F24=""),
"",
VLOOKUP($D24,Definitions!$AH:$AM,MATCH($F24,Definitions!$AH$3:$AM$3,0),FALSE)),
"")</f>
        <v/>
      </c>
      <c r="H24" s="10" cm="1">
        <f t="array" aca="1" ref="H24" ca="1">CreateID($H$2,$A24&lt;&gt;"")</f>
        <v>0</v>
      </c>
      <c r="I24" s="9" cm="1">
        <f t="array" aca="1" ref="I24" ca="1">IF(ROW()=ROW($I$2)+1,
1,
INDEX($I:$I,ROW()-1)+IF(INDEX($S:$S,ROW()-1),1,0))</f>
        <v>1</v>
      </c>
      <c r="J24" s="9">
        <f t="shared" ca="1" si="0"/>
        <v>22</v>
      </c>
      <c r="K24" s="9" t="str">
        <f t="shared" ca="1" si="1"/>
        <v/>
      </c>
      <c r="L24" s="9" t="str" cm="1">
        <f t="array" aca="1" ref="L24" ca="1">IF($P24="","",INDEX('Attack Steps'!$A:$A,$P24))</f>
        <v/>
      </c>
      <c r="M24" s="9" t="str" cm="1">
        <f t="array" aca="1" ref="M24" ca="1">IF($P24="","",INDEX('Attack Steps'!$U:$U,$P24))</f>
        <v/>
      </c>
      <c r="N24" s="9" t="str" cm="1">
        <f t="array" aca="1" ref="N24" ca="1">_xlfn.LET(_xlpm._dm,SanitizeInput(GetValuesWithFallback(SanitizeInput($AA24),Assumptions!$A:$J,Countermeasures!$A:$J,"",",",FALSE)),
IF(_xlpm._dm="","",","&amp;_xlpm._dm))</f>
        <v/>
      </c>
      <c r="O24" s="9" t="str" cm="1">
        <f t="array" aca="1" ref="O24" ca="1">ApplyDamageMitigation($M24,$N24,"")</f>
        <v/>
      </c>
      <c r="P24" s="9" t="str">
        <f ca="1">IFERROR(MATCH($I24,'Attack Steps'!$W:$W,0),"")</f>
        <v/>
      </c>
      <c r="Q24" s="9" t="str" cm="1">
        <f t="array" aca="1" ref="Q24" ca="1">IF($P24="","","§"&amp;INDEX('Attack Steps'!$T:$T,$P24))</f>
        <v/>
      </c>
      <c r="R24" s="9" t="str" cm="1">
        <f t="array" aca="1" ref="R24" ca="1">IF($P24="","",INDEX('Attack Steps'!$X:$X,$P24))</f>
        <v/>
      </c>
      <c r="S24" s="9" t="b">
        <f t="shared" ca="1" si="2"/>
        <v>0</v>
      </c>
      <c r="T24" s="9" cm="1">
        <f t="array" aca="1" ref="T24" ca="1">IF($M24="",0,OperateOnList($M24,_xlfn.LAMBDA(_xlpm._x,SimpleLookup(_xlpm._x,'Damage Scenarios'!$A:$U)),_xlfn.LAMBDA(_xlpm._x,_xlpm._y,MAX(_xlpm._x,_xlpm._y))))</f>
        <v>0</v>
      </c>
      <c r="U24" s="9" cm="1">
        <f t="array" aca="1" ref="U24" ca="1">IF($O24="",0,OperateOnList($O24,_xlfn.LAMBDA(_xlpm._x,SimpleLookup(_xlpm._x,'Damage Scenarios'!$A:$U)),_xlfn.LAMBDA(_xlpm._x,_xlpm._y,MAX(_xlpm._x,_xlpm._y))))</f>
        <v>0</v>
      </c>
      <c r="V24" s="9" t="str">
        <f ca="1">IF($U24=0,"",INDEX(Definitions!$Q:$Q,MATCH($U24,Definitions!$R:$R,0)))</f>
        <v/>
      </c>
      <c r="W24" s="9" cm="1">
        <f t="array" aca="1" ref="W24" ca="1">IF($K24="",0,_xlfn.LET(
_xlpm._listOfAttackSteps,$K24,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24" s="9" t="str" cm="1">
        <f t="array" aca="1" ref="X24" ca="1">IF(ROW()=ROW($X$2)+1,"",INDEX($X:$X,ROW()-1))&amp;IF($A24="","",$A24&amp;",")</f>
        <v/>
      </c>
      <c r="Y24" s="9" t="str" cm="1">
        <f t="array" aca="1" ref="Y24" ca="1">CreateSearchString($K24)</f>
        <v/>
      </c>
      <c r="Z24" s="9" cm="1">
        <f t="array" aca="1" ref="Z24" ca="1">IF($G24="",0,SimpleLookup($G24,Definitions!$AE:$AF))</f>
        <v>0</v>
      </c>
      <c r="AA24" s="9" t="str" cm="1">
        <f t="array" aca="1" ref="AA24" ca="1">SanitizeInput(InverseLookup($A24,Mitigation!$U$2,Mitigation!$J$2,1,Helper!$B$5,","))</f>
        <v/>
      </c>
      <c r="AB24" s="9" cm="1">
        <f t="array" aca="1" ref="AB24" ca="1">IF($K24="",0,_xlfn.LET(
_xlpm._listOfAttackStepsAndMitigations,$K24&amp;$AA24,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24" s="9" t="str">
        <f ca="1">IFERROR(VLOOKUP($AB24,Definitions!$V:$W,COLUMNS(Definitions!$V:$W),TRUE),"")</f>
        <v>Basic</v>
      </c>
      <c r="AD24" s="9" t="str">
        <f ca="1">_xlfn.LET(
_xlpm._comments,GetValues($K24,Mitigation!$A:$O,"","",FALSE),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24" s="9" t="str" cm="1">
        <f t="array" aca="1" ref="AE24" ca="1">_xlfn.LET(
_xlpm._rapRange,Definitions!$W:$W,
_xlpm._calculatedRAP,$AC24,
_xlpm._inlineRAP,$AD24,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24" s="9" t="str">
        <f ca="1">IFERROR(IF(OR($V24="",$AE24=""),
Definitions!$AE$4,
VLOOKUP($V24,Definitions!$AH:$AM,MATCH($AE24,Definitions!$AH$3:$AM$3,0),FALSE)),
"")</f>
        <v>No Risk</v>
      </c>
      <c r="AG24" s="9" cm="1">
        <f t="array" aca="1" ref="AG24" ca="1">IF($AF24="",0,SimpleLookup($AF24,Definitions!$AE:$AF))</f>
        <v>0</v>
      </c>
      <c r="AH24" s="9" t="str" cm="1">
        <f t="array" aca="1" ref="AH24" ca="1">IFERROR(SimpleLookup($A24,Tracing!$B:$Z),"")</f>
        <v/>
      </c>
      <c r="AI24" s="9" t="str" cm="1">
        <f t="array" aca="1" ref="AI24" ca="1">_xlfn.LET(_xlpm._dm,SanitizeInput(GetValuesWithFallback(SanitizeInput($AH24),Assumptions!$A:$J,Countermeasures!$A:$J,"",",",FALSE)),
IF(_xlpm._dm="","",","&amp;_xlpm._dm))</f>
        <v/>
      </c>
      <c r="AJ24" s="9" t="str" cm="1">
        <f t="array" aca="1" ref="AJ24" ca="1">ApplyDamageMitigation($M24,$AI24,"")</f>
        <v/>
      </c>
      <c r="AK24" s="9" cm="1">
        <f t="array" aca="1" ref="AK24" ca="1">CalculateMaxFromList($AJ24,0,'Damage Scenarios'!$A:$U)</f>
        <v>0</v>
      </c>
      <c r="AL24" s="9" t="str">
        <f ca="1">IF($AK24=0,"",INDEX(Definitions!$Q:$Q,MATCH($AK24,Definitions!$R:$R,0)))</f>
        <v/>
      </c>
      <c r="AM24" s="9" cm="1">
        <f t="array" aca="1" ref="AM24" ca="1">IF($K24="",0,_xlfn.LET(
_xlpm._listOfAttackStepsAndMitigations,$K24&amp;$AH24,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24" s="9" t="str">
        <f ca="1">IFERROR(VLOOKUP($AM24,Definitions!$V:$W,COLUMNS(Definitions!$V:$W),TRUE),"")</f>
        <v>Basic</v>
      </c>
      <c r="AO24" s="9" t="str">
        <f ca="1">_xlfn.LET(
_xlpm._comments,SimpleLookup($A24,Tracing!$B:$AB),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24" s="9" t="str" cm="1">
        <f t="array" aca="1" ref="AP24" ca="1">_xlfn.LET(
_xlpm._rapRange,Definitions!$W:$W,
_xlpm._calculatedRAP,$AN24,
_xlpm._inlineRAP,$AO24,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24" s="9" t="str">
        <f ca="1">IFERROR(IF(OR($AL24="",$AP24=""),
Definitions!$AE$4,
VLOOKUP($AL24,Definitions!$AH:$AM,MATCH($AP24,Definitions!$AH$3:$AM$3,0),FALSE)),
"")</f>
        <v>No Risk</v>
      </c>
      <c r="AR24" s="9" cm="1">
        <f t="array" aca="1" ref="AR24" ca="1">IF($AQ24="",0,SimpleLookup($AQ24,Definitions!$AE:$AF))</f>
        <v>0</v>
      </c>
      <c r="AS24" s="9" t="b">
        <f ca="1">OR(AND($S24,$I24=Helper!$B$7),$I24&gt;Helper!$B$7)</f>
        <v>1</v>
      </c>
      <c r="AT24" s="9" t="str">
        <f t="shared" ca="1" si="3"/>
        <v/>
      </c>
      <c r="AU24" s="9" cm="1">
        <f t="array" aca="1" ref="AU24" ca="1">CreateID($AU$2,$AT24&lt;&gt;"")</f>
        <v>0</v>
      </c>
      <c r="AV24" s="9" t="str">
        <f ca="1">IF(IFERROR(MATCH(","&amp;A24&amp;",",'Risk Treatment'!$AT:$AT,0)&gt;0,FALSE),"",$A24)</f>
        <v/>
      </c>
      <c r="AW24" s="9" cm="1">
        <f t="array" aca="1" ref="AW24" ca="1">CreateID($AW$2,$AV24&lt;&gt;"")</f>
        <v>0</v>
      </c>
      <c r="AX24" s="9" t="str" cm="1">
        <f t="array" aca="1" ref="AX24" ca="1">CreateSearchString($AA24)</f>
        <v/>
      </c>
    </row>
    <row r="25" spans="1:50" x14ac:dyDescent="0.25">
      <c r="A25" s="13" t="str" cm="1">
        <f t="array" aca="1" ref="A25" ca="1">IF($B25="","","R"&amp;RemoveDelimiter(SUBSTITUTE(SUBSTITUTE($K25,"AS",""),",","-"),"-"))</f>
        <v/>
      </c>
      <c r="B25" s="13" t="str" cm="1">
        <f t="array" aca="1" ref="B25" ca="1">IF($L25="","",_xlfn.LET(
_xlpm._finalAttackStep,$L25,
_xlpm._prepAttacks,RemoveFirstElement(_xlpm._finalAttackStep&amp;","&amp;$K25),
_xlpm._prepAttackNames,IFERROR(LookupNames(_xlpm._prepAttacks,'Attack Steps'!$A:$B),""),
_xlpm._delimiter,REPT(CHAR(150),55),
$L25&amp;" "&amp;SimpleLookup($L25,'Attack Steps'!$A:$B)&amp;
IF(_xlpm._prepAttackNames="","",CHAR(10)&amp;_xlpm._delimiter&amp;CHAR(10)&amp;_xlpm._prepAttackNames)))</f>
        <v/>
      </c>
      <c r="C25" s="16" t="str" cm="1">
        <f t="array" aca="1" ref="C25" ca="1">IFERROR(LookupNames($M25,'Damage Scenarios'!$A:$V),"")</f>
        <v/>
      </c>
      <c r="D25" s="13" t="str">
        <f ca="1">IFERROR(IF($T25=0,"",INDEX(Definitions!$Q:$Q,MATCH($T25,Definitions!$R:$R,0))),"")</f>
        <v/>
      </c>
      <c r="E25" s="16" t="str" cm="1">
        <f t="array" aca="1" ref="E25" ca="1">IF($K25="","",_xlfn.LET(
_xlpm._listOfAttackSteps,$K25,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25" s="13" t="str">
        <f ca="1">IF($A25="","",IFERROR(VLOOKUP($W25,Definitions!$V:$W,COLUMNS(Definitions!$V:$W),TRUE),""))</f>
        <v/>
      </c>
      <c r="G25" s="13" t="str">
        <f ca="1">IFERROR(IF(OR($D25="",$F25=""),
"",
VLOOKUP($D25,Definitions!$AH:$AM,MATCH($F25,Definitions!$AH$3:$AM$3,0),FALSE)),
"")</f>
        <v/>
      </c>
      <c r="H25" s="10" cm="1">
        <f t="array" aca="1" ref="H25" ca="1">CreateID($H$2,$A25&lt;&gt;"")</f>
        <v>0</v>
      </c>
      <c r="I25" s="9" cm="1">
        <f t="array" aca="1" ref="I25" ca="1">IF(ROW()=ROW($I$2)+1,
1,
INDEX($I:$I,ROW()-1)+IF(INDEX($S:$S,ROW()-1),1,0))</f>
        <v>1</v>
      </c>
      <c r="J25" s="9">
        <f t="shared" ca="1" si="0"/>
        <v>23</v>
      </c>
      <c r="K25" s="9" t="str">
        <f t="shared" ca="1" si="1"/>
        <v/>
      </c>
      <c r="L25" s="9" t="str" cm="1">
        <f t="array" aca="1" ref="L25" ca="1">IF($P25="","",INDEX('Attack Steps'!$A:$A,$P25))</f>
        <v/>
      </c>
      <c r="M25" s="9" t="str" cm="1">
        <f t="array" aca="1" ref="M25" ca="1">IF($P25="","",INDEX('Attack Steps'!$U:$U,$P25))</f>
        <v/>
      </c>
      <c r="N25" s="9" t="str" cm="1">
        <f t="array" aca="1" ref="N25" ca="1">_xlfn.LET(_xlpm._dm,SanitizeInput(GetValuesWithFallback(SanitizeInput($AA25),Assumptions!$A:$J,Countermeasures!$A:$J,"",",",FALSE)),
IF(_xlpm._dm="","",","&amp;_xlpm._dm))</f>
        <v/>
      </c>
      <c r="O25" s="9" t="str" cm="1">
        <f t="array" aca="1" ref="O25" ca="1">ApplyDamageMitigation($M25,$N25,"")</f>
        <v/>
      </c>
      <c r="P25" s="9" t="str">
        <f ca="1">IFERROR(MATCH($I25,'Attack Steps'!$W:$W,0),"")</f>
        <v/>
      </c>
      <c r="Q25" s="9" t="str" cm="1">
        <f t="array" aca="1" ref="Q25" ca="1">IF($P25="","","§"&amp;INDEX('Attack Steps'!$T:$T,$P25))</f>
        <v/>
      </c>
      <c r="R25" s="9" t="str" cm="1">
        <f t="array" aca="1" ref="R25" ca="1">IF($P25="","",INDEX('Attack Steps'!$X:$X,$P25))</f>
        <v/>
      </c>
      <c r="S25" s="9" t="b">
        <f t="shared" ca="1" si="2"/>
        <v>0</v>
      </c>
      <c r="T25" s="9" cm="1">
        <f t="array" aca="1" ref="T25" ca="1">IF($M25="",0,OperateOnList($M25,_xlfn.LAMBDA(_xlpm._x,SimpleLookup(_xlpm._x,'Damage Scenarios'!$A:$U)),_xlfn.LAMBDA(_xlpm._x,_xlpm._y,MAX(_xlpm._x,_xlpm._y))))</f>
        <v>0</v>
      </c>
      <c r="U25" s="9" cm="1">
        <f t="array" aca="1" ref="U25" ca="1">IF($O25="",0,OperateOnList($O25,_xlfn.LAMBDA(_xlpm._x,SimpleLookup(_xlpm._x,'Damage Scenarios'!$A:$U)),_xlfn.LAMBDA(_xlpm._x,_xlpm._y,MAX(_xlpm._x,_xlpm._y))))</f>
        <v>0</v>
      </c>
      <c r="V25" s="9" t="str">
        <f ca="1">IF($U25=0,"",INDEX(Definitions!$Q:$Q,MATCH($U25,Definitions!$R:$R,0)))</f>
        <v/>
      </c>
      <c r="W25" s="9" cm="1">
        <f t="array" aca="1" ref="W25" ca="1">IF($K25="",0,_xlfn.LET(
_xlpm._listOfAttackSteps,$K25,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25" s="9" t="str" cm="1">
        <f t="array" aca="1" ref="X25" ca="1">IF(ROW()=ROW($X$2)+1,"",INDEX($X:$X,ROW()-1))&amp;IF($A25="","",$A25&amp;",")</f>
        <v/>
      </c>
      <c r="Y25" s="9" t="str" cm="1">
        <f t="array" aca="1" ref="Y25" ca="1">CreateSearchString($K25)</f>
        <v/>
      </c>
      <c r="Z25" s="9" cm="1">
        <f t="array" aca="1" ref="Z25" ca="1">IF($G25="",0,SimpleLookup($G25,Definitions!$AE:$AF))</f>
        <v>0</v>
      </c>
      <c r="AA25" s="9" t="str" cm="1">
        <f t="array" aca="1" ref="AA25" ca="1">SanitizeInput(InverseLookup($A25,Mitigation!$U$2,Mitigation!$J$2,1,Helper!$B$5,","))</f>
        <v/>
      </c>
      <c r="AB25" s="9" cm="1">
        <f t="array" aca="1" ref="AB25" ca="1">IF($K25="",0,_xlfn.LET(
_xlpm._listOfAttackStepsAndMitigations,$K25&amp;$AA25,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25" s="9" t="str">
        <f ca="1">IFERROR(VLOOKUP($AB25,Definitions!$V:$W,COLUMNS(Definitions!$V:$W),TRUE),"")</f>
        <v>Basic</v>
      </c>
      <c r="AD25" s="9" t="str">
        <f ca="1">_xlfn.LET(
_xlpm._comments,GetValues($K25,Mitigation!$A:$O,"","",FALSE),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25" s="9" t="str" cm="1">
        <f t="array" aca="1" ref="AE25" ca="1">_xlfn.LET(
_xlpm._rapRange,Definitions!$W:$W,
_xlpm._calculatedRAP,$AC25,
_xlpm._inlineRAP,$AD25,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25" s="9" t="str">
        <f ca="1">IFERROR(IF(OR($V25="",$AE25=""),
Definitions!$AE$4,
VLOOKUP($V25,Definitions!$AH:$AM,MATCH($AE25,Definitions!$AH$3:$AM$3,0),FALSE)),
"")</f>
        <v>No Risk</v>
      </c>
      <c r="AG25" s="9" cm="1">
        <f t="array" aca="1" ref="AG25" ca="1">IF($AF25="",0,SimpleLookup($AF25,Definitions!$AE:$AF))</f>
        <v>0</v>
      </c>
      <c r="AH25" s="9" t="str" cm="1">
        <f t="array" aca="1" ref="AH25" ca="1">IFERROR(SimpleLookup($A25,Tracing!$B:$Z),"")</f>
        <v/>
      </c>
      <c r="AI25" s="9" t="str" cm="1">
        <f t="array" aca="1" ref="AI25" ca="1">_xlfn.LET(_xlpm._dm,SanitizeInput(GetValuesWithFallback(SanitizeInput($AH25),Assumptions!$A:$J,Countermeasures!$A:$J,"",",",FALSE)),
IF(_xlpm._dm="","",","&amp;_xlpm._dm))</f>
        <v/>
      </c>
      <c r="AJ25" s="9" t="str" cm="1">
        <f t="array" aca="1" ref="AJ25" ca="1">ApplyDamageMitigation($M25,$AI25,"")</f>
        <v/>
      </c>
      <c r="AK25" s="9" cm="1">
        <f t="array" aca="1" ref="AK25" ca="1">CalculateMaxFromList($AJ25,0,'Damage Scenarios'!$A:$U)</f>
        <v>0</v>
      </c>
      <c r="AL25" s="9" t="str">
        <f ca="1">IF($AK25=0,"",INDEX(Definitions!$Q:$Q,MATCH($AK25,Definitions!$R:$R,0)))</f>
        <v/>
      </c>
      <c r="AM25" s="9" cm="1">
        <f t="array" aca="1" ref="AM25" ca="1">IF($K25="",0,_xlfn.LET(
_xlpm._listOfAttackStepsAndMitigations,$K25&amp;$AH25,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25" s="9" t="str">
        <f ca="1">IFERROR(VLOOKUP($AM25,Definitions!$V:$W,COLUMNS(Definitions!$V:$W),TRUE),"")</f>
        <v>Basic</v>
      </c>
      <c r="AO25" s="9" t="str">
        <f ca="1">_xlfn.LET(
_xlpm._comments,SimpleLookup($A25,Tracing!$B:$AB),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25" s="9" t="str" cm="1">
        <f t="array" aca="1" ref="AP25" ca="1">_xlfn.LET(
_xlpm._rapRange,Definitions!$W:$W,
_xlpm._calculatedRAP,$AN25,
_xlpm._inlineRAP,$AO25,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25" s="9" t="str">
        <f ca="1">IFERROR(IF(OR($AL25="",$AP25=""),
Definitions!$AE$4,
VLOOKUP($AL25,Definitions!$AH:$AM,MATCH($AP25,Definitions!$AH$3:$AM$3,0),FALSE)),
"")</f>
        <v>No Risk</v>
      </c>
      <c r="AR25" s="9" cm="1">
        <f t="array" aca="1" ref="AR25" ca="1">IF($AQ25="",0,SimpleLookup($AQ25,Definitions!$AE:$AF))</f>
        <v>0</v>
      </c>
      <c r="AS25" s="9" t="b">
        <f ca="1">OR(AND($S25,$I25=Helper!$B$7),$I25&gt;Helper!$B$7)</f>
        <v>1</v>
      </c>
      <c r="AT25" s="9" t="str">
        <f t="shared" ca="1" si="3"/>
        <v/>
      </c>
      <c r="AU25" s="9" cm="1">
        <f t="array" aca="1" ref="AU25" ca="1">CreateID($AU$2,$AT25&lt;&gt;"")</f>
        <v>0</v>
      </c>
      <c r="AV25" s="9" t="str">
        <f ca="1">IF(IFERROR(MATCH(","&amp;A25&amp;",",'Risk Treatment'!$AT:$AT,0)&gt;0,FALSE),"",$A25)</f>
        <v/>
      </c>
      <c r="AW25" s="9" cm="1">
        <f t="array" aca="1" ref="AW25" ca="1">CreateID($AW$2,$AV25&lt;&gt;"")</f>
        <v>0</v>
      </c>
      <c r="AX25" s="9" t="str" cm="1">
        <f t="array" aca="1" ref="AX25" ca="1">CreateSearchString($AA25)</f>
        <v/>
      </c>
    </row>
    <row r="26" spans="1:50" x14ac:dyDescent="0.25">
      <c r="A26" s="13" t="str" cm="1">
        <f t="array" aca="1" ref="A26" ca="1">IF($B26="","","R"&amp;RemoveDelimiter(SUBSTITUTE(SUBSTITUTE($K26,"AS",""),",","-"),"-"))</f>
        <v/>
      </c>
      <c r="B26" s="13" t="str" cm="1">
        <f t="array" aca="1" ref="B26" ca="1">IF($L26="","",_xlfn.LET(
_xlpm._finalAttackStep,$L26,
_xlpm._prepAttacks,RemoveFirstElement(_xlpm._finalAttackStep&amp;","&amp;$K26),
_xlpm._prepAttackNames,IFERROR(LookupNames(_xlpm._prepAttacks,'Attack Steps'!$A:$B),""),
_xlpm._delimiter,REPT(CHAR(150),55),
$L26&amp;" "&amp;SimpleLookup($L26,'Attack Steps'!$A:$B)&amp;
IF(_xlpm._prepAttackNames="","",CHAR(10)&amp;_xlpm._delimiter&amp;CHAR(10)&amp;_xlpm._prepAttackNames)))</f>
        <v/>
      </c>
      <c r="C26" s="16" t="str" cm="1">
        <f t="array" aca="1" ref="C26" ca="1">IFERROR(LookupNames($M26,'Damage Scenarios'!$A:$V),"")</f>
        <v/>
      </c>
      <c r="D26" s="13" t="str">
        <f ca="1">IFERROR(IF($T26=0,"",INDEX(Definitions!$Q:$Q,MATCH($T26,Definitions!$R:$R,0))),"")</f>
        <v/>
      </c>
      <c r="E26" s="16" t="str" cm="1">
        <f t="array" aca="1" ref="E26" ca="1">IF($K26="","",_xlfn.LET(
_xlpm._listOfAttackSteps,$K26,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26" s="13" t="str">
        <f ca="1">IF($A26="","",IFERROR(VLOOKUP($W26,Definitions!$V:$W,COLUMNS(Definitions!$V:$W),TRUE),""))</f>
        <v/>
      </c>
      <c r="G26" s="13" t="str">
        <f ca="1">IFERROR(IF(OR($D26="",$F26=""),
"",
VLOOKUP($D26,Definitions!$AH:$AM,MATCH($F26,Definitions!$AH$3:$AM$3,0),FALSE)),
"")</f>
        <v/>
      </c>
      <c r="H26" s="10" cm="1">
        <f t="array" aca="1" ref="H26" ca="1">CreateID($H$2,$A26&lt;&gt;"")</f>
        <v>0</v>
      </c>
      <c r="I26" s="9" cm="1">
        <f t="array" aca="1" ref="I26" ca="1">IF(ROW()=ROW($I$2)+1,
1,
INDEX($I:$I,ROW()-1)+IF(INDEX($S:$S,ROW()-1),1,0))</f>
        <v>1</v>
      </c>
      <c r="J26" s="9">
        <f t="shared" ca="1" si="0"/>
        <v>24</v>
      </c>
      <c r="K26" s="9" t="str">
        <f t="shared" ca="1" si="1"/>
        <v/>
      </c>
      <c r="L26" s="9" t="str" cm="1">
        <f t="array" aca="1" ref="L26" ca="1">IF($P26="","",INDEX('Attack Steps'!$A:$A,$P26))</f>
        <v/>
      </c>
      <c r="M26" s="9" t="str" cm="1">
        <f t="array" aca="1" ref="M26" ca="1">IF($P26="","",INDEX('Attack Steps'!$U:$U,$P26))</f>
        <v/>
      </c>
      <c r="N26" s="9" t="str" cm="1">
        <f t="array" aca="1" ref="N26" ca="1">_xlfn.LET(_xlpm._dm,SanitizeInput(GetValuesWithFallback(SanitizeInput($AA26),Assumptions!$A:$J,Countermeasures!$A:$J,"",",",FALSE)),
IF(_xlpm._dm="","",","&amp;_xlpm._dm))</f>
        <v/>
      </c>
      <c r="O26" s="9" t="str" cm="1">
        <f t="array" aca="1" ref="O26" ca="1">ApplyDamageMitigation($M26,$N26,"")</f>
        <v/>
      </c>
      <c r="P26" s="9" t="str">
        <f ca="1">IFERROR(MATCH($I26,'Attack Steps'!$W:$W,0),"")</f>
        <v/>
      </c>
      <c r="Q26" s="9" t="str" cm="1">
        <f t="array" aca="1" ref="Q26" ca="1">IF($P26="","","§"&amp;INDEX('Attack Steps'!$T:$T,$P26))</f>
        <v/>
      </c>
      <c r="R26" s="9" t="str" cm="1">
        <f t="array" aca="1" ref="R26" ca="1">IF($P26="","",INDEX('Attack Steps'!$X:$X,$P26))</f>
        <v/>
      </c>
      <c r="S26" s="9" t="b">
        <f t="shared" ca="1" si="2"/>
        <v>0</v>
      </c>
      <c r="T26" s="9" cm="1">
        <f t="array" aca="1" ref="T26" ca="1">IF($M26="",0,OperateOnList($M26,_xlfn.LAMBDA(_xlpm._x,SimpleLookup(_xlpm._x,'Damage Scenarios'!$A:$U)),_xlfn.LAMBDA(_xlpm._x,_xlpm._y,MAX(_xlpm._x,_xlpm._y))))</f>
        <v>0</v>
      </c>
      <c r="U26" s="9" cm="1">
        <f t="array" aca="1" ref="U26" ca="1">IF($O26="",0,OperateOnList($O26,_xlfn.LAMBDA(_xlpm._x,SimpleLookup(_xlpm._x,'Damage Scenarios'!$A:$U)),_xlfn.LAMBDA(_xlpm._x,_xlpm._y,MAX(_xlpm._x,_xlpm._y))))</f>
        <v>0</v>
      </c>
      <c r="V26" s="9" t="str">
        <f ca="1">IF($U26=0,"",INDEX(Definitions!$Q:$Q,MATCH($U26,Definitions!$R:$R,0)))</f>
        <v/>
      </c>
      <c r="W26" s="9" cm="1">
        <f t="array" aca="1" ref="W26" ca="1">IF($K26="",0,_xlfn.LET(
_xlpm._listOfAttackSteps,$K26,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26" s="9" t="str" cm="1">
        <f t="array" aca="1" ref="X26" ca="1">IF(ROW()=ROW($X$2)+1,"",INDEX($X:$X,ROW()-1))&amp;IF($A26="","",$A26&amp;",")</f>
        <v/>
      </c>
      <c r="Y26" s="9" t="str" cm="1">
        <f t="array" aca="1" ref="Y26" ca="1">CreateSearchString($K26)</f>
        <v/>
      </c>
      <c r="Z26" s="9" cm="1">
        <f t="array" aca="1" ref="Z26" ca="1">IF($G26="",0,SimpleLookup($G26,Definitions!$AE:$AF))</f>
        <v>0</v>
      </c>
      <c r="AA26" s="9" t="str" cm="1">
        <f t="array" aca="1" ref="AA26" ca="1">SanitizeInput(InverseLookup($A26,Mitigation!$U$2,Mitigation!$J$2,1,Helper!$B$5,","))</f>
        <v/>
      </c>
      <c r="AB26" s="9" cm="1">
        <f t="array" aca="1" ref="AB26" ca="1">IF($K26="",0,_xlfn.LET(
_xlpm._listOfAttackStepsAndMitigations,$K26&amp;$AA26,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26" s="9" t="str">
        <f ca="1">IFERROR(VLOOKUP($AB26,Definitions!$V:$W,COLUMNS(Definitions!$V:$W),TRUE),"")</f>
        <v>Basic</v>
      </c>
      <c r="AD26" s="9" t="str">
        <f ca="1">_xlfn.LET(
_xlpm._comments,GetValues($K26,Mitigation!$A:$O,"","",FALSE),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26" s="9" t="str" cm="1">
        <f t="array" aca="1" ref="AE26" ca="1">_xlfn.LET(
_xlpm._rapRange,Definitions!$W:$W,
_xlpm._calculatedRAP,$AC26,
_xlpm._inlineRAP,$AD26,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26" s="9" t="str">
        <f ca="1">IFERROR(IF(OR($V26="",$AE26=""),
Definitions!$AE$4,
VLOOKUP($V26,Definitions!$AH:$AM,MATCH($AE26,Definitions!$AH$3:$AM$3,0),FALSE)),
"")</f>
        <v>No Risk</v>
      </c>
      <c r="AG26" s="9" cm="1">
        <f t="array" aca="1" ref="AG26" ca="1">IF($AF26="",0,SimpleLookup($AF26,Definitions!$AE:$AF))</f>
        <v>0</v>
      </c>
      <c r="AH26" s="9" t="str" cm="1">
        <f t="array" aca="1" ref="AH26" ca="1">IFERROR(SimpleLookup($A26,Tracing!$B:$Z),"")</f>
        <v/>
      </c>
      <c r="AI26" s="9" t="str" cm="1">
        <f t="array" aca="1" ref="AI26" ca="1">_xlfn.LET(_xlpm._dm,SanitizeInput(GetValuesWithFallback(SanitizeInput($AH26),Assumptions!$A:$J,Countermeasures!$A:$J,"",",",FALSE)),
IF(_xlpm._dm="","",","&amp;_xlpm._dm))</f>
        <v/>
      </c>
      <c r="AJ26" s="9" t="str" cm="1">
        <f t="array" aca="1" ref="AJ26" ca="1">ApplyDamageMitigation($M26,$AI26,"")</f>
        <v/>
      </c>
      <c r="AK26" s="9" cm="1">
        <f t="array" aca="1" ref="AK26" ca="1">CalculateMaxFromList($AJ26,0,'Damage Scenarios'!$A:$U)</f>
        <v>0</v>
      </c>
      <c r="AL26" s="9" t="str">
        <f ca="1">IF($AK26=0,"",INDEX(Definitions!$Q:$Q,MATCH($AK26,Definitions!$R:$R,0)))</f>
        <v/>
      </c>
      <c r="AM26" s="9" cm="1">
        <f t="array" aca="1" ref="AM26" ca="1">IF($K26="",0,_xlfn.LET(
_xlpm._listOfAttackStepsAndMitigations,$K26&amp;$AH26,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26" s="9" t="str">
        <f ca="1">IFERROR(VLOOKUP($AM26,Definitions!$V:$W,COLUMNS(Definitions!$V:$W),TRUE),"")</f>
        <v>Basic</v>
      </c>
      <c r="AO26" s="9" t="str">
        <f ca="1">_xlfn.LET(
_xlpm._comments,SimpleLookup($A26,Tracing!$B:$AB),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26" s="9" t="str" cm="1">
        <f t="array" aca="1" ref="AP26" ca="1">_xlfn.LET(
_xlpm._rapRange,Definitions!$W:$W,
_xlpm._calculatedRAP,$AN26,
_xlpm._inlineRAP,$AO26,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26" s="9" t="str">
        <f ca="1">IFERROR(IF(OR($AL26="",$AP26=""),
Definitions!$AE$4,
VLOOKUP($AL26,Definitions!$AH:$AM,MATCH($AP26,Definitions!$AH$3:$AM$3,0),FALSE)),
"")</f>
        <v>No Risk</v>
      </c>
      <c r="AR26" s="9" cm="1">
        <f t="array" aca="1" ref="AR26" ca="1">IF($AQ26="",0,SimpleLookup($AQ26,Definitions!$AE:$AF))</f>
        <v>0</v>
      </c>
      <c r="AS26" s="9" t="b">
        <f ca="1">OR(AND($S26,$I26=Helper!$B$7),$I26&gt;Helper!$B$7)</f>
        <v>1</v>
      </c>
      <c r="AT26" s="9" t="str">
        <f t="shared" ca="1" si="3"/>
        <v/>
      </c>
      <c r="AU26" s="9" cm="1">
        <f t="array" aca="1" ref="AU26" ca="1">CreateID($AU$2,$AT26&lt;&gt;"")</f>
        <v>0</v>
      </c>
      <c r="AV26" s="9" t="str">
        <f ca="1">IF(IFERROR(MATCH(","&amp;A26&amp;",",'Risk Treatment'!$AT:$AT,0)&gt;0,FALSE),"",$A26)</f>
        <v/>
      </c>
      <c r="AW26" s="9" cm="1">
        <f t="array" aca="1" ref="AW26" ca="1">CreateID($AW$2,$AV26&lt;&gt;"")</f>
        <v>0</v>
      </c>
      <c r="AX26" s="9" t="str" cm="1">
        <f t="array" aca="1" ref="AX26" ca="1">CreateSearchString($AA26)</f>
        <v/>
      </c>
    </row>
    <row r="27" spans="1:50" x14ac:dyDescent="0.25">
      <c r="A27" s="13" t="str" cm="1">
        <f t="array" aca="1" ref="A27" ca="1">IF($B27="","","R"&amp;RemoveDelimiter(SUBSTITUTE(SUBSTITUTE($K27,"AS",""),",","-"),"-"))</f>
        <v/>
      </c>
      <c r="B27" s="13" t="str" cm="1">
        <f t="array" aca="1" ref="B27" ca="1">IF($L27="","",_xlfn.LET(
_xlpm._finalAttackStep,$L27,
_xlpm._prepAttacks,RemoveFirstElement(_xlpm._finalAttackStep&amp;","&amp;$K27),
_xlpm._prepAttackNames,IFERROR(LookupNames(_xlpm._prepAttacks,'Attack Steps'!$A:$B),""),
_xlpm._delimiter,REPT(CHAR(150),55),
$L27&amp;" "&amp;SimpleLookup($L27,'Attack Steps'!$A:$B)&amp;
IF(_xlpm._prepAttackNames="","",CHAR(10)&amp;_xlpm._delimiter&amp;CHAR(10)&amp;_xlpm._prepAttackNames)))</f>
        <v/>
      </c>
      <c r="C27" s="16" t="str" cm="1">
        <f t="array" aca="1" ref="C27" ca="1">IFERROR(LookupNames($M27,'Damage Scenarios'!$A:$V),"")</f>
        <v/>
      </c>
      <c r="D27" s="13" t="str">
        <f ca="1">IFERROR(IF($T27=0,"",INDEX(Definitions!$Q:$Q,MATCH($T27,Definitions!$R:$R,0))),"")</f>
        <v/>
      </c>
      <c r="E27" s="16" t="str" cm="1">
        <f t="array" aca="1" ref="E27" ca="1">IF($K27="","",_xlfn.LET(
_xlpm._listOfAttackSteps,$K27,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27" s="13" t="str">
        <f ca="1">IF($A27="","",IFERROR(VLOOKUP($W27,Definitions!$V:$W,COLUMNS(Definitions!$V:$W),TRUE),""))</f>
        <v/>
      </c>
      <c r="G27" s="13" t="str">
        <f ca="1">IFERROR(IF(OR($D27="",$F27=""),
"",
VLOOKUP($D27,Definitions!$AH:$AM,MATCH($F27,Definitions!$AH$3:$AM$3,0),FALSE)),
"")</f>
        <v/>
      </c>
      <c r="H27" s="10" cm="1">
        <f t="array" aca="1" ref="H27" ca="1">CreateID($H$2,$A27&lt;&gt;"")</f>
        <v>0</v>
      </c>
      <c r="I27" s="9" cm="1">
        <f t="array" aca="1" ref="I27" ca="1">IF(ROW()=ROW($I$2)+1,
1,
INDEX($I:$I,ROW()-1)+IF(INDEX($S:$S,ROW()-1),1,0))</f>
        <v>1</v>
      </c>
      <c r="J27" s="9">
        <f t="shared" ca="1" si="0"/>
        <v>25</v>
      </c>
      <c r="K27" s="9" t="str">
        <f t="shared" ca="1" si="1"/>
        <v/>
      </c>
      <c r="L27" s="9" t="str" cm="1">
        <f t="array" aca="1" ref="L27" ca="1">IF($P27="","",INDEX('Attack Steps'!$A:$A,$P27))</f>
        <v/>
      </c>
      <c r="M27" s="9" t="str" cm="1">
        <f t="array" aca="1" ref="M27" ca="1">IF($P27="","",INDEX('Attack Steps'!$U:$U,$P27))</f>
        <v/>
      </c>
      <c r="N27" s="9" t="str" cm="1">
        <f t="array" aca="1" ref="N27" ca="1">_xlfn.LET(_xlpm._dm,SanitizeInput(GetValuesWithFallback(SanitizeInput($AA27),Assumptions!$A:$J,Countermeasures!$A:$J,"",",",FALSE)),
IF(_xlpm._dm="","",","&amp;_xlpm._dm))</f>
        <v/>
      </c>
      <c r="O27" s="9" t="str" cm="1">
        <f t="array" aca="1" ref="O27" ca="1">ApplyDamageMitigation($M27,$N27,"")</f>
        <v/>
      </c>
      <c r="P27" s="9" t="str">
        <f ca="1">IFERROR(MATCH($I27,'Attack Steps'!$W:$W,0),"")</f>
        <v/>
      </c>
      <c r="Q27" s="9" t="str" cm="1">
        <f t="array" aca="1" ref="Q27" ca="1">IF($P27="","","§"&amp;INDEX('Attack Steps'!$T:$T,$P27))</f>
        <v/>
      </c>
      <c r="R27" s="9" t="str" cm="1">
        <f t="array" aca="1" ref="R27" ca="1">IF($P27="","",INDEX('Attack Steps'!$X:$X,$P27))</f>
        <v/>
      </c>
      <c r="S27" s="9" t="b">
        <f t="shared" ca="1" si="2"/>
        <v>0</v>
      </c>
      <c r="T27" s="9" cm="1">
        <f t="array" aca="1" ref="T27" ca="1">IF($M27="",0,OperateOnList($M27,_xlfn.LAMBDA(_xlpm._x,SimpleLookup(_xlpm._x,'Damage Scenarios'!$A:$U)),_xlfn.LAMBDA(_xlpm._x,_xlpm._y,MAX(_xlpm._x,_xlpm._y))))</f>
        <v>0</v>
      </c>
      <c r="U27" s="9" cm="1">
        <f t="array" aca="1" ref="U27" ca="1">IF($O27="",0,OperateOnList($O27,_xlfn.LAMBDA(_xlpm._x,SimpleLookup(_xlpm._x,'Damage Scenarios'!$A:$U)),_xlfn.LAMBDA(_xlpm._x,_xlpm._y,MAX(_xlpm._x,_xlpm._y))))</f>
        <v>0</v>
      </c>
      <c r="V27" s="9" t="str">
        <f ca="1">IF($U27=0,"",INDEX(Definitions!$Q:$Q,MATCH($U27,Definitions!$R:$R,0)))</f>
        <v/>
      </c>
      <c r="W27" s="9" cm="1">
        <f t="array" aca="1" ref="W27" ca="1">IF($K27="",0,_xlfn.LET(
_xlpm._listOfAttackSteps,$K27,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27" s="9" t="str" cm="1">
        <f t="array" aca="1" ref="X27" ca="1">IF(ROW()=ROW($X$2)+1,"",INDEX($X:$X,ROW()-1))&amp;IF($A27="","",$A27&amp;",")</f>
        <v/>
      </c>
      <c r="Y27" s="9" t="str" cm="1">
        <f t="array" aca="1" ref="Y27" ca="1">CreateSearchString($K27)</f>
        <v/>
      </c>
      <c r="Z27" s="9" cm="1">
        <f t="array" aca="1" ref="Z27" ca="1">IF($G27="",0,SimpleLookup($G27,Definitions!$AE:$AF))</f>
        <v>0</v>
      </c>
      <c r="AA27" s="9" t="str" cm="1">
        <f t="array" aca="1" ref="AA27" ca="1">SanitizeInput(InverseLookup($A27,Mitigation!$U$2,Mitigation!$J$2,1,Helper!$B$5,","))</f>
        <v/>
      </c>
      <c r="AB27" s="9" cm="1">
        <f t="array" aca="1" ref="AB27" ca="1">IF($K27="",0,_xlfn.LET(
_xlpm._listOfAttackStepsAndMitigations,$K27&amp;$AA27,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27" s="9" t="str">
        <f ca="1">IFERROR(VLOOKUP($AB27,Definitions!$V:$W,COLUMNS(Definitions!$V:$W),TRUE),"")</f>
        <v>Basic</v>
      </c>
      <c r="AD27" s="9" t="str">
        <f ca="1">_xlfn.LET(
_xlpm._comments,GetValues($K27,Mitigation!$A:$O,"","",FALSE),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27" s="9" t="str" cm="1">
        <f t="array" aca="1" ref="AE27" ca="1">_xlfn.LET(
_xlpm._rapRange,Definitions!$W:$W,
_xlpm._calculatedRAP,$AC27,
_xlpm._inlineRAP,$AD27,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27" s="9" t="str">
        <f ca="1">IFERROR(IF(OR($V27="",$AE27=""),
Definitions!$AE$4,
VLOOKUP($V27,Definitions!$AH:$AM,MATCH($AE27,Definitions!$AH$3:$AM$3,0),FALSE)),
"")</f>
        <v>No Risk</v>
      </c>
      <c r="AG27" s="9" cm="1">
        <f t="array" aca="1" ref="AG27" ca="1">IF($AF27="",0,SimpleLookup($AF27,Definitions!$AE:$AF))</f>
        <v>0</v>
      </c>
      <c r="AH27" s="9" t="str" cm="1">
        <f t="array" aca="1" ref="AH27" ca="1">IFERROR(SimpleLookup($A27,Tracing!$B:$Z),"")</f>
        <v/>
      </c>
      <c r="AI27" s="9" t="str" cm="1">
        <f t="array" aca="1" ref="AI27" ca="1">_xlfn.LET(_xlpm._dm,SanitizeInput(GetValuesWithFallback(SanitizeInput($AH27),Assumptions!$A:$J,Countermeasures!$A:$J,"",",",FALSE)),
IF(_xlpm._dm="","",","&amp;_xlpm._dm))</f>
        <v/>
      </c>
      <c r="AJ27" s="9" t="str" cm="1">
        <f t="array" aca="1" ref="AJ27" ca="1">ApplyDamageMitigation($M27,$AI27,"")</f>
        <v/>
      </c>
      <c r="AK27" s="9" cm="1">
        <f t="array" aca="1" ref="AK27" ca="1">CalculateMaxFromList($AJ27,0,'Damage Scenarios'!$A:$U)</f>
        <v>0</v>
      </c>
      <c r="AL27" s="9" t="str">
        <f ca="1">IF($AK27=0,"",INDEX(Definitions!$Q:$Q,MATCH($AK27,Definitions!$R:$R,0)))</f>
        <v/>
      </c>
      <c r="AM27" s="9" cm="1">
        <f t="array" aca="1" ref="AM27" ca="1">IF($K27="",0,_xlfn.LET(
_xlpm._listOfAttackStepsAndMitigations,$K27&amp;$AH27,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27" s="9" t="str">
        <f ca="1">IFERROR(VLOOKUP($AM27,Definitions!$V:$W,COLUMNS(Definitions!$V:$W),TRUE),"")</f>
        <v>Basic</v>
      </c>
      <c r="AO27" s="9" t="str">
        <f ca="1">_xlfn.LET(
_xlpm._comments,SimpleLookup($A27,Tracing!$B:$AB),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27" s="9" t="str" cm="1">
        <f t="array" aca="1" ref="AP27" ca="1">_xlfn.LET(
_xlpm._rapRange,Definitions!$W:$W,
_xlpm._calculatedRAP,$AN27,
_xlpm._inlineRAP,$AO27,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27" s="9" t="str">
        <f ca="1">IFERROR(IF(OR($AL27="",$AP27=""),
Definitions!$AE$4,
VLOOKUP($AL27,Definitions!$AH:$AM,MATCH($AP27,Definitions!$AH$3:$AM$3,0),FALSE)),
"")</f>
        <v>No Risk</v>
      </c>
      <c r="AR27" s="9" cm="1">
        <f t="array" aca="1" ref="AR27" ca="1">IF($AQ27="",0,SimpleLookup($AQ27,Definitions!$AE:$AF))</f>
        <v>0</v>
      </c>
      <c r="AS27" s="9" t="b">
        <f ca="1">OR(AND($S27,$I27=Helper!$B$7),$I27&gt;Helper!$B$7)</f>
        <v>1</v>
      </c>
      <c r="AT27" s="9" t="str">
        <f t="shared" ca="1" si="3"/>
        <v/>
      </c>
      <c r="AU27" s="9" cm="1">
        <f t="array" aca="1" ref="AU27" ca="1">CreateID($AU$2,$AT27&lt;&gt;"")</f>
        <v>0</v>
      </c>
      <c r="AV27" s="9" t="str">
        <f ca="1">IF(IFERROR(MATCH(","&amp;A27&amp;",",'Risk Treatment'!$AT:$AT,0)&gt;0,FALSE),"",$A27)</f>
        <v/>
      </c>
      <c r="AW27" s="9" cm="1">
        <f t="array" aca="1" ref="AW27" ca="1">CreateID($AW$2,$AV27&lt;&gt;"")</f>
        <v>0</v>
      </c>
      <c r="AX27" s="9" t="str" cm="1">
        <f t="array" aca="1" ref="AX27" ca="1">CreateSearchString($AA27)</f>
        <v/>
      </c>
    </row>
    <row r="28" spans="1:50" x14ac:dyDescent="0.25">
      <c r="A28" s="13" t="str" cm="1">
        <f t="array" aca="1" ref="A28" ca="1">IF($B28="","","R"&amp;RemoveDelimiter(SUBSTITUTE(SUBSTITUTE($K28,"AS",""),",","-"),"-"))</f>
        <v/>
      </c>
      <c r="B28" s="13" t="str" cm="1">
        <f t="array" aca="1" ref="B28" ca="1">IF($L28="","",_xlfn.LET(
_xlpm._finalAttackStep,$L28,
_xlpm._prepAttacks,RemoveFirstElement(_xlpm._finalAttackStep&amp;","&amp;$K28),
_xlpm._prepAttackNames,IFERROR(LookupNames(_xlpm._prepAttacks,'Attack Steps'!$A:$B),""),
_xlpm._delimiter,REPT(CHAR(150),55),
$L28&amp;" "&amp;SimpleLookup($L28,'Attack Steps'!$A:$B)&amp;
IF(_xlpm._prepAttackNames="","",CHAR(10)&amp;_xlpm._delimiter&amp;CHAR(10)&amp;_xlpm._prepAttackNames)))</f>
        <v/>
      </c>
      <c r="C28" s="16" t="str" cm="1">
        <f t="array" aca="1" ref="C28" ca="1">IFERROR(LookupNames($M28,'Damage Scenarios'!$A:$V),"")</f>
        <v/>
      </c>
      <c r="D28" s="13" t="str">
        <f ca="1">IFERROR(IF($T28=0,"",INDEX(Definitions!$Q:$Q,MATCH($T28,Definitions!$R:$R,0))),"")</f>
        <v/>
      </c>
      <c r="E28" s="16" t="str" cm="1">
        <f t="array" aca="1" ref="E28" ca="1">IF($K28="","",_xlfn.LET(
_xlpm._listOfAttackSteps,$K28,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28" s="13" t="str">
        <f ca="1">IF($A28="","",IFERROR(VLOOKUP($W28,Definitions!$V:$W,COLUMNS(Definitions!$V:$W),TRUE),""))</f>
        <v/>
      </c>
      <c r="G28" s="13" t="str">
        <f ca="1">IFERROR(IF(OR($D28="",$F28=""),
"",
VLOOKUP($D28,Definitions!$AH:$AM,MATCH($F28,Definitions!$AH$3:$AM$3,0),FALSE)),
"")</f>
        <v/>
      </c>
      <c r="H28" s="10" cm="1">
        <f t="array" aca="1" ref="H28" ca="1">CreateID($H$2,$A28&lt;&gt;"")</f>
        <v>0</v>
      </c>
      <c r="I28" s="9" cm="1">
        <f t="array" aca="1" ref="I28" ca="1">IF(ROW()=ROW($I$2)+1,
1,
INDEX($I:$I,ROW()-1)+IF(INDEX($S:$S,ROW()-1),1,0))</f>
        <v>1</v>
      </c>
      <c r="J28" s="9">
        <f t="shared" ca="1" si="0"/>
        <v>26</v>
      </c>
      <c r="K28" s="9" t="str">
        <f t="shared" ca="1" si="1"/>
        <v/>
      </c>
      <c r="L28" s="9" t="str" cm="1">
        <f t="array" aca="1" ref="L28" ca="1">IF($P28="","",INDEX('Attack Steps'!$A:$A,$P28))</f>
        <v/>
      </c>
      <c r="M28" s="9" t="str" cm="1">
        <f t="array" aca="1" ref="M28" ca="1">IF($P28="","",INDEX('Attack Steps'!$U:$U,$P28))</f>
        <v/>
      </c>
      <c r="N28" s="9" t="str" cm="1">
        <f t="array" aca="1" ref="N28" ca="1">_xlfn.LET(_xlpm._dm,SanitizeInput(GetValuesWithFallback(SanitizeInput($AA28),Assumptions!$A:$J,Countermeasures!$A:$J,"",",",FALSE)),
IF(_xlpm._dm="","",","&amp;_xlpm._dm))</f>
        <v/>
      </c>
      <c r="O28" s="9" t="str" cm="1">
        <f t="array" aca="1" ref="O28" ca="1">ApplyDamageMitigation($M28,$N28,"")</f>
        <v/>
      </c>
      <c r="P28" s="9" t="str">
        <f ca="1">IFERROR(MATCH($I28,'Attack Steps'!$W:$W,0),"")</f>
        <v/>
      </c>
      <c r="Q28" s="9" t="str" cm="1">
        <f t="array" aca="1" ref="Q28" ca="1">IF($P28="","","§"&amp;INDEX('Attack Steps'!$T:$T,$P28))</f>
        <v/>
      </c>
      <c r="R28" s="9" t="str" cm="1">
        <f t="array" aca="1" ref="R28" ca="1">IF($P28="","",INDEX('Attack Steps'!$X:$X,$P28))</f>
        <v/>
      </c>
      <c r="S28" s="9" t="b">
        <f t="shared" ca="1" si="2"/>
        <v>0</v>
      </c>
      <c r="T28" s="9" cm="1">
        <f t="array" aca="1" ref="T28" ca="1">IF($M28="",0,OperateOnList($M28,_xlfn.LAMBDA(_xlpm._x,SimpleLookup(_xlpm._x,'Damage Scenarios'!$A:$U)),_xlfn.LAMBDA(_xlpm._x,_xlpm._y,MAX(_xlpm._x,_xlpm._y))))</f>
        <v>0</v>
      </c>
      <c r="U28" s="9" cm="1">
        <f t="array" aca="1" ref="U28" ca="1">IF($O28="",0,OperateOnList($O28,_xlfn.LAMBDA(_xlpm._x,SimpleLookup(_xlpm._x,'Damage Scenarios'!$A:$U)),_xlfn.LAMBDA(_xlpm._x,_xlpm._y,MAX(_xlpm._x,_xlpm._y))))</f>
        <v>0</v>
      </c>
      <c r="V28" s="9" t="str">
        <f ca="1">IF($U28=0,"",INDEX(Definitions!$Q:$Q,MATCH($U28,Definitions!$R:$R,0)))</f>
        <v/>
      </c>
      <c r="W28" s="9" cm="1">
        <f t="array" aca="1" ref="W28" ca="1">IF($K28="",0,_xlfn.LET(
_xlpm._listOfAttackSteps,$K28,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28" s="9" t="str" cm="1">
        <f t="array" aca="1" ref="X28" ca="1">IF(ROW()=ROW($X$2)+1,"",INDEX($X:$X,ROW()-1))&amp;IF($A28="","",$A28&amp;",")</f>
        <v/>
      </c>
      <c r="Y28" s="9" t="str" cm="1">
        <f t="array" aca="1" ref="Y28" ca="1">CreateSearchString($K28)</f>
        <v/>
      </c>
      <c r="Z28" s="9" cm="1">
        <f t="array" aca="1" ref="Z28" ca="1">IF($G28="",0,SimpleLookup($G28,Definitions!$AE:$AF))</f>
        <v>0</v>
      </c>
      <c r="AA28" s="9" t="str" cm="1">
        <f t="array" aca="1" ref="AA28" ca="1">SanitizeInput(InverseLookup($A28,Mitigation!$U$2,Mitigation!$J$2,1,Helper!$B$5,","))</f>
        <v/>
      </c>
      <c r="AB28" s="9" cm="1">
        <f t="array" aca="1" ref="AB28" ca="1">IF($K28="",0,_xlfn.LET(
_xlpm._listOfAttackStepsAndMitigations,$K28&amp;$AA28,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28" s="9" t="str">
        <f ca="1">IFERROR(VLOOKUP($AB28,Definitions!$V:$W,COLUMNS(Definitions!$V:$W),TRUE),"")</f>
        <v>Basic</v>
      </c>
      <c r="AD28" s="9" t="str">
        <f ca="1">_xlfn.LET(
_xlpm._comments,GetValues($K28,Mitigation!$A:$O,"","",FALSE),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28" s="9" t="str" cm="1">
        <f t="array" aca="1" ref="AE28" ca="1">_xlfn.LET(
_xlpm._rapRange,Definitions!$W:$W,
_xlpm._calculatedRAP,$AC28,
_xlpm._inlineRAP,$AD28,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28" s="9" t="str">
        <f ca="1">IFERROR(IF(OR($V28="",$AE28=""),
Definitions!$AE$4,
VLOOKUP($V28,Definitions!$AH:$AM,MATCH($AE28,Definitions!$AH$3:$AM$3,0),FALSE)),
"")</f>
        <v>No Risk</v>
      </c>
      <c r="AG28" s="9" cm="1">
        <f t="array" aca="1" ref="AG28" ca="1">IF($AF28="",0,SimpleLookup($AF28,Definitions!$AE:$AF))</f>
        <v>0</v>
      </c>
      <c r="AH28" s="9" t="str" cm="1">
        <f t="array" aca="1" ref="AH28" ca="1">IFERROR(SimpleLookup($A28,Tracing!$B:$Z),"")</f>
        <v/>
      </c>
      <c r="AI28" s="9" t="str" cm="1">
        <f t="array" aca="1" ref="AI28" ca="1">_xlfn.LET(_xlpm._dm,SanitizeInput(GetValuesWithFallback(SanitizeInput($AH28),Assumptions!$A:$J,Countermeasures!$A:$J,"",",",FALSE)),
IF(_xlpm._dm="","",","&amp;_xlpm._dm))</f>
        <v/>
      </c>
      <c r="AJ28" s="9" t="str" cm="1">
        <f t="array" aca="1" ref="AJ28" ca="1">ApplyDamageMitigation($M28,$AI28,"")</f>
        <v/>
      </c>
      <c r="AK28" s="9" cm="1">
        <f t="array" aca="1" ref="AK28" ca="1">CalculateMaxFromList($AJ28,0,'Damage Scenarios'!$A:$U)</f>
        <v>0</v>
      </c>
      <c r="AL28" s="9" t="str">
        <f ca="1">IF($AK28=0,"",INDEX(Definitions!$Q:$Q,MATCH($AK28,Definitions!$R:$R,0)))</f>
        <v/>
      </c>
      <c r="AM28" s="9" cm="1">
        <f t="array" aca="1" ref="AM28" ca="1">IF($K28="",0,_xlfn.LET(
_xlpm._listOfAttackStepsAndMitigations,$K28&amp;$AH28,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28" s="9" t="str">
        <f ca="1">IFERROR(VLOOKUP($AM28,Definitions!$V:$W,COLUMNS(Definitions!$V:$W),TRUE),"")</f>
        <v>Basic</v>
      </c>
      <c r="AO28" s="9" t="str">
        <f ca="1">_xlfn.LET(
_xlpm._comments,SimpleLookup($A28,Tracing!$B:$AB),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28" s="9" t="str" cm="1">
        <f t="array" aca="1" ref="AP28" ca="1">_xlfn.LET(
_xlpm._rapRange,Definitions!$W:$W,
_xlpm._calculatedRAP,$AN28,
_xlpm._inlineRAP,$AO28,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28" s="9" t="str">
        <f ca="1">IFERROR(IF(OR($AL28="",$AP28=""),
Definitions!$AE$4,
VLOOKUP($AL28,Definitions!$AH:$AM,MATCH($AP28,Definitions!$AH$3:$AM$3,0),FALSE)),
"")</f>
        <v>No Risk</v>
      </c>
      <c r="AR28" s="9" cm="1">
        <f t="array" aca="1" ref="AR28" ca="1">IF($AQ28="",0,SimpleLookup($AQ28,Definitions!$AE:$AF))</f>
        <v>0</v>
      </c>
      <c r="AS28" s="9" t="b">
        <f ca="1">OR(AND($S28,$I28=Helper!$B$7),$I28&gt;Helper!$B$7)</f>
        <v>1</v>
      </c>
      <c r="AT28" s="9" t="str">
        <f t="shared" ca="1" si="3"/>
        <v/>
      </c>
      <c r="AU28" s="9" cm="1">
        <f t="array" aca="1" ref="AU28" ca="1">CreateID($AU$2,$AT28&lt;&gt;"")</f>
        <v>0</v>
      </c>
      <c r="AV28" s="9" t="str">
        <f ca="1">IF(IFERROR(MATCH(","&amp;A28&amp;",",'Risk Treatment'!$AT:$AT,0)&gt;0,FALSE),"",$A28)</f>
        <v/>
      </c>
      <c r="AW28" s="9" cm="1">
        <f t="array" aca="1" ref="AW28" ca="1">CreateID($AW$2,$AV28&lt;&gt;"")</f>
        <v>0</v>
      </c>
      <c r="AX28" s="9" t="str" cm="1">
        <f t="array" aca="1" ref="AX28" ca="1">CreateSearchString($AA28)</f>
        <v/>
      </c>
    </row>
    <row r="29" spans="1:50" x14ac:dyDescent="0.25">
      <c r="A29" s="13" t="str" cm="1">
        <f t="array" aca="1" ref="A29" ca="1">IF($B29="","","R"&amp;RemoveDelimiter(SUBSTITUTE(SUBSTITUTE($K29,"AS",""),",","-"),"-"))</f>
        <v/>
      </c>
      <c r="B29" s="13" t="str" cm="1">
        <f t="array" aca="1" ref="B29" ca="1">IF($L29="","",_xlfn.LET(
_xlpm._finalAttackStep,$L29,
_xlpm._prepAttacks,RemoveFirstElement(_xlpm._finalAttackStep&amp;","&amp;$K29),
_xlpm._prepAttackNames,IFERROR(LookupNames(_xlpm._prepAttacks,'Attack Steps'!$A:$B),""),
_xlpm._delimiter,REPT(CHAR(150),55),
$L29&amp;" "&amp;SimpleLookup($L29,'Attack Steps'!$A:$B)&amp;
IF(_xlpm._prepAttackNames="","",CHAR(10)&amp;_xlpm._delimiter&amp;CHAR(10)&amp;_xlpm._prepAttackNames)))</f>
        <v/>
      </c>
      <c r="C29" s="16" t="str" cm="1">
        <f t="array" aca="1" ref="C29" ca="1">IFERROR(LookupNames($M29,'Damage Scenarios'!$A:$V),"")</f>
        <v/>
      </c>
      <c r="D29" s="13" t="str">
        <f ca="1">IFERROR(IF($T29=0,"",INDEX(Definitions!$Q:$Q,MATCH($T29,Definitions!$R:$R,0))),"")</f>
        <v/>
      </c>
      <c r="E29" s="16" t="str" cm="1">
        <f t="array" aca="1" ref="E29" ca="1">IF($K29="","",_xlfn.LET(
_xlpm._listOfAttackSteps,$K29,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29" s="13" t="str">
        <f ca="1">IF($A29="","",IFERROR(VLOOKUP($W29,Definitions!$V:$W,COLUMNS(Definitions!$V:$W),TRUE),""))</f>
        <v/>
      </c>
      <c r="G29" s="13" t="str">
        <f ca="1">IFERROR(IF(OR($D29="",$F29=""),
"",
VLOOKUP($D29,Definitions!$AH:$AM,MATCH($F29,Definitions!$AH$3:$AM$3,0),FALSE)),
"")</f>
        <v/>
      </c>
      <c r="H29" s="10" cm="1">
        <f t="array" aca="1" ref="H29" ca="1">CreateID($H$2,$A29&lt;&gt;"")</f>
        <v>0</v>
      </c>
      <c r="I29" s="9" cm="1">
        <f t="array" aca="1" ref="I29" ca="1">IF(ROW()=ROW($I$2)+1,
1,
INDEX($I:$I,ROW()-1)+IF(INDEX($S:$S,ROW()-1),1,0))</f>
        <v>1</v>
      </c>
      <c r="J29" s="9">
        <f t="shared" ca="1" si="0"/>
        <v>27</v>
      </c>
      <c r="K29" s="9" t="str">
        <f t="shared" ca="1" si="1"/>
        <v/>
      </c>
      <c r="L29" s="9" t="str" cm="1">
        <f t="array" aca="1" ref="L29" ca="1">IF($P29="","",INDEX('Attack Steps'!$A:$A,$P29))</f>
        <v/>
      </c>
      <c r="M29" s="9" t="str" cm="1">
        <f t="array" aca="1" ref="M29" ca="1">IF($P29="","",INDEX('Attack Steps'!$U:$U,$P29))</f>
        <v/>
      </c>
      <c r="N29" s="9" t="str" cm="1">
        <f t="array" aca="1" ref="N29" ca="1">_xlfn.LET(_xlpm._dm,SanitizeInput(GetValuesWithFallback(SanitizeInput($AA29),Assumptions!$A:$J,Countermeasures!$A:$J,"",",",FALSE)),
IF(_xlpm._dm="","",","&amp;_xlpm._dm))</f>
        <v/>
      </c>
      <c r="O29" s="9" t="str" cm="1">
        <f t="array" aca="1" ref="O29" ca="1">ApplyDamageMitigation($M29,$N29,"")</f>
        <v/>
      </c>
      <c r="P29" s="9" t="str">
        <f ca="1">IFERROR(MATCH($I29,'Attack Steps'!$W:$W,0),"")</f>
        <v/>
      </c>
      <c r="Q29" s="9" t="str" cm="1">
        <f t="array" aca="1" ref="Q29" ca="1">IF($P29="","","§"&amp;INDEX('Attack Steps'!$T:$T,$P29))</f>
        <v/>
      </c>
      <c r="R29" s="9" t="str" cm="1">
        <f t="array" aca="1" ref="R29" ca="1">IF($P29="","",INDEX('Attack Steps'!$X:$X,$P29))</f>
        <v/>
      </c>
      <c r="S29" s="9" t="b">
        <f t="shared" ca="1" si="2"/>
        <v>0</v>
      </c>
      <c r="T29" s="9" cm="1">
        <f t="array" aca="1" ref="T29" ca="1">IF($M29="",0,OperateOnList($M29,_xlfn.LAMBDA(_xlpm._x,SimpleLookup(_xlpm._x,'Damage Scenarios'!$A:$U)),_xlfn.LAMBDA(_xlpm._x,_xlpm._y,MAX(_xlpm._x,_xlpm._y))))</f>
        <v>0</v>
      </c>
      <c r="U29" s="9" cm="1">
        <f t="array" aca="1" ref="U29" ca="1">IF($O29="",0,OperateOnList($O29,_xlfn.LAMBDA(_xlpm._x,SimpleLookup(_xlpm._x,'Damage Scenarios'!$A:$U)),_xlfn.LAMBDA(_xlpm._x,_xlpm._y,MAX(_xlpm._x,_xlpm._y))))</f>
        <v>0</v>
      </c>
      <c r="V29" s="9" t="str">
        <f ca="1">IF($U29=0,"",INDEX(Definitions!$Q:$Q,MATCH($U29,Definitions!$R:$R,0)))</f>
        <v/>
      </c>
      <c r="W29" s="9" cm="1">
        <f t="array" aca="1" ref="W29" ca="1">IF($K29="",0,_xlfn.LET(
_xlpm._listOfAttackSteps,$K29,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29" s="9" t="str" cm="1">
        <f t="array" aca="1" ref="X29" ca="1">IF(ROW()=ROW($X$2)+1,"",INDEX($X:$X,ROW()-1))&amp;IF($A29="","",$A29&amp;",")</f>
        <v/>
      </c>
      <c r="Y29" s="9" t="str" cm="1">
        <f t="array" aca="1" ref="Y29" ca="1">CreateSearchString($K29)</f>
        <v/>
      </c>
      <c r="Z29" s="9" cm="1">
        <f t="array" aca="1" ref="Z29" ca="1">IF($G29="",0,SimpleLookup($G29,Definitions!$AE:$AF))</f>
        <v>0</v>
      </c>
      <c r="AA29" s="9" t="str" cm="1">
        <f t="array" aca="1" ref="AA29" ca="1">SanitizeInput(InverseLookup($A29,Mitigation!$U$2,Mitigation!$J$2,1,Helper!$B$5,","))</f>
        <v/>
      </c>
      <c r="AB29" s="9" cm="1">
        <f t="array" aca="1" ref="AB29" ca="1">IF($K29="",0,_xlfn.LET(
_xlpm._listOfAttackStepsAndMitigations,$K29&amp;$AA29,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29" s="9" t="str">
        <f ca="1">IFERROR(VLOOKUP($AB29,Definitions!$V:$W,COLUMNS(Definitions!$V:$W),TRUE),"")</f>
        <v>Basic</v>
      </c>
      <c r="AD29" s="9" t="str">
        <f ca="1">_xlfn.LET(
_xlpm._comments,GetValues($K29,Mitigation!$A:$O,"","",FALSE),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29" s="9" t="str" cm="1">
        <f t="array" aca="1" ref="AE29" ca="1">_xlfn.LET(
_xlpm._rapRange,Definitions!$W:$W,
_xlpm._calculatedRAP,$AC29,
_xlpm._inlineRAP,$AD29,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29" s="9" t="str">
        <f ca="1">IFERROR(IF(OR($V29="",$AE29=""),
Definitions!$AE$4,
VLOOKUP($V29,Definitions!$AH:$AM,MATCH($AE29,Definitions!$AH$3:$AM$3,0),FALSE)),
"")</f>
        <v>No Risk</v>
      </c>
      <c r="AG29" s="9" cm="1">
        <f t="array" aca="1" ref="AG29" ca="1">IF($AF29="",0,SimpleLookup($AF29,Definitions!$AE:$AF))</f>
        <v>0</v>
      </c>
      <c r="AH29" s="9" t="str" cm="1">
        <f t="array" aca="1" ref="AH29" ca="1">IFERROR(SimpleLookup($A29,Tracing!$B:$Z),"")</f>
        <v/>
      </c>
      <c r="AI29" s="9" t="str" cm="1">
        <f t="array" aca="1" ref="AI29" ca="1">_xlfn.LET(_xlpm._dm,SanitizeInput(GetValuesWithFallback(SanitizeInput($AH29),Assumptions!$A:$J,Countermeasures!$A:$J,"",",",FALSE)),
IF(_xlpm._dm="","",","&amp;_xlpm._dm))</f>
        <v/>
      </c>
      <c r="AJ29" s="9" t="str" cm="1">
        <f t="array" aca="1" ref="AJ29" ca="1">ApplyDamageMitigation($M29,$AI29,"")</f>
        <v/>
      </c>
      <c r="AK29" s="9" cm="1">
        <f t="array" aca="1" ref="AK29" ca="1">CalculateMaxFromList($AJ29,0,'Damage Scenarios'!$A:$U)</f>
        <v>0</v>
      </c>
      <c r="AL29" s="9" t="str">
        <f ca="1">IF($AK29=0,"",INDEX(Definitions!$Q:$Q,MATCH($AK29,Definitions!$R:$R,0)))</f>
        <v/>
      </c>
      <c r="AM29" s="9" cm="1">
        <f t="array" aca="1" ref="AM29" ca="1">IF($K29="",0,_xlfn.LET(
_xlpm._listOfAttackStepsAndMitigations,$K29&amp;$AH29,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29" s="9" t="str">
        <f ca="1">IFERROR(VLOOKUP($AM29,Definitions!$V:$W,COLUMNS(Definitions!$V:$W),TRUE),"")</f>
        <v>Basic</v>
      </c>
      <c r="AO29" s="9" t="str">
        <f ca="1">_xlfn.LET(
_xlpm._comments,SimpleLookup($A29,Tracing!$B:$AB),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29" s="9" t="str" cm="1">
        <f t="array" aca="1" ref="AP29" ca="1">_xlfn.LET(
_xlpm._rapRange,Definitions!$W:$W,
_xlpm._calculatedRAP,$AN29,
_xlpm._inlineRAP,$AO29,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29" s="9" t="str">
        <f ca="1">IFERROR(IF(OR($AL29="",$AP29=""),
Definitions!$AE$4,
VLOOKUP($AL29,Definitions!$AH:$AM,MATCH($AP29,Definitions!$AH$3:$AM$3,0),FALSE)),
"")</f>
        <v>No Risk</v>
      </c>
      <c r="AR29" s="9" cm="1">
        <f t="array" aca="1" ref="AR29" ca="1">IF($AQ29="",0,SimpleLookup($AQ29,Definitions!$AE:$AF))</f>
        <v>0</v>
      </c>
      <c r="AS29" s="9" t="b">
        <f ca="1">OR(AND($S29,$I29=Helper!$B$7),$I29&gt;Helper!$B$7)</f>
        <v>1</v>
      </c>
      <c r="AT29" s="9" t="str">
        <f t="shared" ca="1" si="3"/>
        <v/>
      </c>
      <c r="AU29" s="9" cm="1">
        <f t="array" aca="1" ref="AU29" ca="1">CreateID($AU$2,$AT29&lt;&gt;"")</f>
        <v>0</v>
      </c>
      <c r="AV29" s="9" t="str">
        <f ca="1">IF(IFERROR(MATCH(","&amp;A29&amp;",",'Risk Treatment'!$AT:$AT,0)&gt;0,FALSE),"",$A29)</f>
        <v/>
      </c>
      <c r="AW29" s="9" cm="1">
        <f t="array" aca="1" ref="AW29" ca="1">CreateID($AW$2,$AV29&lt;&gt;"")</f>
        <v>0</v>
      </c>
      <c r="AX29" s="9" t="str" cm="1">
        <f t="array" aca="1" ref="AX29" ca="1">CreateSearchString($AA29)</f>
        <v/>
      </c>
    </row>
    <row r="30" spans="1:50" x14ac:dyDescent="0.25">
      <c r="A30" s="13" t="str" cm="1">
        <f t="array" aca="1" ref="A30" ca="1">IF($B30="","","R"&amp;RemoveDelimiter(SUBSTITUTE(SUBSTITUTE($K30,"AS",""),",","-"),"-"))</f>
        <v/>
      </c>
      <c r="B30" s="13" t="str" cm="1">
        <f t="array" aca="1" ref="B30" ca="1">IF($L30="","",_xlfn.LET(
_xlpm._finalAttackStep,$L30,
_xlpm._prepAttacks,RemoveFirstElement(_xlpm._finalAttackStep&amp;","&amp;$K30),
_xlpm._prepAttackNames,IFERROR(LookupNames(_xlpm._prepAttacks,'Attack Steps'!$A:$B),""),
_xlpm._delimiter,REPT(CHAR(150),55),
$L30&amp;" "&amp;SimpleLookup($L30,'Attack Steps'!$A:$B)&amp;
IF(_xlpm._prepAttackNames="","",CHAR(10)&amp;_xlpm._delimiter&amp;CHAR(10)&amp;_xlpm._prepAttackNames)))</f>
        <v/>
      </c>
      <c r="C30" s="16" t="str" cm="1">
        <f t="array" aca="1" ref="C30" ca="1">IFERROR(LookupNames($M30,'Damage Scenarios'!$A:$V),"")</f>
        <v/>
      </c>
      <c r="D30" s="13" t="str">
        <f ca="1">IFERROR(IF($T30=0,"",INDEX(Definitions!$Q:$Q,MATCH($T30,Definitions!$R:$R,0))),"")</f>
        <v/>
      </c>
      <c r="E30" s="16" t="str" cm="1">
        <f t="array" aca="1" ref="E30" ca="1">IF($K30="","",_xlfn.LET(
_xlpm._listOfAttackSteps,$K30,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30" s="13" t="str">
        <f ca="1">IF($A30="","",IFERROR(VLOOKUP($W30,Definitions!$V:$W,COLUMNS(Definitions!$V:$W),TRUE),""))</f>
        <v/>
      </c>
      <c r="G30" s="13" t="str">
        <f ca="1">IFERROR(IF(OR($D30="",$F30=""),
"",
VLOOKUP($D30,Definitions!$AH:$AM,MATCH($F30,Definitions!$AH$3:$AM$3,0),FALSE)),
"")</f>
        <v/>
      </c>
      <c r="H30" s="10" cm="1">
        <f t="array" aca="1" ref="H30" ca="1">CreateID($H$2,$A30&lt;&gt;"")</f>
        <v>0</v>
      </c>
      <c r="I30" s="9" cm="1">
        <f t="array" aca="1" ref="I30" ca="1">IF(ROW()=ROW($I$2)+1,
1,
INDEX($I:$I,ROW()-1)+IF(INDEX($S:$S,ROW()-1),1,0))</f>
        <v>1</v>
      </c>
      <c r="J30" s="9">
        <f t="shared" ca="1" si="0"/>
        <v>28</v>
      </c>
      <c r="K30" s="9" t="str">
        <f t="shared" ca="1" si="1"/>
        <v/>
      </c>
      <c r="L30" s="9" t="str" cm="1">
        <f t="array" aca="1" ref="L30" ca="1">IF($P30="","",INDEX('Attack Steps'!$A:$A,$P30))</f>
        <v/>
      </c>
      <c r="M30" s="9" t="str" cm="1">
        <f t="array" aca="1" ref="M30" ca="1">IF($P30="","",INDEX('Attack Steps'!$U:$U,$P30))</f>
        <v/>
      </c>
      <c r="N30" s="9" t="str" cm="1">
        <f t="array" aca="1" ref="N30" ca="1">_xlfn.LET(_xlpm._dm,SanitizeInput(GetValuesWithFallback(SanitizeInput($AA30),Assumptions!$A:$J,Countermeasures!$A:$J,"",",",FALSE)),
IF(_xlpm._dm="","",","&amp;_xlpm._dm))</f>
        <v/>
      </c>
      <c r="O30" s="9" t="str" cm="1">
        <f t="array" aca="1" ref="O30" ca="1">ApplyDamageMitigation($M30,$N30,"")</f>
        <v/>
      </c>
      <c r="P30" s="9" t="str">
        <f ca="1">IFERROR(MATCH($I30,'Attack Steps'!$W:$W,0),"")</f>
        <v/>
      </c>
      <c r="Q30" s="9" t="str" cm="1">
        <f t="array" aca="1" ref="Q30" ca="1">IF($P30="","","§"&amp;INDEX('Attack Steps'!$T:$T,$P30))</f>
        <v/>
      </c>
      <c r="R30" s="9" t="str" cm="1">
        <f t="array" aca="1" ref="R30" ca="1">IF($P30="","",INDEX('Attack Steps'!$X:$X,$P30))</f>
        <v/>
      </c>
      <c r="S30" s="9" t="b">
        <f t="shared" ca="1" si="2"/>
        <v>0</v>
      </c>
      <c r="T30" s="9" cm="1">
        <f t="array" aca="1" ref="T30" ca="1">IF($M30="",0,OperateOnList($M30,_xlfn.LAMBDA(_xlpm._x,SimpleLookup(_xlpm._x,'Damage Scenarios'!$A:$U)),_xlfn.LAMBDA(_xlpm._x,_xlpm._y,MAX(_xlpm._x,_xlpm._y))))</f>
        <v>0</v>
      </c>
      <c r="U30" s="9" cm="1">
        <f t="array" aca="1" ref="U30" ca="1">IF($O30="",0,OperateOnList($O30,_xlfn.LAMBDA(_xlpm._x,SimpleLookup(_xlpm._x,'Damage Scenarios'!$A:$U)),_xlfn.LAMBDA(_xlpm._x,_xlpm._y,MAX(_xlpm._x,_xlpm._y))))</f>
        <v>0</v>
      </c>
      <c r="V30" s="9" t="str">
        <f ca="1">IF($U30=0,"",INDEX(Definitions!$Q:$Q,MATCH($U30,Definitions!$R:$R,0)))</f>
        <v/>
      </c>
      <c r="W30" s="9" cm="1">
        <f t="array" aca="1" ref="W30" ca="1">IF($K30="",0,_xlfn.LET(
_xlpm._listOfAttackSteps,$K30,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30" s="9" t="str" cm="1">
        <f t="array" aca="1" ref="X30" ca="1">IF(ROW()=ROW($X$2)+1,"",INDEX($X:$X,ROW()-1))&amp;IF($A30="","",$A30&amp;",")</f>
        <v/>
      </c>
      <c r="Y30" s="9" t="str" cm="1">
        <f t="array" aca="1" ref="Y30" ca="1">CreateSearchString($K30)</f>
        <v/>
      </c>
      <c r="Z30" s="9" cm="1">
        <f t="array" aca="1" ref="Z30" ca="1">IF($G30="",0,SimpleLookup($G30,Definitions!$AE:$AF))</f>
        <v>0</v>
      </c>
      <c r="AA30" s="9" t="str" cm="1">
        <f t="array" aca="1" ref="AA30" ca="1">SanitizeInput(InverseLookup($A30,Mitigation!$U$2,Mitigation!$J$2,1,Helper!$B$5,","))</f>
        <v/>
      </c>
      <c r="AB30" s="9" cm="1">
        <f t="array" aca="1" ref="AB30" ca="1">IF($K30="",0,_xlfn.LET(
_xlpm._listOfAttackStepsAndMitigations,$K30&amp;$AA30,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30" s="9" t="str">
        <f ca="1">IFERROR(VLOOKUP($AB30,Definitions!$V:$W,COLUMNS(Definitions!$V:$W),TRUE),"")</f>
        <v>Basic</v>
      </c>
      <c r="AD30" s="9" t="str">
        <f ca="1">_xlfn.LET(
_xlpm._comments,GetValues($K30,Mitigation!$A:$O,"","",FALSE),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30" s="9" t="str" cm="1">
        <f t="array" aca="1" ref="AE30" ca="1">_xlfn.LET(
_xlpm._rapRange,Definitions!$W:$W,
_xlpm._calculatedRAP,$AC30,
_xlpm._inlineRAP,$AD30,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30" s="9" t="str">
        <f ca="1">IFERROR(IF(OR($V30="",$AE30=""),
Definitions!$AE$4,
VLOOKUP($V30,Definitions!$AH:$AM,MATCH($AE30,Definitions!$AH$3:$AM$3,0),FALSE)),
"")</f>
        <v>No Risk</v>
      </c>
      <c r="AG30" s="9" cm="1">
        <f t="array" aca="1" ref="AG30" ca="1">IF($AF30="",0,SimpleLookup($AF30,Definitions!$AE:$AF))</f>
        <v>0</v>
      </c>
      <c r="AH30" s="9" t="str" cm="1">
        <f t="array" aca="1" ref="AH30" ca="1">IFERROR(SimpleLookup($A30,Tracing!$B:$Z),"")</f>
        <v/>
      </c>
      <c r="AI30" s="9" t="str" cm="1">
        <f t="array" aca="1" ref="AI30" ca="1">_xlfn.LET(_xlpm._dm,SanitizeInput(GetValuesWithFallback(SanitizeInput($AH30),Assumptions!$A:$J,Countermeasures!$A:$J,"",",",FALSE)),
IF(_xlpm._dm="","",","&amp;_xlpm._dm))</f>
        <v/>
      </c>
      <c r="AJ30" s="9" t="str" cm="1">
        <f t="array" aca="1" ref="AJ30" ca="1">ApplyDamageMitigation($M30,$AI30,"")</f>
        <v/>
      </c>
      <c r="AK30" s="9" cm="1">
        <f t="array" aca="1" ref="AK30" ca="1">CalculateMaxFromList($AJ30,0,'Damage Scenarios'!$A:$U)</f>
        <v>0</v>
      </c>
      <c r="AL30" s="9" t="str">
        <f ca="1">IF($AK30=0,"",INDEX(Definitions!$Q:$Q,MATCH($AK30,Definitions!$R:$R,0)))</f>
        <v/>
      </c>
      <c r="AM30" s="9" cm="1">
        <f t="array" aca="1" ref="AM30" ca="1">IF($K30="",0,_xlfn.LET(
_xlpm._listOfAttackStepsAndMitigations,$K30&amp;$AH30,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30" s="9" t="str">
        <f ca="1">IFERROR(VLOOKUP($AM30,Definitions!$V:$W,COLUMNS(Definitions!$V:$W),TRUE),"")</f>
        <v>Basic</v>
      </c>
      <c r="AO30" s="9" t="str">
        <f ca="1">_xlfn.LET(
_xlpm._comments,SimpleLookup($A30,Tracing!$B:$AB),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30" s="9" t="str" cm="1">
        <f t="array" aca="1" ref="AP30" ca="1">_xlfn.LET(
_xlpm._rapRange,Definitions!$W:$W,
_xlpm._calculatedRAP,$AN30,
_xlpm._inlineRAP,$AO30,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30" s="9" t="str">
        <f ca="1">IFERROR(IF(OR($AL30="",$AP30=""),
Definitions!$AE$4,
VLOOKUP($AL30,Definitions!$AH:$AM,MATCH($AP30,Definitions!$AH$3:$AM$3,0),FALSE)),
"")</f>
        <v>No Risk</v>
      </c>
      <c r="AR30" s="9" cm="1">
        <f t="array" aca="1" ref="AR30" ca="1">IF($AQ30="",0,SimpleLookup($AQ30,Definitions!$AE:$AF))</f>
        <v>0</v>
      </c>
      <c r="AS30" s="9" t="b">
        <f ca="1">OR(AND($S30,$I30=Helper!$B$7),$I30&gt;Helper!$B$7)</f>
        <v>1</v>
      </c>
      <c r="AT30" s="9" t="str">
        <f t="shared" ca="1" si="3"/>
        <v/>
      </c>
      <c r="AU30" s="9" cm="1">
        <f t="array" aca="1" ref="AU30" ca="1">CreateID($AU$2,$AT30&lt;&gt;"")</f>
        <v>0</v>
      </c>
      <c r="AV30" s="9" t="str">
        <f ca="1">IF(IFERROR(MATCH(","&amp;A30&amp;",",'Risk Treatment'!$AT:$AT,0)&gt;0,FALSE),"",$A30)</f>
        <v/>
      </c>
      <c r="AW30" s="9" cm="1">
        <f t="array" aca="1" ref="AW30" ca="1">CreateID($AW$2,$AV30&lt;&gt;"")</f>
        <v>0</v>
      </c>
      <c r="AX30" s="9" t="str" cm="1">
        <f t="array" aca="1" ref="AX30" ca="1">CreateSearchString($AA30)</f>
        <v/>
      </c>
    </row>
    <row r="31" spans="1:50" x14ac:dyDescent="0.25">
      <c r="A31" s="13" t="str" cm="1">
        <f t="array" aca="1" ref="A31" ca="1">IF($B31="","","R"&amp;RemoveDelimiter(SUBSTITUTE(SUBSTITUTE($K31,"AS",""),",","-"),"-"))</f>
        <v/>
      </c>
      <c r="B31" s="13" t="str" cm="1">
        <f t="array" aca="1" ref="B31" ca="1">IF($L31="","",_xlfn.LET(
_xlpm._finalAttackStep,$L31,
_xlpm._prepAttacks,RemoveFirstElement(_xlpm._finalAttackStep&amp;","&amp;$K31),
_xlpm._prepAttackNames,IFERROR(LookupNames(_xlpm._prepAttacks,'Attack Steps'!$A:$B),""),
_xlpm._delimiter,REPT(CHAR(150),55),
$L31&amp;" "&amp;SimpleLookup($L31,'Attack Steps'!$A:$B)&amp;
IF(_xlpm._prepAttackNames="","",CHAR(10)&amp;_xlpm._delimiter&amp;CHAR(10)&amp;_xlpm._prepAttackNames)))</f>
        <v/>
      </c>
      <c r="C31" s="16" t="str" cm="1">
        <f t="array" aca="1" ref="C31" ca="1">IFERROR(LookupNames($M31,'Damage Scenarios'!$A:$V),"")</f>
        <v/>
      </c>
      <c r="D31" s="13" t="str">
        <f ca="1">IFERROR(IF($T31=0,"",INDEX(Definitions!$Q:$Q,MATCH($T31,Definitions!$R:$R,0))),"")</f>
        <v/>
      </c>
      <c r="E31" s="16" t="str" cm="1">
        <f t="array" aca="1" ref="E31" ca="1">IF($K31="","",_xlfn.LET(
_xlpm._listOfAttackSteps,$K31,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31" s="13" t="str">
        <f ca="1">IF($A31="","",IFERROR(VLOOKUP($W31,Definitions!$V:$W,COLUMNS(Definitions!$V:$W),TRUE),""))</f>
        <v/>
      </c>
      <c r="G31" s="13" t="str">
        <f ca="1">IFERROR(IF(OR($D31="",$F31=""),
"",
VLOOKUP($D31,Definitions!$AH:$AM,MATCH($F31,Definitions!$AH$3:$AM$3,0),FALSE)),
"")</f>
        <v/>
      </c>
      <c r="H31" s="10" cm="1">
        <f t="array" aca="1" ref="H31" ca="1">CreateID($H$2,$A31&lt;&gt;"")</f>
        <v>0</v>
      </c>
      <c r="I31" s="9" cm="1">
        <f t="array" aca="1" ref="I31" ca="1">IF(ROW()=ROW($I$2)+1,
1,
INDEX($I:$I,ROW()-1)+IF(INDEX($S:$S,ROW()-1),1,0))</f>
        <v>1</v>
      </c>
      <c r="J31" s="9">
        <f t="shared" ca="1" si="0"/>
        <v>29</v>
      </c>
      <c r="K31" s="9" t="str">
        <f t="shared" ca="1" si="1"/>
        <v/>
      </c>
      <c r="L31" s="9" t="str" cm="1">
        <f t="array" aca="1" ref="L31" ca="1">IF($P31="","",INDEX('Attack Steps'!$A:$A,$P31))</f>
        <v/>
      </c>
      <c r="M31" s="9" t="str" cm="1">
        <f t="array" aca="1" ref="M31" ca="1">IF($P31="","",INDEX('Attack Steps'!$U:$U,$P31))</f>
        <v/>
      </c>
      <c r="N31" s="9" t="str" cm="1">
        <f t="array" aca="1" ref="N31" ca="1">_xlfn.LET(_xlpm._dm,SanitizeInput(GetValuesWithFallback(SanitizeInput($AA31),Assumptions!$A:$J,Countermeasures!$A:$J,"",",",FALSE)),
IF(_xlpm._dm="","",","&amp;_xlpm._dm))</f>
        <v/>
      </c>
      <c r="O31" s="9" t="str" cm="1">
        <f t="array" aca="1" ref="O31" ca="1">ApplyDamageMitigation($M31,$N31,"")</f>
        <v/>
      </c>
      <c r="P31" s="9" t="str">
        <f ca="1">IFERROR(MATCH($I31,'Attack Steps'!$W:$W,0),"")</f>
        <v/>
      </c>
      <c r="Q31" s="9" t="str" cm="1">
        <f t="array" aca="1" ref="Q31" ca="1">IF($P31="","","§"&amp;INDEX('Attack Steps'!$T:$T,$P31))</f>
        <v/>
      </c>
      <c r="R31" s="9" t="str" cm="1">
        <f t="array" aca="1" ref="R31" ca="1">IF($P31="","",INDEX('Attack Steps'!$X:$X,$P31))</f>
        <v/>
      </c>
      <c r="S31" s="9" t="b">
        <f t="shared" ca="1" si="2"/>
        <v>0</v>
      </c>
      <c r="T31" s="9" cm="1">
        <f t="array" aca="1" ref="T31" ca="1">IF($M31="",0,OperateOnList($M31,_xlfn.LAMBDA(_xlpm._x,SimpleLookup(_xlpm._x,'Damage Scenarios'!$A:$U)),_xlfn.LAMBDA(_xlpm._x,_xlpm._y,MAX(_xlpm._x,_xlpm._y))))</f>
        <v>0</v>
      </c>
      <c r="U31" s="9" cm="1">
        <f t="array" aca="1" ref="U31" ca="1">IF($O31="",0,OperateOnList($O31,_xlfn.LAMBDA(_xlpm._x,SimpleLookup(_xlpm._x,'Damage Scenarios'!$A:$U)),_xlfn.LAMBDA(_xlpm._x,_xlpm._y,MAX(_xlpm._x,_xlpm._y))))</f>
        <v>0</v>
      </c>
      <c r="V31" s="9" t="str">
        <f ca="1">IF($U31=0,"",INDEX(Definitions!$Q:$Q,MATCH($U31,Definitions!$R:$R,0)))</f>
        <v/>
      </c>
      <c r="W31" s="9" cm="1">
        <f t="array" aca="1" ref="W31" ca="1">IF($K31="",0,_xlfn.LET(
_xlpm._listOfAttackSteps,$K31,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31" s="9" t="str" cm="1">
        <f t="array" aca="1" ref="X31" ca="1">IF(ROW()=ROW($X$2)+1,"",INDEX($X:$X,ROW()-1))&amp;IF($A31="","",$A31&amp;",")</f>
        <v/>
      </c>
      <c r="Y31" s="9" t="str" cm="1">
        <f t="array" aca="1" ref="Y31" ca="1">CreateSearchString($K31)</f>
        <v/>
      </c>
      <c r="Z31" s="9" cm="1">
        <f t="array" aca="1" ref="Z31" ca="1">IF($G31="",0,SimpleLookup($G31,Definitions!$AE:$AF))</f>
        <v>0</v>
      </c>
      <c r="AA31" s="9" t="str" cm="1">
        <f t="array" aca="1" ref="AA31" ca="1">SanitizeInput(InverseLookup($A31,Mitigation!$U$2,Mitigation!$J$2,1,Helper!$B$5,","))</f>
        <v/>
      </c>
      <c r="AB31" s="9" cm="1">
        <f t="array" aca="1" ref="AB31" ca="1">IF($K31="",0,_xlfn.LET(
_xlpm._listOfAttackStepsAndMitigations,$K31&amp;$AA31,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31" s="9" t="str">
        <f ca="1">IFERROR(VLOOKUP($AB31,Definitions!$V:$W,COLUMNS(Definitions!$V:$W),TRUE),"")</f>
        <v>Basic</v>
      </c>
      <c r="AD31" s="9" t="str">
        <f ca="1">_xlfn.LET(
_xlpm._comments,GetValues($K31,Mitigation!$A:$O,"","",FALSE),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31" s="9" t="str" cm="1">
        <f t="array" aca="1" ref="AE31" ca="1">_xlfn.LET(
_xlpm._rapRange,Definitions!$W:$W,
_xlpm._calculatedRAP,$AC31,
_xlpm._inlineRAP,$AD31,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31" s="9" t="str">
        <f ca="1">IFERROR(IF(OR($V31="",$AE31=""),
Definitions!$AE$4,
VLOOKUP($V31,Definitions!$AH:$AM,MATCH($AE31,Definitions!$AH$3:$AM$3,0),FALSE)),
"")</f>
        <v>No Risk</v>
      </c>
      <c r="AG31" s="9" cm="1">
        <f t="array" aca="1" ref="AG31" ca="1">IF($AF31="",0,SimpleLookup($AF31,Definitions!$AE:$AF))</f>
        <v>0</v>
      </c>
      <c r="AH31" s="9" t="str" cm="1">
        <f t="array" aca="1" ref="AH31" ca="1">IFERROR(SimpleLookup($A31,Tracing!$B:$Z),"")</f>
        <v/>
      </c>
      <c r="AI31" s="9" t="str" cm="1">
        <f t="array" aca="1" ref="AI31" ca="1">_xlfn.LET(_xlpm._dm,SanitizeInput(GetValuesWithFallback(SanitizeInput($AH31),Assumptions!$A:$J,Countermeasures!$A:$J,"",",",FALSE)),
IF(_xlpm._dm="","",","&amp;_xlpm._dm))</f>
        <v/>
      </c>
      <c r="AJ31" s="9" t="str" cm="1">
        <f t="array" aca="1" ref="AJ31" ca="1">ApplyDamageMitigation($M31,$AI31,"")</f>
        <v/>
      </c>
      <c r="AK31" s="9" cm="1">
        <f t="array" aca="1" ref="AK31" ca="1">CalculateMaxFromList($AJ31,0,'Damage Scenarios'!$A:$U)</f>
        <v>0</v>
      </c>
      <c r="AL31" s="9" t="str">
        <f ca="1">IF($AK31=0,"",INDEX(Definitions!$Q:$Q,MATCH($AK31,Definitions!$R:$R,0)))</f>
        <v/>
      </c>
      <c r="AM31" s="9" cm="1">
        <f t="array" aca="1" ref="AM31" ca="1">IF($K31="",0,_xlfn.LET(
_xlpm._listOfAttackStepsAndMitigations,$K31&amp;$AH31,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31" s="9" t="str">
        <f ca="1">IFERROR(VLOOKUP($AM31,Definitions!$V:$W,COLUMNS(Definitions!$V:$W),TRUE),"")</f>
        <v>Basic</v>
      </c>
      <c r="AO31" s="9" t="str">
        <f ca="1">_xlfn.LET(
_xlpm._comments,SimpleLookup($A31,Tracing!$B:$AB),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31" s="9" t="str" cm="1">
        <f t="array" aca="1" ref="AP31" ca="1">_xlfn.LET(
_xlpm._rapRange,Definitions!$W:$W,
_xlpm._calculatedRAP,$AN31,
_xlpm._inlineRAP,$AO31,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31" s="9" t="str">
        <f ca="1">IFERROR(IF(OR($AL31="",$AP31=""),
Definitions!$AE$4,
VLOOKUP($AL31,Definitions!$AH:$AM,MATCH($AP31,Definitions!$AH$3:$AM$3,0),FALSE)),
"")</f>
        <v>No Risk</v>
      </c>
      <c r="AR31" s="9" cm="1">
        <f t="array" aca="1" ref="AR31" ca="1">IF($AQ31="",0,SimpleLookup($AQ31,Definitions!$AE:$AF))</f>
        <v>0</v>
      </c>
      <c r="AS31" s="9" t="b">
        <f ca="1">OR(AND($S31,$I31=Helper!$B$7),$I31&gt;Helper!$B$7)</f>
        <v>1</v>
      </c>
      <c r="AT31" s="9" t="str">
        <f t="shared" ca="1" si="3"/>
        <v/>
      </c>
      <c r="AU31" s="9" cm="1">
        <f t="array" aca="1" ref="AU31" ca="1">CreateID($AU$2,$AT31&lt;&gt;"")</f>
        <v>0</v>
      </c>
      <c r="AV31" s="9" t="str">
        <f ca="1">IF(IFERROR(MATCH(","&amp;A31&amp;",",'Risk Treatment'!$AT:$AT,0)&gt;0,FALSE),"",$A31)</f>
        <v/>
      </c>
      <c r="AW31" s="9" cm="1">
        <f t="array" aca="1" ref="AW31" ca="1">CreateID($AW$2,$AV31&lt;&gt;"")</f>
        <v>0</v>
      </c>
      <c r="AX31" s="9" t="str" cm="1">
        <f t="array" aca="1" ref="AX31" ca="1">CreateSearchString($AA31)</f>
        <v/>
      </c>
    </row>
    <row r="32" spans="1:50" x14ac:dyDescent="0.25">
      <c r="A32" s="13" t="str" cm="1">
        <f t="array" aca="1" ref="A32" ca="1">IF($B32="","","R"&amp;RemoveDelimiter(SUBSTITUTE(SUBSTITUTE($K32,"AS",""),",","-"),"-"))</f>
        <v/>
      </c>
      <c r="B32" s="13" t="str" cm="1">
        <f t="array" aca="1" ref="B32" ca="1">IF($L32="","",_xlfn.LET(
_xlpm._finalAttackStep,$L32,
_xlpm._prepAttacks,RemoveFirstElement(_xlpm._finalAttackStep&amp;","&amp;$K32),
_xlpm._prepAttackNames,IFERROR(LookupNames(_xlpm._prepAttacks,'Attack Steps'!$A:$B),""),
_xlpm._delimiter,REPT(CHAR(150),55),
$L32&amp;" "&amp;SimpleLookup($L32,'Attack Steps'!$A:$B)&amp;
IF(_xlpm._prepAttackNames="","",CHAR(10)&amp;_xlpm._delimiter&amp;CHAR(10)&amp;_xlpm._prepAttackNames)))</f>
        <v/>
      </c>
      <c r="C32" s="16" t="str" cm="1">
        <f t="array" aca="1" ref="C32" ca="1">IFERROR(LookupNames($M32,'Damage Scenarios'!$A:$V),"")</f>
        <v/>
      </c>
      <c r="D32" s="13" t="str">
        <f ca="1">IFERROR(IF($T32=0,"",INDEX(Definitions!$Q:$Q,MATCH($T32,Definitions!$R:$R,0))),"")</f>
        <v/>
      </c>
      <c r="E32" s="16" t="str" cm="1">
        <f t="array" aca="1" ref="E32" ca="1">IF($K32="","",_xlfn.LET(
_xlpm._listOfAttackSteps,$K32,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32" s="13" t="str">
        <f ca="1">IF($A32="","",IFERROR(VLOOKUP($W32,Definitions!$V:$W,COLUMNS(Definitions!$V:$W),TRUE),""))</f>
        <v/>
      </c>
      <c r="G32" s="13" t="str">
        <f ca="1">IFERROR(IF(OR($D32="",$F32=""),
"",
VLOOKUP($D32,Definitions!$AH:$AM,MATCH($F32,Definitions!$AH$3:$AM$3,0),FALSE)),
"")</f>
        <v/>
      </c>
      <c r="H32" s="10" cm="1">
        <f t="array" aca="1" ref="H32" ca="1">CreateID($H$2,$A32&lt;&gt;"")</f>
        <v>0</v>
      </c>
      <c r="I32" s="9" cm="1">
        <f t="array" aca="1" ref="I32" ca="1">IF(ROW()=ROW($I$2)+1,
1,
INDEX($I:$I,ROW()-1)+IF(INDEX($S:$S,ROW()-1),1,0))</f>
        <v>1</v>
      </c>
      <c r="J32" s="9">
        <f t="shared" ca="1" si="0"/>
        <v>30</v>
      </c>
      <c r="K32" s="9" t="str">
        <f t="shared" ca="1" si="1"/>
        <v/>
      </c>
      <c r="L32" s="9" t="str" cm="1">
        <f t="array" aca="1" ref="L32" ca="1">IF($P32="","",INDEX('Attack Steps'!$A:$A,$P32))</f>
        <v/>
      </c>
      <c r="M32" s="9" t="str" cm="1">
        <f t="array" aca="1" ref="M32" ca="1">IF($P32="","",INDEX('Attack Steps'!$U:$U,$P32))</f>
        <v/>
      </c>
      <c r="N32" s="9" t="str" cm="1">
        <f t="array" aca="1" ref="N32" ca="1">_xlfn.LET(_xlpm._dm,SanitizeInput(GetValuesWithFallback(SanitizeInput($AA32),Assumptions!$A:$J,Countermeasures!$A:$J,"",",",FALSE)),
IF(_xlpm._dm="","",","&amp;_xlpm._dm))</f>
        <v/>
      </c>
      <c r="O32" s="9" t="str" cm="1">
        <f t="array" aca="1" ref="O32" ca="1">ApplyDamageMitigation($M32,$N32,"")</f>
        <v/>
      </c>
      <c r="P32" s="9" t="str">
        <f ca="1">IFERROR(MATCH($I32,'Attack Steps'!$W:$W,0),"")</f>
        <v/>
      </c>
      <c r="Q32" s="9" t="str" cm="1">
        <f t="array" aca="1" ref="Q32" ca="1">IF($P32="","","§"&amp;INDEX('Attack Steps'!$T:$T,$P32))</f>
        <v/>
      </c>
      <c r="R32" s="9" t="str" cm="1">
        <f t="array" aca="1" ref="R32" ca="1">IF($P32="","",INDEX('Attack Steps'!$X:$X,$P32))</f>
        <v/>
      </c>
      <c r="S32" s="9" t="b">
        <f t="shared" ca="1" si="2"/>
        <v>0</v>
      </c>
      <c r="T32" s="9" cm="1">
        <f t="array" aca="1" ref="T32" ca="1">IF($M32="",0,OperateOnList($M32,_xlfn.LAMBDA(_xlpm._x,SimpleLookup(_xlpm._x,'Damage Scenarios'!$A:$U)),_xlfn.LAMBDA(_xlpm._x,_xlpm._y,MAX(_xlpm._x,_xlpm._y))))</f>
        <v>0</v>
      </c>
      <c r="U32" s="9" cm="1">
        <f t="array" aca="1" ref="U32" ca="1">IF($O32="",0,OperateOnList($O32,_xlfn.LAMBDA(_xlpm._x,SimpleLookup(_xlpm._x,'Damage Scenarios'!$A:$U)),_xlfn.LAMBDA(_xlpm._x,_xlpm._y,MAX(_xlpm._x,_xlpm._y))))</f>
        <v>0</v>
      </c>
      <c r="V32" s="9" t="str">
        <f ca="1">IF($U32=0,"",INDEX(Definitions!$Q:$Q,MATCH($U32,Definitions!$R:$R,0)))</f>
        <v/>
      </c>
      <c r="W32" s="9" cm="1">
        <f t="array" aca="1" ref="W32" ca="1">IF($K32="",0,_xlfn.LET(
_xlpm._listOfAttackSteps,$K32,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32" s="9" t="str" cm="1">
        <f t="array" aca="1" ref="X32" ca="1">IF(ROW()=ROW($X$2)+1,"",INDEX($X:$X,ROW()-1))&amp;IF($A32="","",$A32&amp;",")</f>
        <v/>
      </c>
      <c r="Y32" s="9" t="str" cm="1">
        <f t="array" aca="1" ref="Y32" ca="1">CreateSearchString($K32)</f>
        <v/>
      </c>
      <c r="Z32" s="9" cm="1">
        <f t="array" aca="1" ref="Z32" ca="1">IF($G32="",0,SimpleLookup($G32,Definitions!$AE:$AF))</f>
        <v>0</v>
      </c>
      <c r="AA32" s="9" t="str" cm="1">
        <f t="array" aca="1" ref="AA32" ca="1">SanitizeInput(InverseLookup($A32,Mitigation!$U$2,Mitigation!$J$2,1,Helper!$B$5,","))</f>
        <v/>
      </c>
      <c r="AB32" s="9" cm="1">
        <f t="array" aca="1" ref="AB32" ca="1">IF($K32="",0,_xlfn.LET(
_xlpm._listOfAttackStepsAndMitigations,$K32&amp;$AA32,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32" s="9" t="str">
        <f ca="1">IFERROR(VLOOKUP($AB32,Definitions!$V:$W,COLUMNS(Definitions!$V:$W),TRUE),"")</f>
        <v>Basic</v>
      </c>
      <c r="AD32" s="9" t="str">
        <f ca="1">_xlfn.LET(
_xlpm._comments,GetValues($K32,Mitigation!$A:$O,"","",FALSE),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32" s="9" t="str" cm="1">
        <f t="array" aca="1" ref="AE32" ca="1">_xlfn.LET(
_xlpm._rapRange,Definitions!$W:$W,
_xlpm._calculatedRAP,$AC32,
_xlpm._inlineRAP,$AD32,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32" s="9" t="str">
        <f ca="1">IFERROR(IF(OR($V32="",$AE32=""),
Definitions!$AE$4,
VLOOKUP($V32,Definitions!$AH:$AM,MATCH($AE32,Definitions!$AH$3:$AM$3,0),FALSE)),
"")</f>
        <v>No Risk</v>
      </c>
      <c r="AG32" s="9" cm="1">
        <f t="array" aca="1" ref="AG32" ca="1">IF($AF32="",0,SimpleLookup($AF32,Definitions!$AE:$AF))</f>
        <v>0</v>
      </c>
      <c r="AH32" s="9" t="str" cm="1">
        <f t="array" aca="1" ref="AH32" ca="1">IFERROR(SimpleLookup($A32,Tracing!$B:$Z),"")</f>
        <v/>
      </c>
      <c r="AI32" s="9" t="str" cm="1">
        <f t="array" aca="1" ref="AI32" ca="1">_xlfn.LET(_xlpm._dm,SanitizeInput(GetValuesWithFallback(SanitizeInput($AH32),Assumptions!$A:$J,Countermeasures!$A:$J,"",",",FALSE)),
IF(_xlpm._dm="","",","&amp;_xlpm._dm))</f>
        <v/>
      </c>
      <c r="AJ32" s="9" t="str" cm="1">
        <f t="array" aca="1" ref="AJ32" ca="1">ApplyDamageMitigation($M32,$AI32,"")</f>
        <v/>
      </c>
      <c r="AK32" s="9" cm="1">
        <f t="array" aca="1" ref="AK32" ca="1">CalculateMaxFromList($AJ32,0,'Damage Scenarios'!$A:$U)</f>
        <v>0</v>
      </c>
      <c r="AL32" s="9" t="str">
        <f ca="1">IF($AK32=0,"",INDEX(Definitions!$Q:$Q,MATCH($AK32,Definitions!$R:$R,0)))</f>
        <v/>
      </c>
      <c r="AM32" s="9" cm="1">
        <f t="array" aca="1" ref="AM32" ca="1">IF($K32="",0,_xlfn.LET(
_xlpm._listOfAttackStepsAndMitigations,$K32&amp;$AH32,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32" s="9" t="str">
        <f ca="1">IFERROR(VLOOKUP($AM32,Definitions!$V:$W,COLUMNS(Definitions!$V:$W),TRUE),"")</f>
        <v>Basic</v>
      </c>
      <c r="AO32" s="9" t="str">
        <f ca="1">_xlfn.LET(
_xlpm._comments,SimpleLookup($A32,Tracing!$B:$AB),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32" s="9" t="str" cm="1">
        <f t="array" aca="1" ref="AP32" ca="1">_xlfn.LET(
_xlpm._rapRange,Definitions!$W:$W,
_xlpm._calculatedRAP,$AN32,
_xlpm._inlineRAP,$AO32,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32" s="9" t="str">
        <f ca="1">IFERROR(IF(OR($AL32="",$AP32=""),
Definitions!$AE$4,
VLOOKUP($AL32,Definitions!$AH:$AM,MATCH($AP32,Definitions!$AH$3:$AM$3,0),FALSE)),
"")</f>
        <v>No Risk</v>
      </c>
      <c r="AR32" s="9" cm="1">
        <f t="array" aca="1" ref="AR32" ca="1">IF($AQ32="",0,SimpleLookup($AQ32,Definitions!$AE:$AF))</f>
        <v>0</v>
      </c>
      <c r="AS32" s="9" t="b">
        <f ca="1">OR(AND($S32,$I32=Helper!$B$7),$I32&gt;Helper!$B$7)</f>
        <v>1</v>
      </c>
      <c r="AT32" s="9" t="str">
        <f t="shared" ca="1" si="3"/>
        <v/>
      </c>
      <c r="AU32" s="9" cm="1">
        <f t="array" aca="1" ref="AU32" ca="1">CreateID($AU$2,$AT32&lt;&gt;"")</f>
        <v>0</v>
      </c>
      <c r="AV32" s="9" t="str">
        <f ca="1">IF(IFERROR(MATCH(","&amp;A32&amp;",",'Risk Treatment'!$AT:$AT,0)&gt;0,FALSE),"",$A32)</f>
        <v/>
      </c>
      <c r="AW32" s="9" cm="1">
        <f t="array" aca="1" ref="AW32" ca="1">CreateID($AW$2,$AV32&lt;&gt;"")</f>
        <v>0</v>
      </c>
      <c r="AX32" s="9" t="str" cm="1">
        <f t="array" aca="1" ref="AX32" ca="1">CreateSearchString($AA32)</f>
        <v/>
      </c>
    </row>
    <row r="33" spans="1:50" x14ac:dyDescent="0.25">
      <c r="A33" s="13" t="str" cm="1">
        <f t="array" aca="1" ref="A33" ca="1">IF($B33="","","R"&amp;RemoveDelimiter(SUBSTITUTE(SUBSTITUTE($K33,"AS",""),",","-"),"-"))</f>
        <v/>
      </c>
      <c r="B33" s="13" t="str" cm="1">
        <f t="array" aca="1" ref="B33" ca="1">IF($L33="","",_xlfn.LET(
_xlpm._finalAttackStep,$L33,
_xlpm._prepAttacks,RemoveFirstElement(_xlpm._finalAttackStep&amp;","&amp;$K33),
_xlpm._prepAttackNames,IFERROR(LookupNames(_xlpm._prepAttacks,'Attack Steps'!$A:$B),""),
_xlpm._delimiter,REPT(CHAR(150),55),
$L33&amp;" "&amp;SimpleLookup($L33,'Attack Steps'!$A:$B)&amp;
IF(_xlpm._prepAttackNames="","",CHAR(10)&amp;_xlpm._delimiter&amp;CHAR(10)&amp;_xlpm._prepAttackNames)))</f>
        <v/>
      </c>
      <c r="C33" s="16" t="str" cm="1">
        <f t="array" aca="1" ref="C33" ca="1">IFERROR(LookupNames($M33,'Damage Scenarios'!$A:$V),"")</f>
        <v/>
      </c>
      <c r="D33" s="13" t="str">
        <f ca="1">IFERROR(IF($T33=0,"",INDEX(Definitions!$Q:$Q,MATCH($T33,Definitions!$R:$R,0))),"")</f>
        <v/>
      </c>
      <c r="E33" s="16" t="str" cm="1">
        <f t="array" aca="1" ref="E33" ca="1">IF($K33="","",_xlfn.LET(
_xlpm._listOfAttackSteps,$K33,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33" s="13" t="str">
        <f ca="1">IF($A33="","",IFERROR(VLOOKUP($W33,Definitions!$V:$W,COLUMNS(Definitions!$V:$W),TRUE),""))</f>
        <v/>
      </c>
      <c r="G33" s="13" t="str">
        <f ca="1">IFERROR(IF(OR($D33="",$F33=""),
"",
VLOOKUP($D33,Definitions!$AH:$AM,MATCH($F33,Definitions!$AH$3:$AM$3,0),FALSE)),
"")</f>
        <v/>
      </c>
      <c r="H33" s="10" cm="1">
        <f t="array" aca="1" ref="H33" ca="1">CreateID($H$2,$A33&lt;&gt;"")</f>
        <v>0</v>
      </c>
      <c r="I33" s="9" cm="1">
        <f t="array" aca="1" ref="I33" ca="1">IF(ROW()=ROW($I$2)+1,
1,
INDEX($I:$I,ROW()-1)+IF(INDEX($S:$S,ROW()-1),1,0))</f>
        <v>1</v>
      </c>
      <c r="J33" s="9">
        <f t="shared" ca="1" si="0"/>
        <v>31</v>
      </c>
      <c r="K33" s="9" t="str">
        <f t="shared" ca="1" si="1"/>
        <v/>
      </c>
      <c r="L33" s="9" t="str" cm="1">
        <f t="array" aca="1" ref="L33" ca="1">IF($P33="","",INDEX('Attack Steps'!$A:$A,$P33))</f>
        <v/>
      </c>
      <c r="M33" s="9" t="str" cm="1">
        <f t="array" aca="1" ref="M33" ca="1">IF($P33="","",INDEX('Attack Steps'!$U:$U,$P33))</f>
        <v/>
      </c>
      <c r="N33" s="9" t="str" cm="1">
        <f t="array" aca="1" ref="N33" ca="1">_xlfn.LET(_xlpm._dm,SanitizeInput(GetValuesWithFallback(SanitizeInput($AA33),Assumptions!$A:$J,Countermeasures!$A:$J,"",",",FALSE)),
IF(_xlpm._dm="","",","&amp;_xlpm._dm))</f>
        <v/>
      </c>
      <c r="O33" s="9" t="str" cm="1">
        <f t="array" aca="1" ref="O33" ca="1">ApplyDamageMitigation($M33,$N33,"")</f>
        <v/>
      </c>
      <c r="P33" s="9" t="str">
        <f ca="1">IFERROR(MATCH($I33,'Attack Steps'!$W:$W,0),"")</f>
        <v/>
      </c>
      <c r="Q33" s="9" t="str" cm="1">
        <f t="array" aca="1" ref="Q33" ca="1">IF($P33="","","§"&amp;INDEX('Attack Steps'!$T:$T,$P33))</f>
        <v/>
      </c>
      <c r="R33" s="9" t="str" cm="1">
        <f t="array" aca="1" ref="R33" ca="1">IF($P33="","",INDEX('Attack Steps'!$X:$X,$P33))</f>
        <v/>
      </c>
      <c r="S33" s="9" t="b">
        <f t="shared" ca="1" si="2"/>
        <v>0</v>
      </c>
      <c r="T33" s="9" cm="1">
        <f t="array" aca="1" ref="T33" ca="1">IF($M33="",0,OperateOnList($M33,_xlfn.LAMBDA(_xlpm._x,SimpleLookup(_xlpm._x,'Damage Scenarios'!$A:$U)),_xlfn.LAMBDA(_xlpm._x,_xlpm._y,MAX(_xlpm._x,_xlpm._y))))</f>
        <v>0</v>
      </c>
      <c r="U33" s="9" cm="1">
        <f t="array" aca="1" ref="U33" ca="1">IF($O33="",0,OperateOnList($O33,_xlfn.LAMBDA(_xlpm._x,SimpleLookup(_xlpm._x,'Damage Scenarios'!$A:$U)),_xlfn.LAMBDA(_xlpm._x,_xlpm._y,MAX(_xlpm._x,_xlpm._y))))</f>
        <v>0</v>
      </c>
      <c r="V33" s="9" t="str">
        <f ca="1">IF($U33=0,"",INDEX(Definitions!$Q:$Q,MATCH($U33,Definitions!$R:$R,0)))</f>
        <v/>
      </c>
      <c r="W33" s="9" cm="1">
        <f t="array" aca="1" ref="W33" ca="1">IF($K33="",0,_xlfn.LET(
_xlpm._listOfAttackSteps,$K33,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33" s="9" t="str" cm="1">
        <f t="array" aca="1" ref="X33" ca="1">IF(ROW()=ROW($X$2)+1,"",INDEX($X:$X,ROW()-1))&amp;IF($A33="","",$A33&amp;",")</f>
        <v/>
      </c>
      <c r="Y33" s="9" t="str" cm="1">
        <f t="array" aca="1" ref="Y33" ca="1">CreateSearchString($K33)</f>
        <v/>
      </c>
      <c r="Z33" s="9" cm="1">
        <f t="array" aca="1" ref="Z33" ca="1">IF($G33="",0,SimpleLookup($G33,Definitions!$AE:$AF))</f>
        <v>0</v>
      </c>
      <c r="AA33" s="9" t="str" cm="1">
        <f t="array" aca="1" ref="AA33" ca="1">SanitizeInput(InverseLookup($A33,Mitigation!$U$2,Mitigation!$J$2,1,Helper!$B$5,","))</f>
        <v/>
      </c>
      <c r="AB33" s="9" cm="1">
        <f t="array" aca="1" ref="AB33" ca="1">IF($K33="",0,_xlfn.LET(
_xlpm._listOfAttackStepsAndMitigations,$K33&amp;$AA33,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33" s="9" t="str">
        <f ca="1">IFERROR(VLOOKUP($AB33,Definitions!$V:$W,COLUMNS(Definitions!$V:$W),TRUE),"")</f>
        <v>Basic</v>
      </c>
      <c r="AD33" s="9" t="str">
        <f ca="1">_xlfn.LET(
_xlpm._comments,GetValues($K33,Mitigation!$A:$O,"","",FALSE),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33" s="9" t="str" cm="1">
        <f t="array" aca="1" ref="AE33" ca="1">_xlfn.LET(
_xlpm._rapRange,Definitions!$W:$W,
_xlpm._calculatedRAP,$AC33,
_xlpm._inlineRAP,$AD33,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33" s="9" t="str">
        <f ca="1">IFERROR(IF(OR($V33="",$AE33=""),
Definitions!$AE$4,
VLOOKUP($V33,Definitions!$AH:$AM,MATCH($AE33,Definitions!$AH$3:$AM$3,0),FALSE)),
"")</f>
        <v>No Risk</v>
      </c>
      <c r="AG33" s="9" cm="1">
        <f t="array" aca="1" ref="AG33" ca="1">IF($AF33="",0,SimpleLookup($AF33,Definitions!$AE:$AF))</f>
        <v>0</v>
      </c>
      <c r="AH33" s="9" t="str" cm="1">
        <f t="array" aca="1" ref="AH33" ca="1">IFERROR(SimpleLookup($A33,Tracing!$B:$Z),"")</f>
        <v/>
      </c>
      <c r="AI33" s="9" t="str" cm="1">
        <f t="array" aca="1" ref="AI33" ca="1">_xlfn.LET(_xlpm._dm,SanitizeInput(GetValuesWithFallback(SanitizeInput($AH33),Assumptions!$A:$J,Countermeasures!$A:$J,"",",",FALSE)),
IF(_xlpm._dm="","",","&amp;_xlpm._dm))</f>
        <v/>
      </c>
      <c r="AJ33" s="9" t="str" cm="1">
        <f t="array" aca="1" ref="AJ33" ca="1">ApplyDamageMitigation($M33,$AI33,"")</f>
        <v/>
      </c>
      <c r="AK33" s="9" cm="1">
        <f t="array" aca="1" ref="AK33" ca="1">CalculateMaxFromList($AJ33,0,'Damage Scenarios'!$A:$U)</f>
        <v>0</v>
      </c>
      <c r="AL33" s="9" t="str">
        <f ca="1">IF($AK33=0,"",INDEX(Definitions!$Q:$Q,MATCH($AK33,Definitions!$R:$R,0)))</f>
        <v/>
      </c>
      <c r="AM33" s="9" cm="1">
        <f t="array" aca="1" ref="AM33" ca="1">IF($K33="",0,_xlfn.LET(
_xlpm._listOfAttackStepsAndMitigations,$K33&amp;$AH33,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33" s="9" t="str">
        <f ca="1">IFERROR(VLOOKUP($AM33,Definitions!$V:$W,COLUMNS(Definitions!$V:$W),TRUE),"")</f>
        <v>Basic</v>
      </c>
      <c r="AO33" s="9" t="str">
        <f ca="1">_xlfn.LET(
_xlpm._comments,SimpleLookup($A33,Tracing!$B:$AB),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33" s="9" t="str" cm="1">
        <f t="array" aca="1" ref="AP33" ca="1">_xlfn.LET(
_xlpm._rapRange,Definitions!$W:$W,
_xlpm._calculatedRAP,$AN33,
_xlpm._inlineRAP,$AO33,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33" s="9" t="str">
        <f ca="1">IFERROR(IF(OR($AL33="",$AP33=""),
Definitions!$AE$4,
VLOOKUP($AL33,Definitions!$AH:$AM,MATCH($AP33,Definitions!$AH$3:$AM$3,0),FALSE)),
"")</f>
        <v>No Risk</v>
      </c>
      <c r="AR33" s="9" cm="1">
        <f t="array" aca="1" ref="AR33" ca="1">IF($AQ33="",0,SimpleLookup($AQ33,Definitions!$AE:$AF))</f>
        <v>0</v>
      </c>
      <c r="AS33" s="9" t="b">
        <f ca="1">OR(AND($S33,$I33=Helper!$B$7),$I33&gt;Helper!$B$7)</f>
        <v>1</v>
      </c>
      <c r="AT33" s="9" t="str">
        <f t="shared" ca="1" si="3"/>
        <v/>
      </c>
      <c r="AU33" s="9" cm="1">
        <f t="array" aca="1" ref="AU33" ca="1">CreateID($AU$2,$AT33&lt;&gt;"")</f>
        <v>0</v>
      </c>
      <c r="AV33" s="9" t="str">
        <f ca="1">IF(IFERROR(MATCH(","&amp;A33&amp;",",'Risk Treatment'!$AT:$AT,0)&gt;0,FALSE),"",$A33)</f>
        <v/>
      </c>
      <c r="AW33" s="9" cm="1">
        <f t="array" aca="1" ref="AW33" ca="1">CreateID($AW$2,$AV33&lt;&gt;"")</f>
        <v>0</v>
      </c>
      <c r="AX33" s="9" t="str" cm="1">
        <f t="array" aca="1" ref="AX33" ca="1">CreateSearchString($AA33)</f>
        <v/>
      </c>
    </row>
    <row r="34" spans="1:50" x14ac:dyDescent="0.25">
      <c r="A34" s="13" t="str" cm="1">
        <f t="array" aca="1" ref="A34" ca="1">IF($B34="","","R"&amp;RemoveDelimiter(SUBSTITUTE(SUBSTITUTE($K34,"AS",""),",","-"),"-"))</f>
        <v/>
      </c>
      <c r="B34" s="13" t="str" cm="1">
        <f t="array" aca="1" ref="B34" ca="1">IF($L34="","",_xlfn.LET(
_xlpm._finalAttackStep,$L34,
_xlpm._prepAttacks,RemoveFirstElement(_xlpm._finalAttackStep&amp;","&amp;$K34),
_xlpm._prepAttackNames,IFERROR(LookupNames(_xlpm._prepAttacks,'Attack Steps'!$A:$B),""),
_xlpm._delimiter,REPT(CHAR(150),55),
$L34&amp;" "&amp;SimpleLookup($L34,'Attack Steps'!$A:$B)&amp;
IF(_xlpm._prepAttackNames="","",CHAR(10)&amp;_xlpm._delimiter&amp;CHAR(10)&amp;_xlpm._prepAttackNames)))</f>
        <v/>
      </c>
      <c r="C34" s="16" t="str" cm="1">
        <f t="array" aca="1" ref="C34" ca="1">IFERROR(LookupNames($M34,'Damage Scenarios'!$A:$V),"")</f>
        <v/>
      </c>
      <c r="D34" s="13" t="str">
        <f ca="1">IFERROR(IF($T34=0,"",INDEX(Definitions!$Q:$Q,MATCH($T34,Definitions!$R:$R,0))),"")</f>
        <v/>
      </c>
      <c r="E34" s="16" t="str" cm="1">
        <f t="array" aca="1" ref="E34" ca="1">IF($K34="","",_xlfn.LET(
_xlpm._listOfAttackSteps,$K34,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34" s="13" t="str">
        <f ca="1">IF($A34="","",IFERROR(VLOOKUP($W34,Definitions!$V:$W,COLUMNS(Definitions!$V:$W),TRUE),""))</f>
        <v/>
      </c>
      <c r="G34" s="13" t="str">
        <f ca="1">IFERROR(IF(OR($D34="",$F34=""),
"",
VLOOKUP($D34,Definitions!$AH:$AM,MATCH($F34,Definitions!$AH$3:$AM$3,0),FALSE)),
"")</f>
        <v/>
      </c>
      <c r="H34" s="10" cm="1">
        <f t="array" aca="1" ref="H34" ca="1">CreateID($H$2,$A34&lt;&gt;"")</f>
        <v>0</v>
      </c>
      <c r="I34" s="9" cm="1">
        <f t="array" aca="1" ref="I34" ca="1">IF(ROW()=ROW($I$2)+1,
1,
INDEX($I:$I,ROW()-1)+IF(INDEX($S:$S,ROW()-1),1,0))</f>
        <v>1</v>
      </c>
      <c r="J34" s="9">
        <f t="shared" ca="1" si="0"/>
        <v>32</v>
      </c>
      <c r="K34" s="9" t="str">
        <f t="shared" ca="1" si="1"/>
        <v/>
      </c>
      <c r="L34" s="9" t="str" cm="1">
        <f t="array" aca="1" ref="L34" ca="1">IF($P34="","",INDEX('Attack Steps'!$A:$A,$P34))</f>
        <v/>
      </c>
      <c r="M34" s="9" t="str" cm="1">
        <f t="array" aca="1" ref="M34" ca="1">IF($P34="","",INDEX('Attack Steps'!$U:$U,$P34))</f>
        <v/>
      </c>
      <c r="N34" s="9" t="str" cm="1">
        <f t="array" aca="1" ref="N34" ca="1">_xlfn.LET(_xlpm._dm,SanitizeInput(GetValuesWithFallback(SanitizeInput($AA34),Assumptions!$A:$J,Countermeasures!$A:$J,"",",",FALSE)),
IF(_xlpm._dm="","",","&amp;_xlpm._dm))</f>
        <v/>
      </c>
      <c r="O34" s="9" t="str" cm="1">
        <f t="array" aca="1" ref="O34" ca="1">ApplyDamageMitigation($M34,$N34,"")</f>
        <v/>
      </c>
      <c r="P34" s="9" t="str">
        <f ca="1">IFERROR(MATCH($I34,'Attack Steps'!$W:$W,0),"")</f>
        <v/>
      </c>
      <c r="Q34" s="9" t="str" cm="1">
        <f t="array" aca="1" ref="Q34" ca="1">IF($P34="","","§"&amp;INDEX('Attack Steps'!$T:$T,$P34))</f>
        <v/>
      </c>
      <c r="R34" s="9" t="str" cm="1">
        <f t="array" aca="1" ref="R34" ca="1">IF($P34="","",INDEX('Attack Steps'!$X:$X,$P34))</f>
        <v/>
      </c>
      <c r="S34" s="9" t="b">
        <f t="shared" ca="1" si="2"/>
        <v>0</v>
      </c>
      <c r="T34" s="9" cm="1">
        <f t="array" aca="1" ref="T34" ca="1">IF($M34="",0,OperateOnList($M34,_xlfn.LAMBDA(_xlpm._x,SimpleLookup(_xlpm._x,'Damage Scenarios'!$A:$U)),_xlfn.LAMBDA(_xlpm._x,_xlpm._y,MAX(_xlpm._x,_xlpm._y))))</f>
        <v>0</v>
      </c>
      <c r="U34" s="9" cm="1">
        <f t="array" aca="1" ref="U34" ca="1">IF($O34="",0,OperateOnList($O34,_xlfn.LAMBDA(_xlpm._x,SimpleLookup(_xlpm._x,'Damage Scenarios'!$A:$U)),_xlfn.LAMBDA(_xlpm._x,_xlpm._y,MAX(_xlpm._x,_xlpm._y))))</f>
        <v>0</v>
      </c>
      <c r="V34" s="9" t="str">
        <f ca="1">IF($U34=0,"",INDEX(Definitions!$Q:$Q,MATCH($U34,Definitions!$R:$R,0)))</f>
        <v/>
      </c>
      <c r="W34" s="9" cm="1">
        <f t="array" aca="1" ref="W34" ca="1">IF($K34="",0,_xlfn.LET(
_xlpm._listOfAttackSteps,$K34,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34" s="9" t="str" cm="1">
        <f t="array" aca="1" ref="X34" ca="1">IF(ROW()=ROW($X$2)+1,"",INDEX($X:$X,ROW()-1))&amp;IF($A34="","",$A34&amp;",")</f>
        <v/>
      </c>
      <c r="Y34" s="9" t="str" cm="1">
        <f t="array" aca="1" ref="Y34" ca="1">CreateSearchString($K34)</f>
        <v/>
      </c>
      <c r="Z34" s="9" cm="1">
        <f t="array" aca="1" ref="Z34" ca="1">IF($G34="",0,SimpleLookup($G34,Definitions!$AE:$AF))</f>
        <v>0</v>
      </c>
      <c r="AA34" s="9" t="str" cm="1">
        <f t="array" aca="1" ref="AA34" ca="1">SanitizeInput(InverseLookup($A34,Mitigation!$U$2,Mitigation!$J$2,1,Helper!$B$5,","))</f>
        <v/>
      </c>
      <c r="AB34" s="9" cm="1">
        <f t="array" aca="1" ref="AB34" ca="1">IF($K34="",0,_xlfn.LET(
_xlpm._listOfAttackStepsAndMitigations,$K34&amp;$AA34,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34" s="9" t="str">
        <f ca="1">IFERROR(VLOOKUP($AB34,Definitions!$V:$W,COLUMNS(Definitions!$V:$W),TRUE),"")</f>
        <v>Basic</v>
      </c>
      <c r="AD34" s="9" t="str">
        <f ca="1">_xlfn.LET(
_xlpm._comments,GetValues($K34,Mitigation!$A:$O,"","",FALSE),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34" s="9" t="str" cm="1">
        <f t="array" aca="1" ref="AE34" ca="1">_xlfn.LET(
_xlpm._rapRange,Definitions!$W:$W,
_xlpm._calculatedRAP,$AC34,
_xlpm._inlineRAP,$AD34,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34" s="9" t="str">
        <f ca="1">IFERROR(IF(OR($V34="",$AE34=""),
Definitions!$AE$4,
VLOOKUP($V34,Definitions!$AH:$AM,MATCH($AE34,Definitions!$AH$3:$AM$3,0),FALSE)),
"")</f>
        <v>No Risk</v>
      </c>
      <c r="AG34" s="9" cm="1">
        <f t="array" aca="1" ref="AG34" ca="1">IF($AF34="",0,SimpleLookup($AF34,Definitions!$AE:$AF))</f>
        <v>0</v>
      </c>
      <c r="AH34" s="9" t="str" cm="1">
        <f t="array" aca="1" ref="AH34" ca="1">IFERROR(SimpleLookup($A34,Tracing!$B:$Z),"")</f>
        <v/>
      </c>
      <c r="AI34" s="9" t="str" cm="1">
        <f t="array" aca="1" ref="AI34" ca="1">_xlfn.LET(_xlpm._dm,SanitizeInput(GetValuesWithFallback(SanitizeInput($AH34),Assumptions!$A:$J,Countermeasures!$A:$J,"",",",FALSE)),
IF(_xlpm._dm="","",","&amp;_xlpm._dm))</f>
        <v/>
      </c>
      <c r="AJ34" s="9" t="str" cm="1">
        <f t="array" aca="1" ref="AJ34" ca="1">ApplyDamageMitigation($M34,$AI34,"")</f>
        <v/>
      </c>
      <c r="AK34" s="9" cm="1">
        <f t="array" aca="1" ref="AK34" ca="1">CalculateMaxFromList($AJ34,0,'Damage Scenarios'!$A:$U)</f>
        <v>0</v>
      </c>
      <c r="AL34" s="9" t="str">
        <f ca="1">IF($AK34=0,"",INDEX(Definitions!$Q:$Q,MATCH($AK34,Definitions!$R:$R,0)))</f>
        <v/>
      </c>
      <c r="AM34" s="9" cm="1">
        <f t="array" aca="1" ref="AM34" ca="1">IF($K34="",0,_xlfn.LET(
_xlpm._listOfAttackStepsAndMitigations,$K34&amp;$AH34,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34" s="9" t="str">
        <f ca="1">IFERROR(VLOOKUP($AM34,Definitions!$V:$W,COLUMNS(Definitions!$V:$W),TRUE),"")</f>
        <v>Basic</v>
      </c>
      <c r="AO34" s="9" t="str">
        <f ca="1">_xlfn.LET(
_xlpm._comments,SimpleLookup($A34,Tracing!$B:$AB),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34" s="9" t="str" cm="1">
        <f t="array" aca="1" ref="AP34" ca="1">_xlfn.LET(
_xlpm._rapRange,Definitions!$W:$W,
_xlpm._calculatedRAP,$AN34,
_xlpm._inlineRAP,$AO34,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34" s="9" t="str">
        <f ca="1">IFERROR(IF(OR($AL34="",$AP34=""),
Definitions!$AE$4,
VLOOKUP($AL34,Definitions!$AH:$AM,MATCH($AP34,Definitions!$AH$3:$AM$3,0),FALSE)),
"")</f>
        <v>No Risk</v>
      </c>
      <c r="AR34" s="9" cm="1">
        <f t="array" aca="1" ref="AR34" ca="1">IF($AQ34="",0,SimpleLookup($AQ34,Definitions!$AE:$AF))</f>
        <v>0</v>
      </c>
      <c r="AS34" s="9" t="b">
        <f ca="1">OR(AND($S34,$I34=Helper!$B$7),$I34&gt;Helper!$B$7)</f>
        <v>1</v>
      </c>
      <c r="AT34" s="9" t="str">
        <f t="shared" ca="1" si="3"/>
        <v/>
      </c>
      <c r="AU34" s="9" cm="1">
        <f t="array" aca="1" ref="AU34" ca="1">CreateID($AU$2,$AT34&lt;&gt;"")</f>
        <v>0</v>
      </c>
      <c r="AV34" s="9" t="str">
        <f ca="1">IF(IFERROR(MATCH(","&amp;A34&amp;",",'Risk Treatment'!$AT:$AT,0)&gt;0,FALSE),"",$A34)</f>
        <v/>
      </c>
      <c r="AW34" s="9" cm="1">
        <f t="array" aca="1" ref="AW34" ca="1">CreateID($AW$2,$AV34&lt;&gt;"")</f>
        <v>0</v>
      </c>
      <c r="AX34" s="9" t="str" cm="1">
        <f t="array" aca="1" ref="AX34" ca="1">CreateSearchString($AA34)</f>
        <v/>
      </c>
    </row>
    <row r="35" spans="1:50" x14ac:dyDescent="0.25">
      <c r="A35" s="13" t="str" cm="1">
        <f t="array" aca="1" ref="A35" ca="1">IF($B35="","","R"&amp;RemoveDelimiter(SUBSTITUTE(SUBSTITUTE($K35,"AS",""),",","-"),"-"))</f>
        <v/>
      </c>
      <c r="B35" s="13" t="str" cm="1">
        <f t="array" aca="1" ref="B35" ca="1">IF($L35="","",_xlfn.LET(
_xlpm._finalAttackStep,$L35,
_xlpm._prepAttacks,RemoveFirstElement(_xlpm._finalAttackStep&amp;","&amp;$K35),
_xlpm._prepAttackNames,IFERROR(LookupNames(_xlpm._prepAttacks,'Attack Steps'!$A:$B),""),
_xlpm._delimiter,REPT(CHAR(150),55),
$L35&amp;" "&amp;SimpleLookup($L35,'Attack Steps'!$A:$B)&amp;
IF(_xlpm._prepAttackNames="","",CHAR(10)&amp;_xlpm._delimiter&amp;CHAR(10)&amp;_xlpm._prepAttackNames)))</f>
        <v/>
      </c>
      <c r="C35" s="16" t="str" cm="1">
        <f t="array" aca="1" ref="C35" ca="1">IFERROR(LookupNames($M35,'Damage Scenarios'!$A:$V),"")</f>
        <v/>
      </c>
      <c r="D35" s="13" t="str">
        <f ca="1">IFERROR(IF($T35=0,"",INDEX(Definitions!$Q:$Q,MATCH($T35,Definitions!$R:$R,0))),"")</f>
        <v/>
      </c>
      <c r="E35" s="16" t="str" cm="1">
        <f t="array" aca="1" ref="E35" ca="1">IF($K35="","",_xlfn.LET(
_xlpm._listOfAttackSteps,$K35,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35" s="13" t="str">
        <f ca="1">IF($A35="","",IFERROR(VLOOKUP($W35,Definitions!$V:$W,COLUMNS(Definitions!$V:$W),TRUE),""))</f>
        <v/>
      </c>
      <c r="G35" s="13" t="str">
        <f ca="1">IFERROR(IF(OR($D35="",$F35=""),
"",
VLOOKUP($D35,Definitions!$AH:$AM,MATCH($F35,Definitions!$AH$3:$AM$3,0),FALSE)),
"")</f>
        <v/>
      </c>
      <c r="H35" s="10" cm="1">
        <f t="array" aca="1" ref="H35" ca="1">CreateID($H$2,$A35&lt;&gt;"")</f>
        <v>0</v>
      </c>
      <c r="I35" s="9" cm="1">
        <f t="array" aca="1" ref="I35" ca="1">IF(ROW()=ROW($I$2)+1,
1,
INDEX($I:$I,ROW()-1)+IF(INDEX($S:$S,ROW()-1),1,0))</f>
        <v>1</v>
      </c>
      <c r="J35" s="9">
        <f t="shared" ref="J35:J66" ca="1" si="4">COUNTIF(OFFSET($I$2,1,0,ROW()-ROW($I$2),1),$I35)</f>
        <v>33</v>
      </c>
      <c r="K35" s="9" t="str">
        <f t="shared" ref="K35:K68" ca="1" si="5">IF($Q35="","",_xlfn.LET(
_xlpm._aps,$Q35,
_xlpm._firstPos,FIND("$",SUBSTITUTE(_xlpm._aps,"§","$",$J35))+1,
_xlpm._lastPos,FIND("$",SUBSTITUTE(_xlpm._aps,"§","$",$J35+1)),
MID(_xlpm._aps,_xlpm._firstPos,_xlpm._lastPos-_xlpm._firstPos)))</f>
        <v/>
      </c>
      <c r="L35" s="9" t="str" cm="1">
        <f t="array" aca="1" ref="L35" ca="1">IF($P35="","",INDEX('Attack Steps'!$A:$A,$P35))</f>
        <v/>
      </c>
      <c r="M35" s="9" t="str" cm="1">
        <f t="array" aca="1" ref="M35" ca="1">IF($P35="","",INDEX('Attack Steps'!$U:$U,$P35))</f>
        <v/>
      </c>
      <c r="N35" s="9" t="str" cm="1">
        <f t="array" aca="1" ref="N35" ca="1">_xlfn.LET(_xlpm._dm,SanitizeInput(GetValuesWithFallback(SanitizeInput($AA35),Assumptions!$A:$J,Countermeasures!$A:$J,"",",",FALSE)),
IF(_xlpm._dm="","",","&amp;_xlpm._dm))</f>
        <v/>
      </c>
      <c r="O35" s="9" t="str" cm="1">
        <f t="array" aca="1" ref="O35" ca="1">ApplyDamageMitigation($M35,$N35,"")</f>
        <v/>
      </c>
      <c r="P35" s="9" t="str">
        <f ca="1">IFERROR(MATCH($I35,'Attack Steps'!$W:$W,0),"")</f>
        <v/>
      </c>
      <c r="Q35" s="9" t="str" cm="1">
        <f t="array" aca="1" ref="Q35" ca="1">IF($P35="","","§"&amp;INDEX('Attack Steps'!$T:$T,$P35))</f>
        <v/>
      </c>
      <c r="R35" s="9" t="str" cm="1">
        <f t="array" aca="1" ref="R35" ca="1">IF($P35="","",INDEX('Attack Steps'!$X:$X,$P35))</f>
        <v/>
      </c>
      <c r="S35" s="9" t="b">
        <f t="shared" ref="S35:S68" ca="1" si="6">$J35=$R35</f>
        <v>0</v>
      </c>
      <c r="T35" s="9" cm="1">
        <f t="array" aca="1" ref="T35" ca="1">IF($M35="",0,OperateOnList($M35,_xlfn.LAMBDA(_xlpm._x,SimpleLookup(_xlpm._x,'Damage Scenarios'!$A:$U)),_xlfn.LAMBDA(_xlpm._x,_xlpm._y,MAX(_xlpm._x,_xlpm._y))))</f>
        <v>0</v>
      </c>
      <c r="U35" s="9" cm="1">
        <f t="array" aca="1" ref="U35" ca="1">IF($O35="",0,OperateOnList($O35,_xlfn.LAMBDA(_xlpm._x,SimpleLookup(_xlpm._x,'Damage Scenarios'!$A:$U)),_xlfn.LAMBDA(_xlpm._x,_xlpm._y,MAX(_xlpm._x,_xlpm._y))))</f>
        <v>0</v>
      </c>
      <c r="V35" s="9" t="str">
        <f ca="1">IF($U35=0,"",INDEX(Definitions!$Q:$Q,MATCH($U35,Definitions!$R:$R,0)))</f>
        <v/>
      </c>
      <c r="W35" s="9" cm="1">
        <f t="array" aca="1" ref="W35" ca="1">IF($K35="",0,_xlfn.LET(
_xlpm._listOfAttackSteps,$K35,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35" s="9" t="str" cm="1">
        <f t="array" aca="1" ref="X35" ca="1">IF(ROW()=ROW($X$2)+1,"",INDEX($X:$X,ROW()-1))&amp;IF($A35="","",$A35&amp;",")</f>
        <v/>
      </c>
      <c r="Y35" s="9" t="str" cm="1">
        <f t="array" aca="1" ref="Y35" ca="1">CreateSearchString($K35)</f>
        <v/>
      </c>
      <c r="Z35" s="9" cm="1">
        <f t="array" aca="1" ref="Z35" ca="1">IF($G35="",0,SimpleLookup($G35,Definitions!$AE:$AF))</f>
        <v>0</v>
      </c>
      <c r="AA35" s="9" t="str" cm="1">
        <f t="array" aca="1" ref="AA35" ca="1">SanitizeInput(InverseLookup($A35,Mitigation!$U$2,Mitigation!$J$2,1,Helper!$B$5,","))</f>
        <v/>
      </c>
      <c r="AB35" s="9" cm="1">
        <f t="array" aca="1" ref="AB35" ca="1">IF($K35="",0,_xlfn.LET(
_xlpm._listOfAttackStepsAndMitigations,$K35&amp;$AA35,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35" s="9" t="str">
        <f ca="1">IFERROR(VLOOKUP($AB35,Definitions!$V:$W,COLUMNS(Definitions!$V:$W),TRUE),"")</f>
        <v>Basic</v>
      </c>
      <c r="AD35" s="9" t="str">
        <f ca="1">_xlfn.LET(
_xlpm._comments,GetValues($K35,Mitigation!$A:$O,"","",FALSE),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35" s="9" t="str" cm="1">
        <f t="array" aca="1" ref="AE35" ca="1">_xlfn.LET(
_xlpm._rapRange,Definitions!$W:$W,
_xlpm._calculatedRAP,$AC35,
_xlpm._inlineRAP,$AD35,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35" s="9" t="str">
        <f ca="1">IFERROR(IF(OR($V35="",$AE35=""),
Definitions!$AE$4,
VLOOKUP($V35,Definitions!$AH:$AM,MATCH($AE35,Definitions!$AH$3:$AM$3,0),FALSE)),
"")</f>
        <v>No Risk</v>
      </c>
      <c r="AG35" s="9" cm="1">
        <f t="array" aca="1" ref="AG35" ca="1">IF($AF35="",0,SimpleLookup($AF35,Definitions!$AE:$AF))</f>
        <v>0</v>
      </c>
      <c r="AH35" s="9" t="str" cm="1">
        <f t="array" aca="1" ref="AH35" ca="1">IFERROR(SimpleLookup($A35,Tracing!$B:$Z),"")</f>
        <v/>
      </c>
      <c r="AI35" s="9" t="str" cm="1">
        <f t="array" aca="1" ref="AI35" ca="1">_xlfn.LET(_xlpm._dm,SanitizeInput(GetValuesWithFallback(SanitizeInput($AH35),Assumptions!$A:$J,Countermeasures!$A:$J,"",",",FALSE)),
IF(_xlpm._dm="","",","&amp;_xlpm._dm))</f>
        <v/>
      </c>
      <c r="AJ35" s="9" t="str" cm="1">
        <f t="array" aca="1" ref="AJ35" ca="1">ApplyDamageMitigation($M35,$AI35,"")</f>
        <v/>
      </c>
      <c r="AK35" s="9" cm="1">
        <f t="array" aca="1" ref="AK35" ca="1">CalculateMaxFromList($AJ35,0,'Damage Scenarios'!$A:$U)</f>
        <v>0</v>
      </c>
      <c r="AL35" s="9" t="str">
        <f ca="1">IF($AK35=0,"",INDEX(Definitions!$Q:$Q,MATCH($AK35,Definitions!$R:$R,0)))</f>
        <v/>
      </c>
      <c r="AM35" s="9" cm="1">
        <f t="array" aca="1" ref="AM35" ca="1">IF($K35="",0,_xlfn.LET(
_xlpm._listOfAttackStepsAndMitigations,$K35&amp;$AH35,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35" s="9" t="str">
        <f ca="1">IFERROR(VLOOKUP($AM35,Definitions!$V:$W,COLUMNS(Definitions!$V:$W),TRUE),"")</f>
        <v>Basic</v>
      </c>
      <c r="AO35" s="9" t="str">
        <f ca="1">_xlfn.LET(
_xlpm._comments,SimpleLookup($A35,Tracing!$B:$AB),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35" s="9" t="str" cm="1">
        <f t="array" aca="1" ref="AP35" ca="1">_xlfn.LET(
_xlpm._rapRange,Definitions!$W:$W,
_xlpm._calculatedRAP,$AN35,
_xlpm._inlineRAP,$AO35,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35" s="9" t="str">
        <f ca="1">IFERROR(IF(OR($AL35="",$AP35=""),
Definitions!$AE$4,
VLOOKUP($AL35,Definitions!$AH:$AM,MATCH($AP35,Definitions!$AH$3:$AM$3,0),FALSE)),
"")</f>
        <v>No Risk</v>
      </c>
      <c r="AR35" s="9" cm="1">
        <f t="array" aca="1" ref="AR35" ca="1">IF($AQ35="",0,SimpleLookup($AQ35,Definitions!$AE:$AF))</f>
        <v>0</v>
      </c>
      <c r="AS35" s="9" t="b">
        <f ca="1">OR(AND($S35,$I35=Helper!$B$7),$I35&gt;Helper!$B$7)</f>
        <v>1</v>
      </c>
      <c r="AT35" s="9" t="str">
        <f t="shared" ref="AT35:AT68" ca="1" si="7">IF(NOT(OR($AS35,AND(NOT($AS35),OFFSET($AS35,1,0)&lt;&gt;""))),"Please enlarge the table!","")</f>
        <v/>
      </c>
      <c r="AU35" s="9" cm="1">
        <f t="array" aca="1" ref="AU35" ca="1">CreateID($AU$2,$AT35&lt;&gt;"")</f>
        <v>0</v>
      </c>
      <c r="AV35" s="9" t="str">
        <f ca="1">IF(IFERROR(MATCH(","&amp;A35&amp;",",'Risk Treatment'!$AT:$AT,0)&gt;0,FALSE),"",$A35)</f>
        <v/>
      </c>
      <c r="AW35" s="9" cm="1">
        <f t="array" aca="1" ref="AW35" ca="1">CreateID($AW$2,$AV35&lt;&gt;"")</f>
        <v>0</v>
      </c>
      <c r="AX35" s="9" t="str" cm="1">
        <f t="array" aca="1" ref="AX35" ca="1">CreateSearchString($AA35)</f>
        <v/>
      </c>
    </row>
    <row r="36" spans="1:50" x14ac:dyDescent="0.25">
      <c r="A36" s="13" t="str" cm="1">
        <f t="array" aca="1" ref="A36" ca="1">IF($B36="","","R"&amp;RemoveDelimiter(SUBSTITUTE(SUBSTITUTE($K36,"AS",""),",","-"),"-"))</f>
        <v/>
      </c>
      <c r="B36" s="13" t="str" cm="1">
        <f t="array" aca="1" ref="B36" ca="1">IF($L36="","",_xlfn.LET(
_xlpm._finalAttackStep,$L36,
_xlpm._prepAttacks,RemoveFirstElement(_xlpm._finalAttackStep&amp;","&amp;$K36),
_xlpm._prepAttackNames,IFERROR(LookupNames(_xlpm._prepAttacks,'Attack Steps'!$A:$B),""),
_xlpm._delimiter,REPT(CHAR(150),55),
$L36&amp;" "&amp;SimpleLookup($L36,'Attack Steps'!$A:$B)&amp;
IF(_xlpm._prepAttackNames="","",CHAR(10)&amp;_xlpm._delimiter&amp;CHAR(10)&amp;_xlpm._prepAttackNames)))</f>
        <v/>
      </c>
      <c r="C36" s="16" t="str" cm="1">
        <f t="array" aca="1" ref="C36" ca="1">IFERROR(LookupNames($M36,'Damage Scenarios'!$A:$V),"")</f>
        <v/>
      </c>
      <c r="D36" s="13" t="str">
        <f ca="1">IFERROR(IF($T36=0,"",INDEX(Definitions!$Q:$Q,MATCH($T36,Definitions!$R:$R,0))),"")</f>
        <v/>
      </c>
      <c r="E36" s="16" t="str" cm="1">
        <f t="array" aca="1" ref="E36" ca="1">IF($K36="","",_xlfn.LET(
_xlpm._listOfAttackSteps,$K36,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36" s="13" t="str">
        <f ca="1">IF($A36="","",IFERROR(VLOOKUP($W36,Definitions!$V:$W,COLUMNS(Definitions!$V:$W),TRUE),""))</f>
        <v/>
      </c>
      <c r="G36" s="13" t="str">
        <f ca="1">IFERROR(IF(OR($D36="",$F36=""),
"",
VLOOKUP($D36,Definitions!$AH:$AM,MATCH($F36,Definitions!$AH$3:$AM$3,0),FALSE)),
"")</f>
        <v/>
      </c>
      <c r="H36" s="10" cm="1">
        <f t="array" aca="1" ref="H36" ca="1">CreateID($H$2,$A36&lt;&gt;"")</f>
        <v>0</v>
      </c>
      <c r="I36" s="9" cm="1">
        <f t="array" aca="1" ref="I36" ca="1">IF(ROW()=ROW($I$2)+1,
1,
INDEX($I:$I,ROW()-1)+IF(INDEX($S:$S,ROW()-1),1,0))</f>
        <v>1</v>
      </c>
      <c r="J36" s="9">
        <f t="shared" ca="1" si="4"/>
        <v>34</v>
      </c>
      <c r="K36" s="9" t="str">
        <f t="shared" ca="1" si="5"/>
        <v/>
      </c>
      <c r="L36" s="9" t="str" cm="1">
        <f t="array" aca="1" ref="L36" ca="1">IF($P36="","",INDEX('Attack Steps'!$A:$A,$P36))</f>
        <v/>
      </c>
      <c r="M36" s="9" t="str" cm="1">
        <f t="array" aca="1" ref="M36" ca="1">IF($P36="","",INDEX('Attack Steps'!$U:$U,$P36))</f>
        <v/>
      </c>
      <c r="N36" s="9" t="str" cm="1">
        <f t="array" aca="1" ref="N36" ca="1">_xlfn.LET(_xlpm._dm,SanitizeInput(GetValuesWithFallback(SanitizeInput($AA36),Assumptions!$A:$J,Countermeasures!$A:$J,"",",",FALSE)),
IF(_xlpm._dm="","",","&amp;_xlpm._dm))</f>
        <v/>
      </c>
      <c r="O36" s="9" t="str" cm="1">
        <f t="array" aca="1" ref="O36" ca="1">ApplyDamageMitigation($M36,$N36,"")</f>
        <v/>
      </c>
      <c r="P36" s="9" t="str">
        <f ca="1">IFERROR(MATCH($I36,'Attack Steps'!$W:$W,0),"")</f>
        <v/>
      </c>
      <c r="Q36" s="9" t="str" cm="1">
        <f t="array" aca="1" ref="Q36" ca="1">IF($P36="","","§"&amp;INDEX('Attack Steps'!$T:$T,$P36))</f>
        <v/>
      </c>
      <c r="R36" s="9" t="str" cm="1">
        <f t="array" aca="1" ref="R36" ca="1">IF($P36="","",INDEX('Attack Steps'!$X:$X,$P36))</f>
        <v/>
      </c>
      <c r="S36" s="9" t="b">
        <f t="shared" ca="1" si="6"/>
        <v>0</v>
      </c>
      <c r="T36" s="9" cm="1">
        <f t="array" aca="1" ref="T36" ca="1">IF($M36="",0,OperateOnList($M36,_xlfn.LAMBDA(_xlpm._x,SimpleLookup(_xlpm._x,'Damage Scenarios'!$A:$U)),_xlfn.LAMBDA(_xlpm._x,_xlpm._y,MAX(_xlpm._x,_xlpm._y))))</f>
        <v>0</v>
      </c>
      <c r="U36" s="9" cm="1">
        <f t="array" aca="1" ref="U36" ca="1">IF($O36="",0,OperateOnList($O36,_xlfn.LAMBDA(_xlpm._x,SimpleLookup(_xlpm._x,'Damage Scenarios'!$A:$U)),_xlfn.LAMBDA(_xlpm._x,_xlpm._y,MAX(_xlpm._x,_xlpm._y))))</f>
        <v>0</v>
      </c>
      <c r="V36" s="9" t="str">
        <f ca="1">IF($U36=0,"",INDEX(Definitions!$Q:$Q,MATCH($U36,Definitions!$R:$R,0)))</f>
        <v/>
      </c>
      <c r="W36" s="9" cm="1">
        <f t="array" aca="1" ref="W36" ca="1">IF($K36="",0,_xlfn.LET(
_xlpm._listOfAttackSteps,$K36,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36" s="9" t="str" cm="1">
        <f t="array" aca="1" ref="X36" ca="1">IF(ROW()=ROW($X$2)+1,"",INDEX($X:$X,ROW()-1))&amp;IF($A36="","",$A36&amp;",")</f>
        <v/>
      </c>
      <c r="Y36" s="9" t="str" cm="1">
        <f t="array" aca="1" ref="Y36" ca="1">CreateSearchString($K36)</f>
        <v/>
      </c>
      <c r="Z36" s="9" cm="1">
        <f t="array" aca="1" ref="Z36" ca="1">IF($G36="",0,SimpleLookup($G36,Definitions!$AE:$AF))</f>
        <v>0</v>
      </c>
      <c r="AA36" s="9" t="str" cm="1">
        <f t="array" aca="1" ref="AA36" ca="1">SanitizeInput(InverseLookup($A36,Mitigation!$U$2,Mitigation!$J$2,1,Helper!$B$5,","))</f>
        <v/>
      </c>
      <c r="AB36" s="9" cm="1">
        <f t="array" aca="1" ref="AB36" ca="1">IF($K36="",0,_xlfn.LET(
_xlpm._listOfAttackStepsAndMitigations,$K36&amp;$AA36,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36" s="9" t="str">
        <f ca="1">IFERROR(VLOOKUP($AB36,Definitions!$V:$W,COLUMNS(Definitions!$V:$W),TRUE),"")</f>
        <v>Basic</v>
      </c>
      <c r="AD36" s="9" t="str">
        <f ca="1">_xlfn.LET(
_xlpm._comments,GetValues($K36,Mitigation!$A:$O,"","",FALSE),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36" s="9" t="str" cm="1">
        <f t="array" aca="1" ref="AE36" ca="1">_xlfn.LET(
_xlpm._rapRange,Definitions!$W:$W,
_xlpm._calculatedRAP,$AC36,
_xlpm._inlineRAP,$AD36,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36" s="9" t="str">
        <f ca="1">IFERROR(IF(OR($V36="",$AE36=""),
Definitions!$AE$4,
VLOOKUP($V36,Definitions!$AH:$AM,MATCH($AE36,Definitions!$AH$3:$AM$3,0),FALSE)),
"")</f>
        <v>No Risk</v>
      </c>
      <c r="AG36" s="9" cm="1">
        <f t="array" aca="1" ref="AG36" ca="1">IF($AF36="",0,SimpleLookup($AF36,Definitions!$AE:$AF))</f>
        <v>0</v>
      </c>
      <c r="AH36" s="9" t="str" cm="1">
        <f t="array" aca="1" ref="AH36" ca="1">IFERROR(SimpleLookup($A36,Tracing!$B:$Z),"")</f>
        <v/>
      </c>
      <c r="AI36" s="9" t="str" cm="1">
        <f t="array" aca="1" ref="AI36" ca="1">_xlfn.LET(_xlpm._dm,SanitizeInput(GetValuesWithFallback(SanitizeInput($AH36),Assumptions!$A:$J,Countermeasures!$A:$J,"",",",FALSE)),
IF(_xlpm._dm="","",","&amp;_xlpm._dm))</f>
        <v/>
      </c>
      <c r="AJ36" s="9" t="str" cm="1">
        <f t="array" aca="1" ref="AJ36" ca="1">ApplyDamageMitigation($M36,$AI36,"")</f>
        <v/>
      </c>
      <c r="AK36" s="9" cm="1">
        <f t="array" aca="1" ref="AK36" ca="1">CalculateMaxFromList($AJ36,0,'Damage Scenarios'!$A:$U)</f>
        <v>0</v>
      </c>
      <c r="AL36" s="9" t="str">
        <f ca="1">IF($AK36=0,"",INDEX(Definitions!$Q:$Q,MATCH($AK36,Definitions!$R:$R,0)))</f>
        <v/>
      </c>
      <c r="AM36" s="9" cm="1">
        <f t="array" aca="1" ref="AM36" ca="1">IF($K36="",0,_xlfn.LET(
_xlpm._listOfAttackStepsAndMitigations,$K36&amp;$AH36,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36" s="9" t="str">
        <f ca="1">IFERROR(VLOOKUP($AM36,Definitions!$V:$W,COLUMNS(Definitions!$V:$W),TRUE),"")</f>
        <v>Basic</v>
      </c>
      <c r="AO36" s="9" t="str">
        <f ca="1">_xlfn.LET(
_xlpm._comments,SimpleLookup($A36,Tracing!$B:$AB),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36" s="9" t="str" cm="1">
        <f t="array" aca="1" ref="AP36" ca="1">_xlfn.LET(
_xlpm._rapRange,Definitions!$W:$W,
_xlpm._calculatedRAP,$AN36,
_xlpm._inlineRAP,$AO36,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36" s="9" t="str">
        <f ca="1">IFERROR(IF(OR($AL36="",$AP36=""),
Definitions!$AE$4,
VLOOKUP($AL36,Definitions!$AH:$AM,MATCH($AP36,Definitions!$AH$3:$AM$3,0),FALSE)),
"")</f>
        <v>No Risk</v>
      </c>
      <c r="AR36" s="9" cm="1">
        <f t="array" aca="1" ref="AR36" ca="1">IF($AQ36="",0,SimpleLookup($AQ36,Definitions!$AE:$AF))</f>
        <v>0</v>
      </c>
      <c r="AS36" s="9" t="b">
        <f ca="1">OR(AND($S36,$I36=Helper!$B$7),$I36&gt;Helper!$B$7)</f>
        <v>1</v>
      </c>
      <c r="AT36" s="9" t="str">
        <f t="shared" ca="1" si="7"/>
        <v/>
      </c>
      <c r="AU36" s="9" cm="1">
        <f t="array" aca="1" ref="AU36" ca="1">CreateID($AU$2,$AT36&lt;&gt;"")</f>
        <v>0</v>
      </c>
      <c r="AV36" s="9" t="str">
        <f ca="1">IF(IFERROR(MATCH(","&amp;A36&amp;",",'Risk Treatment'!$AT:$AT,0)&gt;0,FALSE),"",$A36)</f>
        <v/>
      </c>
      <c r="AW36" s="9" cm="1">
        <f t="array" aca="1" ref="AW36" ca="1">CreateID($AW$2,$AV36&lt;&gt;"")</f>
        <v>0</v>
      </c>
      <c r="AX36" s="9" t="str" cm="1">
        <f t="array" aca="1" ref="AX36" ca="1">CreateSearchString($AA36)</f>
        <v/>
      </c>
    </row>
    <row r="37" spans="1:50" x14ac:dyDescent="0.25">
      <c r="A37" s="13" t="str" cm="1">
        <f t="array" aca="1" ref="A37" ca="1">IF($B37="","","R"&amp;RemoveDelimiter(SUBSTITUTE(SUBSTITUTE($K37,"AS",""),",","-"),"-"))</f>
        <v/>
      </c>
      <c r="B37" s="13" t="str" cm="1">
        <f t="array" aca="1" ref="B37" ca="1">IF($L37="","",_xlfn.LET(
_xlpm._finalAttackStep,$L37,
_xlpm._prepAttacks,RemoveFirstElement(_xlpm._finalAttackStep&amp;","&amp;$K37),
_xlpm._prepAttackNames,IFERROR(LookupNames(_xlpm._prepAttacks,'Attack Steps'!$A:$B),""),
_xlpm._delimiter,REPT(CHAR(150),55),
$L37&amp;" "&amp;SimpleLookup($L37,'Attack Steps'!$A:$B)&amp;
IF(_xlpm._prepAttackNames="","",CHAR(10)&amp;_xlpm._delimiter&amp;CHAR(10)&amp;_xlpm._prepAttackNames)))</f>
        <v/>
      </c>
      <c r="C37" s="16" t="str" cm="1">
        <f t="array" aca="1" ref="C37" ca="1">IFERROR(LookupNames($M37,'Damage Scenarios'!$A:$V),"")</f>
        <v/>
      </c>
      <c r="D37" s="13" t="str">
        <f ca="1">IFERROR(IF($T37=0,"",INDEX(Definitions!$Q:$Q,MATCH($T37,Definitions!$R:$R,0))),"")</f>
        <v/>
      </c>
      <c r="E37" s="16" t="str" cm="1">
        <f t="array" aca="1" ref="E37" ca="1">IF($K37="","",_xlfn.LET(
_xlpm._listOfAttackSteps,$K37,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37" s="13" t="str">
        <f ca="1">IF($A37="","",IFERROR(VLOOKUP($W37,Definitions!$V:$W,COLUMNS(Definitions!$V:$W),TRUE),""))</f>
        <v/>
      </c>
      <c r="G37" s="13" t="str">
        <f ca="1">IFERROR(IF(OR($D37="",$F37=""),
"",
VLOOKUP($D37,Definitions!$AH:$AM,MATCH($F37,Definitions!$AH$3:$AM$3,0),FALSE)),
"")</f>
        <v/>
      </c>
      <c r="H37" s="10" cm="1">
        <f t="array" aca="1" ref="H37" ca="1">CreateID($H$2,$A37&lt;&gt;"")</f>
        <v>0</v>
      </c>
      <c r="I37" s="9" cm="1">
        <f t="array" aca="1" ref="I37" ca="1">IF(ROW()=ROW($I$2)+1,
1,
INDEX($I:$I,ROW()-1)+IF(INDEX($S:$S,ROW()-1),1,0))</f>
        <v>1</v>
      </c>
      <c r="J37" s="9">
        <f t="shared" ca="1" si="4"/>
        <v>35</v>
      </c>
      <c r="K37" s="9" t="str">
        <f t="shared" ca="1" si="5"/>
        <v/>
      </c>
      <c r="L37" s="9" t="str" cm="1">
        <f t="array" aca="1" ref="L37" ca="1">IF($P37="","",INDEX('Attack Steps'!$A:$A,$P37))</f>
        <v/>
      </c>
      <c r="M37" s="9" t="str" cm="1">
        <f t="array" aca="1" ref="M37" ca="1">IF($P37="","",INDEX('Attack Steps'!$U:$U,$P37))</f>
        <v/>
      </c>
      <c r="N37" s="9" t="str" cm="1">
        <f t="array" aca="1" ref="N37" ca="1">_xlfn.LET(_xlpm._dm,SanitizeInput(GetValuesWithFallback(SanitizeInput($AA37),Assumptions!$A:$J,Countermeasures!$A:$J,"",",",FALSE)),
IF(_xlpm._dm="","",","&amp;_xlpm._dm))</f>
        <v/>
      </c>
      <c r="O37" s="9" t="str" cm="1">
        <f t="array" aca="1" ref="O37" ca="1">ApplyDamageMitigation($M37,$N37,"")</f>
        <v/>
      </c>
      <c r="P37" s="9" t="str">
        <f ca="1">IFERROR(MATCH($I37,'Attack Steps'!$W:$W,0),"")</f>
        <v/>
      </c>
      <c r="Q37" s="9" t="str" cm="1">
        <f t="array" aca="1" ref="Q37" ca="1">IF($P37="","","§"&amp;INDEX('Attack Steps'!$T:$T,$P37))</f>
        <v/>
      </c>
      <c r="R37" s="9" t="str" cm="1">
        <f t="array" aca="1" ref="R37" ca="1">IF($P37="","",INDEX('Attack Steps'!$X:$X,$P37))</f>
        <v/>
      </c>
      <c r="S37" s="9" t="b">
        <f t="shared" ca="1" si="6"/>
        <v>0</v>
      </c>
      <c r="T37" s="9" cm="1">
        <f t="array" aca="1" ref="T37" ca="1">IF($M37="",0,OperateOnList($M37,_xlfn.LAMBDA(_xlpm._x,SimpleLookup(_xlpm._x,'Damage Scenarios'!$A:$U)),_xlfn.LAMBDA(_xlpm._x,_xlpm._y,MAX(_xlpm._x,_xlpm._y))))</f>
        <v>0</v>
      </c>
      <c r="U37" s="9" cm="1">
        <f t="array" aca="1" ref="U37" ca="1">IF($O37="",0,OperateOnList($O37,_xlfn.LAMBDA(_xlpm._x,SimpleLookup(_xlpm._x,'Damage Scenarios'!$A:$U)),_xlfn.LAMBDA(_xlpm._x,_xlpm._y,MAX(_xlpm._x,_xlpm._y))))</f>
        <v>0</v>
      </c>
      <c r="V37" s="9" t="str">
        <f ca="1">IF($U37=0,"",INDEX(Definitions!$Q:$Q,MATCH($U37,Definitions!$R:$R,0)))</f>
        <v/>
      </c>
      <c r="W37" s="9" cm="1">
        <f t="array" aca="1" ref="W37" ca="1">IF($K37="",0,_xlfn.LET(
_xlpm._listOfAttackSteps,$K37,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37" s="9" t="str" cm="1">
        <f t="array" aca="1" ref="X37" ca="1">IF(ROW()=ROW($X$2)+1,"",INDEX($X:$X,ROW()-1))&amp;IF($A37="","",$A37&amp;",")</f>
        <v/>
      </c>
      <c r="Y37" s="9" t="str" cm="1">
        <f t="array" aca="1" ref="Y37" ca="1">CreateSearchString($K37)</f>
        <v/>
      </c>
      <c r="Z37" s="9" cm="1">
        <f t="array" aca="1" ref="Z37" ca="1">IF($G37="",0,SimpleLookup($G37,Definitions!$AE:$AF))</f>
        <v>0</v>
      </c>
      <c r="AA37" s="9" t="str" cm="1">
        <f t="array" aca="1" ref="AA37" ca="1">SanitizeInput(InverseLookup($A37,Mitigation!$U$2,Mitigation!$J$2,1,Helper!$B$5,","))</f>
        <v/>
      </c>
      <c r="AB37" s="9" cm="1">
        <f t="array" aca="1" ref="AB37" ca="1">IF($K37="",0,_xlfn.LET(
_xlpm._listOfAttackStepsAndMitigations,$K37&amp;$AA37,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37" s="9" t="str">
        <f ca="1">IFERROR(VLOOKUP($AB37,Definitions!$V:$W,COLUMNS(Definitions!$V:$W),TRUE),"")</f>
        <v>Basic</v>
      </c>
      <c r="AD37" s="9" t="str">
        <f ca="1">_xlfn.LET(
_xlpm._comments,GetValues($K37,Mitigation!$A:$O,"","",FALSE),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37" s="9" t="str" cm="1">
        <f t="array" aca="1" ref="AE37" ca="1">_xlfn.LET(
_xlpm._rapRange,Definitions!$W:$W,
_xlpm._calculatedRAP,$AC37,
_xlpm._inlineRAP,$AD37,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37" s="9" t="str">
        <f ca="1">IFERROR(IF(OR($V37="",$AE37=""),
Definitions!$AE$4,
VLOOKUP($V37,Definitions!$AH:$AM,MATCH($AE37,Definitions!$AH$3:$AM$3,0),FALSE)),
"")</f>
        <v>No Risk</v>
      </c>
      <c r="AG37" s="9" cm="1">
        <f t="array" aca="1" ref="AG37" ca="1">IF($AF37="",0,SimpleLookup($AF37,Definitions!$AE:$AF))</f>
        <v>0</v>
      </c>
      <c r="AH37" s="9" t="str" cm="1">
        <f t="array" aca="1" ref="AH37" ca="1">IFERROR(SimpleLookup($A37,Tracing!$B:$Z),"")</f>
        <v/>
      </c>
      <c r="AI37" s="9" t="str" cm="1">
        <f t="array" aca="1" ref="AI37" ca="1">_xlfn.LET(_xlpm._dm,SanitizeInput(GetValuesWithFallback(SanitizeInput($AH37),Assumptions!$A:$J,Countermeasures!$A:$J,"",",",FALSE)),
IF(_xlpm._dm="","",","&amp;_xlpm._dm))</f>
        <v/>
      </c>
      <c r="AJ37" s="9" t="str" cm="1">
        <f t="array" aca="1" ref="AJ37" ca="1">ApplyDamageMitigation($M37,$AI37,"")</f>
        <v/>
      </c>
      <c r="AK37" s="9" cm="1">
        <f t="array" aca="1" ref="AK37" ca="1">CalculateMaxFromList($AJ37,0,'Damage Scenarios'!$A:$U)</f>
        <v>0</v>
      </c>
      <c r="AL37" s="9" t="str">
        <f ca="1">IF($AK37=0,"",INDEX(Definitions!$Q:$Q,MATCH($AK37,Definitions!$R:$R,0)))</f>
        <v/>
      </c>
      <c r="AM37" s="9" cm="1">
        <f t="array" aca="1" ref="AM37" ca="1">IF($K37="",0,_xlfn.LET(
_xlpm._listOfAttackStepsAndMitigations,$K37&amp;$AH37,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37" s="9" t="str">
        <f ca="1">IFERROR(VLOOKUP($AM37,Definitions!$V:$W,COLUMNS(Definitions!$V:$W),TRUE),"")</f>
        <v>Basic</v>
      </c>
      <c r="AO37" s="9" t="str">
        <f ca="1">_xlfn.LET(
_xlpm._comments,SimpleLookup($A37,Tracing!$B:$AB),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37" s="9" t="str" cm="1">
        <f t="array" aca="1" ref="AP37" ca="1">_xlfn.LET(
_xlpm._rapRange,Definitions!$W:$W,
_xlpm._calculatedRAP,$AN37,
_xlpm._inlineRAP,$AO37,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37" s="9" t="str">
        <f ca="1">IFERROR(IF(OR($AL37="",$AP37=""),
Definitions!$AE$4,
VLOOKUP($AL37,Definitions!$AH:$AM,MATCH($AP37,Definitions!$AH$3:$AM$3,0),FALSE)),
"")</f>
        <v>No Risk</v>
      </c>
      <c r="AR37" s="9" cm="1">
        <f t="array" aca="1" ref="AR37" ca="1">IF($AQ37="",0,SimpleLookup($AQ37,Definitions!$AE:$AF))</f>
        <v>0</v>
      </c>
      <c r="AS37" s="9" t="b">
        <f ca="1">OR(AND($S37,$I37=Helper!$B$7),$I37&gt;Helper!$B$7)</f>
        <v>1</v>
      </c>
      <c r="AT37" s="9" t="str">
        <f t="shared" ca="1" si="7"/>
        <v/>
      </c>
      <c r="AU37" s="9" cm="1">
        <f t="array" aca="1" ref="AU37" ca="1">CreateID($AU$2,$AT37&lt;&gt;"")</f>
        <v>0</v>
      </c>
      <c r="AV37" s="9" t="str">
        <f ca="1">IF(IFERROR(MATCH(","&amp;A37&amp;",",'Risk Treatment'!$AT:$AT,0)&gt;0,FALSE),"",$A37)</f>
        <v/>
      </c>
      <c r="AW37" s="9" cm="1">
        <f t="array" aca="1" ref="AW37" ca="1">CreateID($AW$2,$AV37&lt;&gt;"")</f>
        <v>0</v>
      </c>
      <c r="AX37" s="9" t="str" cm="1">
        <f t="array" aca="1" ref="AX37" ca="1">CreateSearchString($AA37)</f>
        <v/>
      </c>
    </row>
    <row r="38" spans="1:50" x14ac:dyDescent="0.25">
      <c r="A38" s="13" t="str" cm="1">
        <f t="array" aca="1" ref="A38" ca="1">IF($B38="","","R"&amp;RemoveDelimiter(SUBSTITUTE(SUBSTITUTE($K38,"AS",""),",","-"),"-"))</f>
        <v/>
      </c>
      <c r="B38" s="13" t="str" cm="1">
        <f t="array" aca="1" ref="B38" ca="1">IF($L38="","",_xlfn.LET(
_xlpm._finalAttackStep,$L38,
_xlpm._prepAttacks,RemoveFirstElement(_xlpm._finalAttackStep&amp;","&amp;$K38),
_xlpm._prepAttackNames,IFERROR(LookupNames(_xlpm._prepAttacks,'Attack Steps'!$A:$B),""),
_xlpm._delimiter,REPT(CHAR(150),55),
$L38&amp;" "&amp;SimpleLookup($L38,'Attack Steps'!$A:$B)&amp;
IF(_xlpm._prepAttackNames="","",CHAR(10)&amp;_xlpm._delimiter&amp;CHAR(10)&amp;_xlpm._prepAttackNames)))</f>
        <v/>
      </c>
      <c r="C38" s="16" t="str" cm="1">
        <f t="array" aca="1" ref="C38" ca="1">IFERROR(LookupNames($M38,'Damage Scenarios'!$A:$V),"")</f>
        <v/>
      </c>
      <c r="D38" s="13" t="str">
        <f ca="1">IFERROR(IF($T38=0,"",INDEX(Definitions!$Q:$Q,MATCH($T38,Definitions!$R:$R,0))),"")</f>
        <v/>
      </c>
      <c r="E38" s="16" t="str" cm="1">
        <f t="array" aca="1" ref="E38" ca="1">IF($K38="","",_xlfn.LET(
_xlpm._listOfAttackSteps,$K38,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38" s="13" t="str">
        <f ca="1">IF($A38="","",IFERROR(VLOOKUP($W38,Definitions!$V:$W,COLUMNS(Definitions!$V:$W),TRUE),""))</f>
        <v/>
      </c>
      <c r="G38" s="13" t="str">
        <f ca="1">IFERROR(IF(OR($D38="",$F38=""),
"",
VLOOKUP($D38,Definitions!$AH:$AM,MATCH($F38,Definitions!$AH$3:$AM$3,0),FALSE)),
"")</f>
        <v/>
      </c>
      <c r="H38" s="10" cm="1">
        <f t="array" aca="1" ref="H38" ca="1">CreateID($H$2,$A38&lt;&gt;"")</f>
        <v>0</v>
      </c>
      <c r="I38" s="9" cm="1">
        <f t="array" aca="1" ref="I38" ca="1">IF(ROW()=ROW($I$2)+1,
1,
INDEX($I:$I,ROW()-1)+IF(INDEX($S:$S,ROW()-1),1,0))</f>
        <v>1</v>
      </c>
      <c r="J38" s="9">
        <f t="shared" ca="1" si="4"/>
        <v>36</v>
      </c>
      <c r="K38" s="9" t="str">
        <f t="shared" ca="1" si="5"/>
        <v/>
      </c>
      <c r="L38" s="9" t="str" cm="1">
        <f t="array" aca="1" ref="L38" ca="1">IF($P38="","",INDEX('Attack Steps'!$A:$A,$P38))</f>
        <v/>
      </c>
      <c r="M38" s="9" t="str" cm="1">
        <f t="array" aca="1" ref="M38" ca="1">IF($P38="","",INDEX('Attack Steps'!$U:$U,$P38))</f>
        <v/>
      </c>
      <c r="N38" s="9" t="str" cm="1">
        <f t="array" aca="1" ref="N38" ca="1">_xlfn.LET(_xlpm._dm,SanitizeInput(GetValuesWithFallback(SanitizeInput($AA38),Assumptions!$A:$J,Countermeasures!$A:$J,"",",",FALSE)),
IF(_xlpm._dm="","",","&amp;_xlpm._dm))</f>
        <v/>
      </c>
      <c r="O38" s="9" t="str" cm="1">
        <f t="array" aca="1" ref="O38" ca="1">ApplyDamageMitigation($M38,$N38,"")</f>
        <v/>
      </c>
      <c r="P38" s="9" t="str">
        <f ca="1">IFERROR(MATCH($I38,'Attack Steps'!$W:$W,0),"")</f>
        <v/>
      </c>
      <c r="Q38" s="9" t="str" cm="1">
        <f t="array" aca="1" ref="Q38" ca="1">IF($P38="","","§"&amp;INDEX('Attack Steps'!$T:$T,$P38))</f>
        <v/>
      </c>
      <c r="R38" s="9" t="str" cm="1">
        <f t="array" aca="1" ref="R38" ca="1">IF($P38="","",INDEX('Attack Steps'!$X:$X,$P38))</f>
        <v/>
      </c>
      <c r="S38" s="9" t="b">
        <f t="shared" ca="1" si="6"/>
        <v>0</v>
      </c>
      <c r="T38" s="9" cm="1">
        <f t="array" aca="1" ref="T38" ca="1">IF($M38="",0,OperateOnList($M38,_xlfn.LAMBDA(_xlpm._x,SimpleLookup(_xlpm._x,'Damage Scenarios'!$A:$U)),_xlfn.LAMBDA(_xlpm._x,_xlpm._y,MAX(_xlpm._x,_xlpm._y))))</f>
        <v>0</v>
      </c>
      <c r="U38" s="9" cm="1">
        <f t="array" aca="1" ref="U38" ca="1">IF($O38="",0,OperateOnList($O38,_xlfn.LAMBDA(_xlpm._x,SimpleLookup(_xlpm._x,'Damage Scenarios'!$A:$U)),_xlfn.LAMBDA(_xlpm._x,_xlpm._y,MAX(_xlpm._x,_xlpm._y))))</f>
        <v>0</v>
      </c>
      <c r="V38" s="9" t="str">
        <f ca="1">IF($U38=0,"",INDEX(Definitions!$Q:$Q,MATCH($U38,Definitions!$R:$R,0)))</f>
        <v/>
      </c>
      <c r="W38" s="9" cm="1">
        <f t="array" aca="1" ref="W38" ca="1">IF($K38="",0,_xlfn.LET(
_xlpm._listOfAttackSteps,$K38,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38" s="9" t="str" cm="1">
        <f t="array" aca="1" ref="X38" ca="1">IF(ROW()=ROW($X$2)+1,"",INDEX($X:$X,ROW()-1))&amp;IF($A38="","",$A38&amp;",")</f>
        <v/>
      </c>
      <c r="Y38" s="9" t="str" cm="1">
        <f t="array" aca="1" ref="Y38" ca="1">CreateSearchString($K38)</f>
        <v/>
      </c>
      <c r="Z38" s="9" cm="1">
        <f t="array" aca="1" ref="Z38" ca="1">IF($G38="",0,SimpleLookup($G38,Definitions!$AE:$AF))</f>
        <v>0</v>
      </c>
      <c r="AA38" s="9" t="str" cm="1">
        <f t="array" aca="1" ref="AA38" ca="1">SanitizeInput(InverseLookup($A38,Mitigation!$U$2,Mitigation!$J$2,1,Helper!$B$5,","))</f>
        <v/>
      </c>
      <c r="AB38" s="9" cm="1">
        <f t="array" aca="1" ref="AB38" ca="1">IF($K38="",0,_xlfn.LET(
_xlpm._listOfAttackStepsAndMitigations,$K38&amp;$AA38,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38" s="9" t="str">
        <f ca="1">IFERROR(VLOOKUP($AB38,Definitions!$V:$W,COLUMNS(Definitions!$V:$W),TRUE),"")</f>
        <v>Basic</v>
      </c>
      <c r="AD38" s="9" t="str">
        <f ca="1">_xlfn.LET(
_xlpm._comments,GetValues($K38,Mitigation!$A:$O,"","",FALSE),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38" s="9" t="str" cm="1">
        <f t="array" aca="1" ref="AE38" ca="1">_xlfn.LET(
_xlpm._rapRange,Definitions!$W:$W,
_xlpm._calculatedRAP,$AC38,
_xlpm._inlineRAP,$AD38,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38" s="9" t="str">
        <f ca="1">IFERROR(IF(OR($V38="",$AE38=""),
Definitions!$AE$4,
VLOOKUP($V38,Definitions!$AH:$AM,MATCH($AE38,Definitions!$AH$3:$AM$3,0),FALSE)),
"")</f>
        <v>No Risk</v>
      </c>
      <c r="AG38" s="9" cm="1">
        <f t="array" aca="1" ref="AG38" ca="1">IF($AF38="",0,SimpleLookup($AF38,Definitions!$AE:$AF))</f>
        <v>0</v>
      </c>
      <c r="AH38" s="9" t="str" cm="1">
        <f t="array" aca="1" ref="AH38" ca="1">IFERROR(SimpleLookup($A38,Tracing!$B:$Z),"")</f>
        <v/>
      </c>
      <c r="AI38" s="9" t="str" cm="1">
        <f t="array" aca="1" ref="AI38" ca="1">_xlfn.LET(_xlpm._dm,SanitizeInput(GetValuesWithFallback(SanitizeInput($AH38),Assumptions!$A:$J,Countermeasures!$A:$J,"",",",FALSE)),
IF(_xlpm._dm="","",","&amp;_xlpm._dm))</f>
        <v/>
      </c>
      <c r="AJ38" s="9" t="str" cm="1">
        <f t="array" aca="1" ref="AJ38" ca="1">ApplyDamageMitigation($M38,$AI38,"")</f>
        <v/>
      </c>
      <c r="AK38" s="9" cm="1">
        <f t="array" aca="1" ref="AK38" ca="1">CalculateMaxFromList($AJ38,0,'Damage Scenarios'!$A:$U)</f>
        <v>0</v>
      </c>
      <c r="AL38" s="9" t="str">
        <f ca="1">IF($AK38=0,"",INDEX(Definitions!$Q:$Q,MATCH($AK38,Definitions!$R:$R,0)))</f>
        <v/>
      </c>
      <c r="AM38" s="9" cm="1">
        <f t="array" aca="1" ref="AM38" ca="1">IF($K38="",0,_xlfn.LET(
_xlpm._listOfAttackStepsAndMitigations,$K38&amp;$AH38,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38" s="9" t="str">
        <f ca="1">IFERROR(VLOOKUP($AM38,Definitions!$V:$W,COLUMNS(Definitions!$V:$W),TRUE),"")</f>
        <v>Basic</v>
      </c>
      <c r="AO38" s="9" t="str">
        <f ca="1">_xlfn.LET(
_xlpm._comments,SimpleLookup($A38,Tracing!$B:$AB),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38" s="9" t="str" cm="1">
        <f t="array" aca="1" ref="AP38" ca="1">_xlfn.LET(
_xlpm._rapRange,Definitions!$W:$W,
_xlpm._calculatedRAP,$AN38,
_xlpm._inlineRAP,$AO38,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38" s="9" t="str">
        <f ca="1">IFERROR(IF(OR($AL38="",$AP38=""),
Definitions!$AE$4,
VLOOKUP($AL38,Definitions!$AH:$AM,MATCH($AP38,Definitions!$AH$3:$AM$3,0),FALSE)),
"")</f>
        <v>No Risk</v>
      </c>
      <c r="AR38" s="9" cm="1">
        <f t="array" aca="1" ref="AR38" ca="1">IF($AQ38="",0,SimpleLookup($AQ38,Definitions!$AE:$AF))</f>
        <v>0</v>
      </c>
      <c r="AS38" s="9" t="b">
        <f ca="1">OR(AND($S38,$I38=Helper!$B$7),$I38&gt;Helper!$B$7)</f>
        <v>1</v>
      </c>
      <c r="AT38" s="9" t="str">
        <f t="shared" ca="1" si="7"/>
        <v/>
      </c>
      <c r="AU38" s="9" cm="1">
        <f t="array" aca="1" ref="AU38" ca="1">CreateID($AU$2,$AT38&lt;&gt;"")</f>
        <v>0</v>
      </c>
      <c r="AV38" s="9" t="str">
        <f ca="1">IF(IFERROR(MATCH(","&amp;A38&amp;",",'Risk Treatment'!$AT:$AT,0)&gt;0,FALSE),"",$A38)</f>
        <v/>
      </c>
      <c r="AW38" s="9" cm="1">
        <f t="array" aca="1" ref="AW38" ca="1">CreateID($AW$2,$AV38&lt;&gt;"")</f>
        <v>0</v>
      </c>
      <c r="AX38" s="9" t="str" cm="1">
        <f t="array" aca="1" ref="AX38" ca="1">CreateSearchString($AA38)</f>
        <v/>
      </c>
    </row>
    <row r="39" spans="1:50" x14ac:dyDescent="0.25">
      <c r="A39" s="13" t="str" cm="1">
        <f t="array" aca="1" ref="A39" ca="1">IF($B39="","","R"&amp;RemoveDelimiter(SUBSTITUTE(SUBSTITUTE($K39,"AS",""),",","-"),"-"))</f>
        <v/>
      </c>
      <c r="B39" s="13" t="str" cm="1">
        <f t="array" aca="1" ref="B39" ca="1">IF($L39="","",_xlfn.LET(
_xlpm._finalAttackStep,$L39,
_xlpm._prepAttacks,RemoveFirstElement(_xlpm._finalAttackStep&amp;","&amp;$K39),
_xlpm._prepAttackNames,IFERROR(LookupNames(_xlpm._prepAttacks,'Attack Steps'!$A:$B),""),
_xlpm._delimiter,REPT(CHAR(150),55),
$L39&amp;" "&amp;SimpleLookup($L39,'Attack Steps'!$A:$B)&amp;
IF(_xlpm._prepAttackNames="","",CHAR(10)&amp;_xlpm._delimiter&amp;CHAR(10)&amp;_xlpm._prepAttackNames)))</f>
        <v/>
      </c>
      <c r="C39" s="16" t="str" cm="1">
        <f t="array" aca="1" ref="C39" ca="1">IFERROR(LookupNames($M39,'Damage Scenarios'!$A:$V),"")</f>
        <v/>
      </c>
      <c r="D39" s="13" t="str">
        <f ca="1">IFERROR(IF($T39=0,"",INDEX(Definitions!$Q:$Q,MATCH($T39,Definitions!$R:$R,0))),"")</f>
        <v/>
      </c>
      <c r="E39" s="16" t="str" cm="1">
        <f t="array" aca="1" ref="E39" ca="1">IF($K39="","",_xlfn.LET(
_xlpm._listOfAttackSteps,$K39,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39" s="13" t="str">
        <f ca="1">IF($A39="","",IFERROR(VLOOKUP($W39,Definitions!$V:$W,COLUMNS(Definitions!$V:$W),TRUE),""))</f>
        <v/>
      </c>
      <c r="G39" s="13" t="str">
        <f ca="1">IFERROR(IF(OR($D39="",$F39=""),
"",
VLOOKUP($D39,Definitions!$AH:$AM,MATCH($F39,Definitions!$AH$3:$AM$3,0),FALSE)),
"")</f>
        <v/>
      </c>
      <c r="H39" s="10" cm="1">
        <f t="array" aca="1" ref="H39" ca="1">CreateID($H$2,$A39&lt;&gt;"")</f>
        <v>0</v>
      </c>
      <c r="I39" s="9" cm="1">
        <f t="array" aca="1" ref="I39" ca="1">IF(ROW()=ROW($I$2)+1,
1,
INDEX($I:$I,ROW()-1)+IF(INDEX($S:$S,ROW()-1),1,0))</f>
        <v>1</v>
      </c>
      <c r="J39" s="9">
        <f t="shared" ca="1" si="4"/>
        <v>37</v>
      </c>
      <c r="K39" s="9" t="str">
        <f t="shared" ca="1" si="5"/>
        <v/>
      </c>
      <c r="L39" s="9" t="str" cm="1">
        <f t="array" aca="1" ref="L39" ca="1">IF($P39="","",INDEX('Attack Steps'!$A:$A,$P39))</f>
        <v/>
      </c>
      <c r="M39" s="9" t="str" cm="1">
        <f t="array" aca="1" ref="M39" ca="1">IF($P39="","",INDEX('Attack Steps'!$U:$U,$P39))</f>
        <v/>
      </c>
      <c r="N39" s="9" t="str" cm="1">
        <f t="array" aca="1" ref="N39" ca="1">_xlfn.LET(_xlpm._dm,SanitizeInput(GetValuesWithFallback(SanitizeInput($AA39),Assumptions!$A:$J,Countermeasures!$A:$J,"",",",FALSE)),
IF(_xlpm._dm="","",","&amp;_xlpm._dm))</f>
        <v/>
      </c>
      <c r="O39" s="9" t="str" cm="1">
        <f t="array" aca="1" ref="O39" ca="1">ApplyDamageMitigation($M39,$N39,"")</f>
        <v/>
      </c>
      <c r="P39" s="9" t="str">
        <f ca="1">IFERROR(MATCH($I39,'Attack Steps'!$W:$W,0),"")</f>
        <v/>
      </c>
      <c r="Q39" s="9" t="str" cm="1">
        <f t="array" aca="1" ref="Q39" ca="1">IF($P39="","","§"&amp;INDEX('Attack Steps'!$T:$T,$P39))</f>
        <v/>
      </c>
      <c r="R39" s="9" t="str" cm="1">
        <f t="array" aca="1" ref="R39" ca="1">IF($P39="","",INDEX('Attack Steps'!$X:$X,$P39))</f>
        <v/>
      </c>
      <c r="S39" s="9" t="b">
        <f t="shared" ca="1" si="6"/>
        <v>0</v>
      </c>
      <c r="T39" s="9" cm="1">
        <f t="array" aca="1" ref="T39" ca="1">IF($M39="",0,OperateOnList($M39,_xlfn.LAMBDA(_xlpm._x,SimpleLookup(_xlpm._x,'Damage Scenarios'!$A:$U)),_xlfn.LAMBDA(_xlpm._x,_xlpm._y,MAX(_xlpm._x,_xlpm._y))))</f>
        <v>0</v>
      </c>
      <c r="U39" s="9" cm="1">
        <f t="array" aca="1" ref="U39" ca="1">IF($O39="",0,OperateOnList($O39,_xlfn.LAMBDA(_xlpm._x,SimpleLookup(_xlpm._x,'Damage Scenarios'!$A:$U)),_xlfn.LAMBDA(_xlpm._x,_xlpm._y,MAX(_xlpm._x,_xlpm._y))))</f>
        <v>0</v>
      </c>
      <c r="V39" s="9" t="str">
        <f ca="1">IF($U39=0,"",INDEX(Definitions!$Q:$Q,MATCH($U39,Definitions!$R:$R,0)))</f>
        <v/>
      </c>
      <c r="W39" s="9" cm="1">
        <f t="array" aca="1" ref="W39" ca="1">IF($K39="",0,_xlfn.LET(
_xlpm._listOfAttackSteps,$K39,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39" s="9" t="str" cm="1">
        <f t="array" aca="1" ref="X39" ca="1">IF(ROW()=ROW($X$2)+1,"",INDEX($X:$X,ROW()-1))&amp;IF($A39="","",$A39&amp;",")</f>
        <v/>
      </c>
      <c r="Y39" s="9" t="str" cm="1">
        <f t="array" aca="1" ref="Y39" ca="1">CreateSearchString($K39)</f>
        <v/>
      </c>
      <c r="Z39" s="9" cm="1">
        <f t="array" aca="1" ref="Z39" ca="1">IF($G39="",0,SimpleLookup($G39,Definitions!$AE:$AF))</f>
        <v>0</v>
      </c>
      <c r="AA39" s="9" t="str" cm="1">
        <f t="array" aca="1" ref="AA39" ca="1">SanitizeInput(InverseLookup($A39,Mitigation!$U$2,Mitigation!$J$2,1,Helper!$B$5,","))</f>
        <v/>
      </c>
      <c r="AB39" s="9" cm="1">
        <f t="array" aca="1" ref="AB39" ca="1">IF($K39="",0,_xlfn.LET(
_xlpm._listOfAttackStepsAndMitigations,$K39&amp;$AA39,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39" s="9" t="str">
        <f ca="1">IFERROR(VLOOKUP($AB39,Definitions!$V:$W,COLUMNS(Definitions!$V:$W),TRUE),"")</f>
        <v>Basic</v>
      </c>
      <c r="AD39" s="9" t="str">
        <f ca="1">_xlfn.LET(
_xlpm._comments,GetValues($K39,Mitigation!$A:$O,"","",FALSE),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39" s="9" t="str" cm="1">
        <f t="array" aca="1" ref="AE39" ca="1">_xlfn.LET(
_xlpm._rapRange,Definitions!$W:$W,
_xlpm._calculatedRAP,$AC39,
_xlpm._inlineRAP,$AD39,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39" s="9" t="str">
        <f ca="1">IFERROR(IF(OR($V39="",$AE39=""),
Definitions!$AE$4,
VLOOKUP($V39,Definitions!$AH:$AM,MATCH($AE39,Definitions!$AH$3:$AM$3,0),FALSE)),
"")</f>
        <v>No Risk</v>
      </c>
      <c r="AG39" s="9" cm="1">
        <f t="array" aca="1" ref="AG39" ca="1">IF($AF39="",0,SimpleLookup($AF39,Definitions!$AE:$AF))</f>
        <v>0</v>
      </c>
      <c r="AH39" s="9" t="str" cm="1">
        <f t="array" aca="1" ref="AH39" ca="1">IFERROR(SimpleLookup($A39,Tracing!$B:$Z),"")</f>
        <v/>
      </c>
      <c r="AI39" s="9" t="str" cm="1">
        <f t="array" aca="1" ref="AI39" ca="1">_xlfn.LET(_xlpm._dm,SanitizeInput(GetValuesWithFallback(SanitizeInput($AH39),Assumptions!$A:$J,Countermeasures!$A:$J,"",",",FALSE)),
IF(_xlpm._dm="","",","&amp;_xlpm._dm))</f>
        <v/>
      </c>
      <c r="AJ39" s="9" t="str" cm="1">
        <f t="array" aca="1" ref="AJ39" ca="1">ApplyDamageMitigation($M39,$AI39,"")</f>
        <v/>
      </c>
      <c r="AK39" s="9" cm="1">
        <f t="array" aca="1" ref="AK39" ca="1">CalculateMaxFromList($AJ39,0,'Damage Scenarios'!$A:$U)</f>
        <v>0</v>
      </c>
      <c r="AL39" s="9" t="str">
        <f ca="1">IF($AK39=0,"",INDEX(Definitions!$Q:$Q,MATCH($AK39,Definitions!$R:$R,0)))</f>
        <v/>
      </c>
      <c r="AM39" s="9" cm="1">
        <f t="array" aca="1" ref="AM39" ca="1">IF($K39="",0,_xlfn.LET(
_xlpm._listOfAttackStepsAndMitigations,$K39&amp;$AH39,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39" s="9" t="str">
        <f ca="1">IFERROR(VLOOKUP($AM39,Definitions!$V:$W,COLUMNS(Definitions!$V:$W),TRUE),"")</f>
        <v>Basic</v>
      </c>
      <c r="AO39" s="9" t="str">
        <f ca="1">_xlfn.LET(
_xlpm._comments,SimpleLookup($A39,Tracing!$B:$AB),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39" s="9" t="str" cm="1">
        <f t="array" aca="1" ref="AP39" ca="1">_xlfn.LET(
_xlpm._rapRange,Definitions!$W:$W,
_xlpm._calculatedRAP,$AN39,
_xlpm._inlineRAP,$AO39,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39" s="9" t="str">
        <f ca="1">IFERROR(IF(OR($AL39="",$AP39=""),
Definitions!$AE$4,
VLOOKUP($AL39,Definitions!$AH:$AM,MATCH($AP39,Definitions!$AH$3:$AM$3,0),FALSE)),
"")</f>
        <v>No Risk</v>
      </c>
      <c r="AR39" s="9" cm="1">
        <f t="array" aca="1" ref="AR39" ca="1">IF($AQ39="",0,SimpleLookup($AQ39,Definitions!$AE:$AF))</f>
        <v>0</v>
      </c>
      <c r="AS39" s="9" t="b">
        <f ca="1">OR(AND($S39,$I39=Helper!$B$7),$I39&gt;Helper!$B$7)</f>
        <v>1</v>
      </c>
      <c r="AT39" s="9" t="str">
        <f t="shared" ca="1" si="7"/>
        <v/>
      </c>
      <c r="AU39" s="9" cm="1">
        <f t="array" aca="1" ref="AU39" ca="1">CreateID($AU$2,$AT39&lt;&gt;"")</f>
        <v>0</v>
      </c>
      <c r="AV39" s="9" t="str">
        <f ca="1">IF(IFERROR(MATCH(","&amp;A39&amp;",",'Risk Treatment'!$AT:$AT,0)&gt;0,FALSE),"",$A39)</f>
        <v/>
      </c>
      <c r="AW39" s="9" cm="1">
        <f t="array" aca="1" ref="AW39" ca="1">CreateID($AW$2,$AV39&lt;&gt;"")</f>
        <v>0</v>
      </c>
      <c r="AX39" s="9" t="str" cm="1">
        <f t="array" aca="1" ref="AX39" ca="1">CreateSearchString($AA39)</f>
        <v/>
      </c>
    </row>
    <row r="40" spans="1:50" x14ac:dyDescent="0.25">
      <c r="A40" s="13" t="str" cm="1">
        <f t="array" aca="1" ref="A40" ca="1">IF($B40="","","R"&amp;RemoveDelimiter(SUBSTITUTE(SUBSTITUTE($K40,"AS",""),",","-"),"-"))</f>
        <v/>
      </c>
      <c r="B40" s="13" t="str" cm="1">
        <f t="array" aca="1" ref="B40" ca="1">IF($L40="","",_xlfn.LET(
_xlpm._finalAttackStep,$L40,
_xlpm._prepAttacks,RemoveFirstElement(_xlpm._finalAttackStep&amp;","&amp;$K40),
_xlpm._prepAttackNames,IFERROR(LookupNames(_xlpm._prepAttacks,'Attack Steps'!$A:$B),""),
_xlpm._delimiter,REPT(CHAR(150),55),
$L40&amp;" "&amp;SimpleLookup($L40,'Attack Steps'!$A:$B)&amp;
IF(_xlpm._prepAttackNames="","",CHAR(10)&amp;_xlpm._delimiter&amp;CHAR(10)&amp;_xlpm._prepAttackNames)))</f>
        <v/>
      </c>
      <c r="C40" s="16" t="str" cm="1">
        <f t="array" aca="1" ref="C40" ca="1">IFERROR(LookupNames($M40,'Damage Scenarios'!$A:$V),"")</f>
        <v/>
      </c>
      <c r="D40" s="13" t="str">
        <f ca="1">IFERROR(IF($T40=0,"",INDEX(Definitions!$Q:$Q,MATCH($T40,Definitions!$R:$R,0))),"")</f>
        <v/>
      </c>
      <c r="E40" s="16" t="str" cm="1">
        <f t="array" aca="1" ref="E40" ca="1">IF($K40="","",_xlfn.LET(
_xlpm._listOfAttackSteps,$K40,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40" s="13" t="str">
        <f ca="1">IF($A40="","",IFERROR(VLOOKUP($W40,Definitions!$V:$W,COLUMNS(Definitions!$V:$W),TRUE),""))</f>
        <v/>
      </c>
      <c r="G40" s="13" t="str">
        <f ca="1">IFERROR(IF(OR($D40="",$F40=""),
"",
VLOOKUP($D40,Definitions!$AH:$AM,MATCH($F40,Definitions!$AH$3:$AM$3,0),FALSE)),
"")</f>
        <v/>
      </c>
      <c r="H40" s="10" cm="1">
        <f t="array" aca="1" ref="H40" ca="1">CreateID($H$2,$A40&lt;&gt;"")</f>
        <v>0</v>
      </c>
      <c r="I40" s="9" cm="1">
        <f t="array" aca="1" ref="I40" ca="1">IF(ROW()=ROW($I$2)+1,
1,
INDEX($I:$I,ROW()-1)+IF(INDEX($S:$S,ROW()-1),1,0))</f>
        <v>1</v>
      </c>
      <c r="J40" s="9">
        <f t="shared" ca="1" si="4"/>
        <v>38</v>
      </c>
      <c r="K40" s="9" t="str">
        <f t="shared" ca="1" si="5"/>
        <v/>
      </c>
      <c r="L40" s="9" t="str" cm="1">
        <f t="array" aca="1" ref="L40" ca="1">IF($P40="","",INDEX('Attack Steps'!$A:$A,$P40))</f>
        <v/>
      </c>
      <c r="M40" s="9" t="str" cm="1">
        <f t="array" aca="1" ref="M40" ca="1">IF($P40="","",INDEX('Attack Steps'!$U:$U,$P40))</f>
        <v/>
      </c>
      <c r="N40" s="9" t="str" cm="1">
        <f t="array" aca="1" ref="N40" ca="1">_xlfn.LET(_xlpm._dm,SanitizeInput(GetValuesWithFallback(SanitizeInput($AA40),Assumptions!$A:$J,Countermeasures!$A:$J,"",",",FALSE)),
IF(_xlpm._dm="","",","&amp;_xlpm._dm))</f>
        <v/>
      </c>
      <c r="O40" s="9" t="str" cm="1">
        <f t="array" aca="1" ref="O40" ca="1">ApplyDamageMitigation($M40,$N40,"")</f>
        <v/>
      </c>
      <c r="P40" s="9" t="str">
        <f ca="1">IFERROR(MATCH($I40,'Attack Steps'!$W:$W,0),"")</f>
        <v/>
      </c>
      <c r="Q40" s="9" t="str" cm="1">
        <f t="array" aca="1" ref="Q40" ca="1">IF($P40="","","§"&amp;INDEX('Attack Steps'!$T:$T,$P40))</f>
        <v/>
      </c>
      <c r="R40" s="9" t="str" cm="1">
        <f t="array" aca="1" ref="R40" ca="1">IF($P40="","",INDEX('Attack Steps'!$X:$X,$P40))</f>
        <v/>
      </c>
      <c r="S40" s="9" t="b">
        <f t="shared" ca="1" si="6"/>
        <v>0</v>
      </c>
      <c r="T40" s="9" cm="1">
        <f t="array" aca="1" ref="T40" ca="1">IF($M40="",0,OperateOnList($M40,_xlfn.LAMBDA(_xlpm._x,SimpleLookup(_xlpm._x,'Damage Scenarios'!$A:$U)),_xlfn.LAMBDA(_xlpm._x,_xlpm._y,MAX(_xlpm._x,_xlpm._y))))</f>
        <v>0</v>
      </c>
      <c r="U40" s="9" cm="1">
        <f t="array" aca="1" ref="U40" ca="1">IF($O40="",0,OperateOnList($O40,_xlfn.LAMBDA(_xlpm._x,SimpleLookup(_xlpm._x,'Damage Scenarios'!$A:$U)),_xlfn.LAMBDA(_xlpm._x,_xlpm._y,MAX(_xlpm._x,_xlpm._y))))</f>
        <v>0</v>
      </c>
      <c r="V40" s="9" t="str">
        <f ca="1">IF($U40=0,"",INDEX(Definitions!$Q:$Q,MATCH($U40,Definitions!$R:$R,0)))</f>
        <v/>
      </c>
      <c r="W40" s="9" cm="1">
        <f t="array" aca="1" ref="W40" ca="1">IF($K40="",0,_xlfn.LET(
_xlpm._listOfAttackSteps,$K40,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40" s="9" t="str" cm="1">
        <f t="array" aca="1" ref="X40" ca="1">IF(ROW()=ROW($X$2)+1,"",INDEX($X:$X,ROW()-1))&amp;IF($A40="","",$A40&amp;",")</f>
        <v/>
      </c>
      <c r="Y40" s="9" t="str" cm="1">
        <f t="array" aca="1" ref="Y40" ca="1">CreateSearchString($K40)</f>
        <v/>
      </c>
      <c r="Z40" s="9" cm="1">
        <f t="array" aca="1" ref="Z40" ca="1">IF($G40="",0,SimpleLookup($G40,Definitions!$AE:$AF))</f>
        <v>0</v>
      </c>
      <c r="AA40" s="9" t="str" cm="1">
        <f t="array" aca="1" ref="AA40" ca="1">SanitizeInput(InverseLookup($A40,Mitigation!$U$2,Mitigation!$J$2,1,Helper!$B$5,","))</f>
        <v/>
      </c>
      <c r="AB40" s="9" cm="1">
        <f t="array" aca="1" ref="AB40" ca="1">IF($K40="",0,_xlfn.LET(
_xlpm._listOfAttackStepsAndMitigations,$K40&amp;$AA40,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40" s="9" t="str">
        <f ca="1">IFERROR(VLOOKUP($AB40,Definitions!$V:$W,COLUMNS(Definitions!$V:$W),TRUE),"")</f>
        <v>Basic</v>
      </c>
      <c r="AD40" s="9" t="str">
        <f ca="1">_xlfn.LET(
_xlpm._comments,GetValues($K40,Mitigation!$A:$O,"","",FALSE),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40" s="9" t="str" cm="1">
        <f t="array" aca="1" ref="AE40" ca="1">_xlfn.LET(
_xlpm._rapRange,Definitions!$W:$W,
_xlpm._calculatedRAP,$AC40,
_xlpm._inlineRAP,$AD40,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40" s="9" t="str">
        <f ca="1">IFERROR(IF(OR($V40="",$AE40=""),
Definitions!$AE$4,
VLOOKUP($V40,Definitions!$AH:$AM,MATCH($AE40,Definitions!$AH$3:$AM$3,0),FALSE)),
"")</f>
        <v>No Risk</v>
      </c>
      <c r="AG40" s="9" cm="1">
        <f t="array" aca="1" ref="AG40" ca="1">IF($AF40="",0,SimpleLookup($AF40,Definitions!$AE:$AF))</f>
        <v>0</v>
      </c>
      <c r="AH40" s="9" t="str" cm="1">
        <f t="array" aca="1" ref="AH40" ca="1">IFERROR(SimpleLookup($A40,Tracing!$B:$Z),"")</f>
        <v/>
      </c>
      <c r="AI40" s="9" t="str" cm="1">
        <f t="array" aca="1" ref="AI40" ca="1">_xlfn.LET(_xlpm._dm,SanitizeInput(GetValuesWithFallback(SanitizeInput($AH40),Assumptions!$A:$J,Countermeasures!$A:$J,"",",",FALSE)),
IF(_xlpm._dm="","",","&amp;_xlpm._dm))</f>
        <v/>
      </c>
      <c r="AJ40" s="9" t="str" cm="1">
        <f t="array" aca="1" ref="AJ40" ca="1">ApplyDamageMitigation($M40,$AI40,"")</f>
        <v/>
      </c>
      <c r="AK40" s="9" cm="1">
        <f t="array" aca="1" ref="AK40" ca="1">CalculateMaxFromList($AJ40,0,'Damage Scenarios'!$A:$U)</f>
        <v>0</v>
      </c>
      <c r="AL40" s="9" t="str">
        <f ca="1">IF($AK40=0,"",INDEX(Definitions!$Q:$Q,MATCH($AK40,Definitions!$R:$R,0)))</f>
        <v/>
      </c>
      <c r="AM40" s="9" cm="1">
        <f t="array" aca="1" ref="AM40" ca="1">IF($K40="",0,_xlfn.LET(
_xlpm._listOfAttackStepsAndMitigations,$K40&amp;$AH40,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40" s="9" t="str">
        <f ca="1">IFERROR(VLOOKUP($AM40,Definitions!$V:$W,COLUMNS(Definitions!$V:$W),TRUE),"")</f>
        <v>Basic</v>
      </c>
      <c r="AO40" s="9" t="str">
        <f ca="1">_xlfn.LET(
_xlpm._comments,SimpleLookup($A40,Tracing!$B:$AB),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40" s="9" t="str" cm="1">
        <f t="array" aca="1" ref="AP40" ca="1">_xlfn.LET(
_xlpm._rapRange,Definitions!$W:$W,
_xlpm._calculatedRAP,$AN40,
_xlpm._inlineRAP,$AO40,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40" s="9" t="str">
        <f ca="1">IFERROR(IF(OR($AL40="",$AP40=""),
Definitions!$AE$4,
VLOOKUP($AL40,Definitions!$AH:$AM,MATCH($AP40,Definitions!$AH$3:$AM$3,0),FALSE)),
"")</f>
        <v>No Risk</v>
      </c>
      <c r="AR40" s="9" cm="1">
        <f t="array" aca="1" ref="AR40" ca="1">IF($AQ40="",0,SimpleLookup($AQ40,Definitions!$AE:$AF))</f>
        <v>0</v>
      </c>
      <c r="AS40" s="9" t="b">
        <f ca="1">OR(AND($S40,$I40=Helper!$B$7),$I40&gt;Helper!$B$7)</f>
        <v>1</v>
      </c>
      <c r="AT40" s="9" t="str">
        <f t="shared" ca="1" si="7"/>
        <v/>
      </c>
      <c r="AU40" s="9" cm="1">
        <f t="array" aca="1" ref="AU40" ca="1">CreateID($AU$2,$AT40&lt;&gt;"")</f>
        <v>0</v>
      </c>
      <c r="AV40" s="9" t="str">
        <f ca="1">IF(IFERROR(MATCH(","&amp;A40&amp;",",'Risk Treatment'!$AT:$AT,0)&gt;0,FALSE),"",$A40)</f>
        <v/>
      </c>
      <c r="AW40" s="9" cm="1">
        <f t="array" aca="1" ref="AW40" ca="1">CreateID($AW$2,$AV40&lt;&gt;"")</f>
        <v>0</v>
      </c>
      <c r="AX40" s="9" t="str" cm="1">
        <f t="array" aca="1" ref="AX40" ca="1">CreateSearchString($AA40)</f>
        <v/>
      </c>
    </row>
    <row r="41" spans="1:50" x14ac:dyDescent="0.25">
      <c r="A41" s="13" t="str" cm="1">
        <f t="array" aca="1" ref="A41" ca="1">IF($B41="","","R"&amp;RemoveDelimiter(SUBSTITUTE(SUBSTITUTE($K41,"AS",""),",","-"),"-"))</f>
        <v/>
      </c>
      <c r="B41" s="13" t="str" cm="1">
        <f t="array" aca="1" ref="B41" ca="1">IF($L41="","",_xlfn.LET(
_xlpm._finalAttackStep,$L41,
_xlpm._prepAttacks,RemoveFirstElement(_xlpm._finalAttackStep&amp;","&amp;$K41),
_xlpm._prepAttackNames,IFERROR(LookupNames(_xlpm._prepAttacks,'Attack Steps'!$A:$B),""),
_xlpm._delimiter,REPT(CHAR(150),55),
$L41&amp;" "&amp;SimpleLookup($L41,'Attack Steps'!$A:$B)&amp;
IF(_xlpm._prepAttackNames="","",CHAR(10)&amp;_xlpm._delimiter&amp;CHAR(10)&amp;_xlpm._prepAttackNames)))</f>
        <v/>
      </c>
      <c r="C41" s="16" t="str" cm="1">
        <f t="array" aca="1" ref="C41" ca="1">IFERROR(LookupNames($M41,'Damage Scenarios'!$A:$V),"")</f>
        <v/>
      </c>
      <c r="D41" s="13" t="str">
        <f ca="1">IFERROR(IF($T41=0,"",INDEX(Definitions!$Q:$Q,MATCH($T41,Definitions!$R:$R,0))),"")</f>
        <v/>
      </c>
      <c r="E41" s="16" t="str" cm="1">
        <f t="array" aca="1" ref="E41" ca="1">IF($K41="","",_xlfn.LET(
_xlpm._listOfAttackSteps,$K41,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41" s="13" t="str">
        <f ca="1">IF($A41="","",IFERROR(VLOOKUP($W41,Definitions!$V:$W,COLUMNS(Definitions!$V:$W),TRUE),""))</f>
        <v/>
      </c>
      <c r="G41" s="13" t="str">
        <f ca="1">IFERROR(IF(OR($D41="",$F41=""),
"",
VLOOKUP($D41,Definitions!$AH:$AM,MATCH($F41,Definitions!$AH$3:$AM$3,0),FALSE)),
"")</f>
        <v/>
      </c>
      <c r="H41" s="10" cm="1">
        <f t="array" aca="1" ref="H41" ca="1">CreateID($H$2,$A41&lt;&gt;"")</f>
        <v>0</v>
      </c>
      <c r="I41" s="9" cm="1">
        <f t="array" aca="1" ref="I41" ca="1">IF(ROW()=ROW($I$2)+1,
1,
INDEX($I:$I,ROW()-1)+IF(INDEX($S:$S,ROW()-1),1,0))</f>
        <v>1</v>
      </c>
      <c r="J41" s="9">
        <f t="shared" ca="1" si="4"/>
        <v>39</v>
      </c>
      <c r="K41" s="9" t="str">
        <f t="shared" ca="1" si="5"/>
        <v/>
      </c>
      <c r="L41" s="9" t="str" cm="1">
        <f t="array" aca="1" ref="L41" ca="1">IF($P41="","",INDEX('Attack Steps'!$A:$A,$P41))</f>
        <v/>
      </c>
      <c r="M41" s="9" t="str" cm="1">
        <f t="array" aca="1" ref="M41" ca="1">IF($P41="","",INDEX('Attack Steps'!$U:$U,$P41))</f>
        <v/>
      </c>
      <c r="N41" s="9" t="str" cm="1">
        <f t="array" aca="1" ref="N41" ca="1">_xlfn.LET(_xlpm._dm,SanitizeInput(GetValuesWithFallback(SanitizeInput($AA41),Assumptions!$A:$J,Countermeasures!$A:$J,"",",",FALSE)),
IF(_xlpm._dm="","",","&amp;_xlpm._dm))</f>
        <v/>
      </c>
      <c r="O41" s="9" t="str" cm="1">
        <f t="array" aca="1" ref="O41" ca="1">ApplyDamageMitigation($M41,$N41,"")</f>
        <v/>
      </c>
      <c r="P41" s="9" t="str">
        <f ca="1">IFERROR(MATCH($I41,'Attack Steps'!$W:$W,0),"")</f>
        <v/>
      </c>
      <c r="Q41" s="9" t="str" cm="1">
        <f t="array" aca="1" ref="Q41" ca="1">IF($P41="","","§"&amp;INDEX('Attack Steps'!$T:$T,$P41))</f>
        <v/>
      </c>
      <c r="R41" s="9" t="str" cm="1">
        <f t="array" aca="1" ref="R41" ca="1">IF($P41="","",INDEX('Attack Steps'!$X:$X,$P41))</f>
        <v/>
      </c>
      <c r="S41" s="9" t="b">
        <f t="shared" ca="1" si="6"/>
        <v>0</v>
      </c>
      <c r="T41" s="9" cm="1">
        <f t="array" aca="1" ref="T41" ca="1">IF($M41="",0,OperateOnList($M41,_xlfn.LAMBDA(_xlpm._x,SimpleLookup(_xlpm._x,'Damage Scenarios'!$A:$U)),_xlfn.LAMBDA(_xlpm._x,_xlpm._y,MAX(_xlpm._x,_xlpm._y))))</f>
        <v>0</v>
      </c>
      <c r="U41" s="9" cm="1">
        <f t="array" aca="1" ref="U41" ca="1">IF($O41="",0,OperateOnList($O41,_xlfn.LAMBDA(_xlpm._x,SimpleLookup(_xlpm._x,'Damage Scenarios'!$A:$U)),_xlfn.LAMBDA(_xlpm._x,_xlpm._y,MAX(_xlpm._x,_xlpm._y))))</f>
        <v>0</v>
      </c>
      <c r="V41" s="9" t="str">
        <f ca="1">IF($U41=0,"",INDEX(Definitions!$Q:$Q,MATCH($U41,Definitions!$R:$R,0)))</f>
        <v/>
      </c>
      <c r="W41" s="9" cm="1">
        <f t="array" aca="1" ref="W41" ca="1">IF($K41="",0,_xlfn.LET(
_xlpm._listOfAttackSteps,$K41,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41" s="9" t="str" cm="1">
        <f t="array" aca="1" ref="X41" ca="1">IF(ROW()=ROW($X$2)+1,"",INDEX($X:$X,ROW()-1))&amp;IF($A41="","",$A41&amp;",")</f>
        <v/>
      </c>
      <c r="Y41" s="9" t="str" cm="1">
        <f t="array" aca="1" ref="Y41" ca="1">CreateSearchString($K41)</f>
        <v/>
      </c>
      <c r="Z41" s="9" cm="1">
        <f t="array" aca="1" ref="Z41" ca="1">IF($G41="",0,SimpleLookup($G41,Definitions!$AE:$AF))</f>
        <v>0</v>
      </c>
      <c r="AA41" s="9" t="str" cm="1">
        <f t="array" aca="1" ref="AA41" ca="1">SanitizeInput(InverseLookup($A41,Mitigation!$U$2,Mitigation!$J$2,1,Helper!$B$5,","))</f>
        <v/>
      </c>
      <c r="AB41" s="9" cm="1">
        <f t="array" aca="1" ref="AB41" ca="1">IF($K41="",0,_xlfn.LET(
_xlpm._listOfAttackStepsAndMitigations,$K41&amp;$AA41,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41" s="9" t="str">
        <f ca="1">IFERROR(VLOOKUP($AB41,Definitions!$V:$W,COLUMNS(Definitions!$V:$W),TRUE),"")</f>
        <v>Basic</v>
      </c>
      <c r="AD41" s="9" t="str">
        <f ca="1">_xlfn.LET(
_xlpm._comments,GetValues($K41,Mitigation!$A:$O,"","",FALSE),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41" s="9" t="str" cm="1">
        <f t="array" aca="1" ref="AE41" ca="1">_xlfn.LET(
_xlpm._rapRange,Definitions!$W:$W,
_xlpm._calculatedRAP,$AC41,
_xlpm._inlineRAP,$AD41,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41" s="9" t="str">
        <f ca="1">IFERROR(IF(OR($V41="",$AE41=""),
Definitions!$AE$4,
VLOOKUP($V41,Definitions!$AH:$AM,MATCH($AE41,Definitions!$AH$3:$AM$3,0),FALSE)),
"")</f>
        <v>No Risk</v>
      </c>
      <c r="AG41" s="9" cm="1">
        <f t="array" aca="1" ref="AG41" ca="1">IF($AF41="",0,SimpleLookup($AF41,Definitions!$AE:$AF))</f>
        <v>0</v>
      </c>
      <c r="AH41" s="9" t="str" cm="1">
        <f t="array" aca="1" ref="AH41" ca="1">IFERROR(SimpleLookup($A41,Tracing!$B:$Z),"")</f>
        <v/>
      </c>
      <c r="AI41" s="9" t="str" cm="1">
        <f t="array" aca="1" ref="AI41" ca="1">_xlfn.LET(_xlpm._dm,SanitizeInput(GetValuesWithFallback(SanitizeInput($AH41),Assumptions!$A:$J,Countermeasures!$A:$J,"",",",FALSE)),
IF(_xlpm._dm="","",","&amp;_xlpm._dm))</f>
        <v/>
      </c>
      <c r="AJ41" s="9" t="str" cm="1">
        <f t="array" aca="1" ref="AJ41" ca="1">ApplyDamageMitigation($M41,$AI41,"")</f>
        <v/>
      </c>
      <c r="AK41" s="9" cm="1">
        <f t="array" aca="1" ref="AK41" ca="1">CalculateMaxFromList($AJ41,0,'Damage Scenarios'!$A:$U)</f>
        <v>0</v>
      </c>
      <c r="AL41" s="9" t="str">
        <f ca="1">IF($AK41=0,"",INDEX(Definitions!$Q:$Q,MATCH($AK41,Definitions!$R:$R,0)))</f>
        <v/>
      </c>
      <c r="AM41" s="9" cm="1">
        <f t="array" aca="1" ref="AM41" ca="1">IF($K41="",0,_xlfn.LET(
_xlpm._listOfAttackStepsAndMitigations,$K41&amp;$AH41,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41" s="9" t="str">
        <f ca="1">IFERROR(VLOOKUP($AM41,Definitions!$V:$W,COLUMNS(Definitions!$V:$W),TRUE),"")</f>
        <v>Basic</v>
      </c>
      <c r="AO41" s="9" t="str">
        <f ca="1">_xlfn.LET(
_xlpm._comments,SimpleLookup($A41,Tracing!$B:$AB),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41" s="9" t="str" cm="1">
        <f t="array" aca="1" ref="AP41" ca="1">_xlfn.LET(
_xlpm._rapRange,Definitions!$W:$W,
_xlpm._calculatedRAP,$AN41,
_xlpm._inlineRAP,$AO41,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41" s="9" t="str">
        <f ca="1">IFERROR(IF(OR($AL41="",$AP41=""),
Definitions!$AE$4,
VLOOKUP($AL41,Definitions!$AH:$AM,MATCH($AP41,Definitions!$AH$3:$AM$3,0),FALSE)),
"")</f>
        <v>No Risk</v>
      </c>
      <c r="AR41" s="9" cm="1">
        <f t="array" aca="1" ref="AR41" ca="1">IF($AQ41="",0,SimpleLookup($AQ41,Definitions!$AE:$AF))</f>
        <v>0</v>
      </c>
      <c r="AS41" s="9" t="b">
        <f ca="1">OR(AND($S41,$I41=Helper!$B$7),$I41&gt;Helper!$B$7)</f>
        <v>1</v>
      </c>
      <c r="AT41" s="9" t="str">
        <f t="shared" ca="1" si="7"/>
        <v/>
      </c>
      <c r="AU41" s="9" cm="1">
        <f t="array" aca="1" ref="AU41" ca="1">CreateID($AU$2,$AT41&lt;&gt;"")</f>
        <v>0</v>
      </c>
      <c r="AV41" s="9" t="str">
        <f ca="1">IF(IFERROR(MATCH(","&amp;A41&amp;",",'Risk Treatment'!$AT:$AT,0)&gt;0,FALSE),"",$A41)</f>
        <v/>
      </c>
      <c r="AW41" s="9" cm="1">
        <f t="array" aca="1" ref="AW41" ca="1">CreateID($AW$2,$AV41&lt;&gt;"")</f>
        <v>0</v>
      </c>
      <c r="AX41" s="9" t="str" cm="1">
        <f t="array" aca="1" ref="AX41" ca="1">CreateSearchString($AA41)</f>
        <v/>
      </c>
    </row>
    <row r="42" spans="1:50" x14ac:dyDescent="0.25">
      <c r="A42" s="13" t="str" cm="1">
        <f t="array" aca="1" ref="A42" ca="1">IF($B42="","","R"&amp;RemoveDelimiter(SUBSTITUTE(SUBSTITUTE($K42,"AS",""),",","-"),"-"))</f>
        <v/>
      </c>
      <c r="B42" s="13" t="str" cm="1">
        <f t="array" aca="1" ref="B42" ca="1">IF($L42="","",_xlfn.LET(
_xlpm._finalAttackStep,$L42,
_xlpm._prepAttacks,RemoveFirstElement(_xlpm._finalAttackStep&amp;","&amp;$K42),
_xlpm._prepAttackNames,IFERROR(LookupNames(_xlpm._prepAttacks,'Attack Steps'!$A:$B),""),
_xlpm._delimiter,REPT(CHAR(150),55),
$L42&amp;" "&amp;SimpleLookup($L42,'Attack Steps'!$A:$B)&amp;
IF(_xlpm._prepAttackNames="","",CHAR(10)&amp;_xlpm._delimiter&amp;CHAR(10)&amp;_xlpm._prepAttackNames)))</f>
        <v/>
      </c>
      <c r="C42" s="16" t="str" cm="1">
        <f t="array" aca="1" ref="C42" ca="1">IFERROR(LookupNames($M42,'Damage Scenarios'!$A:$V),"")</f>
        <v/>
      </c>
      <c r="D42" s="13" t="str">
        <f ca="1">IFERROR(IF($T42=0,"",INDEX(Definitions!$Q:$Q,MATCH($T42,Definitions!$R:$R,0))),"")</f>
        <v/>
      </c>
      <c r="E42" s="16" t="str" cm="1">
        <f t="array" aca="1" ref="E42" ca="1">IF($K42="","",_xlfn.LET(
_xlpm._listOfAttackSteps,$K42,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42" s="13" t="str">
        <f ca="1">IF($A42="","",IFERROR(VLOOKUP($W42,Definitions!$V:$W,COLUMNS(Definitions!$V:$W),TRUE),""))</f>
        <v/>
      </c>
      <c r="G42" s="13" t="str">
        <f ca="1">IFERROR(IF(OR($D42="",$F42=""),
"",
VLOOKUP($D42,Definitions!$AH:$AM,MATCH($F42,Definitions!$AH$3:$AM$3,0),FALSE)),
"")</f>
        <v/>
      </c>
      <c r="H42" s="10" cm="1">
        <f t="array" aca="1" ref="H42" ca="1">CreateID($H$2,$A42&lt;&gt;"")</f>
        <v>0</v>
      </c>
      <c r="I42" s="9" cm="1">
        <f t="array" aca="1" ref="I42" ca="1">IF(ROW()=ROW($I$2)+1,
1,
INDEX($I:$I,ROW()-1)+IF(INDEX($S:$S,ROW()-1),1,0))</f>
        <v>1</v>
      </c>
      <c r="J42" s="9">
        <f t="shared" ca="1" si="4"/>
        <v>40</v>
      </c>
      <c r="K42" s="9" t="str">
        <f t="shared" ca="1" si="5"/>
        <v/>
      </c>
      <c r="L42" s="9" t="str" cm="1">
        <f t="array" aca="1" ref="L42" ca="1">IF($P42="","",INDEX('Attack Steps'!$A:$A,$P42))</f>
        <v/>
      </c>
      <c r="M42" s="9" t="str" cm="1">
        <f t="array" aca="1" ref="M42" ca="1">IF($P42="","",INDEX('Attack Steps'!$U:$U,$P42))</f>
        <v/>
      </c>
      <c r="N42" s="9" t="str" cm="1">
        <f t="array" aca="1" ref="N42" ca="1">_xlfn.LET(_xlpm._dm,SanitizeInput(GetValuesWithFallback(SanitizeInput($AA42),Assumptions!$A:$J,Countermeasures!$A:$J,"",",",FALSE)),
IF(_xlpm._dm="","",","&amp;_xlpm._dm))</f>
        <v/>
      </c>
      <c r="O42" s="9" t="str" cm="1">
        <f t="array" aca="1" ref="O42" ca="1">ApplyDamageMitigation($M42,$N42,"")</f>
        <v/>
      </c>
      <c r="P42" s="9" t="str">
        <f ca="1">IFERROR(MATCH($I42,'Attack Steps'!$W:$W,0),"")</f>
        <v/>
      </c>
      <c r="Q42" s="9" t="str" cm="1">
        <f t="array" aca="1" ref="Q42" ca="1">IF($P42="","","§"&amp;INDEX('Attack Steps'!$T:$T,$P42))</f>
        <v/>
      </c>
      <c r="R42" s="9" t="str" cm="1">
        <f t="array" aca="1" ref="R42" ca="1">IF($P42="","",INDEX('Attack Steps'!$X:$X,$P42))</f>
        <v/>
      </c>
      <c r="S42" s="9" t="b">
        <f t="shared" ca="1" si="6"/>
        <v>0</v>
      </c>
      <c r="T42" s="9" cm="1">
        <f t="array" aca="1" ref="T42" ca="1">IF($M42="",0,OperateOnList($M42,_xlfn.LAMBDA(_xlpm._x,SimpleLookup(_xlpm._x,'Damage Scenarios'!$A:$U)),_xlfn.LAMBDA(_xlpm._x,_xlpm._y,MAX(_xlpm._x,_xlpm._y))))</f>
        <v>0</v>
      </c>
      <c r="U42" s="9" cm="1">
        <f t="array" aca="1" ref="U42" ca="1">IF($O42="",0,OperateOnList($O42,_xlfn.LAMBDA(_xlpm._x,SimpleLookup(_xlpm._x,'Damage Scenarios'!$A:$U)),_xlfn.LAMBDA(_xlpm._x,_xlpm._y,MAX(_xlpm._x,_xlpm._y))))</f>
        <v>0</v>
      </c>
      <c r="V42" s="9" t="str">
        <f ca="1">IF($U42=0,"",INDEX(Definitions!$Q:$Q,MATCH($U42,Definitions!$R:$R,0)))</f>
        <v/>
      </c>
      <c r="W42" s="9" cm="1">
        <f t="array" aca="1" ref="W42" ca="1">IF($K42="",0,_xlfn.LET(
_xlpm._listOfAttackSteps,$K42,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42" s="9" t="str" cm="1">
        <f t="array" aca="1" ref="X42" ca="1">IF(ROW()=ROW($X$2)+1,"",INDEX($X:$X,ROW()-1))&amp;IF($A42="","",$A42&amp;",")</f>
        <v/>
      </c>
      <c r="Y42" s="9" t="str" cm="1">
        <f t="array" aca="1" ref="Y42" ca="1">CreateSearchString($K42)</f>
        <v/>
      </c>
      <c r="Z42" s="9" cm="1">
        <f t="array" aca="1" ref="Z42" ca="1">IF($G42="",0,SimpleLookup($G42,Definitions!$AE:$AF))</f>
        <v>0</v>
      </c>
      <c r="AA42" s="9" t="str" cm="1">
        <f t="array" aca="1" ref="AA42" ca="1">SanitizeInput(InverseLookup($A42,Mitigation!$U$2,Mitigation!$J$2,1,Helper!$B$5,","))</f>
        <v/>
      </c>
      <c r="AB42" s="9" cm="1">
        <f t="array" aca="1" ref="AB42" ca="1">IF($K42="",0,_xlfn.LET(
_xlpm._listOfAttackStepsAndMitigations,$K42&amp;$AA42,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42" s="9" t="str">
        <f ca="1">IFERROR(VLOOKUP($AB42,Definitions!$V:$W,COLUMNS(Definitions!$V:$W),TRUE),"")</f>
        <v>Basic</v>
      </c>
      <c r="AD42" s="9" t="str">
        <f ca="1">_xlfn.LET(
_xlpm._comments,GetValues($K42,Mitigation!$A:$O,"","",FALSE),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42" s="9" t="str" cm="1">
        <f t="array" aca="1" ref="AE42" ca="1">_xlfn.LET(
_xlpm._rapRange,Definitions!$W:$W,
_xlpm._calculatedRAP,$AC42,
_xlpm._inlineRAP,$AD42,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42" s="9" t="str">
        <f ca="1">IFERROR(IF(OR($V42="",$AE42=""),
Definitions!$AE$4,
VLOOKUP($V42,Definitions!$AH:$AM,MATCH($AE42,Definitions!$AH$3:$AM$3,0),FALSE)),
"")</f>
        <v>No Risk</v>
      </c>
      <c r="AG42" s="9" cm="1">
        <f t="array" aca="1" ref="AG42" ca="1">IF($AF42="",0,SimpleLookup($AF42,Definitions!$AE:$AF))</f>
        <v>0</v>
      </c>
      <c r="AH42" s="9" t="str" cm="1">
        <f t="array" aca="1" ref="AH42" ca="1">IFERROR(SimpleLookup($A42,Tracing!$B:$Z),"")</f>
        <v/>
      </c>
      <c r="AI42" s="9" t="str" cm="1">
        <f t="array" aca="1" ref="AI42" ca="1">_xlfn.LET(_xlpm._dm,SanitizeInput(GetValuesWithFallback(SanitizeInput($AH42),Assumptions!$A:$J,Countermeasures!$A:$J,"",",",FALSE)),
IF(_xlpm._dm="","",","&amp;_xlpm._dm))</f>
        <v/>
      </c>
      <c r="AJ42" s="9" t="str" cm="1">
        <f t="array" aca="1" ref="AJ42" ca="1">ApplyDamageMitigation($M42,$AI42,"")</f>
        <v/>
      </c>
      <c r="AK42" s="9" cm="1">
        <f t="array" aca="1" ref="AK42" ca="1">CalculateMaxFromList($AJ42,0,'Damage Scenarios'!$A:$U)</f>
        <v>0</v>
      </c>
      <c r="AL42" s="9" t="str">
        <f ca="1">IF($AK42=0,"",INDEX(Definitions!$Q:$Q,MATCH($AK42,Definitions!$R:$R,0)))</f>
        <v/>
      </c>
      <c r="AM42" s="9" cm="1">
        <f t="array" aca="1" ref="AM42" ca="1">IF($K42="",0,_xlfn.LET(
_xlpm._listOfAttackStepsAndMitigations,$K42&amp;$AH42,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42" s="9" t="str">
        <f ca="1">IFERROR(VLOOKUP($AM42,Definitions!$V:$W,COLUMNS(Definitions!$V:$W),TRUE),"")</f>
        <v>Basic</v>
      </c>
      <c r="AO42" s="9" t="str">
        <f ca="1">_xlfn.LET(
_xlpm._comments,SimpleLookup($A42,Tracing!$B:$AB),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42" s="9" t="str" cm="1">
        <f t="array" aca="1" ref="AP42" ca="1">_xlfn.LET(
_xlpm._rapRange,Definitions!$W:$W,
_xlpm._calculatedRAP,$AN42,
_xlpm._inlineRAP,$AO42,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42" s="9" t="str">
        <f ca="1">IFERROR(IF(OR($AL42="",$AP42=""),
Definitions!$AE$4,
VLOOKUP($AL42,Definitions!$AH:$AM,MATCH($AP42,Definitions!$AH$3:$AM$3,0),FALSE)),
"")</f>
        <v>No Risk</v>
      </c>
      <c r="AR42" s="9" cm="1">
        <f t="array" aca="1" ref="AR42" ca="1">IF($AQ42="",0,SimpleLookup($AQ42,Definitions!$AE:$AF))</f>
        <v>0</v>
      </c>
      <c r="AS42" s="9" t="b">
        <f ca="1">OR(AND($S42,$I42=Helper!$B$7),$I42&gt;Helper!$B$7)</f>
        <v>1</v>
      </c>
      <c r="AT42" s="9" t="str">
        <f t="shared" ca="1" si="7"/>
        <v/>
      </c>
      <c r="AU42" s="9" cm="1">
        <f t="array" aca="1" ref="AU42" ca="1">CreateID($AU$2,$AT42&lt;&gt;"")</f>
        <v>0</v>
      </c>
      <c r="AV42" s="9" t="str">
        <f ca="1">IF(IFERROR(MATCH(","&amp;A42&amp;",",'Risk Treatment'!$AT:$AT,0)&gt;0,FALSE),"",$A42)</f>
        <v/>
      </c>
      <c r="AW42" s="9" cm="1">
        <f t="array" aca="1" ref="AW42" ca="1">CreateID($AW$2,$AV42&lt;&gt;"")</f>
        <v>0</v>
      </c>
      <c r="AX42" s="9" t="str" cm="1">
        <f t="array" aca="1" ref="AX42" ca="1">CreateSearchString($AA42)</f>
        <v/>
      </c>
    </row>
    <row r="43" spans="1:50" x14ac:dyDescent="0.25">
      <c r="A43" s="13" t="str" cm="1">
        <f t="array" aca="1" ref="A43" ca="1">IF($B43="","","R"&amp;RemoveDelimiter(SUBSTITUTE(SUBSTITUTE($K43,"AS",""),",","-"),"-"))</f>
        <v/>
      </c>
      <c r="B43" s="13" t="str" cm="1">
        <f t="array" aca="1" ref="B43" ca="1">IF($L43="","",_xlfn.LET(
_xlpm._finalAttackStep,$L43,
_xlpm._prepAttacks,RemoveFirstElement(_xlpm._finalAttackStep&amp;","&amp;$K43),
_xlpm._prepAttackNames,IFERROR(LookupNames(_xlpm._prepAttacks,'Attack Steps'!$A:$B),""),
_xlpm._delimiter,REPT(CHAR(150),55),
$L43&amp;" "&amp;SimpleLookup($L43,'Attack Steps'!$A:$B)&amp;
IF(_xlpm._prepAttackNames="","",CHAR(10)&amp;_xlpm._delimiter&amp;CHAR(10)&amp;_xlpm._prepAttackNames)))</f>
        <v/>
      </c>
      <c r="C43" s="16" t="str" cm="1">
        <f t="array" aca="1" ref="C43" ca="1">IFERROR(LookupNames($M43,'Damage Scenarios'!$A:$V),"")</f>
        <v/>
      </c>
      <c r="D43" s="13" t="str">
        <f ca="1">IFERROR(IF($T43=0,"",INDEX(Definitions!$Q:$Q,MATCH($T43,Definitions!$R:$R,0))),"")</f>
        <v/>
      </c>
      <c r="E43" s="16" t="str" cm="1">
        <f t="array" aca="1" ref="E43" ca="1">IF($K43="","",_xlfn.LET(
_xlpm._listOfAttackSteps,$K43,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43" s="13" t="str">
        <f ca="1">IF($A43="","",IFERROR(VLOOKUP($W43,Definitions!$V:$W,COLUMNS(Definitions!$V:$W),TRUE),""))</f>
        <v/>
      </c>
      <c r="G43" s="13" t="str">
        <f ca="1">IFERROR(IF(OR($D43="",$F43=""),
"",
VLOOKUP($D43,Definitions!$AH:$AM,MATCH($F43,Definitions!$AH$3:$AM$3,0),FALSE)),
"")</f>
        <v/>
      </c>
      <c r="H43" s="10" cm="1">
        <f t="array" aca="1" ref="H43" ca="1">CreateID($H$2,$A43&lt;&gt;"")</f>
        <v>0</v>
      </c>
      <c r="I43" s="9" cm="1">
        <f t="array" aca="1" ref="I43" ca="1">IF(ROW()=ROW($I$2)+1,
1,
INDEX($I:$I,ROW()-1)+IF(INDEX($S:$S,ROW()-1),1,0))</f>
        <v>1</v>
      </c>
      <c r="J43" s="9">
        <f t="shared" ca="1" si="4"/>
        <v>41</v>
      </c>
      <c r="K43" s="9" t="str">
        <f t="shared" ca="1" si="5"/>
        <v/>
      </c>
      <c r="L43" s="9" t="str" cm="1">
        <f t="array" aca="1" ref="L43" ca="1">IF($P43="","",INDEX('Attack Steps'!$A:$A,$P43))</f>
        <v/>
      </c>
      <c r="M43" s="9" t="str" cm="1">
        <f t="array" aca="1" ref="M43" ca="1">IF($P43="","",INDEX('Attack Steps'!$U:$U,$P43))</f>
        <v/>
      </c>
      <c r="N43" s="9" t="str" cm="1">
        <f t="array" aca="1" ref="N43" ca="1">_xlfn.LET(_xlpm._dm,SanitizeInput(GetValuesWithFallback(SanitizeInput($AA43),Assumptions!$A:$J,Countermeasures!$A:$J,"",",",FALSE)),
IF(_xlpm._dm="","",","&amp;_xlpm._dm))</f>
        <v/>
      </c>
      <c r="O43" s="9" t="str" cm="1">
        <f t="array" aca="1" ref="O43" ca="1">ApplyDamageMitigation($M43,$N43,"")</f>
        <v/>
      </c>
      <c r="P43" s="9" t="str">
        <f ca="1">IFERROR(MATCH($I43,'Attack Steps'!$W:$W,0),"")</f>
        <v/>
      </c>
      <c r="Q43" s="9" t="str" cm="1">
        <f t="array" aca="1" ref="Q43" ca="1">IF($P43="","","§"&amp;INDEX('Attack Steps'!$T:$T,$P43))</f>
        <v/>
      </c>
      <c r="R43" s="9" t="str" cm="1">
        <f t="array" aca="1" ref="R43" ca="1">IF($P43="","",INDEX('Attack Steps'!$X:$X,$P43))</f>
        <v/>
      </c>
      <c r="S43" s="9" t="b">
        <f t="shared" ca="1" si="6"/>
        <v>0</v>
      </c>
      <c r="T43" s="9" cm="1">
        <f t="array" aca="1" ref="T43" ca="1">IF($M43="",0,OperateOnList($M43,_xlfn.LAMBDA(_xlpm._x,SimpleLookup(_xlpm._x,'Damage Scenarios'!$A:$U)),_xlfn.LAMBDA(_xlpm._x,_xlpm._y,MAX(_xlpm._x,_xlpm._y))))</f>
        <v>0</v>
      </c>
      <c r="U43" s="9" cm="1">
        <f t="array" aca="1" ref="U43" ca="1">IF($O43="",0,OperateOnList($O43,_xlfn.LAMBDA(_xlpm._x,SimpleLookup(_xlpm._x,'Damage Scenarios'!$A:$U)),_xlfn.LAMBDA(_xlpm._x,_xlpm._y,MAX(_xlpm._x,_xlpm._y))))</f>
        <v>0</v>
      </c>
      <c r="V43" s="9" t="str">
        <f ca="1">IF($U43=0,"",INDEX(Definitions!$Q:$Q,MATCH($U43,Definitions!$R:$R,0)))</f>
        <v/>
      </c>
      <c r="W43" s="9" cm="1">
        <f t="array" aca="1" ref="W43" ca="1">IF($K43="",0,_xlfn.LET(
_xlpm._listOfAttackSteps,$K43,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43" s="9" t="str" cm="1">
        <f t="array" aca="1" ref="X43" ca="1">IF(ROW()=ROW($X$2)+1,"",INDEX($X:$X,ROW()-1))&amp;IF($A43="","",$A43&amp;",")</f>
        <v/>
      </c>
      <c r="Y43" s="9" t="str" cm="1">
        <f t="array" aca="1" ref="Y43" ca="1">CreateSearchString($K43)</f>
        <v/>
      </c>
      <c r="Z43" s="9" cm="1">
        <f t="array" aca="1" ref="Z43" ca="1">IF($G43="",0,SimpleLookup($G43,Definitions!$AE:$AF))</f>
        <v>0</v>
      </c>
      <c r="AA43" s="9" t="str" cm="1">
        <f t="array" aca="1" ref="AA43" ca="1">SanitizeInput(InverseLookup($A43,Mitigation!$U$2,Mitigation!$J$2,1,Helper!$B$5,","))</f>
        <v/>
      </c>
      <c r="AB43" s="9" cm="1">
        <f t="array" aca="1" ref="AB43" ca="1">IF($K43="",0,_xlfn.LET(
_xlpm._listOfAttackStepsAndMitigations,$K43&amp;$AA43,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43" s="9" t="str">
        <f ca="1">IFERROR(VLOOKUP($AB43,Definitions!$V:$W,COLUMNS(Definitions!$V:$W),TRUE),"")</f>
        <v>Basic</v>
      </c>
      <c r="AD43" s="9" t="str">
        <f ca="1">_xlfn.LET(
_xlpm._comments,GetValues($K43,Mitigation!$A:$O,"","",FALSE),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43" s="9" t="str" cm="1">
        <f t="array" aca="1" ref="AE43" ca="1">_xlfn.LET(
_xlpm._rapRange,Definitions!$W:$W,
_xlpm._calculatedRAP,$AC43,
_xlpm._inlineRAP,$AD43,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43" s="9" t="str">
        <f ca="1">IFERROR(IF(OR($V43="",$AE43=""),
Definitions!$AE$4,
VLOOKUP($V43,Definitions!$AH:$AM,MATCH($AE43,Definitions!$AH$3:$AM$3,0),FALSE)),
"")</f>
        <v>No Risk</v>
      </c>
      <c r="AG43" s="9" cm="1">
        <f t="array" aca="1" ref="AG43" ca="1">IF($AF43="",0,SimpleLookup($AF43,Definitions!$AE:$AF))</f>
        <v>0</v>
      </c>
      <c r="AH43" s="9" t="str" cm="1">
        <f t="array" aca="1" ref="AH43" ca="1">IFERROR(SimpleLookup($A43,Tracing!$B:$Z),"")</f>
        <v/>
      </c>
      <c r="AI43" s="9" t="str" cm="1">
        <f t="array" aca="1" ref="AI43" ca="1">_xlfn.LET(_xlpm._dm,SanitizeInput(GetValuesWithFallback(SanitizeInput($AH43),Assumptions!$A:$J,Countermeasures!$A:$J,"",",",FALSE)),
IF(_xlpm._dm="","",","&amp;_xlpm._dm))</f>
        <v/>
      </c>
      <c r="AJ43" s="9" t="str" cm="1">
        <f t="array" aca="1" ref="AJ43" ca="1">ApplyDamageMitigation($M43,$AI43,"")</f>
        <v/>
      </c>
      <c r="AK43" s="9" cm="1">
        <f t="array" aca="1" ref="AK43" ca="1">CalculateMaxFromList($AJ43,0,'Damage Scenarios'!$A:$U)</f>
        <v>0</v>
      </c>
      <c r="AL43" s="9" t="str">
        <f ca="1">IF($AK43=0,"",INDEX(Definitions!$Q:$Q,MATCH($AK43,Definitions!$R:$R,0)))</f>
        <v/>
      </c>
      <c r="AM43" s="9" cm="1">
        <f t="array" aca="1" ref="AM43" ca="1">IF($K43="",0,_xlfn.LET(
_xlpm._listOfAttackStepsAndMitigations,$K43&amp;$AH43,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43" s="9" t="str">
        <f ca="1">IFERROR(VLOOKUP($AM43,Definitions!$V:$W,COLUMNS(Definitions!$V:$W),TRUE),"")</f>
        <v>Basic</v>
      </c>
      <c r="AO43" s="9" t="str">
        <f ca="1">_xlfn.LET(
_xlpm._comments,SimpleLookup($A43,Tracing!$B:$AB),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43" s="9" t="str" cm="1">
        <f t="array" aca="1" ref="AP43" ca="1">_xlfn.LET(
_xlpm._rapRange,Definitions!$W:$W,
_xlpm._calculatedRAP,$AN43,
_xlpm._inlineRAP,$AO43,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43" s="9" t="str">
        <f ca="1">IFERROR(IF(OR($AL43="",$AP43=""),
Definitions!$AE$4,
VLOOKUP($AL43,Definitions!$AH:$AM,MATCH($AP43,Definitions!$AH$3:$AM$3,0),FALSE)),
"")</f>
        <v>No Risk</v>
      </c>
      <c r="AR43" s="9" cm="1">
        <f t="array" aca="1" ref="AR43" ca="1">IF($AQ43="",0,SimpleLookup($AQ43,Definitions!$AE:$AF))</f>
        <v>0</v>
      </c>
      <c r="AS43" s="9" t="b">
        <f ca="1">OR(AND($S43,$I43=Helper!$B$7),$I43&gt;Helper!$B$7)</f>
        <v>1</v>
      </c>
      <c r="AT43" s="9" t="str">
        <f t="shared" ca="1" si="7"/>
        <v/>
      </c>
      <c r="AU43" s="9" cm="1">
        <f t="array" aca="1" ref="AU43" ca="1">CreateID($AU$2,$AT43&lt;&gt;"")</f>
        <v>0</v>
      </c>
      <c r="AV43" s="9" t="str">
        <f ca="1">IF(IFERROR(MATCH(","&amp;A43&amp;",",'Risk Treatment'!$AT:$AT,0)&gt;0,FALSE),"",$A43)</f>
        <v/>
      </c>
      <c r="AW43" s="9" cm="1">
        <f t="array" aca="1" ref="AW43" ca="1">CreateID($AW$2,$AV43&lt;&gt;"")</f>
        <v>0</v>
      </c>
      <c r="AX43" s="9" t="str" cm="1">
        <f t="array" aca="1" ref="AX43" ca="1">CreateSearchString($AA43)</f>
        <v/>
      </c>
    </row>
    <row r="44" spans="1:50" x14ac:dyDescent="0.25">
      <c r="A44" s="13" t="str" cm="1">
        <f t="array" aca="1" ref="A44" ca="1">IF($B44="","","R"&amp;RemoveDelimiter(SUBSTITUTE(SUBSTITUTE($K44,"AS",""),",","-"),"-"))</f>
        <v/>
      </c>
      <c r="B44" s="13" t="str" cm="1">
        <f t="array" aca="1" ref="B44" ca="1">IF($L44="","",_xlfn.LET(
_xlpm._finalAttackStep,$L44,
_xlpm._prepAttacks,RemoveFirstElement(_xlpm._finalAttackStep&amp;","&amp;$K44),
_xlpm._prepAttackNames,IFERROR(LookupNames(_xlpm._prepAttacks,'Attack Steps'!$A:$B),""),
_xlpm._delimiter,REPT(CHAR(150),55),
$L44&amp;" "&amp;SimpleLookup($L44,'Attack Steps'!$A:$B)&amp;
IF(_xlpm._prepAttackNames="","",CHAR(10)&amp;_xlpm._delimiter&amp;CHAR(10)&amp;_xlpm._prepAttackNames)))</f>
        <v/>
      </c>
      <c r="C44" s="16" t="str" cm="1">
        <f t="array" aca="1" ref="C44" ca="1">IFERROR(LookupNames($M44,'Damage Scenarios'!$A:$V),"")</f>
        <v/>
      </c>
      <c r="D44" s="13" t="str">
        <f ca="1">IFERROR(IF($T44=0,"",INDEX(Definitions!$Q:$Q,MATCH($T44,Definitions!$R:$R,0))),"")</f>
        <v/>
      </c>
      <c r="E44" s="16" t="str" cm="1">
        <f t="array" aca="1" ref="E44" ca="1">IF($K44="","",_xlfn.LET(
_xlpm._listOfAttackSteps,$K44,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44" s="13" t="str">
        <f ca="1">IF($A44="","",IFERROR(VLOOKUP($W44,Definitions!$V:$W,COLUMNS(Definitions!$V:$W),TRUE),""))</f>
        <v/>
      </c>
      <c r="G44" s="13" t="str">
        <f ca="1">IFERROR(IF(OR($D44="",$F44=""),
"",
VLOOKUP($D44,Definitions!$AH:$AM,MATCH($F44,Definitions!$AH$3:$AM$3,0),FALSE)),
"")</f>
        <v/>
      </c>
      <c r="H44" s="10" cm="1">
        <f t="array" aca="1" ref="H44" ca="1">CreateID($H$2,$A44&lt;&gt;"")</f>
        <v>0</v>
      </c>
      <c r="I44" s="9" cm="1">
        <f t="array" aca="1" ref="I44" ca="1">IF(ROW()=ROW($I$2)+1,
1,
INDEX($I:$I,ROW()-1)+IF(INDEX($S:$S,ROW()-1),1,0))</f>
        <v>1</v>
      </c>
      <c r="J44" s="9">
        <f t="shared" ca="1" si="4"/>
        <v>42</v>
      </c>
      <c r="K44" s="9" t="str">
        <f t="shared" ca="1" si="5"/>
        <v/>
      </c>
      <c r="L44" s="9" t="str" cm="1">
        <f t="array" aca="1" ref="L44" ca="1">IF($P44="","",INDEX('Attack Steps'!$A:$A,$P44))</f>
        <v/>
      </c>
      <c r="M44" s="9" t="str" cm="1">
        <f t="array" aca="1" ref="M44" ca="1">IF($P44="","",INDEX('Attack Steps'!$U:$U,$P44))</f>
        <v/>
      </c>
      <c r="N44" s="9" t="str" cm="1">
        <f t="array" aca="1" ref="N44" ca="1">_xlfn.LET(_xlpm._dm,SanitizeInput(GetValuesWithFallback(SanitizeInput($AA44),Assumptions!$A:$J,Countermeasures!$A:$J,"",",",FALSE)),
IF(_xlpm._dm="","",","&amp;_xlpm._dm))</f>
        <v/>
      </c>
      <c r="O44" s="9" t="str" cm="1">
        <f t="array" aca="1" ref="O44" ca="1">ApplyDamageMitigation($M44,$N44,"")</f>
        <v/>
      </c>
      <c r="P44" s="9" t="str">
        <f ca="1">IFERROR(MATCH($I44,'Attack Steps'!$W:$W,0),"")</f>
        <v/>
      </c>
      <c r="Q44" s="9" t="str" cm="1">
        <f t="array" aca="1" ref="Q44" ca="1">IF($P44="","","§"&amp;INDEX('Attack Steps'!$T:$T,$P44))</f>
        <v/>
      </c>
      <c r="R44" s="9" t="str" cm="1">
        <f t="array" aca="1" ref="R44" ca="1">IF($P44="","",INDEX('Attack Steps'!$X:$X,$P44))</f>
        <v/>
      </c>
      <c r="S44" s="9" t="b">
        <f t="shared" ca="1" si="6"/>
        <v>0</v>
      </c>
      <c r="T44" s="9" cm="1">
        <f t="array" aca="1" ref="T44" ca="1">IF($M44="",0,OperateOnList($M44,_xlfn.LAMBDA(_xlpm._x,SimpleLookup(_xlpm._x,'Damage Scenarios'!$A:$U)),_xlfn.LAMBDA(_xlpm._x,_xlpm._y,MAX(_xlpm._x,_xlpm._y))))</f>
        <v>0</v>
      </c>
      <c r="U44" s="9" cm="1">
        <f t="array" aca="1" ref="U44" ca="1">IF($O44="",0,OperateOnList($O44,_xlfn.LAMBDA(_xlpm._x,SimpleLookup(_xlpm._x,'Damage Scenarios'!$A:$U)),_xlfn.LAMBDA(_xlpm._x,_xlpm._y,MAX(_xlpm._x,_xlpm._y))))</f>
        <v>0</v>
      </c>
      <c r="V44" s="9" t="str">
        <f ca="1">IF($U44=0,"",INDEX(Definitions!$Q:$Q,MATCH($U44,Definitions!$R:$R,0)))</f>
        <v/>
      </c>
      <c r="W44" s="9" cm="1">
        <f t="array" aca="1" ref="W44" ca="1">IF($K44="",0,_xlfn.LET(
_xlpm._listOfAttackSteps,$K44,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44" s="9" t="str" cm="1">
        <f t="array" aca="1" ref="X44" ca="1">IF(ROW()=ROW($X$2)+1,"",INDEX($X:$X,ROW()-1))&amp;IF($A44="","",$A44&amp;",")</f>
        <v/>
      </c>
      <c r="Y44" s="9" t="str" cm="1">
        <f t="array" aca="1" ref="Y44" ca="1">CreateSearchString($K44)</f>
        <v/>
      </c>
      <c r="Z44" s="9" cm="1">
        <f t="array" aca="1" ref="Z44" ca="1">IF($G44="",0,SimpleLookup($G44,Definitions!$AE:$AF))</f>
        <v>0</v>
      </c>
      <c r="AA44" s="9" t="str" cm="1">
        <f t="array" aca="1" ref="AA44" ca="1">SanitizeInput(InverseLookup($A44,Mitigation!$U$2,Mitigation!$J$2,1,Helper!$B$5,","))</f>
        <v/>
      </c>
      <c r="AB44" s="9" cm="1">
        <f t="array" aca="1" ref="AB44" ca="1">IF($K44="",0,_xlfn.LET(
_xlpm._listOfAttackStepsAndMitigations,$K44&amp;$AA44,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44" s="9" t="str">
        <f ca="1">IFERROR(VLOOKUP($AB44,Definitions!$V:$W,COLUMNS(Definitions!$V:$W),TRUE),"")</f>
        <v>Basic</v>
      </c>
      <c r="AD44" s="9" t="str">
        <f ca="1">_xlfn.LET(
_xlpm._comments,GetValues($K44,Mitigation!$A:$O,"","",FALSE),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44" s="9" t="str" cm="1">
        <f t="array" aca="1" ref="AE44" ca="1">_xlfn.LET(
_xlpm._rapRange,Definitions!$W:$W,
_xlpm._calculatedRAP,$AC44,
_xlpm._inlineRAP,$AD44,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44" s="9" t="str">
        <f ca="1">IFERROR(IF(OR($V44="",$AE44=""),
Definitions!$AE$4,
VLOOKUP($V44,Definitions!$AH:$AM,MATCH($AE44,Definitions!$AH$3:$AM$3,0),FALSE)),
"")</f>
        <v>No Risk</v>
      </c>
      <c r="AG44" s="9" cm="1">
        <f t="array" aca="1" ref="AG44" ca="1">IF($AF44="",0,SimpleLookup($AF44,Definitions!$AE:$AF))</f>
        <v>0</v>
      </c>
      <c r="AH44" s="9" t="str" cm="1">
        <f t="array" aca="1" ref="AH44" ca="1">IFERROR(SimpleLookup($A44,Tracing!$B:$Z),"")</f>
        <v/>
      </c>
      <c r="AI44" s="9" t="str" cm="1">
        <f t="array" aca="1" ref="AI44" ca="1">_xlfn.LET(_xlpm._dm,SanitizeInput(GetValuesWithFallback(SanitizeInput($AH44),Assumptions!$A:$J,Countermeasures!$A:$J,"",",",FALSE)),
IF(_xlpm._dm="","",","&amp;_xlpm._dm))</f>
        <v/>
      </c>
      <c r="AJ44" s="9" t="str" cm="1">
        <f t="array" aca="1" ref="AJ44" ca="1">ApplyDamageMitigation($M44,$AI44,"")</f>
        <v/>
      </c>
      <c r="AK44" s="9" cm="1">
        <f t="array" aca="1" ref="AK44" ca="1">CalculateMaxFromList($AJ44,0,'Damage Scenarios'!$A:$U)</f>
        <v>0</v>
      </c>
      <c r="AL44" s="9" t="str">
        <f ca="1">IF($AK44=0,"",INDEX(Definitions!$Q:$Q,MATCH($AK44,Definitions!$R:$R,0)))</f>
        <v/>
      </c>
      <c r="AM44" s="9" cm="1">
        <f t="array" aca="1" ref="AM44" ca="1">IF($K44="",0,_xlfn.LET(
_xlpm._listOfAttackStepsAndMitigations,$K44&amp;$AH44,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44" s="9" t="str">
        <f ca="1">IFERROR(VLOOKUP($AM44,Definitions!$V:$W,COLUMNS(Definitions!$V:$W),TRUE),"")</f>
        <v>Basic</v>
      </c>
      <c r="AO44" s="9" t="str">
        <f ca="1">_xlfn.LET(
_xlpm._comments,SimpleLookup($A44,Tracing!$B:$AB),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44" s="9" t="str" cm="1">
        <f t="array" aca="1" ref="AP44" ca="1">_xlfn.LET(
_xlpm._rapRange,Definitions!$W:$W,
_xlpm._calculatedRAP,$AN44,
_xlpm._inlineRAP,$AO44,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44" s="9" t="str">
        <f ca="1">IFERROR(IF(OR($AL44="",$AP44=""),
Definitions!$AE$4,
VLOOKUP($AL44,Definitions!$AH:$AM,MATCH($AP44,Definitions!$AH$3:$AM$3,0),FALSE)),
"")</f>
        <v>No Risk</v>
      </c>
      <c r="AR44" s="9" cm="1">
        <f t="array" aca="1" ref="AR44" ca="1">IF($AQ44="",0,SimpleLookup($AQ44,Definitions!$AE:$AF))</f>
        <v>0</v>
      </c>
      <c r="AS44" s="9" t="b">
        <f ca="1">OR(AND($S44,$I44=Helper!$B$7),$I44&gt;Helper!$B$7)</f>
        <v>1</v>
      </c>
      <c r="AT44" s="9" t="str">
        <f t="shared" ca="1" si="7"/>
        <v/>
      </c>
      <c r="AU44" s="9" cm="1">
        <f t="array" aca="1" ref="AU44" ca="1">CreateID($AU$2,$AT44&lt;&gt;"")</f>
        <v>0</v>
      </c>
      <c r="AV44" s="9" t="str">
        <f ca="1">IF(IFERROR(MATCH(","&amp;A44&amp;",",'Risk Treatment'!$AT:$AT,0)&gt;0,FALSE),"",$A44)</f>
        <v/>
      </c>
      <c r="AW44" s="9" cm="1">
        <f t="array" aca="1" ref="AW44" ca="1">CreateID($AW$2,$AV44&lt;&gt;"")</f>
        <v>0</v>
      </c>
      <c r="AX44" s="9" t="str" cm="1">
        <f t="array" aca="1" ref="AX44" ca="1">CreateSearchString($AA44)</f>
        <v/>
      </c>
    </row>
    <row r="45" spans="1:50" x14ac:dyDescent="0.25">
      <c r="A45" s="13" t="str" cm="1">
        <f t="array" aca="1" ref="A45" ca="1">IF($B45="","","R"&amp;RemoveDelimiter(SUBSTITUTE(SUBSTITUTE($K45,"AS",""),",","-"),"-"))</f>
        <v/>
      </c>
      <c r="B45" s="13" t="str" cm="1">
        <f t="array" aca="1" ref="B45" ca="1">IF($L45="","",_xlfn.LET(
_xlpm._finalAttackStep,$L45,
_xlpm._prepAttacks,RemoveFirstElement(_xlpm._finalAttackStep&amp;","&amp;$K45),
_xlpm._prepAttackNames,IFERROR(LookupNames(_xlpm._prepAttacks,'Attack Steps'!$A:$B),""),
_xlpm._delimiter,REPT(CHAR(150),55),
$L45&amp;" "&amp;SimpleLookup($L45,'Attack Steps'!$A:$B)&amp;
IF(_xlpm._prepAttackNames="","",CHAR(10)&amp;_xlpm._delimiter&amp;CHAR(10)&amp;_xlpm._prepAttackNames)))</f>
        <v/>
      </c>
      <c r="C45" s="16" t="str" cm="1">
        <f t="array" aca="1" ref="C45" ca="1">IFERROR(LookupNames($M45,'Damage Scenarios'!$A:$V),"")</f>
        <v/>
      </c>
      <c r="D45" s="13" t="str">
        <f ca="1">IFERROR(IF($T45=0,"",INDEX(Definitions!$Q:$Q,MATCH($T45,Definitions!$R:$R,0))),"")</f>
        <v/>
      </c>
      <c r="E45" s="16" t="str" cm="1">
        <f t="array" aca="1" ref="E45" ca="1">IF($K45="","",_xlfn.LET(
_xlpm._listOfAttackSteps,$K45,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45" s="13" t="str">
        <f ca="1">IF($A45="","",IFERROR(VLOOKUP($W45,Definitions!$V:$W,COLUMNS(Definitions!$V:$W),TRUE),""))</f>
        <v/>
      </c>
      <c r="G45" s="13" t="str">
        <f ca="1">IFERROR(IF(OR($D45="",$F45=""),
"",
VLOOKUP($D45,Definitions!$AH:$AM,MATCH($F45,Definitions!$AH$3:$AM$3,0),FALSE)),
"")</f>
        <v/>
      </c>
      <c r="H45" s="10" cm="1">
        <f t="array" aca="1" ref="H45" ca="1">CreateID($H$2,$A45&lt;&gt;"")</f>
        <v>0</v>
      </c>
      <c r="I45" s="9" cm="1">
        <f t="array" aca="1" ref="I45" ca="1">IF(ROW()=ROW($I$2)+1,
1,
INDEX($I:$I,ROW()-1)+IF(INDEX($S:$S,ROW()-1),1,0))</f>
        <v>1</v>
      </c>
      <c r="J45" s="9">
        <f t="shared" ca="1" si="4"/>
        <v>43</v>
      </c>
      <c r="K45" s="9" t="str">
        <f t="shared" ca="1" si="5"/>
        <v/>
      </c>
      <c r="L45" s="9" t="str" cm="1">
        <f t="array" aca="1" ref="L45" ca="1">IF($P45="","",INDEX('Attack Steps'!$A:$A,$P45))</f>
        <v/>
      </c>
      <c r="M45" s="9" t="str" cm="1">
        <f t="array" aca="1" ref="M45" ca="1">IF($P45="","",INDEX('Attack Steps'!$U:$U,$P45))</f>
        <v/>
      </c>
      <c r="N45" s="9" t="str" cm="1">
        <f t="array" aca="1" ref="N45" ca="1">_xlfn.LET(_xlpm._dm,SanitizeInput(GetValuesWithFallback(SanitizeInput($AA45),Assumptions!$A:$J,Countermeasures!$A:$J,"",",",FALSE)),
IF(_xlpm._dm="","",","&amp;_xlpm._dm))</f>
        <v/>
      </c>
      <c r="O45" s="9" t="str" cm="1">
        <f t="array" aca="1" ref="O45" ca="1">ApplyDamageMitigation($M45,$N45,"")</f>
        <v/>
      </c>
      <c r="P45" s="9" t="str">
        <f ca="1">IFERROR(MATCH($I45,'Attack Steps'!$W:$W,0),"")</f>
        <v/>
      </c>
      <c r="Q45" s="9" t="str" cm="1">
        <f t="array" aca="1" ref="Q45" ca="1">IF($P45="","","§"&amp;INDEX('Attack Steps'!$T:$T,$P45))</f>
        <v/>
      </c>
      <c r="R45" s="9" t="str" cm="1">
        <f t="array" aca="1" ref="R45" ca="1">IF($P45="","",INDEX('Attack Steps'!$X:$X,$P45))</f>
        <v/>
      </c>
      <c r="S45" s="9" t="b">
        <f t="shared" ca="1" si="6"/>
        <v>0</v>
      </c>
      <c r="T45" s="9" cm="1">
        <f t="array" aca="1" ref="T45" ca="1">IF($M45="",0,OperateOnList($M45,_xlfn.LAMBDA(_xlpm._x,SimpleLookup(_xlpm._x,'Damage Scenarios'!$A:$U)),_xlfn.LAMBDA(_xlpm._x,_xlpm._y,MAX(_xlpm._x,_xlpm._y))))</f>
        <v>0</v>
      </c>
      <c r="U45" s="9" cm="1">
        <f t="array" aca="1" ref="U45" ca="1">IF($O45="",0,OperateOnList($O45,_xlfn.LAMBDA(_xlpm._x,SimpleLookup(_xlpm._x,'Damage Scenarios'!$A:$U)),_xlfn.LAMBDA(_xlpm._x,_xlpm._y,MAX(_xlpm._x,_xlpm._y))))</f>
        <v>0</v>
      </c>
      <c r="V45" s="9" t="str">
        <f ca="1">IF($U45=0,"",INDEX(Definitions!$Q:$Q,MATCH($U45,Definitions!$R:$R,0)))</f>
        <v/>
      </c>
      <c r="W45" s="9" cm="1">
        <f t="array" aca="1" ref="W45" ca="1">IF($K45="",0,_xlfn.LET(
_xlpm._listOfAttackSteps,$K45,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45" s="9" t="str" cm="1">
        <f t="array" aca="1" ref="X45" ca="1">IF(ROW()=ROW($X$2)+1,"",INDEX($X:$X,ROW()-1))&amp;IF($A45="","",$A45&amp;",")</f>
        <v/>
      </c>
      <c r="Y45" s="9" t="str" cm="1">
        <f t="array" aca="1" ref="Y45" ca="1">CreateSearchString($K45)</f>
        <v/>
      </c>
      <c r="Z45" s="9" cm="1">
        <f t="array" aca="1" ref="Z45" ca="1">IF($G45="",0,SimpleLookup($G45,Definitions!$AE:$AF))</f>
        <v>0</v>
      </c>
      <c r="AA45" s="9" t="str" cm="1">
        <f t="array" aca="1" ref="AA45" ca="1">SanitizeInput(InverseLookup($A45,Mitigation!$U$2,Mitigation!$J$2,1,Helper!$B$5,","))</f>
        <v/>
      </c>
      <c r="AB45" s="9" cm="1">
        <f t="array" aca="1" ref="AB45" ca="1">IF($K45="",0,_xlfn.LET(
_xlpm._listOfAttackStepsAndMitigations,$K45&amp;$AA45,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45" s="9" t="str">
        <f ca="1">IFERROR(VLOOKUP($AB45,Definitions!$V:$W,COLUMNS(Definitions!$V:$W),TRUE),"")</f>
        <v>Basic</v>
      </c>
      <c r="AD45" s="9" t="str">
        <f ca="1">_xlfn.LET(
_xlpm._comments,GetValues($K45,Mitigation!$A:$O,"","",FALSE),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45" s="9" t="str" cm="1">
        <f t="array" aca="1" ref="AE45" ca="1">_xlfn.LET(
_xlpm._rapRange,Definitions!$W:$W,
_xlpm._calculatedRAP,$AC45,
_xlpm._inlineRAP,$AD45,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45" s="9" t="str">
        <f ca="1">IFERROR(IF(OR($V45="",$AE45=""),
Definitions!$AE$4,
VLOOKUP($V45,Definitions!$AH:$AM,MATCH($AE45,Definitions!$AH$3:$AM$3,0),FALSE)),
"")</f>
        <v>No Risk</v>
      </c>
      <c r="AG45" s="9" cm="1">
        <f t="array" aca="1" ref="AG45" ca="1">IF($AF45="",0,SimpleLookup($AF45,Definitions!$AE:$AF))</f>
        <v>0</v>
      </c>
      <c r="AH45" s="9" t="str" cm="1">
        <f t="array" aca="1" ref="AH45" ca="1">IFERROR(SimpleLookup($A45,Tracing!$B:$Z),"")</f>
        <v/>
      </c>
      <c r="AI45" s="9" t="str" cm="1">
        <f t="array" aca="1" ref="AI45" ca="1">_xlfn.LET(_xlpm._dm,SanitizeInput(GetValuesWithFallback(SanitizeInput($AH45),Assumptions!$A:$J,Countermeasures!$A:$J,"",",",FALSE)),
IF(_xlpm._dm="","",","&amp;_xlpm._dm))</f>
        <v/>
      </c>
      <c r="AJ45" s="9" t="str" cm="1">
        <f t="array" aca="1" ref="AJ45" ca="1">ApplyDamageMitigation($M45,$AI45,"")</f>
        <v/>
      </c>
      <c r="AK45" s="9" cm="1">
        <f t="array" aca="1" ref="AK45" ca="1">CalculateMaxFromList($AJ45,0,'Damage Scenarios'!$A:$U)</f>
        <v>0</v>
      </c>
      <c r="AL45" s="9" t="str">
        <f ca="1">IF($AK45=0,"",INDEX(Definitions!$Q:$Q,MATCH($AK45,Definitions!$R:$R,0)))</f>
        <v/>
      </c>
      <c r="AM45" s="9" cm="1">
        <f t="array" aca="1" ref="AM45" ca="1">IF($K45="",0,_xlfn.LET(
_xlpm._listOfAttackStepsAndMitigations,$K45&amp;$AH45,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45" s="9" t="str">
        <f ca="1">IFERROR(VLOOKUP($AM45,Definitions!$V:$W,COLUMNS(Definitions!$V:$W),TRUE),"")</f>
        <v>Basic</v>
      </c>
      <c r="AO45" s="9" t="str">
        <f ca="1">_xlfn.LET(
_xlpm._comments,SimpleLookup($A45,Tracing!$B:$AB),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45" s="9" t="str" cm="1">
        <f t="array" aca="1" ref="AP45" ca="1">_xlfn.LET(
_xlpm._rapRange,Definitions!$W:$W,
_xlpm._calculatedRAP,$AN45,
_xlpm._inlineRAP,$AO45,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45" s="9" t="str">
        <f ca="1">IFERROR(IF(OR($AL45="",$AP45=""),
Definitions!$AE$4,
VLOOKUP($AL45,Definitions!$AH:$AM,MATCH($AP45,Definitions!$AH$3:$AM$3,0),FALSE)),
"")</f>
        <v>No Risk</v>
      </c>
      <c r="AR45" s="9" cm="1">
        <f t="array" aca="1" ref="AR45" ca="1">IF($AQ45="",0,SimpleLookup($AQ45,Definitions!$AE:$AF))</f>
        <v>0</v>
      </c>
      <c r="AS45" s="9" t="b">
        <f ca="1">OR(AND($S45,$I45=Helper!$B$7),$I45&gt;Helper!$B$7)</f>
        <v>1</v>
      </c>
      <c r="AT45" s="9" t="str">
        <f t="shared" ca="1" si="7"/>
        <v/>
      </c>
      <c r="AU45" s="9" cm="1">
        <f t="array" aca="1" ref="AU45" ca="1">CreateID($AU$2,$AT45&lt;&gt;"")</f>
        <v>0</v>
      </c>
      <c r="AV45" s="9" t="str">
        <f ca="1">IF(IFERROR(MATCH(","&amp;A45&amp;",",'Risk Treatment'!$AT:$AT,0)&gt;0,FALSE),"",$A45)</f>
        <v/>
      </c>
      <c r="AW45" s="9" cm="1">
        <f t="array" aca="1" ref="AW45" ca="1">CreateID($AW$2,$AV45&lt;&gt;"")</f>
        <v>0</v>
      </c>
      <c r="AX45" s="9" t="str" cm="1">
        <f t="array" aca="1" ref="AX45" ca="1">CreateSearchString($AA45)</f>
        <v/>
      </c>
    </row>
    <row r="46" spans="1:50" x14ac:dyDescent="0.25">
      <c r="A46" s="13" t="str" cm="1">
        <f t="array" aca="1" ref="A46" ca="1">IF($B46="","","R"&amp;RemoveDelimiter(SUBSTITUTE(SUBSTITUTE($K46,"AS",""),",","-"),"-"))</f>
        <v/>
      </c>
      <c r="B46" s="13" t="str" cm="1">
        <f t="array" aca="1" ref="B46" ca="1">IF($L46="","",_xlfn.LET(
_xlpm._finalAttackStep,$L46,
_xlpm._prepAttacks,RemoveFirstElement(_xlpm._finalAttackStep&amp;","&amp;$K46),
_xlpm._prepAttackNames,IFERROR(LookupNames(_xlpm._prepAttacks,'Attack Steps'!$A:$B),""),
_xlpm._delimiter,REPT(CHAR(150),55),
$L46&amp;" "&amp;SimpleLookup($L46,'Attack Steps'!$A:$B)&amp;
IF(_xlpm._prepAttackNames="","",CHAR(10)&amp;_xlpm._delimiter&amp;CHAR(10)&amp;_xlpm._prepAttackNames)))</f>
        <v/>
      </c>
      <c r="C46" s="16" t="str" cm="1">
        <f t="array" aca="1" ref="C46" ca="1">IFERROR(LookupNames($M46,'Damage Scenarios'!$A:$V),"")</f>
        <v/>
      </c>
      <c r="D46" s="13" t="str">
        <f ca="1">IFERROR(IF($T46=0,"",INDEX(Definitions!$Q:$Q,MATCH($T46,Definitions!$R:$R,0))),"")</f>
        <v/>
      </c>
      <c r="E46" s="16" t="str" cm="1">
        <f t="array" aca="1" ref="E46" ca="1">IF($K46="","",_xlfn.LET(
_xlpm._listOfAttackSteps,$K46,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46" s="13" t="str">
        <f ca="1">IF($A46="","",IFERROR(VLOOKUP($W46,Definitions!$V:$W,COLUMNS(Definitions!$V:$W),TRUE),""))</f>
        <v/>
      </c>
      <c r="G46" s="13" t="str">
        <f ca="1">IFERROR(IF(OR($D46="",$F46=""),
"",
VLOOKUP($D46,Definitions!$AH:$AM,MATCH($F46,Definitions!$AH$3:$AM$3,0),FALSE)),
"")</f>
        <v/>
      </c>
      <c r="H46" s="10" cm="1">
        <f t="array" aca="1" ref="H46" ca="1">CreateID($H$2,$A46&lt;&gt;"")</f>
        <v>0</v>
      </c>
      <c r="I46" s="9" cm="1">
        <f t="array" aca="1" ref="I46" ca="1">IF(ROW()=ROW($I$2)+1,
1,
INDEX($I:$I,ROW()-1)+IF(INDEX($S:$S,ROW()-1),1,0))</f>
        <v>1</v>
      </c>
      <c r="J46" s="9">
        <f t="shared" ca="1" si="4"/>
        <v>44</v>
      </c>
      <c r="K46" s="9" t="str">
        <f t="shared" ca="1" si="5"/>
        <v/>
      </c>
      <c r="L46" s="9" t="str" cm="1">
        <f t="array" aca="1" ref="L46" ca="1">IF($P46="","",INDEX('Attack Steps'!$A:$A,$P46))</f>
        <v/>
      </c>
      <c r="M46" s="9" t="str" cm="1">
        <f t="array" aca="1" ref="M46" ca="1">IF($P46="","",INDEX('Attack Steps'!$U:$U,$P46))</f>
        <v/>
      </c>
      <c r="N46" s="9" t="str" cm="1">
        <f t="array" aca="1" ref="N46" ca="1">_xlfn.LET(_xlpm._dm,SanitizeInput(GetValuesWithFallback(SanitizeInput($AA46),Assumptions!$A:$J,Countermeasures!$A:$J,"",",",FALSE)),
IF(_xlpm._dm="","",","&amp;_xlpm._dm))</f>
        <v/>
      </c>
      <c r="O46" s="9" t="str" cm="1">
        <f t="array" aca="1" ref="O46" ca="1">ApplyDamageMitigation($M46,$N46,"")</f>
        <v/>
      </c>
      <c r="P46" s="9" t="str">
        <f ca="1">IFERROR(MATCH($I46,'Attack Steps'!$W:$W,0),"")</f>
        <v/>
      </c>
      <c r="Q46" s="9" t="str" cm="1">
        <f t="array" aca="1" ref="Q46" ca="1">IF($P46="","","§"&amp;INDEX('Attack Steps'!$T:$T,$P46))</f>
        <v/>
      </c>
      <c r="R46" s="9" t="str" cm="1">
        <f t="array" aca="1" ref="R46" ca="1">IF($P46="","",INDEX('Attack Steps'!$X:$X,$P46))</f>
        <v/>
      </c>
      <c r="S46" s="9" t="b">
        <f t="shared" ca="1" si="6"/>
        <v>0</v>
      </c>
      <c r="T46" s="9" cm="1">
        <f t="array" aca="1" ref="T46" ca="1">IF($M46="",0,OperateOnList($M46,_xlfn.LAMBDA(_xlpm._x,SimpleLookup(_xlpm._x,'Damage Scenarios'!$A:$U)),_xlfn.LAMBDA(_xlpm._x,_xlpm._y,MAX(_xlpm._x,_xlpm._y))))</f>
        <v>0</v>
      </c>
      <c r="U46" s="9" cm="1">
        <f t="array" aca="1" ref="U46" ca="1">IF($O46="",0,OperateOnList($O46,_xlfn.LAMBDA(_xlpm._x,SimpleLookup(_xlpm._x,'Damage Scenarios'!$A:$U)),_xlfn.LAMBDA(_xlpm._x,_xlpm._y,MAX(_xlpm._x,_xlpm._y))))</f>
        <v>0</v>
      </c>
      <c r="V46" s="9" t="str">
        <f ca="1">IF($U46=0,"",INDEX(Definitions!$Q:$Q,MATCH($U46,Definitions!$R:$R,0)))</f>
        <v/>
      </c>
      <c r="W46" s="9" cm="1">
        <f t="array" aca="1" ref="W46" ca="1">IF($K46="",0,_xlfn.LET(
_xlpm._listOfAttackSteps,$K46,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46" s="9" t="str" cm="1">
        <f t="array" aca="1" ref="X46" ca="1">IF(ROW()=ROW($X$2)+1,"",INDEX($X:$X,ROW()-1))&amp;IF($A46="","",$A46&amp;",")</f>
        <v/>
      </c>
      <c r="Y46" s="9" t="str" cm="1">
        <f t="array" aca="1" ref="Y46" ca="1">CreateSearchString($K46)</f>
        <v/>
      </c>
      <c r="Z46" s="9" cm="1">
        <f t="array" aca="1" ref="Z46" ca="1">IF($G46="",0,SimpleLookup($G46,Definitions!$AE:$AF))</f>
        <v>0</v>
      </c>
      <c r="AA46" s="9" t="str" cm="1">
        <f t="array" aca="1" ref="AA46" ca="1">SanitizeInput(InverseLookup($A46,Mitigation!$U$2,Mitigation!$J$2,1,Helper!$B$5,","))</f>
        <v/>
      </c>
      <c r="AB46" s="9" cm="1">
        <f t="array" aca="1" ref="AB46" ca="1">IF($K46="",0,_xlfn.LET(
_xlpm._listOfAttackStepsAndMitigations,$K46&amp;$AA46,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46" s="9" t="str">
        <f ca="1">IFERROR(VLOOKUP($AB46,Definitions!$V:$W,COLUMNS(Definitions!$V:$W),TRUE),"")</f>
        <v>Basic</v>
      </c>
      <c r="AD46" s="9" t="str">
        <f ca="1">_xlfn.LET(
_xlpm._comments,GetValues($K46,Mitigation!$A:$O,"","",FALSE),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46" s="9" t="str" cm="1">
        <f t="array" aca="1" ref="AE46" ca="1">_xlfn.LET(
_xlpm._rapRange,Definitions!$W:$W,
_xlpm._calculatedRAP,$AC46,
_xlpm._inlineRAP,$AD46,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46" s="9" t="str">
        <f ca="1">IFERROR(IF(OR($V46="",$AE46=""),
Definitions!$AE$4,
VLOOKUP($V46,Definitions!$AH:$AM,MATCH($AE46,Definitions!$AH$3:$AM$3,0),FALSE)),
"")</f>
        <v>No Risk</v>
      </c>
      <c r="AG46" s="9" cm="1">
        <f t="array" aca="1" ref="AG46" ca="1">IF($AF46="",0,SimpleLookup($AF46,Definitions!$AE:$AF))</f>
        <v>0</v>
      </c>
      <c r="AH46" s="9" t="str" cm="1">
        <f t="array" aca="1" ref="AH46" ca="1">IFERROR(SimpleLookup($A46,Tracing!$B:$Z),"")</f>
        <v/>
      </c>
      <c r="AI46" s="9" t="str" cm="1">
        <f t="array" aca="1" ref="AI46" ca="1">_xlfn.LET(_xlpm._dm,SanitizeInput(GetValuesWithFallback(SanitizeInput($AH46),Assumptions!$A:$J,Countermeasures!$A:$J,"",",",FALSE)),
IF(_xlpm._dm="","",","&amp;_xlpm._dm))</f>
        <v/>
      </c>
      <c r="AJ46" s="9" t="str" cm="1">
        <f t="array" aca="1" ref="AJ46" ca="1">ApplyDamageMitigation($M46,$AI46,"")</f>
        <v/>
      </c>
      <c r="AK46" s="9" cm="1">
        <f t="array" aca="1" ref="AK46" ca="1">CalculateMaxFromList($AJ46,0,'Damage Scenarios'!$A:$U)</f>
        <v>0</v>
      </c>
      <c r="AL46" s="9" t="str">
        <f ca="1">IF($AK46=0,"",INDEX(Definitions!$Q:$Q,MATCH($AK46,Definitions!$R:$R,0)))</f>
        <v/>
      </c>
      <c r="AM46" s="9" cm="1">
        <f t="array" aca="1" ref="AM46" ca="1">IF($K46="",0,_xlfn.LET(
_xlpm._listOfAttackStepsAndMitigations,$K46&amp;$AH46,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46" s="9" t="str">
        <f ca="1">IFERROR(VLOOKUP($AM46,Definitions!$V:$W,COLUMNS(Definitions!$V:$W),TRUE),"")</f>
        <v>Basic</v>
      </c>
      <c r="AO46" s="9" t="str">
        <f ca="1">_xlfn.LET(
_xlpm._comments,SimpleLookup($A46,Tracing!$B:$AB),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46" s="9" t="str" cm="1">
        <f t="array" aca="1" ref="AP46" ca="1">_xlfn.LET(
_xlpm._rapRange,Definitions!$W:$W,
_xlpm._calculatedRAP,$AN46,
_xlpm._inlineRAP,$AO46,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46" s="9" t="str">
        <f ca="1">IFERROR(IF(OR($AL46="",$AP46=""),
Definitions!$AE$4,
VLOOKUP($AL46,Definitions!$AH:$AM,MATCH($AP46,Definitions!$AH$3:$AM$3,0),FALSE)),
"")</f>
        <v>No Risk</v>
      </c>
      <c r="AR46" s="9" cm="1">
        <f t="array" aca="1" ref="AR46" ca="1">IF($AQ46="",0,SimpleLookup($AQ46,Definitions!$AE:$AF))</f>
        <v>0</v>
      </c>
      <c r="AS46" s="9" t="b">
        <f ca="1">OR(AND($S46,$I46=Helper!$B$7),$I46&gt;Helper!$B$7)</f>
        <v>1</v>
      </c>
      <c r="AT46" s="9" t="str">
        <f t="shared" ca="1" si="7"/>
        <v/>
      </c>
      <c r="AU46" s="9" cm="1">
        <f t="array" aca="1" ref="AU46" ca="1">CreateID($AU$2,$AT46&lt;&gt;"")</f>
        <v>0</v>
      </c>
      <c r="AV46" s="9" t="str">
        <f ca="1">IF(IFERROR(MATCH(","&amp;A46&amp;",",'Risk Treatment'!$AT:$AT,0)&gt;0,FALSE),"",$A46)</f>
        <v/>
      </c>
      <c r="AW46" s="9" cm="1">
        <f t="array" aca="1" ref="AW46" ca="1">CreateID($AW$2,$AV46&lt;&gt;"")</f>
        <v>0</v>
      </c>
      <c r="AX46" s="9" t="str" cm="1">
        <f t="array" aca="1" ref="AX46" ca="1">CreateSearchString($AA46)</f>
        <v/>
      </c>
    </row>
    <row r="47" spans="1:50" x14ac:dyDescent="0.25">
      <c r="A47" s="13" t="str" cm="1">
        <f t="array" aca="1" ref="A47" ca="1">IF($B47="","","R"&amp;RemoveDelimiter(SUBSTITUTE(SUBSTITUTE($K47,"AS",""),",","-"),"-"))</f>
        <v/>
      </c>
      <c r="B47" s="13" t="str" cm="1">
        <f t="array" aca="1" ref="B47" ca="1">IF($L47="","",_xlfn.LET(
_xlpm._finalAttackStep,$L47,
_xlpm._prepAttacks,RemoveFirstElement(_xlpm._finalAttackStep&amp;","&amp;$K47),
_xlpm._prepAttackNames,IFERROR(LookupNames(_xlpm._prepAttacks,'Attack Steps'!$A:$B),""),
_xlpm._delimiter,REPT(CHAR(150),55),
$L47&amp;" "&amp;SimpleLookup($L47,'Attack Steps'!$A:$B)&amp;
IF(_xlpm._prepAttackNames="","",CHAR(10)&amp;_xlpm._delimiter&amp;CHAR(10)&amp;_xlpm._prepAttackNames)))</f>
        <v/>
      </c>
      <c r="C47" s="16" t="str" cm="1">
        <f t="array" aca="1" ref="C47" ca="1">IFERROR(LookupNames($M47,'Damage Scenarios'!$A:$V),"")</f>
        <v/>
      </c>
      <c r="D47" s="13" t="str">
        <f ca="1">IFERROR(IF($T47=0,"",INDEX(Definitions!$Q:$Q,MATCH($T47,Definitions!$R:$R,0))),"")</f>
        <v/>
      </c>
      <c r="E47" s="16" t="str" cm="1">
        <f t="array" aca="1" ref="E47" ca="1">IF($K47="","",_xlfn.LET(
_xlpm._listOfAttackSteps,$K47,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47" s="13" t="str">
        <f ca="1">IF($A47="","",IFERROR(VLOOKUP($W47,Definitions!$V:$W,COLUMNS(Definitions!$V:$W),TRUE),""))</f>
        <v/>
      </c>
      <c r="G47" s="13" t="str">
        <f ca="1">IFERROR(IF(OR($D47="",$F47=""),
"",
VLOOKUP($D47,Definitions!$AH:$AM,MATCH($F47,Definitions!$AH$3:$AM$3,0),FALSE)),
"")</f>
        <v/>
      </c>
      <c r="H47" s="10" cm="1">
        <f t="array" aca="1" ref="H47" ca="1">CreateID($H$2,$A47&lt;&gt;"")</f>
        <v>0</v>
      </c>
      <c r="I47" s="9" cm="1">
        <f t="array" aca="1" ref="I47" ca="1">IF(ROW()=ROW($I$2)+1,
1,
INDEX($I:$I,ROW()-1)+IF(INDEX($S:$S,ROW()-1),1,0))</f>
        <v>1</v>
      </c>
      <c r="J47" s="9">
        <f t="shared" ca="1" si="4"/>
        <v>45</v>
      </c>
      <c r="K47" s="9" t="str">
        <f t="shared" ca="1" si="5"/>
        <v/>
      </c>
      <c r="L47" s="9" t="str" cm="1">
        <f t="array" aca="1" ref="L47" ca="1">IF($P47="","",INDEX('Attack Steps'!$A:$A,$P47))</f>
        <v/>
      </c>
      <c r="M47" s="9" t="str" cm="1">
        <f t="array" aca="1" ref="M47" ca="1">IF($P47="","",INDEX('Attack Steps'!$U:$U,$P47))</f>
        <v/>
      </c>
      <c r="N47" s="9" t="str" cm="1">
        <f t="array" aca="1" ref="N47" ca="1">_xlfn.LET(_xlpm._dm,SanitizeInput(GetValuesWithFallback(SanitizeInput($AA47),Assumptions!$A:$J,Countermeasures!$A:$J,"",",",FALSE)),
IF(_xlpm._dm="","",","&amp;_xlpm._dm))</f>
        <v/>
      </c>
      <c r="O47" s="9" t="str" cm="1">
        <f t="array" aca="1" ref="O47" ca="1">ApplyDamageMitigation($M47,$N47,"")</f>
        <v/>
      </c>
      <c r="P47" s="9" t="str">
        <f ca="1">IFERROR(MATCH($I47,'Attack Steps'!$W:$W,0),"")</f>
        <v/>
      </c>
      <c r="Q47" s="9" t="str" cm="1">
        <f t="array" aca="1" ref="Q47" ca="1">IF($P47="","","§"&amp;INDEX('Attack Steps'!$T:$T,$P47))</f>
        <v/>
      </c>
      <c r="R47" s="9" t="str" cm="1">
        <f t="array" aca="1" ref="R47" ca="1">IF($P47="","",INDEX('Attack Steps'!$X:$X,$P47))</f>
        <v/>
      </c>
      <c r="S47" s="9" t="b">
        <f t="shared" ca="1" si="6"/>
        <v>0</v>
      </c>
      <c r="T47" s="9" cm="1">
        <f t="array" aca="1" ref="T47" ca="1">IF($M47="",0,OperateOnList($M47,_xlfn.LAMBDA(_xlpm._x,SimpleLookup(_xlpm._x,'Damage Scenarios'!$A:$U)),_xlfn.LAMBDA(_xlpm._x,_xlpm._y,MAX(_xlpm._x,_xlpm._y))))</f>
        <v>0</v>
      </c>
      <c r="U47" s="9" cm="1">
        <f t="array" aca="1" ref="U47" ca="1">IF($O47="",0,OperateOnList($O47,_xlfn.LAMBDA(_xlpm._x,SimpleLookup(_xlpm._x,'Damage Scenarios'!$A:$U)),_xlfn.LAMBDA(_xlpm._x,_xlpm._y,MAX(_xlpm._x,_xlpm._y))))</f>
        <v>0</v>
      </c>
      <c r="V47" s="9" t="str">
        <f ca="1">IF($U47=0,"",INDEX(Definitions!$Q:$Q,MATCH($U47,Definitions!$R:$R,0)))</f>
        <v/>
      </c>
      <c r="W47" s="9" cm="1">
        <f t="array" aca="1" ref="W47" ca="1">IF($K47="",0,_xlfn.LET(
_xlpm._listOfAttackSteps,$K47,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47" s="9" t="str" cm="1">
        <f t="array" aca="1" ref="X47" ca="1">IF(ROW()=ROW($X$2)+1,"",INDEX($X:$X,ROW()-1))&amp;IF($A47="","",$A47&amp;",")</f>
        <v/>
      </c>
      <c r="Y47" s="9" t="str" cm="1">
        <f t="array" aca="1" ref="Y47" ca="1">CreateSearchString($K47)</f>
        <v/>
      </c>
      <c r="Z47" s="9" cm="1">
        <f t="array" aca="1" ref="Z47" ca="1">IF($G47="",0,SimpleLookup($G47,Definitions!$AE:$AF))</f>
        <v>0</v>
      </c>
      <c r="AA47" s="9" t="str" cm="1">
        <f t="array" aca="1" ref="AA47" ca="1">SanitizeInput(InverseLookup($A47,Mitigation!$U$2,Mitigation!$J$2,1,Helper!$B$5,","))</f>
        <v/>
      </c>
      <c r="AB47" s="9" cm="1">
        <f t="array" aca="1" ref="AB47" ca="1">IF($K47="",0,_xlfn.LET(
_xlpm._listOfAttackStepsAndMitigations,$K47&amp;$AA47,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47" s="9" t="str">
        <f ca="1">IFERROR(VLOOKUP($AB47,Definitions!$V:$W,COLUMNS(Definitions!$V:$W),TRUE),"")</f>
        <v>Basic</v>
      </c>
      <c r="AD47" s="9" t="str">
        <f ca="1">_xlfn.LET(
_xlpm._comments,GetValues($K47,Mitigation!$A:$O,"","",FALSE),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47" s="9" t="str" cm="1">
        <f t="array" aca="1" ref="AE47" ca="1">_xlfn.LET(
_xlpm._rapRange,Definitions!$W:$W,
_xlpm._calculatedRAP,$AC47,
_xlpm._inlineRAP,$AD47,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47" s="9" t="str">
        <f ca="1">IFERROR(IF(OR($V47="",$AE47=""),
Definitions!$AE$4,
VLOOKUP($V47,Definitions!$AH:$AM,MATCH($AE47,Definitions!$AH$3:$AM$3,0),FALSE)),
"")</f>
        <v>No Risk</v>
      </c>
      <c r="AG47" s="9" cm="1">
        <f t="array" aca="1" ref="AG47" ca="1">IF($AF47="",0,SimpleLookup($AF47,Definitions!$AE:$AF))</f>
        <v>0</v>
      </c>
      <c r="AH47" s="9" t="str" cm="1">
        <f t="array" aca="1" ref="AH47" ca="1">IFERROR(SimpleLookup($A47,Tracing!$B:$Z),"")</f>
        <v/>
      </c>
      <c r="AI47" s="9" t="str" cm="1">
        <f t="array" aca="1" ref="AI47" ca="1">_xlfn.LET(_xlpm._dm,SanitizeInput(GetValuesWithFallback(SanitizeInput($AH47),Assumptions!$A:$J,Countermeasures!$A:$J,"",",",FALSE)),
IF(_xlpm._dm="","",","&amp;_xlpm._dm))</f>
        <v/>
      </c>
      <c r="AJ47" s="9" t="str" cm="1">
        <f t="array" aca="1" ref="AJ47" ca="1">ApplyDamageMitigation($M47,$AI47,"")</f>
        <v/>
      </c>
      <c r="AK47" s="9" cm="1">
        <f t="array" aca="1" ref="AK47" ca="1">CalculateMaxFromList($AJ47,0,'Damage Scenarios'!$A:$U)</f>
        <v>0</v>
      </c>
      <c r="AL47" s="9" t="str">
        <f ca="1">IF($AK47=0,"",INDEX(Definitions!$Q:$Q,MATCH($AK47,Definitions!$R:$R,0)))</f>
        <v/>
      </c>
      <c r="AM47" s="9" cm="1">
        <f t="array" aca="1" ref="AM47" ca="1">IF($K47="",0,_xlfn.LET(
_xlpm._listOfAttackStepsAndMitigations,$K47&amp;$AH47,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47" s="9" t="str">
        <f ca="1">IFERROR(VLOOKUP($AM47,Definitions!$V:$W,COLUMNS(Definitions!$V:$W),TRUE),"")</f>
        <v>Basic</v>
      </c>
      <c r="AO47" s="9" t="str">
        <f ca="1">_xlfn.LET(
_xlpm._comments,SimpleLookup($A47,Tracing!$B:$AB),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47" s="9" t="str" cm="1">
        <f t="array" aca="1" ref="AP47" ca="1">_xlfn.LET(
_xlpm._rapRange,Definitions!$W:$W,
_xlpm._calculatedRAP,$AN47,
_xlpm._inlineRAP,$AO47,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47" s="9" t="str">
        <f ca="1">IFERROR(IF(OR($AL47="",$AP47=""),
Definitions!$AE$4,
VLOOKUP($AL47,Definitions!$AH:$AM,MATCH($AP47,Definitions!$AH$3:$AM$3,0),FALSE)),
"")</f>
        <v>No Risk</v>
      </c>
      <c r="AR47" s="9" cm="1">
        <f t="array" aca="1" ref="AR47" ca="1">IF($AQ47="",0,SimpleLookup($AQ47,Definitions!$AE:$AF))</f>
        <v>0</v>
      </c>
      <c r="AS47" s="9" t="b">
        <f ca="1">OR(AND($S47,$I47=Helper!$B$7),$I47&gt;Helper!$B$7)</f>
        <v>1</v>
      </c>
      <c r="AT47" s="9" t="str">
        <f t="shared" ca="1" si="7"/>
        <v/>
      </c>
      <c r="AU47" s="9" cm="1">
        <f t="array" aca="1" ref="AU47" ca="1">CreateID($AU$2,$AT47&lt;&gt;"")</f>
        <v>0</v>
      </c>
      <c r="AV47" s="9" t="str">
        <f ca="1">IF(IFERROR(MATCH(","&amp;A47&amp;",",'Risk Treatment'!$AT:$AT,0)&gt;0,FALSE),"",$A47)</f>
        <v/>
      </c>
      <c r="AW47" s="9" cm="1">
        <f t="array" aca="1" ref="AW47" ca="1">CreateID($AW$2,$AV47&lt;&gt;"")</f>
        <v>0</v>
      </c>
      <c r="AX47" s="9" t="str" cm="1">
        <f t="array" aca="1" ref="AX47" ca="1">CreateSearchString($AA47)</f>
        <v/>
      </c>
    </row>
    <row r="48" spans="1:50" x14ac:dyDescent="0.25">
      <c r="A48" s="13" t="str" cm="1">
        <f t="array" aca="1" ref="A48" ca="1">IF($B48="","","R"&amp;RemoveDelimiter(SUBSTITUTE(SUBSTITUTE($K48,"AS",""),",","-"),"-"))</f>
        <v/>
      </c>
      <c r="B48" s="13" t="str" cm="1">
        <f t="array" aca="1" ref="B48" ca="1">IF($L48="","",_xlfn.LET(
_xlpm._finalAttackStep,$L48,
_xlpm._prepAttacks,RemoveFirstElement(_xlpm._finalAttackStep&amp;","&amp;$K48),
_xlpm._prepAttackNames,IFERROR(LookupNames(_xlpm._prepAttacks,'Attack Steps'!$A:$B),""),
_xlpm._delimiter,REPT(CHAR(150),55),
$L48&amp;" "&amp;SimpleLookup($L48,'Attack Steps'!$A:$B)&amp;
IF(_xlpm._prepAttackNames="","",CHAR(10)&amp;_xlpm._delimiter&amp;CHAR(10)&amp;_xlpm._prepAttackNames)))</f>
        <v/>
      </c>
      <c r="C48" s="16" t="str" cm="1">
        <f t="array" aca="1" ref="C48" ca="1">IFERROR(LookupNames($M48,'Damage Scenarios'!$A:$V),"")</f>
        <v/>
      </c>
      <c r="D48" s="13" t="str">
        <f ca="1">IFERROR(IF($T48=0,"",INDEX(Definitions!$Q:$Q,MATCH($T48,Definitions!$R:$R,0))),"")</f>
        <v/>
      </c>
      <c r="E48" s="16" t="str" cm="1">
        <f t="array" aca="1" ref="E48" ca="1">IF($K48="","",_xlfn.LET(
_xlpm._listOfAttackSteps,$K48,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48" s="13" t="str">
        <f ca="1">IF($A48="","",IFERROR(VLOOKUP($W48,Definitions!$V:$W,COLUMNS(Definitions!$V:$W),TRUE),""))</f>
        <v/>
      </c>
      <c r="G48" s="13" t="str">
        <f ca="1">IFERROR(IF(OR($D48="",$F48=""),
"",
VLOOKUP($D48,Definitions!$AH:$AM,MATCH($F48,Definitions!$AH$3:$AM$3,0),FALSE)),
"")</f>
        <v/>
      </c>
      <c r="H48" s="10" cm="1">
        <f t="array" aca="1" ref="H48" ca="1">CreateID($H$2,$A48&lt;&gt;"")</f>
        <v>0</v>
      </c>
      <c r="I48" s="9" cm="1">
        <f t="array" aca="1" ref="I48" ca="1">IF(ROW()=ROW($I$2)+1,
1,
INDEX($I:$I,ROW()-1)+IF(INDEX($S:$S,ROW()-1),1,0))</f>
        <v>1</v>
      </c>
      <c r="J48" s="9">
        <f t="shared" ca="1" si="4"/>
        <v>46</v>
      </c>
      <c r="K48" s="9" t="str">
        <f t="shared" ca="1" si="5"/>
        <v/>
      </c>
      <c r="L48" s="9" t="str" cm="1">
        <f t="array" aca="1" ref="L48" ca="1">IF($P48="","",INDEX('Attack Steps'!$A:$A,$P48))</f>
        <v/>
      </c>
      <c r="M48" s="9" t="str" cm="1">
        <f t="array" aca="1" ref="M48" ca="1">IF($P48="","",INDEX('Attack Steps'!$U:$U,$P48))</f>
        <v/>
      </c>
      <c r="N48" s="9" t="str" cm="1">
        <f t="array" aca="1" ref="N48" ca="1">_xlfn.LET(_xlpm._dm,SanitizeInput(GetValuesWithFallback(SanitizeInput($AA48),Assumptions!$A:$J,Countermeasures!$A:$J,"",",",FALSE)),
IF(_xlpm._dm="","",","&amp;_xlpm._dm))</f>
        <v/>
      </c>
      <c r="O48" s="9" t="str" cm="1">
        <f t="array" aca="1" ref="O48" ca="1">ApplyDamageMitigation($M48,$N48,"")</f>
        <v/>
      </c>
      <c r="P48" s="9" t="str">
        <f ca="1">IFERROR(MATCH($I48,'Attack Steps'!$W:$W,0),"")</f>
        <v/>
      </c>
      <c r="Q48" s="9" t="str" cm="1">
        <f t="array" aca="1" ref="Q48" ca="1">IF($P48="","","§"&amp;INDEX('Attack Steps'!$T:$T,$P48))</f>
        <v/>
      </c>
      <c r="R48" s="9" t="str" cm="1">
        <f t="array" aca="1" ref="R48" ca="1">IF($P48="","",INDEX('Attack Steps'!$X:$X,$P48))</f>
        <v/>
      </c>
      <c r="S48" s="9" t="b">
        <f t="shared" ca="1" si="6"/>
        <v>0</v>
      </c>
      <c r="T48" s="9" cm="1">
        <f t="array" aca="1" ref="T48" ca="1">IF($M48="",0,OperateOnList($M48,_xlfn.LAMBDA(_xlpm._x,SimpleLookup(_xlpm._x,'Damage Scenarios'!$A:$U)),_xlfn.LAMBDA(_xlpm._x,_xlpm._y,MAX(_xlpm._x,_xlpm._y))))</f>
        <v>0</v>
      </c>
      <c r="U48" s="9" cm="1">
        <f t="array" aca="1" ref="U48" ca="1">IF($O48="",0,OperateOnList($O48,_xlfn.LAMBDA(_xlpm._x,SimpleLookup(_xlpm._x,'Damage Scenarios'!$A:$U)),_xlfn.LAMBDA(_xlpm._x,_xlpm._y,MAX(_xlpm._x,_xlpm._y))))</f>
        <v>0</v>
      </c>
      <c r="V48" s="9" t="str">
        <f ca="1">IF($U48=0,"",INDEX(Definitions!$Q:$Q,MATCH($U48,Definitions!$R:$R,0)))</f>
        <v/>
      </c>
      <c r="W48" s="9" cm="1">
        <f t="array" aca="1" ref="W48" ca="1">IF($K48="",0,_xlfn.LET(
_xlpm._listOfAttackSteps,$K48,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48" s="9" t="str" cm="1">
        <f t="array" aca="1" ref="X48" ca="1">IF(ROW()=ROW($X$2)+1,"",INDEX($X:$X,ROW()-1))&amp;IF($A48="","",$A48&amp;",")</f>
        <v/>
      </c>
      <c r="Y48" s="9" t="str" cm="1">
        <f t="array" aca="1" ref="Y48" ca="1">CreateSearchString($K48)</f>
        <v/>
      </c>
      <c r="Z48" s="9" cm="1">
        <f t="array" aca="1" ref="Z48" ca="1">IF($G48="",0,SimpleLookup($G48,Definitions!$AE:$AF))</f>
        <v>0</v>
      </c>
      <c r="AA48" s="9" t="str" cm="1">
        <f t="array" aca="1" ref="AA48" ca="1">SanitizeInput(InverseLookup($A48,Mitigation!$U$2,Mitigation!$J$2,1,Helper!$B$5,","))</f>
        <v/>
      </c>
      <c r="AB48" s="9" cm="1">
        <f t="array" aca="1" ref="AB48" ca="1">IF($K48="",0,_xlfn.LET(
_xlpm._listOfAttackStepsAndMitigations,$K48&amp;$AA48,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48" s="9" t="str">
        <f ca="1">IFERROR(VLOOKUP($AB48,Definitions!$V:$W,COLUMNS(Definitions!$V:$W),TRUE),"")</f>
        <v>Basic</v>
      </c>
      <c r="AD48" s="9" t="str">
        <f ca="1">_xlfn.LET(
_xlpm._comments,GetValues($K48,Mitigation!$A:$O,"","",FALSE),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48" s="9" t="str" cm="1">
        <f t="array" aca="1" ref="AE48" ca="1">_xlfn.LET(
_xlpm._rapRange,Definitions!$W:$W,
_xlpm._calculatedRAP,$AC48,
_xlpm._inlineRAP,$AD48,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48" s="9" t="str">
        <f ca="1">IFERROR(IF(OR($V48="",$AE48=""),
Definitions!$AE$4,
VLOOKUP($V48,Definitions!$AH:$AM,MATCH($AE48,Definitions!$AH$3:$AM$3,0),FALSE)),
"")</f>
        <v>No Risk</v>
      </c>
      <c r="AG48" s="9" cm="1">
        <f t="array" aca="1" ref="AG48" ca="1">IF($AF48="",0,SimpleLookup($AF48,Definitions!$AE:$AF))</f>
        <v>0</v>
      </c>
      <c r="AH48" s="9" t="str" cm="1">
        <f t="array" aca="1" ref="AH48" ca="1">IFERROR(SimpleLookup($A48,Tracing!$B:$Z),"")</f>
        <v/>
      </c>
      <c r="AI48" s="9" t="str" cm="1">
        <f t="array" aca="1" ref="AI48" ca="1">_xlfn.LET(_xlpm._dm,SanitizeInput(GetValuesWithFallback(SanitizeInput($AH48),Assumptions!$A:$J,Countermeasures!$A:$J,"",",",FALSE)),
IF(_xlpm._dm="","",","&amp;_xlpm._dm))</f>
        <v/>
      </c>
      <c r="AJ48" s="9" t="str" cm="1">
        <f t="array" aca="1" ref="AJ48" ca="1">ApplyDamageMitigation($M48,$AI48,"")</f>
        <v/>
      </c>
      <c r="AK48" s="9" cm="1">
        <f t="array" aca="1" ref="AK48" ca="1">CalculateMaxFromList($AJ48,0,'Damage Scenarios'!$A:$U)</f>
        <v>0</v>
      </c>
      <c r="AL48" s="9" t="str">
        <f ca="1">IF($AK48=0,"",INDEX(Definitions!$Q:$Q,MATCH($AK48,Definitions!$R:$R,0)))</f>
        <v/>
      </c>
      <c r="AM48" s="9" cm="1">
        <f t="array" aca="1" ref="AM48" ca="1">IF($K48="",0,_xlfn.LET(
_xlpm._listOfAttackStepsAndMitigations,$K48&amp;$AH48,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48" s="9" t="str">
        <f ca="1">IFERROR(VLOOKUP($AM48,Definitions!$V:$W,COLUMNS(Definitions!$V:$W),TRUE),"")</f>
        <v>Basic</v>
      </c>
      <c r="AO48" s="9" t="str">
        <f ca="1">_xlfn.LET(
_xlpm._comments,SimpleLookup($A48,Tracing!$B:$AB),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48" s="9" t="str" cm="1">
        <f t="array" aca="1" ref="AP48" ca="1">_xlfn.LET(
_xlpm._rapRange,Definitions!$W:$W,
_xlpm._calculatedRAP,$AN48,
_xlpm._inlineRAP,$AO48,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48" s="9" t="str">
        <f ca="1">IFERROR(IF(OR($AL48="",$AP48=""),
Definitions!$AE$4,
VLOOKUP($AL48,Definitions!$AH:$AM,MATCH($AP48,Definitions!$AH$3:$AM$3,0),FALSE)),
"")</f>
        <v>No Risk</v>
      </c>
      <c r="AR48" s="9" cm="1">
        <f t="array" aca="1" ref="AR48" ca="1">IF($AQ48="",0,SimpleLookup($AQ48,Definitions!$AE:$AF))</f>
        <v>0</v>
      </c>
      <c r="AS48" s="9" t="b">
        <f ca="1">OR(AND($S48,$I48=Helper!$B$7),$I48&gt;Helper!$B$7)</f>
        <v>1</v>
      </c>
      <c r="AT48" s="9" t="str">
        <f t="shared" ca="1" si="7"/>
        <v/>
      </c>
      <c r="AU48" s="9" cm="1">
        <f t="array" aca="1" ref="AU48" ca="1">CreateID($AU$2,$AT48&lt;&gt;"")</f>
        <v>0</v>
      </c>
      <c r="AV48" s="9" t="str">
        <f ca="1">IF(IFERROR(MATCH(","&amp;A48&amp;",",'Risk Treatment'!$AT:$AT,0)&gt;0,FALSE),"",$A48)</f>
        <v/>
      </c>
      <c r="AW48" s="9" cm="1">
        <f t="array" aca="1" ref="AW48" ca="1">CreateID($AW$2,$AV48&lt;&gt;"")</f>
        <v>0</v>
      </c>
      <c r="AX48" s="9" t="str" cm="1">
        <f t="array" aca="1" ref="AX48" ca="1">CreateSearchString($AA48)</f>
        <v/>
      </c>
    </row>
    <row r="49" spans="1:50" x14ac:dyDescent="0.25">
      <c r="A49" s="13" t="str" cm="1">
        <f t="array" aca="1" ref="A49" ca="1">IF($B49="","","R"&amp;RemoveDelimiter(SUBSTITUTE(SUBSTITUTE($K49,"AS",""),",","-"),"-"))</f>
        <v/>
      </c>
      <c r="B49" s="13" t="str" cm="1">
        <f t="array" aca="1" ref="B49" ca="1">IF($L49="","",_xlfn.LET(
_xlpm._finalAttackStep,$L49,
_xlpm._prepAttacks,RemoveFirstElement(_xlpm._finalAttackStep&amp;","&amp;$K49),
_xlpm._prepAttackNames,IFERROR(LookupNames(_xlpm._prepAttacks,'Attack Steps'!$A:$B),""),
_xlpm._delimiter,REPT(CHAR(150),55),
$L49&amp;" "&amp;SimpleLookup($L49,'Attack Steps'!$A:$B)&amp;
IF(_xlpm._prepAttackNames="","",CHAR(10)&amp;_xlpm._delimiter&amp;CHAR(10)&amp;_xlpm._prepAttackNames)))</f>
        <v/>
      </c>
      <c r="C49" s="16" t="str" cm="1">
        <f t="array" aca="1" ref="C49" ca="1">IFERROR(LookupNames($M49,'Damage Scenarios'!$A:$V),"")</f>
        <v/>
      </c>
      <c r="D49" s="13" t="str">
        <f ca="1">IFERROR(IF($T49=0,"",INDEX(Definitions!$Q:$Q,MATCH($T49,Definitions!$R:$R,0))),"")</f>
        <v/>
      </c>
      <c r="E49" s="16" t="str" cm="1">
        <f t="array" aca="1" ref="E49" ca="1">IF($K49="","",_xlfn.LET(
_xlpm._listOfAttackSteps,$K49,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49" s="13" t="str">
        <f ca="1">IF($A49="","",IFERROR(VLOOKUP($W49,Definitions!$V:$W,COLUMNS(Definitions!$V:$W),TRUE),""))</f>
        <v/>
      </c>
      <c r="G49" s="13" t="str">
        <f ca="1">IFERROR(IF(OR($D49="",$F49=""),
"",
VLOOKUP($D49,Definitions!$AH:$AM,MATCH($F49,Definitions!$AH$3:$AM$3,0),FALSE)),
"")</f>
        <v/>
      </c>
      <c r="H49" s="10" cm="1">
        <f t="array" aca="1" ref="H49" ca="1">CreateID($H$2,$A49&lt;&gt;"")</f>
        <v>0</v>
      </c>
      <c r="I49" s="9" cm="1">
        <f t="array" aca="1" ref="I49" ca="1">IF(ROW()=ROW($I$2)+1,
1,
INDEX($I:$I,ROW()-1)+IF(INDEX($S:$S,ROW()-1),1,0))</f>
        <v>1</v>
      </c>
      <c r="J49" s="9">
        <f t="shared" ca="1" si="4"/>
        <v>47</v>
      </c>
      <c r="K49" s="9" t="str">
        <f t="shared" ca="1" si="5"/>
        <v/>
      </c>
      <c r="L49" s="9" t="str" cm="1">
        <f t="array" aca="1" ref="L49" ca="1">IF($P49="","",INDEX('Attack Steps'!$A:$A,$P49))</f>
        <v/>
      </c>
      <c r="M49" s="9" t="str" cm="1">
        <f t="array" aca="1" ref="M49" ca="1">IF($P49="","",INDEX('Attack Steps'!$U:$U,$P49))</f>
        <v/>
      </c>
      <c r="N49" s="9" t="str" cm="1">
        <f t="array" aca="1" ref="N49" ca="1">_xlfn.LET(_xlpm._dm,SanitizeInput(GetValuesWithFallback(SanitizeInput($AA49),Assumptions!$A:$J,Countermeasures!$A:$J,"",",",FALSE)),
IF(_xlpm._dm="","",","&amp;_xlpm._dm))</f>
        <v/>
      </c>
      <c r="O49" s="9" t="str" cm="1">
        <f t="array" aca="1" ref="O49" ca="1">ApplyDamageMitigation($M49,$N49,"")</f>
        <v/>
      </c>
      <c r="P49" s="9" t="str">
        <f ca="1">IFERROR(MATCH($I49,'Attack Steps'!$W:$W,0),"")</f>
        <v/>
      </c>
      <c r="Q49" s="9" t="str" cm="1">
        <f t="array" aca="1" ref="Q49" ca="1">IF($P49="","","§"&amp;INDEX('Attack Steps'!$T:$T,$P49))</f>
        <v/>
      </c>
      <c r="R49" s="9" t="str" cm="1">
        <f t="array" aca="1" ref="R49" ca="1">IF($P49="","",INDEX('Attack Steps'!$X:$X,$P49))</f>
        <v/>
      </c>
      <c r="S49" s="9" t="b">
        <f t="shared" ca="1" si="6"/>
        <v>0</v>
      </c>
      <c r="T49" s="9" cm="1">
        <f t="array" aca="1" ref="T49" ca="1">IF($M49="",0,OperateOnList($M49,_xlfn.LAMBDA(_xlpm._x,SimpleLookup(_xlpm._x,'Damage Scenarios'!$A:$U)),_xlfn.LAMBDA(_xlpm._x,_xlpm._y,MAX(_xlpm._x,_xlpm._y))))</f>
        <v>0</v>
      </c>
      <c r="U49" s="9" cm="1">
        <f t="array" aca="1" ref="U49" ca="1">IF($O49="",0,OperateOnList($O49,_xlfn.LAMBDA(_xlpm._x,SimpleLookup(_xlpm._x,'Damage Scenarios'!$A:$U)),_xlfn.LAMBDA(_xlpm._x,_xlpm._y,MAX(_xlpm._x,_xlpm._y))))</f>
        <v>0</v>
      </c>
      <c r="V49" s="9" t="str">
        <f ca="1">IF($U49=0,"",INDEX(Definitions!$Q:$Q,MATCH($U49,Definitions!$R:$R,0)))</f>
        <v/>
      </c>
      <c r="W49" s="9" cm="1">
        <f t="array" aca="1" ref="W49" ca="1">IF($K49="",0,_xlfn.LET(
_xlpm._listOfAttackSteps,$K49,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49" s="9" t="str" cm="1">
        <f t="array" aca="1" ref="X49" ca="1">IF(ROW()=ROW($X$2)+1,"",INDEX($X:$X,ROW()-1))&amp;IF($A49="","",$A49&amp;",")</f>
        <v/>
      </c>
      <c r="Y49" s="9" t="str" cm="1">
        <f t="array" aca="1" ref="Y49" ca="1">CreateSearchString($K49)</f>
        <v/>
      </c>
      <c r="Z49" s="9" cm="1">
        <f t="array" aca="1" ref="Z49" ca="1">IF($G49="",0,SimpleLookup($G49,Definitions!$AE:$AF))</f>
        <v>0</v>
      </c>
      <c r="AA49" s="9" t="str" cm="1">
        <f t="array" aca="1" ref="AA49" ca="1">SanitizeInput(InverseLookup($A49,Mitigation!$U$2,Mitigation!$J$2,1,Helper!$B$5,","))</f>
        <v/>
      </c>
      <c r="AB49" s="9" cm="1">
        <f t="array" aca="1" ref="AB49" ca="1">IF($K49="",0,_xlfn.LET(
_xlpm._listOfAttackStepsAndMitigations,$K49&amp;$AA49,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49" s="9" t="str">
        <f ca="1">IFERROR(VLOOKUP($AB49,Definitions!$V:$W,COLUMNS(Definitions!$V:$W),TRUE),"")</f>
        <v>Basic</v>
      </c>
      <c r="AD49" s="9" t="str">
        <f ca="1">_xlfn.LET(
_xlpm._comments,GetValues($K49,Mitigation!$A:$O,"","",FALSE),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49" s="9" t="str" cm="1">
        <f t="array" aca="1" ref="AE49" ca="1">_xlfn.LET(
_xlpm._rapRange,Definitions!$W:$W,
_xlpm._calculatedRAP,$AC49,
_xlpm._inlineRAP,$AD49,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49" s="9" t="str">
        <f ca="1">IFERROR(IF(OR($V49="",$AE49=""),
Definitions!$AE$4,
VLOOKUP($V49,Definitions!$AH:$AM,MATCH($AE49,Definitions!$AH$3:$AM$3,0),FALSE)),
"")</f>
        <v>No Risk</v>
      </c>
      <c r="AG49" s="9" cm="1">
        <f t="array" aca="1" ref="AG49" ca="1">IF($AF49="",0,SimpleLookup($AF49,Definitions!$AE:$AF))</f>
        <v>0</v>
      </c>
      <c r="AH49" s="9" t="str" cm="1">
        <f t="array" aca="1" ref="AH49" ca="1">IFERROR(SimpleLookup($A49,Tracing!$B:$Z),"")</f>
        <v/>
      </c>
      <c r="AI49" s="9" t="str" cm="1">
        <f t="array" aca="1" ref="AI49" ca="1">_xlfn.LET(_xlpm._dm,SanitizeInput(GetValuesWithFallback(SanitizeInput($AH49),Assumptions!$A:$J,Countermeasures!$A:$J,"",",",FALSE)),
IF(_xlpm._dm="","",","&amp;_xlpm._dm))</f>
        <v/>
      </c>
      <c r="AJ49" s="9" t="str" cm="1">
        <f t="array" aca="1" ref="AJ49" ca="1">ApplyDamageMitigation($M49,$AI49,"")</f>
        <v/>
      </c>
      <c r="AK49" s="9" cm="1">
        <f t="array" aca="1" ref="AK49" ca="1">CalculateMaxFromList($AJ49,0,'Damage Scenarios'!$A:$U)</f>
        <v>0</v>
      </c>
      <c r="AL49" s="9" t="str">
        <f ca="1">IF($AK49=0,"",INDEX(Definitions!$Q:$Q,MATCH($AK49,Definitions!$R:$R,0)))</f>
        <v/>
      </c>
      <c r="AM49" s="9" cm="1">
        <f t="array" aca="1" ref="AM49" ca="1">IF($K49="",0,_xlfn.LET(
_xlpm._listOfAttackStepsAndMitigations,$K49&amp;$AH49,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49" s="9" t="str">
        <f ca="1">IFERROR(VLOOKUP($AM49,Definitions!$V:$W,COLUMNS(Definitions!$V:$W),TRUE),"")</f>
        <v>Basic</v>
      </c>
      <c r="AO49" s="9" t="str">
        <f ca="1">_xlfn.LET(
_xlpm._comments,SimpleLookup($A49,Tracing!$B:$AB),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49" s="9" t="str" cm="1">
        <f t="array" aca="1" ref="AP49" ca="1">_xlfn.LET(
_xlpm._rapRange,Definitions!$W:$W,
_xlpm._calculatedRAP,$AN49,
_xlpm._inlineRAP,$AO49,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49" s="9" t="str">
        <f ca="1">IFERROR(IF(OR($AL49="",$AP49=""),
Definitions!$AE$4,
VLOOKUP($AL49,Definitions!$AH:$AM,MATCH($AP49,Definitions!$AH$3:$AM$3,0),FALSE)),
"")</f>
        <v>No Risk</v>
      </c>
      <c r="AR49" s="9" cm="1">
        <f t="array" aca="1" ref="AR49" ca="1">IF($AQ49="",0,SimpleLookup($AQ49,Definitions!$AE:$AF))</f>
        <v>0</v>
      </c>
      <c r="AS49" s="9" t="b">
        <f ca="1">OR(AND($S49,$I49=Helper!$B$7),$I49&gt;Helper!$B$7)</f>
        <v>1</v>
      </c>
      <c r="AT49" s="9" t="str">
        <f t="shared" ca="1" si="7"/>
        <v/>
      </c>
      <c r="AU49" s="9" cm="1">
        <f t="array" aca="1" ref="AU49" ca="1">CreateID($AU$2,$AT49&lt;&gt;"")</f>
        <v>0</v>
      </c>
      <c r="AV49" s="9" t="str">
        <f ca="1">IF(IFERROR(MATCH(","&amp;A49&amp;",",'Risk Treatment'!$AT:$AT,0)&gt;0,FALSE),"",$A49)</f>
        <v/>
      </c>
      <c r="AW49" s="9" cm="1">
        <f t="array" aca="1" ref="AW49" ca="1">CreateID($AW$2,$AV49&lt;&gt;"")</f>
        <v>0</v>
      </c>
      <c r="AX49" s="9" t="str" cm="1">
        <f t="array" aca="1" ref="AX49" ca="1">CreateSearchString($AA49)</f>
        <v/>
      </c>
    </row>
    <row r="50" spans="1:50" x14ac:dyDescent="0.25">
      <c r="A50" s="13" t="str" cm="1">
        <f t="array" aca="1" ref="A50" ca="1">IF($B50="","","R"&amp;RemoveDelimiter(SUBSTITUTE(SUBSTITUTE($K50,"AS",""),",","-"),"-"))</f>
        <v/>
      </c>
      <c r="B50" s="13" t="str" cm="1">
        <f t="array" aca="1" ref="B50" ca="1">IF($L50="","",_xlfn.LET(
_xlpm._finalAttackStep,$L50,
_xlpm._prepAttacks,RemoveFirstElement(_xlpm._finalAttackStep&amp;","&amp;$K50),
_xlpm._prepAttackNames,IFERROR(LookupNames(_xlpm._prepAttacks,'Attack Steps'!$A:$B),""),
_xlpm._delimiter,REPT(CHAR(150),55),
$L50&amp;" "&amp;SimpleLookup($L50,'Attack Steps'!$A:$B)&amp;
IF(_xlpm._prepAttackNames="","",CHAR(10)&amp;_xlpm._delimiter&amp;CHAR(10)&amp;_xlpm._prepAttackNames)))</f>
        <v/>
      </c>
      <c r="C50" s="16" t="str" cm="1">
        <f t="array" aca="1" ref="C50" ca="1">IFERROR(LookupNames($M50,'Damage Scenarios'!$A:$V),"")</f>
        <v/>
      </c>
      <c r="D50" s="13" t="str">
        <f ca="1">IFERROR(IF($T50=0,"",INDEX(Definitions!$Q:$Q,MATCH($T50,Definitions!$R:$R,0))),"")</f>
        <v/>
      </c>
      <c r="E50" s="16" t="str" cm="1">
        <f t="array" aca="1" ref="E50" ca="1">IF($K50="","",_xlfn.LET(
_xlpm._listOfAttackSteps,$K50,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50" s="13" t="str">
        <f ca="1">IF($A50="","",IFERROR(VLOOKUP($W50,Definitions!$V:$W,COLUMNS(Definitions!$V:$W),TRUE),""))</f>
        <v/>
      </c>
      <c r="G50" s="13" t="str">
        <f ca="1">IFERROR(IF(OR($D50="",$F50=""),
"",
VLOOKUP($D50,Definitions!$AH:$AM,MATCH($F50,Definitions!$AH$3:$AM$3,0),FALSE)),
"")</f>
        <v/>
      </c>
      <c r="H50" s="10" cm="1">
        <f t="array" aca="1" ref="H50" ca="1">CreateID($H$2,$A50&lt;&gt;"")</f>
        <v>0</v>
      </c>
      <c r="I50" s="9" cm="1">
        <f t="array" aca="1" ref="I50" ca="1">IF(ROW()=ROW($I$2)+1,
1,
INDEX($I:$I,ROW()-1)+IF(INDEX($S:$S,ROW()-1),1,0))</f>
        <v>1</v>
      </c>
      <c r="J50" s="9">
        <f t="shared" ca="1" si="4"/>
        <v>48</v>
      </c>
      <c r="K50" s="9" t="str">
        <f t="shared" ca="1" si="5"/>
        <v/>
      </c>
      <c r="L50" s="9" t="str" cm="1">
        <f t="array" aca="1" ref="L50" ca="1">IF($P50="","",INDEX('Attack Steps'!$A:$A,$P50))</f>
        <v/>
      </c>
      <c r="M50" s="9" t="str" cm="1">
        <f t="array" aca="1" ref="M50" ca="1">IF($P50="","",INDEX('Attack Steps'!$U:$U,$P50))</f>
        <v/>
      </c>
      <c r="N50" s="9" t="str" cm="1">
        <f t="array" aca="1" ref="N50" ca="1">_xlfn.LET(_xlpm._dm,SanitizeInput(GetValuesWithFallback(SanitizeInput($AA50),Assumptions!$A:$J,Countermeasures!$A:$J,"",",",FALSE)),
IF(_xlpm._dm="","",","&amp;_xlpm._dm))</f>
        <v/>
      </c>
      <c r="O50" s="9" t="str" cm="1">
        <f t="array" aca="1" ref="O50" ca="1">ApplyDamageMitigation($M50,$N50,"")</f>
        <v/>
      </c>
      <c r="P50" s="9" t="str">
        <f ca="1">IFERROR(MATCH($I50,'Attack Steps'!$W:$W,0),"")</f>
        <v/>
      </c>
      <c r="Q50" s="9" t="str" cm="1">
        <f t="array" aca="1" ref="Q50" ca="1">IF($P50="","","§"&amp;INDEX('Attack Steps'!$T:$T,$P50))</f>
        <v/>
      </c>
      <c r="R50" s="9" t="str" cm="1">
        <f t="array" aca="1" ref="R50" ca="1">IF($P50="","",INDEX('Attack Steps'!$X:$X,$P50))</f>
        <v/>
      </c>
      <c r="S50" s="9" t="b">
        <f t="shared" ca="1" si="6"/>
        <v>0</v>
      </c>
      <c r="T50" s="9" cm="1">
        <f t="array" aca="1" ref="T50" ca="1">IF($M50="",0,OperateOnList($M50,_xlfn.LAMBDA(_xlpm._x,SimpleLookup(_xlpm._x,'Damage Scenarios'!$A:$U)),_xlfn.LAMBDA(_xlpm._x,_xlpm._y,MAX(_xlpm._x,_xlpm._y))))</f>
        <v>0</v>
      </c>
      <c r="U50" s="9" cm="1">
        <f t="array" aca="1" ref="U50" ca="1">IF($O50="",0,OperateOnList($O50,_xlfn.LAMBDA(_xlpm._x,SimpleLookup(_xlpm._x,'Damage Scenarios'!$A:$U)),_xlfn.LAMBDA(_xlpm._x,_xlpm._y,MAX(_xlpm._x,_xlpm._y))))</f>
        <v>0</v>
      </c>
      <c r="V50" s="9" t="str">
        <f ca="1">IF($U50=0,"",INDEX(Definitions!$Q:$Q,MATCH($U50,Definitions!$R:$R,0)))</f>
        <v/>
      </c>
      <c r="W50" s="9" cm="1">
        <f t="array" aca="1" ref="W50" ca="1">IF($K50="",0,_xlfn.LET(
_xlpm._listOfAttackSteps,$K50,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50" s="9" t="str" cm="1">
        <f t="array" aca="1" ref="X50" ca="1">IF(ROW()=ROW($X$2)+1,"",INDEX($X:$X,ROW()-1))&amp;IF($A50="","",$A50&amp;",")</f>
        <v/>
      </c>
      <c r="Y50" s="9" t="str" cm="1">
        <f t="array" aca="1" ref="Y50" ca="1">CreateSearchString($K50)</f>
        <v/>
      </c>
      <c r="Z50" s="9" cm="1">
        <f t="array" aca="1" ref="Z50" ca="1">IF($G50="",0,SimpleLookup($G50,Definitions!$AE:$AF))</f>
        <v>0</v>
      </c>
      <c r="AA50" s="9" t="str" cm="1">
        <f t="array" aca="1" ref="AA50" ca="1">SanitizeInput(InverseLookup($A50,Mitigation!$U$2,Mitigation!$J$2,1,Helper!$B$5,","))</f>
        <v/>
      </c>
      <c r="AB50" s="9" cm="1">
        <f t="array" aca="1" ref="AB50" ca="1">IF($K50="",0,_xlfn.LET(
_xlpm._listOfAttackStepsAndMitigations,$K50&amp;$AA50,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50" s="9" t="str">
        <f ca="1">IFERROR(VLOOKUP($AB50,Definitions!$V:$W,COLUMNS(Definitions!$V:$W),TRUE),"")</f>
        <v>Basic</v>
      </c>
      <c r="AD50" s="9" t="str">
        <f ca="1">_xlfn.LET(
_xlpm._comments,GetValues($K50,Mitigation!$A:$O,"","",FALSE),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50" s="9" t="str" cm="1">
        <f t="array" aca="1" ref="AE50" ca="1">_xlfn.LET(
_xlpm._rapRange,Definitions!$W:$W,
_xlpm._calculatedRAP,$AC50,
_xlpm._inlineRAP,$AD50,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50" s="9" t="str">
        <f ca="1">IFERROR(IF(OR($V50="",$AE50=""),
Definitions!$AE$4,
VLOOKUP($V50,Definitions!$AH:$AM,MATCH($AE50,Definitions!$AH$3:$AM$3,0),FALSE)),
"")</f>
        <v>No Risk</v>
      </c>
      <c r="AG50" s="9" cm="1">
        <f t="array" aca="1" ref="AG50" ca="1">IF($AF50="",0,SimpleLookup($AF50,Definitions!$AE:$AF))</f>
        <v>0</v>
      </c>
      <c r="AH50" s="9" t="str" cm="1">
        <f t="array" aca="1" ref="AH50" ca="1">IFERROR(SimpleLookup($A50,Tracing!$B:$Z),"")</f>
        <v/>
      </c>
      <c r="AI50" s="9" t="str" cm="1">
        <f t="array" aca="1" ref="AI50" ca="1">_xlfn.LET(_xlpm._dm,SanitizeInput(GetValuesWithFallback(SanitizeInput($AH50),Assumptions!$A:$J,Countermeasures!$A:$J,"",",",FALSE)),
IF(_xlpm._dm="","",","&amp;_xlpm._dm))</f>
        <v/>
      </c>
      <c r="AJ50" s="9" t="str" cm="1">
        <f t="array" aca="1" ref="AJ50" ca="1">ApplyDamageMitigation($M50,$AI50,"")</f>
        <v/>
      </c>
      <c r="AK50" s="9" cm="1">
        <f t="array" aca="1" ref="AK50" ca="1">CalculateMaxFromList($AJ50,0,'Damage Scenarios'!$A:$U)</f>
        <v>0</v>
      </c>
      <c r="AL50" s="9" t="str">
        <f ca="1">IF($AK50=0,"",INDEX(Definitions!$Q:$Q,MATCH($AK50,Definitions!$R:$R,0)))</f>
        <v/>
      </c>
      <c r="AM50" s="9" cm="1">
        <f t="array" aca="1" ref="AM50" ca="1">IF($K50="",0,_xlfn.LET(
_xlpm._listOfAttackStepsAndMitigations,$K50&amp;$AH50,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50" s="9" t="str">
        <f ca="1">IFERROR(VLOOKUP($AM50,Definitions!$V:$W,COLUMNS(Definitions!$V:$W),TRUE),"")</f>
        <v>Basic</v>
      </c>
      <c r="AO50" s="9" t="str">
        <f ca="1">_xlfn.LET(
_xlpm._comments,SimpleLookup($A50,Tracing!$B:$AB),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50" s="9" t="str" cm="1">
        <f t="array" aca="1" ref="AP50" ca="1">_xlfn.LET(
_xlpm._rapRange,Definitions!$W:$W,
_xlpm._calculatedRAP,$AN50,
_xlpm._inlineRAP,$AO50,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50" s="9" t="str">
        <f ca="1">IFERROR(IF(OR($AL50="",$AP50=""),
Definitions!$AE$4,
VLOOKUP($AL50,Definitions!$AH:$AM,MATCH($AP50,Definitions!$AH$3:$AM$3,0),FALSE)),
"")</f>
        <v>No Risk</v>
      </c>
      <c r="AR50" s="9" cm="1">
        <f t="array" aca="1" ref="AR50" ca="1">IF($AQ50="",0,SimpleLookup($AQ50,Definitions!$AE:$AF))</f>
        <v>0</v>
      </c>
      <c r="AS50" s="9" t="b">
        <f ca="1">OR(AND($S50,$I50=Helper!$B$7),$I50&gt;Helper!$B$7)</f>
        <v>1</v>
      </c>
      <c r="AT50" s="9" t="str">
        <f t="shared" ca="1" si="7"/>
        <v/>
      </c>
      <c r="AU50" s="9" cm="1">
        <f t="array" aca="1" ref="AU50" ca="1">CreateID($AU$2,$AT50&lt;&gt;"")</f>
        <v>0</v>
      </c>
      <c r="AV50" s="9" t="str">
        <f ca="1">IF(IFERROR(MATCH(","&amp;A50&amp;",",'Risk Treatment'!$AT:$AT,0)&gt;0,FALSE),"",$A50)</f>
        <v/>
      </c>
      <c r="AW50" s="9" cm="1">
        <f t="array" aca="1" ref="AW50" ca="1">CreateID($AW$2,$AV50&lt;&gt;"")</f>
        <v>0</v>
      </c>
      <c r="AX50" s="9" t="str" cm="1">
        <f t="array" aca="1" ref="AX50" ca="1">CreateSearchString($AA50)</f>
        <v/>
      </c>
    </row>
    <row r="51" spans="1:50" x14ac:dyDescent="0.25">
      <c r="A51" s="13" t="str" cm="1">
        <f t="array" aca="1" ref="A51" ca="1">IF($B51="","","R"&amp;RemoveDelimiter(SUBSTITUTE(SUBSTITUTE($K51,"AS",""),",","-"),"-"))</f>
        <v/>
      </c>
      <c r="B51" s="13" t="str" cm="1">
        <f t="array" aca="1" ref="B51" ca="1">IF($L51="","",_xlfn.LET(
_xlpm._finalAttackStep,$L51,
_xlpm._prepAttacks,RemoveFirstElement(_xlpm._finalAttackStep&amp;","&amp;$K51),
_xlpm._prepAttackNames,IFERROR(LookupNames(_xlpm._prepAttacks,'Attack Steps'!$A:$B),""),
_xlpm._delimiter,REPT(CHAR(150),55),
$L51&amp;" "&amp;SimpleLookup($L51,'Attack Steps'!$A:$B)&amp;
IF(_xlpm._prepAttackNames="","",CHAR(10)&amp;_xlpm._delimiter&amp;CHAR(10)&amp;_xlpm._prepAttackNames)))</f>
        <v/>
      </c>
      <c r="C51" s="16" t="str" cm="1">
        <f t="array" aca="1" ref="C51" ca="1">IFERROR(LookupNames($M51,'Damage Scenarios'!$A:$V),"")</f>
        <v/>
      </c>
      <c r="D51" s="13" t="str">
        <f ca="1">IFERROR(IF($T51=0,"",INDEX(Definitions!$Q:$Q,MATCH($T51,Definitions!$R:$R,0))),"")</f>
        <v/>
      </c>
      <c r="E51" s="16" t="str" cm="1">
        <f t="array" aca="1" ref="E51" ca="1">IF($K51="","",_xlfn.LET(
_xlpm._listOfAttackSteps,$K51,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51" s="13" t="str">
        <f ca="1">IF($A51="","",IFERROR(VLOOKUP($W51,Definitions!$V:$W,COLUMNS(Definitions!$V:$W),TRUE),""))</f>
        <v/>
      </c>
      <c r="G51" s="13" t="str">
        <f ca="1">IFERROR(IF(OR($D51="",$F51=""),
"",
VLOOKUP($D51,Definitions!$AH:$AM,MATCH($F51,Definitions!$AH$3:$AM$3,0),FALSE)),
"")</f>
        <v/>
      </c>
      <c r="H51" s="10" cm="1">
        <f t="array" aca="1" ref="H51" ca="1">CreateID($H$2,$A51&lt;&gt;"")</f>
        <v>0</v>
      </c>
      <c r="I51" s="9" cm="1">
        <f t="array" aca="1" ref="I51" ca="1">IF(ROW()=ROW($I$2)+1,
1,
INDEX($I:$I,ROW()-1)+IF(INDEX($S:$S,ROW()-1),1,0))</f>
        <v>1</v>
      </c>
      <c r="J51" s="9">
        <f t="shared" ca="1" si="4"/>
        <v>49</v>
      </c>
      <c r="K51" s="9" t="str">
        <f t="shared" ca="1" si="5"/>
        <v/>
      </c>
      <c r="L51" s="9" t="str" cm="1">
        <f t="array" aca="1" ref="L51" ca="1">IF($P51="","",INDEX('Attack Steps'!$A:$A,$P51))</f>
        <v/>
      </c>
      <c r="M51" s="9" t="str" cm="1">
        <f t="array" aca="1" ref="M51" ca="1">IF($P51="","",INDEX('Attack Steps'!$U:$U,$P51))</f>
        <v/>
      </c>
      <c r="N51" s="9" t="str" cm="1">
        <f t="array" aca="1" ref="N51" ca="1">_xlfn.LET(_xlpm._dm,SanitizeInput(GetValuesWithFallback(SanitizeInput($AA51),Assumptions!$A:$J,Countermeasures!$A:$J,"",",",FALSE)),
IF(_xlpm._dm="","",","&amp;_xlpm._dm))</f>
        <v/>
      </c>
      <c r="O51" s="9" t="str" cm="1">
        <f t="array" aca="1" ref="O51" ca="1">ApplyDamageMitigation($M51,$N51,"")</f>
        <v/>
      </c>
      <c r="P51" s="9" t="str">
        <f ca="1">IFERROR(MATCH($I51,'Attack Steps'!$W:$W,0),"")</f>
        <v/>
      </c>
      <c r="Q51" s="9" t="str" cm="1">
        <f t="array" aca="1" ref="Q51" ca="1">IF($P51="","","§"&amp;INDEX('Attack Steps'!$T:$T,$P51))</f>
        <v/>
      </c>
      <c r="R51" s="9" t="str" cm="1">
        <f t="array" aca="1" ref="R51" ca="1">IF($P51="","",INDEX('Attack Steps'!$X:$X,$P51))</f>
        <v/>
      </c>
      <c r="S51" s="9" t="b">
        <f t="shared" ca="1" si="6"/>
        <v>0</v>
      </c>
      <c r="T51" s="9" cm="1">
        <f t="array" aca="1" ref="T51" ca="1">IF($M51="",0,OperateOnList($M51,_xlfn.LAMBDA(_xlpm._x,SimpleLookup(_xlpm._x,'Damage Scenarios'!$A:$U)),_xlfn.LAMBDA(_xlpm._x,_xlpm._y,MAX(_xlpm._x,_xlpm._y))))</f>
        <v>0</v>
      </c>
      <c r="U51" s="9" cm="1">
        <f t="array" aca="1" ref="U51" ca="1">IF($O51="",0,OperateOnList($O51,_xlfn.LAMBDA(_xlpm._x,SimpleLookup(_xlpm._x,'Damage Scenarios'!$A:$U)),_xlfn.LAMBDA(_xlpm._x,_xlpm._y,MAX(_xlpm._x,_xlpm._y))))</f>
        <v>0</v>
      </c>
      <c r="V51" s="9" t="str">
        <f ca="1">IF($U51=0,"",INDEX(Definitions!$Q:$Q,MATCH($U51,Definitions!$R:$R,0)))</f>
        <v/>
      </c>
      <c r="W51" s="9" cm="1">
        <f t="array" aca="1" ref="W51" ca="1">IF($K51="",0,_xlfn.LET(
_xlpm._listOfAttackSteps,$K51,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51" s="9" t="str" cm="1">
        <f t="array" aca="1" ref="X51" ca="1">IF(ROW()=ROW($X$2)+1,"",INDEX($X:$X,ROW()-1))&amp;IF($A51="","",$A51&amp;",")</f>
        <v/>
      </c>
      <c r="Y51" s="9" t="str" cm="1">
        <f t="array" aca="1" ref="Y51" ca="1">CreateSearchString($K51)</f>
        <v/>
      </c>
      <c r="Z51" s="9" cm="1">
        <f t="array" aca="1" ref="Z51" ca="1">IF($G51="",0,SimpleLookup($G51,Definitions!$AE:$AF))</f>
        <v>0</v>
      </c>
      <c r="AA51" s="9" t="str" cm="1">
        <f t="array" aca="1" ref="AA51" ca="1">SanitizeInput(InverseLookup($A51,Mitigation!$U$2,Mitigation!$J$2,1,Helper!$B$5,","))</f>
        <v/>
      </c>
      <c r="AB51" s="9" cm="1">
        <f t="array" aca="1" ref="AB51" ca="1">IF($K51="",0,_xlfn.LET(
_xlpm._listOfAttackStepsAndMitigations,$K51&amp;$AA51,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51" s="9" t="str">
        <f ca="1">IFERROR(VLOOKUP($AB51,Definitions!$V:$W,COLUMNS(Definitions!$V:$W),TRUE),"")</f>
        <v>Basic</v>
      </c>
      <c r="AD51" s="9" t="str">
        <f ca="1">_xlfn.LET(
_xlpm._comments,GetValues($K51,Mitigation!$A:$O,"","",FALSE),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51" s="9" t="str" cm="1">
        <f t="array" aca="1" ref="AE51" ca="1">_xlfn.LET(
_xlpm._rapRange,Definitions!$W:$W,
_xlpm._calculatedRAP,$AC51,
_xlpm._inlineRAP,$AD51,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51" s="9" t="str">
        <f ca="1">IFERROR(IF(OR($V51="",$AE51=""),
Definitions!$AE$4,
VLOOKUP($V51,Definitions!$AH:$AM,MATCH($AE51,Definitions!$AH$3:$AM$3,0),FALSE)),
"")</f>
        <v>No Risk</v>
      </c>
      <c r="AG51" s="9" cm="1">
        <f t="array" aca="1" ref="AG51" ca="1">IF($AF51="",0,SimpleLookup($AF51,Definitions!$AE:$AF))</f>
        <v>0</v>
      </c>
      <c r="AH51" s="9" t="str" cm="1">
        <f t="array" aca="1" ref="AH51" ca="1">IFERROR(SimpleLookup($A51,Tracing!$B:$Z),"")</f>
        <v/>
      </c>
      <c r="AI51" s="9" t="str" cm="1">
        <f t="array" aca="1" ref="AI51" ca="1">_xlfn.LET(_xlpm._dm,SanitizeInput(GetValuesWithFallback(SanitizeInput($AH51),Assumptions!$A:$J,Countermeasures!$A:$J,"",",",FALSE)),
IF(_xlpm._dm="","",","&amp;_xlpm._dm))</f>
        <v/>
      </c>
      <c r="AJ51" s="9" t="str" cm="1">
        <f t="array" aca="1" ref="AJ51" ca="1">ApplyDamageMitigation($M51,$AI51,"")</f>
        <v/>
      </c>
      <c r="AK51" s="9" cm="1">
        <f t="array" aca="1" ref="AK51" ca="1">CalculateMaxFromList($AJ51,0,'Damage Scenarios'!$A:$U)</f>
        <v>0</v>
      </c>
      <c r="AL51" s="9" t="str">
        <f ca="1">IF($AK51=0,"",INDEX(Definitions!$Q:$Q,MATCH($AK51,Definitions!$R:$R,0)))</f>
        <v/>
      </c>
      <c r="AM51" s="9" cm="1">
        <f t="array" aca="1" ref="AM51" ca="1">IF($K51="",0,_xlfn.LET(
_xlpm._listOfAttackStepsAndMitigations,$K51&amp;$AH51,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51" s="9" t="str">
        <f ca="1">IFERROR(VLOOKUP($AM51,Definitions!$V:$W,COLUMNS(Definitions!$V:$W),TRUE),"")</f>
        <v>Basic</v>
      </c>
      <c r="AO51" s="9" t="str">
        <f ca="1">_xlfn.LET(
_xlpm._comments,SimpleLookup($A51,Tracing!$B:$AB),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51" s="9" t="str" cm="1">
        <f t="array" aca="1" ref="AP51" ca="1">_xlfn.LET(
_xlpm._rapRange,Definitions!$W:$W,
_xlpm._calculatedRAP,$AN51,
_xlpm._inlineRAP,$AO51,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51" s="9" t="str">
        <f ca="1">IFERROR(IF(OR($AL51="",$AP51=""),
Definitions!$AE$4,
VLOOKUP($AL51,Definitions!$AH:$AM,MATCH($AP51,Definitions!$AH$3:$AM$3,0),FALSE)),
"")</f>
        <v>No Risk</v>
      </c>
      <c r="AR51" s="9" cm="1">
        <f t="array" aca="1" ref="AR51" ca="1">IF($AQ51="",0,SimpleLookup($AQ51,Definitions!$AE:$AF))</f>
        <v>0</v>
      </c>
      <c r="AS51" s="9" t="b">
        <f ca="1">OR(AND($S51,$I51=Helper!$B$7),$I51&gt;Helper!$B$7)</f>
        <v>1</v>
      </c>
      <c r="AT51" s="9" t="str">
        <f t="shared" ca="1" si="7"/>
        <v/>
      </c>
      <c r="AU51" s="9" cm="1">
        <f t="array" aca="1" ref="AU51" ca="1">CreateID($AU$2,$AT51&lt;&gt;"")</f>
        <v>0</v>
      </c>
      <c r="AV51" s="9" t="str">
        <f ca="1">IF(IFERROR(MATCH(","&amp;A51&amp;",",'Risk Treatment'!$AT:$AT,0)&gt;0,FALSE),"",$A51)</f>
        <v/>
      </c>
      <c r="AW51" s="9" cm="1">
        <f t="array" aca="1" ref="AW51" ca="1">CreateID($AW$2,$AV51&lt;&gt;"")</f>
        <v>0</v>
      </c>
      <c r="AX51" s="9" t="str" cm="1">
        <f t="array" aca="1" ref="AX51" ca="1">CreateSearchString($AA51)</f>
        <v/>
      </c>
    </row>
    <row r="52" spans="1:50" x14ac:dyDescent="0.25">
      <c r="A52" s="13" t="str" cm="1">
        <f t="array" aca="1" ref="A52" ca="1">IF($B52="","","R"&amp;RemoveDelimiter(SUBSTITUTE(SUBSTITUTE($K52,"AS",""),",","-"),"-"))</f>
        <v/>
      </c>
      <c r="B52" s="13" t="str" cm="1">
        <f t="array" aca="1" ref="B52" ca="1">IF($L52="","",_xlfn.LET(
_xlpm._finalAttackStep,$L52,
_xlpm._prepAttacks,RemoveFirstElement(_xlpm._finalAttackStep&amp;","&amp;$K52),
_xlpm._prepAttackNames,IFERROR(LookupNames(_xlpm._prepAttacks,'Attack Steps'!$A:$B),""),
_xlpm._delimiter,REPT(CHAR(150),55),
$L52&amp;" "&amp;SimpleLookup($L52,'Attack Steps'!$A:$B)&amp;
IF(_xlpm._prepAttackNames="","",CHAR(10)&amp;_xlpm._delimiter&amp;CHAR(10)&amp;_xlpm._prepAttackNames)))</f>
        <v/>
      </c>
      <c r="C52" s="16" t="str" cm="1">
        <f t="array" aca="1" ref="C52" ca="1">IFERROR(LookupNames($M52,'Damage Scenarios'!$A:$V),"")</f>
        <v/>
      </c>
      <c r="D52" s="13" t="str">
        <f ca="1">IFERROR(IF($T52=0,"",INDEX(Definitions!$Q:$Q,MATCH($T52,Definitions!$R:$R,0))),"")</f>
        <v/>
      </c>
      <c r="E52" s="16" t="str" cm="1">
        <f t="array" aca="1" ref="E52" ca="1">IF($K52="","",_xlfn.LET(
_xlpm._listOfAttackSteps,$K52,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52" s="13" t="str">
        <f ca="1">IF($A52="","",IFERROR(VLOOKUP($W52,Definitions!$V:$W,COLUMNS(Definitions!$V:$W),TRUE),""))</f>
        <v/>
      </c>
      <c r="G52" s="13" t="str">
        <f ca="1">IFERROR(IF(OR($D52="",$F52=""),
"",
VLOOKUP($D52,Definitions!$AH:$AM,MATCH($F52,Definitions!$AH$3:$AM$3,0),FALSE)),
"")</f>
        <v/>
      </c>
      <c r="H52" s="10" cm="1">
        <f t="array" aca="1" ref="H52" ca="1">CreateID($H$2,$A52&lt;&gt;"")</f>
        <v>0</v>
      </c>
      <c r="I52" s="9" cm="1">
        <f t="array" aca="1" ref="I52" ca="1">IF(ROW()=ROW($I$2)+1,
1,
INDEX($I:$I,ROW()-1)+IF(INDEX($S:$S,ROW()-1),1,0))</f>
        <v>1</v>
      </c>
      <c r="J52" s="9">
        <f t="shared" ca="1" si="4"/>
        <v>50</v>
      </c>
      <c r="K52" s="9" t="str">
        <f t="shared" ca="1" si="5"/>
        <v/>
      </c>
      <c r="L52" s="9" t="str" cm="1">
        <f t="array" aca="1" ref="L52" ca="1">IF($P52="","",INDEX('Attack Steps'!$A:$A,$P52))</f>
        <v/>
      </c>
      <c r="M52" s="9" t="str" cm="1">
        <f t="array" aca="1" ref="M52" ca="1">IF($P52="","",INDEX('Attack Steps'!$U:$U,$P52))</f>
        <v/>
      </c>
      <c r="N52" s="9" t="str" cm="1">
        <f t="array" aca="1" ref="N52" ca="1">_xlfn.LET(_xlpm._dm,SanitizeInput(GetValuesWithFallback(SanitizeInput($AA52),Assumptions!$A:$J,Countermeasures!$A:$J,"",",",FALSE)),
IF(_xlpm._dm="","",","&amp;_xlpm._dm))</f>
        <v/>
      </c>
      <c r="O52" s="9" t="str" cm="1">
        <f t="array" aca="1" ref="O52" ca="1">ApplyDamageMitigation($M52,$N52,"")</f>
        <v/>
      </c>
      <c r="P52" s="9" t="str">
        <f ca="1">IFERROR(MATCH($I52,'Attack Steps'!$W:$W,0),"")</f>
        <v/>
      </c>
      <c r="Q52" s="9" t="str" cm="1">
        <f t="array" aca="1" ref="Q52" ca="1">IF($P52="","","§"&amp;INDEX('Attack Steps'!$T:$T,$P52))</f>
        <v/>
      </c>
      <c r="R52" s="9" t="str" cm="1">
        <f t="array" aca="1" ref="R52" ca="1">IF($P52="","",INDEX('Attack Steps'!$X:$X,$P52))</f>
        <v/>
      </c>
      <c r="S52" s="9" t="b">
        <f t="shared" ca="1" si="6"/>
        <v>0</v>
      </c>
      <c r="T52" s="9" cm="1">
        <f t="array" aca="1" ref="T52" ca="1">IF($M52="",0,OperateOnList($M52,_xlfn.LAMBDA(_xlpm._x,SimpleLookup(_xlpm._x,'Damage Scenarios'!$A:$U)),_xlfn.LAMBDA(_xlpm._x,_xlpm._y,MAX(_xlpm._x,_xlpm._y))))</f>
        <v>0</v>
      </c>
      <c r="U52" s="9" cm="1">
        <f t="array" aca="1" ref="U52" ca="1">IF($O52="",0,OperateOnList($O52,_xlfn.LAMBDA(_xlpm._x,SimpleLookup(_xlpm._x,'Damage Scenarios'!$A:$U)),_xlfn.LAMBDA(_xlpm._x,_xlpm._y,MAX(_xlpm._x,_xlpm._y))))</f>
        <v>0</v>
      </c>
      <c r="V52" s="9" t="str">
        <f ca="1">IF($U52=0,"",INDEX(Definitions!$Q:$Q,MATCH($U52,Definitions!$R:$R,0)))</f>
        <v/>
      </c>
      <c r="W52" s="9" cm="1">
        <f t="array" aca="1" ref="W52" ca="1">IF($K52="",0,_xlfn.LET(
_xlpm._listOfAttackSteps,$K52,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52" s="9" t="str" cm="1">
        <f t="array" aca="1" ref="X52" ca="1">IF(ROW()=ROW($X$2)+1,"",INDEX($X:$X,ROW()-1))&amp;IF($A52="","",$A52&amp;",")</f>
        <v/>
      </c>
      <c r="Y52" s="9" t="str" cm="1">
        <f t="array" aca="1" ref="Y52" ca="1">CreateSearchString($K52)</f>
        <v/>
      </c>
      <c r="Z52" s="9" cm="1">
        <f t="array" aca="1" ref="Z52" ca="1">IF($G52="",0,SimpleLookup($G52,Definitions!$AE:$AF))</f>
        <v>0</v>
      </c>
      <c r="AA52" s="9" t="str" cm="1">
        <f t="array" aca="1" ref="AA52" ca="1">SanitizeInput(InverseLookup($A52,Mitigation!$U$2,Mitigation!$J$2,1,Helper!$B$5,","))</f>
        <v/>
      </c>
      <c r="AB52" s="9" cm="1">
        <f t="array" aca="1" ref="AB52" ca="1">IF($K52="",0,_xlfn.LET(
_xlpm._listOfAttackStepsAndMitigations,$K52&amp;$AA52,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52" s="9" t="str">
        <f ca="1">IFERROR(VLOOKUP($AB52,Definitions!$V:$W,COLUMNS(Definitions!$V:$W),TRUE),"")</f>
        <v>Basic</v>
      </c>
      <c r="AD52" s="9" t="str">
        <f ca="1">_xlfn.LET(
_xlpm._comments,GetValues($K52,Mitigation!$A:$O,"","",FALSE),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52" s="9" t="str" cm="1">
        <f t="array" aca="1" ref="AE52" ca="1">_xlfn.LET(
_xlpm._rapRange,Definitions!$W:$W,
_xlpm._calculatedRAP,$AC52,
_xlpm._inlineRAP,$AD52,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52" s="9" t="str">
        <f ca="1">IFERROR(IF(OR($V52="",$AE52=""),
Definitions!$AE$4,
VLOOKUP($V52,Definitions!$AH:$AM,MATCH($AE52,Definitions!$AH$3:$AM$3,0),FALSE)),
"")</f>
        <v>No Risk</v>
      </c>
      <c r="AG52" s="9" cm="1">
        <f t="array" aca="1" ref="AG52" ca="1">IF($AF52="",0,SimpleLookup($AF52,Definitions!$AE:$AF))</f>
        <v>0</v>
      </c>
      <c r="AH52" s="9" t="str" cm="1">
        <f t="array" aca="1" ref="AH52" ca="1">IFERROR(SimpleLookup($A52,Tracing!$B:$Z),"")</f>
        <v/>
      </c>
      <c r="AI52" s="9" t="str" cm="1">
        <f t="array" aca="1" ref="AI52" ca="1">_xlfn.LET(_xlpm._dm,SanitizeInput(GetValuesWithFallback(SanitizeInput($AH52),Assumptions!$A:$J,Countermeasures!$A:$J,"",",",FALSE)),
IF(_xlpm._dm="","",","&amp;_xlpm._dm))</f>
        <v/>
      </c>
      <c r="AJ52" s="9" t="str" cm="1">
        <f t="array" aca="1" ref="AJ52" ca="1">ApplyDamageMitigation($M52,$AI52,"")</f>
        <v/>
      </c>
      <c r="AK52" s="9" cm="1">
        <f t="array" aca="1" ref="AK52" ca="1">CalculateMaxFromList($AJ52,0,'Damage Scenarios'!$A:$U)</f>
        <v>0</v>
      </c>
      <c r="AL52" s="9" t="str">
        <f ca="1">IF($AK52=0,"",INDEX(Definitions!$Q:$Q,MATCH($AK52,Definitions!$R:$R,0)))</f>
        <v/>
      </c>
      <c r="AM52" s="9" cm="1">
        <f t="array" aca="1" ref="AM52" ca="1">IF($K52="",0,_xlfn.LET(
_xlpm._listOfAttackStepsAndMitigations,$K52&amp;$AH52,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52" s="9" t="str">
        <f ca="1">IFERROR(VLOOKUP($AM52,Definitions!$V:$W,COLUMNS(Definitions!$V:$W),TRUE),"")</f>
        <v>Basic</v>
      </c>
      <c r="AO52" s="9" t="str">
        <f ca="1">_xlfn.LET(
_xlpm._comments,SimpleLookup($A52,Tracing!$B:$AB),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52" s="9" t="str" cm="1">
        <f t="array" aca="1" ref="AP52" ca="1">_xlfn.LET(
_xlpm._rapRange,Definitions!$W:$W,
_xlpm._calculatedRAP,$AN52,
_xlpm._inlineRAP,$AO52,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52" s="9" t="str">
        <f ca="1">IFERROR(IF(OR($AL52="",$AP52=""),
Definitions!$AE$4,
VLOOKUP($AL52,Definitions!$AH:$AM,MATCH($AP52,Definitions!$AH$3:$AM$3,0),FALSE)),
"")</f>
        <v>No Risk</v>
      </c>
      <c r="AR52" s="9" cm="1">
        <f t="array" aca="1" ref="AR52" ca="1">IF($AQ52="",0,SimpleLookup($AQ52,Definitions!$AE:$AF))</f>
        <v>0</v>
      </c>
      <c r="AS52" s="9" t="b">
        <f ca="1">OR(AND($S52,$I52=Helper!$B$7),$I52&gt;Helper!$B$7)</f>
        <v>1</v>
      </c>
      <c r="AT52" s="9" t="str">
        <f t="shared" ca="1" si="7"/>
        <v/>
      </c>
      <c r="AU52" s="9" cm="1">
        <f t="array" aca="1" ref="AU52" ca="1">CreateID($AU$2,$AT52&lt;&gt;"")</f>
        <v>0</v>
      </c>
      <c r="AV52" s="9" t="str">
        <f ca="1">IF(IFERROR(MATCH(","&amp;A52&amp;",",'Risk Treatment'!$AT:$AT,0)&gt;0,FALSE),"",$A52)</f>
        <v/>
      </c>
      <c r="AW52" s="9" cm="1">
        <f t="array" aca="1" ref="AW52" ca="1">CreateID($AW$2,$AV52&lt;&gt;"")</f>
        <v>0</v>
      </c>
      <c r="AX52" s="9" t="str" cm="1">
        <f t="array" aca="1" ref="AX52" ca="1">CreateSearchString($AA52)</f>
        <v/>
      </c>
    </row>
    <row r="53" spans="1:50" x14ac:dyDescent="0.25">
      <c r="A53" s="13" t="str" cm="1">
        <f t="array" aca="1" ref="A53" ca="1">IF($B53="","","R"&amp;RemoveDelimiter(SUBSTITUTE(SUBSTITUTE($K53,"AS",""),",","-"),"-"))</f>
        <v/>
      </c>
      <c r="B53" s="13" t="str" cm="1">
        <f t="array" aca="1" ref="B53" ca="1">IF($L53="","",_xlfn.LET(
_xlpm._finalAttackStep,$L53,
_xlpm._prepAttacks,RemoveFirstElement(_xlpm._finalAttackStep&amp;","&amp;$K53),
_xlpm._prepAttackNames,IFERROR(LookupNames(_xlpm._prepAttacks,'Attack Steps'!$A:$B),""),
_xlpm._delimiter,REPT(CHAR(150),55),
$L53&amp;" "&amp;SimpleLookup($L53,'Attack Steps'!$A:$B)&amp;
IF(_xlpm._prepAttackNames="","",CHAR(10)&amp;_xlpm._delimiter&amp;CHAR(10)&amp;_xlpm._prepAttackNames)))</f>
        <v/>
      </c>
      <c r="C53" s="16" t="str" cm="1">
        <f t="array" aca="1" ref="C53" ca="1">IFERROR(LookupNames($M53,'Damage Scenarios'!$A:$V),"")</f>
        <v/>
      </c>
      <c r="D53" s="13" t="str">
        <f ca="1">IFERROR(IF($T53=0,"",INDEX(Definitions!$Q:$Q,MATCH($T53,Definitions!$R:$R,0))),"")</f>
        <v/>
      </c>
      <c r="E53" s="16" t="str" cm="1">
        <f t="array" aca="1" ref="E53" ca="1">IF($K53="","",_xlfn.LET(
_xlpm._listOfAttackSteps,$K53,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53" s="13" t="str">
        <f ca="1">IF($A53="","",IFERROR(VLOOKUP($W53,Definitions!$V:$W,COLUMNS(Definitions!$V:$W),TRUE),""))</f>
        <v/>
      </c>
      <c r="G53" s="13" t="str">
        <f ca="1">IFERROR(IF(OR($D53="",$F53=""),
"",
VLOOKUP($D53,Definitions!$AH:$AM,MATCH($F53,Definitions!$AH$3:$AM$3,0),FALSE)),
"")</f>
        <v/>
      </c>
      <c r="H53" s="10" cm="1">
        <f t="array" aca="1" ref="H53" ca="1">CreateID($H$2,$A53&lt;&gt;"")</f>
        <v>0</v>
      </c>
      <c r="I53" s="9" cm="1">
        <f t="array" aca="1" ref="I53" ca="1">IF(ROW()=ROW($I$2)+1,
1,
INDEX($I:$I,ROW()-1)+IF(INDEX($S:$S,ROW()-1),1,0))</f>
        <v>1</v>
      </c>
      <c r="J53" s="9">
        <f t="shared" ca="1" si="4"/>
        <v>51</v>
      </c>
      <c r="K53" s="9" t="str">
        <f t="shared" ca="1" si="5"/>
        <v/>
      </c>
      <c r="L53" s="9" t="str" cm="1">
        <f t="array" aca="1" ref="L53" ca="1">IF($P53="","",INDEX('Attack Steps'!$A:$A,$P53))</f>
        <v/>
      </c>
      <c r="M53" s="9" t="str" cm="1">
        <f t="array" aca="1" ref="M53" ca="1">IF($P53="","",INDEX('Attack Steps'!$U:$U,$P53))</f>
        <v/>
      </c>
      <c r="N53" s="9" t="str" cm="1">
        <f t="array" aca="1" ref="N53" ca="1">_xlfn.LET(_xlpm._dm,SanitizeInput(GetValuesWithFallback(SanitizeInput($AA53),Assumptions!$A:$J,Countermeasures!$A:$J,"",",",FALSE)),
IF(_xlpm._dm="","",","&amp;_xlpm._dm))</f>
        <v/>
      </c>
      <c r="O53" s="9" t="str" cm="1">
        <f t="array" aca="1" ref="O53" ca="1">ApplyDamageMitigation($M53,$N53,"")</f>
        <v/>
      </c>
      <c r="P53" s="9" t="str">
        <f ca="1">IFERROR(MATCH($I53,'Attack Steps'!$W:$W,0),"")</f>
        <v/>
      </c>
      <c r="Q53" s="9" t="str" cm="1">
        <f t="array" aca="1" ref="Q53" ca="1">IF($P53="","","§"&amp;INDEX('Attack Steps'!$T:$T,$P53))</f>
        <v/>
      </c>
      <c r="R53" s="9" t="str" cm="1">
        <f t="array" aca="1" ref="R53" ca="1">IF($P53="","",INDEX('Attack Steps'!$X:$X,$P53))</f>
        <v/>
      </c>
      <c r="S53" s="9" t="b">
        <f t="shared" ca="1" si="6"/>
        <v>0</v>
      </c>
      <c r="T53" s="9" cm="1">
        <f t="array" aca="1" ref="T53" ca="1">IF($M53="",0,OperateOnList($M53,_xlfn.LAMBDA(_xlpm._x,SimpleLookup(_xlpm._x,'Damage Scenarios'!$A:$U)),_xlfn.LAMBDA(_xlpm._x,_xlpm._y,MAX(_xlpm._x,_xlpm._y))))</f>
        <v>0</v>
      </c>
      <c r="U53" s="9" cm="1">
        <f t="array" aca="1" ref="U53" ca="1">IF($O53="",0,OperateOnList($O53,_xlfn.LAMBDA(_xlpm._x,SimpleLookup(_xlpm._x,'Damage Scenarios'!$A:$U)),_xlfn.LAMBDA(_xlpm._x,_xlpm._y,MAX(_xlpm._x,_xlpm._y))))</f>
        <v>0</v>
      </c>
      <c r="V53" s="9" t="str">
        <f ca="1">IF($U53=0,"",INDEX(Definitions!$Q:$Q,MATCH($U53,Definitions!$R:$R,0)))</f>
        <v/>
      </c>
      <c r="W53" s="9" cm="1">
        <f t="array" aca="1" ref="W53" ca="1">IF($K53="",0,_xlfn.LET(
_xlpm._listOfAttackSteps,$K53,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53" s="9" t="str" cm="1">
        <f t="array" aca="1" ref="X53" ca="1">IF(ROW()=ROW($X$2)+1,"",INDEX($X:$X,ROW()-1))&amp;IF($A53="","",$A53&amp;",")</f>
        <v/>
      </c>
      <c r="Y53" s="9" t="str" cm="1">
        <f t="array" aca="1" ref="Y53" ca="1">CreateSearchString($K53)</f>
        <v/>
      </c>
      <c r="Z53" s="9" cm="1">
        <f t="array" aca="1" ref="Z53" ca="1">IF($G53="",0,SimpleLookup($G53,Definitions!$AE:$AF))</f>
        <v>0</v>
      </c>
      <c r="AA53" s="9" t="str" cm="1">
        <f t="array" aca="1" ref="AA53" ca="1">SanitizeInput(InverseLookup($A53,Mitigation!$U$2,Mitigation!$J$2,1,Helper!$B$5,","))</f>
        <v/>
      </c>
      <c r="AB53" s="9" cm="1">
        <f t="array" aca="1" ref="AB53" ca="1">IF($K53="",0,_xlfn.LET(
_xlpm._listOfAttackStepsAndMitigations,$K53&amp;$AA53,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53" s="9" t="str">
        <f ca="1">IFERROR(VLOOKUP($AB53,Definitions!$V:$W,COLUMNS(Definitions!$V:$W),TRUE),"")</f>
        <v>Basic</v>
      </c>
      <c r="AD53" s="9" t="str">
        <f ca="1">_xlfn.LET(
_xlpm._comments,GetValues($K53,Mitigation!$A:$O,"","",FALSE),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53" s="9" t="str" cm="1">
        <f t="array" aca="1" ref="AE53" ca="1">_xlfn.LET(
_xlpm._rapRange,Definitions!$W:$W,
_xlpm._calculatedRAP,$AC53,
_xlpm._inlineRAP,$AD53,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53" s="9" t="str">
        <f ca="1">IFERROR(IF(OR($V53="",$AE53=""),
Definitions!$AE$4,
VLOOKUP($V53,Definitions!$AH:$AM,MATCH($AE53,Definitions!$AH$3:$AM$3,0),FALSE)),
"")</f>
        <v>No Risk</v>
      </c>
      <c r="AG53" s="9" cm="1">
        <f t="array" aca="1" ref="AG53" ca="1">IF($AF53="",0,SimpleLookup($AF53,Definitions!$AE:$AF))</f>
        <v>0</v>
      </c>
      <c r="AH53" s="9" t="str" cm="1">
        <f t="array" aca="1" ref="AH53" ca="1">IFERROR(SimpleLookup($A53,Tracing!$B:$Z),"")</f>
        <v/>
      </c>
      <c r="AI53" s="9" t="str" cm="1">
        <f t="array" aca="1" ref="AI53" ca="1">_xlfn.LET(_xlpm._dm,SanitizeInput(GetValuesWithFallback(SanitizeInput($AH53),Assumptions!$A:$J,Countermeasures!$A:$J,"",",",FALSE)),
IF(_xlpm._dm="","",","&amp;_xlpm._dm))</f>
        <v/>
      </c>
      <c r="AJ53" s="9" t="str" cm="1">
        <f t="array" aca="1" ref="AJ53" ca="1">ApplyDamageMitigation($M53,$AI53,"")</f>
        <v/>
      </c>
      <c r="AK53" s="9" cm="1">
        <f t="array" aca="1" ref="AK53" ca="1">CalculateMaxFromList($AJ53,0,'Damage Scenarios'!$A:$U)</f>
        <v>0</v>
      </c>
      <c r="AL53" s="9" t="str">
        <f ca="1">IF($AK53=0,"",INDEX(Definitions!$Q:$Q,MATCH($AK53,Definitions!$R:$R,0)))</f>
        <v/>
      </c>
      <c r="AM53" s="9" cm="1">
        <f t="array" aca="1" ref="AM53" ca="1">IF($K53="",0,_xlfn.LET(
_xlpm._listOfAttackStepsAndMitigations,$K53&amp;$AH53,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53" s="9" t="str">
        <f ca="1">IFERROR(VLOOKUP($AM53,Definitions!$V:$W,COLUMNS(Definitions!$V:$W),TRUE),"")</f>
        <v>Basic</v>
      </c>
      <c r="AO53" s="9" t="str">
        <f ca="1">_xlfn.LET(
_xlpm._comments,SimpleLookup($A53,Tracing!$B:$AB),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53" s="9" t="str" cm="1">
        <f t="array" aca="1" ref="AP53" ca="1">_xlfn.LET(
_xlpm._rapRange,Definitions!$W:$W,
_xlpm._calculatedRAP,$AN53,
_xlpm._inlineRAP,$AO53,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53" s="9" t="str">
        <f ca="1">IFERROR(IF(OR($AL53="",$AP53=""),
Definitions!$AE$4,
VLOOKUP($AL53,Definitions!$AH:$AM,MATCH($AP53,Definitions!$AH$3:$AM$3,0),FALSE)),
"")</f>
        <v>No Risk</v>
      </c>
      <c r="AR53" s="9" cm="1">
        <f t="array" aca="1" ref="AR53" ca="1">IF($AQ53="",0,SimpleLookup($AQ53,Definitions!$AE:$AF))</f>
        <v>0</v>
      </c>
      <c r="AS53" s="9" t="b">
        <f ca="1">OR(AND($S53,$I53=Helper!$B$7),$I53&gt;Helper!$B$7)</f>
        <v>1</v>
      </c>
      <c r="AT53" s="9" t="str">
        <f t="shared" ca="1" si="7"/>
        <v/>
      </c>
      <c r="AU53" s="9" cm="1">
        <f t="array" aca="1" ref="AU53" ca="1">CreateID($AU$2,$AT53&lt;&gt;"")</f>
        <v>0</v>
      </c>
      <c r="AV53" s="9" t="str">
        <f ca="1">IF(IFERROR(MATCH(","&amp;A53&amp;",",'Risk Treatment'!$AT:$AT,0)&gt;0,FALSE),"",$A53)</f>
        <v/>
      </c>
      <c r="AW53" s="9" cm="1">
        <f t="array" aca="1" ref="AW53" ca="1">CreateID($AW$2,$AV53&lt;&gt;"")</f>
        <v>0</v>
      </c>
      <c r="AX53" s="9" t="str" cm="1">
        <f t="array" aca="1" ref="AX53" ca="1">CreateSearchString($AA53)</f>
        <v/>
      </c>
    </row>
    <row r="54" spans="1:50" x14ac:dyDescent="0.25">
      <c r="A54" s="13" t="str" cm="1">
        <f t="array" aca="1" ref="A54" ca="1">IF($B54="","","R"&amp;RemoveDelimiter(SUBSTITUTE(SUBSTITUTE($K54,"AS",""),",","-"),"-"))</f>
        <v/>
      </c>
      <c r="B54" s="13" t="str" cm="1">
        <f t="array" aca="1" ref="B54" ca="1">IF($L54="","",_xlfn.LET(
_xlpm._finalAttackStep,$L54,
_xlpm._prepAttacks,RemoveFirstElement(_xlpm._finalAttackStep&amp;","&amp;$K54),
_xlpm._prepAttackNames,IFERROR(LookupNames(_xlpm._prepAttacks,'Attack Steps'!$A:$B),""),
_xlpm._delimiter,REPT(CHAR(150),55),
$L54&amp;" "&amp;SimpleLookup($L54,'Attack Steps'!$A:$B)&amp;
IF(_xlpm._prepAttackNames="","",CHAR(10)&amp;_xlpm._delimiter&amp;CHAR(10)&amp;_xlpm._prepAttackNames)))</f>
        <v/>
      </c>
      <c r="C54" s="16" t="str" cm="1">
        <f t="array" aca="1" ref="C54" ca="1">IFERROR(LookupNames($M54,'Damage Scenarios'!$A:$V),"")</f>
        <v/>
      </c>
      <c r="D54" s="13" t="str">
        <f ca="1">IFERROR(IF($T54=0,"",INDEX(Definitions!$Q:$Q,MATCH($T54,Definitions!$R:$R,0))),"")</f>
        <v/>
      </c>
      <c r="E54" s="16" t="str" cm="1">
        <f t="array" aca="1" ref="E54" ca="1">IF($K54="","",_xlfn.LET(
_xlpm._listOfAttackSteps,$K54,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54" s="13" t="str">
        <f ca="1">IF($A54="","",IFERROR(VLOOKUP($W54,Definitions!$V:$W,COLUMNS(Definitions!$V:$W),TRUE),""))</f>
        <v/>
      </c>
      <c r="G54" s="13" t="str">
        <f ca="1">IFERROR(IF(OR($D54="",$F54=""),
"",
VLOOKUP($D54,Definitions!$AH:$AM,MATCH($F54,Definitions!$AH$3:$AM$3,0),FALSE)),
"")</f>
        <v/>
      </c>
      <c r="H54" s="10" cm="1">
        <f t="array" aca="1" ref="H54" ca="1">CreateID($H$2,$A54&lt;&gt;"")</f>
        <v>0</v>
      </c>
      <c r="I54" s="9" cm="1">
        <f t="array" aca="1" ref="I54" ca="1">IF(ROW()=ROW($I$2)+1,
1,
INDEX($I:$I,ROW()-1)+IF(INDEX($S:$S,ROW()-1),1,0))</f>
        <v>1</v>
      </c>
      <c r="J54" s="9">
        <f t="shared" ca="1" si="4"/>
        <v>52</v>
      </c>
      <c r="K54" s="9" t="str">
        <f t="shared" ca="1" si="5"/>
        <v/>
      </c>
      <c r="L54" s="9" t="str" cm="1">
        <f t="array" aca="1" ref="L54" ca="1">IF($P54="","",INDEX('Attack Steps'!$A:$A,$P54))</f>
        <v/>
      </c>
      <c r="M54" s="9" t="str" cm="1">
        <f t="array" aca="1" ref="M54" ca="1">IF($P54="","",INDEX('Attack Steps'!$U:$U,$P54))</f>
        <v/>
      </c>
      <c r="N54" s="9" t="str" cm="1">
        <f t="array" aca="1" ref="N54" ca="1">_xlfn.LET(_xlpm._dm,SanitizeInput(GetValuesWithFallback(SanitizeInput($AA54),Assumptions!$A:$J,Countermeasures!$A:$J,"",",",FALSE)),
IF(_xlpm._dm="","",","&amp;_xlpm._dm))</f>
        <v/>
      </c>
      <c r="O54" s="9" t="str" cm="1">
        <f t="array" aca="1" ref="O54" ca="1">ApplyDamageMitigation($M54,$N54,"")</f>
        <v/>
      </c>
      <c r="P54" s="9" t="str">
        <f ca="1">IFERROR(MATCH($I54,'Attack Steps'!$W:$W,0),"")</f>
        <v/>
      </c>
      <c r="Q54" s="9" t="str" cm="1">
        <f t="array" aca="1" ref="Q54" ca="1">IF($P54="","","§"&amp;INDEX('Attack Steps'!$T:$T,$P54))</f>
        <v/>
      </c>
      <c r="R54" s="9" t="str" cm="1">
        <f t="array" aca="1" ref="R54" ca="1">IF($P54="","",INDEX('Attack Steps'!$X:$X,$P54))</f>
        <v/>
      </c>
      <c r="S54" s="9" t="b">
        <f t="shared" ca="1" si="6"/>
        <v>0</v>
      </c>
      <c r="T54" s="9" cm="1">
        <f t="array" aca="1" ref="T54" ca="1">IF($M54="",0,OperateOnList($M54,_xlfn.LAMBDA(_xlpm._x,SimpleLookup(_xlpm._x,'Damage Scenarios'!$A:$U)),_xlfn.LAMBDA(_xlpm._x,_xlpm._y,MAX(_xlpm._x,_xlpm._y))))</f>
        <v>0</v>
      </c>
      <c r="U54" s="9" cm="1">
        <f t="array" aca="1" ref="U54" ca="1">IF($O54="",0,OperateOnList($O54,_xlfn.LAMBDA(_xlpm._x,SimpleLookup(_xlpm._x,'Damage Scenarios'!$A:$U)),_xlfn.LAMBDA(_xlpm._x,_xlpm._y,MAX(_xlpm._x,_xlpm._y))))</f>
        <v>0</v>
      </c>
      <c r="V54" s="9" t="str">
        <f ca="1">IF($U54=0,"",INDEX(Definitions!$Q:$Q,MATCH($U54,Definitions!$R:$R,0)))</f>
        <v/>
      </c>
      <c r="W54" s="9" cm="1">
        <f t="array" aca="1" ref="W54" ca="1">IF($K54="",0,_xlfn.LET(
_xlpm._listOfAttackSteps,$K54,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54" s="9" t="str" cm="1">
        <f t="array" aca="1" ref="X54" ca="1">IF(ROW()=ROW($X$2)+1,"",INDEX($X:$X,ROW()-1))&amp;IF($A54="","",$A54&amp;",")</f>
        <v/>
      </c>
      <c r="Y54" s="9" t="str" cm="1">
        <f t="array" aca="1" ref="Y54" ca="1">CreateSearchString($K54)</f>
        <v/>
      </c>
      <c r="Z54" s="9" cm="1">
        <f t="array" aca="1" ref="Z54" ca="1">IF($G54="",0,SimpleLookup($G54,Definitions!$AE:$AF))</f>
        <v>0</v>
      </c>
      <c r="AA54" s="9" t="str" cm="1">
        <f t="array" aca="1" ref="AA54" ca="1">SanitizeInput(InverseLookup($A54,Mitigation!$U$2,Mitigation!$J$2,1,Helper!$B$5,","))</f>
        <v/>
      </c>
      <c r="AB54" s="9" cm="1">
        <f t="array" aca="1" ref="AB54" ca="1">IF($K54="",0,_xlfn.LET(
_xlpm._listOfAttackStepsAndMitigations,$K54&amp;$AA54,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54" s="9" t="str">
        <f ca="1">IFERROR(VLOOKUP($AB54,Definitions!$V:$W,COLUMNS(Definitions!$V:$W),TRUE),"")</f>
        <v>Basic</v>
      </c>
      <c r="AD54" s="9" t="str">
        <f ca="1">_xlfn.LET(
_xlpm._comments,GetValues($K54,Mitigation!$A:$O,"","",FALSE),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54" s="9" t="str" cm="1">
        <f t="array" aca="1" ref="AE54" ca="1">_xlfn.LET(
_xlpm._rapRange,Definitions!$W:$W,
_xlpm._calculatedRAP,$AC54,
_xlpm._inlineRAP,$AD54,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54" s="9" t="str">
        <f ca="1">IFERROR(IF(OR($V54="",$AE54=""),
Definitions!$AE$4,
VLOOKUP($V54,Definitions!$AH:$AM,MATCH($AE54,Definitions!$AH$3:$AM$3,0),FALSE)),
"")</f>
        <v>No Risk</v>
      </c>
      <c r="AG54" s="9" cm="1">
        <f t="array" aca="1" ref="AG54" ca="1">IF($AF54="",0,SimpleLookup($AF54,Definitions!$AE:$AF))</f>
        <v>0</v>
      </c>
      <c r="AH54" s="9" t="str" cm="1">
        <f t="array" aca="1" ref="AH54" ca="1">IFERROR(SimpleLookup($A54,Tracing!$B:$Z),"")</f>
        <v/>
      </c>
      <c r="AI54" s="9" t="str" cm="1">
        <f t="array" aca="1" ref="AI54" ca="1">_xlfn.LET(_xlpm._dm,SanitizeInput(GetValuesWithFallback(SanitizeInput($AH54),Assumptions!$A:$J,Countermeasures!$A:$J,"",",",FALSE)),
IF(_xlpm._dm="","",","&amp;_xlpm._dm))</f>
        <v/>
      </c>
      <c r="AJ54" s="9" t="str" cm="1">
        <f t="array" aca="1" ref="AJ54" ca="1">ApplyDamageMitigation($M54,$AI54,"")</f>
        <v/>
      </c>
      <c r="AK54" s="9" cm="1">
        <f t="array" aca="1" ref="AK54" ca="1">CalculateMaxFromList($AJ54,0,'Damage Scenarios'!$A:$U)</f>
        <v>0</v>
      </c>
      <c r="AL54" s="9" t="str">
        <f ca="1">IF($AK54=0,"",INDEX(Definitions!$Q:$Q,MATCH($AK54,Definitions!$R:$R,0)))</f>
        <v/>
      </c>
      <c r="AM54" s="9" cm="1">
        <f t="array" aca="1" ref="AM54" ca="1">IF($K54="",0,_xlfn.LET(
_xlpm._listOfAttackStepsAndMitigations,$K54&amp;$AH54,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54" s="9" t="str">
        <f ca="1">IFERROR(VLOOKUP($AM54,Definitions!$V:$W,COLUMNS(Definitions!$V:$W),TRUE),"")</f>
        <v>Basic</v>
      </c>
      <c r="AO54" s="9" t="str">
        <f ca="1">_xlfn.LET(
_xlpm._comments,SimpleLookup($A54,Tracing!$B:$AB),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54" s="9" t="str" cm="1">
        <f t="array" aca="1" ref="AP54" ca="1">_xlfn.LET(
_xlpm._rapRange,Definitions!$W:$W,
_xlpm._calculatedRAP,$AN54,
_xlpm._inlineRAP,$AO54,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54" s="9" t="str">
        <f ca="1">IFERROR(IF(OR($AL54="",$AP54=""),
Definitions!$AE$4,
VLOOKUP($AL54,Definitions!$AH:$AM,MATCH($AP54,Definitions!$AH$3:$AM$3,0),FALSE)),
"")</f>
        <v>No Risk</v>
      </c>
      <c r="AR54" s="9" cm="1">
        <f t="array" aca="1" ref="AR54" ca="1">IF($AQ54="",0,SimpleLookup($AQ54,Definitions!$AE:$AF))</f>
        <v>0</v>
      </c>
      <c r="AS54" s="9" t="b">
        <f ca="1">OR(AND($S54,$I54=Helper!$B$7),$I54&gt;Helper!$B$7)</f>
        <v>1</v>
      </c>
      <c r="AT54" s="9" t="str">
        <f t="shared" ca="1" si="7"/>
        <v/>
      </c>
      <c r="AU54" s="9" cm="1">
        <f t="array" aca="1" ref="AU54" ca="1">CreateID($AU$2,$AT54&lt;&gt;"")</f>
        <v>0</v>
      </c>
      <c r="AV54" s="9" t="str">
        <f ca="1">IF(IFERROR(MATCH(","&amp;A54&amp;",",'Risk Treatment'!$AT:$AT,0)&gt;0,FALSE),"",$A54)</f>
        <v/>
      </c>
      <c r="AW54" s="9" cm="1">
        <f t="array" aca="1" ref="AW54" ca="1">CreateID($AW$2,$AV54&lt;&gt;"")</f>
        <v>0</v>
      </c>
      <c r="AX54" s="9" t="str" cm="1">
        <f t="array" aca="1" ref="AX54" ca="1">CreateSearchString($AA54)</f>
        <v/>
      </c>
    </row>
    <row r="55" spans="1:50" x14ac:dyDescent="0.25">
      <c r="A55" s="13" t="str" cm="1">
        <f t="array" aca="1" ref="A55" ca="1">IF($B55="","","R"&amp;RemoveDelimiter(SUBSTITUTE(SUBSTITUTE($K55,"AS",""),",","-"),"-"))</f>
        <v/>
      </c>
      <c r="B55" s="13" t="str" cm="1">
        <f t="array" aca="1" ref="B55" ca="1">IF($L55="","",_xlfn.LET(
_xlpm._finalAttackStep,$L55,
_xlpm._prepAttacks,RemoveFirstElement(_xlpm._finalAttackStep&amp;","&amp;$K55),
_xlpm._prepAttackNames,IFERROR(LookupNames(_xlpm._prepAttacks,'Attack Steps'!$A:$B),""),
_xlpm._delimiter,REPT(CHAR(150),55),
$L55&amp;" "&amp;SimpleLookup($L55,'Attack Steps'!$A:$B)&amp;
IF(_xlpm._prepAttackNames="","",CHAR(10)&amp;_xlpm._delimiter&amp;CHAR(10)&amp;_xlpm._prepAttackNames)))</f>
        <v/>
      </c>
      <c r="C55" s="16" t="str" cm="1">
        <f t="array" aca="1" ref="C55" ca="1">IFERROR(LookupNames($M55,'Damage Scenarios'!$A:$V),"")</f>
        <v/>
      </c>
      <c r="D55" s="13" t="str">
        <f ca="1">IFERROR(IF($T55=0,"",INDEX(Definitions!$Q:$Q,MATCH($T55,Definitions!$R:$R,0))),"")</f>
        <v/>
      </c>
      <c r="E55" s="16" t="str" cm="1">
        <f t="array" aca="1" ref="E55" ca="1">IF($K55="","",_xlfn.LET(
_xlpm._listOfAttackSteps,$K55,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55" s="13" t="str">
        <f ca="1">IF($A55="","",IFERROR(VLOOKUP($W55,Definitions!$V:$W,COLUMNS(Definitions!$V:$W),TRUE),""))</f>
        <v/>
      </c>
      <c r="G55" s="13" t="str">
        <f ca="1">IFERROR(IF(OR($D55="",$F55=""),
"",
VLOOKUP($D55,Definitions!$AH:$AM,MATCH($F55,Definitions!$AH$3:$AM$3,0),FALSE)),
"")</f>
        <v/>
      </c>
      <c r="H55" s="10" cm="1">
        <f t="array" aca="1" ref="H55" ca="1">CreateID($H$2,$A55&lt;&gt;"")</f>
        <v>0</v>
      </c>
      <c r="I55" s="9" cm="1">
        <f t="array" aca="1" ref="I55" ca="1">IF(ROW()=ROW($I$2)+1,
1,
INDEX($I:$I,ROW()-1)+IF(INDEX($S:$S,ROW()-1),1,0))</f>
        <v>1</v>
      </c>
      <c r="J55" s="9">
        <f t="shared" ca="1" si="4"/>
        <v>53</v>
      </c>
      <c r="K55" s="9" t="str">
        <f t="shared" ca="1" si="5"/>
        <v/>
      </c>
      <c r="L55" s="9" t="str" cm="1">
        <f t="array" aca="1" ref="L55" ca="1">IF($P55="","",INDEX('Attack Steps'!$A:$A,$P55))</f>
        <v/>
      </c>
      <c r="M55" s="9" t="str" cm="1">
        <f t="array" aca="1" ref="M55" ca="1">IF($P55="","",INDEX('Attack Steps'!$U:$U,$P55))</f>
        <v/>
      </c>
      <c r="N55" s="9" t="str" cm="1">
        <f t="array" aca="1" ref="N55" ca="1">_xlfn.LET(_xlpm._dm,SanitizeInput(GetValuesWithFallback(SanitizeInput($AA55),Assumptions!$A:$J,Countermeasures!$A:$J,"",",",FALSE)),
IF(_xlpm._dm="","",","&amp;_xlpm._dm))</f>
        <v/>
      </c>
      <c r="O55" s="9" t="str" cm="1">
        <f t="array" aca="1" ref="O55" ca="1">ApplyDamageMitigation($M55,$N55,"")</f>
        <v/>
      </c>
      <c r="P55" s="9" t="str">
        <f ca="1">IFERROR(MATCH($I55,'Attack Steps'!$W:$W,0),"")</f>
        <v/>
      </c>
      <c r="Q55" s="9" t="str" cm="1">
        <f t="array" aca="1" ref="Q55" ca="1">IF($P55="","","§"&amp;INDEX('Attack Steps'!$T:$T,$P55))</f>
        <v/>
      </c>
      <c r="R55" s="9" t="str" cm="1">
        <f t="array" aca="1" ref="R55" ca="1">IF($P55="","",INDEX('Attack Steps'!$X:$X,$P55))</f>
        <v/>
      </c>
      <c r="S55" s="9" t="b">
        <f t="shared" ca="1" si="6"/>
        <v>0</v>
      </c>
      <c r="T55" s="9" cm="1">
        <f t="array" aca="1" ref="T55" ca="1">IF($M55="",0,OperateOnList($M55,_xlfn.LAMBDA(_xlpm._x,SimpleLookup(_xlpm._x,'Damage Scenarios'!$A:$U)),_xlfn.LAMBDA(_xlpm._x,_xlpm._y,MAX(_xlpm._x,_xlpm._y))))</f>
        <v>0</v>
      </c>
      <c r="U55" s="9" cm="1">
        <f t="array" aca="1" ref="U55" ca="1">IF($O55="",0,OperateOnList($O55,_xlfn.LAMBDA(_xlpm._x,SimpleLookup(_xlpm._x,'Damage Scenarios'!$A:$U)),_xlfn.LAMBDA(_xlpm._x,_xlpm._y,MAX(_xlpm._x,_xlpm._y))))</f>
        <v>0</v>
      </c>
      <c r="V55" s="9" t="str">
        <f ca="1">IF($U55=0,"",INDEX(Definitions!$Q:$Q,MATCH($U55,Definitions!$R:$R,0)))</f>
        <v/>
      </c>
      <c r="W55" s="9" cm="1">
        <f t="array" aca="1" ref="W55" ca="1">IF($K55="",0,_xlfn.LET(
_xlpm._listOfAttackSteps,$K55,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55" s="9" t="str" cm="1">
        <f t="array" aca="1" ref="X55" ca="1">IF(ROW()=ROW($X$2)+1,"",INDEX($X:$X,ROW()-1))&amp;IF($A55="","",$A55&amp;",")</f>
        <v/>
      </c>
      <c r="Y55" s="9" t="str" cm="1">
        <f t="array" aca="1" ref="Y55" ca="1">CreateSearchString($K55)</f>
        <v/>
      </c>
      <c r="Z55" s="9" cm="1">
        <f t="array" aca="1" ref="Z55" ca="1">IF($G55="",0,SimpleLookup($G55,Definitions!$AE:$AF))</f>
        <v>0</v>
      </c>
      <c r="AA55" s="9" t="str" cm="1">
        <f t="array" aca="1" ref="AA55" ca="1">SanitizeInput(InverseLookup($A55,Mitigation!$U$2,Mitigation!$J$2,1,Helper!$B$5,","))</f>
        <v/>
      </c>
      <c r="AB55" s="9" cm="1">
        <f t="array" aca="1" ref="AB55" ca="1">IF($K55="",0,_xlfn.LET(
_xlpm._listOfAttackStepsAndMitigations,$K55&amp;$AA55,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55" s="9" t="str">
        <f ca="1">IFERROR(VLOOKUP($AB55,Definitions!$V:$W,COLUMNS(Definitions!$V:$W),TRUE),"")</f>
        <v>Basic</v>
      </c>
      <c r="AD55" s="9" t="str">
        <f ca="1">_xlfn.LET(
_xlpm._comments,GetValues($K55,Mitigation!$A:$O,"","",FALSE),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55" s="9" t="str" cm="1">
        <f t="array" aca="1" ref="AE55" ca="1">_xlfn.LET(
_xlpm._rapRange,Definitions!$W:$W,
_xlpm._calculatedRAP,$AC55,
_xlpm._inlineRAP,$AD55,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55" s="9" t="str">
        <f ca="1">IFERROR(IF(OR($V55="",$AE55=""),
Definitions!$AE$4,
VLOOKUP($V55,Definitions!$AH:$AM,MATCH($AE55,Definitions!$AH$3:$AM$3,0),FALSE)),
"")</f>
        <v>No Risk</v>
      </c>
      <c r="AG55" s="9" cm="1">
        <f t="array" aca="1" ref="AG55" ca="1">IF($AF55="",0,SimpleLookup($AF55,Definitions!$AE:$AF))</f>
        <v>0</v>
      </c>
      <c r="AH55" s="9" t="str" cm="1">
        <f t="array" aca="1" ref="AH55" ca="1">IFERROR(SimpleLookup($A55,Tracing!$B:$Z),"")</f>
        <v/>
      </c>
      <c r="AI55" s="9" t="str" cm="1">
        <f t="array" aca="1" ref="AI55" ca="1">_xlfn.LET(_xlpm._dm,SanitizeInput(GetValuesWithFallback(SanitizeInput($AH55),Assumptions!$A:$J,Countermeasures!$A:$J,"",",",FALSE)),
IF(_xlpm._dm="","",","&amp;_xlpm._dm))</f>
        <v/>
      </c>
      <c r="AJ55" s="9" t="str" cm="1">
        <f t="array" aca="1" ref="AJ55" ca="1">ApplyDamageMitigation($M55,$AI55,"")</f>
        <v/>
      </c>
      <c r="AK55" s="9" cm="1">
        <f t="array" aca="1" ref="AK55" ca="1">CalculateMaxFromList($AJ55,0,'Damage Scenarios'!$A:$U)</f>
        <v>0</v>
      </c>
      <c r="AL55" s="9" t="str">
        <f ca="1">IF($AK55=0,"",INDEX(Definitions!$Q:$Q,MATCH($AK55,Definitions!$R:$R,0)))</f>
        <v/>
      </c>
      <c r="AM55" s="9" cm="1">
        <f t="array" aca="1" ref="AM55" ca="1">IF($K55="",0,_xlfn.LET(
_xlpm._listOfAttackStepsAndMitigations,$K55&amp;$AH55,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55" s="9" t="str">
        <f ca="1">IFERROR(VLOOKUP($AM55,Definitions!$V:$W,COLUMNS(Definitions!$V:$W),TRUE),"")</f>
        <v>Basic</v>
      </c>
      <c r="AO55" s="9" t="str">
        <f ca="1">_xlfn.LET(
_xlpm._comments,SimpleLookup($A55,Tracing!$B:$AB),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55" s="9" t="str" cm="1">
        <f t="array" aca="1" ref="AP55" ca="1">_xlfn.LET(
_xlpm._rapRange,Definitions!$W:$W,
_xlpm._calculatedRAP,$AN55,
_xlpm._inlineRAP,$AO55,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55" s="9" t="str">
        <f ca="1">IFERROR(IF(OR($AL55="",$AP55=""),
Definitions!$AE$4,
VLOOKUP($AL55,Definitions!$AH:$AM,MATCH($AP55,Definitions!$AH$3:$AM$3,0),FALSE)),
"")</f>
        <v>No Risk</v>
      </c>
      <c r="AR55" s="9" cm="1">
        <f t="array" aca="1" ref="AR55" ca="1">IF($AQ55="",0,SimpleLookup($AQ55,Definitions!$AE:$AF))</f>
        <v>0</v>
      </c>
      <c r="AS55" s="9" t="b">
        <f ca="1">OR(AND($S55,$I55=Helper!$B$7),$I55&gt;Helper!$B$7)</f>
        <v>1</v>
      </c>
      <c r="AT55" s="9" t="str">
        <f t="shared" ca="1" si="7"/>
        <v/>
      </c>
      <c r="AU55" s="9" cm="1">
        <f t="array" aca="1" ref="AU55" ca="1">CreateID($AU$2,$AT55&lt;&gt;"")</f>
        <v>0</v>
      </c>
      <c r="AV55" s="9" t="str">
        <f ca="1">IF(IFERROR(MATCH(","&amp;A55&amp;",",'Risk Treatment'!$AT:$AT,0)&gt;0,FALSE),"",$A55)</f>
        <v/>
      </c>
      <c r="AW55" s="9" cm="1">
        <f t="array" aca="1" ref="AW55" ca="1">CreateID($AW$2,$AV55&lt;&gt;"")</f>
        <v>0</v>
      </c>
      <c r="AX55" s="9" t="str" cm="1">
        <f t="array" aca="1" ref="AX55" ca="1">CreateSearchString($AA55)</f>
        <v/>
      </c>
    </row>
    <row r="56" spans="1:50" x14ac:dyDescent="0.25">
      <c r="A56" s="13" t="str" cm="1">
        <f t="array" aca="1" ref="A56" ca="1">IF($B56="","","R"&amp;RemoveDelimiter(SUBSTITUTE(SUBSTITUTE($K56,"AS",""),",","-"),"-"))</f>
        <v/>
      </c>
      <c r="B56" s="13" t="str" cm="1">
        <f t="array" aca="1" ref="B56" ca="1">IF($L56="","",_xlfn.LET(
_xlpm._finalAttackStep,$L56,
_xlpm._prepAttacks,RemoveFirstElement(_xlpm._finalAttackStep&amp;","&amp;$K56),
_xlpm._prepAttackNames,IFERROR(LookupNames(_xlpm._prepAttacks,'Attack Steps'!$A:$B),""),
_xlpm._delimiter,REPT(CHAR(150),55),
$L56&amp;" "&amp;SimpleLookup($L56,'Attack Steps'!$A:$B)&amp;
IF(_xlpm._prepAttackNames="","",CHAR(10)&amp;_xlpm._delimiter&amp;CHAR(10)&amp;_xlpm._prepAttackNames)))</f>
        <v/>
      </c>
      <c r="C56" s="16" t="str" cm="1">
        <f t="array" aca="1" ref="C56" ca="1">IFERROR(LookupNames($M56,'Damage Scenarios'!$A:$V),"")</f>
        <v/>
      </c>
      <c r="D56" s="13" t="str">
        <f ca="1">IFERROR(IF($T56=0,"",INDEX(Definitions!$Q:$Q,MATCH($T56,Definitions!$R:$R,0))),"")</f>
        <v/>
      </c>
      <c r="E56" s="16" t="str" cm="1">
        <f t="array" aca="1" ref="E56" ca="1">IF($K56="","",_xlfn.LET(
_xlpm._listOfAttackSteps,$K56,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56" s="13" t="str">
        <f ca="1">IF($A56="","",IFERROR(VLOOKUP($W56,Definitions!$V:$W,COLUMNS(Definitions!$V:$W),TRUE),""))</f>
        <v/>
      </c>
      <c r="G56" s="13" t="str">
        <f ca="1">IFERROR(IF(OR($D56="",$F56=""),
"",
VLOOKUP($D56,Definitions!$AH:$AM,MATCH($F56,Definitions!$AH$3:$AM$3,0),FALSE)),
"")</f>
        <v/>
      </c>
      <c r="H56" s="10" cm="1">
        <f t="array" aca="1" ref="H56" ca="1">CreateID($H$2,$A56&lt;&gt;"")</f>
        <v>0</v>
      </c>
      <c r="I56" s="9" cm="1">
        <f t="array" aca="1" ref="I56" ca="1">IF(ROW()=ROW($I$2)+1,
1,
INDEX($I:$I,ROW()-1)+IF(INDEX($S:$S,ROW()-1),1,0))</f>
        <v>1</v>
      </c>
      <c r="J56" s="9">
        <f t="shared" ca="1" si="4"/>
        <v>54</v>
      </c>
      <c r="K56" s="9" t="str">
        <f t="shared" ca="1" si="5"/>
        <v/>
      </c>
      <c r="L56" s="9" t="str" cm="1">
        <f t="array" aca="1" ref="L56" ca="1">IF($P56="","",INDEX('Attack Steps'!$A:$A,$P56))</f>
        <v/>
      </c>
      <c r="M56" s="9" t="str" cm="1">
        <f t="array" aca="1" ref="M56" ca="1">IF($P56="","",INDEX('Attack Steps'!$U:$U,$P56))</f>
        <v/>
      </c>
      <c r="N56" s="9" t="str" cm="1">
        <f t="array" aca="1" ref="N56" ca="1">_xlfn.LET(_xlpm._dm,SanitizeInput(GetValuesWithFallback(SanitizeInput($AA56),Assumptions!$A:$J,Countermeasures!$A:$J,"",",",FALSE)),
IF(_xlpm._dm="","",","&amp;_xlpm._dm))</f>
        <v/>
      </c>
      <c r="O56" s="9" t="str" cm="1">
        <f t="array" aca="1" ref="O56" ca="1">ApplyDamageMitigation($M56,$N56,"")</f>
        <v/>
      </c>
      <c r="P56" s="9" t="str">
        <f ca="1">IFERROR(MATCH($I56,'Attack Steps'!$W:$W,0),"")</f>
        <v/>
      </c>
      <c r="Q56" s="9" t="str" cm="1">
        <f t="array" aca="1" ref="Q56" ca="1">IF($P56="","","§"&amp;INDEX('Attack Steps'!$T:$T,$P56))</f>
        <v/>
      </c>
      <c r="R56" s="9" t="str" cm="1">
        <f t="array" aca="1" ref="R56" ca="1">IF($P56="","",INDEX('Attack Steps'!$X:$X,$P56))</f>
        <v/>
      </c>
      <c r="S56" s="9" t="b">
        <f t="shared" ca="1" si="6"/>
        <v>0</v>
      </c>
      <c r="T56" s="9" cm="1">
        <f t="array" aca="1" ref="T56" ca="1">IF($M56="",0,OperateOnList($M56,_xlfn.LAMBDA(_xlpm._x,SimpleLookup(_xlpm._x,'Damage Scenarios'!$A:$U)),_xlfn.LAMBDA(_xlpm._x,_xlpm._y,MAX(_xlpm._x,_xlpm._y))))</f>
        <v>0</v>
      </c>
      <c r="U56" s="9" cm="1">
        <f t="array" aca="1" ref="U56" ca="1">IF($O56="",0,OperateOnList($O56,_xlfn.LAMBDA(_xlpm._x,SimpleLookup(_xlpm._x,'Damage Scenarios'!$A:$U)),_xlfn.LAMBDA(_xlpm._x,_xlpm._y,MAX(_xlpm._x,_xlpm._y))))</f>
        <v>0</v>
      </c>
      <c r="V56" s="9" t="str">
        <f ca="1">IF($U56=0,"",INDEX(Definitions!$Q:$Q,MATCH($U56,Definitions!$R:$R,0)))</f>
        <v/>
      </c>
      <c r="W56" s="9" cm="1">
        <f t="array" aca="1" ref="W56" ca="1">IF($K56="",0,_xlfn.LET(
_xlpm._listOfAttackSteps,$K56,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56" s="9" t="str" cm="1">
        <f t="array" aca="1" ref="X56" ca="1">IF(ROW()=ROW($X$2)+1,"",INDEX($X:$X,ROW()-1))&amp;IF($A56="","",$A56&amp;",")</f>
        <v/>
      </c>
      <c r="Y56" s="9" t="str" cm="1">
        <f t="array" aca="1" ref="Y56" ca="1">CreateSearchString($K56)</f>
        <v/>
      </c>
      <c r="Z56" s="9" cm="1">
        <f t="array" aca="1" ref="Z56" ca="1">IF($G56="",0,SimpleLookup($G56,Definitions!$AE:$AF))</f>
        <v>0</v>
      </c>
      <c r="AA56" s="9" t="str" cm="1">
        <f t="array" aca="1" ref="AA56" ca="1">SanitizeInput(InverseLookup($A56,Mitigation!$U$2,Mitigation!$J$2,1,Helper!$B$5,","))</f>
        <v/>
      </c>
      <c r="AB56" s="9" cm="1">
        <f t="array" aca="1" ref="AB56" ca="1">IF($K56="",0,_xlfn.LET(
_xlpm._listOfAttackStepsAndMitigations,$K56&amp;$AA56,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56" s="9" t="str">
        <f ca="1">IFERROR(VLOOKUP($AB56,Definitions!$V:$W,COLUMNS(Definitions!$V:$W),TRUE),"")</f>
        <v>Basic</v>
      </c>
      <c r="AD56" s="9" t="str">
        <f ca="1">_xlfn.LET(
_xlpm._comments,GetValues($K56,Mitigation!$A:$O,"","",FALSE),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56" s="9" t="str" cm="1">
        <f t="array" aca="1" ref="AE56" ca="1">_xlfn.LET(
_xlpm._rapRange,Definitions!$W:$W,
_xlpm._calculatedRAP,$AC56,
_xlpm._inlineRAP,$AD56,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56" s="9" t="str">
        <f ca="1">IFERROR(IF(OR($V56="",$AE56=""),
Definitions!$AE$4,
VLOOKUP($V56,Definitions!$AH:$AM,MATCH($AE56,Definitions!$AH$3:$AM$3,0),FALSE)),
"")</f>
        <v>No Risk</v>
      </c>
      <c r="AG56" s="9" cm="1">
        <f t="array" aca="1" ref="AG56" ca="1">IF($AF56="",0,SimpleLookup($AF56,Definitions!$AE:$AF))</f>
        <v>0</v>
      </c>
      <c r="AH56" s="9" t="str" cm="1">
        <f t="array" aca="1" ref="AH56" ca="1">IFERROR(SimpleLookup($A56,Tracing!$B:$Z),"")</f>
        <v/>
      </c>
      <c r="AI56" s="9" t="str" cm="1">
        <f t="array" aca="1" ref="AI56" ca="1">_xlfn.LET(_xlpm._dm,SanitizeInput(GetValuesWithFallback(SanitizeInput($AH56),Assumptions!$A:$J,Countermeasures!$A:$J,"",",",FALSE)),
IF(_xlpm._dm="","",","&amp;_xlpm._dm))</f>
        <v/>
      </c>
      <c r="AJ56" s="9" t="str" cm="1">
        <f t="array" aca="1" ref="AJ56" ca="1">ApplyDamageMitigation($M56,$AI56,"")</f>
        <v/>
      </c>
      <c r="AK56" s="9" cm="1">
        <f t="array" aca="1" ref="AK56" ca="1">CalculateMaxFromList($AJ56,0,'Damage Scenarios'!$A:$U)</f>
        <v>0</v>
      </c>
      <c r="AL56" s="9" t="str">
        <f ca="1">IF($AK56=0,"",INDEX(Definitions!$Q:$Q,MATCH($AK56,Definitions!$R:$R,0)))</f>
        <v/>
      </c>
      <c r="AM56" s="9" cm="1">
        <f t="array" aca="1" ref="AM56" ca="1">IF($K56="",0,_xlfn.LET(
_xlpm._listOfAttackStepsAndMitigations,$K56&amp;$AH56,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56" s="9" t="str">
        <f ca="1">IFERROR(VLOOKUP($AM56,Definitions!$V:$W,COLUMNS(Definitions!$V:$W),TRUE),"")</f>
        <v>Basic</v>
      </c>
      <c r="AO56" s="9" t="str">
        <f ca="1">_xlfn.LET(
_xlpm._comments,SimpleLookup($A56,Tracing!$B:$AB),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56" s="9" t="str" cm="1">
        <f t="array" aca="1" ref="AP56" ca="1">_xlfn.LET(
_xlpm._rapRange,Definitions!$W:$W,
_xlpm._calculatedRAP,$AN56,
_xlpm._inlineRAP,$AO56,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56" s="9" t="str">
        <f ca="1">IFERROR(IF(OR($AL56="",$AP56=""),
Definitions!$AE$4,
VLOOKUP($AL56,Definitions!$AH:$AM,MATCH($AP56,Definitions!$AH$3:$AM$3,0),FALSE)),
"")</f>
        <v>No Risk</v>
      </c>
      <c r="AR56" s="9" cm="1">
        <f t="array" aca="1" ref="AR56" ca="1">IF($AQ56="",0,SimpleLookup($AQ56,Definitions!$AE:$AF))</f>
        <v>0</v>
      </c>
      <c r="AS56" s="9" t="b">
        <f ca="1">OR(AND($S56,$I56=Helper!$B$7),$I56&gt;Helper!$B$7)</f>
        <v>1</v>
      </c>
      <c r="AT56" s="9" t="str">
        <f t="shared" ca="1" si="7"/>
        <v/>
      </c>
      <c r="AU56" s="9" cm="1">
        <f t="array" aca="1" ref="AU56" ca="1">CreateID($AU$2,$AT56&lt;&gt;"")</f>
        <v>0</v>
      </c>
      <c r="AV56" s="9" t="str">
        <f ca="1">IF(IFERROR(MATCH(","&amp;A56&amp;",",'Risk Treatment'!$AT:$AT,0)&gt;0,FALSE),"",$A56)</f>
        <v/>
      </c>
      <c r="AW56" s="9" cm="1">
        <f t="array" aca="1" ref="AW56" ca="1">CreateID($AW$2,$AV56&lt;&gt;"")</f>
        <v>0</v>
      </c>
      <c r="AX56" s="9" t="str" cm="1">
        <f t="array" aca="1" ref="AX56" ca="1">CreateSearchString($AA56)</f>
        <v/>
      </c>
    </row>
    <row r="57" spans="1:50" x14ac:dyDescent="0.25">
      <c r="A57" s="13" t="str" cm="1">
        <f t="array" aca="1" ref="A57" ca="1">IF($B57="","","R"&amp;RemoveDelimiter(SUBSTITUTE(SUBSTITUTE($K57,"AS",""),",","-"),"-"))</f>
        <v/>
      </c>
      <c r="B57" s="13" t="str" cm="1">
        <f t="array" aca="1" ref="B57" ca="1">IF($L57="","",_xlfn.LET(
_xlpm._finalAttackStep,$L57,
_xlpm._prepAttacks,RemoveFirstElement(_xlpm._finalAttackStep&amp;","&amp;$K57),
_xlpm._prepAttackNames,IFERROR(LookupNames(_xlpm._prepAttacks,'Attack Steps'!$A:$B),""),
_xlpm._delimiter,REPT(CHAR(150),55),
$L57&amp;" "&amp;SimpleLookup($L57,'Attack Steps'!$A:$B)&amp;
IF(_xlpm._prepAttackNames="","",CHAR(10)&amp;_xlpm._delimiter&amp;CHAR(10)&amp;_xlpm._prepAttackNames)))</f>
        <v/>
      </c>
      <c r="C57" s="16" t="str" cm="1">
        <f t="array" aca="1" ref="C57" ca="1">IFERROR(LookupNames($M57,'Damage Scenarios'!$A:$V),"")</f>
        <v/>
      </c>
      <c r="D57" s="13" t="str">
        <f ca="1">IFERROR(IF($T57=0,"",INDEX(Definitions!$Q:$Q,MATCH($T57,Definitions!$R:$R,0))),"")</f>
        <v/>
      </c>
      <c r="E57" s="16" t="str" cm="1">
        <f t="array" aca="1" ref="E57" ca="1">IF($K57="","",_xlfn.LET(
_xlpm._listOfAttackSteps,$K57,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57" s="13" t="str">
        <f ca="1">IF($A57="","",IFERROR(VLOOKUP($W57,Definitions!$V:$W,COLUMNS(Definitions!$V:$W),TRUE),""))</f>
        <v/>
      </c>
      <c r="G57" s="13" t="str">
        <f ca="1">IFERROR(IF(OR($D57="",$F57=""),
"",
VLOOKUP($D57,Definitions!$AH:$AM,MATCH($F57,Definitions!$AH$3:$AM$3,0),FALSE)),
"")</f>
        <v/>
      </c>
      <c r="H57" s="10" cm="1">
        <f t="array" aca="1" ref="H57" ca="1">CreateID($H$2,$A57&lt;&gt;"")</f>
        <v>0</v>
      </c>
      <c r="I57" s="9" cm="1">
        <f t="array" aca="1" ref="I57" ca="1">IF(ROW()=ROW($I$2)+1,
1,
INDEX($I:$I,ROW()-1)+IF(INDEX($S:$S,ROW()-1),1,0))</f>
        <v>1</v>
      </c>
      <c r="J57" s="9">
        <f t="shared" ca="1" si="4"/>
        <v>55</v>
      </c>
      <c r="K57" s="9" t="str">
        <f t="shared" ca="1" si="5"/>
        <v/>
      </c>
      <c r="L57" s="9" t="str" cm="1">
        <f t="array" aca="1" ref="L57" ca="1">IF($P57="","",INDEX('Attack Steps'!$A:$A,$P57))</f>
        <v/>
      </c>
      <c r="M57" s="9" t="str" cm="1">
        <f t="array" aca="1" ref="M57" ca="1">IF($P57="","",INDEX('Attack Steps'!$U:$U,$P57))</f>
        <v/>
      </c>
      <c r="N57" s="9" t="str" cm="1">
        <f t="array" aca="1" ref="N57" ca="1">_xlfn.LET(_xlpm._dm,SanitizeInput(GetValuesWithFallback(SanitizeInput($AA57),Assumptions!$A:$J,Countermeasures!$A:$J,"",",",FALSE)),
IF(_xlpm._dm="","",","&amp;_xlpm._dm))</f>
        <v/>
      </c>
      <c r="O57" s="9" t="str" cm="1">
        <f t="array" aca="1" ref="O57" ca="1">ApplyDamageMitigation($M57,$N57,"")</f>
        <v/>
      </c>
      <c r="P57" s="9" t="str">
        <f ca="1">IFERROR(MATCH($I57,'Attack Steps'!$W:$W,0),"")</f>
        <v/>
      </c>
      <c r="Q57" s="9" t="str" cm="1">
        <f t="array" aca="1" ref="Q57" ca="1">IF($P57="","","§"&amp;INDEX('Attack Steps'!$T:$T,$P57))</f>
        <v/>
      </c>
      <c r="R57" s="9" t="str" cm="1">
        <f t="array" aca="1" ref="R57" ca="1">IF($P57="","",INDEX('Attack Steps'!$X:$X,$P57))</f>
        <v/>
      </c>
      <c r="S57" s="9" t="b">
        <f t="shared" ca="1" si="6"/>
        <v>0</v>
      </c>
      <c r="T57" s="9" cm="1">
        <f t="array" aca="1" ref="T57" ca="1">IF($M57="",0,OperateOnList($M57,_xlfn.LAMBDA(_xlpm._x,SimpleLookup(_xlpm._x,'Damage Scenarios'!$A:$U)),_xlfn.LAMBDA(_xlpm._x,_xlpm._y,MAX(_xlpm._x,_xlpm._y))))</f>
        <v>0</v>
      </c>
      <c r="U57" s="9" cm="1">
        <f t="array" aca="1" ref="U57" ca="1">IF($O57="",0,OperateOnList($O57,_xlfn.LAMBDA(_xlpm._x,SimpleLookup(_xlpm._x,'Damage Scenarios'!$A:$U)),_xlfn.LAMBDA(_xlpm._x,_xlpm._y,MAX(_xlpm._x,_xlpm._y))))</f>
        <v>0</v>
      </c>
      <c r="V57" s="9" t="str">
        <f ca="1">IF($U57=0,"",INDEX(Definitions!$Q:$Q,MATCH($U57,Definitions!$R:$R,0)))</f>
        <v/>
      </c>
      <c r="W57" s="9" cm="1">
        <f t="array" aca="1" ref="W57" ca="1">IF($K57="",0,_xlfn.LET(
_xlpm._listOfAttackSteps,$K57,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57" s="9" t="str" cm="1">
        <f t="array" aca="1" ref="X57" ca="1">IF(ROW()=ROW($X$2)+1,"",INDEX($X:$X,ROW()-1))&amp;IF($A57="","",$A57&amp;",")</f>
        <v/>
      </c>
      <c r="Y57" s="9" t="str" cm="1">
        <f t="array" aca="1" ref="Y57" ca="1">CreateSearchString($K57)</f>
        <v/>
      </c>
      <c r="Z57" s="9" cm="1">
        <f t="array" aca="1" ref="Z57" ca="1">IF($G57="",0,SimpleLookup($G57,Definitions!$AE:$AF))</f>
        <v>0</v>
      </c>
      <c r="AA57" s="9" t="str" cm="1">
        <f t="array" aca="1" ref="AA57" ca="1">SanitizeInput(InverseLookup($A57,Mitigation!$U$2,Mitigation!$J$2,1,Helper!$B$5,","))</f>
        <v/>
      </c>
      <c r="AB57" s="9" cm="1">
        <f t="array" aca="1" ref="AB57" ca="1">IF($K57="",0,_xlfn.LET(
_xlpm._listOfAttackStepsAndMitigations,$K57&amp;$AA57,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57" s="9" t="str">
        <f ca="1">IFERROR(VLOOKUP($AB57,Definitions!$V:$W,COLUMNS(Definitions!$V:$W),TRUE),"")</f>
        <v>Basic</v>
      </c>
      <c r="AD57" s="9" t="str">
        <f ca="1">_xlfn.LET(
_xlpm._comments,GetValues($K57,Mitigation!$A:$O,"","",FALSE),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57" s="9" t="str" cm="1">
        <f t="array" aca="1" ref="AE57" ca="1">_xlfn.LET(
_xlpm._rapRange,Definitions!$W:$W,
_xlpm._calculatedRAP,$AC57,
_xlpm._inlineRAP,$AD57,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57" s="9" t="str">
        <f ca="1">IFERROR(IF(OR($V57="",$AE57=""),
Definitions!$AE$4,
VLOOKUP($V57,Definitions!$AH:$AM,MATCH($AE57,Definitions!$AH$3:$AM$3,0),FALSE)),
"")</f>
        <v>No Risk</v>
      </c>
      <c r="AG57" s="9" cm="1">
        <f t="array" aca="1" ref="AG57" ca="1">IF($AF57="",0,SimpleLookup($AF57,Definitions!$AE:$AF))</f>
        <v>0</v>
      </c>
      <c r="AH57" s="9" t="str" cm="1">
        <f t="array" aca="1" ref="AH57" ca="1">IFERROR(SimpleLookup($A57,Tracing!$B:$Z),"")</f>
        <v/>
      </c>
      <c r="AI57" s="9" t="str" cm="1">
        <f t="array" aca="1" ref="AI57" ca="1">_xlfn.LET(_xlpm._dm,SanitizeInput(GetValuesWithFallback(SanitizeInput($AH57),Assumptions!$A:$J,Countermeasures!$A:$J,"",",",FALSE)),
IF(_xlpm._dm="","",","&amp;_xlpm._dm))</f>
        <v/>
      </c>
      <c r="AJ57" s="9" t="str" cm="1">
        <f t="array" aca="1" ref="AJ57" ca="1">ApplyDamageMitigation($M57,$AI57,"")</f>
        <v/>
      </c>
      <c r="AK57" s="9" cm="1">
        <f t="array" aca="1" ref="AK57" ca="1">CalculateMaxFromList($AJ57,0,'Damage Scenarios'!$A:$U)</f>
        <v>0</v>
      </c>
      <c r="AL57" s="9" t="str">
        <f ca="1">IF($AK57=0,"",INDEX(Definitions!$Q:$Q,MATCH($AK57,Definitions!$R:$R,0)))</f>
        <v/>
      </c>
      <c r="AM57" s="9" cm="1">
        <f t="array" aca="1" ref="AM57" ca="1">IF($K57="",0,_xlfn.LET(
_xlpm._listOfAttackStepsAndMitigations,$K57&amp;$AH57,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57" s="9" t="str">
        <f ca="1">IFERROR(VLOOKUP($AM57,Definitions!$V:$W,COLUMNS(Definitions!$V:$W),TRUE),"")</f>
        <v>Basic</v>
      </c>
      <c r="AO57" s="9" t="str">
        <f ca="1">_xlfn.LET(
_xlpm._comments,SimpleLookup($A57,Tracing!$B:$AB),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57" s="9" t="str" cm="1">
        <f t="array" aca="1" ref="AP57" ca="1">_xlfn.LET(
_xlpm._rapRange,Definitions!$W:$W,
_xlpm._calculatedRAP,$AN57,
_xlpm._inlineRAP,$AO57,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57" s="9" t="str">
        <f ca="1">IFERROR(IF(OR($AL57="",$AP57=""),
Definitions!$AE$4,
VLOOKUP($AL57,Definitions!$AH:$AM,MATCH($AP57,Definitions!$AH$3:$AM$3,0),FALSE)),
"")</f>
        <v>No Risk</v>
      </c>
      <c r="AR57" s="9" cm="1">
        <f t="array" aca="1" ref="AR57" ca="1">IF($AQ57="",0,SimpleLookup($AQ57,Definitions!$AE:$AF))</f>
        <v>0</v>
      </c>
      <c r="AS57" s="9" t="b">
        <f ca="1">OR(AND($S57,$I57=Helper!$B$7),$I57&gt;Helper!$B$7)</f>
        <v>1</v>
      </c>
      <c r="AT57" s="9" t="str">
        <f t="shared" ca="1" si="7"/>
        <v/>
      </c>
      <c r="AU57" s="9" cm="1">
        <f t="array" aca="1" ref="AU57" ca="1">CreateID($AU$2,$AT57&lt;&gt;"")</f>
        <v>0</v>
      </c>
      <c r="AV57" s="9" t="str">
        <f ca="1">IF(IFERROR(MATCH(","&amp;A57&amp;",",'Risk Treatment'!$AT:$AT,0)&gt;0,FALSE),"",$A57)</f>
        <v/>
      </c>
      <c r="AW57" s="9" cm="1">
        <f t="array" aca="1" ref="AW57" ca="1">CreateID($AW$2,$AV57&lt;&gt;"")</f>
        <v>0</v>
      </c>
      <c r="AX57" s="9" t="str" cm="1">
        <f t="array" aca="1" ref="AX57" ca="1">CreateSearchString($AA57)</f>
        <v/>
      </c>
    </row>
    <row r="58" spans="1:50" x14ac:dyDescent="0.25">
      <c r="A58" s="13" t="str" cm="1">
        <f t="array" aca="1" ref="A58" ca="1">IF($B58="","","R"&amp;RemoveDelimiter(SUBSTITUTE(SUBSTITUTE($K58,"AS",""),",","-"),"-"))</f>
        <v/>
      </c>
      <c r="B58" s="13" t="str" cm="1">
        <f t="array" aca="1" ref="B58" ca="1">IF($L58="","",_xlfn.LET(
_xlpm._finalAttackStep,$L58,
_xlpm._prepAttacks,RemoveFirstElement(_xlpm._finalAttackStep&amp;","&amp;$K58),
_xlpm._prepAttackNames,IFERROR(LookupNames(_xlpm._prepAttacks,'Attack Steps'!$A:$B),""),
_xlpm._delimiter,REPT(CHAR(150),55),
$L58&amp;" "&amp;SimpleLookup($L58,'Attack Steps'!$A:$B)&amp;
IF(_xlpm._prepAttackNames="","",CHAR(10)&amp;_xlpm._delimiter&amp;CHAR(10)&amp;_xlpm._prepAttackNames)))</f>
        <v/>
      </c>
      <c r="C58" s="16" t="str" cm="1">
        <f t="array" aca="1" ref="C58" ca="1">IFERROR(LookupNames($M58,'Damage Scenarios'!$A:$V),"")</f>
        <v/>
      </c>
      <c r="D58" s="13" t="str">
        <f ca="1">IFERROR(IF($T58=0,"",INDEX(Definitions!$Q:$Q,MATCH($T58,Definitions!$R:$R,0))),"")</f>
        <v/>
      </c>
      <c r="E58" s="16" t="str" cm="1">
        <f t="array" aca="1" ref="E58" ca="1">IF($K58="","",_xlfn.LET(
_xlpm._listOfAttackSteps,$K58,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58" s="13" t="str">
        <f ca="1">IF($A58="","",IFERROR(VLOOKUP($W58,Definitions!$V:$W,COLUMNS(Definitions!$V:$W),TRUE),""))</f>
        <v/>
      </c>
      <c r="G58" s="13" t="str">
        <f ca="1">IFERROR(IF(OR($D58="",$F58=""),
"",
VLOOKUP($D58,Definitions!$AH:$AM,MATCH($F58,Definitions!$AH$3:$AM$3,0),FALSE)),
"")</f>
        <v/>
      </c>
      <c r="H58" s="10" cm="1">
        <f t="array" aca="1" ref="H58" ca="1">CreateID($H$2,$A58&lt;&gt;"")</f>
        <v>0</v>
      </c>
      <c r="I58" s="9" cm="1">
        <f t="array" aca="1" ref="I58" ca="1">IF(ROW()=ROW($I$2)+1,
1,
INDEX($I:$I,ROW()-1)+IF(INDEX($S:$S,ROW()-1),1,0))</f>
        <v>1</v>
      </c>
      <c r="J58" s="9">
        <f t="shared" ca="1" si="4"/>
        <v>56</v>
      </c>
      <c r="K58" s="9" t="str">
        <f t="shared" ca="1" si="5"/>
        <v/>
      </c>
      <c r="L58" s="9" t="str" cm="1">
        <f t="array" aca="1" ref="L58" ca="1">IF($P58="","",INDEX('Attack Steps'!$A:$A,$P58))</f>
        <v/>
      </c>
      <c r="M58" s="9" t="str" cm="1">
        <f t="array" aca="1" ref="M58" ca="1">IF($P58="","",INDEX('Attack Steps'!$U:$U,$P58))</f>
        <v/>
      </c>
      <c r="N58" s="9" t="str" cm="1">
        <f t="array" aca="1" ref="N58" ca="1">_xlfn.LET(_xlpm._dm,SanitizeInput(GetValuesWithFallback(SanitizeInput($AA58),Assumptions!$A:$J,Countermeasures!$A:$J,"",",",FALSE)),
IF(_xlpm._dm="","",","&amp;_xlpm._dm))</f>
        <v/>
      </c>
      <c r="O58" s="9" t="str" cm="1">
        <f t="array" aca="1" ref="O58" ca="1">ApplyDamageMitigation($M58,$N58,"")</f>
        <v/>
      </c>
      <c r="P58" s="9" t="str">
        <f ca="1">IFERROR(MATCH($I58,'Attack Steps'!$W:$W,0),"")</f>
        <v/>
      </c>
      <c r="Q58" s="9" t="str" cm="1">
        <f t="array" aca="1" ref="Q58" ca="1">IF($P58="","","§"&amp;INDEX('Attack Steps'!$T:$T,$P58))</f>
        <v/>
      </c>
      <c r="R58" s="9" t="str" cm="1">
        <f t="array" aca="1" ref="R58" ca="1">IF($P58="","",INDEX('Attack Steps'!$X:$X,$P58))</f>
        <v/>
      </c>
      <c r="S58" s="9" t="b">
        <f t="shared" ca="1" si="6"/>
        <v>0</v>
      </c>
      <c r="T58" s="9" cm="1">
        <f t="array" aca="1" ref="T58" ca="1">IF($M58="",0,OperateOnList($M58,_xlfn.LAMBDA(_xlpm._x,SimpleLookup(_xlpm._x,'Damage Scenarios'!$A:$U)),_xlfn.LAMBDA(_xlpm._x,_xlpm._y,MAX(_xlpm._x,_xlpm._y))))</f>
        <v>0</v>
      </c>
      <c r="U58" s="9" cm="1">
        <f t="array" aca="1" ref="U58" ca="1">IF($O58="",0,OperateOnList($O58,_xlfn.LAMBDA(_xlpm._x,SimpleLookup(_xlpm._x,'Damage Scenarios'!$A:$U)),_xlfn.LAMBDA(_xlpm._x,_xlpm._y,MAX(_xlpm._x,_xlpm._y))))</f>
        <v>0</v>
      </c>
      <c r="V58" s="9" t="str">
        <f ca="1">IF($U58=0,"",INDEX(Definitions!$Q:$Q,MATCH($U58,Definitions!$R:$R,0)))</f>
        <v/>
      </c>
      <c r="W58" s="9" cm="1">
        <f t="array" aca="1" ref="W58" ca="1">IF($K58="",0,_xlfn.LET(
_xlpm._listOfAttackSteps,$K58,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58" s="9" t="str" cm="1">
        <f t="array" aca="1" ref="X58" ca="1">IF(ROW()=ROW($X$2)+1,"",INDEX($X:$X,ROW()-1))&amp;IF($A58="","",$A58&amp;",")</f>
        <v/>
      </c>
      <c r="Y58" s="9" t="str" cm="1">
        <f t="array" aca="1" ref="Y58" ca="1">CreateSearchString($K58)</f>
        <v/>
      </c>
      <c r="Z58" s="9" cm="1">
        <f t="array" aca="1" ref="Z58" ca="1">IF($G58="",0,SimpleLookup($G58,Definitions!$AE:$AF))</f>
        <v>0</v>
      </c>
      <c r="AA58" s="9" t="str" cm="1">
        <f t="array" aca="1" ref="AA58" ca="1">SanitizeInput(InverseLookup($A58,Mitigation!$U$2,Mitigation!$J$2,1,Helper!$B$5,","))</f>
        <v/>
      </c>
      <c r="AB58" s="9" cm="1">
        <f t="array" aca="1" ref="AB58" ca="1">IF($K58="",0,_xlfn.LET(
_xlpm._listOfAttackStepsAndMitigations,$K58&amp;$AA58,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58" s="9" t="str">
        <f ca="1">IFERROR(VLOOKUP($AB58,Definitions!$V:$W,COLUMNS(Definitions!$V:$W),TRUE),"")</f>
        <v>Basic</v>
      </c>
      <c r="AD58" s="9" t="str">
        <f ca="1">_xlfn.LET(
_xlpm._comments,GetValues($K58,Mitigation!$A:$O,"","",FALSE),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58" s="9" t="str" cm="1">
        <f t="array" aca="1" ref="AE58" ca="1">_xlfn.LET(
_xlpm._rapRange,Definitions!$W:$W,
_xlpm._calculatedRAP,$AC58,
_xlpm._inlineRAP,$AD58,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58" s="9" t="str">
        <f ca="1">IFERROR(IF(OR($V58="",$AE58=""),
Definitions!$AE$4,
VLOOKUP($V58,Definitions!$AH:$AM,MATCH($AE58,Definitions!$AH$3:$AM$3,0),FALSE)),
"")</f>
        <v>No Risk</v>
      </c>
      <c r="AG58" s="9" cm="1">
        <f t="array" aca="1" ref="AG58" ca="1">IF($AF58="",0,SimpleLookup($AF58,Definitions!$AE:$AF))</f>
        <v>0</v>
      </c>
      <c r="AH58" s="9" t="str" cm="1">
        <f t="array" aca="1" ref="AH58" ca="1">IFERROR(SimpleLookup($A58,Tracing!$B:$Z),"")</f>
        <v/>
      </c>
      <c r="AI58" s="9" t="str" cm="1">
        <f t="array" aca="1" ref="AI58" ca="1">_xlfn.LET(_xlpm._dm,SanitizeInput(GetValuesWithFallback(SanitizeInput($AH58),Assumptions!$A:$J,Countermeasures!$A:$J,"",",",FALSE)),
IF(_xlpm._dm="","",","&amp;_xlpm._dm))</f>
        <v/>
      </c>
      <c r="AJ58" s="9" t="str" cm="1">
        <f t="array" aca="1" ref="AJ58" ca="1">ApplyDamageMitigation($M58,$AI58,"")</f>
        <v/>
      </c>
      <c r="AK58" s="9" cm="1">
        <f t="array" aca="1" ref="AK58" ca="1">CalculateMaxFromList($AJ58,0,'Damage Scenarios'!$A:$U)</f>
        <v>0</v>
      </c>
      <c r="AL58" s="9" t="str">
        <f ca="1">IF($AK58=0,"",INDEX(Definitions!$Q:$Q,MATCH($AK58,Definitions!$R:$R,0)))</f>
        <v/>
      </c>
      <c r="AM58" s="9" cm="1">
        <f t="array" aca="1" ref="AM58" ca="1">IF($K58="",0,_xlfn.LET(
_xlpm._listOfAttackStepsAndMitigations,$K58&amp;$AH58,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58" s="9" t="str">
        <f ca="1">IFERROR(VLOOKUP($AM58,Definitions!$V:$W,COLUMNS(Definitions!$V:$W),TRUE),"")</f>
        <v>Basic</v>
      </c>
      <c r="AO58" s="9" t="str">
        <f ca="1">_xlfn.LET(
_xlpm._comments,SimpleLookup($A58,Tracing!$B:$AB),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58" s="9" t="str" cm="1">
        <f t="array" aca="1" ref="AP58" ca="1">_xlfn.LET(
_xlpm._rapRange,Definitions!$W:$W,
_xlpm._calculatedRAP,$AN58,
_xlpm._inlineRAP,$AO58,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58" s="9" t="str">
        <f ca="1">IFERROR(IF(OR($AL58="",$AP58=""),
Definitions!$AE$4,
VLOOKUP($AL58,Definitions!$AH:$AM,MATCH($AP58,Definitions!$AH$3:$AM$3,0),FALSE)),
"")</f>
        <v>No Risk</v>
      </c>
      <c r="AR58" s="9" cm="1">
        <f t="array" aca="1" ref="AR58" ca="1">IF($AQ58="",0,SimpleLookup($AQ58,Definitions!$AE:$AF))</f>
        <v>0</v>
      </c>
      <c r="AS58" s="9" t="b">
        <f ca="1">OR(AND($S58,$I58=Helper!$B$7),$I58&gt;Helper!$B$7)</f>
        <v>1</v>
      </c>
      <c r="AT58" s="9" t="str">
        <f t="shared" ca="1" si="7"/>
        <v/>
      </c>
      <c r="AU58" s="9" cm="1">
        <f t="array" aca="1" ref="AU58" ca="1">CreateID($AU$2,$AT58&lt;&gt;"")</f>
        <v>0</v>
      </c>
      <c r="AV58" s="9" t="str">
        <f ca="1">IF(IFERROR(MATCH(","&amp;A58&amp;",",'Risk Treatment'!$AT:$AT,0)&gt;0,FALSE),"",$A58)</f>
        <v/>
      </c>
      <c r="AW58" s="9" cm="1">
        <f t="array" aca="1" ref="AW58" ca="1">CreateID($AW$2,$AV58&lt;&gt;"")</f>
        <v>0</v>
      </c>
      <c r="AX58" s="9" t="str" cm="1">
        <f t="array" aca="1" ref="AX58" ca="1">CreateSearchString($AA58)</f>
        <v/>
      </c>
    </row>
    <row r="59" spans="1:50" x14ac:dyDescent="0.25">
      <c r="A59" s="13" t="str" cm="1">
        <f t="array" aca="1" ref="A59" ca="1">IF($B59="","","R"&amp;RemoveDelimiter(SUBSTITUTE(SUBSTITUTE($K59,"AS",""),",","-"),"-"))</f>
        <v/>
      </c>
      <c r="B59" s="13" t="str" cm="1">
        <f t="array" aca="1" ref="B59" ca="1">IF($L59="","",_xlfn.LET(
_xlpm._finalAttackStep,$L59,
_xlpm._prepAttacks,RemoveFirstElement(_xlpm._finalAttackStep&amp;","&amp;$K59),
_xlpm._prepAttackNames,IFERROR(LookupNames(_xlpm._prepAttacks,'Attack Steps'!$A:$B),""),
_xlpm._delimiter,REPT(CHAR(150),55),
$L59&amp;" "&amp;SimpleLookup($L59,'Attack Steps'!$A:$B)&amp;
IF(_xlpm._prepAttackNames="","",CHAR(10)&amp;_xlpm._delimiter&amp;CHAR(10)&amp;_xlpm._prepAttackNames)))</f>
        <v/>
      </c>
      <c r="C59" s="16" t="str" cm="1">
        <f t="array" aca="1" ref="C59" ca="1">IFERROR(LookupNames($M59,'Damage Scenarios'!$A:$V),"")</f>
        <v/>
      </c>
      <c r="D59" s="13" t="str">
        <f ca="1">IFERROR(IF($T59=0,"",INDEX(Definitions!$Q:$Q,MATCH($T59,Definitions!$R:$R,0))),"")</f>
        <v/>
      </c>
      <c r="E59" s="16" t="str" cm="1">
        <f t="array" aca="1" ref="E59" ca="1">IF($K59="","",_xlfn.LET(
_xlpm._listOfAttackSteps,$K59,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59" s="13" t="str">
        <f ca="1">IF($A59="","",IFERROR(VLOOKUP($W59,Definitions!$V:$W,COLUMNS(Definitions!$V:$W),TRUE),""))</f>
        <v/>
      </c>
      <c r="G59" s="13" t="str">
        <f ca="1">IFERROR(IF(OR($D59="",$F59=""),
"",
VLOOKUP($D59,Definitions!$AH:$AM,MATCH($F59,Definitions!$AH$3:$AM$3,0),FALSE)),
"")</f>
        <v/>
      </c>
      <c r="H59" s="10" cm="1">
        <f t="array" aca="1" ref="H59" ca="1">CreateID($H$2,$A59&lt;&gt;"")</f>
        <v>0</v>
      </c>
      <c r="I59" s="9" cm="1">
        <f t="array" aca="1" ref="I59" ca="1">IF(ROW()=ROW($I$2)+1,
1,
INDEX($I:$I,ROW()-1)+IF(INDEX($S:$S,ROW()-1),1,0))</f>
        <v>1</v>
      </c>
      <c r="J59" s="9">
        <f t="shared" ca="1" si="4"/>
        <v>57</v>
      </c>
      <c r="K59" s="9" t="str">
        <f t="shared" ca="1" si="5"/>
        <v/>
      </c>
      <c r="L59" s="9" t="str" cm="1">
        <f t="array" aca="1" ref="L59" ca="1">IF($P59="","",INDEX('Attack Steps'!$A:$A,$P59))</f>
        <v/>
      </c>
      <c r="M59" s="9" t="str" cm="1">
        <f t="array" aca="1" ref="M59" ca="1">IF($P59="","",INDEX('Attack Steps'!$U:$U,$P59))</f>
        <v/>
      </c>
      <c r="N59" s="9" t="str" cm="1">
        <f t="array" aca="1" ref="N59" ca="1">_xlfn.LET(_xlpm._dm,SanitizeInput(GetValuesWithFallback(SanitizeInput($AA59),Assumptions!$A:$J,Countermeasures!$A:$J,"",",",FALSE)),
IF(_xlpm._dm="","",","&amp;_xlpm._dm))</f>
        <v/>
      </c>
      <c r="O59" s="9" t="str" cm="1">
        <f t="array" aca="1" ref="O59" ca="1">ApplyDamageMitigation($M59,$N59,"")</f>
        <v/>
      </c>
      <c r="P59" s="9" t="str">
        <f ca="1">IFERROR(MATCH($I59,'Attack Steps'!$W:$W,0),"")</f>
        <v/>
      </c>
      <c r="Q59" s="9" t="str" cm="1">
        <f t="array" aca="1" ref="Q59" ca="1">IF($P59="","","§"&amp;INDEX('Attack Steps'!$T:$T,$P59))</f>
        <v/>
      </c>
      <c r="R59" s="9" t="str" cm="1">
        <f t="array" aca="1" ref="R59" ca="1">IF($P59="","",INDEX('Attack Steps'!$X:$X,$P59))</f>
        <v/>
      </c>
      <c r="S59" s="9" t="b">
        <f t="shared" ca="1" si="6"/>
        <v>0</v>
      </c>
      <c r="T59" s="9" cm="1">
        <f t="array" aca="1" ref="T59" ca="1">IF($M59="",0,OperateOnList($M59,_xlfn.LAMBDA(_xlpm._x,SimpleLookup(_xlpm._x,'Damage Scenarios'!$A:$U)),_xlfn.LAMBDA(_xlpm._x,_xlpm._y,MAX(_xlpm._x,_xlpm._y))))</f>
        <v>0</v>
      </c>
      <c r="U59" s="9" cm="1">
        <f t="array" aca="1" ref="U59" ca="1">IF($O59="",0,OperateOnList($O59,_xlfn.LAMBDA(_xlpm._x,SimpleLookup(_xlpm._x,'Damage Scenarios'!$A:$U)),_xlfn.LAMBDA(_xlpm._x,_xlpm._y,MAX(_xlpm._x,_xlpm._y))))</f>
        <v>0</v>
      </c>
      <c r="V59" s="9" t="str">
        <f ca="1">IF($U59=0,"",INDEX(Definitions!$Q:$Q,MATCH($U59,Definitions!$R:$R,0)))</f>
        <v/>
      </c>
      <c r="W59" s="9" cm="1">
        <f t="array" aca="1" ref="W59" ca="1">IF($K59="",0,_xlfn.LET(
_xlpm._listOfAttackSteps,$K59,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59" s="9" t="str" cm="1">
        <f t="array" aca="1" ref="X59" ca="1">IF(ROW()=ROW($X$2)+1,"",INDEX($X:$X,ROW()-1))&amp;IF($A59="","",$A59&amp;",")</f>
        <v/>
      </c>
      <c r="Y59" s="9" t="str" cm="1">
        <f t="array" aca="1" ref="Y59" ca="1">CreateSearchString($K59)</f>
        <v/>
      </c>
      <c r="Z59" s="9" cm="1">
        <f t="array" aca="1" ref="Z59" ca="1">IF($G59="",0,SimpleLookup($G59,Definitions!$AE:$AF))</f>
        <v>0</v>
      </c>
      <c r="AA59" s="9" t="str" cm="1">
        <f t="array" aca="1" ref="AA59" ca="1">SanitizeInput(InverseLookup($A59,Mitigation!$U$2,Mitigation!$J$2,1,Helper!$B$5,","))</f>
        <v/>
      </c>
      <c r="AB59" s="9" cm="1">
        <f t="array" aca="1" ref="AB59" ca="1">IF($K59="",0,_xlfn.LET(
_xlpm._listOfAttackStepsAndMitigations,$K59&amp;$AA59,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59" s="9" t="str">
        <f ca="1">IFERROR(VLOOKUP($AB59,Definitions!$V:$W,COLUMNS(Definitions!$V:$W),TRUE),"")</f>
        <v>Basic</v>
      </c>
      <c r="AD59" s="9" t="str">
        <f ca="1">_xlfn.LET(
_xlpm._comments,GetValues($K59,Mitigation!$A:$O,"","",FALSE),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59" s="9" t="str" cm="1">
        <f t="array" aca="1" ref="AE59" ca="1">_xlfn.LET(
_xlpm._rapRange,Definitions!$W:$W,
_xlpm._calculatedRAP,$AC59,
_xlpm._inlineRAP,$AD59,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59" s="9" t="str">
        <f ca="1">IFERROR(IF(OR($V59="",$AE59=""),
Definitions!$AE$4,
VLOOKUP($V59,Definitions!$AH:$AM,MATCH($AE59,Definitions!$AH$3:$AM$3,0),FALSE)),
"")</f>
        <v>No Risk</v>
      </c>
      <c r="AG59" s="9" cm="1">
        <f t="array" aca="1" ref="AG59" ca="1">IF($AF59="",0,SimpleLookup($AF59,Definitions!$AE:$AF))</f>
        <v>0</v>
      </c>
      <c r="AH59" s="9" t="str" cm="1">
        <f t="array" aca="1" ref="AH59" ca="1">IFERROR(SimpleLookup($A59,Tracing!$B:$Z),"")</f>
        <v/>
      </c>
      <c r="AI59" s="9" t="str" cm="1">
        <f t="array" aca="1" ref="AI59" ca="1">_xlfn.LET(_xlpm._dm,SanitizeInput(GetValuesWithFallback(SanitizeInput($AH59),Assumptions!$A:$J,Countermeasures!$A:$J,"",",",FALSE)),
IF(_xlpm._dm="","",","&amp;_xlpm._dm))</f>
        <v/>
      </c>
      <c r="AJ59" s="9" t="str" cm="1">
        <f t="array" aca="1" ref="AJ59" ca="1">ApplyDamageMitigation($M59,$AI59,"")</f>
        <v/>
      </c>
      <c r="AK59" s="9" cm="1">
        <f t="array" aca="1" ref="AK59" ca="1">CalculateMaxFromList($AJ59,0,'Damage Scenarios'!$A:$U)</f>
        <v>0</v>
      </c>
      <c r="AL59" s="9" t="str">
        <f ca="1">IF($AK59=0,"",INDEX(Definitions!$Q:$Q,MATCH($AK59,Definitions!$R:$R,0)))</f>
        <v/>
      </c>
      <c r="AM59" s="9" cm="1">
        <f t="array" aca="1" ref="AM59" ca="1">IF($K59="",0,_xlfn.LET(
_xlpm._listOfAttackStepsAndMitigations,$K59&amp;$AH59,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59" s="9" t="str">
        <f ca="1">IFERROR(VLOOKUP($AM59,Definitions!$V:$W,COLUMNS(Definitions!$V:$W),TRUE),"")</f>
        <v>Basic</v>
      </c>
      <c r="AO59" s="9" t="str">
        <f ca="1">_xlfn.LET(
_xlpm._comments,SimpleLookup($A59,Tracing!$B:$AB),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59" s="9" t="str" cm="1">
        <f t="array" aca="1" ref="AP59" ca="1">_xlfn.LET(
_xlpm._rapRange,Definitions!$W:$W,
_xlpm._calculatedRAP,$AN59,
_xlpm._inlineRAP,$AO59,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59" s="9" t="str">
        <f ca="1">IFERROR(IF(OR($AL59="",$AP59=""),
Definitions!$AE$4,
VLOOKUP($AL59,Definitions!$AH:$AM,MATCH($AP59,Definitions!$AH$3:$AM$3,0),FALSE)),
"")</f>
        <v>No Risk</v>
      </c>
      <c r="AR59" s="9" cm="1">
        <f t="array" aca="1" ref="AR59" ca="1">IF($AQ59="",0,SimpleLookup($AQ59,Definitions!$AE:$AF))</f>
        <v>0</v>
      </c>
      <c r="AS59" s="9" t="b">
        <f ca="1">OR(AND($S59,$I59=Helper!$B$7),$I59&gt;Helper!$B$7)</f>
        <v>1</v>
      </c>
      <c r="AT59" s="9" t="str">
        <f t="shared" ca="1" si="7"/>
        <v/>
      </c>
      <c r="AU59" s="9" cm="1">
        <f t="array" aca="1" ref="AU59" ca="1">CreateID($AU$2,$AT59&lt;&gt;"")</f>
        <v>0</v>
      </c>
      <c r="AV59" s="9" t="str">
        <f ca="1">IF(IFERROR(MATCH(","&amp;A59&amp;",",'Risk Treatment'!$AT:$AT,0)&gt;0,FALSE),"",$A59)</f>
        <v/>
      </c>
      <c r="AW59" s="9" cm="1">
        <f t="array" aca="1" ref="AW59" ca="1">CreateID($AW$2,$AV59&lt;&gt;"")</f>
        <v>0</v>
      </c>
      <c r="AX59" s="9" t="str" cm="1">
        <f t="array" aca="1" ref="AX59" ca="1">CreateSearchString($AA59)</f>
        <v/>
      </c>
    </row>
    <row r="60" spans="1:50" x14ac:dyDescent="0.25">
      <c r="A60" s="13" t="str" cm="1">
        <f t="array" aca="1" ref="A60" ca="1">IF($B60="","","R"&amp;RemoveDelimiter(SUBSTITUTE(SUBSTITUTE($K60,"AS",""),",","-"),"-"))</f>
        <v/>
      </c>
      <c r="B60" s="13" t="str" cm="1">
        <f t="array" aca="1" ref="B60" ca="1">IF($L60="","",_xlfn.LET(
_xlpm._finalAttackStep,$L60,
_xlpm._prepAttacks,RemoveFirstElement(_xlpm._finalAttackStep&amp;","&amp;$K60),
_xlpm._prepAttackNames,IFERROR(LookupNames(_xlpm._prepAttacks,'Attack Steps'!$A:$B),""),
_xlpm._delimiter,REPT(CHAR(150),55),
$L60&amp;" "&amp;SimpleLookup($L60,'Attack Steps'!$A:$B)&amp;
IF(_xlpm._prepAttackNames="","",CHAR(10)&amp;_xlpm._delimiter&amp;CHAR(10)&amp;_xlpm._prepAttackNames)))</f>
        <v/>
      </c>
      <c r="C60" s="16" t="str" cm="1">
        <f t="array" aca="1" ref="C60" ca="1">IFERROR(LookupNames($M60,'Damage Scenarios'!$A:$V),"")</f>
        <v/>
      </c>
      <c r="D60" s="13" t="str">
        <f ca="1">IFERROR(IF($T60=0,"",INDEX(Definitions!$Q:$Q,MATCH($T60,Definitions!$R:$R,0))),"")</f>
        <v/>
      </c>
      <c r="E60" s="16" t="str" cm="1">
        <f t="array" aca="1" ref="E60" ca="1">IF($K60="","",_xlfn.LET(
_xlpm._listOfAttackSteps,$K60,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60" s="13" t="str">
        <f ca="1">IF($A60="","",IFERROR(VLOOKUP($W60,Definitions!$V:$W,COLUMNS(Definitions!$V:$W),TRUE),""))</f>
        <v/>
      </c>
      <c r="G60" s="13" t="str">
        <f ca="1">IFERROR(IF(OR($D60="",$F60=""),
"",
VLOOKUP($D60,Definitions!$AH:$AM,MATCH($F60,Definitions!$AH$3:$AM$3,0),FALSE)),
"")</f>
        <v/>
      </c>
      <c r="H60" s="10" cm="1">
        <f t="array" aca="1" ref="H60" ca="1">CreateID($H$2,$A60&lt;&gt;"")</f>
        <v>0</v>
      </c>
      <c r="I60" s="9" cm="1">
        <f t="array" aca="1" ref="I60" ca="1">IF(ROW()=ROW($I$2)+1,
1,
INDEX($I:$I,ROW()-1)+IF(INDEX($S:$S,ROW()-1),1,0))</f>
        <v>1</v>
      </c>
      <c r="J60" s="9">
        <f t="shared" ca="1" si="4"/>
        <v>58</v>
      </c>
      <c r="K60" s="9" t="str">
        <f t="shared" ca="1" si="5"/>
        <v/>
      </c>
      <c r="L60" s="9" t="str" cm="1">
        <f t="array" aca="1" ref="L60" ca="1">IF($P60="","",INDEX('Attack Steps'!$A:$A,$P60))</f>
        <v/>
      </c>
      <c r="M60" s="9" t="str" cm="1">
        <f t="array" aca="1" ref="M60" ca="1">IF($P60="","",INDEX('Attack Steps'!$U:$U,$P60))</f>
        <v/>
      </c>
      <c r="N60" s="9" t="str" cm="1">
        <f t="array" aca="1" ref="N60" ca="1">_xlfn.LET(_xlpm._dm,SanitizeInput(GetValuesWithFallback(SanitizeInput($AA60),Assumptions!$A:$J,Countermeasures!$A:$J,"",",",FALSE)),
IF(_xlpm._dm="","",","&amp;_xlpm._dm))</f>
        <v/>
      </c>
      <c r="O60" s="9" t="str" cm="1">
        <f t="array" aca="1" ref="O60" ca="1">ApplyDamageMitigation($M60,$N60,"")</f>
        <v/>
      </c>
      <c r="P60" s="9" t="str">
        <f ca="1">IFERROR(MATCH($I60,'Attack Steps'!$W:$W,0),"")</f>
        <v/>
      </c>
      <c r="Q60" s="9" t="str" cm="1">
        <f t="array" aca="1" ref="Q60" ca="1">IF($P60="","","§"&amp;INDEX('Attack Steps'!$T:$T,$P60))</f>
        <v/>
      </c>
      <c r="R60" s="9" t="str" cm="1">
        <f t="array" aca="1" ref="R60" ca="1">IF($P60="","",INDEX('Attack Steps'!$X:$X,$P60))</f>
        <v/>
      </c>
      <c r="S60" s="9" t="b">
        <f t="shared" ca="1" si="6"/>
        <v>0</v>
      </c>
      <c r="T60" s="9" cm="1">
        <f t="array" aca="1" ref="T60" ca="1">IF($M60="",0,OperateOnList($M60,_xlfn.LAMBDA(_xlpm._x,SimpleLookup(_xlpm._x,'Damage Scenarios'!$A:$U)),_xlfn.LAMBDA(_xlpm._x,_xlpm._y,MAX(_xlpm._x,_xlpm._y))))</f>
        <v>0</v>
      </c>
      <c r="U60" s="9" cm="1">
        <f t="array" aca="1" ref="U60" ca="1">IF($O60="",0,OperateOnList($O60,_xlfn.LAMBDA(_xlpm._x,SimpleLookup(_xlpm._x,'Damage Scenarios'!$A:$U)),_xlfn.LAMBDA(_xlpm._x,_xlpm._y,MAX(_xlpm._x,_xlpm._y))))</f>
        <v>0</v>
      </c>
      <c r="V60" s="9" t="str">
        <f ca="1">IF($U60=0,"",INDEX(Definitions!$Q:$Q,MATCH($U60,Definitions!$R:$R,0)))</f>
        <v/>
      </c>
      <c r="W60" s="9" cm="1">
        <f t="array" aca="1" ref="W60" ca="1">IF($K60="",0,_xlfn.LET(
_xlpm._listOfAttackSteps,$K60,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60" s="9" t="str" cm="1">
        <f t="array" aca="1" ref="X60" ca="1">IF(ROW()=ROW($X$2)+1,"",INDEX($X:$X,ROW()-1))&amp;IF($A60="","",$A60&amp;",")</f>
        <v/>
      </c>
      <c r="Y60" s="9" t="str" cm="1">
        <f t="array" aca="1" ref="Y60" ca="1">CreateSearchString($K60)</f>
        <v/>
      </c>
      <c r="Z60" s="9" cm="1">
        <f t="array" aca="1" ref="Z60" ca="1">IF($G60="",0,SimpleLookup($G60,Definitions!$AE:$AF))</f>
        <v>0</v>
      </c>
      <c r="AA60" s="9" t="str" cm="1">
        <f t="array" aca="1" ref="AA60" ca="1">SanitizeInput(InverseLookup($A60,Mitigation!$U$2,Mitigation!$J$2,1,Helper!$B$5,","))</f>
        <v/>
      </c>
      <c r="AB60" s="9" cm="1">
        <f t="array" aca="1" ref="AB60" ca="1">IF($K60="",0,_xlfn.LET(
_xlpm._listOfAttackStepsAndMitigations,$K60&amp;$AA60,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60" s="9" t="str">
        <f ca="1">IFERROR(VLOOKUP($AB60,Definitions!$V:$W,COLUMNS(Definitions!$V:$W),TRUE),"")</f>
        <v>Basic</v>
      </c>
      <c r="AD60" s="9" t="str">
        <f ca="1">_xlfn.LET(
_xlpm._comments,GetValues($K60,Mitigation!$A:$O,"","",FALSE),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60" s="9" t="str" cm="1">
        <f t="array" aca="1" ref="AE60" ca="1">_xlfn.LET(
_xlpm._rapRange,Definitions!$W:$W,
_xlpm._calculatedRAP,$AC60,
_xlpm._inlineRAP,$AD60,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60" s="9" t="str">
        <f ca="1">IFERROR(IF(OR($V60="",$AE60=""),
Definitions!$AE$4,
VLOOKUP($V60,Definitions!$AH:$AM,MATCH($AE60,Definitions!$AH$3:$AM$3,0),FALSE)),
"")</f>
        <v>No Risk</v>
      </c>
      <c r="AG60" s="9" cm="1">
        <f t="array" aca="1" ref="AG60" ca="1">IF($AF60="",0,SimpleLookup($AF60,Definitions!$AE:$AF))</f>
        <v>0</v>
      </c>
      <c r="AH60" s="9" t="str" cm="1">
        <f t="array" aca="1" ref="AH60" ca="1">IFERROR(SimpleLookup($A60,Tracing!$B:$Z),"")</f>
        <v/>
      </c>
      <c r="AI60" s="9" t="str" cm="1">
        <f t="array" aca="1" ref="AI60" ca="1">_xlfn.LET(_xlpm._dm,SanitizeInput(GetValuesWithFallback(SanitizeInput($AH60),Assumptions!$A:$J,Countermeasures!$A:$J,"",",",FALSE)),
IF(_xlpm._dm="","",","&amp;_xlpm._dm))</f>
        <v/>
      </c>
      <c r="AJ60" s="9" t="str" cm="1">
        <f t="array" aca="1" ref="AJ60" ca="1">ApplyDamageMitigation($M60,$AI60,"")</f>
        <v/>
      </c>
      <c r="AK60" s="9" cm="1">
        <f t="array" aca="1" ref="AK60" ca="1">CalculateMaxFromList($AJ60,0,'Damage Scenarios'!$A:$U)</f>
        <v>0</v>
      </c>
      <c r="AL60" s="9" t="str">
        <f ca="1">IF($AK60=0,"",INDEX(Definitions!$Q:$Q,MATCH($AK60,Definitions!$R:$R,0)))</f>
        <v/>
      </c>
      <c r="AM60" s="9" cm="1">
        <f t="array" aca="1" ref="AM60" ca="1">IF($K60="",0,_xlfn.LET(
_xlpm._listOfAttackStepsAndMitigations,$K60&amp;$AH60,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60" s="9" t="str">
        <f ca="1">IFERROR(VLOOKUP($AM60,Definitions!$V:$W,COLUMNS(Definitions!$V:$W),TRUE),"")</f>
        <v>Basic</v>
      </c>
      <c r="AO60" s="9" t="str">
        <f ca="1">_xlfn.LET(
_xlpm._comments,SimpleLookup($A60,Tracing!$B:$AB),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60" s="9" t="str" cm="1">
        <f t="array" aca="1" ref="AP60" ca="1">_xlfn.LET(
_xlpm._rapRange,Definitions!$W:$W,
_xlpm._calculatedRAP,$AN60,
_xlpm._inlineRAP,$AO60,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60" s="9" t="str">
        <f ca="1">IFERROR(IF(OR($AL60="",$AP60=""),
Definitions!$AE$4,
VLOOKUP($AL60,Definitions!$AH:$AM,MATCH($AP60,Definitions!$AH$3:$AM$3,0),FALSE)),
"")</f>
        <v>No Risk</v>
      </c>
      <c r="AR60" s="9" cm="1">
        <f t="array" aca="1" ref="AR60" ca="1">IF($AQ60="",0,SimpleLookup($AQ60,Definitions!$AE:$AF))</f>
        <v>0</v>
      </c>
      <c r="AS60" s="9" t="b">
        <f ca="1">OR(AND($S60,$I60=Helper!$B$7),$I60&gt;Helper!$B$7)</f>
        <v>1</v>
      </c>
      <c r="AT60" s="9" t="str">
        <f t="shared" ca="1" si="7"/>
        <v/>
      </c>
      <c r="AU60" s="9" cm="1">
        <f t="array" aca="1" ref="AU60" ca="1">CreateID($AU$2,$AT60&lt;&gt;"")</f>
        <v>0</v>
      </c>
      <c r="AV60" s="9" t="str">
        <f ca="1">IF(IFERROR(MATCH(","&amp;A60&amp;",",'Risk Treatment'!$AT:$AT,0)&gt;0,FALSE),"",$A60)</f>
        <v/>
      </c>
      <c r="AW60" s="9" cm="1">
        <f t="array" aca="1" ref="AW60" ca="1">CreateID($AW$2,$AV60&lt;&gt;"")</f>
        <v>0</v>
      </c>
      <c r="AX60" s="9" t="str" cm="1">
        <f t="array" aca="1" ref="AX60" ca="1">CreateSearchString($AA60)</f>
        <v/>
      </c>
    </row>
    <row r="61" spans="1:50" x14ac:dyDescent="0.25">
      <c r="A61" s="13" t="str" cm="1">
        <f t="array" aca="1" ref="A61" ca="1">IF($B61="","","R"&amp;RemoveDelimiter(SUBSTITUTE(SUBSTITUTE($K61,"AS",""),",","-"),"-"))</f>
        <v/>
      </c>
      <c r="B61" s="13" t="str" cm="1">
        <f t="array" aca="1" ref="B61" ca="1">IF($L61="","",_xlfn.LET(
_xlpm._finalAttackStep,$L61,
_xlpm._prepAttacks,RemoveFirstElement(_xlpm._finalAttackStep&amp;","&amp;$K61),
_xlpm._prepAttackNames,IFERROR(LookupNames(_xlpm._prepAttacks,'Attack Steps'!$A:$B),""),
_xlpm._delimiter,REPT(CHAR(150),55),
$L61&amp;" "&amp;SimpleLookup($L61,'Attack Steps'!$A:$B)&amp;
IF(_xlpm._prepAttackNames="","",CHAR(10)&amp;_xlpm._delimiter&amp;CHAR(10)&amp;_xlpm._prepAttackNames)))</f>
        <v/>
      </c>
      <c r="C61" s="16" t="str" cm="1">
        <f t="array" aca="1" ref="C61" ca="1">IFERROR(LookupNames($M61,'Damage Scenarios'!$A:$V),"")</f>
        <v/>
      </c>
      <c r="D61" s="13" t="str">
        <f ca="1">IFERROR(IF($T61=0,"",INDEX(Definitions!$Q:$Q,MATCH($T61,Definitions!$R:$R,0))),"")</f>
        <v/>
      </c>
      <c r="E61" s="16" t="str" cm="1">
        <f t="array" aca="1" ref="E61" ca="1">IF($K61="","",_xlfn.LET(
_xlpm._listOfAttackSteps,$K61,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61" s="13" t="str">
        <f ca="1">IF($A61="","",IFERROR(VLOOKUP($W61,Definitions!$V:$W,COLUMNS(Definitions!$V:$W),TRUE),""))</f>
        <v/>
      </c>
      <c r="G61" s="13" t="str">
        <f ca="1">IFERROR(IF(OR($D61="",$F61=""),
"",
VLOOKUP($D61,Definitions!$AH:$AM,MATCH($F61,Definitions!$AH$3:$AM$3,0),FALSE)),
"")</f>
        <v/>
      </c>
      <c r="H61" s="10" cm="1">
        <f t="array" aca="1" ref="H61" ca="1">CreateID($H$2,$A61&lt;&gt;"")</f>
        <v>0</v>
      </c>
      <c r="I61" s="9" cm="1">
        <f t="array" aca="1" ref="I61" ca="1">IF(ROW()=ROW($I$2)+1,
1,
INDEX($I:$I,ROW()-1)+IF(INDEX($S:$S,ROW()-1),1,0))</f>
        <v>1</v>
      </c>
      <c r="J61" s="9">
        <f t="shared" ca="1" si="4"/>
        <v>59</v>
      </c>
      <c r="K61" s="9" t="str">
        <f t="shared" ca="1" si="5"/>
        <v/>
      </c>
      <c r="L61" s="9" t="str" cm="1">
        <f t="array" aca="1" ref="L61" ca="1">IF($P61="","",INDEX('Attack Steps'!$A:$A,$P61))</f>
        <v/>
      </c>
      <c r="M61" s="9" t="str" cm="1">
        <f t="array" aca="1" ref="M61" ca="1">IF($P61="","",INDEX('Attack Steps'!$U:$U,$P61))</f>
        <v/>
      </c>
      <c r="N61" s="9" t="str" cm="1">
        <f t="array" aca="1" ref="N61" ca="1">_xlfn.LET(_xlpm._dm,SanitizeInput(GetValuesWithFallback(SanitizeInput($AA61),Assumptions!$A:$J,Countermeasures!$A:$J,"",",",FALSE)),
IF(_xlpm._dm="","",","&amp;_xlpm._dm))</f>
        <v/>
      </c>
      <c r="O61" s="9" t="str" cm="1">
        <f t="array" aca="1" ref="O61" ca="1">ApplyDamageMitigation($M61,$N61,"")</f>
        <v/>
      </c>
      <c r="P61" s="9" t="str">
        <f ca="1">IFERROR(MATCH($I61,'Attack Steps'!$W:$W,0),"")</f>
        <v/>
      </c>
      <c r="Q61" s="9" t="str" cm="1">
        <f t="array" aca="1" ref="Q61" ca="1">IF($P61="","","§"&amp;INDEX('Attack Steps'!$T:$T,$P61))</f>
        <v/>
      </c>
      <c r="R61" s="9" t="str" cm="1">
        <f t="array" aca="1" ref="R61" ca="1">IF($P61="","",INDEX('Attack Steps'!$X:$X,$P61))</f>
        <v/>
      </c>
      <c r="S61" s="9" t="b">
        <f t="shared" ca="1" si="6"/>
        <v>0</v>
      </c>
      <c r="T61" s="9" cm="1">
        <f t="array" aca="1" ref="T61" ca="1">IF($M61="",0,OperateOnList($M61,_xlfn.LAMBDA(_xlpm._x,SimpleLookup(_xlpm._x,'Damage Scenarios'!$A:$U)),_xlfn.LAMBDA(_xlpm._x,_xlpm._y,MAX(_xlpm._x,_xlpm._y))))</f>
        <v>0</v>
      </c>
      <c r="U61" s="9" cm="1">
        <f t="array" aca="1" ref="U61" ca="1">IF($O61="",0,OperateOnList($O61,_xlfn.LAMBDA(_xlpm._x,SimpleLookup(_xlpm._x,'Damage Scenarios'!$A:$U)),_xlfn.LAMBDA(_xlpm._x,_xlpm._y,MAX(_xlpm._x,_xlpm._y))))</f>
        <v>0</v>
      </c>
      <c r="V61" s="9" t="str">
        <f ca="1">IF($U61=0,"",INDEX(Definitions!$Q:$Q,MATCH($U61,Definitions!$R:$R,0)))</f>
        <v/>
      </c>
      <c r="W61" s="9" cm="1">
        <f t="array" aca="1" ref="W61" ca="1">IF($K61="",0,_xlfn.LET(
_xlpm._listOfAttackSteps,$K61,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61" s="9" t="str" cm="1">
        <f t="array" aca="1" ref="X61" ca="1">IF(ROW()=ROW($X$2)+1,"",INDEX($X:$X,ROW()-1))&amp;IF($A61="","",$A61&amp;",")</f>
        <v/>
      </c>
      <c r="Y61" s="9" t="str" cm="1">
        <f t="array" aca="1" ref="Y61" ca="1">CreateSearchString($K61)</f>
        <v/>
      </c>
      <c r="Z61" s="9" cm="1">
        <f t="array" aca="1" ref="Z61" ca="1">IF($G61="",0,SimpleLookup($G61,Definitions!$AE:$AF))</f>
        <v>0</v>
      </c>
      <c r="AA61" s="9" t="str" cm="1">
        <f t="array" aca="1" ref="AA61" ca="1">SanitizeInput(InverseLookup($A61,Mitigation!$U$2,Mitigation!$J$2,1,Helper!$B$5,","))</f>
        <v/>
      </c>
      <c r="AB61" s="9" cm="1">
        <f t="array" aca="1" ref="AB61" ca="1">IF($K61="",0,_xlfn.LET(
_xlpm._listOfAttackStepsAndMitigations,$K61&amp;$AA61,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61" s="9" t="str">
        <f ca="1">IFERROR(VLOOKUP($AB61,Definitions!$V:$W,COLUMNS(Definitions!$V:$W),TRUE),"")</f>
        <v>Basic</v>
      </c>
      <c r="AD61" s="9" t="str">
        <f ca="1">_xlfn.LET(
_xlpm._comments,GetValues($K61,Mitigation!$A:$O,"","",FALSE),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61" s="9" t="str" cm="1">
        <f t="array" aca="1" ref="AE61" ca="1">_xlfn.LET(
_xlpm._rapRange,Definitions!$W:$W,
_xlpm._calculatedRAP,$AC61,
_xlpm._inlineRAP,$AD61,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61" s="9" t="str">
        <f ca="1">IFERROR(IF(OR($V61="",$AE61=""),
Definitions!$AE$4,
VLOOKUP($V61,Definitions!$AH:$AM,MATCH($AE61,Definitions!$AH$3:$AM$3,0),FALSE)),
"")</f>
        <v>No Risk</v>
      </c>
      <c r="AG61" s="9" cm="1">
        <f t="array" aca="1" ref="AG61" ca="1">IF($AF61="",0,SimpleLookup($AF61,Definitions!$AE:$AF))</f>
        <v>0</v>
      </c>
      <c r="AH61" s="9" t="str" cm="1">
        <f t="array" aca="1" ref="AH61" ca="1">IFERROR(SimpleLookup($A61,Tracing!$B:$Z),"")</f>
        <v/>
      </c>
      <c r="AI61" s="9" t="str" cm="1">
        <f t="array" aca="1" ref="AI61" ca="1">_xlfn.LET(_xlpm._dm,SanitizeInput(GetValuesWithFallback(SanitizeInput($AH61),Assumptions!$A:$J,Countermeasures!$A:$J,"",",",FALSE)),
IF(_xlpm._dm="","",","&amp;_xlpm._dm))</f>
        <v/>
      </c>
      <c r="AJ61" s="9" t="str" cm="1">
        <f t="array" aca="1" ref="AJ61" ca="1">ApplyDamageMitigation($M61,$AI61,"")</f>
        <v/>
      </c>
      <c r="AK61" s="9" cm="1">
        <f t="array" aca="1" ref="AK61" ca="1">CalculateMaxFromList($AJ61,0,'Damage Scenarios'!$A:$U)</f>
        <v>0</v>
      </c>
      <c r="AL61" s="9" t="str">
        <f ca="1">IF($AK61=0,"",INDEX(Definitions!$Q:$Q,MATCH($AK61,Definitions!$R:$R,0)))</f>
        <v/>
      </c>
      <c r="AM61" s="9" cm="1">
        <f t="array" aca="1" ref="AM61" ca="1">IF($K61="",0,_xlfn.LET(
_xlpm._listOfAttackStepsAndMitigations,$K61&amp;$AH61,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61" s="9" t="str">
        <f ca="1">IFERROR(VLOOKUP($AM61,Definitions!$V:$W,COLUMNS(Definitions!$V:$W),TRUE),"")</f>
        <v>Basic</v>
      </c>
      <c r="AO61" s="9" t="str">
        <f ca="1">_xlfn.LET(
_xlpm._comments,SimpleLookup($A61,Tracing!$B:$AB),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61" s="9" t="str" cm="1">
        <f t="array" aca="1" ref="AP61" ca="1">_xlfn.LET(
_xlpm._rapRange,Definitions!$W:$W,
_xlpm._calculatedRAP,$AN61,
_xlpm._inlineRAP,$AO61,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61" s="9" t="str">
        <f ca="1">IFERROR(IF(OR($AL61="",$AP61=""),
Definitions!$AE$4,
VLOOKUP($AL61,Definitions!$AH:$AM,MATCH($AP61,Definitions!$AH$3:$AM$3,0),FALSE)),
"")</f>
        <v>No Risk</v>
      </c>
      <c r="AR61" s="9" cm="1">
        <f t="array" aca="1" ref="AR61" ca="1">IF($AQ61="",0,SimpleLookup($AQ61,Definitions!$AE:$AF))</f>
        <v>0</v>
      </c>
      <c r="AS61" s="9" t="b">
        <f ca="1">OR(AND($S61,$I61=Helper!$B$7),$I61&gt;Helper!$B$7)</f>
        <v>1</v>
      </c>
      <c r="AT61" s="9" t="str">
        <f t="shared" ca="1" si="7"/>
        <v/>
      </c>
      <c r="AU61" s="9" cm="1">
        <f t="array" aca="1" ref="AU61" ca="1">CreateID($AU$2,$AT61&lt;&gt;"")</f>
        <v>0</v>
      </c>
      <c r="AV61" s="9" t="str">
        <f ca="1">IF(IFERROR(MATCH(","&amp;A61&amp;",",'Risk Treatment'!$AT:$AT,0)&gt;0,FALSE),"",$A61)</f>
        <v/>
      </c>
      <c r="AW61" s="9" cm="1">
        <f t="array" aca="1" ref="AW61" ca="1">CreateID($AW$2,$AV61&lt;&gt;"")</f>
        <v>0</v>
      </c>
      <c r="AX61" s="9" t="str" cm="1">
        <f t="array" aca="1" ref="AX61" ca="1">CreateSearchString($AA61)</f>
        <v/>
      </c>
    </row>
    <row r="62" spans="1:50" x14ac:dyDescent="0.25">
      <c r="A62" s="13" t="str" cm="1">
        <f t="array" aca="1" ref="A62" ca="1">IF($B62="","","R"&amp;RemoveDelimiter(SUBSTITUTE(SUBSTITUTE($K62,"AS",""),",","-"),"-"))</f>
        <v/>
      </c>
      <c r="B62" s="13" t="str" cm="1">
        <f t="array" aca="1" ref="B62" ca="1">IF($L62="","",_xlfn.LET(
_xlpm._finalAttackStep,$L62,
_xlpm._prepAttacks,RemoveFirstElement(_xlpm._finalAttackStep&amp;","&amp;$K62),
_xlpm._prepAttackNames,IFERROR(LookupNames(_xlpm._prepAttacks,'Attack Steps'!$A:$B),""),
_xlpm._delimiter,REPT(CHAR(150),55),
$L62&amp;" "&amp;SimpleLookup($L62,'Attack Steps'!$A:$B)&amp;
IF(_xlpm._prepAttackNames="","",CHAR(10)&amp;_xlpm._delimiter&amp;CHAR(10)&amp;_xlpm._prepAttackNames)))</f>
        <v/>
      </c>
      <c r="C62" s="16" t="str" cm="1">
        <f t="array" aca="1" ref="C62" ca="1">IFERROR(LookupNames($M62,'Damage Scenarios'!$A:$V),"")</f>
        <v/>
      </c>
      <c r="D62" s="13" t="str">
        <f ca="1">IFERROR(IF($T62=0,"",INDEX(Definitions!$Q:$Q,MATCH($T62,Definitions!$R:$R,0))),"")</f>
        <v/>
      </c>
      <c r="E62" s="16" t="str" cm="1">
        <f t="array" aca="1" ref="E62" ca="1">IF($K62="","",_xlfn.LET(
_xlpm._listOfAttackSteps,$K62,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62" s="13" t="str">
        <f ca="1">IF($A62="","",IFERROR(VLOOKUP($W62,Definitions!$V:$W,COLUMNS(Definitions!$V:$W),TRUE),""))</f>
        <v/>
      </c>
      <c r="G62" s="13" t="str">
        <f ca="1">IFERROR(IF(OR($D62="",$F62=""),
"",
VLOOKUP($D62,Definitions!$AH:$AM,MATCH($F62,Definitions!$AH$3:$AM$3,0),FALSE)),
"")</f>
        <v/>
      </c>
      <c r="H62" s="10" cm="1">
        <f t="array" aca="1" ref="H62" ca="1">CreateID($H$2,$A62&lt;&gt;"")</f>
        <v>0</v>
      </c>
      <c r="I62" s="9" cm="1">
        <f t="array" aca="1" ref="I62" ca="1">IF(ROW()=ROW($I$2)+1,
1,
INDEX($I:$I,ROW()-1)+IF(INDEX($S:$S,ROW()-1),1,0))</f>
        <v>1</v>
      </c>
      <c r="J62" s="9">
        <f t="shared" ca="1" si="4"/>
        <v>60</v>
      </c>
      <c r="K62" s="9" t="str">
        <f t="shared" ca="1" si="5"/>
        <v/>
      </c>
      <c r="L62" s="9" t="str" cm="1">
        <f t="array" aca="1" ref="L62" ca="1">IF($P62="","",INDEX('Attack Steps'!$A:$A,$P62))</f>
        <v/>
      </c>
      <c r="M62" s="9" t="str" cm="1">
        <f t="array" aca="1" ref="M62" ca="1">IF($P62="","",INDEX('Attack Steps'!$U:$U,$P62))</f>
        <v/>
      </c>
      <c r="N62" s="9" t="str" cm="1">
        <f t="array" aca="1" ref="N62" ca="1">_xlfn.LET(_xlpm._dm,SanitizeInput(GetValuesWithFallback(SanitizeInput($AA62),Assumptions!$A:$J,Countermeasures!$A:$J,"",",",FALSE)),
IF(_xlpm._dm="","",","&amp;_xlpm._dm))</f>
        <v/>
      </c>
      <c r="O62" s="9" t="str" cm="1">
        <f t="array" aca="1" ref="O62" ca="1">ApplyDamageMitigation($M62,$N62,"")</f>
        <v/>
      </c>
      <c r="P62" s="9" t="str">
        <f ca="1">IFERROR(MATCH($I62,'Attack Steps'!$W:$W,0),"")</f>
        <v/>
      </c>
      <c r="Q62" s="9" t="str" cm="1">
        <f t="array" aca="1" ref="Q62" ca="1">IF($P62="","","§"&amp;INDEX('Attack Steps'!$T:$T,$P62))</f>
        <v/>
      </c>
      <c r="R62" s="9" t="str" cm="1">
        <f t="array" aca="1" ref="R62" ca="1">IF($P62="","",INDEX('Attack Steps'!$X:$X,$P62))</f>
        <v/>
      </c>
      <c r="S62" s="9" t="b">
        <f t="shared" ca="1" si="6"/>
        <v>0</v>
      </c>
      <c r="T62" s="9" cm="1">
        <f t="array" aca="1" ref="T62" ca="1">IF($M62="",0,OperateOnList($M62,_xlfn.LAMBDA(_xlpm._x,SimpleLookup(_xlpm._x,'Damage Scenarios'!$A:$U)),_xlfn.LAMBDA(_xlpm._x,_xlpm._y,MAX(_xlpm._x,_xlpm._y))))</f>
        <v>0</v>
      </c>
      <c r="U62" s="9" cm="1">
        <f t="array" aca="1" ref="U62" ca="1">IF($O62="",0,OperateOnList($O62,_xlfn.LAMBDA(_xlpm._x,SimpleLookup(_xlpm._x,'Damage Scenarios'!$A:$U)),_xlfn.LAMBDA(_xlpm._x,_xlpm._y,MAX(_xlpm._x,_xlpm._y))))</f>
        <v>0</v>
      </c>
      <c r="V62" s="9" t="str">
        <f ca="1">IF($U62=0,"",INDEX(Definitions!$Q:$Q,MATCH($U62,Definitions!$R:$R,0)))</f>
        <v/>
      </c>
      <c r="W62" s="9" cm="1">
        <f t="array" aca="1" ref="W62" ca="1">IF($K62="",0,_xlfn.LET(
_xlpm._listOfAttackSteps,$K62,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62" s="9" t="str" cm="1">
        <f t="array" aca="1" ref="X62" ca="1">IF(ROW()=ROW($X$2)+1,"",INDEX($X:$X,ROW()-1))&amp;IF($A62="","",$A62&amp;",")</f>
        <v/>
      </c>
      <c r="Y62" s="9" t="str" cm="1">
        <f t="array" aca="1" ref="Y62" ca="1">CreateSearchString($K62)</f>
        <v/>
      </c>
      <c r="Z62" s="9" cm="1">
        <f t="array" aca="1" ref="Z62" ca="1">IF($G62="",0,SimpleLookup($G62,Definitions!$AE:$AF))</f>
        <v>0</v>
      </c>
      <c r="AA62" s="9" t="str" cm="1">
        <f t="array" aca="1" ref="AA62" ca="1">SanitizeInput(InverseLookup($A62,Mitigation!$U$2,Mitigation!$J$2,1,Helper!$B$5,","))</f>
        <v/>
      </c>
      <c r="AB62" s="9" cm="1">
        <f t="array" aca="1" ref="AB62" ca="1">IF($K62="",0,_xlfn.LET(
_xlpm._listOfAttackStepsAndMitigations,$K62&amp;$AA62,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62" s="9" t="str">
        <f ca="1">IFERROR(VLOOKUP($AB62,Definitions!$V:$W,COLUMNS(Definitions!$V:$W),TRUE),"")</f>
        <v>Basic</v>
      </c>
      <c r="AD62" s="9" t="str">
        <f ca="1">_xlfn.LET(
_xlpm._comments,GetValues($K62,Mitigation!$A:$O,"","",FALSE),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62" s="9" t="str" cm="1">
        <f t="array" aca="1" ref="AE62" ca="1">_xlfn.LET(
_xlpm._rapRange,Definitions!$W:$W,
_xlpm._calculatedRAP,$AC62,
_xlpm._inlineRAP,$AD62,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62" s="9" t="str">
        <f ca="1">IFERROR(IF(OR($V62="",$AE62=""),
Definitions!$AE$4,
VLOOKUP($V62,Definitions!$AH:$AM,MATCH($AE62,Definitions!$AH$3:$AM$3,0),FALSE)),
"")</f>
        <v>No Risk</v>
      </c>
      <c r="AG62" s="9" cm="1">
        <f t="array" aca="1" ref="AG62" ca="1">IF($AF62="",0,SimpleLookup($AF62,Definitions!$AE:$AF))</f>
        <v>0</v>
      </c>
      <c r="AH62" s="9" t="str" cm="1">
        <f t="array" aca="1" ref="AH62" ca="1">IFERROR(SimpleLookup($A62,Tracing!$B:$Z),"")</f>
        <v/>
      </c>
      <c r="AI62" s="9" t="str" cm="1">
        <f t="array" aca="1" ref="AI62" ca="1">_xlfn.LET(_xlpm._dm,SanitizeInput(GetValuesWithFallback(SanitizeInput($AH62),Assumptions!$A:$J,Countermeasures!$A:$J,"",",",FALSE)),
IF(_xlpm._dm="","",","&amp;_xlpm._dm))</f>
        <v/>
      </c>
      <c r="AJ62" s="9" t="str" cm="1">
        <f t="array" aca="1" ref="AJ62" ca="1">ApplyDamageMitigation($M62,$AI62,"")</f>
        <v/>
      </c>
      <c r="AK62" s="9" cm="1">
        <f t="array" aca="1" ref="AK62" ca="1">CalculateMaxFromList($AJ62,0,'Damage Scenarios'!$A:$U)</f>
        <v>0</v>
      </c>
      <c r="AL62" s="9" t="str">
        <f ca="1">IF($AK62=0,"",INDEX(Definitions!$Q:$Q,MATCH($AK62,Definitions!$R:$R,0)))</f>
        <v/>
      </c>
      <c r="AM62" s="9" cm="1">
        <f t="array" aca="1" ref="AM62" ca="1">IF($K62="",0,_xlfn.LET(
_xlpm._listOfAttackStepsAndMitigations,$K62&amp;$AH62,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62" s="9" t="str">
        <f ca="1">IFERROR(VLOOKUP($AM62,Definitions!$V:$W,COLUMNS(Definitions!$V:$W),TRUE),"")</f>
        <v>Basic</v>
      </c>
      <c r="AO62" s="9" t="str">
        <f ca="1">_xlfn.LET(
_xlpm._comments,SimpleLookup($A62,Tracing!$B:$AB),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62" s="9" t="str" cm="1">
        <f t="array" aca="1" ref="AP62" ca="1">_xlfn.LET(
_xlpm._rapRange,Definitions!$W:$W,
_xlpm._calculatedRAP,$AN62,
_xlpm._inlineRAP,$AO62,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62" s="9" t="str">
        <f ca="1">IFERROR(IF(OR($AL62="",$AP62=""),
Definitions!$AE$4,
VLOOKUP($AL62,Definitions!$AH:$AM,MATCH($AP62,Definitions!$AH$3:$AM$3,0),FALSE)),
"")</f>
        <v>No Risk</v>
      </c>
      <c r="AR62" s="9" cm="1">
        <f t="array" aca="1" ref="AR62" ca="1">IF($AQ62="",0,SimpleLookup($AQ62,Definitions!$AE:$AF))</f>
        <v>0</v>
      </c>
      <c r="AS62" s="9" t="b">
        <f ca="1">OR(AND($S62,$I62=Helper!$B$7),$I62&gt;Helper!$B$7)</f>
        <v>1</v>
      </c>
      <c r="AT62" s="9" t="str">
        <f t="shared" ca="1" si="7"/>
        <v/>
      </c>
      <c r="AU62" s="9" cm="1">
        <f t="array" aca="1" ref="AU62" ca="1">CreateID($AU$2,$AT62&lt;&gt;"")</f>
        <v>0</v>
      </c>
      <c r="AV62" s="9" t="str">
        <f ca="1">IF(IFERROR(MATCH(","&amp;A62&amp;",",'Risk Treatment'!$AT:$AT,0)&gt;0,FALSE),"",$A62)</f>
        <v/>
      </c>
      <c r="AW62" s="9" cm="1">
        <f t="array" aca="1" ref="AW62" ca="1">CreateID($AW$2,$AV62&lt;&gt;"")</f>
        <v>0</v>
      </c>
      <c r="AX62" s="9" t="str" cm="1">
        <f t="array" aca="1" ref="AX62" ca="1">CreateSearchString($AA62)</f>
        <v/>
      </c>
    </row>
    <row r="63" spans="1:50" x14ac:dyDescent="0.25">
      <c r="A63" s="13" t="str" cm="1">
        <f t="array" aca="1" ref="A63" ca="1">IF($B63="","","R"&amp;RemoveDelimiter(SUBSTITUTE(SUBSTITUTE($K63,"AS",""),",","-"),"-"))</f>
        <v/>
      </c>
      <c r="B63" s="13" t="str" cm="1">
        <f t="array" aca="1" ref="B63" ca="1">IF($L63="","",_xlfn.LET(
_xlpm._finalAttackStep,$L63,
_xlpm._prepAttacks,RemoveFirstElement(_xlpm._finalAttackStep&amp;","&amp;$K63),
_xlpm._prepAttackNames,IFERROR(LookupNames(_xlpm._prepAttacks,'Attack Steps'!$A:$B),""),
_xlpm._delimiter,REPT(CHAR(150),55),
$L63&amp;" "&amp;SimpleLookup($L63,'Attack Steps'!$A:$B)&amp;
IF(_xlpm._prepAttackNames="","",CHAR(10)&amp;_xlpm._delimiter&amp;CHAR(10)&amp;_xlpm._prepAttackNames)))</f>
        <v/>
      </c>
      <c r="C63" s="16" t="str" cm="1">
        <f t="array" aca="1" ref="C63" ca="1">IFERROR(LookupNames($M63,'Damage Scenarios'!$A:$V),"")</f>
        <v/>
      </c>
      <c r="D63" s="13" t="str">
        <f ca="1">IFERROR(IF($T63=0,"",INDEX(Definitions!$Q:$Q,MATCH($T63,Definitions!$R:$R,0))),"")</f>
        <v/>
      </c>
      <c r="E63" s="16" t="str" cm="1">
        <f t="array" aca="1" ref="E63" ca="1">IF($K63="","",_xlfn.LET(
_xlpm._listOfAttackSteps,$K63,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63" s="13" t="str">
        <f ca="1">IF($A63="","",IFERROR(VLOOKUP($W63,Definitions!$V:$W,COLUMNS(Definitions!$V:$W),TRUE),""))</f>
        <v/>
      </c>
      <c r="G63" s="13" t="str">
        <f ca="1">IFERROR(IF(OR($D63="",$F63=""),
"",
VLOOKUP($D63,Definitions!$AH:$AM,MATCH($F63,Definitions!$AH$3:$AM$3,0),FALSE)),
"")</f>
        <v/>
      </c>
      <c r="H63" s="10" cm="1">
        <f t="array" aca="1" ref="H63" ca="1">CreateID($H$2,$A63&lt;&gt;"")</f>
        <v>0</v>
      </c>
      <c r="I63" s="9" cm="1">
        <f t="array" aca="1" ref="I63" ca="1">IF(ROW()=ROW($I$2)+1,
1,
INDEX($I:$I,ROW()-1)+IF(INDEX($S:$S,ROW()-1),1,0))</f>
        <v>1</v>
      </c>
      <c r="J63" s="9">
        <f t="shared" ca="1" si="4"/>
        <v>61</v>
      </c>
      <c r="K63" s="9" t="str">
        <f t="shared" ca="1" si="5"/>
        <v/>
      </c>
      <c r="L63" s="9" t="str" cm="1">
        <f t="array" aca="1" ref="L63" ca="1">IF($P63="","",INDEX('Attack Steps'!$A:$A,$P63))</f>
        <v/>
      </c>
      <c r="M63" s="9" t="str" cm="1">
        <f t="array" aca="1" ref="M63" ca="1">IF($P63="","",INDEX('Attack Steps'!$U:$U,$P63))</f>
        <v/>
      </c>
      <c r="N63" s="9" t="str" cm="1">
        <f t="array" aca="1" ref="N63" ca="1">_xlfn.LET(_xlpm._dm,SanitizeInput(GetValuesWithFallback(SanitizeInput($AA63),Assumptions!$A:$J,Countermeasures!$A:$J,"",",",FALSE)),
IF(_xlpm._dm="","",","&amp;_xlpm._dm))</f>
        <v/>
      </c>
      <c r="O63" s="9" t="str" cm="1">
        <f t="array" aca="1" ref="O63" ca="1">ApplyDamageMitigation($M63,$N63,"")</f>
        <v/>
      </c>
      <c r="P63" s="9" t="str">
        <f ca="1">IFERROR(MATCH($I63,'Attack Steps'!$W:$W,0),"")</f>
        <v/>
      </c>
      <c r="Q63" s="9" t="str" cm="1">
        <f t="array" aca="1" ref="Q63" ca="1">IF($P63="","","§"&amp;INDEX('Attack Steps'!$T:$T,$P63))</f>
        <v/>
      </c>
      <c r="R63" s="9" t="str" cm="1">
        <f t="array" aca="1" ref="R63" ca="1">IF($P63="","",INDEX('Attack Steps'!$X:$X,$P63))</f>
        <v/>
      </c>
      <c r="S63" s="9" t="b">
        <f t="shared" ca="1" si="6"/>
        <v>0</v>
      </c>
      <c r="T63" s="9" cm="1">
        <f t="array" aca="1" ref="T63" ca="1">IF($M63="",0,OperateOnList($M63,_xlfn.LAMBDA(_xlpm._x,SimpleLookup(_xlpm._x,'Damage Scenarios'!$A:$U)),_xlfn.LAMBDA(_xlpm._x,_xlpm._y,MAX(_xlpm._x,_xlpm._y))))</f>
        <v>0</v>
      </c>
      <c r="U63" s="9" cm="1">
        <f t="array" aca="1" ref="U63" ca="1">IF($O63="",0,OperateOnList($O63,_xlfn.LAMBDA(_xlpm._x,SimpleLookup(_xlpm._x,'Damage Scenarios'!$A:$U)),_xlfn.LAMBDA(_xlpm._x,_xlpm._y,MAX(_xlpm._x,_xlpm._y))))</f>
        <v>0</v>
      </c>
      <c r="V63" s="9" t="str">
        <f ca="1">IF($U63=0,"",INDEX(Definitions!$Q:$Q,MATCH($U63,Definitions!$R:$R,0)))</f>
        <v/>
      </c>
      <c r="W63" s="9" cm="1">
        <f t="array" aca="1" ref="W63" ca="1">IF($K63="",0,_xlfn.LET(
_xlpm._listOfAttackSteps,$K63,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63" s="9" t="str" cm="1">
        <f t="array" aca="1" ref="X63" ca="1">IF(ROW()=ROW($X$2)+1,"",INDEX($X:$X,ROW()-1))&amp;IF($A63="","",$A63&amp;",")</f>
        <v/>
      </c>
      <c r="Y63" s="9" t="str" cm="1">
        <f t="array" aca="1" ref="Y63" ca="1">CreateSearchString($K63)</f>
        <v/>
      </c>
      <c r="Z63" s="9" cm="1">
        <f t="array" aca="1" ref="Z63" ca="1">IF($G63="",0,SimpleLookup($G63,Definitions!$AE:$AF))</f>
        <v>0</v>
      </c>
      <c r="AA63" s="9" t="str" cm="1">
        <f t="array" aca="1" ref="AA63" ca="1">SanitizeInput(InverseLookup($A63,Mitigation!$U$2,Mitigation!$J$2,1,Helper!$B$5,","))</f>
        <v/>
      </c>
      <c r="AB63" s="9" cm="1">
        <f t="array" aca="1" ref="AB63" ca="1">IF($K63="",0,_xlfn.LET(
_xlpm._listOfAttackStepsAndMitigations,$K63&amp;$AA63,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63" s="9" t="str">
        <f ca="1">IFERROR(VLOOKUP($AB63,Definitions!$V:$W,COLUMNS(Definitions!$V:$W),TRUE),"")</f>
        <v>Basic</v>
      </c>
      <c r="AD63" s="9" t="str">
        <f ca="1">_xlfn.LET(
_xlpm._comments,GetValues($K63,Mitigation!$A:$O,"","",FALSE),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63" s="9" t="str" cm="1">
        <f t="array" aca="1" ref="AE63" ca="1">_xlfn.LET(
_xlpm._rapRange,Definitions!$W:$W,
_xlpm._calculatedRAP,$AC63,
_xlpm._inlineRAP,$AD63,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63" s="9" t="str">
        <f ca="1">IFERROR(IF(OR($V63="",$AE63=""),
Definitions!$AE$4,
VLOOKUP($V63,Definitions!$AH:$AM,MATCH($AE63,Definitions!$AH$3:$AM$3,0),FALSE)),
"")</f>
        <v>No Risk</v>
      </c>
      <c r="AG63" s="9" cm="1">
        <f t="array" aca="1" ref="AG63" ca="1">IF($AF63="",0,SimpleLookup($AF63,Definitions!$AE:$AF))</f>
        <v>0</v>
      </c>
      <c r="AH63" s="9" t="str" cm="1">
        <f t="array" aca="1" ref="AH63" ca="1">IFERROR(SimpleLookup($A63,Tracing!$B:$Z),"")</f>
        <v/>
      </c>
      <c r="AI63" s="9" t="str" cm="1">
        <f t="array" aca="1" ref="AI63" ca="1">_xlfn.LET(_xlpm._dm,SanitizeInput(GetValuesWithFallback(SanitizeInput($AH63),Assumptions!$A:$J,Countermeasures!$A:$J,"",",",FALSE)),
IF(_xlpm._dm="","",","&amp;_xlpm._dm))</f>
        <v/>
      </c>
      <c r="AJ63" s="9" t="str" cm="1">
        <f t="array" aca="1" ref="AJ63" ca="1">ApplyDamageMitigation($M63,$AI63,"")</f>
        <v/>
      </c>
      <c r="AK63" s="9" cm="1">
        <f t="array" aca="1" ref="AK63" ca="1">CalculateMaxFromList($AJ63,0,'Damage Scenarios'!$A:$U)</f>
        <v>0</v>
      </c>
      <c r="AL63" s="9" t="str">
        <f ca="1">IF($AK63=0,"",INDEX(Definitions!$Q:$Q,MATCH($AK63,Definitions!$R:$R,0)))</f>
        <v/>
      </c>
      <c r="AM63" s="9" cm="1">
        <f t="array" aca="1" ref="AM63" ca="1">IF($K63="",0,_xlfn.LET(
_xlpm._listOfAttackStepsAndMitigations,$K63&amp;$AH63,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63" s="9" t="str">
        <f ca="1">IFERROR(VLOOKUP($AM63,Definitions!$V:$W,COLUMNS(Definitions!$V:$W),TRUE),"")</f>
        <v>Basic</v>
      </c>
      <c r="AO63" s="9" t="str">
        <f ca="1">_xlfn.LET(
_xlpm._comments,SimpleLookup($A63,Tracing!$B:$AB),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63" s="9" t="str" cm="1">
        <f t="array" aca="1" ref="AP63" ca="1">_xlfn.LET(
_xlpm._rapRange,Definitions!$W:$W,
_xlpm._calculatedRAP,$AN63,
_xlpm._inlineRAP,$AO63,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63" s="9" t="str">
        <f ca="1">IFERROR(IF(OR($AL63="",$AP63=""),
Definitions!$AE$4,
VLOOKUP($AL63,Definitions!$AH:$AM,MATCH($AP63,Definitions!$AH$3:$AM$3,0),FALSE)),
"")</f>
        <v>No Risk</v>
      </c>
      <c r="AR63" s="9" cm="1">
        <f t="array" aca="1" ref="AR63" ca="1">IF($AQ63="",0,SimpleLookup($AQ63,Definitions!$AE:$AF))</f>
        <v>0</v>
      </c>
      <c r="AS63" s="9" t="b">
        <f ca="1">OR(AND($S63,$I63=Helper!$B$7),$I63&gt;Helper!$B$7)</f>
        <v>1</v>
      </c>
      <c r="AT63" s="9" t="str">
        <f t="shared" ca="1" si="7"/>
        <v/>
      </c>
      <c r="AU63" s="9" cm="1">
        <f t="array" aca="1" ref="AU63" ca="1">CreateID($AU$2,$AT63&lt;&gt;"")</f>
        <v>0</v>
      </c>
      <c r="AV63" s="9" t="str">
        <f ca="1">IF(IFERROR(MATCH(","&amp;A63&amp;",",'Risk Treatment'!$AT:$AT,0)&gt;0,FALSE),"",$A63)</f>
        <v/>
      </c>
      <c r="AW63" s="9" cm="1">
        <f t="array" aca="1" ref="AW63" ca="1">CreateID($AW$2,$AV63&lt;&gt;"")</f>
        <v>0</v>
      </c>
      <c r="AX63" s="9" t="str" cm="1">
        <f t="array" aca="1" ref="AX63" ca="1">CreateSearchString($AA63)</f>
        <v/>
      </c>
    </row>
    <row r="64" spans="1:50" x14ac:dyDescent="0.25">
      <c r="A64" s="13" t="str" cm="1">
        <f t="array" aca="1" ref="A64" ca="1">IF($B64="","","R"&amp;RemoveDelimiter(SUBSTITUTE(SUBSTITUTE($K64,"AS",""),",","-"),"-"))</f>
        <v/>
      </c>
      <c r="B64" s="13" t="str" cm="1">
        <f t="array" aca="1" ref="B64" ca="1">IF($L64="","",_xlfn.LET(
_xlpm._finalAttackStep,$L64,
_xlpm._prepAttacks,RemoveFirstElement(_xlpm._finalAttackStep&amp;","&amp;$K64),
_xlpm._prepAttackNames,IFERROR(LookupNames(_xlpm._prepAttacks,'Attack Steps'!$A:$B),""),
_xlpm._delimiter,REPT(CHAR(150),55),
$L64&amp;" "&amp;SimpleLookup($L64,'Attack Steps'!$A:$B)&amp;
IF(_xlpm._prepAttackNames="","",CHAR(10)&amp;_xlpm._delimiter&amp;CHAR(10)&amp;_xlpm._prepAttackNames)))</f>
        <v/>
      </c>
      <c r="C64" s="16" t="str" cm="1">
        <f t="array" aca="1" ref="C64" ca="1">IFERROR(LookupNames($M64,'Damage Scenarios'!$A:$V),"")</f>
        <v/>
      </c>
      <c r="D64" s="13" t="str">
        <f ca="1">IFERROR(IF($T64=0,"",INDEX(Definitions!$Q:$Q,MATCH($T64,Definitions!$R:$R,0))),"")</f>
        <v/>
      </c>
      <c r="E64" s="16" t="str" cm="1">
        <f t="array" aca="1" ref="E64" ca="1">IF($K64="","",_xlfn.LET(
_xlpm._listOfAttackSteps,$K64,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64" s="13" t="str">
        <f ca="1">IF($A64="","",IFERROR(VLOOKUP($W64,Definitions!$V:$W,COLUMNS(Definitions!$V:$W),TRUE),""))</f>
        <v/>
      </c>
      <c r="G64" s="13" t="str">
        <f ca="1">IFERROR(IF(OR($D64="",$F64=""),
"",
VLOOKUP($D64,Definitions!$AH:$AM,MATCH($F64,Definitions!$AH$3:$AM$3,0),FALSE)),
"")</f>
        <v/>
      </c>
      <c r="H64" s="10" cm="1">
        <f t="array" aca="1" ref="H64" ca="1">CreateID($H$2,$A64&lt;&gt;"")</f>
        <v>0</v>
      </c>
      <c r="I64" s="9" cm="1">
        <f t="array" aca="1" ref="I64" ca="1">IF(ROW()=ROW($I$2)+1,
1,
INDEX($I:$I,ROW()-1)+IF(INDEX($S:$S,ROW()-1),1,0))</f>
        <v>1</v>
      </c>
      <c r="J64" s="9">
        <f t="shared" ca="1" si="4"/>
        <v>62</v>
      </c>
      <c r="K64" s="9" t="str">
        <f t="shared" ca="1" si="5"/>
        <v/>
      </c>
      <c r="L64" s="9" t="str" cm="1">
        <f t="array" aca="1" ref="L64" ca="1">IF($P64="","",INDEX('Attack Steps'!$A:$A,$P64))</f>
        <v/>
      </c>
      <c r="M64" s="9" t="str" cm="1">
        <f t="array" aca="1" ref="M64" ca="1">IF($P64="","",INDEX('Attack Steps'!$U:$U,$P64))</f>
        <v/>
      </c>
      <c r="N64" s="9" t="str" cm="1">
        <f t="array" aca="1" ref="N64" ca="1">_xlfn.LET(_xlpm._dm,SanitizeInput(GetValuesWithFallback(SanitizeInput($AA64),Assumptions!$A:$J,Countermeasures!$A:$J,"",",",FALSE)),
IF(_xlpm._dm="","",","&amp;_xlpm._dm))</f>
        <v/>
      </c>
      <c r="O64" s="9" t="str" cm="1">
        <f t="array" aca="1" ref="O64" ca="1">ApplyDamageMitigation($M64,$N64,"")</f>
        <v/>
      </c>
      <c r="P64" s="9" t="str">
        <f ca="1">IFERROR(MATCH($I64,'Attack Steps'!$W:$W,0),"")</f>
        <v/>
      </c>
      <c r="Q64" s="9" t="str" cm="1">
        <f t="array" aca="1" ref="Q64" ca="1">IF($P64="","","§"&amp;INDEX('Attack Steps'!$T:$T,$P64))</f>
        <v/>
      </c>
      <c r="R64" s="9" t="str" cm="1">
        <f t="array" aca="1" ref="R64" ca="1">IF($P64="","",INDEX('Attack Steps'!$X:$X,$P64))</f>
        <v/>
      </c>
      <c r="S64" s="9" t="b">
        <f t="shared" ca="1" si="6"/>
        <v>0</v>
      </c>
      <c r="T64" s="9" cm="1">
        <f t="array" aca="1" ref="T64" ca="1">IF($M64="",0,OperateOnList($M64,_xlfn.LAMBDA(_xlpm._x,SimpleLookup(_xlpm._x,'Damage Scenarios'!$A:$U)),_xlfn.LAMBDA(_xlpm._x,_xlpm._y,MAX(_xlpm._x,_xlpm._y))))</f>
        <v>0</v>
      </c>
      <c r="U64" s="9" cm="1">
        <f t="array" aca="1" ref="U64" ca="1">IF($O64="",0,OperateOnList($O64,_xlfn.LAMBDA(_xlpm._x,SimpleLookup(_xlpm._x,'Damage Scenarios'!$A:$U)),_xlfn.LAMBDA(_xlpm._x,_xlpm._y,MAX(_xlpm._x,_xlpm._y))))</f>
        <v>0</v>
      </c>
      <c r="V64" s="9" t="str">
        <f ca="1">IF($U64=0,"",INDEX(Definitions!$Q:$Q,MATCH($U64,Definitions!$R:$R,0)))</f>
        <v/>
      </c>
      <c r="W64" s="9" cm="1">
        <f t="array" aca="1" ref="W64" ca="1">IF($K64="",0,_xlfn.LET(
_xlpm._listOfAttackSteps,$K64,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64" s="9" t="str" cm="1">
        <f t="array" aca="1" ref="X64" ca="1">IF(ROW()=ROW($X$2)+1,"",INDEX($X:$X,ROW()-1))&amp;IF($A64="","",$A64&amp;",")</f>
        <v/>
      </c>
      <c r="Y64" s="9" t="str" cm="1">
        <f t="array" aca="1" ref="Y64" ca="1">CreateSearchString($K64)</f>
        <v/>
      </c>
      <c r="Z64" s="9" cm="1">
        <f t="array" aca="1" ref="Z64" ca="1">IF($G64="",0,SimpleLookup($G64,Definitions!$AE:$AF))</f>
        <v>0</v>
      </c>
      <c r="AA64" s="9" t="str" cm="1">
        <f t="array" aca="1" ref="AA64" ca="1">SanitizeInput(InverseLookup($A64,Mitigation!$U$2,Mitigation!$J$2,1,Helper!$B$5,","))</f>
        <v/>
      </c>
      <c r="AB64" s="9" cm="1">
        <f t="array" aca="1" ref="AB64" ca="1">IF($K64="",0,_xlfn.LET(
_xlpm._listOfAttackStepsAndMitigations,$K64&amp;$AA64,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64" s="9" t="str">
        <f ca="1">IFERROR(VLOOKUP($AB64,Definitions!$V:$W,COLUMNS(Definitions!$V:$W),TRUE),"")</f>
        <v>Basic</v>
      </c>
      <c r="AD64" s="9" t="str">
        <f ca="1">_xlfn.LET(
_xlpm._comments,GetValues($K64,Mitigation!$A:$O,"","",FALSE),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64" s="9" t="str" cm="1">
        <f t="array" aca="1" ref="AE64" ca="1">_xlfn.LET(
_xlpm._rapRange,Definitions!$W:$W,
_xlpm._calculatedRAP,$AC64,
_xlpm._inlineRAP,$AD64,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64" s="9" t="str">
        <f ca="1">IFERROR(IF(OR($V64="",$AE64=""),
Definitions!$AE$4,
VLOOKUP($V64,Definitions!$AH:$AM,MATCH($AE64,Definitions!$AH$3:$AM$3,0),FALSE)),
"")</f>
        <v>No Risk</v>
      </c>
      <c r="AG64" s="9" cm="1">
        <f t="array" aca="1" ref="AG64" ca="1">IF($AF64="",0,SimpleLookup($AF64,Definitions!$AE:$AF))</f>
        <v>0</v>
      </c>
      <c r="AH64" s="9" t="str" cm="1">
        <f t="array" aca="1" ref="AH64" ca="1">IFERROR(SimpleLookup($A64,Tracing!$B:$Z),"")</f>
        <v/>
      </c>
      <c r="AI64" s="9" t="str" cm="1">
        <f t="array" aca="1" ref="AI64" ca="1">_xlfn.LET(_xlpm._dm,SanitizeInput(GetValuesWithFallback(SanitizeInput($AH64),Assumptions!$A:$J,Countermeasures!$A:$J,"",",",FALSE)),
IF(_xlpm._dm="","",","&amp;_xlpm._dm))</f>
        <v/>
      </c>
      <c r="AJ64" s="9" t="str" cm="1">
        <f t="array" aca="1" ref="AJ64" ca="1">ApplyDamageMitigation($M64,$AI64,"")</f>
        <v/>
      </c>
      <c r="AK64" s="9" cm="1">
        <f t="array" aca="1" ref="AK64" ca="1">CalculateMaxFromList($AJ64,0,'Damage Scenarios'!$A:$U)</f>
        <v>0</v>
      </c>
      <c r="AL64" s="9" t="str">
        <f ca="1">IF($AK64=0,"",INDEX(Definitions!$Q:$Q,MATCH($AK64,Definitions!$R:$R,0)))</f>
        <v/>
      </c>
      <c r="AM64" s="9" cm="1">
        <f t="array" aca="1" ref="AM64" ca="1">IF($K64="",0,_xlfn.LET(
_xlpm._listOfAttackStepsAndMitigations,$K64&amp;$AH64,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64" s="9" t="str">
        <f ca="1">IFERROR(VLOOKUP($AM64,Definitions!$V:$W,COLUMNS(Definitions!$V:$W),TRUE),"")</f>
        <v>Basic</v>
      </c>
      <c r="AO64" s="9" t="str">
        <f ca="1">_xlfn.LET(
_xlpm._comments,SimpleLookup($A64,Tracing!$B:$AB),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64" s="9" t="str" cm="1">
        <f t="array" aca="1" ref="AP64" ca="1">_xlfn.LET(
_xlpm._rapRange,Definitions!$W:$W,
_xlpm._calculatedRAP,$AN64,
_xlpm._inlineRAP,$AO64,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64" s="9" t="str">
        <f ca="1">IFERROR(IF(OR($AL64="",$AP64=""),
Definitions!$AE$4,
VLOOKUP($AL64,Definitions!$AH:$AM,MATCH($AP64,Definitions!$AH$3:$AM$3,0),FALSE)),
"")</f>
        <v>No Risk</v>
      </c>
      <c r="AR64" s="9" cm="1">
        <f t="array" aca="1" ref="AR64" ca="1">IF($AQ64="",0,SimpleLookup($AQ64,Definitions!$AE:$AF))</f>
        <v>0</v>
      </c>
      <c r="AS64" s="9" t="b">
        <f ca="1">OR(AND($S64,$I64=Helper!$B$7),$I64&gt;Helper!$B$7)</f>
        <v>1</v>
      </c>
      <c r="AT64" s="9" t="str">
        <f t="shared" ca="1" si="7"/>
        <v/>
      </c>
      <c r="AU64" s="9" cm="1">
        <f t="array" aca="1" ref="AU64" ca="1">CreateID($AU$2,$AT64&lt;&gt;"")</f>
        <v>0</v>
      </c>
      <c r="AV64" s="9" t="str">
        <f ca="1">IF(IFERROR(MATCH(","&amp;A64&amp;",",'Risk Treatment'!$AT:$AT,0)&gt;0,FALSE),"",$A64)</f>
        <v/>
      </c>
      <c r="AW64" s="9" cm="1">
        <f t="array" aca="1" ref="AW64" ca="1">CreateID($AW$2,$AV64&lt;&gt;"")</f>
        <v>0</v>
      </c>
      <c r="AX64" s="9" t="str" cm="1">
        <f t="array" aca="1" ref="AX64" ca="1">CreateSearchString($AA64)</f>
        <v/>
      </c>
    </row>
    <row r="65" spans="1:50" x14ac:dyDescent="0.25">
      <c r="A65" s="13" t="str" cm="1">
        <f t="array" aca="1" ref="A65" ca="1">IF($B65="","","R"&amp;RemoveDelimiter(SUBSTITUTE(SUBSTITUTE($K65,"AS",""),",","-"),"-"))</f>
        <v/>
      </c>
      <c r="B65" s="13" t="str" cm="1">
        <f t="array" aca="1" ref="B65" ca="1">IF($L65="","",_xlfn.LET(
_xlpm._finalAttackStep,$L65,
_xlpm._prepAttacks,RemoveFirstElement(_xlpm._finalAttackStep&amp;","&amp;$K65),
_xlpm._prepAttackNames,IFERROR(LookupNames(_xlpm._prepAttacks,'Attack Steps'!$A:$B),""),
_xlpm._delimiter,REPT(CHAR(150),55),
$L65&amp;" "&amp;SimpleLookup($L65,'Attack Steps'!$A:$B)&amp;
IF(_xlpm._prepAttackNames="","",CHAR(10)&amp;_xlpm._delimiter&amp;CHAR(10)&amp;_xlpm._prepAttackNames)))</f>
        <v/>
      </c>
      <c r="C65" s="16" t="str" cm="1">
        <f t="array" aca="1" ref="C65" ca="1">IFERROR(LookupNames($M65,'Damage Scenarios'!$A:$V),"")</f>
        <v/>
      </c>
      <c r="D65" s="13" t="str">
        <f ca="1">IFERROR(IF($T65=0,"",INDEX(Definitions!$Q:$Q,MATCH($T65,Definitions!$R:$R,0))),"")</f>
        <v/>
      </c>
      <c r="E65" s="16" t="str" cm="1">
        <f t="array" aca="1" ref="E65" ca="1">IF($K65="","",_xlfn.LET(
_xlpm._listOfAttackSteps,$K65,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65" s="13" t="str">
        <f ca="1">IF($A65="","",IFERROR(VLOOKUP($W65,Definitions!$V:$W,COLUMNS(Definitions!$V:$W),TRUE),""))</f>
        <v/>
      </c>
      <c r="G65" s="13" t="str">
        <f ca="1">IFERROR(IF(OR($D65="",$F65=""),
"",
VLOOKUP($D65,Definitions!$AH:$AM,MATCH($F65,Definitions!$AH$3:$AM$3,0),FALSE)),
"")</f>
        <v/>
      </c>
      <c r="H65" s="10" cm="1">
        <f t="array" aca="1" ref="H65" ca="1">CreateID($H$2,$A65&lt;&gt;"")</f>
        <v>0</v>
      </c>
      <c r="I65" s="9" cm="1">
        <f t="array" aca="1" ref="I65" ca="1">IF(ROW()=ROW($I$2)+1,
1,
INDEX($I:$I,ROW()-1)+IF(INDEX($S:$S,ROW()-1),1,0))</f>
        <v>1</v>
      </c>
      <c r="J65" s="9">
        <f t="shared" ca="1" si="4"/>
        <v>63</v>
      </c>
      <c r="K65" s="9" t="str">
        <f t="shared" ca="1" si="5"/>
        <v/>
      </c>
      <c r="L65" s="9" t="str" cm="1">
        <f t="array" aca="1" ref="L65" ca="1">IF($P65="","",INDEX('Attack Steps'!$A:$A,$P65))</f>
        <v/>
      </c>
      <c r="M65" s="9" t="str" cm="1">
        <f t="array" aca="1" ref="M65" ca="1">IF($P65="","",INDEX('Attack Steps'!$U:$U,$P65))</f>
        <v/>
      </c>
      <c r="N65" s="9" t="str" cm="1">
        <f t="array" aca="1" ref="N65" ca="1">_xlfn.LET(_xlpm._dm,SanitizeInput(GetValuesWithFallback(SanitizeInput($AA65),Assumptions!$A:$J,Countermeasures!$A:$J,"",",",FALSE)),
IF(_xlpm._dm="","",","&amp;_xlpm._dm))</f>
        <v/>
      </c>
      <c r="O65" s="9" t="str" cm="1">
        <f t="array" aca="1" ref="O65" ca="1">ApplyDamageMitigation($M65,$N65,"")</f>
        <v/>
      </c>
      <c r="P65" s="9" t="str">
        <f ca="1">IFERROR(MATCH($I65,'Attack Steps'!$W:$W,0),"")</f>
        <v/>
      </c>
      <c r="Q65" s="9" t="str" cm="1">
        <f t="array" aca="1" ref="Q65" ca="1">IF($P65="","","§"&amp;INDEX('Attack Steps'!$T:$T,$P65))</f>
        <v/>
      </c>
      <c r="R65" s="9" t="str" cm="1">
        <f t="array" aca="1" ref="R65" ca="1">IF($P65="","",INDEX('Attack Steps'!$X:$X,$P65))</f>
        <v/>
      </c>
      <c r="S65" s="9" t="b">
        <f t="shared" ca="1" si="6"/>
        <v>0</v>
      </c>
      <c r="T65" s="9" cm="1">
        <f t="array" aca="1" ref="T65" ca="1">IF($M65="",0,OperateOnList($M65,_xlfn.LAMBDA(_xlpm._x,SimpleLookup(_xlpm._x,'Damage Scenarios'!$A:$U)),_xlfn.LAMBDA(_xlpm._x,_xlpm._y,MAX(_xlpm._x,_xlpm._y))))</f>
        <v>0</v>
      </c>
      <c r="U65" s="9" cm="1">
        <f t="array" aca="1" ref="U65" ca="1">IF($O65="",0,OperateOnList($O65,_xlfn.LAMBDA(_xlpm._x,SimpleLookup(_xlpm._x,'Damage Scenarios'!$A:$U)),_xlfn.LAMBDA(_xlpm._x,_xlpm._y,MAX(_xlpm._x,_xlpm._y))))</f>
        <v>0</v>
      </c>
      <c r="V65" s="9" t="str">
        <f ca="1">IF($U65=0,"",INDEX(Definitions!$Q:$Q,MATCH($U65,Definitions!$R:$R,0)))</f>
        <v/>
      </c>
      <c r="W65" s="9" cm="1">
        <f t="array" aca="1" ref="W65" ca="1">IF($K65="",0,_xlfn.LET(
_xlpm._listOfAttackSteps,$K65,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65" s="9" t="str" cm="1">
        <f t="array" aca="1" ref="X65" ca="1">IF(ROW()=ROW($X$2)+1,"",INDEX($X:$X,ROW()-1))&amp;IF($A65="","",$A65&amp;",")</f>
        <v/>
      </c>
      <c r="Y65" s="9" t="str" cm="1">
        <f t="array" aca="1" ref="Y65" ca="1">CreateSearchString($K65)</f>
        <v/>
      </c>
      <c r="Z65" s="9" cm="1">
        <f t="array" aca="1" ref="Z65" ca="1">IF($G65="",0,SimpleLookup($G65,Definitions!$AE:$AF))</f>
        <v>0</v>
      </c>
      <c r="AA65" s="9" t="str" cm="1">
        <f t="array" aca="1" ref="AA65" ca="1">SanitizeInput(InverseLookup($A65,Mitigation!$U$2,Mitigation!$J$2,1,Helper!$B$5,","))</f>
        <v/>
      </c>
      <c r="AB65" s="9" cm="1">
        <f t="array" aca="1" ref="AB65" ca="1">IF($K65="",0,_xlfn.LET(
_xlpm._listOfAttackStepsAndMitigations,$K65&amp;$AA65,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65" s="9" t="str">
        <f ca="1">IFERROR(VLOOKUP($AB65,Definitions!$V:$W,COLUMNS(Definitions!$V:$W),TRUE),"")</f>
        <v>Basic</v>
      </c>
      <c r="AD65" s="9" t="str">
        <f ca="1">_xlfn.LET(
_xlpm._comments,GetValues($K65,Mitigation!$A:$O,"","",FALSE),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65" s="9" t="str" cm="1">
        <f t="array" aca="1" ref="AE65" ca="1">_xlfn.LET(
_xlpm._rapRange,Definitions!$W:$W,
_xlpm._calculatedRAP,$AC65,
_xlpm._inlineRAP,$AD65,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65" s="9" t="str">
        <f ca="1">IFERROR(IF(OR($V65="",$AE65=""),
Definitions!$AE$4,
VLOOKUP($V65,Definitions!$AH:$AM,MATCH($AE65,Definitions!$AH$3:$AM$3,0),FALSE)),
"")</f>
        <v>No Risk</v>
      </c>
      <c r="AG65" s="9" cm="1">
        <f t="array" aca="1" ref="AG65" ca="1">IF($AF65="",0,SimpleLookup($AF65,Definitions!$AE:$AF))</f>
        <v>0</v>
      </c>
      <c r="AH65" s="9" t="str" cm="1">
        <f t="array" aca="1" ref="AH65" ca="1">IFERROR(SimpleLookup($A65,Tracing!$B:$Z),"")</f>
        <v/>
      </c>
      <c r="AI65" s="9" t="str" cm="1">
        <f t="array" aca="1" ref="AI65" ca="1">_xlfn.LET(_xlpm._dm,SanitizeInput(GetValuesWithFallback(SanitizeInput($AH65),Assumptions!$A:$J,Countermeasures!$A:$J,"",",",FALSE)),
IF(_xlpm._dm="","",","&amp;_xlpm._dm))</f>
        <v/>
      </c>
      <c r="AJ65" s="9" t="str" cm="1">
        <f t="array" aca="1" ref="AJ65" ca="1">ApplyDamageMitigation($M65,$AI65,"")</f>
        <v/>
      </c>
      <c r="AK65" s="9" cm="1">
        <f t="array" aca="1" ref="AK65" ca="1">CalculateMaxFromList($AJ65,0,'Damage Scenarios'!$A:$U)</f>
        <v>0</v>
      </c>
      <c r="AL65" s="9" t="str">
        <f ca="1">IF($AK65=0,"",INDEX(Definitions!$Q:$Q,MATCH($AK65,Definitions!$R:$R,0)))</f>
        <v/>
      </c>
      <c r="AM65" s="9" cm="1">
        <f t="array" aca="1" ref="AM65" ca="1">IF($K65="",0,_xlfn.LET(
_xlpm._listOfAttackStepsAndMitigations,$K65&amp;$AH65,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65" s="9" t="str">
        <f ca="1">IFERROR(VLOOKUP($AM65,Definitions!$V:$W,COLUMNS(Definitions!$V:$W),TRUE),"")</f>
        <v>Basic</v>
      </c>
      <c r="AO65" s="9" t="str">
        <f ca="1">_xlfn.LET(
_xlpm._comments,SimpleLookup($A65,Tracing!$B:$AB),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65" s="9" t="str" cm="1">
        <f t="array" aca="1" ref="AP65" ca="1">_xlfn.LET(
_xlpm._rapRange,Definitions!$W:$W,
_xlpm._calculatedRAP,$AN65,
_xlpm._inlineRAP,$AO65,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65" s="9" t="str">
        <f ca="1">IFERROR(IF(OR($AL65="",$AP65=""),
Definitions!$AE$4,
VLOOKUP($AL65,Definitions!$AH:$AM,MATCH($AP65,Definitions!$AH$3:$AM$3,0),FALSE)),
"")</f>
        <v>No Risk</v>
      </c>
      <c r="AR65" s="9" cm="1">
        <f t="array" aca="1" ref="AR65" ca="1">IF($AQ65="",0,SimpleLookup($AQ65,Definitions!$AE:$AF))</f>
        <v>0</v>
      </c>
      <c r="AS65" s="9" t="b">
        <f ca="1">OR(AND($S65,$I65=Helper!$B$7),$I65&gt;Helper!$B$7)</f>
        <v>1</v>
      </c>
      <c r="AT65" s="9" t="str">
        <f t="shared" ca="1" si="7"/>
        <v/>
      </c>
      <c r="AU65" s="9" cm="1">
        <f t="array" aca="1" ref="AU65" ca="1">CreateID($AU$2,$AT65&lt;&gt;"")</f>
        <v>0</v>
      </c>
      <c r="AV65" s="9" t="str">
        <f ca="1">IF(IFERROR(MATCH(","&amp;A65&amp;",",'Risk Treatment'!$AT:$AT,0)&gt;0,FALSE),"",$A65)</f>
        <v/>
      </c>
      <c r="AW65" s="9" cm="1">
        <f t="array" aca="1" ref="AW65" ca="1">CreateID($AW$2,$AV65&lt;&gt;"")</f>
        <v>0</v>
      </c>
      <c r="AX65" s="9" t="str" cm="1">
        <f t="array" aca="1" ref="AX65" ca="1">CreateSearchString($AA65)</f>
        <v/>
      </c>
    </row>
    <row r="66" spans="1:50" x14ac:dyDescent="0.25">
      <c r="A66" s="13" t="str" cm="1">
        <f t="array" aca="1" ref="A66" ca="1">IF($B66="","","R"&amp;RemoveDelimiter(SUBSTITUTE(SUBSTITUTE($K66,"AS",""),",","-"),"-"))</f>
        <v/>
      </c>
      <c r="B66" s="13" t="str" cm="1">
        <f t="array" aca="1" ref="B66" ca="1">IF($L66="","",_xlfn.LET(
_xlpm._finalAttackStep,$L66,
_xlpm._prepAttacks,RemoveFirstElement(_xlpm._finalAttackStep&amp;","&amp;$K66),
_xlpm._prepAttackNames,IFERROR(LookupNames(_xlpm._prepAttacks,'Attack Steps'!$A:$B),""),
_xlpm._delimiter,REPT(CHAR(150),55),
$L66&amp;" "&amp;SimpleLookup($L66,'Attack Steps'!$A:$B)&amp;
IF(_xlpm._prepAttackNames="","",CHAR(10)&amp;_xlpm._delimiter&amp;CHAR(10)&amp;_xlpm._prepAttackNames)))</f>
        <v/>
      </c>
      <c r="C66" s="16" t="str" cm="1">
        <f t="array" aca="1" ref="C66" ca="1">IFERROR(LookupNames($M66,'Damage Scenarios'!$A:$V),"")</f>
        <v/>
      </c>
      <c r="D66" s="13" t="str">
        <f ca="1">IFERROR(IF($T66=0,"",INDEX(Definitions!$Q:$Q,MATCH($T66,Definitions!$R:$R,0))),"")</f>
        <v/>
      </c>
      <c r="E66" s="16" t="str" cm="1">
        <f t="array" aca="1" ref="E66" ca="1">IF($K66="","",_xlfn.LET(
_xlpm._listOfAttackSteps,$K66,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66" s="13" t="str">
        <f ca="1">IF($A66="","",IFERROR(VLOOKUP($W66,Definitions!$V:$W,COLUMNS(Definitions!$V:$W),TRUE),""))</f>
        <v/>
      </c>
      <c r="G66" s="13" t="str">
        <f ca="1">IFERROR(IF(OR($D66="",$F66=""),
"",
VLOOKUP($D66,Definitions!$AH:$AM,MATCH($F66,Definitions!$AH$3:$AM$3,0),FALSE)),
"")</f>
        <v/>
      </c>
      <c r="H66" s="10" cm="1">
        <f t="array" aca="1" ref="H66" ca="1">CreateID($H$2,$A66&lt;&gt;"")</f>
        <v>0</v>
      </c>
      <c r="I66" s="9" cm="1">
        <f t="array" aca="1" ref="I66" ca="1">IF(ROW()=ROW($I$2)+1,
1,
INDEX($I:$I,ROW()-1)+IF(INDEX($S:$S,ROW()-1),1,0))</f>
        <v>1</v>
      </c>
      <c r="J66" s="9">
        <f t="shared" ca="1" si="4"/>
        <v>64</v>
      </c>
      <c r="K66" s="9" t="str">
        <f t="shared" ca="1" si="5"/>
        <v/>
      </c>
      <c r="L66" s="9" t="str" cm="1">
        <f t="array" aca="1" ref="L66" ca="1">IF($P66="","",INDEX('Attack Steps'!$A:$A,$P66))</f>
        <v/>
      </c>
      <c r="M66" s="9" t="str" cm="1">
        <f t="array" aca="1" ref="M66" ca="1">IF($P66="","",INDEX('Attack Steps'!$U:$U,$P66))</f>
        <v/>
      </c>
      <c r="N66" s="9" t="str" cm="1">
        <f t="array" aca="1" ref="N66" ca="1">_xlfn.LET(_xlpm._dm,SanitizeInput(GetValuesWithFallback(SanitizeInput($AA66),Assumptions!$A:$J,Countermeasures!$A:$J,"",",",FALSE)),
IF(_xlpm._dm="","",","&amp;_xlpm._dm))</f>
        <v/>
      </c>
      <c r="O66" s="9" t="str" cm="1">
        <f t="array" aca="1" ref="O66" ca="1">ApplyDamageMitigation($M66,$N66,"")</f>
        <v/>
      </c>
      <c r="P66" s="9" t="str">
        <f ca="1">IFERROR(MATCH($I66,'Attack Steps'!$W:$W,0),"")</f>
        <v/>
      </c>
      <c r="Q66" s="9" t="str" cm="1">
        <f t="array" aca="1" ref="Q66" ca="1">IF($P66="","","§"&amp;INDEX('Attack Steps'!$T:$T,$P66))</f>
        <v/>
      </c>
      <c r="R66" s="9" t="str" cm="1">
        <f t="array" aca="1" ref="R66" ca="1">IF($P66="","",INDEX('Attack Steps'!$X:$X,$P66))</f>
        <v/>
      </c>
      <c r="S66" s="9" t="b">
        <f t="shared" ca="1" si="6"/>
        <v>0</v>
      </c>
      <c r="T66" s="9" cm="1">
        <f t="array" aca="1" ref="T66" ca="1">IF($M66="",0,OperateOnList($M66,_xlfn.LAMBDA(_xlpm._x,SimpleLookup(_xlpm._x,'Damage Scenarios'!$A:$U)),_xlfn.LAMBDA(_xlpm._x,_xlpm._y,MAX(_xlpm._x,_xlpm._y))))</f>
        <v>0</v>
      </c>
      <c r="U66" s="9" cm="1">
        <f t="array" aca="1" ref="U66" ca="1">IF($O66="",0,OperateOnList($O66,_xlfn.LAMBDA(_xlpm._x,SimpleLookup(_xlpm._x,'Damage Scenarios'!$A:$U)),_xlfn.LAMBDA(_xlpm._x,_xlpm._y,MAX(_xlpm._x,_xlpm._y))))</f>
        <v>0</v>
      </c>
      <c r="V66" s="9" t="str">
        <f ca="1">IF($U66=0,"",INDEX(Definitions!$Q:$Q,MATCH($U66,Definitions!$R:$R,0)))</f>
        <v/>
      </c>
      <c r="W66" s="9" cm="1">
        <f t="array" aca="1" ref="W66" ca="1">IF($K66="",0,_xlfn.LET(
_xlpm._listOfAttackSteps,$K66,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66" s="9" t="str" cm="1">
        <f t="array" aca="1" ref="X66" ca="1">IF(ROW()=ROW($X$2)+1,"",INDEX($X:$X,ROW()-1))&amp;IF($A66="","",$A66&amp;",")</f>
        <v/>
      </c>
      <c r="Y66" s="9" t="str" cm="1">
        <f t="array" aca="1" ref="Y66" ca="1">CreateSearchString($K66)</f>
        <v/>
      </c>
      <c r="Z66" s="9" cm="1">
        <f t="array" aca="1" ref="Z66" ca="1">IF($G66="",0,SimpleLookup($G66,Definitions!$AE:$AF))</f>
        <v>0</v>
      </c>
      <c r="AA66" s="9" t="str" cm="1">
        <f t="array" aca="1" ref="AA66" ca="1">SanitizeInput(InverseLookup($A66,Mitigation!$U$2,Mitigation!$J$2,1,Helper!$B$5,","))</f>
        <v/>
      </c>
      <c r="AB66" s="9" cm="1">
        <f t="array" aca="1" ref="AB66" ca="1">IF($K66="",0,_xlfn.LET(
_xlpm._listOfAttackStepsAndMitigations,$K66&amp;$AA66,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66" s="9" t="str">
        <f ca="1">IFERROR(VLOOKUP($AB66,Definitions!$V:$W,COLUMNS(Definitions!$V:$W),TRUE),"")</f>
        <v>Basic</v>
      </c>
      <c r="AD66" s="9" t="str">
        <f ca="1">_xlfn.LET(
_xlpm._comments,GetValues($K66,Mitigation!$A:$O,"","",FALSE),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66" s="9" t="str" cm="1">
        <f t="array" aca="1" ref="AE66" ca="1">_xlfn.LET(
_xlpm._rapRange,Definitions!$W:$W,
_xlpm._calculatedRAP,$AC66,
_xlpm._inlineRAP,$AD66,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66" s="9" t="str">
        <f ca="1">IFERROR(IF(OR($V66="",$AE66=""),
Definitions!$AE$4,
VLOOKUP($V66,Definitions!$AH:$AM,MATCH($AE66,Definitions!$AH$3:$AM$3,0),FALSE)),
"")</f>
        <v>No Risk</v>
      </c>
      <c r="AG66" s="9" cm="1">
        <f t="array" aca="1" ref="AG66" ca="1">IF($AF66="",0,SimpleLookup($AF66,Definitions!$AE:$AF))</f>
        <v>0</v>
      </c>
      <c r="AH66" s="9" t="str" cm="1">
        <f t="array" aca="1" ref="AH66" ca="1">IFERROR(SimpleLookup($A66,Tracing!$B:$Z),"")</f>
        <v/>
      </c>
      <c r="AI66" s="9" t="str" cm="1">
        <f t="array" aca="1" ref="AI66" ca="1">_xlfn.LET(_xlpm._dm,SanitizeInput(GetValuesWithFallback(SanitizeInput($AH66),Assumptions!$A:$J,Countermeasures!$A:$J,"",",",FALSE)),
IF(_xlpm._dm="","",","&amp;_xlpm._dm))</f>
        <v/>
      </c>
      <c r="AJ66" s="9" t="str" cm="1">
        <f t="array" aca="1" ref="AJ66" ca="1">ApplyDamageMitigation($M66,$AI66,"")</f>
        <v/>
      </c>
      <c r="AK66" s="9" cm="1">
        <f t="array" aca="1" ref="AK66" ca="1">CalculateMaxFromList($AJ66,0,'Damage Scenarios'!$A:$U)</f>
        <v>0</v>
      </c>
      <c r="AL66" s="9" t="str">
        <f ca="1">IF($AK66=0,"",INDEX(Definitions!$Q:$Q,MATCH($AK66,Definitions!$R:$R,0)))</f>
        <v/>
      </c>
      <c r="AM66" s="9" cm="1">
        <f t="array" aca="1" ref="AM66" ca="1">IF($K66="",0,_xlfn.LET(
_xlpm._listOfAttackStepsAndMitigations,$K66&amp;$AH66,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66" s="9" t="str">
        <f ca="1">IFERROR(VLOOKUP($AM66,Definitions!$V:$W,COLUMNS(Definitions!$V:$W),TRUE),"")</f>
        <v>Basic</v>
      </c>
      <c r="AO66" s="9" t="str">
        <f ca="1">_xlfn.LET(
_xlpm._comments,SimpleLookup($A66,Tracing!$B:$AB),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66" s="9" t="str" cm="1">
        <f t="array" aca="1" ref="AP66" ca="1">_xlfn.LET(
_xlpm._rapRange,Definitions!$W:$W,
_xlpm._calculatedRAP,$AN66,
_xlpm._inlineRAP,$AO66,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66" s="9" t="str">
        <f ca="1">IFERROR(IF(OR($AL66="",$AP66=""),
Definitions!$AE$4,
VLOOKUP($AL66,Definitions!$AH:$AM,MATCH($AP66,Definitions!$AH$3:$AM$3,0),FALSE)),
"")</f>
        <v>No Risk</v>
      </c>
      <c r="AR66" s="9" cm="1">
        <f t="array" aca="1" ref="AR66" ca="1">IF($AQ66="",0,SimpleLookup($AQ66,Definitions!$AE:$AF))</f>
        <v>0</v>
      </c>
      <c r="AS66" s="9" t="b">
        <f ca="1">OR(AND($S66,$I66=Helper!$B$7),$I66&gt;Helper!$B$7)</f>
        <v>1</v>
      </c>
      <c r="AT66" s="9" t="str">
        <f t="shared" ca="1" si="7"/>
        <v/>
      </c>
      <c r="AU66" s="9" cm="1">
        <f t="array" aca="1" ref="AU66" ca="1">CreateID($AU$2,$AT66&lt;&gt;"")</f>
        <v>0</v>
      </c>
      <c r="AV66" s="9" t="str">
        <f ca="1">IF(IFERROR(MATCH(","&amp;A66&amp;",",'Risk Treatment'!$AT:$AT,0)&gt;0,FALSE),"",$A66)</f>
        <v/>
      </c>
      <c r="AW66" s="9" cm="1">
        <f t="array" aca="1" ref="AW66" ca="1">CreateID($AW$2,$AV66&lt;&gt;"")</f>
        <v>0</v>
      </c>
      <c r="AX66" s="9" t="str" cm="1">
        <f t="array" aca="1" ref="AX66" ca="1">CreateSearchString($AA66)</f>
        <v/>
      </c>
    </row>
    <row r="67" spans="1:50" x14ac:dyDescent="0.25">
      <c r="A67" s="13" t="str" cm="1">
        <f t="array" aca="1" ref="A67" ca="1">IF($B67="","","R"&amp;RemoveDelimiter(SUBSTITUTE(SUBSTITUTE($K67,"AS",""),",","-"),"-"))</f>
        <v/>
      </c>
      <c r="B67" s="13" t="str" cm="1">
        <f t="array" aca="1" ref="B67" ca="1">IF($L67="","",_xlfn.LET(
_xlpm._finalAttackStep,$L67,
_xlpm._prepAttacks,RemoveFirstElement(_xlpm._finalAttackStep&amp;","&amp;$K67),
_xlpm._prepAttackNames,IFERROR(LookupNames(_xlpm._prepAttacks,'Attack Steps'!$A:$B),""),
_xlpm._delimiter,REPT(CHAR(150),55),
$L67&amp;" "&amp;SimpleLookup($L67,'Attack Steps'!$A:$B)&amp;
IF(_xlpm._prepAttackNames="","",CHAR(10)&amp;_xlpm._delimiter&amp;CHAR(10)&amp;_xlpm._prepAttackNames)))</f>
        <v/>
      </c>
      <c r="C67" s="16" t="str" cm="1">
        <f t="array" aca="1" ref="C67" ca="1">IFERROR(LookupNames($M67,'Damage Scenarios'!$A:$V),"")</f>
        <v/>
      </c>
      <c r="D67" s="13" t="str">
        <f ca="1">IFERROR(IF($T67=0,"",INDEX(Definitions!$Q:$Q,MATCH($T67,Definitions!$R:$R,0))),"")</f>
        <v/>
      </c>
      <c r="E67" s="16" t="str" cm="1">
        <f t="array" aca="1" ref="E67" ca="1">IF($K67="","",_xlfn.LET(
_xlpm._listOfAttackSteps,$K67,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67" s="13" t="str">
        <f ca="1">IF($A67="","",IFERROR(VLOOKUP($W67,Definitions!$V:$W,COLUMNS(Definitions!$V:$W),TRUE),""))</f>
        <v/>
      </c>
      <c r="G67" s="13" t="str">
        <f ca="1">IFERROR(IF(OR($D67="",$F67=""),
"",
VLOOKUP($D67,Definitions!$AH:$AM,MATCH($F67,Definitions!$AH$3:$AM$3,0),FALSE)),
"")</f>
        <v/>
      </c>
      <c r="H67" s="10" cm="1">
        <f t="array" aca="1" ref="H67" ca="1">CreateID($H$2,$A67&lt;&gt;"")</f>
        <v>0</v>
      </c>
      <c r="I67" s="9" cm="1">
        <f t="array" aca="1" ref="I67" ca="1">IF(ROW()=ROW($I$2)+1,
1,
INDEX($I:$I,ROW()-1)+IF(INDEX($S:$S,ROW()-1),1,0))</f>
        <v>1</v>
      </c>
      <c r="J67" s="9">
        <f t="shared" ref="J67:J77" ca="1" si="8">COUNTIF(OFFSET($I$2,1,0,ROW()-ROW($I$2),1),$I67)</f>
        <v>65</v>
      </c>
      <c r="K67" s="9" t="str">
        <f t="shared" ca="1" si="5"/>
        <v/>
      </c>
      <c r="L67" s="9" t="str" cm="1">
        <f t="array" aca="1" ref="L67" ca="1">IF($P67="","",INDEX('Attack Steps'!$A:$A,$P67))</f>
        <v/>
      </c>
      <c r="M67" s="9" t="str" cm="1">
        <f t="array" aca="1" ref="M67" ca="1">IF($P67="","",INDEX('Attack Steps'!$U:$U,$P67))</f>
        <v/>
      </c>
      <c r="N67" s="9" t="str" cm="1">
        <f t="array" aca="1" ref="N67" ca="1">_xlfn.LET(_xlpm._dm,SanitizeInput(GetValuesWithFallback(SanitizeInput($AA67),Assumptions!$A:$J,Countermeasures!$A:$J,"",",",FALSE)),
IF(_xlpm._dm="","",","&amp;_xlpm._dm))</f>
        <v/>
      </c>
      <c r="O67" s="9" t="str" cm="1">
        <f t="array" aca="1" ref="O67" ca="1">ApplyDamageMitigation($M67,$N67,"")</f>
        <v/>
      </c>
      <c r="P67" s="9" t="str">
        <f ca="1">IFERROR(MATCH($I67,'Attack Steps'!$W:$W,0),"")</f>
        <v/>
      </c>
      <c r="Q67" s="9" t="str" cm="1">
        <f t="array" aca="1" ref="Q67" ca="1">IF($P67="","","§"&amp;INDEX('Attack Steps'!$T:$T,$P67))</f>
        <v/>
      </c>
      <c r="R67" s="9" t="str" cm="1">
        <f t="array" aca="1" ref="R67" ca="1">IF($P67="","",INDEX('Attack Steps'!$X:$X,$P67))</f>
        <v/>
      </c>
      <c r="S67" s="9" t="b">
        <f t="shared" ca="1" si="6"/>
        <v>0</v>
      </c>
      <c r="T67" s="9" cm="1">
        <f t="array" aca="1" ref="T67" ca="1">IF($M67="",0,OperateOnList($M67,_xlfn.LAMBDA(_xlpm._x,SimpleLookup(_xlpm._x,'Damage Scenarios'!$A:$U)),_xlfn.LAMBDA(_xlpm._x,_xlpm._y,MAX(_xlpm._x,_xlpm._y))))</f>
        <v>0</v>
      </c>
      <c r="U67" s="9" cm="1">
        <f t="array" aca="1" ref="U67" ca="1">IF($O67="",0,OperateOnList($O67,_xlfn.LAMBDA(_xlpm._x,SimpleLookup(_xlpm._x,'Damage Scenarios'!$A:$U)),_xlfn.LAMBDA(_xlpm._x,_xlpm._y,MAX(_xlpm._x,_xlpm._y))))</f>
        <v>0</v>
      </c>
      <c r="V67" s="9" t="str">
        <f ca="1">IF($U67=0,"",INDEX(Definitions!$Q:$Q,MATCH($U67,Definitions!$R:$R,0)))</f>
        <v/>
      </c>
      <c r="W67" s="9" cm="1">
        <f t="array" aca="1" ref="W67" ca="1">IF($K67="",0,_xlfn.LET(
_xlpm._listOfAttackSteps,$K67,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67" s="9" t="str" cm="1">
        <f t="array" aca="1" ref="X67" ca="1">IF(ROW()=ROW($X$2)+1,"",INDEX($X:$X,ROW()-1))&amp;IF($A67="","",$A67&amp;",")</f>
        <v/>
      </c>
      <c r="Y67" s="9" t="str" cm="1">
        <f t="array" aca="1" ref="Y67" ca="1">CreateSearchString($K67)</f>
        <v/>
      </c>
      <c r="Z67" s="9" cm="1">
        <f t="array" aca="1" ref="Z67" ca="1">IF($G67="",0,SimpleLookup($G67,Definitions!$AE:$AF))</f>
        <v>0</v>
      </c>
      <c r="AA67" s="9" t="str" cm="1">
        <f t="array" aca="1" ref="AA67" ca="1">SanitizeInput(InverseLookup($A67,Mitigation!$U$2,Mitigation!$J$2,1,Helper!$B$5,","))</f>
        <v/>
      </c>
      <c r="AB67" s="9" cm="1">
        <f t="array" aca="1" ref="AB67" ca="1">IF($K67="",0,_xlfn.LET(
_xlpm._listOfAttackStepsAndMitigations,$K67&amp;$AA67,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67" s="9" t="str">
        <f ca="1">IFERROR(VLOOKUP($AB67,Definitions!$V:$W,COLUMNS(Definitions!$V:$W),TRUE),"")</f>
        <v>Basic</v>
      </c>
      <c r="AD67" s="9" t="str">
        <f ca="1">_xlfn.LET(
_xlpm._comments,GetValues($K67,Mitigation!$A:$O,"","",FALSE),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67" s="9" t="str" cm="1">
        <f t="array" aca="1" ref="AE67" ca="1">_xlfn.LET(
_xlpm._rapRange,Definitions!$W:$W,
_xlpm._calculatedRAP,$AC67,
_xlpm._inlineRAP,$AD67,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67" s="9" t="str">
        <f ca="1">IFERROR(IF(OR($V67="",$AE67=""),
Definitions!$AE$4,
VLOOKUP($V67,Definitions!$AH:$AM,MATCH($AE67,Definitions!$AH$3:$AM$3,0),FALSE)),
"")</f>
        <v>No Risk</v>
      </c>
      <c r="AG67" s="9" cm="1">
        <f t="array" aca="1" ref="AG67" ca="1">IF($AF67="",0,SimpleLookup($AF67,Definitions!$AE:$AF))</f>
        <v>0</v>
      </c>
      <c r="AH67" s="9" t="str" cm="1">
        <f t="array" aca="1" ref="AH67" ca="1">IFERROR(SimpleLookup($A67,Tracing!$B:$Z),"")</f>
        <v/>
      </c>
      <c r="AI67" s="9" t="str" cm="1">
        <f t="array" aca="1" ref="AI67" ca="1">_xlfn.LET(_xlpm._dm,SanitizeInput(GetValuesWithFallback(SanitizeInput($AH67),Assumptions!$A:$J,Countermeasures!$A:$J,"",",",FALSE)),
IF(_xlpm._dm="","",","&amp;_xlpm._dm))</f>
        <v/>
      </c>
      <c r="AJ67" s="9" t="str" cm="1">
        <f t="array" aca="1" ref="AJ67" ca="1">ApplyDamageMitigation($M67,$AI67,"")</f>
        <v/>
      </c>
      <c r="AK67" s="9" cm="1">
        <f t="array" aca="1" ref="AK67" ca="1">CalculateMaxFromList($AJ67,0,'Damage Scenarios'!$A:$U)</f>
        <v>0</v>
      </c>
      <c r="AL67" s="9" t="str">
        <f ca="1">IF($AK67=0,"",INDEX(Definitions!$Q:$Q,MATCH($AK67,Definitions!$R:$R,0)))</f>
        <v/>
      </c>
      <c r="AM67" s="9" cm="1">
        <f t="array" aca="1" ref="AM67" ca="1">IF($K67="",0,_xlfn.LET(
_xlpm._listOfAttackStepsAndMitigations,$K67&amp;$AH67,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67" s="9" t="str">
        <f ca="1">IFERROR(VLOOKUP($AM67,Definitions!$V:$W,COLUMNS(Definitions!$V:$W),TRUE),"")</f>
        <v>Basic</v>
      </c>
      <c r="AO67" s="9" t="str">
        <f ca="1">_xlfn.LET(
_xlpm._comments,SimpleLookup($A67,Tracing!$B:$AB),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67" s="9" t="str" cm="1">
        <f t="array" aca="1" ref="AP67" ca="1">_xlfn.LET(
_xlpm._rapRange,Definitions!$W:$W,
_xlpm._calculatedRAP,$AN67,
_xlpm._inlineRAP,$AO67,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67" s="9" t="str">
        <f ca="1">IFERROR(IF(OR($AL67="",$AP67=""),
Definitions!$AE$4,
VLOOKUP($AL67,Definitions!$AH:$AM,MATCH($AP67,Definitions!$AH$3:$AM$3,0),FALSE)),
"")</f>
        <v>No Risk</v>
      </c>
      <c r="AR67" s="9" cm="1">
        <f t="array" aca="1" ref="AR67" ca="1">IF($AQ67="",0,SimpleLookup($AQ67,Definitions!$AE:$AF))</f>
        <v>0</v>
      </c>
      <c r="AS67" s="9" t="b">
        <f ca="1">OR(AND($S67,$I67=Helper!$B$7),$I67&gt;Helper!$B$7)</f>
        <v>1</v>
      </c>
      <c r="AT67" s="9" t="str">
        <f t="shared" ca="1" si="7"/>
        <v/>
      </c>
      <c r="AU67" s="9" cm="1">
        <f t="array" aca="1" ref="AU67" ca="1">CreateID($AU$2,$AT67&lt;&gt;"")</f>
        <v>0</v>
      </c>
      <c r="AV67" s="9" t="str">
        <f ca="1">IF(IFERROR(MATCH(","&amp;A67&amp;",",'Risk Treatment'!$AT:$AT,0)&gt;0,FALSE),"",$A67)</f>
        <v/>
      </c>
      <c r="AW67" s="9" cm="1">
        <f t="array" aca="1" ref="AW67" ca="1">CreateID($AW$2,$AV67&lt;&gt;"")</f>
        <v>0</v>
      </c>
      <c r="AX67" s="9" t="str" cm="1">
        <f t="array" aca="1" ref="AX67" ca="1">CreateSearchString($AA67)</f>
        <v/>
      </c>
    </row>
    <row r="68" spans="1:50" x14ac:dyDescent="0.25">
      <c r="A68" s="13" t="str" cm="1">
        <f t="array" aca="1" ref="A68" ca="1">IF($B68="","","R"&amp;RemoveDelimiter(SUBSTITUTE(SUBSTITUTE($K68,"AS",""),",","-"),"-"))</f>
        <v/>
      </c>
      <c r="B68" s="13" t="str" cm="1">
        <f t="array" aca="1" ref="B68" ca="1">IF($L68="","",_xlfn.LET(
_xlpm._finalAttackStep,$L68,
_xlpm._prepAttacks,RemoveFirstElement(_xlpm._finalAttackStep&amp;","&amp;$K68),
_xlpm._prepAttackNames,IFERROR(LookupNames(_xlpm._prepAttacks,'Attack Steps'!$A:$B),""),
_xlpm._delimiter,REPT(CHAR(150),55),
$L68&amp;" "&amp;SimpleLookup($L68,'Attack Steps'!$A:$B)&amp;
IF(_xlpm._prepAttackNames="","",CHAR(10)&amp;_xlpm._delimiter&amp;CHAR(10)&amp;_xlpm._prepAttackNames)))</f>
        <v/>
      </c>
      <c r="C68" s="16" t="str" cm="1">
        <f t="array" aca="1" ref="C68" ca="1">IFERROR(LookupNames($M68,'Damage Scenarios'!$A:$V),"")</f>
        <v/>
      </c>
      <c r="D68" s="13" t="str">
        <f ca="1">IFERROR(IF($T68=0,"",INDEX(Definitions!$Q:$Q,MATCH($T68,Definitions!$R:$R,0))),"")</f>
        <v/>
      </c>
      <c r="E68" s="16" t="str" cm="1">
        <f t="array" aca="1" ref="E68" ca="1">IF($K68="","",_xlfn.LET(
_xlpm._listOfAttackSteps,$K68,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68" s="13" t="str">
        <f ca="1">IF($A68="","",IFERROR(VLOOKUP($W68,Definitions!$V:$W,COLUMNS(Definitions!$V:$W),TRUE),""))</f>
        <v/>
      </c>
      <c r="G68" s="13" t="str">
        <f ca="1">IFERROR(IF(OR($D68="",$F68=""),
"",
VLOOKUP($D68,Definitions!$AH:$AM,MATCH($F68,Definitions!$AH$3:$AM$3,0),FALSE)),
"")</f>
        <v/>
      </c>
      <c r="H68" s="10" cm="1">
        <f t="array" aca="1" ref="H68" ca="1">CreateID($H$2,$A68&lt;&gt;"")</f>
        <v>0</v>
      </c>
      <c r="I68" s="9" cm="1">
        <f t="array" aca="1" ref="I68" ca="1">IF(ROW()=ROW($I$2)+1,
1,
INDEX($I:$I,ROW()-1)+IF(INDEX($S:$S,ROW()-1),1,0))</f>
        <v>1</v>
      </c>
      <c r="J68" s="9">
        <f t="shared" ca="1" si="8"/>
        <v>66</v>
      </c>
      <c r="K68" s="9" t="str">
        <f t="shared" ca="1" si="5"/>
        <v/>
      </c>
      <c r="L68" s="9" t="str" cm="1">
        <f t="array" aca="1" ref="L68" ca="1">IF($P68="","",INDEX('Attack Steps'!$A:$A,$P68))</f>
        <v/>
      </c>
      <c r="M68" s="9" t="str" cm="1">
        <f t="array" aca="1" ref="M68" ca="1">IF($P68="","",INDEX('Attack Steps'!$U:$U,$P68))</f>
        <v/>
      </c>
      <c r="N68" s="9" t="str" cm="1">
        <f t="array" aca="1" ref="N68" ca="1">_xlfn.LET(_xlpm._dm,SanitizeInput(GetValuesWithFallback(SanitizeInput($AA68),Assumptions!$A:$J,Countermeasures!$A:$J,"",",",FALSE)),
IF(_xlpm._dm="","",","&amp;_xlpm._dm))</f>
        <v/>
      </c>
      <c r="O68" s="9" t="str" cm="1">
        <f t="array" aca="1" ref="O68" ca="1">ApplyDamageMitigation($M68,$N68,"")</f>
        <v/>
      </c>
      <c r="P68" s="9" t="str">
        <f ca="1">IFERROR(MATCH($I68,'Attack Steps'!$W:$W,0),"")</f>
        <v/>
      </c>
      <c r="Q68" s="9" t="str" cm="1">
        <f t="array" aca="1" ref="Q68" ca="1">IF($P68="","","§"&amp;INDEX('Attack Steps'!$T:$T,$P68))</f>
        <v/>
      </c>
      <c r="R68" s="9" t="str" cm="1">
        <f t="array" aca="1" ref="R68" ca="1">IF($P68="","",INDEX('Attack Steps'!$X:$X,$P68))</f>
        <v/>
      </c>
      <c r="S68" s="9" t="b">
        <f t="shared" ca="1" si="6"/>
        <v>0</v>
      </c>
      <c r="T68" s="9" cm="1">
        <f t="array" aca="1" ref="T68" ca="1">IF($M68="",0,OperateOnList($M68,_xlfn.LAMBDA(_xlpm._x,SimpleLookup(_xlpm._x,'Damage Scenarios'!$A:$U)),_xlfn.LAMBDA(_xlpm._x,_xlpm._y,MAX(_xlpm._x,_xlpm._y))))</f>
        <v>0</v>
      </c>
      <c r="U68" s="9" cm="1">
        <f t="array" aca="1" ref="U68" ca="1">IF($O68="",0,OperateOnList($O68,_xlfn.LAMBDA(_xlpm._x,SimpleLookup(_xlpm._x,'Damage Scenarios'!$A:$U)),_xlfn.LAMBDA(_xlpm._x,_xlpm._y,MAX(_xlpm._x,_xlpm._y))))</f>
        <v>0</v>
      </c>
      <c r="V68" s="9" t="str">
        <f ca="1">IF($U68=0,"",INDEX(Definitions!$Q:$Q,MATCH($U68,Definitions!$R:$R,0)))</f>
        <v/>
      </c>
      <c r="W68" s="9" cm="1">
        <f t="array" aca="1" ref="W68" ca="1">IF($K68="",0,_xlfn.LET(
_xlpm._listOfAttackSteps,$K68,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68" s="9" t="str" cm="1">
        <f t="array" aca="1" ref="X68" ca="1">IF(ROW()=ROW($X$2)+1,"",INDEX($X:$X,ROW()-1))&amp;IF($A68="","",$A68&amp;",")</f>
        <v/>
      </c>
      <c r="Y68" s="9" t="str" cm="1">
        <f t="array" aca="1" ref="Y68" ca="1">CreateSearchString($K68)</f>
        <v/>
      </c>
      <c r="Z68" s="9" cm="1">
        <f t="array" aca="1" ref="Z68" ca="1">IF($G68="",0,SimpleLookup($G68,Definitions!$AE:$AF))</f>
        <v>0</v>
      </c>
      <c r="AA68" s="9" t="str" cm="1">
        <f t="array" aca="1" ref="AA68" ca="1">SanitizeInput(InverseLookup($A68,Mitigation!$U$2,Mitigation!$J$2,1,Helper!$B$5,","))</f>
        <v/>
      </c>
      <c r="AB68" s="9" cm="1">
        <f t="array" aca="1" ref="AB68" ca="1">IF($K68="",0,_xlfn.LET(
_xlpm._listOfAttackStepsAndMitigations,$K68&amp;$AA68,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68" s="9" t="str">
        <f ca="1">IFERROR(VLOOKUP($AB68,Definitions!$V:$W,COLUMNS(Definitions!$V:$W),TRUE),"")</f>
        <v>Basic</v>
      </c>
      <c r="AD68" s="9" t="str">
        <f ca="1">_xlfn.LET(
_xlpm._comments,GetValues($K68,Mitigation!$A:$O,"","",FALSE),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68" s="9" t="str" cm="1">
        <f t="array" aca="1" ref="AE68" ca="1">_xlfn.LET(
_xlpm._rapRange,Definitions!$W:$W,
_xlpm._calculatedRAP,$AC68,
_xlpm._inlineRAP,$AD68,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68" s="9" t="str">
        <f ca="1">IFERROR(IF(OR($V68="",$AE68=""),
Definitions!$AE$4,
VLOOKUP($V68,Definitions!$AH:$AM,MATCH($AE68,Definitions!$AH$3:$AM$3,0),FALSE)),
"")</f>
        <v>No Risk</v>
      </c>
      <c r="AG68" s="9" cm="1">
        <f t="array" aca="1" ref="AG68" ca="1">IF($AF68="",0,SimpleLookup($AF68,Definitions!$AE:$AF))</f>
        <v>0</v>
      </c>
      <c r="AH68" s="9" t="str" cm="1">
        <f t="array" aca="1" ref="AH68" ca="1">IFERROR(SimpleLookup($A68,Tracing!$B:$Z),"")</f>
        <v/>
      </c>
      <c r="AI68" s="9" t="str" cm="1">
        <f t="array" aca="1" ref="AI68" ca="1">_xlfn.LET(_xlpm._dm,SanitizeInput(GetValuesWithFallback(SanitizeInput($AH68),Assumptions!$A:$J,Countermeasures!$A:$J,"",",",FALSE)),
IF(_xlpm._dm="","",","&amp;_xlpm._dm))</f>
        <v/>
      </c>
      <c r="AJ68" s="9" t="str" cm="1">
        <f t="array" aca="1" ref="AJ68" ca="1">ApplyDamageMitigation($M68,$AI68,"")</f>
        <v/>
      </c>
      <c r="AK68" s="9" cm="1">
        <f t="array" aca="1" ref="AK68" ca="1">CalculateMaxFromList($AJ68,0,'Damage Scenarios'!$A:$U)</f>
        <v>0</v>
      </c>
      <c r="AL68" s="9" t="str">
        <f ca="1">IF($AK68=0,"",INDEX(Definitions!$Q:$Q,MATCH($AK68,Definitions!$R:$R,0)))</f>
        <v/>
      </c>
      <c r="AM68" s="9" cm="1">
        <f t="array" aca="1" ref="AM68" ca="1">IF($K68="",0,_xlfn.LET(
_xlpm._listOfAttackStepsAndMitigations,$K68&amp;$AH68,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68" s="9" t="str">
        <f ca="1">IFERROR(VLOOKUP($AM68,Definitions!$V:$W,COLUMNS(Definitions!$V:$W),TRUE),"")</f>
        <v>Basic</v>
      </c>
      <c r="AO68" s="9" t="str">
        <f ca="1">_xlfn.LET(
_xlpm._comments,SimpleLookup($A68,Tracing!$B:$AB),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68" s="9" t="str" cm="1">
        <f t="array" aca="1" ref="AP68" ca="1">_xlfn.LET(
_xlpm._rapRange,Definitions!$W:$W,
_xlpm._calculatedRAP,$AN68,
_xlpm._inlineRAP,$AO68,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68" s="9" t="str">
        <f ca="1">IFERROR(IF(OR($AL68="",$AP68=""),
Definitions!$AE$4,
VLOOKUP($AL68,Definitions!$AH:$AM,MATCH($AP68,Definitions!$AH$3:$AM$3,0),FALSE)),
"")</f>
        <v>No Risk</v>
      </c>
      <c r="AR68" s="9" cm="1">
        <f t="array" aca="1" ref="AR68" ca="1">IF($AQ68="",0,SimpleLookup($AQ68,Definitions!$AE:$AF))</f>
        <v>0</v>
      </c>
      <c r="AS68" s="9" t="b">
        <f ca="1">OR(AND($S68,$I68=Helper!$B$7),$I68&gt;Helper!$B$7)</f>
        <v>1</v>
      </c>
      <c r="AT68" s="9" t="str">
        <f t="shared" ca="1" si="7"/>
        <v/>
      </c>
      <c r="AU68" s="9" cm="1">
        <f t="array" aca="1" ref="AU68" ca="1">CreateID($AU$2,$AT68&lt;&gt;"")</f>
        <v>0</v>
      </c>
      <c r="AV68" s="9" t="str">
        <f ca="1">IF(IFERROR(MATCH(","&amp;A68&amp;",",'Risk Treatment'!$AT:$AT,0)&gt;0,FALSE),"",$A68)</f>
        <v/>
      </c>
      <c r="AW68" s="9" cm="1">
        <f t="array" aca="1" ref="AW68" ca="1">CreateID($AW$2,$AV68&lt;&gt;"")</f>
        <v>0</v>
      </c>
      <c r="AX68" s="9" t="str" cm="1">
        <f t="array" aca="1" ref="AX68" ca="1">CreateSearchString($AA68)</f>
        <v/>
      </c>
    </row>
    <row r="69" spans="1:50" x14ac:dyDescent="0.25">
      <c r="A69" s="13" t="str" cm="1">
        <f t="array" aca="1" ref="A69" ca="1">IF($B69="","","R"&amp;RemoveDelimiter(SUBSTITUTE(SUBSTITUTE($K69,"AS",""),",","-"),"-"))</f>
        <v/>
      </c>
      <c r="B69" s="13" t="str" cm="1">
        <f t="array" aca="1" ref="B69" ca="1">IF($L69="","",_xlfn.LET(
_xlpm._finalAttackStep,$L69,
_xlpm._prepAttacks,RemoveFirstElement(_xlpm._finalAttackStep&amp;","&amp;$K69),
_xlpm._prepAttackNames,IFERROR(LookupNames(_xlpm._prepAttacks,'Attack Steps'!$A:$B),""),
_xlpm._delimiter,REPT(CHAR(150),55),
$L69&amp;" "&amp;SimpleLookup($L69,'Attack Steps'!$A:$B)&amp;
IF(_xlpm._prepAttackNames="","",CHAR(10)&amp;_xlpm._delimiter&amp;CHAR(10)&amp;_xlpm._prepAttackNames)))</f>
        <v/>
      </c>
      <c r="C69" s="16" t="str" cm="1">
        <f t="array" aca="1" ref="C69" ca="1">IFERROR(LookupNames($M69,'Damage Scenarios'!$A:$V),"")</f>
        <v/>
      </c>
      <c r="D69" s="13" t="str">
        <f ca="1">IFERROR(IF($T69=0,"",INDEX(Definitions!$Q:$Q,MATCH($T69,Definitions!$R:$R,0))),"")</f>
        <v/>
      </c>
      <c r="E69" s="16" t="str" cm="1">
        <f t="array" aca="1" ref="E69" ca="1">IF($K69="","",_xlfn.LET(
_xlpm._listOfAttackSteps,$K69,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69" s="13" t="str">
        <f ca="1">IF($A69="","",IFERROR(VLOOKUP($W69,Definitions!$V:$W,COLUMNS(Definitions!$V:$W),TRUE),""))</f>
        <v/>
      </c>
      <c r="G69" s="13" t="str">
        <f ca="1">IFERROR(IF(OR($D69="",$F69=""),
"",
VLOOKUP($D69,Definitions!$AH:$AM,MATCH($F69,Definitions!$AH$3:$AM$3,0),FALSE)),
"")</f>
        <v/>
      </c>
      <c r="H69" s="10" cm="1">
        <f t="array" aca="1" ref="H69" ca="1">CreateID($H$2,$A69&lt;&gt;"")</f>
        <v>0</v>
      </c>
      <c r="I69" s="9" cm="1">
        <f t="array" aca="1" ref="I69" ca="1">IF(ROW()=ROW($I$2)+1,
1,
INDEX($I:$I,ROW()-1)+IF(INDEX($S:$S,ROW()-1),1,0))</f>
        <v>1</v>
      </c>
      <c r="J69" s="9">
        <f t="shared" ca="1" si="8"/>
        <v>67</v>
      </c>
      <c r="K69" s="9" t="str">
        <f t="shared" ref="K69:K77" ca="1" si="9">IF($Q69="","",_xlfn.LET(
_xlpm._aps,$Q69,
_xlpm._firstPos,FIND("$",SUBSTITUTE(_xlpm._aps,"§","$",$J69))+1,
_xlpm._lastPos,FIND("$",SUBSTITUTE(_xlpm._aps,"§","$",$J69+1)),
MID(_xlpm._aps,_xlpm._firstPos,_xlpm._lastPos-_xlpm._firstPos)))</f>
        <v/>
      </c>
      <c r="L69" s="9" t="str" cm="1">
        <f t="array" aca="1" ref="L69" ca="1">IF($P69="","",INDEX('Attack Steps'!$A:$A,$P69))</f>
        <v/>
      </c>
      <c r="M69" s="9" t="str" cm="1">
        <f t="array" aca="1" ref="M69" ca="1">IF($P69="","",INDEX('Attack Steps'!$U:$U,$P69))</f>
        <v/>
      </c>
      <c r="N69" s="9" t="str" cm="1">
        <f t="array" aca="1" ref="N69" ca="1">_xlfn.LET(_xlpm._dm,SanitizeInput(GetValuesWithFallback(SanitizeInput($AA69),Assumptions!$A:$J,Countermeasures!$A:$J,"",",",FALSE)),
IF(_xlpm._dm="","",","&amp;_xlpm._dm))</f>
        <v/>
      </c>
      <c r="O69" s="9" t="str" cm="1">
        <f t="array" aca="1" ref="O69" ca="1">ApplyDamageMitigation($M69,$N69,"")</f>
        <v/>
      </c>
      <c r="P69" s="9" t="str">
        <f ca="1">IFERROR(MATCH($I69,'Attack Steps'!$W:$W,0),"")</f>
        <v/>
      </c>
      <c r="Q69" s="9" t="str" cm="1">
        <f t="array" aca="1" ref="Q69" ca="1">IF($P69="","","§"&amp;INDEX('Attack Steps'!$T:$T,$P69))</f>
        <v/>
      </c>
      <c r="R69" s="9" t="str" cm="1">
        <f t="array" aca="1" ref="R69" ca="1">IF($P69="","",INDEX('Attack Steps'!$X:$X,$P69))</f>
        <v/>
      </c>
      <c r="S69" s="9" t="b">
        <f t="shared" ref="S69:S77" ca="1" si="10">$J69=$R69</f>
        <v>0</v>
      </c>
      <c r="T69" s="9" cm="1">
        <f t="array" aca="1" ref="T69" ca="1">IF($M69="",0,OperateOnList($M69,_xlfn.LAMBDA(_xlpm._x,SimpleLookup(_xlpm._x,'Damage Scenarios'!$A:$U)),_xlfn.LAMBDA(_xlpm._x,_xlpm._y,MAX(_xlpm._x,_xlpm._y))))</f>
        <v>0</v>
      </c>
      <c r="U69" s="9" cm="1">
        <f t="array" aca="1" ref="U69" ca="1">IF($O69="",0,OperateOnList($O69,_xlfn.LAMBDA(_xlpm._x,SimpleLookup(_xlpm._x,'Damage Scenarios'!$A:$U)),_xlfn.LAMBDA(_xlpm._x,_xlpm._y,MAX(_xlpm._x,_xlpm._y))))</f>
        <v>0</v>
      </c>
      <c r="V69" s="9" t="str">
        <f ca="1">IF($U69=0,"",INDEX(Definitions!$Q:$Q,MATCH($U69,Definitions!$R:$R,0)))</f>
        <v/>
      </c>
      <c r="W69" s="9" cm="1">
        <f t="array" aca="1" ref="W69" ca="1">IF($K69="",0,_xlfn.LET(
_xlpm._listOfAttackSteps,$K69,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69" s="9" t="str" cm="1">
        <f t="array" aca="1" ref="X69" ca="1">IF(ROW()=ROW($X$2)+1,"",INDEX($X:$X,ROW()-1))&amp;IF($A69="","",$A69&amp;",")</f>
        <v/>
      </c>
      <c r="Y69" s="9" t="str" cm="1">
        <f t="array" aca="1" ref="Y69" ca="1">CreateSearchString($K69)</f>
        <v/>
      </c>
      <c r="Z69" s="9" cm="1">
        <f t="array" aca="1" ref="Z69" ca="1">IF($G69="",0,SimpleLookup($G69,Definitions!$AE:$AF))</f>
        <v>0</v>
      </c>
      <c r="AA69" s="9" t="str" cm="1">
        <f t="array" aca="1" ref="AA69" ca="1">SanitizeInput(InverseLookup($A69,Mitigation!$U$2,Mitigation!$J$2,1,Helper!$B$5,","))</f>
        <v/>
      </c>
      <c r="AB69" s="9" cm="1">
        <f t="array" aca="1" ref="AB69" ca="1">IF($K69="",0,_xlfn.LET(
_xlpm._listOfAttackStepsAndMitigations,$K69&amp;$AA69,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69" s="9" t="str">
        <f ca="1">IFERROR(VLOOKUP($AB69,Definitions!$V:$W,COLUMNS(Definitions!$V:$W),TRUE),"")</f>
        <v>Basic</v>
      </c>
      <c r="AD69" s="9" t="str">
        <f ca="1">_xlfn.LET(
_xlpm._comments,GetValues($K69,Mitigation!$A:$O,"","",FALSE),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69" s="9" t="str" cm="1">
        <f t="array" aca="1" ref="AE69" ca="1">_xlfn.LET(
_xlpm._rapRange,Definitions!$W:$W,
_xlpm._calculatedRAP,$AC69,
_xlpm._inlineRAP,$AD69,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69" s="9" t="str">
        <f ca="1">IFERROR(IF(OR($V69="",$AE69=""),
Definitions!$AE$4,
VLOOKUP($V69,Definitions!$AH:$AM,MATCH($AE69,Definitions!$AH$3:$AM$3,0),FALSE)),
"")</f>
        <v>No Risk</v>
      </c>
      <c r="AG69" s="9" cm="1">
        <f t="array" aca="1" ref="AG69" ca="1">IF($AF69="",0,SimpleLookup($AF69,Definitions!$AE:$AF))</f>
        <v>0</v>
      </c>
      <c r="AH69" s="9" t="str" cm="1">
        <f t="array" aca="1" ref="AH69" ca="1">IFERROR(SimpleLookup($A69,Tracing!$B:$Z),"")</f>
        <v/>
      </c>
      <c r="AI69" s="9" t="str" cm="1">
        <f t="array" aca="1" ref="AI69" ca="1">_xlfn.LET(_xlpm._dm,SanitizeInput(GetValuesWithFallback(SanitizeInput($AH69),Assumptions!$A:$J,Countermeasures!$A:$J,"",",",FALSE)),
IF(_xlpm._dm="","",","&amp;_xlpm._dm))</f>
        <v/>
      </c>
      <c r="AJ69" s="9" t="str" cm="1">
        <f t="array" aca="1" ref="AJ69" ca="1">ApplyDamageMitigation($M69,$AI69,"")</f>
        <v/>
      </c>
      <c r="AK69" s="9" cm="1">
        <f t="array" aca="1" ref="AK69" ca="1">CalculateMaxFromList($AJ69,0,'Damage Scenarios'!$A:$U)</f>
        <v>0</v>
      </c>
      <c r="AL69" s="9" t="str">
        <f ca="1">IF($AK69=0,"",INDEX(Definitions!$Q:$Q,MATCH($AK69,Definitions!$R:$R,0)))</f>
        <v/>
      </c>
      <c r="AM69" s="9" cm="1">
        <f t="array" aca="1" ref="AM69" ca="1">IF($K69="",0,_xlfn.LET(
_xlpm._listOfAttackStepsAndMitigations,$K69&amp;$AH69,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69" s="9" t="str">
        <f ca="1">IFERROR(VLOOKUP($AM69,Definitions!$V:$W,COLUMNS(Definitions!$V:$W),TRUE),"")</f>
        <v>Basic</v>
      </c>
      <c r="AO69" s="9" t="str">
        <f ca="1">_xlfn.LET(
_xlpm._comments,SimpleLookup($A69,Tracing!$B:$AB),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69" s="9" t="str" cm="1">
        <f t="array" aca="1" ref="AP69" ca="1">_xlfn.LET(
_xlpm._rapRange,Definitions!$W:$W,
_xlpm._calculatedRAP,$AN69,
_xlpm._inlineRAP,$AO69,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69" s="9" t="str">
        <f ca="1">IFERROR(IF(OR($AL69="",$AP69=""),
Definitions!$AE$4,
VLOOKUP($AL69,Definitions!$AH:$AM,MATCH($AP69,Definitions!$AH$3:$AM$3,0),FALSE)),
"")</f>
        <v>No Risk</v>
      </c>
      <c r="AR69" s="9" cm="1">
        <f t="array" aca="1" ref="AR69" ca="1">IF($AQ69="",0,SimpleLookup($AQ69,Definitions!$AE:$AF))</f>
        <v>0</v>
      </c>
      <c r="AS69" s="9" t="b">
        <f ca="1">OR(AND($S69,$I69=Helper!$B$7),$I69&gt;Helper!$B$7)</f>
        <v>1</v>
      </c>
      <c r="AT69" s="9" t="str">
        <f t="shared" ref="AT69:AT77" ca="1" si="11">IF(NOT(OR($AS69,AND(NOT($AS69),OFFSET($AS69,1,0)&lt;&gt;""))),"Please enlarge the table!","")</f>
        <v/>
      </c>
      <c r="AU69" s="9" cm="1">
        <f t="array" aca="1" ref="AU69" ca="1">CreateID($AU$2,$AT69&lt;&gt;"")</f>
        <v>0</v>
      </c>
      <c r="AV69" s="9" t="str">
        <f ca="1">IF(IFERROR(MATCH(","&amp;A69&amp;",",'Risk Treatment'!$AT:$AT,0)&gt;0,FALSE),"",$A69)</f>
        <v/>
      </c>
      <c r="AW69" s="9" cm="1">
        <f t="array" aca="1" ref="AW69" ca="1">CreateID($AW$2,$AV69&lt;&gt;"")</f>
        <v>0</v>
      </c>
      <c r="AX69" s="9" t="str" cm="1">
        <f t="array" aca="1" ref="AX69" ca="1">CreateSearchString($AA69)</f>
        <v/>
      </c>
    </row>
    <row r="70" spans="1:50" x14ac:dyDescent="0.25">
      <c r="A70" s="13" t="str" cm="1">
        <f t="array" aca="1" ref="A70" ca="1">IF($B70="","","R"&amp;RemoveDelimiter(SUBSTITUTE(SUBSTITUTE($K70,"AS",""),",","-"),"-"))</f>
        <v/>
      </c>
      <c r="B70" s="13" t="str" cm="1">
        <f t="array" aca="1" ref="B70" ca="1">IF($L70="","",_xlfn.LET(
_xlpm._finalAttackStep,$L70,
_xlpm._prepAttacks,RemoveFirstElement(_xlpm._finalAttackStep&amp;","&amp;$K70),
_xlpm._prepAttackNames,IFERROR(LookupNames(_xlpm._prepAttacks,'Attack Steps'!$A:$B),""),
_xlpm._delimiter,REPT(CHAR(150),55),
$L70&amp;" "&amp;SimpleLookup($L70,'Attack Steps'!$A:$B)&amp;
IF(_xlpm._prepAttackNames="","",CHAR(10)&amp;_xlpm._delimiter&amp;CHAR(10)&amp;_xlpm._prepAttackNames)))</f>
        <v/>
      </c>
      <c r="C70" s="16" t="str" cm="1">
        <f t="array" aca="1" ref="C70" ca="1">IFERROR(LookupNames($M70,'Damage Scenarios'!$A:$V),"")</f>
        <v/>
      </c>
      <c r="D70" s="13" t="str">
        <f ca="1">IFERROR(IF($T70=0,"",INDEX(Definitions!$Q:$Q,MATCH($T70,Definitions!$R:$R,0))),"")</f>
        <v/>
      </c>
      <c r="E70" s="16" t="str" cm="1">
        <f t="array" aca="1" ref="E70" ca="1">IF($K70="","",_xlfn.LET(
_xlpm._listOfAttackSteps,$K70,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70" s="13" t="str">
        <f ca="1">IF($A70="","",IFERROR(VLOOKUP($W70,Definitions!$V:$W,COLUMNS(Definitions!$V:$W),TRUE),""))</f>
        <v/>
      </c>
      <c r="G70" s="13" t="str">
        <f ca="1">IFERROR(IF(OR($D70="",$F70=""),
"",
VLOOKUP($D70,Definitions!$AH:$AM,MATCH($F70,Definitions!$AH$3:$AM$3,0),FALSE)),
"")</f>
        <v/>
      </c>
      <c r="H70" s="10" cm="1">
        <f t="array" aca="1" ref="H70" ca="1">CreateID($H$2,$A70&lt;&gt;"")</f>
        <v>0</v>
      </c>
      <c r="I70" s="9" cm="1">
        <f t="array" aca="1" ref="I70" ca="1">IF(ROW()=ROW($I$2)+1,
1,
INDEX($I:$I,ROW()-1)+IF(INDEX($S:$S,ROW()-1),1,0))</f>
        <v>1</v>
      </c>
      <c r="J70" s="9">
        <f t="shared" ca="1" si="8"/>
        <v>68</v>
      </c>
      <c r="K70" s="9" t="str">
        <f t="shared" ca="1" si="9"/>
        <v/>
      </c>
      <c r="L70" s="9" t="str" cm="1">
        <f t="array" aca="1" ref="L70" ca="1">IF($P70="","",INDEX('Attack Steps'!$A:$A,$P70))</f>
        <v/>
      </c>
      <c r="M70" s="9" t="str" cm="1">
        <f t="array" aca="1" ref="M70" ca="1">IF($P70="","",INDEX('Attack Steps'!$U:$U,$P70))</f>
        <v/>
      </c>
      <c r="N70" s="9" t="str" cm="1">
        <f t="array" aca="1" ref="N70" ca="1">_xlfn.LET(_xlpm._dm,SanitizeInput(GetValuesWithFallback(SanitizeInput($AA70),Assumptions!$A:$J,Countermeasures!$A:$J,"",",",FALSE)),
IF(_xlpm._dm="","",","&amp;_xlpm._dm))</f>
        <v/>
      </c>
      <c r="O70" s="9" t="str" cm="1">
        <f t="array" aca="1" ref="O70" ca="1">ApplyDamageMitigation($M70,$N70,"")</f>
        <v/>
      </c>
      <c r="P70" s="9" t="str">
        <f ca="1">IFERROR(MATCH($I70,'Attack Steps'!$W:$W,0),"")</f>
        <v/>
      </c>
      <c r="Q70" s="9" t="str" cm="1">
        <f t="array" aca="1" ref="Q70" ca="1">IF($P70="","","§"&amp;INDEX('Attack Steps'!$T:$T,$P70))</f>
        <v/>
      </c>
      <c r="R70" s="9" t="str" cm="1">
        <f t="array" aca="1" ref="R70" ca="1">IF($P70="","",INDEX('Attack Steps'!$X:$X,$P70))</f>
        <v/>
      </c>
      <c r="S70" s="9" t="b">
        <f t="shared" ca="1" si="10"/>
        <v>0</v>
      </c>
      <c r="T70" s="9" cm="1">
        <f t="array" aca="1" ref="T70" ca="1">IF($M70="",0,OperateOnList($M70,_xlfn.LAMBDA(_xlpm._x,SimpleLookup(_xlpm._x,'Damage Scenarios'!$A:$U)),_xlfn.LAMBDA(_xlpm._x,_xlpm._y,MAX(_xlpm._x,_xlpm._y))))</f>
        <v>0</v>
      </c>
      <c r="U70" s="9" cm="1">
        <f t="array" aca="1" ref="U70" ca="1">IF($O70="",0,OperateOnList($O70,_xlfn.LAMBDA(_xlpm._x,SimpleLookup(_xlpm._x,'Damage Scenarios'!$A:$U)),_xlfn.LAMBDA(_xlpm._x,_xlpm._y,MAX(_xlpm._x,_xlpm._y))))</f>
        <v>0</v>
      </c>
      <c r="V70" s="9" t="str">
        <f ca="1">IF($U70=0,"",INDEX(Definitions!$Q:$Q,MATCH($U70,Definitions!$R:$R,0)))</f>
        <v/>
      </c>
      <c r="W70" s="9" cm="1">
        <f t="array" aca="1" ref="W70" ca="1">IF($K70="",0,_xlfn.LET(
_xlpm._listOfAttackSteps,$K70,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70" s="9" t="str" cm="1">
        <f t="array" aca="1" ref="X70" ca="1">IF(ROW()=ROW($X$2)+1,"",INDEX($X:$X,ROW()-1))&amp;IF($A70="","",$A70&amp;",")</f>
        <v/>
      </c>
      <c r="Y70" s="9" t="str" cm="1">
        <f t="array" aca="1" ref="Y70" ca="1">CreateSearchString($K70)</f>
        <v/>
      </c>
      <c r="Z70" s="9" cm="1">
        <f t="array" aca="1" ref="Z70" ca="1">IF($G70="",0,SimpleLookup($G70,Definitions!$AE:$AF))</f>
        <v>0</v>
      </c>
      <c r="AA70" s="9" t="str" cm="1">
        <f t="array" aca="1" ref="AA70" ca="1">SanitizeInput(InverseLookup($A70,Mitigation!$U$2,Mitigation!$J$2,1,Helper!$B$5,","))</f>
        <v/>
      </c>
      <c r="AB70" s="9" cm="1">
        <f t="array" aca="1" ref="AB70" ca="1">IF($K70="",0,_xlfn.LET(
_xlpm._listOfAttackStepsAndMitigations,$K70&amp;$AA70,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70" s="9" t="str">
        <f ca="1">IFERROR(VLOOKUP($AB70,Definitions!$V:$W,COLUMNS(Definitions!$V:$W),TRUE),"")</f>
        <v>Basic</v>
      </c>
      <c r="AD70" s="9" t="str">
        <f ca="1">_xlfn.LET(
_xlpm._comments,GetValues($K70,Mitigation!$A:$O,"","",FALSE),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70" s="9" t="str" cm="1">
        <f t="array" aca="1" ref="AE70" ca="1">_xlfn.LET(
_xlpm._rapRange,Definitions!$W:$W,
_xlpm._calculatedRAP,$AC70,
_xlpm._inlineRAP,$AD70,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70" s="9" t="str">
        <f ca="1">IFERROR(IF(OR($V70="",$AE70=""),
Definitions!$AE$4,
VLOOKUP($V70,Definitions!$AH:$AM,MATCH($AE70,Definitions!$AH$3:$AM$3,0),FALSE)),
"")</f>
        <v>No Risk</v>
      </c>
      <c r="AG70" s="9" cm="1">
        <f t="array" aca="1" ref="AG70" ca="1">IF($AF70="",0,SimpleLookup($AF70,Definitions!$AE:$AF))</f>
        <v>0</v>
      </c>
      <c r="AH70" s="9" t="str" cm="1">
        <f t="array" aca="1" ref="AH70" ca="1">IFERROR(SimpleLookup($A70,Tracing!$B:$Z),"")</f>
        <v/>
      </c>
      <c r="AI70" s="9" t="str" cm="1">
        <f t="array" aca="1" ref="AI70" ca="1">_xlfn.LET(_xlpm._dm,SanitizeInput(GetValuesWithFallback(SanitizeInput($AH70),Assumptions!$A:$J,Countermeasures!$A:$J,"",",",FALSE)),
IF(_xlpm._dm="","",","&amp;_xlpm._dm))</f>
        <v/>
      </c>
      <c r="AJ70" s="9" t="str" cm="1">
        <f t="array" aca="1" ref="AJ70" ca="1">ApplyDamageMitigation($M70,$AI70,"")</f>
        <v/>
      </c>
      <c r="AK70" s="9" cm="1">
        <f t="array" aca="1" ref="AK70" ca="1">CalculateMaxFromList($AJ70,0,'Damage Scenarios'!$A:$U)</f>
        <v>0</v>
      </c>
      <c r="AL70" s="9" t="str">
        <f ca="1">IF($AK70=0,"",INDEX(Definitions!$Q:$Q,MATCH($AK70,Definitions!$R:$R,0)))</f>
        <v/>
      </c>
      <c r="AM70" s="9" cm="1">
        <f t="array" aca="1" ref="AM70" ca="1">IF($K70="",0,_xlfn.LET(
_xlpm._listOfAttackStepsAndMitigations,$K70&amp;$AH70,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70" s="9" t="str">
        <f ca="1">IFERROR(VLOOKUP($AM70,Definitions!$V:$W,COLUMNS(Definitions!$V:$W),TRUE),"")</f>
        <v>Basic</v>
      </c>
      <c r="AO70" s="9" t="str">
        <f ca="1">_xlfn.LET(
_xlpm._comments,SimpleLookup($A70,Tracing!$B:$AB),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70" s="9" t="str" cm="1">
        <f t="array" aca="1" ref="AP70" ca="1">_xlfn.LET(
_xlpm._rapRange,Definitions!$W:$W,
_xlpm._calculatedRAP,$AN70,
_xlpm._inlineRAP,$AO70,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70" s="9" t="str">
        <f ca="1">IFERROR(IF(OR($AL70="",$AP70=""),
Definitions!$AE$4,
VLOOKUP($AL70,Definitions!$AH:$AM,MATCH($AP70,Definitions!$AH$3:$AM$3,0),FALSE)),
"")</f>
        <v>No Risk</v>
      </c>
      <c r="AR70" s="9" cm="1">
        <f t="array" aca="1" ref="AR70" ca="1">IF($AQ70="",0,SimpleLookup($AQ70,Definitions!$AE:$AF))</f>
        <v>0</v>
      </c>
      <c r="AS70" s="9" t="b">
        <f ca="1">OR(AND($S70,$I70=Helper!$B$7),$I70&gt;Helper!$B$7)</f>
        <v>1</v>
      </c>
      <c r="AT70" s="9" t="str">
        <f t="shared" ca="1" si="11"/>
        <v/>
      </c>
      <c r="AU70" s="9" cm="1">
        <f t="array" aca="1" ref="AU70" ca="1">CreateID($AU$2,$AT70&lt;&gt;"")</f>
        <v>0</v>
      </c>
      <c r="AV70" s="9" t="str">
        <f ca="1">IF(IFERROR(MATCH(","&amp;A70&amp;",",'Risk Treatment'!$AT:$AT,0)&gt;0,FALSE),"",$A70)</f>
        <v/>
      </c>
      <c r="AW70" s="9" cm="1">
        <f t="array" aca="1" ref="AW70" ca="1">CreateID($AW$2,$AV70&lt;&gt;"")</f>
        <v>0</v>
      </c>
      <c r="AX70" s="9" t="str" cm="1">
        <f t="array" aca="1" ref="AX70" ca="1">CreateSearchString($AA70)</f>
        <v/>
      </c>
    </row>
    <row r="71" spans="1:50" x14ac:dyDescent="0.25">
      <c r="A71" s="13" t="str" cm="1">
        <f t="array" aca="1" ref="A71" ca="1">IF($B71="","","R"&amp;RemoveDelimiter(SUBSTITUTE(SUBSTITUTE($K71,"AS",""),",","-"),"-"))</f>
        <v/>
      </c>
      <c r="B71" s="13" t="str" cm="1">
        <f t="array" aca="1" ref="B71" ca="1">IF($L71="","",_xlfn.LET(
_xlpm._finalAttackStep,$L71,
_xlpm._prepAttacks,RemoveFirstElement(_xlpm._finalAttackStep&amp;","&amp;$K71),
_xlpm._prepAttackNames,IFERROR(LookupNames(_xlpm._prepAttacks,'Attack Steps'!$A:$B),""),
_xlpm._delimiter,REPT(CHAR(150),55),
$L71&amp;" "&amp;SimpleLookup($L71,'Attack Steps'!$A:$B)&amp;
IF(_xlpm._prepAttackNames="","",CHAR(10)&amp;_xlpm._delimiter&amp;CHAR(10)&amp;_xlpm._prepAttackNames)))</f>
        <v/>
      </c>
      <c r="C71" s="16" t="str" cm="1">
        <f t="array" aca="1" ref="C71" ca="1">IFERROR(LookupNames($M71,'Damage Scenarios'!$A:$V),"")</f>
        <v/>
      </c>
      <c r="D71" s="13" t="str">
        <f ca="1">IFERROR(IF($T71=0,"",INDEX(Definitions!$Q:$Q,MATCH($T71,Definitions!$R:$R,0))),"")</f>
        <v/>
      </c>
      <c r="E71" s="16" t="str" cm="1">
        <f t="array" aca="1" ref="E71" ca="1">IF($K71="","",_xlfn.LET(
_xlpm._listOfAttackSteps,$K71,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71" s="13" t="str">
        <f ca="1">IF($A71="","",IFERROR(VLOOKUP($W71,Definitions!$V:$W,COLUMNS(Definitions!$V:$W),TRUE),""))</f>
        <v/>
      </c>
      <c r="G71" s="13" t="str">
        <f ca="1">IFERROR(IF(OR($D71="",$F71=""),
"",
VLOOKUP($D71,Definitions!$AH:$AM,MATCH($F71,Definitions!$AH$3:$AM$3,0),FALSE)),
"")</f>
        <v/>
      </c>
      <c r="H71" s="10" cm="1">
        <f t="array" aca="1" ref="H71" ca="1">CreateID($H$2,$A71&lt;&gt;"")</f>
        <v>0</v>
      </c>
      <c r="I71" s="9" cm="1">
        <f t="array" aca="1" ref="I71" ca="1">IF(ROW()=ROW($I$2)+1,
1,
INDEX($I:$I,ROW()-1)+IF(INDEX($S:$S,ROW()-1),1,0))</f>
        <v>1</v>
      </c>
      <c r="J71" s="9">
        <f t="shared" ca="1" si="8"/>
        <v>69</v>
      </c>
      <c r="K71" s="9" t="str">
        <f t="shared" ca="1" si="9"/>
        <v/>
      </c>
      <c r="L71" s="9" t="str" cm="1">
        <f t="array" aca="1" ref="L71" ca="1">IF($P71="","",INDEX('Attack Steps'!$A:$A,$P71))</f>
        <v/>
      </c>
      <c r="M71" s="9" t="str" cm="1">
        <f t="array" aca="1" ref="M71" ca="1">IF($P71="","",INDEX('Attack Steps'!$U:$U,$P71))</f>
        <v/>
      </c>
      <c r="N71" s="9" t="str" cm="1">
        <f t="array" aca="1" ref="N71" ca="1">_xlfn.LET(_xlpm._dm,SanitizeInput(GetValuesWithFallback(SanitizeInput($AA71),Assumptions!$A:$J,Countermeasures!$A:$J,"",",",FALSE)),
IF(_xlpm._dm="","",","&amp;_xlpm._dm))</f>
        <v/>
      </c>
      <c r="O71" s="9" t="str" cm="1">
        <f t="array" aca="1" ref="O71" ca="1">ApplyDamageMitigation($M71,$N71,"")</f>
        <v/>
      </c>
      <c r="P71" s="9" t="str">
        <f ca="1">IFERROR(MATCH($I71,'Attack Steps'!$W:$W,0),"")</f>
        <v/>
      </c>
      <c r="Q71" s="9" t="str" cm="1">
        <f t="array" aca="1" ref="Q71" ca="1">IF($P71="","","§"&amp;INDEX('Attack Steps'!$T:$T,$P71))</f>
        <v/>
      </c>
      <c r="R71" s="9" t="str" cm="1">
        <f t="array" aca="1" ref="R71" ca="1">IF($P71="","",INDEX('Attack Steps'!$X:$X,$P71))</f>
        <v/>
      </c>
      <c r="S71" s="9" t="b">
        <f t="shared" ca="1" si="10"/>
        <v>0</v>
      </c>
      <c r="T71" s="9" cm="1">
        <f t="array" aca="1" ref="T71" ca="1">IF($M71="",0,OperateOnList($M71,_xlfn.LAMBDA(_xlpm._x,SimpleLookup(_xlpm._x,'Damage Scenarios'!$A:$U)),_xlfn.LAMBDA(_xlpm._x,_xlpm._y,MAX(_xlpm._x,_xlpm._y))))</f>
        <v>0</v>
      </c>
      <c r="U71" s="9" cm="1">
        <f t="array" aca="1" ref="U71" ca="1">IF($O71="",0,OperateOnList($O71,_xlfn.LAMBDA(_xlpm._x,SimpleLookup(_xlpm._x,'Damage Scenarios'!$A:$U)),_xlfn.LAMBDA(_xlpm._x,_xlpm._y,MAX(_xlpm._x,_xlpm._y))))</f>
        <v>0</v>
      </c>
      <c r="V71" s="9" t="str">
        <f ca="1">IF($U71=0,"",INDEX(Definitions!$Q:$Q,MATCH($U71,Definitions!$R:$R,0)))</f>
        <v/>
      </c>
      <c r="W71" s="9" cm="1">
        <f t="array" aca="1" ref="W71" ca="1">IF($K71="",0,_xlfn.LET(
_xlpm._listOfAttackSteps,$K71,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71" s="9" t="str" cm="1">
        <f t="array" aca="1" ref="X71" ca="1">IF(ROW()=ROW($X$2)+1,"",INDEX($X:$X,ROW()-1))&amp;IF($A71="","",$A71&amp;",")</f>
        <v/>
      </c>
      <c r="Y71" s="9" t="str" cm="1">
        <f t="array" aca="1" ref="Y71" ca="1">CreateSearchString($K71)</f>
        <v/>
      </c>
      <c r="Z71" s="9" cm="1">
        <f t="array" aca="1" ref="Z71" ca="1">IF($G71="",0,SimpleLookup($G71,Definitions!$AE:$AF))</f>
        <v>0</v>
      </c>
      <c r="AA71" s="9" t="str" cm="1">
        <f t="array" aca="1" ref="AA71" ca="1">SanitizeInput(InverseLookup($A71,Mitigation!$U$2,Mitigation!$J$2,1,Helper!$B$5,","))</f>
        <v/>
      </c>
      <c r="AB71" s="9" cm="1">
        <f t="array" aca="1" ref="AB71" ca="1">IF($K71="",0,_xlfn.LET(
_xlpm._listOfAttackStepsAndMitigations,$K71&amp;$AA71,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71" s="9" t="str">
        <f ca="1">IFERROR(VLOOKUP($AB71,Definitions!$V:$W,COLUMNS(Definitions!$V:$W),TRUE),"")</f>
        <v>Basic</v>
      </c>
      <c r="AD71" s="9" t="str">
        <f ca="1">_xlfn.LET(
_xlpm._comments,GetValues($K71,Mitigation!$A:$O,"","",FALSE),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71" s="9" t="str" cm="1">
        <f t="array" aca="1" ref="AE71" ca="1">_xlfn.LET(
_xlpm._rapRange,Definitions!$W:$W,
_xlpm._calculatedRAP,$AC71,
_xlpm._inlineRAP,$AD71,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71" s="9" t="str">
        <f ca="1">IFERROR(IF(OR($V71="",$AE71=""),
Definitions!$AE$4,
VLOOKUP($V71,Definitions!$AH:$AM,MATCH($AE71,Definitions!$AH$3:$AM$3,0),FALSE)),
"")</f>
        <v>No Risk</v>
      </c>
      <c r="AG71" s="9" cm="1">
        <f t="array" aca="1" ref="AG71" ca="1">IF($AF71="",0,SimpleLookup($AF71,Definitions!$AE:$AF))</f>
        <v>0</v>
      </c>
      <c r="AH71" s="9" t="str" cm="1">
        <f t="array" aca="1" ref="AH71" ca="1">IFERROR(SimpleLookup($A71,Tracing!$B:$Z),"")</f>
        <v/>
      </c>
      <c r="AI71" s="9" t="str" cm="1">
        <f t="array" aca="1" ref="AI71" ca="1">_xlfn.LET(_xlpm._dm,SanitizeInput(GetValuesWithFallback(SanitizeInput($AH71),Assumptions!$A:$J,Countermeasures!$A:$J,"",",",FALSE)),
IF(_xlpm._dm="","",","&amp;_xlpm._dm))</f>
        <v/>
      </c>
      <c r="AJ71" s="9" t="str" cm="1">
        <f t="array" aca="1" ref="AJ71" ca="1">ApplyDamageMitigation($M71,$AI71,"")</f>
        <v/>
      </c>
      <c r="AK71" s="9" cm="1">
        <f t="array" aca="1" ref="AK71" ca="1">CalculateMaxFromList($AJ71,0,'Damage Scenarios'!$A:$U)</f>
        <v>0</v>
      </c>
      <c r="AL71" s="9" t="str">
        <f ca="1">IF($AK71=0,"",INDEX(Definitions!$Q:$Q,MATCH($AK71,Definitions!$R:$R,0)))</f>
        <v/>
      </c>
      <c r="AM71" s="9" cm="1">
        <f t="array" aca="1" ref="AM71" ca="1">IF($K71="",0,_xlfn.LET(
_xlpm._listOfAttackStepsAndMitigations,$K71&amp;$AH71,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71" s="9" t="str">
        <f ca="1">IFERROR(VLOOKUP($AM71,Definitions!$V:$W,COLUMNS(Definitions!$V:$W),TRUE),"")</f>
        <v>Basic</v>
      </c>
      <c r="AO71" s="9" t="str">
        <f ca="1">_xlfn.LET(
_xlpm._comments,SimpleLookup($A71,Tracing!$B:$AB),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71" s="9" t="str" cm="1">
        <f t="array" aca="1" ref="AP71" ca="1">_xlfn.LET(
_xlpm._rapRange,Definitions!$W:$W,
_xlpm._calculatedRAP,$AN71,
_xlpm._inlineRAP,$AO71,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71" s="9" t="str">
        <f ca="1">IFERROR(IF(OR($AL71="",$AP71=""),
Definitions!$AE$4,
VLOOKUP($AL71,Definitions!$AH:$AM,MATCH($AP71,Definitions!$AH$3:$AM$3,0),FALSE)),
"")</f>
        <v>No Risk</v>
      </c>
      <c r="AR71" s="9" cm="1">
        <f t="array" aca="1" ref="AR71" ca="1">IF($AQ71="",0,SimpleLookup($AQ71,Definitions!$AE:$AF))</f>
        <v>0</v>
      </c>
      <c r="AS71" s="9" t="b">
        <f ca="1">OR(AND($S71,$I71=Helper!$B$7),$I71&gt;Helper!$B$7)</f>
        <v>1</v>
      </c>
      <c r="AT71" s="9" t="str">
        <f t="shared" ca="1" si="11"/>
        <v/>
      </c>
      <c r="AU71" s="9" cm="1">
        <f t="array" aca="1" ref="AU71" ca="1">CreateID($AU$2,$AT71&lt;&gt;"")</f>
        <v>0</v>
      </c>
      <c r="AV71" s="9" t="str">
        <f ca="1">IF(IFERROR(MATCH(","&amp;A71&amp;",",'Risk Treatment'!$AT:$AT,0)&gt;0,FALSE),"",$A71)</f>
        <v/>
      </c>
      <c r="AW71" s="9" cm="1">
        <f t="array" aca="1" ref="AW71" ca="1">CreateID($AW$2,$AV71&lt;&gt;"")</f>
        <v>0</v>
      </c>
      <c r="AX71" s="9" t="str" cm="1">
        <f t="array" aca="1" ref="AX71" ca="1">CreateSearchString($AA71)</f>
        <v/>
      </c>
    </row>
    <row r="72" spans="1:50" x14ac:dyDescent="0.25">
      <c r="A72" s="13" t="str" cm="1">
        <f t="array" aca="1" ref="A72" ca="1">IF($B72="","","R"&amp;RemoveDelimiter(SUBSTITUTE(SUBSTITUTE($K72,"AS",""),",","-"),"-"))</f>
        <v/>
      </c>
      <c r="B72" s="13" t="str" cm="1">
        <f t="array" aca="1" ref="B72" ca="1">IF($L72="","",_xlfn.LET(
_xlpm._finalAttackStep,$L72,
_xlpm._prepAttacks,RemoveFirstElement(_xlpm._finalAttackStep&amp;","&amp;$K72),
_xlpm._prepAttackNames,IFERROR(LookupNames(_xlpm._prepAttacks,'Attack Steps'!$A:$B),""),
_xlpm._delimiter,REPT(CHAR(150),55),
$L72&amp;" "&amp;SimpleLookup($L72,'Attack Steps'!$A:$B)&amp;
IF(_xlpm._prepAttackNames="","",CHAR(10)&amp;_xlpm._delimiter&amp;CHAR(10)&amp;_xlpm._prepAttackNames)))</f>
        <v/>
      </c>
      <c r="C72" s="16" t="str" cm="1">
        <f t="array" aca="1" ref="C72" ca="1">IFERROR(LookupNames($M72,'Damage Scenarios'!$A:$V),"")</f>
        <v/>
      </c>
      <c r="D72" s="13" t="str">
        <f ca="1">IFERROR(IF($T72=0,"",INDEX(Definitions!$Q:$Q,MATCH($T72,Definitions!$R:$R,0))),"")</f>
        <v/>
      </c>
      <c r="E72" s="16" t="str" cm="1">
        <f t="array" aca="1" ref="E72" ca="1">IF($K72="","",_xlfn.LET(
_xlpm._listOfAttackSteps,$K72,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72" s="13" t="str">
        <f ca="1">IF($A72="","",IFERROR(VLOOKUP($W72,Definitions!$V:$W,COLUMNS(Definitions!$V:$W),TRUE),""))</f>
        <v/>
      </c>
      <c r="G72" s="13" t="str">
        <f ca="1">IFERROR(IF(OR($D72="",$F72=""),
"",
VLOOKUP($D72,Definitions!$AH:$AM,MATCH($F72,Definitions!$AH$3:$AM$3,0),FALSE)),
"")</f>
        <v/>
      </c>
      <c r="H72" s="10" cm="1">
        <f t="array" aca="1" ref="H72" ca="1">CreateID($H$2,$A72&lt;&gt;"")</f>
        <v>0</v>
      </c>
      <c r="I72" s="9" cm="1">
        <f t="array" aca="1" ref="I72" ca="1">IF(ROW()=ROW($I$2)+1,
1,
INDEX($I:$I,ROW()-1)+IF(INDEX($S:$S,ROW()-1),1,0))</f>
        <v>1</v>
      </c>
      <c r="J72" s="9">
        <f t="shared" ca="1" si="8"/>
        <v>70</v>
      </c>
      <c r="K72" s="9" t="str">
        <f t="shared" ca="1" si="9"/>
        <v/>
      </c>
      <c r="L72" s="9" t="str" cm="1">
        <f t="array" aca="1" ref="L72" ca="1">IF($P72="","",INDEX('Attack Steps'!$A:$A,$P72))</f>
        <v/>
      </c>
      <c r="M72" s="9" t="str" cm="1">
        <f t="array" aca="1" ref="M72" ca="1">IF($P72="","",INDEX('Attack Steps'!$U:$U,$P72))</f>
        <v/>
      </c>
      <c r="N72" s="9" t="str" cm="1">
        <f t="array" aca="1" ref="N72" ca="1">_xlfn.LET(_xlpm._dm,SanitizeInput(GetValuesWithFallback(SanitizeInput($AA72),Assumptions!$A:$J,Countermeasures!$A:$J,"",",",FALSE)),
IF(_xlpm._dm="","",","&amp;_xlpm._dm))</f>
        <v/>
      </c>
      <c r="O72" s="9" t="str" cm="1">
        <f t="array" aca="1" ref="O72" ca="1">ApplyDamageMitigation($M72,$N72,"")</f>
        <v/>
      </c>
      <c r="P72" s="9" t="str">
        <f ca="1">IFERROR(MATCH($I72,'Attack Steps'!$W:$W,0),"")</f>
        <v/>
      </c>
      <c r="Q72" s="9" t="str" cm="1">
        <f t="array" aca="1" ref="Q72" ca="1">IF($P72="","","§"&amp;INDEX('Attack Steps'!$T:$T,$P72))</f>
        <v/>
      </c>
      <c r="R72" s="9" t="str" cm="1">
        <f t="array" aca="1" ref="R72" ca="1">IF($P72="","",INDEX('Attack Steps'!$X:$X,$P72))</f>
        <v/>
      </c>
      <c r="S72" s="9" t="b">
        <f t="shared" ca="1" si="10"/>
        <v>0</v>
      </c>
      <c r="T72" s="9" cm="1">
        <f t="array" aca="1" ref="T72" ca="1">IF($M72="",0,OperateOnList($M72,_xlfn.LAMBDA(_xlpm._x,SimpleLookup(_xlpm._x,'Damage Scenarios'!$A:$U)),_xlfn.LAMBDA(_xlpm._x,_xlpm._y,MAX(_xlpm._x,_xlpm._y))))</f>
        <v>0</v>
      </c>
      <c r="U72" s="9" cm="1">
        <f t="array" aca="1" ref="U72" ca="1">IF($O72="",0,OperateOnList($O72,_xlfn.LAMBDA(_xlpm._x,SimpleLookup(_xlpm._x,'Damage Scenarios'!$A:$U)),_xlfn.LAMBDA(_xlpm._x,_xlpm._y,MAX(_xlpm._x,_xlpm._y))))</f>
        <v>0</v>
      </c>
      <c r="V72" s="9" t="str">
        <f ca="1">IF($U72=0,"",INDEX(Definitions!$Q:$Q,MATCH($U72,Definitions!$R:$R,0)))</f>
        <v/>
      </c>
      <c r="W72" s="9" cm="1">
        <f t="array" aca="1" ref="W72" ca="1">IF($K72="",0,_xlfn.LET(
_xlpm._listOfAttackSteps,$K72,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72" s="9" t="str" cm="1">
        <f t="array" aca="1" ref="X72" ca="1">IF(ROW()=ROW($X$2)+1,"",INDEX($X:$X,ROW()-1))&amp;IF($A72="","",$A72&amp;",")</f>
        <v/>
      </c>
      <c r="Y72" s="9" t="str" cm="1">
        <f t="array" aca="1" ref="Y72" ca="1">CreateSearchString($K72)</f>
        <v/>
      </c>
      <c r="Z72" s="9" cm="1">
        <f t="array" aca="1" ref="Z72" ca="1">IF($G72="",0,SimpleLookup($G72,Definitions!$AE:$AF))</f>
        <v>0</v>
      </c>
      <c r="AA72" s="9" t="str" cm="1">
        <f t="array" aca="1" ref="AA72" ca="1">SanitizeInput(InverseLookup($A72,Mitigation!$U$2,Mitigation!$J$2,1,Helper!$B$5,","))</f>
        <v/>
      </c>
      <c r="AB72" s="9" cm="1">
        <f t="array" aca="1" ref="AB72" ca="1">IF($K72="",0,_xlfn.LET(
_xlpm._listOfAttackStepsAndMitigations,$K72&amp;$AA72,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72" s="9" t="str">
        <f ca="1">IFERROR(VLOOKUP($AB72,Definitions!$V:$W,COLUMNS(Definitions!$V:$W),TRUE),"")</f>
        <v>Basic</v>
      </c>
      <c r="AD72" s="9" t="str">
        <f ca="1">_xlfn.LET(
_xlpm._comments,GetValues($K72,Mitigation!$A:$O,"","",FALSE),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72" s="9" t="str" cm="1">
        <f t="array" aca="1" ref="AE72" ca="1">_xlfn.LET(
_xlpm._rapRange,Definitions!$W:$W,
_xlpm._calculatedRAP,$AC72,
_xlpm._inlineRAP,$AD72,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72" s="9" t="str">
        <f ca="1">IFERROR(IF(OR($V72="",$AE72=""),
Definitions!$AE$4,
VLOOKUP($V72,Definitions!$AH:$AM,MATCH($AE72,Definitions!$AH$3:$AM$3,0),FALSE)),
"")</f>
        <v>No Risk</v>
      </c>
      <c r="AG72" s="9" cm="1">
        <f t="array" aca="1" ref="AG72" ca="1">IF($AF72="",0,SimpleLookup($AF72,Definitions!$AE:$AF))</f>
        <v>0</v>
      </c>
      <c r="AH72" s="9" t="str" cm="1">
        <f t="array" aca="1" ref="AH72" ca="1">IFERROR(SimpleLookup($A72,Tracing!$B:$Z),"")</f>
        <v/>
      </c>
      <c r="AI72" s="9" t="str" cm="1">
        <f t="array" aca="1" ref="AI72" ca="1">_xlfn.LET(_xlpm._dm,SanitizeInput(GetValuesWithFallback(SanitizeInput($AH72),Assumptions!$A:$J,Countermeasures!$A:$J,"",",",FALSE)),
IF(_xlpm._dm="","",","&amp;_xlpm._dm))</f>
        <v/>
      </c>
      <c r="AJ72" s="9" t="str" cm="1">
        <f t="array" aca="1" ref="AJ72" ca="1">ApplyDamageMitigation($M72,$AI72,"")</f>
        <v/>
      </c>
      <c r="AK72" s="9" cm="1">
        <f t="array" aca="1" ref="AK72" ca="1">CalculateMaxFromList($AJ72,0,'Damage Scenarios'!$A:$U)</f>
        <v>0</v>
      </c>
      <c r="AL72" s="9" t="str">
        <f ca="1">IF($AK72=0,"",INDEX(Definitions!$Q:$Q,MATCH($AK72,Definitions!$R:$R,0)))</f>
        <v/>
      </c>
      <c r="AM72" s="9" cm="1">
        <f t="array" aca="1" ref="AM72" ca="1">IF($K72="",0,_xlfn.LET(
_xlpm._listOfAttackStepsAndMitigations,$K72&amp;$AH72,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72" s="9" t="str">
        <f ca="1">IFERROR(VLOOKUP($AM72,Definitions!$V:$W,COLUMNS(Definitions!$V:$W),TRUE),"")</f>
        <v>Basic</v>
      </c>
      <c r="AO72" s="9" t="str">
        <f ca="1">_xlfn.LET(
_xlpm._comments,SimpleLookup($A72,Tracing!$B:$AB),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72" s="9" t="str" cm="1">
        <f t="array" aca="1" ref="AP72" ca="1">_xlfn.LET(
_xlpm._rapRange,Definitions!$W:$W,
_xlpm._calculatedRAP,$AN72,
_xlpm._inlineRAP,$AO72,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72" s="9" t="str">
        <f ca="1">IFERROR(IF(OR($AL72="",$AP72=""),
Definitions!$AE$4,
VLOOKUP($AL72,Definitions!$AH:$AM,MATCH($AP72,Definitions!$AH$3:$AM$3,0),FALSE)),
"")</f>
        <v>No Risk</v>
      </c>
      <c r="AR72" s="9" cm="1">
        <f t="array" aca="1" ref="AR72" ca="1">IF($AQ72="",0,SimpleLookup($AQ72,Definitions!$AE:$AF))</f>
        <v>0</v>
      </c>
      <c r="AS72" s="9" t="b">
        <f ca="1">OR(AND($S72,$I72=Helper!$B$7),$I72&gt;Helper!$B$7)</f>
        <v>1</v>
      </c>
      <c r="AT72" s="9" t="str">
        <f t="shared" ca="1" si="11"/>
        <v/>
      </c>
      <c r="AU72" s="9" cm="1">
        <f t="array" aca="1" ref="AU72" ca="1">CreateID($AU$2,$AT72&lt;&gt;"")</f>
        <v>0</v>
      </c>
      <c r="AV72" s="9" t="str">
        <f ca="1">IF(IFERROR(MATCH(","&amp;A72&amp;",",'Risk Treatment'!$AT:$AT,0)&gt;0,FALSE),"",$A72)</f>
        <v/>
      </c>
      <c r="AW72" s="9" cm="1">
        <f t="array" aca="1" ref="AW72" ca="1">CreateID($AW$2,$AV72&lt;&gt;"")</f>
        <v>0</v>
      </c>
      <c r="AX72" s="9" t="str" cm="1">
        <f t="array" aca="1" ref="AX72" ca="1">CreateSearchString($AA72)</f>
        <v/>
      </c>
    </row>
    <row r="73" spans="1:50" x14ac:dyDescent="0.25">
      <c r="A73" s="13" t="str" cm="1">
        <f t="array" aca="1" ref="A73" ca="1">IF($B73="","","R"&amp;RemoveDelimiter(SUBSTITUTE(SUBSTITUTE($K73,"AS",""),",","-"),"-"))</f>
        <v/>
      </c>
      <c r="B73" s="13" t="str" cm="1">
        <f t="array" aca="1" ref="B73" ca="1">IF($L73="","",_xlfn.LET(
_xlpm._finalAttackStep,$L73,
_xlpm._prepAttacks,RemoveFirstElement(_xlpm._finalAttackStep&amp;","&amp;$K73),
_xlpm._prepAttackNames,IFERROR(LookupNames(_xlpm._prepAttacks,'Attack Steps'!$A:$B),""),
_xlpm._delimiter,REPT(CHAR(150),55),
$L73&amp;" "&amp;SimpleLookup($L73,'Attack Steps'!$A:$B)&amp;
IF(_xlpm._prepAttackNames="","",CHAR(10)&amp;_xlpm._delimiter&amp;CHAR(10)&amp;_xlpm._prepAttackNames)))</f>
        <v/>
      </c>
      <c r="C73" s="16" t="str" cm="1">
        <f t="array" aca="1" ref="C73" ca="1">IFERROR(LookupNames($M73,'Damage Scenarios'!$A:$V),"")</f>
        <v/>
      </c>
      <c r="D73" s="13" t="str">
        <f ca="1">IFERROR(IF($T73=0,"",INDEX(Definitions!$Q:$Q,MATCH($T73,Definitions!$R:$R,0))),"")</f>
        <v/>
      </c>
      <c r="E73" s="16" t="str" cm="1">
        <f t="array" aca="1" ref="E73" ca="1">IF($K73="","",_xlfn.LET(
_xlpm._listOfAttackSteps,$K73,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73" s="13" t="str">
        <f ca="1">IF($A73="","",IFERROR(VLOOKUP($W73,Definitions!$V:$W,COLUMNS(Definitions!$V:$W),TRUE),""))</f>
        <v/>
      </c>
      <c r="G73" s="13" t="str">
        <f ca="1">IFERROR(IF(OR($D73="",$F73=""),
"",
VLOOKUP($D73,Definitions!$AH:$AM,MATCH($F73,Definitions!$AH$3:$AM$3,0),FALSE)),
"")</f>
        <v/>
      </c>
      <c r="H73" s="10" cm="1">
        <f t="array" aca="1" ref="H73" ca="1">CreateID($H$2,$A73&lt;&gt;"")</f>
        <v>0</v>
      </c>
      <c r="I73" s="9" cm="1">
        <f t="array" aca="1" ref="I73" ca="1">IF(ROW()=ROW($I$2)+1,
1,
INDEX($I:$I,ROW()-1)+IF(INDEX($S:$S,ROW()-1),1,0))</f>
        <v>1</v>
      </c>
      <c r="J73" s="9">
        <f t="shared" ca="1" si="8"/>
        <v>71</v>
      </c>
      <c r="K73" s="9" t="str">
        <f t="shared" ca="1" si="9"/>
        <v/>
      </c>
      <c r="L73" s="9" t="str" cm="1">
        <f t="array" aca="1" ref="L73" ca="1">IF($P73="","",INDEX('Attack Steps'!$A:$A,$P73))</f>
        <v/>
      </c>
      <c r="M73" s="9" t="str" cm="1">
        <f t="array" aca="1" ref="M73" ca="1">IF($P73="","",INDEX('Attack Steps'!$U:$U,$P73))</f>
        <v/>
      </c>
      <c r="N73" s="9" t="str" cm="1">
        <f t="array" aca="1" ref="N73" ca="1">_xlfn.LET(_xlpm._dm,SanitizeInput(GetValuesWithFallback(SanitizeInput($AA73),Assumptions!$A:$J,Countermeasures!$A:$J,"",",",FALSE)),
IF(_xlpm._dm="","",","&amp;_xlpm._dm))</f>
        <v/>
      </c>
      <c r="O73" s="9" t="str" cm="1">
        <f t="array" aca="1" ref="O73" ca="1">ApplyDamageMitigation($M73,$N73,"")</f>
        <v/>
      </c>
      <c r="P73" s="9" t="str">
        <f ca="1">IFERROR(MATCH($I73,'Attack Steps'!$W:$W,0),"")</f>
        <v/>
      </c>
      <c r="Q73" s="9" t="str" cm="1">
        <f t="array" aca="1" ref="Q73" ca="1">IF($P73="","","§"&amp;INDEX('Attack Steps'!$T:$T,$P73))</f>
        <v/>
      </c>
      <c r="R73" s="9" t="str" cm="1">
        <f t="array" aca="1" ref="R73" ca="1">IF($P73="","",INDEX('Attack Steps'!$X:$X,$P73))</f>
        <v/>
      </c>
      <c r="S73" s="9" t="b">
        <f t="shared" ca="1" si="10"/>
        <v>0</v>
      </c>
      <c r="T73" s="9" cm="1">
        <f t="array" aca="1" ref="T73" ca="1">IF($M73="",0,OperateOnList($M73,_xlfn.LAMBDA(_xlpm._x,SimpleLookup(_xlpm._x,'Damage Scenarios'!$A:$U)),_xlfn.LAMBDA(_xlpm._x,_xlpm._y,MAX(_xlpm._x,_xlpm._y))))</f>
        <v>0</v>
      </c>
      <c r="U73" s="9" cm="1">
        <f t="array" aca="1" ref="U73" ca="1">IF($O73="",0,OperateOnList($O73,_xlfn.LAMBDA(_xlpm._x,SimpleLookup(_xlpm._x,'Damage Scenarios'!$A:$U)),_xlfn.LAMBDA(_xlpm._x,_xlpm._y,MAX(_xlpm._x,_xlpm._y))))</f>
        <v>0</v>
      </c>
      <c r="V73" s="9" t="str">
        <f ca="1">IF($U73=0,"",INDEX(Definitions!$Q:$Q,MATCH($U73,Definitions!$R:$R,0)))</f>
        <v/>
      </c>
      <c r="W73" s="9" cm="1">
        <f t="array" aca="1" ref="W73" ca="1">IF($K73="",0,_xlfn.LET(
_xlpm._listOfAttackSteps,$K73,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73" s="9" t="str" cm="1">
        <f t="array" aca="1" ref="X73" ca="1">IF(ROW()=ROW($X$2)+1,"",INDEX($X:$X,ROW()-1))&amp;IF($A73="","",$A73&amp;",")</f>
        <v/>
      </c>
      <c r="Y73" s="9" t="str" cm="1">
        <f t="array" aca="1" ref="Y73" ca="1">CreateSearchString($K73)</f>
        <v/>
      </c>
      <c r="Z73" s="9" cm="1">
        <f t="array" aca="1" ref="Z73" ca="1">IF($G73="",0,SimpleLookup($G73,Definitions!$AE:$AF))</f>
        <v>0</v>
      </c>
      <c r="AA73" s="9" t="str" cm="1">
        <f t="array" aca="1" ref="AA73" ca="1">SanitizeInput(InverseLookup($A73,Mitigation!$U$2,Mitigation!$J$2,1,Helper!$B$5,","))</f>
        <v/>
      </c>
      <c r="AB73" s="9" cm="1">
        <f t="array" aca="1" ref="AB73" ca="1">IF($K73="",0,_xlfn.LET(
_xlpm._listOfAttackStepsAndMitigations,$K73&amp;$AA73,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73" s="9" t="str">
        <f ca="1">IFERROR(VLOOKUP($AB73,Definitions!$V:$W,COLUMNS(Definitions!$V:$W),TRUE),"")</f>
        <v>Basic</v>
      </c>
      <c r="AD73" s="9" t="str">
        <f ca="1">_xlfn.LET(
_xlpm._comments,GetValues($K73,Mitigation!$A:$O,"","",FALSE),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73" s="9" t="str" cm="1">
        <f t="array" aca="1" ref="AE73" ca="1">_xlfn.LET(
_xlpm._rapRange,Definitions!$W:$W,
_xlpm._calculatedRAP,$AC73,
_xlpm._inlineRAP,$AD73,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73" s="9" t="str">
        <f ca="1">IFERROR(IF(OR($V73="",$AE73=""),
Definitions!$AE$4,
VLOOKUP($V73,Definitions!$AH:$AM,MATCH($AE73,Definitions!$AH$3:$AM$3,0),FALSE)),
"")</f>
        <v>No Risk</v>
      </c>
      <c r="AG73" s="9" cm="1">
        <f t="array" aca="1" ref="AG73" ca="1">IF($AF73="",0,SimpleLookup($AF73,Definitions!$AE:$AF))</f>
        <v>0</v>
      </c>
      <c r="AH73" s="9" t="str" cm="1">
        <f t="array" aca="1" ref="AH73" ca="1">IFERROR(SimpleLookup($A73,Tracing!$B:$Z),"")</f>
        <v/>
      </c>
      <c r="AI73" s="9" t="str" cm="1">
        <f t="array" aca="1" ref="AI73" ca="1">_xlfn.LET(_xlpm._dm,SanitizeInput(GetValuesWithFallback(SanitizeInput($AH73),Assumptions!$A:$J,Countermeasures!$A:$J,"",",",FALSE)),
IF(_xlpm._dm="","",","&amp;_xlpm._dm))</f>
        <v/>
      </c>
      <c r="AJ73" s="9" t="str" cm="1">
        <f t="array" aca="1" ref="AJ73" ca="1">ApplyDamageMitigation($M73,$AI73,"")</f>
        <v/>
      </c>
      <c r="AK73" s="9" cm="1">
        <f t="array" aca="1" ref="AK73" ca="1">CalculateMaxFromList($AJ73,0,'Damage Scenarios'!$A:$U)</f>
        <v>0</v>
      </c>
      <c r="AL73" s="9" t="str">
        <f ca="1">IF($AK73=0,"",INDEX(Definitions!$Q:$Q,MATCH($AK73,Definitions!$R:$R,0)))</f>
        <v/>
      </c>
      <c r="AM73" s="9" cm="1">
        <f t="array" aca="1" ref="AM73" ca="1">IF($K73="",0,_xlfn.LET(
_xlpm._listOfAttackStepsAndMitigations,$K73&amp;$AH73,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73" s="9" t="str">
        <f ca="1">IFERROR(VLOOKUP($AM73,Definitions!$V:$W,COLUMNS(Definitions!$V:$W),TRUE),"")</f>
        <v>Basic</v>
      </c>
      <c r="AO73" s="9" t="str">
        <f ca="1">_xlfn.LET(
_xlpm._comments,SimpleLookup($A73,Tracing!$B:$AB),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73" s="9" t="str" cm="1">
        <f t="array" aca="1" ref="AP73" ca="1">_xlfn.LET(
_xlpm._rapRange,Definitions!$W:$W,
_xlpm._calculatedRAP,$AN73,
_xlpm._inlineRAP,$AO73,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73" s="9" t="str">
        <f ca="1">IFERROR(IF(OR($AL73="",$AP73=""),
Definitions!$AE$4,
VLOOKUP($AL73,Definitions!$AH:$AM,MATCH($AP73,Definitions!$AH$3:$AM$3,0),FALSE)),
"")</f>
        <v>No Risk</v>
      </c>
      <c r="AR73" s="9" cm="1">
        <f t="array" aca="1" ref="AR73" ca="1">IF($AQ73="",0,SimpleLookup($AQ73,Definitions!$AE:$AF))</f>
        <v>0</v>
      </c>
      <c r="AS73" s="9" t="b">
        <f ca="1">OR(AND($S73,$I73=Helper!$B$7),$I73&gt;Helper!$B$7)</f>
        <v>1</v>
      </c>
      <c r="AT73" s="9" t="str">
        <f t="shared" ca="1" si="11"/>
        <v/>
      </c>
      <c r="AU73" s="9" cm="1">
        <f t="array" aca="1" ref="AU73" ca="1">CreateID($AU$2,$AT73&lt;&gt;"")</f>
        <v>0</v>
      </c>
      <c r="AV73" s="9" t="str">
        <f ca="1">IF(IFERROR(MATCH(","&amp;A73&amp;",",'Risk Treatment'!$AT:$AT,0)&gt;0,FALSE),"",$A73)</f>
        <v/>
      </c>
      <c r="AW73" s="9" cm="1">
        <f t="array" aca="1" ref="AW73" ca="1">CreateID($AW$2,$AV73&lt;&gt;"")</f>
        <v>0</v>
      </c>
      <c r="AX73" s="9" t="str" cm="1">
        <f t="array" aca="1" ref="AX73" ca="1">CreateSearchString($AA73)</f>
        <v/>
      </c>
    </row>
    <row r="74" spans="1:50" x14ac:dyDescent="0.25">
      <c r="A74" s="13" t="str" cm="1">
        <f t="array" aca="1" ref="A74" ca="1">IF($B74="","","R"&amp;RemoveDelimiter(SUBSTITUTE(SUBSTITUTE($K74,"AS",""),",","-"),"-"))</f>
        <v/>
      </c>
      <c r="B74" s="13" t="str" cm="1">
        <f t="array" aca="1" ref="B74" ca="1">IF($L74="","",_xlfn.LET(
_xlpm._finalAttackStep,$L74,
_xlpm._prepAttacks,RemoveFirstElement(_xlpm._finalAttackStep&amp;","&amp;$K74),
_xlpm._prepAttackNames,IFERROR(LookupNames(_xlpm._prepAttacks,'Attack Steps'!$A:$B),""),
_xlpm._delimiter,REPT(CHAR(150),55),
$L74&amp;" "&amp;SimpleLookup($L74,'Attack Steps'!$A:$B)&amp;
IF(_xlpm._prepAttackNames="","",CHAR(10)&amp;_xlpm._delimiter&amp;CHAR(10)&amp;_xlpm._prepAttackNames)))</f>
        <v/>
      </c>
      <c r="C74" s="16" t="str" cm="1">
        <f t="array" aca="1" ref="C74" ca="1">IFERROR(LookupNames($M74,'Damage Scenarios'!$A:$V),"")</f>
        <v/>
      </c>
      <c r="D74" s="13" t="str">
        <f ca="1">IFERROR(IF($T74=0,"",INDEX(Definitions!$Q:$Q,MATCH($T74,Definitions!$R:$R,0))),"")</f>
        <v/>
      </c>
      <c r="E74" s="16" t="str" cm="1">
        <f t="array" aca="1" ref="E74" ca="1">IF($K74="","",_xlfn.LET(
_xlpm._listOfAttackSteps,$K74,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74" s="13" t="str">
        <f ca="1">IF($A74="","",IFERROR(VLOOKUP($W74,Definitions!$V:$W,COLUMNS(Definitions!$V:$W),TRUE),""))</f>
        <v/>
      </c>
      <c r="G74" s="13" t="str">
        <f ca="1">IFERROR(IF(OR($D74="",$F74=""),
"",
VLOOKUP($D74,Definitions!$AH:$AM,MATCH($F74,Definitions!$AH$3:$AM$3,0),FALSE)),
"")</f>
        <v/>
      </c>
      <c r="H74" s="10" cm="1">
        <f t="array" aca="1" ref="H74" ca="1">CreateID($H$2,$A74&lt;&gt;"")</f>
        <v>0</v>
      </c>
      <c r="I74" s="9" cm="1">
        <f t="array" aca="1" ref="I74" ca="1">IF(ROW()=ROW($I$2)+1,
1,
INDEX($I:$I,ROW()-1)+IF(INDEX($S:$S,ROW()-1),1,0))</f>
        <v>1</v>
      </c>
      <c r="J74" s="9">
        <f t="shared" ca="1" si="8"/>
        <v>72</v>
      </c>
      <c r="K74" s="9" t="str">
        <f t="shared" ca="1" si="9"/>
        <v/>
      </c>
      <c r="L74" s="9" t="str" cm="1">
        <f t="array" aca="1" ref="L74" ca="1">IF($P74="","",INDEX('Attack Steps'!$A:$A,$P74))</f>
        <v/>
      </c>
      <c r="M74" s="9" t="str" cm="1">
        <f t="array" aca="1" ref="M74" ca="1">IF($P74="","",INDEX('Attack Steps'!$U:$U,$P74))</f>
        <v/>
      </c>
      <c r="N74" s="9" t="str" cm="1">
        <f t="array" aca="1" ref="N74" ca="1">_xlfn.LET(_xlpm._dm,SanitizeInput(GetValuesWithFallback(SanitizeInput($AA74),Assumptions!$A:$J,Countermeasures!$A:$J,"",",",FALSE)),
IF(_xlpm._dm="","",","&amp;_xlpm._dm))</f>
        <v/>
      </c>
      <c r="O74" s="9" t="str" cm="1">
        <f t="array" aca="1" ref="O74" ca="1">ApplyDamageMitigation($M74,$N74,"")</f>
        <v/>
      </c>
      <c r="P74" s="9" t="str">
        <f ca="1">IFERROR(MATCH($I74,'Attack Steps'!$W:$W,0),"")</f>
        <v/>
      </c>
      <c r="Q74" s="9" t="str" cm="1">
        <f t="array" aca="1" ref="Q74" ca="1">IF($P74="","","§"&amp;INDEX('Attack Steps'!$T:$T,$P74))</f>
        <v/>
      </c>
      <c r="R74" s="9" t="str" cm="1">
        <f t="array" aca="1" ref="R74" ca="1">IF($P74="","",INDEX('Attack Steps'!$X:$X,$P74))</f>
        <v/>
      </c>
      <c r="S74" s="9" t="b">
        <f t="shared" ca="1" si="10"/>
        <v>0</v>
      </c>
      <c r="T74" s="9" cm="1">
        <f t="array" aca="1" ref="T74" ca="1">IF($M74="",0,OperateOnList($M74,_xlfn.LAMBDA(_xlpm._x,SimpleLookup(_xlpm._x,'Damage Scenarios'!$A:$U)),_xlfn.LAMBDA(_xlpm._x,_xlpm._y,MAX(_xlpm._x,_xlpm._y))))</f>
        <v>0</v>
      </c>
      <c r="U74" s="9" cm="1">
        <f t="array" aca="1" ref="U74" ca="1">IF($O74="",0,OperateOnList($O74,_xlfn.LAMBDA(_xlpm._x,SimpleLookup(_xlpm._x,'Damage Scenarios'!$A:$U)),_xlfn.LAMBDA(_xlpm._x,_xlpm._y,MAX(_xlpm._x,_xlpm._y))))</f>
        <v>0</v>
      </c>
      <c r="V74" s="9" t="str">
        <f ca="1">IF($U74=0,"",INDEX(Definitions!$Q:$Q,MATCH($U74,Definitions!$R:$R,0)))</f>
        <v/>
      </c>
      <c r="W74" s="9" cm="1">
        <f t="array" aca="1" ref="W74" ca="1">IF($K74="",0,_xlfn.LET(
_xlpm._listOfAttackSteps,$K74,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74" s="9" t="str" cm="1">
        <f t="array" aca="1" ref="X74" ca="1">IF(ROW()=ROW($X$2)+1,"",INDEX($X:$X,ROW()-1))&amp;IF($A74="","",$A74&amp;",")</f>
        <v/>
      </c>
      <c r="Y74" s="9" t="str" cm="1">
        <f t="array" aca="1" ref="Y74" ca="1">CreateSearchString($K74)</f>
        <v/>
      </c>
      <c r="Z74" s="9" cm="1">
        <f t="array" aca="1" ref="Z74" ca="1">IF($G74="",0,SimpleLookup($G74,Definitions!$AE:$AF))</f>
        <v>0</v>
      </c>
      <c r="AA74" s="9" t="str" cm="1">
        <f t="array" aca="1" ref="AA74" ca="1">SanitizeInput(InverseLookup($A74,Mitigation!$U$2,Mitigation!$J$2,1,Helper!$B$5,","))</f>
        <v/>
      </c>
      <c r="AB74" s="9" cm="1">
        <f t="array" aca="1" ref="AB74" ca="1">IF($K74="",0,_xlfn.LET(
_xlpm._listOfAttackStepsAndMitigations,$K74&amp;$AA74,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74" s="9" t="str">
        <f ca="1">IFERROR(VLOOKUP($AB74,Definitions!$V:$W,COLUMNS(Definitions!$V:$W),TRUE),"")</f>
        <v>Basic</v>
      </c>
      <c r="AD74" s="9" t="str">
        <f ca="1">_xlfn.LET(
_xlpm._comments,GetValues($K74,Mitigation!$A:$O,"","",FALSE),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74" s="9" t="str" cm="1">
        <f t="array" aca="1" ref="AE74" ca="1">_xlfn.LET(
_xlpm._rapRange,Definitions!$W:$W,
_xlpm._calculatedRAP,$AC74,
_xlpm._inlineRAP,$AD74,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74" s="9" t="str">
        <f ca="1">IFERROR(IF(OR($V74="",$AE74=""),
Definitions!$AE$4,
VLOOKUP($V74,Definitions!$AH:$AM,MATCH($AE74,Definitions!$AH$3:$AM$3,0),FALSE)),
"")</f>
        <v>No Risk</v>
      </c>
      <c r="AG74" s="9" cm="1">
        <f t="array" aca="1" ref="AG74" ca="1">IF($AF74="",0,SimpleLookup($AF74,Definitions!$AE:$AF))</f>
        <v>0</v>
      </c>
      <c r="AH74" s="9" t="str" cm="1">
        <f t="array" aca="1" ref="AH74" ca="1">IFERROR(SimpleLookup($A74,Tracing!$B:$Z),"")</f>
        <v/>
      </c>
      <c r="AI74" s="9" t="str" cm="1">
        <f t="array" aca="1" ref="AI74" ca="1">_xlfn.LET(_xlpm._dm,SanitizeInput(GetValuesWithFallback(SanitizeInput($AH74),Assumptions!$A:$J,Countermeasures!$A:$J,"",",",FALSE)),
IF(_xlpm._dm="","",","&amp;_xlpm._dm))</f>
        <v/>
      </c>
      <c r="AJ74" s="9" t="str" cm="1">
        <f t="array" aca="1" ref="AJ74" ca="1">ApplyDamageMitigation($M74,$AI74,"")</f>
        <v/>
      </c>
      <c r="AK74" s="9" cm="1">
        <f t="array" aca="1" ref="AK74" ca="1">CalculateMaxFromList($AJ74,0,'Damage Scenarios'!$A:$U)</f>
        <v>0</v>
      </c>
      <c r="AL74" s="9" t="str">
        <f ca="1">IF($AK74=0,"",INDEX(Definitions!$Q:$Q,MATCH($AK74,Definitions!$R:$R,0)))</f>
        <v/>
      </c>
      <c r="AM74" s="9" cm="1">
        <f t="array" aca="1" ref="AM74" ca="1">IF($K74="",0,_xlfn.LET(
_xlpm._listOfAttackStepsAndMitigations,$K74&amp;$AH74,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74" s="9" t="str">
        <f ca="1">IFERROR(VLOOKUP($AM74,Definitions!$V:$W,COLUMNS(Definitions!$V:$W),TRUE),"")</f>
        <v>Basic</v>
      </c>
      <c r="AO74" s="9" t="str">
        <f ca="1">_xlfn.LET(
_xlpm._comments,SimpleLookup($A74,Tracing!$B:$AB),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74" s="9" t="str" cm="1">
        <f t="array" aca="1" ref="AP74" ca="1">_xlfn.LET(
_xlpm._rapRange,Definitions!$W:$W,
_xlpm._calculatedRAP,$AN74,
_xlpm._inlineRAP,$AO74,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74" s="9" t="str">
        <f ca="1">IFERROR(IF(OR($AL74="",$AP74=""),
Definitions!$AE$4,
VLOOKUP($AL74,Definitions!$AH:$AM,MATCH($AP74,Definitions!$AH$3:$AM$3,0),FALSE)),
"")</f>
        <v>No Risk</v>
      </c>
      <c r="AR74" s="9" cm="1">
        <f t="array" aca="1" ref="AR74" ca="1">IF($AQ74="",0,SimpleLookup($AQ74,Definitions!$AE:$AF))</f>
        <v>0</v>
      </c>
      <c r="AS74" s="9" t="b">
        <f ca="1">OR(AND($S74,$I74=Helper!$B$7),$I74&gt;Helper!$B$7)</f>
        <v>1</v>
      </c>
      <c r="AT74" s="9" t="str">
        <f t="shared" ca="1" si="11"/>
        <v/>
      </c>
      <c r="AU74" s="9" cm="1">
        <f t="array" aca="1" ref="AU74" ca="1">CreateID($AU$2,$AT74&lt;&gt;"")</f>
        <v>0</v>
      </c>
      <c r="AV74" s="9" t="str">
        <f ca="1">IF(IFERROR(MATCH(","&amp;A74&amp;",",'Risk Treatment'!$AT:$AT,0)&gt;0,FALSE),"",$A74)</f>
        <v/>
      </c>
      <c r="AW74" s="9" cm="1">
        <f t="array" aca="1" ref="AW74" ca="1">CreateID($AW$2,$AV74&lt;&gt;"")</f>
        <v>0</v>
      </c>
      <c r="AX74" s="9" t="str" cm="1">
        <f t="array" aca="1" ref="AX74" ca="1">CreateSearchString($AA74)</f>
        <v/>
      </c>
    </row>
    <row r="75" spans="1:50" x14ac:dyDescent="0.25">
      <c r="A75" s="13" t="str" cm="1">
        <f t="array" aca="1" ref="A75" ca="1">IF($B75="","","R"&amp;RemoveDelimiter(SUBSTITUTE(SUBSTITUTE($K75,"AS",""),",","-"),"-"))</f>
        <v/>
      </c>
      <c r="B75" s="13" t="str" cm="1">
        <f t="array" aca="1" ref="B75" ca="1">IF($L75="","",_xlfn.LET(
_xlpm._finalAttackStep,$L75,
_xlpm._prepAttacks,RemoveFirstElement(_xlpm._finalAttackStep&amp;","&amp;$K75),
_xlpm._prepAttackNames,IFERROR(LookupNames(_xlpm._prepAttacks,'Attack Steps'!$A:$B),""),
_xlpm._delimiter,REPT(CHAR(150),55),
$L75&amp;" "&amp;SimpleLookup($L75,'Attack Steps'!$A:$B)&amp;
IF(_xlpm._prepAttackNames="","",CHAR(10)&amp;_xlpm._delimiter&amp;CHAR(10)&amp;_xlpm._prepAttackNames)))</f>
        <v/>
      </c>
      <c r="C75" s="16" t="str" cm="1">
        <f t="array" aca="1" ref="C75" ca="1">IFERROR(LookupNames($M75,'Damage Scenarios'!$A:$V),"")</f>
        <v/>
      </c>
      <c r="D75" s="13" t="str">
        <f ca="1">IFERROR(IF($T75=0,"",INDEX(Definitions!$Q:$Q,MATCH($T75,Definitions!$R:$R,0))),"")</f>
        <v/>
      </c>
      <c r="E75" s="16" t="str" cm="1">
        <f t="array" aca="1" ref="E75" ca="1">IF($K75="","",_xlfn.LET(
_xlpm._listOfAttackSteps,$K75,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75" s="13" t="str">
        <f ca="1">IF($A75="","",IFERROR(VLOOKUP($W75,Definitions!$V:$W,COLUMNS(Definitions!$V:$W),TRUE),""))</f>
        <v/>
      </c>
      <c r="G75" s="13" t="str">
        <f ca="1">IFERROR(IF(OR($D75="",$F75=""),
"",
VLOOKUP($D75,Definitions!$AH:$AM,MATCH($F75,Definitions!$AH$3:$AM$3,0),FALSE)),
"")</f>
        <v/>
      </c>
      <c r="H75" s="10" cm="1">
        <f t="array" aca="1" ref="H75" ca="1">CreateID($H$2,$A75&lt;&gt;"")</f>
        <v>0</v>
      </c>
      <c r="I75" s="9" cm="1">
        <f t="array" aca="1" ref="I75" ca="1">IF(ROW()=ROW($I$2)+1,
1,
INDEX($I:$I,ROW()-1)+IF(INDEX($S:$S,ROW()-1),1,0))</f>
        <v>1</v>
      </c>
      <c r="J75" s="9">
        <f t="shared" ca="1" si="8"/>
        <v>73</v>
      </c>
      <c r="K75" s="9" t="str">
        <f t="shared" ca="1" si="9"/>
        <v/>
      </c>
      <c r="L75" s="9" t="str" cm="1">
        <f t="array" aca="1" ref="L75" ca="1">IF($P75="","",INDEX('Attack Steps'!$A:$A,$P75))</f>
        <v/>
      </c>
      <c r="M75" s="9" t="str" cm="1">
        <f t="array" aca="1" ref="M75" ca="1">IF($P75="","",INDEX('Attack Steps'!$U:$U,$P75))</f>
        <v/>
      </c>
      <c r="N75" s="9" t="str" cm="1">
        <f t="array" aca="1" ref="N75" ca="1">_xlfn.LET(_xlpm._dm,SanitizeInput(GetValuesWithFallback(SanitizeInput($AA75),Assumptions!$A:$J,Countermeasures!$A:$J,"",",",FALSE)),
IF(_xlpm._dm="","",","&amp;_xlpm._dm))</f>
        <v/>
      </c>
      <c r="O75" s="9" t="str" cm="1">
        <f t="array" aca="1" ref="O75" ca="1">ApplyDamageMitigation($M75,$N75,"")</f>
        <v/>
      </c>
      <c r="P75" s="9" t="str">
        <f ca="1">IFERROR(MATCH($I75,'Attack Steps'!$W:$W,0),"")</f>
        <v/>
      </c>
      <c r="Q75" s="9" t="str" cm="1">
        <f t="array" aca="1" ref="Q75" ca="1">IF($P75="","","§"&amp;INDEX('Attack Steps'!$T:$T,$P75))</f>
        <v/>
      </c>
      <c r="R75" s="9" t="str" cm="1">
        <f t="array" aca="1" ref="R75" ca="1">IF($P75="","",INDEX('Attack Steps'!$X:$X,$P75))</f>
        <v/>
      </c>
      <c r="S75" s="9" t="b">
        <f t="shared" ca="1" si="10"/>
        <v>0</v>
      </c>
      <c r="T75" s="9" cm="1">
        <f t="array" aca="1" ref="T75" ca="1">IF($M75="",0,OperateOnList($M75,_xlfn.LAMBDA(_xlpm._x,SimpleLookup(_xlpm._x,'Damage Scenarios'!$A:$U)),_xlfn.LAMBDA(_xlpm._x,_xlpm._y,MAX(_xlpm._x,_xlpm._y))))</f>
        <v>0</v>
      </c>
      <c r="U75" s="9" cm="1">
        <f t="array" aca="1" ref="U75" ca="1">IF($O75="",0,OperateOnList($O75,_xlfn.LAMBDA(_xlpm._x,SimpleLookup(_xlpm._x,'Damage Scenarios'!$A:$U)),_xlfn.LAMBDA(_xlpm._x,_xlpm._y,MAX(_xlpm._x,_xlpm._y))))</f>
        <v>0</v>
      </c>
      <c r="V75" s="9" t="str">
        <f ca="1">IF($U75=0,"",INDEX(Definitions!$Q:$Q,MATCH($U75,Definitions!$R:$R,0)))</f>
        <v/>
      </c>
      <c r="W75" s="9" cm="1">
        <f t="array" aca="1" ref="W75" ca="1">IF($K75="",0,_xlfn.LET(
_xlpm._listOfAttackSteps,$K75,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75" s="9" t="str" cm="1">
        <f t="array" aca="1" ref="X75" ca="1">IF(ROW()=ROW($X$2)+1,"",INDEX($X:$X,ROW()-1))&amp;IF($A75="","",$A75&amp;",")</f>
        <v/>
      </c>
      <c r="Y75" s="9" t="str" cm="1">
        <f t="array" aca="1" ref="Y75" ca="1">CreateSearchString($K75)</f>
        <v/>
      </c>
      <c r="Z75" s="9" cm="1">
        <f t="array" aca="1" ref="Z75" ca="1">IF($G75="",0,SimpleLookup($G75,Definitions!$AE:$AF))</f>
        <v>0</v>
      </c>
      <c r="AA75" s="9" t="str" cm="1">
        <f t="array" aca="1" ref="AA75" ca="1">SanitizeInput(InverseLookup($A75,Mitigation!$U$2,Mitigation!$J$2,1,Helper!$B$5,","))</f>
        <v/>
      </c>
      <c r="AB75" s="9" cm="1">
        <f t="array" aca="1" ref="AB75" ca="1">IF($K75="",0,_xlfn.LET(
_xlpm._listOfAttackStepsAndMitigations,$K75&amp;$AA75,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75" s="9" t="str">
        <f ca="1">IFERROR(VLOOKUP($AB75,Definitions!$V:$W,COLUMNS(Definitions!$V:$W),TRUE),"")</f>
        <v>Basic</v>
      </c>
      <c r="AD75" s="9" t="str">
        <f ca="1">_xlfn.LET(
_xlpm._comments,GetValues($K75,Mitigation!$A:$O,"","",FALSE),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75" s="9" t="str" cm="1">
        <f t="array" aca="1" ref="AE75" ca="1">_xlfn.LET(
_xlpm._rapRange,Definitions!$W:$W,
_xlpm._calculatedRAP,$AC75,
_xlpm._inlineRAP,$AD75,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75" s="9" t="str">
        <f ca="1">IFERROR(IF(OR($V75="",$AE75=""),
Definitions!$AE$4,
VLOOKUP($V75,Definitions!$AH:$AM,MATCH($AE75,Definitions!$AH$3:$AM$3,0),FALSE)),
"")</f>
        <v>No Risk</v>
      </c>
      <c r="AG75" s="9" cm="1">
        <f t="array" aca="1" ref="AG75" ca="1">IF($AF75="",0,SimpleLookup($AF75,Definitions!$AE:$AF))</f>
        <v>0</v>
      </c>
      <c r="AH75" s="9" t="str" cm="1">
        <f t="array" aca="1" ref="AH75" ca="1">IFERROR(SimpleLookup($A75,Tracing!$B:$Z),"")</f>
        <v/>
      </c>
      <c r="AI75" s="9" t="str" cm="1">
        <f t="array" aca="1" ref="AI75" ca="1">_xlfn.LET(_xlpm._dm,SanitizeInput(GetValuesWithFallback(SanitizeInput($AH75),Assumptions!$A:$J,Countermeasures!$A:$J,"",",",FALSE)),
IF(_xlpm._dm="","",","&amp;_xlpm._dm))</f>
        <v/>
      </c>
      <c r="AJ75" s="9" t="str" cm="1">
        <f t="array" aca="1" ref="AJ75" ca="1">ApplyDamageMitigation($M75,$AI75,"")</f>
        <v/>
      </c>
      <c r="AK75" s="9" cm="1">
        <f t="array" aca="1" ref="AK75" ca="1">CalculateMaxFromList($AJ75,0,'Damage Scenarios'!$A:$U)</f>
        <v>0</v>
      </c>
      <c r="AL75" s="9" t="str">
        <f ca="1">IF($AK75=0,"",INDEX(Definitions!$Q:$Q,MATCH($AK75,Definitions!$R:$R,0)))</f>
        <v/>
      </c>
      <c r="AM75" s="9" cm="1">
        <f t="array" aca="1" ref="AM75" ca="1">IF($K75="",0,_xlfn.LET(
_xlpm._listOfAttackStepsAndMitigations,$K75&amp;$AH75,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75" s="9" t="str">
        <f ca="1">IFERROR(VLOOKUP($AM75,Definitions!$V:$W,COLUMNS(Definitions!$V:$W),TRUE),"")</f>
        <v>Basic</v>
      </c>
      <c r="AO75" s="9" t="str">
        <f ca="1">_xlfn.LET(
_xlpm._comments,SimpleLookup($A75,Tracing!$B:$AB),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75" s="9" t="str" cm="1">
        <f t="array" aca="1" ref="AP75" ca="1">_xlfn.LET(
_xlpm._rapRange,Definitions!$W:$W,
_xlpm._calculatedRAP,$AN75,
_xlpm._inlineRAP,$AO75,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75" s="9" t="str">
        <f ca="1">IFERROR(IF(OR($AL75="",$AP75=""),
Definitions!$AE$4,
VLOOKUP($AL75,Definitions!$AH:$AM,MATCH($AP75,Definitions!$AH$3:$AM$3,0),FALSE)),
"")</f>
        <v>No Risk</v>
      </c>
      <c r="AR75" s="9" cm="1">
        <f t="array" aca="1" ref="AR75" ca="1">IF($AQ75="",0,SimpleLookup($AQ75,Definitions!$AE:$AF))</f>
        <v>0</v>
      </c>
      <c r="AS75" s="9" t="b">
        <f ca="1">OR(AND($S75,$I75=Helper!$B$7),$I75&gt;Helper!$B$7)</f>
        <v>1</v>
      </c>
      <c r="AT75" s="9" t="str">
        <f t="shared" ca="1" si="11"/>
        <v/>
      </c>
      <c r="AU75" s="9" cm="1">
        <f t="array" aca="1" ref="AU75" ca="1">CreateID($AU$2,$AT75&lt;&gt;"")</f>
        <v>0</v>
      </c>
      <c r="AV75" s="9" t="str">
        <f ca="1">IF(IFERROR(MATCH(","&amp;A75&amp;",",'Risk Treatment'!$AT:$AT,0)&gt;0,FALSE),"",$A75)</f>
        <v/>
      </c>
      <c r="AW75" s="9" cm="1">
        <f t="array" aca="1" ref="AW75" ca="1">CreateID($AW$2,$AV75&lt;&gt;"")</f>
        <v>0</v>
      </c>
      <c r="AX75" s="9" t="str" cm="1">
        <f t="array" aca="1" ref="AX75" ca="1">CreateSearchString($AA75)</f>
        <v/>
      </c>
    </row>
    <row r="76" spans="1:50" x14ac:dyDescent="0.25">
      <c r="A76" s="13" t="str" cm="1">
        <f t="array" aca="1" ref="A76" ca="1">IF($B76="","","R"&amp;RemoveDelimiter(SUBSTITUTE(SUBSTITUTE($K76,"AS",""),",","-"),"-"))</f>
        <v/>
      </c>
      <c r="B76" s="13" t="str" cm="1">
        <f t="array" aca="1" ref="B76" ca="1">IF($L76="","",_xlfn.LET(
_xlpm._finalAttackStep,$L76,
_xlpm._prepAttacks,RemoveFirstElement(_xlpm._finalAttackStep&amp;","&amp;$K76),
_xlpm._prepAttackNames,IFERROR(LookupNames(_xlpm._prepAttacks,'Attack Steps'!$A:$B),""),
_xlpm._delimiter,REPT(CHAR(150),55),
$L76&amp;" "&amp;SimpleLookup($L76,'Attack Steps'!$A:$B)&amp;
IF(_xlpm._prepAttackNames="","",CHAR(10)&amp;_xlpm._delimiter&amp;CHAR(10)&amp;_xlpm._prepAttackNames)))</f>
        <v/>
      </c>
      <c r="C76" s="16" t="str" cm="1">
        <f t="array" aca="1" ref="C76" ca="1">IFERROR(LookupNames($M76,'Damage Scenarios'!$A:$V),"")</f>
        <v/>
      </c>
      <c r="D76" s="13" t="str">
        <f ca="1">IFERROR(IF($T76=0,"",INDEX(Definitions!$Q:$Q,MATCH($T76,Definitions!$R:$R,0))),"")</f>
        <v/>
      </c>
      <c r="E76" s="16" t="str" cm="1">
        <f t="array" aca="1" ref="E76" ca="1">IF($K76="","",_xlfn.LET(
_xlpm._listOfAttackSteps,$K76,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76" s="13" t="str">
        <f ca="1">IF($A76="","",IFERROR(VLOOKUP($W76,Definitions!$V:$W,COLUMNS(Definitions!$V:$W),TRUE),""))</f>
        <v/>
      </c>
      <c r="G76" s="13" t="str">
        <f ca="1">IFERROR(IF(OR($D76="",$F76=""),
"",
VLOOKUP($D76,Definitions!$AH:$AM,MATCH($F76,Definitions!$AH$3:$AM$3,0),FALSE)),
"")</f>
        <v/>
      </c>
      <c r="H76" s="10" cm="1">
        <f t="array" aca="1" ref="H76" ca="1">CreateID($H$2,$A76&lt;&gt;"")</f>
        <v>0</v>
      </c>
      <c r="I76" s="9" cm="1">
        <f t="array" aca="1" ref="I76" ca="1">IF(ROW()=ROW($I$2)+1,
1,
INDEX($I:$I,ROW()-1)+IF(INDEX($S:$S,ROW()-1),1,0))</f>
        <v>1</v>
      </c>
      <c r="J76" s="9">
        <f t="shared" ca="1" si="8"/>
        <v>74</v>
      </c>
      <c r="K76" s="9" t="str">
        <f t="shared" ca="1" si="9"/>
        <v/>
      </c>
      <c r="L76" s="9" t="str" cm="1">
        <f t="array" aca="1" ref="L76" ca="1">IF($P76="","",INDEX('Attack Steps'!$A:$A,$P76))</f>
        <v/>
      </c>
      <c r="M76" s="9" t="str" cm="1">
        <f t="array" aca="1" ref="M76" ca="1">IF($P76="","",INDEX('Attack Steps'!$U:$U,$P76))</f>
        <v/>
      </c>
      <c r="N76" s="9" t="str" cm="1">
        <f t="array" aca="1" ref="N76" ca="1">_xlfn.LET(_xlpm._dm,SanitizeInput(GetValuesWithFallback(SanitizeInput($AA76),Assumptions!$A:$J,Countermeasures!$A:$J,"",",",FALSE)),
IF(_xlpm._dm="","",","&amp;_xlpm._dm))</f>
        <v/>
      </c>
      <c r="O76" s="9" t="str" cm="1">
        <f t="array" aca="1" ref="O76" ca="1">ApplyDamageMitigation($M76,$N76,"")</f>
        <v/>
      </c>
      <c r="P76" s="9" t="str">
        <f ca="1">IFERROR(MATCH($I76,'Attack Steps'!$W:$W,0),"")</f>
        <v/>
      </c>
      <c r="Q76" s="9" t="str" cm="1">
        <f t="array" aca="1" ref="Q76" ca="1">IF($P76="","","§"&amp;INDEX('Attack Steps'!$T:$T,$P76))</f>
        <v/>
      </c>
      <c r="R76" s="9" t="str" cm="1">
        <f t="array" aca="1" ref="R76" ca="1">IF($P76="","",INDEX('Attack Steps'!$X:$X,$P76))</f>
        <v/>
      </c>
      <c r="S76" s="9" t="b">
        <f t="shared" ca="1" si="10"/>
        <v>0</v>
      </c>
      <c r="T76" s="9" cm="1">
        <f t="array" aca="1" ref="T76" ca="1">IF($M76="",0,OperateOnList($M76,_xlfn.LAMBDA(_xlpm._x,SimpleLookup(_xlpm._x,'Damage Scenarios'!$A:$U)),_xlfn.LAMBDA(_xlpm._x,_xlpm._y,MAX(_xlpm._x,_xlpm._y))))</f>
        <v>0</v>
      </c>
      <c r="U76" s="9" cm="1">
        <f t="array" aca="1" ref="U76" ca="1">IF($O76="",0,OperateOnList($O76,_xlfn.LAMBDA(_xlpm._x,SimpleLookup(_xlpm._x,'Damage Scenarios'!$A:$U)),_xlfn.LAMBDA(_xlpm._x,_xlpm._y,MAX(_xlpm._x,_xlpm._y))))</f>
        <v>0</v>
      </c>
      <c r="V76" s="9" t="str">
        <f ca="1">IF($U76=0,"",INDEX(Definitions!$Q:$Q,MATCH($U76,Definitions!$R:$R,0)))</f>
        <v/>
      </c>
      <c r="W76" s="9" cm="1">
        <f t="array" aca="1" ref="W76" ca="1">IF($K76="",0,_xlfn.LET(
_xlpm._listOfAttackSteps,$K76,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76" s="9" t="str" cm="1">
        <f t="array" aca="1" ref="X76" ca="1">IF(ROW()=ROW($X$2)+1,"",INDEX($X:$X,ROW()-1))&amp;IF($A76="","",$A76&amp;",")</f>
        <v/>
      </c>
      <c r="Y76" s="9" t="str" cm="1">
        <f t="array" aca="1" ref="Y76" ca="1">CreateSearchString($K76)</f>
        <v/>
      </c>
      <c r="Z76" s="9" cm="1">
        <f t="array" aca="1" ref="Z76" ca="1">IF($G76="",0,SimpleLookup($G76,Definitions!$AE:$AF))</f>
        <v>0</v>
      </c>
      <c r="AA76" s="9" t="str" cm="1">
        <f t="array" aca="1" ref="AA76" ca="1">SanitizeInput(InverseLookup($A76,Mitigation!$U$2,Mitigation!$J$2,1,Helper!$B$5,","))</f>
        <v/>
      </c>
      <c r="AB76" s="9" cm="1">
        <f t="array" aca="1" ref="AB76" ca="1">IF($K76="",0,_xlfn.LET(
_xlpm._listOfAttackStepsAndMitigations,$K76&amp;$AA76,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76" s="9" t="str">
        <f ca="1">IFERROR(VLOOKUP($AB76,Definitions!$V:$W,COLUMNS(Definitions!$V:$W),TRUE),"")</f>
        <v>Basic</v>
      </c>
      <c r="AD76" s="9" t="str">
        <f ca="1">_xlfn.LET(
_xlpm._comments,GetValues($K76,Mitigation!$A:$O,"","",FALSE),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76" s="9" t="str" cm="1">
        <f t="array" aca="1" ref="AE76" ca="1">_xlfn.LET(
_xlpm._rapRange,Definitions!$W:$W,
_xlpm._calculatedRAP,$AC76,
_xlpm._inlineRAP,$AD76,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76" s="9" t="str">
        <f ca="1">IFERROR(IF(OR($V76="",$AE76=""),
Definitions!$AE$4,
VLOOKUP($V76,Definitions!$AH:$AM,MATCH($AE76,Definitions!$AH$3:$AM$3,0),FALSE)),
"")</f>
        <v>No Risk</v>
      </c>
      <c r="AG76" s="9" cm="1">
        <f t="array" aca="1" ref="AG76" ca="1">IF($AF76="",0,SimpleLookup($AF76,Definitions!$AE:$AF))</f>
        <v>0</v>
      </c>
      <c r="AH76" s="9" t="str" cm="1">
        <f t="array" aca="1" ref="AH76" ca="1">IFERROR(SimpleLookup($A76,Tracing!$B:$Z),"")</f>
        <v/>
      </c>
      <c r="AI76" s="9" t="str" cm="1">
        <f t="array" aca="1" ref="AI76" ca="1">_xlfn.LET(_xlpm._dm,SanitizeInput(GetValuesWithFallback(SanitizeInput($AH76),Assumptions!$A:$J,Countermeasures!$A:$J,"",",",FALSE)),
IF(_xlpm._dm="","",","&amp;_xlpm._dm))</f>
        <v/>
      </c>
      <c r="AJ76" s="9" t="str" cm="1">
        <f t="array" aca="1" ref="AJ76" ca="1">ApplyDamageMitigation($M76,$AI76,"")</f>
        <v/>
      </c>
      <c r="AK76" s="9" cm="1">
        <f t="array" aca="1" ref="AK76" ca="1">CalculateMaxFromList($AJ76,0,'Damage Scenarios'!$A:$U)</f>
        <v>0</v>
      </c>
      <c r="AL76" s="9" t="str">
        <f ca="1">IF($AK76=0,"",INDEX(Definitions!$Q:$Q,MATCH($AK76,Definitions!$R:$R,0)))</f>
        <v/>
      </c>
      <c r="AM76" s="9" cm="1">
        <f t="array" aca="1" ref="AM76" ca="1">IF($K76="",0,_xlfn.LET(
_xlpm._listOfAttackStepsAndMitigations,$K76&amp;$AH76,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76" s="9" t="str">
        <f ca="1">IFERROR(VLOOKUP($AM76,Definitions!$V:$W,COLUMNS(Definitions!$V:$W),TRUE),"")</f>
        <v>Basic</v>
      </c>
      <c r="AO76" s="9" t="str">
        <f ca="1">_xlfn.LET(
_xlpm._comments,SimpleLookup($A76,Tracing!$B:$AB),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76" s="9" t="str" cm="1">
        <f t="array" aca="1" ref="AP76" ca="1">_xlfn.LET(
_xlpm._rapRange,Definitions!$W:$W,
_xlpm._calculatedRAP,$AN76,
_xlpm._inlineRAP,$AO76,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76" s="9" t="str">
        <f ca="1">IFERROR(IF(OR($AL76="",$AP76=""),
Definitions!$AE$4,
VLOOKUP($AL76,Definitions!$AH:$AM,MATCH($AP76,Definitions!$AH$3:$AM$3,0),FALSE)),
"")</f>
        <v>No Risk</v>
      </c>
      <c r="AR76" s="9" cm="1">
        <f t="array" aca="1" ref="AR76" ca="1">IF($AQ76="",0,SimpleLookup($AQ76,Definitions!$AE:$AF))</f>
        <v>0</v>
      </c>
      <c r="AS76" s="9" t="b">
        <f ca="1">OR(AND($S76,$I76=Helper!$B$7),$I76&gt;Helper!$B$7)</f>
        <v>1</v>
      </c>
      <c r="AT76" s="9" t="str">
        <f t="shared" ca="1" si="11"/>
        <v/>
      </c>
      <c r="AU76" s="9" cm="1">
        <f t="array" aca="1" ref="AU76" ca="1">CreateID($AU$2,$AT76&lt;&gt;"")</f>
        <v>0</v>
      </c>
      <c r="AV76" s="9" t="str">
        <f ca="1">IF(IFERROR(MATCH(","&amp;A76&amp;",",'Risk Treatment'!$AT:$AT,0)&gt;0,FALSE),"",$A76)</f>
        <v/>
      </c>
      <c r="AW76" s="9" cm="1">
        <f t="array" aca="1" ref="AW76" ca="1">CreateID($AW$2,$AV76&lt;&gt;"")</f>
        <v>0</v>
      </c>
      <c r="AX76" s="9" t="str" cm="1">
        <f t="array" aca="1" ref="AX76" ca="1">CreateSearchString($AA76)</f>
        <v/>
      </c>
    </row>
    <row r="77" spans="1:50" x14ac:dyDescent="0.25">
      <c r="A77" s="13" t="str" cm="1">
        <f t="array" aca="1" ref="A77" ca="1">IF($B77="","","R"&amp;RemoveDelimiter(SUBSTITUTE(SUBSTITUTE($K77,"AS",""),",","-"),"-"))</f>
        <v/>
      </c>
      <c r="B77" s="13" t="str" cm="1">
        <f t="array" aca="1" ref="B77" ca="1">IF($L77="","",_xlfn.LET(
_xlpm._finalAttackStep,$L77,
_xlpm._prepAttacks,RemoveFirstElement(_xlpm._finalAttackStep&amp;","&amp;$K77),
_xlpm._prepAttackNames,IFERROR(LookupNames(_xlpm._prepAttacks,'Attack Steps'!$A:$B),""),
_xlpm._delimiter,REPT(CHAR(150),55),
$L77&amp;" "&amp;SimpleLookup($L77,'Attack Steps'!$A:$B)&amp;
IF(_xlpm._prepAttackNames="","",CHAR(10)&amp;_xlpm._delimiter&amp;CHAR(10)&amp;_xlpm._prepAttackNames)))</f>
        <v/>
      </c>
      <c r="C77" s="16" t="str" cm="1">
        <f t="array" aca="1" ref="C77" ca="1">IFERROR(LookupNames($M77,'Damage Scenarios'!$A:$V),"")</f>
        <v/>
      </c>
      <c r="D77" s="13" t="str">
        <f ca="1">IFERROR(IF($T77=0,"",INDEX(Definitions!$Q:$Q,MATCH($T77,Definitions!$R:$R,0))),"")</f>
        <v/>
      </c>
      <c r="E77" s="16" t="str" cm="1">
        <f t="array" aca="1" ref="E77" ca="1">IF($K77="","",_xlfn.LET(
_xlpm._listOfAttackSteps,$K77,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77" s="13" t="str">
        <f ca="1">IF($A77="","",IFERROR(VLOOKUP($W77,Definitions!$V:$W,COLUMNS(Definitions!$V:$W),TRUE),""))</f>
        <v/>
      </c>
      <c r="G77" s="13" t="str">
        <f ca="1">IFERROR(IF(OR($D77="",$F77=""),
"",
VLOOKUP($D77,Definitions!$AH:$AM,MATCH($F77,Definitions!$AH$3:$AM$3,0),FALSE)),
"")</f>
        <v/>
      </c>
      <c r="H77" s="10" cm="1">
        <f t="array" aca="1" ref="H77" ca="1">CreateID($H$2,$A77&lt;&gt;"")</f>
        <v>0</v>
      </c>
      <c r="I77" s="9" cm="1">
        <f t="array" aca="1" ref="I77" ca="1">IF(ROW()=ROW($I$2)+1,
1,
INDEX($I:$I,ROW()-1)+IF(INDEX($S:$S,ROW()-1),1,0))</f>
        <v>1</v>
      </c>
      <c r="J77" s="9">
        <f t="shared" ca="1" si="8"/>
        <v>75</v>
      </c>
      <c r="K77" s="9" t="str">
        <f t="shared" ca="1" si="9"/>
        <v/>
      </c>
      <c r="L77" s="9" t="str" cm="1">
        <f t="array" aca="1" ref="L77" ca="1">IF($P77="","",INDEX('Attack Steps'!$A:$A,$P77))</f>
        <v/>
      </c>
      <c r="M77" s="9" t="str" cm="1">
        <f t="array" aca="1" ref="M77" ca="1">IF($P77="","",INDEX('Attack Steps'!$U:$U,$P77))</f>
        <v/>
      </c>
      <c r="N77" s="9" t="str" cm="1">
        <f t="array" aca="1" ref="N77" ca="1">_xlfn.LET(_xlpm._dm,SanitizeInput(GetValuesWithFallback(SanitizeInput($AA77),Assumptions!$A:$J,Countermeasures!$A:$J,"",",",FALSE)),
IF(_xlpm._dm="","",","&amp;_xlpm._dm))</f>
        <v/>
      </c>
      <c r="O77" s="9" t="str" cm="1">
        <f t="array" aca="1" ref="O77" ca="1">ApplyDamageMitigation($M77,$N77,"")</f>
        <v/>
      </c>
      <c r="P77" s="9" t="str">
        <f ca="1">IFERROR(MATCH($I77,'Attack Steps'!$W:$W,0),"")</f>
        <v/>
      </c>
      <c r="Q77" s="9" t="str" cm="1">
        <f t="array" aca="1" ref="Q77" ca="1">IF($P77="","","§"&amp;INDEX('Attack Steps'!$T:$T,$P77))</f>
        <v/>
      </c>
      <c r="R77" s="9" t="str" cm="1">
        <f t="array" aca="1" ref="R77" ca="1">IF($P77="","",INDEX('Attack Steps'!$X:$X,$P77))</f>
        <v/>
      </c>
      <c r="S77" s="9" t="b">
        <f t="shared" ca="1" si="10"/>
        <v>0</v>
      </c>
      <c r="T77" s="9" cm="1">
        <f t="array" aca="1" ref="T77" ca="1">IF($M77="",0,OperateOnList($M77,_xlfn.LAMBDA(_xlpm._x,SimpleLookup(_xlpm._x,'Damage Scenarios'!$A:$U)),_xlfn.LAMBDA(_xlpm._x,_xlpm._y,MAX(_xlpm._x,_xlpm._y))))</f>
        <v>0</v>
      </c>
      <c r="U77" s="9" cm="1">
        <f t="array" aca="1" ref="U77" ca="1">IF($O77="",0,OperateOnList($O77,_xlfn.LAMBDA(_xlpm._x,SimpleLookup(_xlpm._x,'Damage Scenarios'!$A:$U)),_xlfn.LAMBDA(_xlpm._x,_xlpm._y,MAX(_xlpm._x,_xlpm._y))))</f>
        <v>0</v>
      </c>
      <c r="V77" s="9" t="str">
        <f ca="1">IF($U77=0,"",INDEX(Definitions!$Q:$Q,MATCH($U77,Definitions!$R:$R,0)))</f>
        <v/>
      </c>
      <c r="W77" s="9" cm="1">
        <f t="array" aca="1" ref="W77" ca="1">IF($K77="",0,_xlfn.LET(
_xlpm._listOfAttackSteps,$K77,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77" s="9" t="str" cm="1">
        <f t="array" aca="1" ref="X77" ca="1">IF(ROW()=ROW($X$2)+1,"",INDEX($X:$X,ROW()-1))&amp;IF($A77="","",$A77&amp;",")</f>
        <v/>
      </c>
      <c r="Y77" s="9" t="str" cm="1">
        <f t="array" aca="1" ref="Y77" ca="1">CreateSearchString($K77)</f>
        <v/>
      </c>
      <c r="Z77" s="9" cm="1">
        <f t="array" aca="1" ref="Z77" ca="1">IF($G77="",0,SimpleLookup($G77,Definitions!$AE:$AF))</f>
        <v>0</v>
      </c>
      <c r="AA77" s="9" t="str" cm="1">
        <f t="array" aca="1" ref="AA77" ca="1">SanitizeInput(InverseLookup($A77,Mitigation!$U$2,Mitigation!$J$2,1,Helper!$B$5,","))</f>
        <v/>
      </c>
      <c r="AB77" s="9" cm="1">
        <f t="array" aca="1" ref="AB77" ca="1">IF($K77="",0,_xlfn.LET(
_xlpm._listOfAttackStepsAndMitigations,$K77&amp;$AA77,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77" s="9" t="str">
        <f ca="1">IFERROR(VLOOKUP($AB77,Definitions!$V:$W,COLUMNS(Definitions!$V:$W),TRUE),"")</f>
        <v>Basic</v>
      </c>
      <c r="AD77" s="9" t="str">
        <f ca="1">_xlfn.LET(
_xlpm._comments,GetValues($K77,Mitigation!$A:$O,"","",FALSE),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77" s="9" t="str" cm="1">
        <f t="array" aca="1" ref="AE77" ca="1">_xlfn.LET(
_xlpm._rapRange,Definitions!$W:$W,
_xlpm._calculatedRAP,$AC77,
_xlpm._inlineRAP,$AD77,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77" s="9" t="str">
        <f ca="1">IFERROR(IF(OR($V77="",$AE77=""),
Definitions!$AE$4,
VLOOKUP($V77,Definitions!$AH:$AM,MATCH($AE77,Definitions!$AH$3:$AM$3,0),FALSE)),
"")</f>
        <v>No Risk</v>
      </c>
      <c r="AG77" s="9" cm="1">
        <f t="array" aca="1" ref="AG77" ca="1">IF($AF77="",0,SimpleLookup($AF77,Definitions!$AE:$AF))</f>
        <v>0</v>
      </c>
      <c r="AH77" s="9" t="str" cm="1">
        <f t="array" aca="1" ref="AH77" ca="1">IFERROR(SimpleLookup($A77,Tracing!$B:$Z),"")</f>
        <v/>
      </c>
      <c r="AI77" s="9" t="str" cm="1">
        <f t="array" aca="1" ref="AI77" ca="1">_xlfn.LET(_xlpm._dm,SanitizeInput(GetValuesWithFallback(SanitizeInput($AH77),Assumptions!$A:$J,Countermeasures!$A:$J,"",",",FALSE)),
IF(_xlpm._dm="","",","&amp;_xlpm._dm))</f>
        <v/>
      </c>
      <c r="AJ77" s="9" t="str" cm="1">
        <f t="array" aca="1" ref="AJ77" ca="1">ApplyDamageMitigation($M77,$AI77,"")</f>
        <v/>
      </c>
      <c r="AK77" s="9" cm="1">
        <f t="array" aca="1" ref="AK77" ca="1">CalculateMaxFromList($AJ77,0,'Damage Scenarios'!$A:$U)</f>
        <v>0</v>
      </c>
      <c r="AL77" s="9" t="str">
        <f ca="1">IF($AK77=0,"",INDEX(Definitions!$Q:$Q,MATCH($AK77,Definitions!$R:$R,0)))</f>
        <v/>
      </c>
      <c r="AM77" s="9" cm="1">
        <f t="array" aca="1" ref="AM77" ca="1">IF($K77="",0,_xlfn.LET(
_xlpm._listOfAttackStepsAndMitigations,$K77&amp;$AH77,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77" s="9" t="str">
        <f ca="1">IFERROR(VLOOKUP($AM77,Definitions!$V:$W,COLUMNS(Definitions!$V:$W),TRUE),"")</f>
        <v>Basic</v>
      </c>
      <c r="AO77" s="9" t="str">
        <f ca="1">_xlfn.LET(
_xlpm._comments,SimpleLookup($A77,Tracing!$B:$AB),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77" s="9" t="str" cm="1">
        <f t="array" aca="1" ref="AP77" ca="1">_xlfn.LET(
_xlpm._rapRange,Definitions!$W:$W,
_xlpm._calculatedRAP,$AN77,
_xlpm._inlineRAP,$AO77,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77" s="9" t="str">
        <f ca="1">IFERROR(IF(OR($AL77="",$AP77=""),
Definitions!$AE$4,
VLOOKUP($AL77,Definitions!$AH:$AM,MATCH($AP77,Definitions!$AH$3:$AM$3,0),FALSE)),
"")</f>
        <v>No Risk</v>
      </c>
      <c r="AR77" s="9" cm="1">
        <f t="array" aca="1" ref="AR77" ca="1">IF($AQ77="",0,SimpleLookup($AQ77,Definitions!$AE:$AF))</f>
        <v>0</v>
      </c>
      <c r="AS77" s="9" t="b">
        <f ca="1">OR(AND($S77,$I77=Helper!$B$7),$I77&gt;Helper!$B$7)</f>
        <v>1</v>
      </c>
      <c r="AT77" s="9" t="str">
        <f t="shared" ca="1" si="11"/>
        <v/>
      </c>
      <c r="AU77" s="9" cm="1">
        <f t="array" aca="1" ref="AU77" ca="1">CreateID($AU$2,$AT77&lt;&gt;"")</f>
        <v>0</v>
      </c>
      <c r="AV77" s="9" t="str">
        <f ca="1">IF(IFERROR(MATCH(","&amp;A77&amp;",",'Risk Treatment'!$AT:$AT,0)&gt;0,FALSE),"",$A77)</f>
        <v/>
      </c>
      <c r="AW77" s="9" cm="1">
        <f t="array" aca="1" ref="AW77" ca="1">CreateID($AW$2,$AV77&lt;&gt;"")</f>
        <v>0</v>
      </c>
      <c r="AX77" s="9" t="str" cm="1">
        <f t="array" aca="1" ref="AX77" ca="1">CreateSearchString($AA77)</f>
        <v/>
      </c>
    </row>
    <row r="78" spans="1:50" x14ac:dyDescent="0.25">
      <c r="A78" s="13" t="str" cm="1">
        <f t="array" aca="1" ref="A78" ca="1">IF($B78="","","R"&amp;RemoveDelimiter(SUBSTITUTE(SUBSTITUTE($K78,"AS",""),",","-"),"-"))</f>
        <v/>
      </c>
      <c r="B78" s="13" t="str" cm="1">
        <f t="array" aca="1" ref="B78" ca="1">IF($L78="","",_xlfn.LET(
_xlpm._finalAttackStep,$L78,
_xlpm._prepAttacks,RemoveFirstElement(_xlpm._finalAttackStep&amp;","&amp;$K78),
_xlpm._prepAttackNames,IFERROR(LookupNames(_xlpm._prepAttacks,'Attack Steps'!$A:$B),""),
_xlpm._delimiter,REPT(CHAR(150),55),
$L78&amp;" "&amp;SimpleLookup($L78,'Attack Steps'!$A:$B)&amp;
IF(_xlpm._prepAttackNames="","",CHAR(10)&amp;_xlpm._delimiter&amp;CHAR(10)&amp;_xlpm._prepAttackNames)))</f>
        <v/>
      </c>
      <c r="C78" s="16" t="str" cm="1">
        <f t="array" aca="1" ref="C78" ca="1">IFERROR(LookupNames($M78,'Damage Scenarios'!$A:$V),"")</f>
        <v/>
      </c>
      <c r="D78" s="13" t="str">
        <f ca="1">IFERROR(IF($T78=0,"",INDEX(Definitions!$Q:$Q,MATCH($T78,Definitions!$R:$R,0))),"")</f>
        <v/>
      </c>
      <c r="E78" s="16" t="str" cm="1">
        <f t="array" aca="1" ref="E78" ca="1">IF($K78="","",_xlfn.LET(
_xlpm._listOfAttackSteps,$K78,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78" s="13" t="str">
        <f ca="1">IF($A78="","",IFERROR(VLOOKUP($W78,Definitions!$V:$W,COLUMNS(Definitions!$V:$W),TRUE),""))</f>
        <v/>
      </c>
      <c r="G78" s="13" t="str">
        <f ca="1">IFERROR(IF(OR($D78="",$F78=""),
"",
VLOOKUP($D78,Definitions!$AH:$AM,MATCH($F78,Definitions!$AH$3:$AM$3,0),FALSE)),
"")</f>
        <v/>
      </c>
      <c r="H78" s="10" cm="1">
        <f t="array" aca="1" ref="H78" ca="1">CreateID($H$2,$A78&lt;&gt;"")</f>
        <v>0</v>
      </c>
      <c r="I78" s="9" cm="1">
        <f t="array" aca="1" ref="I78" ca="1">IF(ROW()=ROW($I$2)+1,
1,
INDEX($I:$I,ROW()-1)+IF(INDEX($S:$S,ROW()-1),1,0))</f>
        <v>1</v>
      </c>
      <c r="J78" s="9">
        <f t="shared" ref="J78:J83" ca="1" si="12">COUNTIF(OFFSET($I$2,1,0,ROW()-ROW($I$2),1),$I78)</f>
        <v>76</v>
      </c>
      <c r="K78" s="9" t="str">
        <f t="shared" ref="K78:K83" ca="1" si="13">IF($Q78="","",_xlfn.LET(
_xlpm._aps,$Q78,
_xlpm._firstPos,FIND("$",SUBSTITUTE(_xlpm._aps,"§","$",$J78))+1,
_xlpm._lastPos,FIND("$",SUBSTITUTE(_xlpm._aps,"§","$",$J78+1)),
MID(_xlpm._aps,_xlpm._firstPos,_xlpm._lastPos-_xlpm._firstPos)))</f>
        <v/>
      </c>
      <c r="L78" s="9" t="str" cm="1">
        <f t="array" aca="1" ref="L78" ca="1">IF($P78="","",INDEX('Attack Steps'!$A:$A,$P78))</f>
        <v/>
      </c>
      <c r="M78" s="9" t="str" cm="1">
        <f t="array" aca="1" ref="M78" ca="1">IF($P78="","",INDEX('Attack Steps'!$U:$U,$P78))</f>
        <v/>
      </c>
      <c r="N78" s="9" t="str" cm="1">
        <f t="array" aca="1" ref="N78" ca="1">_xlfn.LET(_xlpm._dm,SanitizeInput(GetValuesWithFallback(SanitizeInput($AA78),Assumptions!$A:$J,Countermeasures!$A:$J,"",",",FALSE)),
IF(_xlpm._dm="","",","&amp;_xlpm._dm))</f>
        <v/>
      </c>
      <c r="O78" s="9" t="str" cm="1">
        <f t="array" aca="1" ref="O78" ca="1">ApplyDamageMitigation($M78,$N78,"")</f>
        <v/>
      </c>
      <c r="P78" s="9" t="str">
        <f ca="1">IFERROR(MATCH($I78,'Attack Steps'!$W:$W,0),"")</f>
        <v/>
      </c>
      <c r="Q78" s="9" t="str" cm="1">
        <f t="array" aca="1" ref="Q78" ca="1">IF($P78="","","§"&amp;INDEX('Attack Steps'!$T:$T,$P78))</f>
        <v/>
      </c>
      <c r="R78" s="9" t="str" cm="1">
        <f t="array" aca="1" ref="R78" ca="1">IF($P78="","",INDEX('Attack Steps'!$X:$X,$P78))</f>
        <v/>
      </c>
      <c r="S78" s="9" t="b">
        <f t="shared" ref="S78:S83" ca="1" si="14">$J78=$R78</f>
        <v>0</v>
      </c>
      <c r="T78" s="9" cm="1">
        <f t="array" aca="1" ref="T78" ca="1">IF($M78="",0,OperateOnList($M78,_xlfn.LAMBDA(_xlpm._x,SimpleLookup(_xlpm._x,'Damage Scenarios'!$A:$U)),_xlfn.LAMBDA(_xlpm._x,_xlpm._y,MAX(_xlpm._x,_xlpm._y))))</f>
        <v>0</v>
      </c>
      <c r="U78" s="9" cm="1">
        <f t="array" aca="1" ref="U78" ca="1">IF($O78="",0,OperateOnList($O78,_xlfn.LAMBDA(_xlpm._x,SimpleLookup(_xlpm._x,'Damage Scenarios'!$A:$U)),_xlfn.LAMBDA(_xlpm._x,_xlpm._y,MAX(_xlpm._x,_xlpm._y))))</f>
        <v>0</v>
      </c>
      <c r="V78" s="9" t="str">
        <f ca="1">IF($U78=0,"",INDEX(Definitions!$Q:$Q,MATCH($U78,Definitions!$R:$R,0)))</f>
        <v/>
      </c>
      <c r="W78" s="9" cm="1">
        <f t="array" aca="1" ref="W78" ca="1">IF($K78="",0,_xlfn.LET(
_xlpm._listOfAttackSteps,$K78,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78" s="9" t="str" cm="1">
        <f t="array" aca="1" ref="X78" ca="1">IF(ROW()=ROW($X$2)+1,"",INDEX($X:$X,ROW()-1))&amp;IF($A78="","",$A78&amp;",")</f>
        <v/>
      </c>
      <c r="Y78" s="9" t="str" cm="1">
        <f t="array" aca="1" ref="Y78" ca="1">CreateSearchString($K78)</f>
        <v/>
      </c>
      <c r="Z78" s="9" cm="1">
        <f t="array" aca="1" ref="Z78" ca="1">IF($G78="",0,SimpleLookup($G78,Definitions!$AE:$AF))</f>
        <v>0</v>
      </c>
      <c r="AA78" s="9" t="str" cm="1">
        <f t="array" aca="1" ref="AA78" ca="1">SanitizeInput(InverseLookup($A78,Mitigation!$U$2,Mitigation!$J$2,1,Helper!$B$5,","))</f>
        <v/>
      </c>
      <c r="AB78" s="9" cm="1">
        <f t="array" aca="1" ref="AB78" ca="1">IF($K78="",0,_xlfn.LET(
_xlpm._listOfAttackStepsAndMitigations,$K78&amp;$AA78,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78" s="9" t="str">
        <f ca="1">IFERROR(VLOOKUP($AB78,Definitions!$V:$W,COLUMNS(Definitions!$V:$W),TRUE),"")</f>
        <v>Basic</v>
      </c>
      <c r="AD78" s="9" t="str">
        <f ca="1">_xlfn.LET(
_xlpm._comments,GetValues($K78,Mitigation!$A:$O,"","",FALSE),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78" s="9" t="str" cm="1">
        <f t="array" aca="1" ref="AE78" ca="1">_xlfn.LET(
_xlpm._rapRange,Definitions!$W:$W,
_xlpm._calculatedRAP,$AC78,
_xlpm._inlineRAP,$AD78,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78" s="9" t="str">
        <f ca="1">IFERROR(IF(OR($V78="",$AE78=""),
Definitions!$AE$4,
VLOOKUP($V78,Definitions!$AH:$AM,MATCH($AE78,Definitions!$AH$3:$AM$3,0),FALSE)),
"")</f>
        <v>No Risk</v>
      </c>
      <c r="AG78" s="9" cm="1">
        <f t="array" aca="1" ref="AG78" ca="1">IF($AF78="",0,SimpleLookup($AF78,Definitions!$AE:$AF))</f>
        <v>0</v>
      </c>
      <c r="AH78" s="9" t="str" cm="1">
        <f t="array" aca="1" ref="AH78" ca="1">IFERROR(SimpleLookup($A78,Tracing!$B:$Z),"")</f>
        <v/>
      </c>
      <c r="AI78" s="9" t="str" cm="1">
        <f t="array" aca="1" ref="AI78" ca="1">_xlfn.LET(_xlpm._dm,SanitizeInput(GetValuesWithFallback(SanitizeInput($AH78),Assumptions!$A:$J,Countermeasures!$A:$J,"",",",FALSE)),
IF(_xlpm._dm="","",","&amp;_xlpm._dm))</f>
        <v/>
      </c>
      <c r="AJ78" s="9" t="str" cm="1">
        <f t="array" aca="1" ref="AJ78" ca="1">ApplyDamageMitigation($M78,$AI78,"")</f>
        <v/>
      </c>
      <c r="AK78" s="9" cm="1">
        <f t="array" aca="1" ref="AK78" ca="1">CalculateMaxFromList($AJ78,0,'Damage Scenarios'!$A:$U)</f>
        <v>0</v>
      </c>
      <c r="AL78" s="9" t="str">
        <f ca="1">IF($AK78=0,"",INDEX(Definitions!$Q:$Q,MATCH($AK78,Definitions!$R:$R,0)))</f>
        <v/>
      </c>
      <c r="AM78" s="9" cm="1">
        <f t="array" aca="1" ref="AM78" ca="1">IF($K78="",0,_xlfn.LET(
_xlpm._listOfAttackStepsAndMitigations,$K78&amp;$AH78,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78" s="9" t="str">
        <f ca="1">IFERROR(VLOOKUP($AM78,Definitions!$V:$W,COLUMNS(Definitions!$V:$W),TRUE),"")</f>
        <v>Basic</v>
      </c>
      <c r="AO78" s="9" t="str">
        <f ca="1">_xlfn.LET(
_xlpm._comments,SimpleLookup($A78,Tracing!$B:$AB),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78" s="9" t="str" cm="1">
        <f t="array" aca="1" ref="AP78" ca="1">_xlfn.LET(
_xlpm._rapRange,Definitions!$W:$W,
_xlpm._calculatedRAP,$AN78,
_xlpm._inlineRAP,$AO78,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78" s="9" t="str">
        <f ca="1">IFERROR(IF(OR($AL78="",$AP78=""),
Definitions!$AE$4,
VLOOKUP($AL78,Definitions!$AH:$AM,MATCH($AP78,Definitions!$AH$3:$AM$3,0),FALSE)),
"")</f>
        <v>No Risk</v>
      </c>
      <c r="AR78" s="9" cm="1">
        <f t="array" aca="1" ref="AR78" ca="1">IF($AQ78="",0,SimpleLookup($AQ78,Definitions!$AE:$AF))</f>
        <v>0</v>
      </c>
      <c r="AS78" s="9" t="b">
        <f ca="1">OR(AND($S78,$I78=Helper!$B$7),$I78&gt;Helper!$B$7)</f>
        <v>1</v>
      </c>
      <c r="AT78" s="9" t="str">
        <f t="shared" ref="AT78:AT83" ca="1" si="15">IF(NOT(OR($AS78,AND(NOT($AS78),OFFSET($AS78,1,0)&lt;&gt;""))),"Please enlarge the table!","")</f>
        <v/>
      </c>
      <c r="AU78" s="9" cm="1">
        <f t="array" aca="1" ref="AU78" ca="1">CreateID($AU$2,$AT78&lt;&gt;"")</f>
        <v>0</v>
      </c>
      <c r="AV78" s="9" t="str">
        <f ca="1">IF(IFERROR(MATCH(","&amp;A78&amp;",",'Risk Treatment'!$AT:$AT,0)&gt;0,FALSE),"",$A78)</f>
        <v/>
      </c>
      <c r="AW78" s="9" cm="1">
        <f t="array" aca="1" ref="AW78" ca="1">CreateID($AW$2,$AV78&lt;&gt;"")</f>
        <v>0</v>
      </c>
      <c r="AX78" s="9" t="str" cm="1">
        <f t="array" aca="1" ref="AX78" ca="1">CreateSearchString($AA78)</f>
        <v/>
      </c>
    </row>
    <row r="79" spans="1:50" x14ac:dyDescent="0.25">
      <c r="A79" s="13" t="str" cm="1">
        <f t="array" aca="1" ref="A79" ca="1">IF($B79="","","R"&amp;RemoveDelimiter(SUBSTITUTE(SUBSTITUTE($K79,"AS",""),",","-"),"-"))</f>
        <v/>
      </c>
      <c r="B79" s="13" t="str" cm="1">
        <f t="array" aca="1" ref="B79" ca="1">IF($L79="","",_xlfn.LET(
_xlpm._finalAttackStep,$L79,
_xlpm._prepAttacks,RemoveFirstElement(_xlpm._finalAttackStep&amp;","&amp;$K79),
_xlpm._prepAttackNames,IFERROR(LookupNames(_xlpm._prepAttacks,'Attack Steps'!$A:$B),""),
_xlpm._delimiter,REPT(CHAR(150),55),
$L79&amp;" "&amp;SimpleLookup($L79,'Attack Steps'!$A:$B)&amp;
IF(_xlpm._prepAttackNames="","",CHAR(10)&amp;_xlpm._delimiter&amp;CHAR(10)&amp;_xlpm._prepAttackNames)))</f>
        <v/>
      </c>
      <c r="C79" s="16" t="str" cm="1">
        <f t="array" aca="1" ref="C79" ca="1">IFERROR(LookupNames($M79,'Damage Scenarios'!$A:$V),"")</f>
        <v/>
      </c>
      <c r="D79" s="13" t="str">
        <f ca="1">IFERROR(IF($T79=0,"",INDEX(Definitions!$Q:$Q,MATCH($T79,Definitions!$R:$R,0))),"")</f>
        <v/>
      </c>
      <c r="E79" s="16" t="str" cm="1">
        <f t="array" aca="1" ref="E79" ca="1">IF($K79="","",_xlfn.LET(
_xlpm._listOfAttackSteps,$K79,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79" s="13" t="str">
        <f ca="1">IF($A79="","",IFERROR(VLOOKUP($W79,Definitions!$V:$W,COLUMNS(Definitions!$V:$W),TRUE),""))</f>
        <v/>
      </c>
      <c r="G79" s="13" t="str">
        <f ca="1">IFERROR(IF(OR($D79="",$F79=""),
"",
VLOOKUP($D79,Definitions!$AH:$AM,MATCH($F79,Definitions!$AH$3:$AM$3,0),FALSE)),
"")</f>
        <v/>
      </c>
      <c r="H79" s="10" cm="1">
        <f t="array" aca="1" ref="H79" ca="1">CreateID($H$2,$A79&lt;&gt;"")</f>
        <v>0</v>
      </c>
      <c r="I79" s="9" cm="1">
        <f t="array" aca="1" ref="I79" ca="1">IF(ROW()=ROW($I$2)+1,
1,
INDEX($I:$I,ROW()-1)+IF(INDEX($S:$S,ROW()-1),1,0))</f>
        <v>1</v>
      </c>
      <c r="J79" s="9">
        <f t="shared" ca="1" si="12"/>
        <v>77</v>
      </c>
      <c r="K79" s="9" t="str">
        <f t="shared" ca="1" si="13"/>
        <v/>
      </c>
      <c r="L79" s="9" t="str" cm="1">
        <f t="array" aca="1" ref="L79" ca="1">IF($P79="","",INDEX('Attack Steps'!$A:$A,$P79))</f>
        <v/>
      </c>
      <c r="M79" s="9" t="str" cm="1">
        <f t="array" aca="1" ref="M79" ca="1">IF($P79="","",INDEX('Attack Steps'!$U:$U,$P79))</f>
        <v/>
      </c>
      <c r="N79" s="9" t="str" cm="1">
        <f t="array" aca="1" ref="N79" ca="1">_xlfn.LET(_xlpm._dm,SanitizeInput(GetValuesWithFallback(SanitizeInput($AA79),Assumptions!$A:$J,Countermeasures!$A:$J,"",",",FALSE)),
IF(_xlpm._dm="","",","&amp;_xlpm._dm))</f>
        <v/>
      </c>
      <c r="O79" s="9" t="str" cm="1">
        <f t="array" aca="1" ref="O79" ca="1">ApplyDamageMitigation($M79,$N79,"")</f>
        <v/>
      </c>
      <c r="P79" s="9" t="str">
        <f ca="1">IFERROR(MATCH($I79,'Attack Steps'!$W:$W,0),"")</f>
        <v/>
      </c>
      <c r="Q79" s="9" t="str" cm="1">
        <f t="array" aca="1" ref="Q79" ca="1">IF($P79="","","§"&amp;INDEX('Attack Steps'!$T:$T,$P79))</f>
        <v/>
      </c>
      <c r="R79" s="9" t="str" cm="1">
        <f t="array" aca="1" ref="R79" ca="1">IF($P79="","",INDEX('Attack Steps'!$X:$X,$P79))</f>
        <v/>
      </c>
      <c r="S79" s="9" t="b">
        <f t="shared" ca="1" si="14"/>
        <v>0</v>
      </c>
      <c r="T79" s="9" cm="1">
        <f t="array" aca="1" ref="T79" ca="1">IF($M79="",0,OperateOnList($M79,_xlfn.LAMBDA(_xlpm._x,SimpleLookup(_xlpm._x,'Damage Scenarios'!$A:$U)),_xlfn.LAMBDA(_xlpm._x,_xlpm._y,MAX(_xlpm._x,_xlpm._y))))</f>
        <v>0</v>
      </c>
      <c r="U79" s="9" cm="1">
        <f t="array" aca="1" ref="U79" ca="1">IF($O79="",0,OperateOnList($O79,_xlfn.LAMBDA(_xlpm._x,SimpleLookup(_xlpm._x,'Damage Scenarios'!$A:$U)),_xlfn.LAMBDA(_xlpm._x,_xlpm._y,MAX(_xlpm._x,_xlpm._y))))</f>
        <v>0</v>
      </c>
      <c r="V79" s="9" t="str">
        <f ca="1">IF($U79=0,"",INDEX(Definitions!$Q:$Q,MATCH($U79,Definitions!$R:$R,0)))</f>
        <v/>
      </c>
      <c r="W79" s="9" cm="1">
        <f t="array" aca="1" ref="W79" ca="1">IF($K79="",0,_xlfn.LET(
_xlpm._listOfAttackSteps,$K79,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79" s="9" t="str" cm="1">
        <f t="array" aca="1" ref="X79" ca="1">IF(ROW()=ROW($X$2)+1,"",INDEX($X:$X,ROW()-1))&amp;IF($A79="","",$A79&amp;",")</f>
        <v/>
      </c>
      <c r="Y79" s="9" t="str" cm="1">
        <f t="array" aca="1" ref="Y79" ca="1">CreateSearchString($K79)</f>
        <v/>
      </c>
      <c r="Z79" s="9" cm="1">
        <f t="array" aca="1" ref="Z79" ca="1">IF($G79="",0,SimpleLookup($G79,Definitions!$AE:$AF))</f>
        <v>0</v>
      </c>
      <c r="AA79" s="9" t="str" cm="1">
        <f t="array" aca="1" ref="AA79" ca="1">SanitizeInput(InverseLookup($A79,Mitigation!$U$2,Mitigation!$J$2,1,Helper!$B$5,","))</f>
        <v/>
      </c>
      <c r="AB79" s="9" cm="1">
        <f t="array" aca="1" ref="AB79" ca="1">IF($K79="",0,_xlfn.LET(
_xlpm._listOfAttackStepsAndMitigations,$K79&amp;$AA79,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79" s="9" t="str">
        <f ca="1">IFERROR(VLOOKUP($AB79,Definitions!$V:$W,COLUMNS(Definitions!$V:$W),TRUE),"")</f>
        <v>Basic</v>
      </c>
      <c r="AD79" s="9" t="str">
        <f ca="1">_xlfn.LET(
_xlpm._comments,GetValues($K79,Mitigation!$A:$O,"","",FALSE),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79" s="9" t="str" cm="1">
        <f t="array" aca="1" ref="AE79" ca="1">_xlfn.LET(
_xlpm._rapRange,Definitions!$W:$W,
_xlpm._calculatedRAP,$AC79,
_xlpm._inlineRAP,$AD79,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79" s="9" t="str">
        <f ca="1">IFERROR(IF(OR($V79="",$AE79=""),
Definitions!$AE$4,
VLOOKUP($V79,Definitions!$AH:$AM,MATCH($AE79,Definitions!$AH$3:$AM$3,0),FALSE)),
"")</f>
        <v>No Risk</v>
      </c>
      <c r="AG79" s="9" cm="1">
        <f t="array" aca="1" ref="AG79" ca="1">IF($AF79="",0,SimpleLookup($AF79,Definitions!$AE:$AF))</f>
        <v>0</v>
      </c>
      <c r="AH79" s="9" t="str" cm="1">
        <f t="array" aca="1" ref="AH79" ca="1">IFERROR(SimpleLookup($A79,Tracing!$B:$Z),"")</f>
        <v/>
      </c>
      <c r="AI79" s="9" t="str" cm="1">
        <f t="array" aca="1" ref="AI79" ca="1">_xlfn.LET(_xlpm._dm,SanitizeInput(GetValuesWithFallback(SanitizeInput($AH79),Assumptions!$A:$J,Countermeasures!$A:$J,"",",",FALSE)),
IF(_xlpm._dm="","",","&amp;_xlpm._dm))</f>
        <v/>
      </c>
      <c r="AJ79" s="9" t="str" cm="1">
        <f t="array" aca="1" ref="AJ79" ca="1">ApplyDamageMitigation($M79,$AI79,"")</f>
        <v/>
      </c>
      <c r="AK79" s="9" cm="1">
        <f t="array" aca="1" ref="AK79" ca="1">CalculateMaxFromList($AJ79,0,'Damage Scenarios'!$A:$U)</f>
        <v>0</v>
      </c>
      <c r="AL79" s="9" t="str">
        <f ca="1">IF($AK79=0,"",INDEX(Definitions!$Q:$Q,MATCH($AK79,Definitions!$R:$R,0)))</f>
        <v/>
      </c>
      <c r="AM79" s="9" cm="1">
        <f t="array" aca="1" ref="AM79" ca="1">IF($K79="",0,_xlfn.LET(
_xlpm._listOfAttackStepsAndMitigations,$K79&amp;$AH79,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79" s="9" t="str">
        <f ca="1">IFERROR(VLOOKUP($AM79,Definitions!$V:$W,COLUMNS(Definitions!$V:$W),TRUE),"")</f>
        <v>Basic</v>
      </c>
      <c r="AO79" s="9" t="str">
        <f ca="1">_xlfn.LET(
_xlpm._comments,SimpleLookup($A79,Tracing!$B:$AB),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79" s="9" t="str" cm="1">
        <f t="array" aca="1" ref="AP79" ca="1">_xlfn.LET(
_xlpm._rapRange,Definitions!$W:$W,
_xlpm._calculatedRAP,$AN79,
_xlpm._inlineRAP,$AO79,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79" s="9" t="str">
        <f ca="1">IFERROR(IF(OR($AL79="",$AP79=""),
Definitions!$AE$4,
VLOOKUP($AL79,Definitions!$AH:$AM,MATCH($AP79,Definitions!$AH$3:$AM$3,0),FALSE)),
"")</f>
        <v>No Risk</v>
      </c>
      <c r="AR79" s="9" cm="1">
        <f t="array" aca="1" ref="AR79" ca="1">IF($AQ79="",0,SimpleLookup($AQ79,Definitions!$AE:$AF))</f>
        <v>0</v>
      </c>
      <c r="AS79" s="9" t="b">
        <f ca="1">OR(AND($S79,$I79=Helper!$B$7),$I79&gt;Helper!$B$7)</f>
        <v>1</v>
      </c>
      <c r="AT79" s="9" t="str">
        <f t="shared" ca="1" si="15"/>
        <v/>
      </c>
      <c r="AU79" s="9" cm="1">
        <f t="array" aca="1" ref="AU79" ca="1">CreateID($AU$2,$AT79&lt;&gt;"")</f>
        <v>0</v>
      </c>
      <c r="AV79" s="9" t="str">
        <f ca="1">IF(IFERROR(MATCH(","&amp;A79&amp;",",'Risk Treatment'!$AT:$AT,0)&gt;0,FALSE),"",$A79)</f>
        <v/>
      </c>
      <c r="AW79" s="9" cm="1">
        <f t="array" aca="1" ref="AW79" ca="1">CreateID($AW$2,$AV79&lt;&gt;"")</f>
        <v>0</v>
      </c>
      <c r="AX79" s="9" t="str" cm="1">
        <f t="array" aca="1" ref="AX79" ca="1">CreateSearchString($AA79)</f>
        <v/>
      </c>
    </row>
    <row r="80" spans="1:50" x14ac:dyDescent="0.25">
      <c r="A80" s="13" t="str" cm="1">
        <f t="array" aca="1" ref="A80" ca="1">IF($B80="","","R"&amp;RemoveDelimiter(SUBSTITUTE(SUBSTITUTE($K80,"AS",""),",","-"),"-"))</f>
        <v/>
      </c>
      <c r="B80" s="13" t="str" cm="1">
        <f t="array" aca="1" ref="B80" ca="1">IF($L80="","",_xlfn.LET(
_xlpm._finalAttackStep,$L80,
_xlpm._prepAttacks,RemoveFirstElement(_xlpm._finalAttackStep&amp;","&amp;$K80),
_xlpm._prepAttackNames,IFERROR(LookupNames(_xlpm._prepAttacks,'Attack Steps'!$A:$B),""),
_xlpm._delimiter,REPT(CHAR(150),55),
$L80&amp;" "&amp;SimpleLookup($L80,'Attack Steps'!$A:$B)&amp;
IF(_xlpm._prepAttackNames="","",CHAR(10)&amp;_xlpm._delimiter&amp;CHAR(10)&amp;_xlpm._prepAttackNames)))</f>
        <v/>
      </c>
      <c r="C80" s="16" t="str" cm="1">
        <f t="array" aca="1" ref="C80" ca="1">IFERROR(LookupNames($M80,'Damage Scenarios'!$A:$V),"")</f>
        <v/>
      </c>
      <c r="D80" s="13" t="str">
        <f ca="1">IFERROR(IF($T80=0,"",INDEX(Definitions!$Q:$Q,MATCH($T80,Definitions!$R:$R,0))),"")</f>
        <v/>
      </c>
      <c r="E80" s="16" t="str" cm="1">
        <f t="array" aca="1" ref="E80" ca="1">IF($K80="","",_xlfn.LET(
_xlpm._listOfAttackSteps,$K80,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80" s="13" t="str">
        <f ca="1">IF($A80="","",IFERROR(VLOOKUP($W80,Definitions!$V:$W,COLUMNS(Definitions!$V:$W),TRUE),""))</f>
        <v/>
      </c>
      <c r="G80" s="13" t="str">
        <f ca="1">IFERROR(IF(OR($D80="",$F80=""),
"",
VLOOKUP($D80,Definitions!$AH:$AM,MATCH($F80,Definitions!$AH$3:$AM$3,0),FALSE)),
"")</f>
        <v/>
      </c>
      <c r="H80" s="10" cm="1">
        <f t="array" aca="1" ref="H80" ca="1">CreateID($H$2,$A80&lt;&gt;"")</f>
        <v>0</v>
      </c>
      <c r="I80" s="9" cm="1">
        <f t="array" aca="1" ref="I80" ca="1">IF(ROW()=ROW($I$2)+1,
1,
INDEX($I:$I,ROW()-1)+IF(INDEX($S:$S,ROW()-1),1,0))</f>
        <v>1</v>
      </c>
      <c r="J80" s="9">
        <f t="shared" ca="1" si="12"/>
        <v>78</v>
      </c>
      <c r="K80" s="9" t="str">
        <f t="shared" ca="1" si="13"/>
        <v/>
      </c>
      <c r="L80" s="9" t="str" cm="1">
        <f t="array" aca="1" ref="L80" ca="1">IF($P80="","",INDEX('Attack Steps'!$A:$A,$P80))</f>
        <v/>
      </c>
      <c r="M80" s="9" t="str" cm="1">
        <f t="array" aca="1" ref="M80" ca="1">IF($P80="","",INDEX('Attack Steps'!$U:$U,$P80))</f>
        <v/>
      </c>
      <c r="N80" s="9" t="str" cm="1">
        <f t="array" aca="1" ref="N80" ca="1">_xlfn.LET(_xlpm._dm,SanitizeInput(GetValuesWithFallback(SanitizeInput($AA80),Assumptions!$A:$J,Countermeasures!$A:$J,"",",",FALSE)),
IF(_xlpm._dm="","",","&amp;_xlpm._dm))</f>
        <v/>
      </c>
      <c r="O80" s="9" t="str" cm="1">
        <f t="array" aca="1" ref="O80" ca="1">ApplyDamageMitigation($M80,$N80,"")</f>
        <v/>
      </c>
      <c r="P80" s="9" t="str">
        <f ca="1">IFERROR(MATCH($I80,'Attack Steps'!$W:$W,0),"")</f>
        <v/>
      </c>
      <c r="Q80" s="9" t="str" cm="1">
        <f t="array" aca="1" ref="Q80" ca="1">IF($P80="","","§"&amp;INDEX('Attack Steps'!$T:$T,$P80))</f>
        <v/>
      </c>
      <c r="R80" s="9" t="str" cm="1">
        <f t="array" aca="1" ref="R80" ca="1">IF($P80="","",INDEX('Attack Steps'!$X:$X,$P80))</f>
        <v/>
      </c>
      <c r="S80" s="9" t="b">
        <f t="shared" ca="1" si="14"/>
        <v>0</v>
      </c>
      <c r="T80" s="9" cm="1">
        <f t="array" aca="1" ref="T80" ca="1">IF($M80="",0,OperateOnList($M80,_xlfn.LAMBDA(_xlpm._x,SimpleLookup(_xlpm._x,'Damage Scenarios'!$A:$U)),_xlfn.LAMBDA(_xlpm._x,_xlpm._y,MAX(_xlpm._x,_xlpm._y))))</f>
        <v>0</v>
      </c>
      <c r="U80" s="9" cm="1">
        <f t="array" aca="1" ref="U80" ca="1">IF($O80="",0,OperateOnList($O80,_xlfn.LAMBDA(_xlpm._x,SimpleLookup(_xlpm._x,'Damage Scenarios'!$A:$U)),_xlfn.LAMBDA(_xlpm._x,_xlpm._y,MAX(_xlpm._x,_xlpm._y))))</f>
        <v>0</v>
      </c>
      <c r="V80" s="9" t="str">
        <f ca="1">IF($U80=0,"",INDEX(Definitions!$Q:$Q,MATCH($U80,Definitions!$R:$R,0)))</f>
        <v/>
      </c>
      <c r="W80" s="9" cm="1">
        <f t="array" aca="1" ref="W80" ca="1">IF($K80="",0,_xlfn.LET(
_xlpm._listOfAttackSteps,$K80,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80" s="9" t="str" cm="1">
        <f t="array" aca="1" ref="X80" ca="1">IF(ROW()=ROW($X$2)+1,"",INDEX($X:$X,ROW()-1))&amp;IF($A80="","",$A80&amp;",")</f>
        <v/>
      </c>
      <c r="Y80" s="9" t="str" cm="1">
        <f t="array" aca="1" ref="Y80" ca="1">CreateSearchString($K80)</f>
        <v/>
      </c>
      <c r="Z80" s="9" cm="1">
        <f t="array" aca="1" ref="Z80" ca="1">IF($G80="",0,SimpleLookup($G80,Definitions!$AE:$AF))</f>
        <v>0</v>
      </c>
      <c r="AA80" s="9" t="str" cm="1">
        <f t="array" aca="1" ref="AA80" ca="1">SanitizeInput(InverseLookup($A80,Mitigation!$U$2,Mitigation!$J$2,1,Helper!$B$5,","))</f>
        <v/>
      </c>
      <c r="AB80" s="9" cm="1">
        <f t="array" aca="1" ref="AB80" ca="1">IF($K80="",0,_xlfn.LET(
_xlpm._listOfAttackStepsAndMitigations,$K80&amp;$AA80,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80" s="9" t="str">
        <f ca="1">IFERROR(VLOOKUP($AB80,Definitions!$V:$W,COLUMNS(Definitions!$V:$W),TRUE),"")</f>
        <v>Basic</v>
      </c>
      <c r="AD80" s="9" t="str">
        <f ca="1">_xlfn.LET(
_xlpm._comments,GetValues($K80,Mitigation!$A:$O,"","",FALSE),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80" s="9" t="str" cm="1">
        <f t="array" aca="1" ref="AE80" ca="1">_xlfn.LET(
_xlpm._rapRange,Definitions!$W:$W,
_xlpm._calculatedRAP,$AC80,
_xlpm._inlineRAP,$AD80,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80" s="9" t="str">
        <f ca="1">IFERROR(IF(OR($V80="",$AE80=""),
Definitions!$AE$4,
VLOOKUP($V80,Definitions!$AH:$AM,MATCH($AE80,Definitions!$AH$3:$AM$3,0),FALSE)),
"")</f>
        <v>No Risk</v>
      </c>
      <c r="AG80" s="9" cm="1">
        <f t="array" aca="1" ref="AG80" ca="1">IF($AF80="",0,SimpleLookup($AF80,Definitions!$AE:$AF))</f>
        <v>0</v>
      </c>
      <c r="AH80" s="9" t="str" cm="1">
        <f t="array" aca="1" ref="AH80" ca="1">IFERROR(SimpleLookup($A80,Tracing!$B:$Z),"")</f>
        <v/>
      </c>
      <c r="AI80" s="9" t="str" cm="1">
        <f t="array" aca="1" ref="AI80" ca="1">_xlfn.LET(_xlpm._dm,SanitizeInput(GetValuesWithFallback(SanitizeInput($AH80),Assumptions!$A:$J,Countermeasures!$A:$J,"",",",FALSE)),
IF(_xlpm._dm="","",","&amp;_xlpm._dm))</f>
        <v/>
      </c>
      <c r="AJ80" s="9" t="str" cm="1">
        <f t="array" aca="1" ref="AJ80" ca="1">ApplyDamageMitigation($M80,$AI80,"")</f>
        <v/>
      </c>
      <c r="AK80" s="9" cm="1">
        <f t="array" aca="1" ref="AK80" ca="1">CalculateMaxFromList($AJ80,0,'Damage Scenarios'!$A:$U)</f>
        <v>0</v>
      </c>
      <c r="AL80" s="9" t="str">
        <f ca="1">IF($AK80=0,"",INDEX(Definitions!$Q:$Q,MATCH($AK80,Definitions!$R:$R,0)))</f>
        <v/>
      </c>
      <c r="AM80" s="9" cm="1">
        <f t="array" aca="1" ref="AM80" ca="1">IF($K80="",0,_xlfn.LET(
_xlpm._listOfAttackStepsAndMitigations,$K80&amp;$AH80,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80" s="9" t="str">
        <f ca="1">IFERROR(VLOOKUP($AM80,Definitions!$V:$W,COLUMNS(Definitions!$V:$W),TRUE),"")</f>
        <v>Basic</v>
      </c>
      <c r="AO80" s="9" t="str">
        <f ca="1">_xlfn.LET(
_xlpm._comments,SimpleLookup($A80,Tracing!$B:$AB),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80" s="9" t="str" cm="1">
        <f t="array" aca="1" ref="AP80" ca="1">_xlfn.LET(
_xlpm._rapRange,Definitions!$W:$W,
_xlpm._calculatedRAP,$AN80,
_xlpm._inlineRAP,$AO80,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80" s="9" t="str">
        <f ca="1">IFERROR(IF(OR($AL80="",$AP80=""),
Definitions!$AE$4,
VLOOKUP($AL80,Definitions!$AH:$AM,MATCH($AP80,Definitions!$AH$3:$AM$3,0),FALSE)),
"")</f>
        <v>No Risk</v>
      </c>
      <c r="AR80" s="9" cm="1">
        <f t="array" aca="1" ref="AR80" ca="1">IF($AQ80="",0,SimpleLookup($AQ80,Definitions!$AE:$AF))</f>
        <v>0</v>
      </c>
      <c r="AS80" s="9" t="b">
        <f ca="1">OR(AND($S80,$I80=Helper!$B$7),$I80&gt;Helper!$B$7)</f>
        <v>1</v>
      </c>
      <c r="AT80" s="9" t="str">
        <f t="shared" ca="1" si="15"/>
        <v/>
      </c>
      <c r="AU80" s="9" cm="1">
        <f t="array" aca="1" ref="AU80" ca="1">CreateID($AU$2,$AT80&lt;&gt;"")</f>
        <v>0</v>
      </c>
      <c r="AV80" s="9" t="str">
        <f ca="1">IF(IFERROR(MATCH(","&amp;A80&amp;",",'Risk Treatment'!$AT:$AT,0)&gt;0,FALSE),"",$A80)</f>
        <v/>
      </c>
      <c r="AW80" s="9" cm="1">
        <f t="array" aca="1" ref="AW80" ca="1">CreateID($AW$2,$AV80&lt;&gt;"")</f>
        <v>0</v>
      </c>
      <c r="AX80" s="9" t="str" cm="1">
        <f t="array" aca="1" ref="AX80" ca="1">CreateSearchString($AA80)</f>
        <v/>
      </c>
    </row>
    <row r="81" spans="1:50" x14ac:dyDescent="0.25">
      <c r="A81" s="13" t="str" cm="1">
        <f t="array" aca="1" ref="A81" ca="1">IF($B81="","","R"&amp;RemoveDelimiter(SUBSTITUTE(SUBSTITUTE($K81,"AS",""),",","-"),"-"))</f>
        <v/>
      </c>
      <c r="B81" s="13" t="str" cm="1">
        <f t="array" aca="1" ref="B81" ca="1">IF($L81="","",_xlfn.LET(
_xlpm._finalAttackStep,$L81,
_xlpm._prepAttacks,RemoveFirstElement(_xlpm._finalAttackStep&amp;","&amp;$K81),
_xlpm._prepAttackNames,IFERROR(LookupNames(_xlpm._prepAttacks,'Attack Steps'!$A:$B),""),
_xlpm._delimiter,REPT(CHAR(150),55),
$L81&amp;" "&amp;SimpleLookup($L81,'Attack Steps'!$A:$B)&amp;
IF(_xlpm._prepAttackNames="","",CHAR(10)&amp;_xlpm._delimiter&amp;CHAR(10)&amp;_xlpm._prepAttackNames)))</f>
        <v/>
      </c>
      <c r="C81" s="16" t="str" cm="1">
        <f t="array" aca="1" ref="C81" ca="1">IFERROR(LookupNames($M81,'Damage Scenarios'!$A:$V),"")</f>
        <v/>
      </c>
      <c r="D81" s="13" t="str">
        <f ca="1">IFERROR(IF($T81=0,"",INDEX(Definitions!$Q:$Q,MATCH($T81,Definitions!$R:$R,0))),"")</f>
        <v/>
      </c>
      <c r="E81" s="16" t="str" cm="1">
        <f t="array" aca="1" ref="E81" ca="1">IF($K81="","",_xlfn.LET(
_xlpm._listOfAttackSteps,$K81,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81" s="13" t="str">
        <f ca="1">IF($A81="","",IFERROR(VLOOKUP($W81,Definitions!$V:$W,COLUMNS(Definitions!$V:$W),TRUE),""))</f>
        <v/>
      </c>
      <c r="G81" s="13" t="str">
        <f ca="1">IFERROR(IF(OR($D81="",$F81=""),
"",
VLOOKUP($D81,Definitions!$AH:$AM,MATCH($F81,Definitions!$AH$3:$AM$3,0),FALSE)),
"")</f>
        <v/>
      </c>
      <c r="H81" s="10" cm="1">
        <f t="array" aca="1" ref="H81" ca="1">CreateID($H$2,$A81&lt;&gt;"")</f>
        <v>0</v>
      </c>
      <c r="I81" s="9" cm="1">
        <f t="array" aca="1" ref="I81" ca="1">IF(ROW()=ROW($I$2)+1,
1,
INDEX($I:$I,ROW()-1)+IF(INDEX($S:$S,ROW()-1),1,0))</f>
        <v>1</v>
      </c>
      <c r="J81" s="9">
        <f t="shared" ca="1" si="12"/>
        <v>79</v>
      </c>
      <c r="K81" s="9" t="str">
        <f t="shared" ca="1" si="13"/>
        <v/>
      </c>
      <c r="L81" s="9" t="str" cm="1">
        <f t="array" aca="1" ref="L81" ca="1">IF($P81="","",INDEX('Attack Steps'!$A:$A,$P81))</f>
        <v/>
      </c>
      <c r="M81" s="9" t="str" cm="1">
        <f t="array" aca="1" ref="M81" ca="1">IF($P81="","",INDEX('Attack Steps'!$U:$U,$P81))</f>
        <v/>
      </c>
      <c r="N81" s="9" t="str" cm="1">
        <f t="array" aca="1" ref="N81" ca="1">_xlfn.LET(_xlpm._dm,SanitizeInput(GetValuesWithFallback(SanitizeInput($AA81),Assumptions!$A:$J,Countermeasures!$A:$J,"",",",FALSE)),
IF(_xlpm._dm="","",","&amp;_xlpm._dm))</f>
        <v/>
      </c>
      <c r="O81" s="9" t="str" cm="1">
        <f t="array" aca="1" ref="O81" ca="1">ApplyDamageMitigation($M81,$N81,"")</f>
        <v/>
      </c>
      <c r="P81" s="9" t="str">
        <f ca="1">IFERROR(MATCH($I81,'Attack Steps'!$W:$W,0),"")</f>
        <v/>
      </c>
      <c r="Q81" s="9" t="str" cm="1">
        <f t="array" aca="1" ref="Q81" ca="1">IF($P81="","","§"&amp;INDEX('Attack Steps'!$T:$T,$P81))</f>
        <v/>
      </c>
      <c r="R81" s="9" t="str" cm="1">
        <f t="array" aca="1" ref="R81" ca="1">IF($P81="","",INDEX('Attack Steps'!$X:$X,$P81))</f>
        <v/>
      </c>
      <c r="S81" s="9" t="b">
        <f t="shared" ca="1" si="14"/>
        <v>0</v>
      </c>
      <c r="T81" s="9" cm="1">
        <f t="array" aca="1" ref="T81" ca="1">IF($M81="",0,OperateOnList($M81,_xlfn.LAMBDA(_xlpm._x,SimpleLookup(_xlpm._x,'Damage Scenarios'!$A:$U)),_xlfn.LAMBDA(_xlpm._x,_xlpm._y,MAX(_xlpm._x,_xlpm._y))))</f>
        <v>0</v>
      </c>
      <c r="U81" s="9" cm="1">
        <f t="array" aca="1" ref="U81" ca="1">IF($O81="",0,OperateOnList($O81,_xlfn.LAMBDA(_xlpm._x,SimpleLookup(_xlpm._x,'Damage Scenarios'!$A:$U)),_xlfn.LAMBDA(_xlpm._x,_xlpm._y,MAX(_xlpm._x,_xlpm._y))))</f>
        <v>0</v>
      </c>
      <c r="V81" s="9" t="str">
        <f ca="1">IF($U81=0,"",INDEX(Definitions!$Q:$Q,MATCH($U81,Definitions!$R:$R,0)))</f>
        <v/>
      </c>
      <c r="W81" s="9" cm="1">
        <f t="array" aca="1" ref="W81" ca="1">IF($K81="",0,_xlfn.LET(
_xlpm._listOfAttackSteps,$K81,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81" s="9" t="str" cm="1">
        <f t="array" aca="1" ref="X81" ca="1">IF(ROW()=ROW($X$2)+1,"",INDEX($X:$X,ROW()-1))&amp;IF($A81="","",$A81&amp;",")</f>
        <v/>
      </c>
      <c r="Y81" s="9" t="str" cm="1">
        <f t="array" aca="1" ref="Y81" ca="1">CreateSearchString($K81)</f>
        <v/>
      </c>
      <c r="Z81" s="9" cm="1">
        <f t="array" aca="1" ref="Z81" ca="1">IF($G81="",0,SimpleLookup($G81,Definitions!$AE:$AF))</f>
        <v>0</v>
      </c>
      <c r="AA81" s="9" t="str" cm="1">
        <f t="array" aca="1" ref="AA81" ca="1">SanitizeInput(InverseLookup($A81,Mitigation!$U$2,Mitigation!$J$2,1,Helper!$B$5,","))</f>
        <v/>
      </c>
      <c r="AB81" s="9" cm="1">
        <f t="array" aca="1" ref="AB81" ca="1">IF($K81="",0,_xlfn.LET(
_xlpm._listOfAttackStepsAndMitigations,$K81&amp;$AA81,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81" s="9" t="str">
        <f ca="1">IFERROR(VLOOKUP($AB81,Definitions!$V:$W,COLUMNS(Definitions!$V:$W),TRUE),"")</f>
        <v>Basic</v>
      </c>
      <c r="AD81" s="9" t="str">
        <f ca="1">_xlfn.LET(
_xlpm._comments,GetValues($K81,Mitigation!$A:$O,"","",FALSE),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81" s="9" t="str" cm="1">
        <f t="array" aca="1" ref="AE81" ca="1">_xlfn.LET(
_xlpm._rapRange,Definitions!$W:$W,
_xlpm._calculatedRAP,$AC81,
_xlpm._inlineRAP,$AD81,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81" s="9" t="str">
        <f ca="1">IFERROR(IF(OR($V81="",$AE81=""),
Definitions!$AE$4,
VLOOKUP($V81,Definitions!$AH:$AM,MATCH($AE81,Definitions!$AH$3:$AM$3,0),FALSE)),
"")</f>
        <v>No Risk</v>
      </c>
      <c r="AG81" s="9" cm="1">
        <f t="array" aca="1" ref="AG81" ca="1">IF($AF81="",0,SimpleLookup($AF81,Definitions!$AE:$AF))</f>
        <v>0</v>
      </c>
      <c r="AH81" s="9" t="str" cm="1">
        <f t="array" aca="1" ref="AH81" ca="1">IFERROR(SimpleLookup($A81,Tracing!$B:$Z),"")</f>
        <v/>
      </c>
      <c r="AI81" s="9" t="str" cm="1">
        <f t="array" aca="1" ref="AI81" ca="1">_xlfn.LET(_xlpm._dm,SanitizeInput(GetValuesWithFallback(SanitizeInput($AH81),Assumptions!$A:$J,Countermeasures!$A:$J,"",",",FALSE)),
IF(_xlpm._dm="","",","&amp;_xlpm._dm))</f>
        <v/>
      </c>
      <c r="AJ81" s="9" t="str" cm="1">
        <f t="array" aca="1" ref="AJ81" ca="1">ApplyDamageMitigation($M81,$AI81,"")</f>
        <v/>
      </c>
      <c r="AK81" s="9" cm="1">
        <f t="array" aca="1" ref="AK81" ca="1">CalculateMaxFromList($AJ81,0,'Damage Scenarios'!$A:$U)</f>
        <v>0</v>
      </c>
      <c r="AL81" s="9" t="str">
        <f ca="1">IF($AK81=0,"",INDEX(Definitions!$Q:$Q,MATCH($AK81,Definitions!$R:$R,0)))</f>
        <v/>
      </c>
      <c r="AM81" s="9" cm="1">
        <f t="array" aca="1" ref="AM81" ca="1">IF($K81="",0,_xlfn.LET(
_xlpm._listOfAttackStepsAndMitigations,$K81&amp;$AH81,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81" s="9" t="str">
        <f ca="1">IFERROR(VLOOKUP($AM81,Definitions!$V:$W,COLUMNS(Definitions!$V:$W),TRUE),"")</f>
        <v>Basic</v>
      </c>
      <c r="AO81" s="9" t="str">
        <f ca="1">_xlfn.LET(
_xlpm._comments,SimpleLookup($A81,Tracing!$B:$AB),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81" s="9" t="str" cm="1">
        <f t="array" aca="1" ref="AP81" ca="1">_xlfn.LET(
_xlpm._rapRange,Definitions!$W:$W,
_xlpm._calculatedRAP,$AN81,
_xlpm._inlineRAP,$AO81,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81" s="9" t="str">
        <f ca="1">IFERROR(IF(OR($AL81="",$AP81=""),
Definitions!$AE$4,
VLOOKUP($AL81,Definitions!$AH:$AM,MATCH($AP81,Definitions!$AH$3:$AM$3,0),FALSE)),
"")</f>
        <v>No Risk</v>
      </c>
      <c r="AR81" s="9" cm="1">
        <f t="array" aca="1" ref="AR81" ca="1">IF($AQ81="",0,SimpleLookup($AQ81,Definitions!$AE:$AF))</f>
        <v>0</v>
      </c>
      <c r="AS81" s="9" t="b">
        <f ca="1">OR(AND($S81,$I81=Helper!$B$7),$I81&gt;Helper!$B$7)</f>
        <v>1</v>
      </c>
      <c r="AT81" s="9" t="str">
        <f t="shared" ca="1" si="15"/>
        <v/>
      </c>
      <c r="AU81" s="9" cm="1">
        <f t="array" aca="1" ref="AU81" ca="1">CreateID($AU$2,$AT81&lt;&gt;"")</f>
        <v>0</v>
      </c>
      <c r="AV81" s="9" t="str">
        <f ca="1">IF(IFERROR(MATCH(","&amp;A81&amp;",",'Risk Treatment'!$AT:$AT,0)&gt;0,FALSE),"",$A81)</f>
        <v/>
      </c>
      <c r="AW81" s="9" cm="1">
        <f t="array" aca="1" ref="AW81" ca="1">CreateID($AW$2,$AV81&lt;&gt;"")</f>
        <v>0</v>
      </c>
      <c r="AX81" s="9" t="str" cm="1">
        <f t="array" aca="1" ref="AX81" ca="1">CreateSearchString($AA81)</f>
        <v/>
      </c>
    </row>
    <row r="82" spans="1:50" x14ac:dyDescent="0.25">
      <c r="A82" s="13" t="str" cm="1">
        <f t="array" aca="1" ref="A82" ca="1">IF($B82="","","R"&amp;RemoveDelimiter(SUBSTITUTE(SUBSTITUTE($K82,"AS",""),",","-"),"-"))</f>
        <v/>
      </c>
      <c r="B82" s="13" t="str" cm="1">
        <f t="array" aca="1" ref="B82" ca="1">IF($L82="","",_xlfn.LET(
_xlpm._finalAttackStep,$L82,
_xlpm._prepAttacks,RemoveFirstElement(_xlpm._finalAttackStep&amp;","&amp;$K82),
_xlpm._prepAttackNames,IFERROR(LookupNames(_xlpm._prepAttacks,'Attack Steps'!$A:$B),""),
_xlpm._delimiter,REPT(CHAR(150),55),
$L82&amp;" "&amp;SimpleLookup($L82,'Attack Steps'!$A:$B)&amp;
IF(_xlpm._prepAttackNames="","",CHAR(10)&amp;_xlpm._delimiter&amp;CHAR(10)&amp;_xlpm._prepAttackNames)))</f>
        <v/>
      </c>
      <c r="C82" s="16" t="str" cm="1">
        <f t="array" aca="1" ref="C82" ca="1">IFERROR(LookupNames($M82,'Damage Scenarios'!$A:$V),"")</f>
        <v/>
      </c>
      <c r="D82" s="13" t="str">
        <f ca="1">IFERROR(IF($T82=0,"",INDEX(Definitions!$Q:$Q,MATCH($T82,Definitions!$R:$R,0))),"")</f>
        <v/>
      </c>
      <c r="E82" s="16" t="str" cm="1">
        <f t="array" aca="1" ref="E82" ca="1">IF($K82="","",_xlfn.LET(
_xlpm._listOfAttackSteps,$K82,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82" s="13" t="str">
        <f ca="1">IF($A82="","",IFERROR(VLOOKUP($W82,Definitions!$V:$W,COLUMNS(Definitions!$V:$W),TRUE),""))</f>
        <v/>
      </c>
      <c r="G82" s="13" t="str">
        <f ca="1">IFERROR(IF(OR($D82="",$F82=""),
"",
VLOOKUP($D82,Definitions!$AH:$AM,MATCH($F82,Definitions!$AH$3:$AM$3,0),FALSE)),
"")</f>
        <v/>
      </c>
      <c r="H82" s="10" cm="1">
        <f t="array" aca="1" ref="H82" ca="1">CreateID($H$2,$A82&lt;&gt;"")</f>
        <v>0</v>
      </c>
      <c r="I82" s="9" cm="1">
        <f t="array" aca="1" ref="I82" ca="1">IF(ROW()=ROW($I$2)+1,
1,
INDEX($I:$I,ROW()-1)+IF(INDEX($S:$S,ROW()-1),1,0))</f>
        <v>1</v>
      </c>
      <c r="J82" s="9">
        <f t="shared" ca="1" si="12"/>
        <v>80</v>
      </c>
      <c r="K82" s="9" t="str">
        <f t="shared" ca="1" si="13"/>
        <v/>
      </c>
      <c r="L82" s="9" t="str" cm="1">
        <f t="array" aca="1" ref="L82" ca="1">IF($P82="","",INDEX('Attack Steps'!$A:$A,$P82))</f>
        <v/>
      </c>
      <c r="M82" s="9" t="str" cm="1">
        <f t="array" aca="1" ref="M82" ca="1">IF($P82="","",INDEX('Attack Steps'!$U:$U,$P82))</f>
        <v/>
      </c>
      <c r="N82" s="9" t="str" cm="1">
        <f t="array" aca="1" ref="N82" ca="1">_xlfn.LET(_xlpm._dm,SanitizeInput(GetValuesWithFallback(SanitizeInput($AA82),Assumptions!$A:$J,Countermeasures!$A:$J,"",",",FALSE)),
IF(_xlpm._dm="","",","&amp;_xlpm._dm))</f>
        <v/>
      </c>
      <c r="O82" s="9" t="str" cm="1">
        <f t="array" aca="1" ref="O82" ca="1">ApplyDamageMitigation($M82,$N82,"")</f>
        <v/>
      </c>
      <c r="P82" s="9" t="str">
        <f ca="1">IFERROR(MATCH($I82,'Attack Steps'!$W:$W,0),"")</f>
        <v/>
      </c>
      <c r="Q82" s="9" t="str" cm="1">
        <f t="array" aca="1" ref="Q82" ca="1">IF($P82="","","§"&amp;INDEX('Attack Steps'!$T:$T,$P82))</f>
        <v/>
      </c>
      <c r="R82" s="9" t="str" cm="1">
        <f t="array" aca="1" ref="R82" ca="1">IF($P82="","",INDEX('Attack Steps'!$X:$X,$P82))</f>
        <v/>
      </c>
      <c r="S82" s="9" t="b">
        <f t="shared" ca="1" si="14"/>
        <v>0</v>
      </c>
      <c r="T82" s="9" cm="1">
        <f t="array" aca="1" ref="T82" ca="1">IF($M82="",0,OperateOnList($M82,_xlfn.LAMBDA(_xlpm._x,SimpleLookup(_xlpm._x,'Damage Scenarios'!$A:$U)),_xlfn.LAMBDA(_xlpm._x,_xlpm._y,MAX(_xlpm._x,_xlpm._y))))</f>
        <v>0</v>
      </c>
      <c r="U82" s="9" cm="1">
        <f t="array" aca="1" ref="U82" ca="1">IF($O82="",0,OperateOnList($O82,_xlfn.LAMBDA(_xlpm._x,SimpleLookup(_xlpm._x,'Damage Scenarios'!$A:$U)),_xlfn.LAMBDA(_xlpm._x,_xlpm._y,MAX(_xlpm._x,_xlpm._y))))</f>
        <v>0</v>
      </c>
      <c r="V82" s="9" t="str">
        <f ca="1">IF($U82=0,"",INDEX(Definitions!$Q:$Q,MATCH($U82,Definitions!$R:$R,0)))</f>
        <v/>
      </c>
      <c r="W82" s="9" cm="1">
        <f t="array" aca="1" ref="W82" ca="1">IF($K82="",0,_xlfn.LET(
_xlpm._listOfAttackSteps,$K82,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82" s="9" t="str" cm="1">
        <f t="array" aca="1" ref="X82" ca="1">IF(ROW()=ROW($X$2)+1,"",INDEX($X:$X,ROW()-1))&amp;IF($A82="","",$A82&amp;",")</f>
        <v/>
      </c>
      <c r="Y82" s="9" t="str" cm="1">
        <f t="array" aca="1" ref="Y82" ca="1">CreateSearchString($K82)</f>
        <v/>
      </c>
      <c r="Z82" s="9" cm="1">
        <f t="array" aca="1" ref="Z82" ca="1">IF($G82="",0,SimpleLookup($G82,Definitions!$AE:$AF))</f>
        <v>0</v>
      </c>
      <c r="AA82" s="9" t="str" cm="1">
        <f t="array" aca="1" ref="AA82" ca="1">SanitizeInput(InverseLookup($A82,Mitigation!$U$2,Mitigation!$J$2,1,Helper!$B$5,","))</f>
        <v/>
      </c>
      <c r="AB82" s="9" cm="1">
        <f t="array" aca="1" ref="AB82" ca="1">IF($K82="",0,_xlfn.LET(
_xlpm._listOfAttackStepsAndMitigations,$K82&amp;$AA82,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82" s="9" t="str">
        <f ca="1">IFERROR(VLOOKUP($AB82,Definitions!$V:$W,COLUMNS(Definitions!$V:$W),TRUE),"")</f>
        <v>Basic</v>
      </c>
      <c r="AD82" s="9" t="str">
        <f ca="1">_xlfn.LET(
_xlpm._comments,GetValues($K82,Mitigation!$A:$O,"","",FALSE),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82" s="9" t="str" cm="1">
        <f t="array" aca="1" ref="AE82" ca="1">_xlfn.LET(
_xlpm._rapRange,Definitions!$W:$W,
_xlpm._calculatedRAP,$AC82,
_xlpm._inlineRAP,$AD82,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82" s="9" t="str">
        <f ca="1">IFERROR(IF(OR($V82="",$AE82=""),
Definitions!$AE$4,
VLOOKUP($V82,Definitions!$AH:$AM,MATCH($AE82,Definitions!$AH$3:$AM$3,0),FALSE)),
"")</f>
        <v>No Risk</v>
      </c>
      <c r="AG82" s="9" cm="1">
        <f t="array" aca="1" ref="AG82" ca="1">IF($AF82="",0,SimpleLookup($AF82,Definitions!$AE:$AF))</f>
        <v>0</v>
      </c>
      <c r="AH82" s="9" t="str" cm="1">
        <f t="array" aca="1" ref="AH82" ca="1">IFERROR(SimpleLookup($A82,Tracing!$B:$Z),"")</f>
        <v/>
      </c>
      <c r="AI82" s="9" t="str" cm="1">
        <f t="array" aca="1" ref="AI82" ca="1">_xlfn.LET(_xlpm._dm,SanitizeInput(GetValuesWithFallback(SanitizeInput($AH82),Assumptions!$A:$J,Countermeasures!$A:$J,"",",",FALSE)),
IF(_xlpm._dm="","",","&amp;_xlpm._dm))</f>
        <v/>
      </c>
      <c r="AJ82" s="9" t="str" cm="1">
        <f t="array" aca="1" ref="AJ82" ca="1">ApplyDamageMitigation($M82,$AI82,"")</f>
        <v/>
      </c>
      <c r="AK82" s="9" cm="1">
        <f t="array" aca="1" ref="AK82" ca="1">CalculateMaxFromList($AJ82,0,'Damage Scenarios'!$A:$U)</f>
        <v>0</v>
      </c>
      <c r="AL82" s="9" t="str">
        <f ca="1">IF($AK82=0,"",INDEX(Definitions!$Q:$Q,MATCH($AK82,Definitions!$R:$R,0)))</f>
        <v/>
      </c>
      <c r="AM82" s="9" cm="1">
        <f t="array" aca="1" ref="AM82" ca="1">IF($K82="",0,_xlfn.LET(
_xlpm._listOfAttackStepsAndMitigations,$K82&amp;$AH82,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82" s="9" t="str">
        <f ca="1">IFERROR(VLOOKUP($AM82,Definitions!$V:$W,COLUMNS(Definitions!$V:$W),TRUE),"")</f>
        <v>Basic</v>
      </c>
      <c r="AO82" s="9" t="str">
        <f ca="1">_xlfn.LET(
_xlpm._comments,SimpleLookup($A82,Tracing!$B:$AB),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82" s="9" t="str" cm="1">
        <f t="array" aca="1" ref="AP82" ca="1">_xlfn.LET(
_xlpm._rapRange,Definitions!$W:$W,
_xlpm._calculatedRAP,$AN82,
_xlpm._inlineRAP,$AO82,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82" s="9" t="str">
        <f ca="1">IFERROR(IF(OR($AL82="",$AP82=""),
Definitions!$AE$4,
VLOOKUP($AL82,Definitions!$AH:$AM,MATCH($AP82,Definitions!$AH$3:$AM$3,0),FALSE)),
"")</f>
        <v>No Risk</v>
      </c>
      <c r="AR82" s="9" cm="1">
        <f t="array" aca="1" ref="AR82" ca="1">IF($AQ82="",0,SimpleLookup($AQ82,Definitions!$AE:$AF))</f>
        <v>0</v>
      </c>
      <c r="AS82" s="9" t="b">
        <f ca="1">OR(AND($S82,$I82=Helper!$B$7),$I82&gt;Helper!$B$7)</f>
        <v>1</v>
      </c>
      <c r="AT82" s="9" t="str">
        <f t="shared" ca="1" si="15"/>
        <v/>
      </c>
      <c r="AU82" s="9" cm="1">
        <f t="array" aca="1" ref="AU82" ca="1">CreateID($AU$2,$AT82&lt;&gt;"")</f>
        <v>0</v>
      </c>
      <c r="AV82" s="9" t="str">
        <f ca="1">IF(IFERROR(MATCH(","&amp;A82&amp;",",'Risk Treatment'!$AT:$AT,0)&gt;0,FALSE),"",$A82)</f>
        <v/>
      </c>
      <c r="AW82" s="9" cm="1">
        <f t="array" aca="1" ref="AW82" ca="1">CreateID($AW$2,$AV82&lt;&gt;"")</f>
        <v>0</v>
      </c>
      <c r="AX82" s="9" t="str" cm="1">
        <f t="array" aca="1" ref="AX82" ca="1">CreateSearchString($AA82)</f>
        <v/>
      </c>
    </row>
    <row r="83" spans="1:50" x14ac:dyDescent="0.25">
      <c r="A83" s="13" t="str" cm="1">
        <f t="array" aca="1" ref="A83" ca="1">IF($B83="","","R"&amp;RemoveDelimiter(SUBSTITUTE(SUBSTITUTE($K83,"AS",""),",","-"),"-"))</f>
        <v/>
      </c>
      <c r="B83" s="13" t="str" cm="1">
        <f t="array" aca="1" ref="B83" ca="1">IF($L83="","",_xlfn.LET(
_xlpm._finalAttackStep,$L83,
_xlpm._prepAttacks,RemoveFirstElement(_xlpm._finalAttackStep&amp;","&amp;$K83),
_xlpm._prepAttackNames,IFERROR(LookupNames(_xlpm._prepAttacks,'Attack Steps'!$A:$B),""),
_xlpm._delimiter,REPT(CHAR(150),55),
$L83&amp;" "&amp;SimpleLookup($L83,'Attack Steps'!$A:$B)&amp;
IF(_xlpm._prepAttackNames="","",CHAR(10)&amp;_xlpm._delimiter&amp;CHAR(10)&amp;_xlpm._prepAttackNames)))</f>
        <v/>
      </c>
      <c r="C83" s="16" t="str" cm="1">
        <f t="array" aca="1" ref="C83" ca="1">IFERROR(LookupNames($M83,'Damage Scenarios'!$A:$V),"")</f>
        <v/>
      </c>
      <c r="D83" s="13" t="str">
        <f ca="1">IFERROR(IF($T83=0,"",INDEX(Definitions!$Q:$Q,MATCH($T83,Definitions!$R:$R,0))),"")</f>
        <v/>
      </c>
      <c r="E83" s="16" t="str" cm="1">
        <f t="array" aca="1" ref="E83" ca="1">IF($K83="","",_xlfn.LET(
_xlpm._listOfAttackSteps,$K83,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83" s="13" t="str">
        <f ca="1">IF($A83="","",IFERROR(VLOOKUP($W83,Definitions!$V:$W,COLUMNS(Definitions!$V:$W),TRUE),""))</f>
        <v/>
      </c>
      <c r="G83" s="13" t="str">
        <f ca="1">IFERROR(IF(OR($D83="",$F83=""),
"",
VLOOKUP($D83,Definitions!$AH:$AM,MATCH($F83,Definitions!$AH$3:$AM$3,0),FALSE)),
"")</f>
        <v/>
      </c>
      <c r="H83" s="10" cm="1">
        <f t="array" aca="1" ref="H83" ca="1">CreateID($H$2,$A83&lt;&gt;"")</f>
        <v>0</v>
      </c>
      <c r="I83" s="9" cm="1">
        <f t="array" aca="1" ref="I83" ca="1">IF(ROW()=ROW($I$2)+1,
1,
INDEX($I:$I,ROW()-1)+IF(INDEX($S:$S,ROW()-1),1,0))</f>
        <v>1</v>
      </c>
      <c r="J83" s="9">
        <f t="shared" ca="1" si="12"/>
        <v>81</v>
      </c>
      <c r="K83" s="9" t="str">
        <f t="shared" ca="1" si="13"/>
        <v/>
      </c>
      <c r="L83" s="9" t="str" cm="1">
        <f t="array" aca="1" ref="L83" ca="1">IF($P83="","",INDEX('Attack Steps'!$A:$A,$P83))</f>
        <v/>
      </c>
      <c r="M83" s="9" t="str" cm="1">
        <f t="array" aca="1" ref="M83" ca="1">IF($P83="","",INDEX('Attack Steps'!$U:$U,$P83))</f>
        <v/>
      </c>
      <c r="N83" s="9" t="str" cm="1">
        <f t="array" aca="1" ref="N83" ca="1">_xlfn.LET(_xlpm._dm,SanitizeInput(GetValuesWithFallback(SanitizeInput($AA83),Assumptions!$A:$J,Countermeasures!$A:$J,"",",",FALSE)),
IF(_xlpm._dm="","",","&amp;_xlpm._dm))</f>
        <v/>
      </c>
      <c r="O83" s="9" t="str" cm="1">
        <f t="array" aca="1" ref="O83" ca="1">ApplyDamageMitigation($M83,$N83,"")</f>
        <v/>
      </c>
      <c r="P83" s="9" t="str">
        <f ca="1">IFERROR(MATCH($I83,'Attack Steps'!$W:$W,0),"")</f>
        <v/>
      </c>
      <c r="Q83" s="9" t="str" cm="1">
        <f t="array" aca="1" ref="Q83" ca="1">IF($P83="","","§"&amp;INDEX('Attack Steps'!$T:$T,$P83))</f>
        <v/>
      </c>
      <c r="R83" s="9" t="str" cm="1">
        <f t="array" aca="1" ref="R83" ca="1">IF($P83="","",INDEX('Attack Steps'!$X:$X,$P83))</f>
        <v/>
      </c>
      <c r="S83" s="9" t="b">
        <f t="shared" ca="1" si="14"/>
        <v>0</v>
      </c>
      <c r="T83" s="9" cm="1">
        <f t="array" aca="1" ref="T83" ca="1">IF($M83="",0,OperateOnList($M83,_xlfn.LAMBDA(_xlpm._x,SimpleLookup(_xlpm._x,'Damage Scenarios'!$A:$U)),_xlfn.LAMBDA(_xlpm._x,_xlpm._y,MAX(_xlpm._x,_xlpm._y))))</f>
        <v>0</v>
      </c>
      <c r="U83" s="9" cm="1">
        <f t="array" aca="1" ref="U83" ca="1">IF($O83="",0,OperateOnList($O83,_xlfn.LAMBDA(_xlpm._x,SimpleLookup(_xlpm._x,'Damage Scenarios'!$A:$U)),_xlfn.LAMBDA(_xlpm._x,_xlpm._y,MAX(_xlpm._x,_xlpm._y))))</f>
        <v>0</v>
      </c>
      <c r="V83" s="9" t="str">
        <f ca="1">IF($U83=0,"",INDEX(Definitions!$Q:$Q,MATCH($U83,Definitions!$R:$R,0)))</f>
        <v/>
      </c>
      <c r="W83" s="9" cm="1">
        <f t="array" aca="1" ref="W83" ca="1">IF($K83="",0,_xlfn.LET(
_xlpm._listOfAttackSteps,$K83,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83" s="9" t="str" cm="1">
        <f t="array" aca="1" ref="X83" ca="1">IF(ROW()=ROW($X$2)+1,"",INDEX($X:$X,ROW()-1))&amp;IF($A83="","",$A83&amp;",")</f>
        <v/>
      </c>
      <c r="Y83" s="9" t="str" cm="1">
        <f t="array" aca="1" ref="Y83" ca="1">CreateSearchString($K83)</f>
        <v/>
      </c>
      <c r="Z83" s="9" cm="1">
        <f t="array" aca="1" ref="Z83" ca="1">IF($G83="",0,SimpleLookup($G83,Definitions!$AE:$AF))</f>
        <v>0</v>
      </c>
      <c r="AA83" s="9" t="str" cm="1">
        <f t="array" aca="1" ref="AA83" ca="1">SanitizeInput(InverseLookup($A83,Mitigation!$U$2,Mitigation!$J$2,1,Helper!$B$5,","))</f>
        <v/>
      </c>
      <c r="AB83" s="9" cm="1">
        <f t="array" aca="1" ref="AB83" ca="1">IF($K83="",0,_xlfn.LET(
_xlpm._listOfAttackStepsAndMitigations,$K83&amp;$AA83,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83" s="9" t="str">
        <f ca="1">IFERROR(VLOOKUP($AB83,Definitions!$V:$W,COLUMNS(Definitions!$V:$W),TRUE),"")</f>
        <v>Basic</v>
      </c>
      <c r="AD83" s="9" t="str">
        <f ca="1">_xlfn.LET(
_xlpm._comments,GetValues($K83,Mitigation!$A:$O,"","",FALSE),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83" s="9" t="str" cm="1">
        <f t="array" aca="1" ref="AE83" ca="1">_xlfn.LET(
_xlpm._rapRange,Definitions!$W:$W,
_xlpm._calculatedRAP,$AC83,
_xlpm._inlineRAP,$AD83,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83" s="9" t="str">
        <f ca="1">IFERROR(IF(OR($V83="",$AE83=""),
Definitions!$AE$4,
VLOOKUP($V83,Definitions!$AH:$AM,MATCH($AE83,Definitions!$AH$3:$AM$3,0),FALSE)),
"")</f>
        <v>No Risk</v>
      </c>
      <c r="AG83" s="9" cm="1">
        <f t="array" aca="1" ref="AG83" ca="1">IF($AF83="",0,SimpleLookup($AF83,Definitions!$AE:$AF))</f>
        <v>0</v>
      </c>
      <c r="AH83" s="9" t="str" cm="1">
        <f t="array" aca="1" ref="AH83" ca="1">IFERROR(SimpleLookup($A83,Tracing!$B:$Z),"")</f>
        <v/>
      </c>
      <c r="AI83" s="9" t="str" cm="1">
        <f t="array" aca="1" ref="AI83" ca="1">_xlfn.LET(_xlpm._dm,SanitizeInput(GetValuesWithFallback(SanitizeInput($AH83),Assumptions!$A:$J,Countermeasures!$A:$J,"",",",FALSE)),
IF(_xlpm._dm="","",","&amp;_xlpm._dm))</f>
        <v/>
      </c>
      <c r="AJ83" s="9" t="str" cm="1">
        <f t="array" aca="1" ref="AJ83" ca="1">ApplyDamageMitigation($M83,$AI83,"")</f>
        <v/>
      </c>
      <c r="AK83" s="9" cm="1">
        <f t="array" aca="1" ref="AK83" ca="1">CalculateMaxFromList($AJ83,0,'Damage Scenarios'!$A:$U)</f>
        <v>0</v>
      </c>
      <c r="AL83" s="9" t="str">
        <f ca="1">IF($AK83=0,"",INDEX(Definitions!$Q:$Q,MATCH($AK83,Definitions!$R:$R,0)))</f>
        <v/>
      </c>
      <c r="AM83" s="9" cm="1">
        <f t="array" aca="1" ref="AM83" ca="1">IF($K83="",0,_xlfn.LET(
_xlpm._listOfAttackStepsAndMitigations,$K83&amp;$AH83,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83" s="9" t="str">
        <f ca="1">IFERROR(VLOOKUP($AM83,Definitions!$V:$W,COLUMNS(Definitions!$V:$W),TRUE),"")</f>
        <v>Basic</v>
      </c>
      <c r="AO83" s="9" t="str">
        <f ca="1">_xlfn.LET(
_xlpm._comments,SimpleLookup($A83,Tracing!$B:$AB),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83" s="9" t="str" cm="1">
        <f t="array" aca="1" ref="AP83" ca="1">_xlfn.LET(
_xlpm._rapRange,Definitions!$W:$W,
_xlpm._calculatedRAP,$AN83,
_xlpm._inlineRAP,$AO83,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83" s="9" t="str">
        <f ca="1">IFERROR(IF(OR($AL83="",$AP83=""),
Definitions!$AE$4,
VLOOKUP($AL83,Definitions!$AH:$AM,MATCH($AP83,Definitions!$AH$3:$AM$3,0),FALSE)),
"")</f>
        <v>No Risk</v>
      </c>
      <c r="AR83" s="9" cm="1">
        <f t="array" aca="1" ref="AR83" ca="1">IF($AQ83="",0,SimpleLookup($AQ83,Definitions!$AE:$AF))</f>
        <v>0</v>
      </c>
      <c r="AS83" s="9" t="b">
        <f ca="1">OR(AND($S83,$I83=Helper!$B$7),$I83&gt;Helper!$B$7)</f>
        <v>1</v>
      </c>
      <c r="AT83" s="9" t="str">
        <f t="shared" ca="1" si="15"/>
        <v/>
      </c>
      <c r="AU83" s="9" cm="1">
        <f t="array" aca="1" ref="AU83" ca="1">CreateID($AU$2,$AT83&lt;&gt;"")</f>
        <v>0</v>
      </c>
      <c r="AV83" s="9" t="str">
        <f ca="1">IF(IFERROR(MATCH(","&amp;A83&amp;",",'Risk Treatment'!$AT:$AT,0)&gt;0,FALSE),"",$A83)</f>
        <v/>
      </c>
      <c r="AW83" s="9" cm="1">
        <f t="array" aca="1" ref="AW83" ca="1">CreateID($AW$2,$AV83&lt;&gt;"")</f>
        <v>0</v>
      </c>
      <c r="AX83" s="9" t="str" cm="1">
        <f t="array" aca="1" ref="AX83" ca="1">CreateSearchString($AA83)</f>
        <v/>
      </c>
    </row>
    <row r="84" spans="1:50" x14ac:dyDescent="0.25">
      <c r="A84" s="13" t="str" cm="1">
        <f t="array" aca="1" ref="A84" ca="1">IF($B84="","","R"&amp;RemoveDelimiter(SUBSTITUTE(SUBSTITUTE($K84,"AS",""),",","-"),"-"))</f>
        <v/>
      </c>
      <c r="B84" s="13" t="str" cm="1">
        <f t="array" aca="1" ref="B84" ca="1">IF($L84="","",_xlfn.LET(
_xlpm._finalAttackStep,$L84,
_xlpm._prepAttacks,RemoveFirstElement(_xlpm._finalAttackStep&amp;","&amp;$K84),
_xlpm._prepAttackNames,IFERROR(LookupNames(_xlpm._prepAttacks,'Attack Steps'!$A:$B),""),
_xlpm._delimiter,REPT(CHAR(150),55),
$L84&amp;" "&amp;SimpleLookup($L84,'Attack Steps'!$A:$B)&amp;
IF(_xlpm._prepAttackNames="","",CHAR(10)&amp;_xlpm._delimiter&amp;CHAR(10)&amp;_xlpm._prepAttackNames)))</f>
        <v/>
      </c>
      <c r="C84" s="16" t="str" cm="1">
        <f t="array" aca="1" ref="C84" ca="1">IFERROR(LookupNames($M84,'Damage Scenarios'!$A:$V),"")</f>
        <v/>
      </c>
      <c r="D84" s="13" t="str">
        <f ca="1">IFERROR(IF($T84=0,"",INDEX(Definitions!$Q:$Q,MATCH($T84,Definitions!$R:$R,0))),"")</f>
        <v/>
      </c>
      <c r="E84" s="16" t="str" cm="1">
        <f t="array" aca="1" ref="E84" ca="1">IF($K84="","",_xlfn.LET(
_xlpm._listOfAttackSteps,$K84,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84" s="13" t="str">
        <f ca="1">IF($A84="","",IFERROR(VLOOKUP($W84,Definitions!$V:$W,COLUMNS(Definitions!$V:$W),TRUE),""))</f>
        <v/>
      </c>
      <c r="G84" s="13" t="str">
        <f ca="1">IFERROR(IF(OR($D84="",$F84=""),
"",
VLOOKUP($D84,Definitions!$AH:$AM,MATCH($F84,Definitions!$AH$3:$AM$3,0),FALSE)),
"")</f>
        <v/>
      </c>
      <c r="H84" s="10" cm="1">
        <f t="array" aca="1" ref="H84" ca="1">CreateID($H$2,$A84&lt;&gt;"")</f>
        <v>0</v>
      </c>
      <c r="I84" s="9" cm="1">
        <f t="array" aca="1" ref="I84" ca="1">IF(ROW()=ROW($I$2)+1,
1,
INDEX($I:$I,ROW()-1)+IF(INDEX($S:$S,ROW()-1),1,0))</f>
        <v>1</v>
      </c>
      <c r="J84" s="9">
        <f t="shared" ref="J84:J97" ca="1" si="16">COUNTIF(OFFSET($I$2,1,0,ROW()-ROW($I$2),1),$I84)</f>
        <v>82</v>
      </c>
      <c r="K84" s="9" t="str">
        <f t="shared" ref="K84:K97" ca="1" si="17">IF($Q84="","",_xlfn.LET(
_xlpm._aps,$Q84,
_xlpm._firstPos,FIND("$",SUBSTITUTE(_xlpm._aps,"§","$",$J84))+1,
_xlpm._lastPos,FIND("$",SUBSTITUTE(_xlpm._aps,"§","$",$J84+1)),
MID(_xlpm._aps,_xlpm._firstPos,_xlpm._lastPos-_xlpm._firstPos)))</f>
        <v/>
      </c>
      <c r="L84" s="9" t="str" cm="1">
        <f t="array" aca="1" ref="L84" ca="1">IF($P84="","",INDEX('Attack Steps'!$A:$A,$P84))</f>
        <v/>
      </c>
      <c r="M84" s="9" t="str" cm="1">
        <f t="array" aca="1" ref="M84" ca="1">IF($P84="","",INDEX('Attack Steps'!$U:$U,$P84))</f>
        <v/>
      </c>
      <c r="N84" s="9" t="str" cm="1">
        <f t="array" aca="1" ref="N84" ca="1">_xlfn.LET(_xlpm._dm,SanitizeInput(GetValuesWithFallback(SanitizeInput($AA84),Assumptions!$A:$J,Countermeasures!$A:$J,"",",",FALSE)),
IF(_xlpm._dm="","",","&amp;_xlpm._dm))</f>
        <v/>
      </c>
      <c r="O84" s="9" t="str" cm="1">
        <f t="array" aca="1" ref="O84" ca="1">ApplyDamageMitigation($M84,$N84,"")</f>
        <v/>
      </c>
      <c r="P84" s="9" t="str">
        <f ca="1">IFERROR(MATCH($I84,'Attack Steps'!$W:$W,0),"")</f>
        <v/>
      </c>
      <c r="Q84" s="9" t="str" cm="1">
        <f t="array" aca="1" ref="Q84" ca="1">IF($P84="","","§"&amp;INDEX('Attack Steps'!$T:$T,$P84))</f>
        <v/>
      </c>
      <c r="R84" s="9" t="str" cm="1">
        <f t="array" aca="1" ref="R84" ca="1">IF($P84="","",INDEX('Attack Steps'!$X:$X,$P84))</f>
        <v/>
      </c>
      <c r="S84" s="9" t="b">
        <f t="shared" ref="S84:S97" ca="1" si="18">$J84=$R84</f>
        <v>0</v>
      </c>
      <c r="T84" s="9" cm="1">
        <f t="array" aca="1" ref="T84" ca="1">IF($M84="",0,OperateOnList($M84,_xlfn.LAMBDA(_xlpm._x,SimpleLookup(_xlpm._x,'Damage Scenarios'!$A:$U)),_xlfn.LAMBDA(_xlpm._x,_xlpm._y,MAX(_xlpm._x,_xlpm._y))))</f>
        <v>0</v>
      </c>
      <c r="U84" s="9" cm="1">
        <f t="array" aca="1" ref="U84" ca="1">IF($O84="",0,OperateOnList($O84,_xlfn.LAMBDA(_xlpm._x,SimpleLookup(_xlpm._x,'Damage Scenarios'!$A:$U)),_xlfn.LAMBDA(_xlpm._x,_xlpm._y,MAX(_xlpm._x,_xlpm._y))))</f>
        <v>0</v>
      </c>
      <c r="V84" s="9" t="str">
        <f ca="1">IF($U84=0,"",INDEX(Definitions!$Q:$Q,MATCH($U84,Definitions!$R:$R,0)))</f>
        <v/>
      </c>
      <c r="W84" s="9" cm="1">
        <f t="array" aca="1" ref="W84" ca="1">IF($K84="",0,_xlfn.LET(
_xlpm._listOfAttackSteps,$K84,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84" s="9" t="str" cm="1">
        <f t="array" aca="1" ref="X84" ca="1">IF(ROW()=ROW($X$2)+1,"",INDEX($X:$X,ROW()-1))&amp;IF($A84="","",$A84&amp;",")</f>
        <v/>
      </c>
      <c r="Y84" s="9" t="str" cm="1">
        <f t="array" aca="1" ref="Y84" ca="1">CreateSearchString($K84)</f>
        <v/>
      </c>
      <c r="Z84" s="9" cm="1">
        <f t="array" aca="1" ref="Z84" ca="1">IF($G84="",0,SimpleLookup($G84,Definitions!$AE:$AF))</f>
        <v>0</v>
      </c>
      <c r="AA84" s="9" t="str" cm="1">
        <f t="array" aca="1" ref="AA84" ca="1">SanitizeInput(InverseLookup($A84,Mitigation!$U$2,Mitigation!$J$2,1,Helper!$B$5,","))</f>
        <v/>
      </c>
      <c r="AB84" s="9" cm="1">
        <f t="array" aca="1" ref="AB84" ca="1">IF($K84="",0,_xlfn.LET(
_xlpm._listOfAttackStepsAndMitigations,$K84&amp;$AA84,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84" s="9" t="str">
        <f ca="1">IFERROR(VLOOKUP($AB84,Definitions!$V:$W,COLUMNS(Definitions!$V:$W),TRUE),"")</f>
        <v>Basic</v>
      </c>
      <c r="AD84" s="9" t="str">
        <f ca="1">_xlfn.LET(
_xlpm._comments,GetValues($K84,Mitigation!$A:$O,"","",FALSE),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84" s="9" t="str" cm="1">
        <f t="array" aca="1" ref="AE84" ca="1">_xlfn.LET(
_xlpm._rapRange,Definitions!$W:$W,
_xlpm._calculatedRAP,$AC84,
_xlpm._inlineRAP,$AD84,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84" s="9" t="str">
        <f ca="1">IFERROR(IF(OR($V84="",$AE84=""),
Definitions!$AE$4,
VLOOKUP($V84,Definitions!$AH:$AM,MATCH($AE84,Definitions!$AH$3:$AM$3,0),FALSE)),
"")</f>
        <v>No Risk</v>
      </c>
      <c r="AG84" s="9" cm="1">
        <f t="array" aca="1" ref="AG84" ca="1">IF($AF84="",0,SimpleLookup($AF84,Definitions!$AE:$AF))</f>
        <v>0</v>
      </c>
      <c r="AH84" s="9" t="str" cm="1">
        <f t="array" aca="1" ref="AH84" ca="1">IFERROR(SimpleLookup($A84,Tracing!$B:$Z),"")</f>
        <v/>
      </c>
      <c r="AI84" s="9" t="str" cm="1">
        <f t="array" aca="1" ref="AI84" ca="1">_xlfn.LET(_xlpm._dm,SanitizeInput(GetValuesWithFallback(SanitizeInput($AH84),Assumptions!$A:$J,Countermeasures!$A:$J,"",",",FALSE)),
IF(_xlpm._dm="","",","&amp;_xlpm._dm))</f>
        <v/>
      </c>
      <c r="AJ84" s="9" t="str" cm="1">
        <f t="array" aca="1" ref="AJ84" ca="1">ApplyDamageMitigation($M84,$AI84,"")</f>
        <v/>
      </c>
      <c r="AK84" s="9" cm="1">
        <f t="array" aca="1" ref="AK84" ca="1">CalculateMaxFromList($AJ84,0,'Damage Scenarios'!$A:$U)</f>
        <v>0</v>
      </c>
      <c r="AL84" s="9" t="str">
        <f ca="1">IF($AK84=0,"",INDEX(Definitions!$Q:$Q,MATCH($AK84,Definitions!$R:$R,0)))</f>
        <v/>
      </c>
      <c r="AM84" s="9" cm="1">
        <f t="array" aca="1" ref="AM84" ca="1">IF($K84="",0,_xlfn.LET(
_xlpm._listOfAttackStepsAndMitigations,$K84&amp;$AH84,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84" s="9" t="str">
        <f ca="1">IFERROR(VLOOKUP($AM84,Definitions!$V:$W,COLUMNS(Definitions!$V:$W),TRUE),"")</f>
        <v>Basic</v>
      </c>
      <c r="AO84" s="9" t="str">
        <f ca="1">_xlfn.LET(
_xlpm._comments,SimpleLookup($A84,Tracing!$B:$AB),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84" s="9" t="str" cm="1">
        <f t="array" aca="1" ref="AP84" ca="1">_xlfn.LET(
_xlpm._rapRange,Definitions!$W:$W,
_xlpm._calculatedRAP,$AN84,
_xlpm._inlineRAP,$AO84,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84" s="9" t="str">
        <f ca="1">IFERROR(IF(OR($AL84="",$AP84=""),
Definitions!$AE$4,
VLOOKUP($AL84,Definitions!$AH:$AM,MATCH($AP84,Definitions!$AH$3:$AM$3,0),FALSE)),
"")</f>
        <v>No Risk</v>
      </c>
      <c r="AR84" s="9" cm="1">
        <f t="array" aca="1" ref="AR84" ca="1">IF($AQ84="",0,SimpleLookup($AQ84,Definitions!$AE:$AF))</f>
        <v>0</v>
      </c>
      <c r="AS84" s="9" t="b">
        <f ca="1">OR(AND($S84,$I84=Helper!$B$7),$I84&gt;Helper!$B$7)</f>
        <v>1</v>
      </c>
      <c r="AT84" s="9" t="str">
        <f t="shared" ref="AT84:AT97" ca="1" si="19">IF(NOT(OR($AS84,AND(NOT($AS84),OFFSET($AS84,1,0)&lt;&gt;""))),"Please enlarge the table!","")</f>
        <v/>
      </c>
      <c r="AU84" s="9" cm="1">
        <f t="array" aca="1" ref="AU84" ca="1">CreateID($AU$2,$AT84&lt;&gt;"")</f>
        <v>0</v>
      </c>
      <c r="AV84" s="9" t="str">
        <f ca="1">IF(IFERROR(MATCH(","&amp;A84&amp;",",'Risk Treatment'!$AT:$AT,0)&gt;0,FALSE),"",$A84)</f>
        <v/>
      </c>
      <c r="AW84" s="9" cm="1">
        <f t="array" aca="1" ref="AW84" ca="1">CreateID($AW$2,$AV84&lt;&gt;"")</f>
        <v>0</v>
      </c>
      <c r="AX84" s="9" t="str" cm="1">
        <f t="array" aca="1" ref="AX84" ca="1">CreateSearchString($AA84)</f>
        <v/>
      </c>
    </row>
    <row r="85" spans="1:50" x14ac:dyDescent="0.25">
      <c r="A85" s="13" t="str" cm="1">
        <f t="array" aca="1" ref="A85" ca="1">IF($B85="","","R"&amp;RemoveDelimiter(SUBSTITUTE(SUBSTITUTE($K85,"AS",""),",","-"),"-"))</f>
        <v/>
      </c>
      <c r="B85" s="13" t="str" cm="1">
        <f t="array" aca="1" ref="B85" ca="1">IF($L85="","",_xlfn.LET(
_xlpm._finalAttackStep,$L85,
_xlpm._prepAttacks,RemoveFirstElement(_xlpm._finalAttackStep&amp;","&amp;$K85),
_xlpm._prepAttackNames,IFERROR(LookupNames(_xlpm._prepAttacks,'Attack Steps'!$A:$B),""),
_xlpm._delimiter,REPT(CHAR(150),55),
$L85&amp;" "&amp;SimpleLookup($L85,'Attack Steps'!$A:$B)&amp;
IF(_xlpm._prepAttackNames="","",CHAR(10)&amp;_xlpm._delimiter&amp;CHAR(10)&amp;_xlpm._prepAttackNames)))</f>
        <v/>
      </c>
      <c r="C85" s="16" t="str" cm="1">
        <f t="array" aca="1" ref="C85" ca="1">IFERROR(LookupNames($M85,'Damage Scenarios'!$A:$V),"")</f>
        <v/>
      </c>
      <c r="D85" s="13" t="str">
        <f ca="1">IFERROR(IF($T85=0,"",INDEX(Definitions!$Q:$Q,MATCH($T85,Definitions!$R:$R,0))),"")</f>
        <v/>
      </c>
      <c r="E85" s="16" t="str" cm="1">
        <f t="array" aca="1" ref="E85" ca="1">IF($K85="","",_xlfn.LET(
_xlpm._listOfAttackSteps,$K85,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85" s="13" t="str">
        <f ca="1">IF($A85="","",IFERROR(VLOOKUP($W85,Definitions!$V:$W,COLUMNS(Definitions!$V:$W),TRUE),""))</f>
        <v/>
      </c>
      <c r="G85" s="13" t="str">
        <f ca="1">IFERROR(IF(OR($D85="",$F85=""),
"",
VLOOKUP($D85,Definitions!$AH:$AM,MATCH($F85,Definitions!$AH$3:$AM$3,0),FALSE)),
"")</f>
        <v/>
      </c>
      <c r="H85" s="10" cm="1">
        <f t="array" aca="1" ref="H85" ca="1">CreateID($H$2,$A85&lt;&gt;"")</f>
        <v>0</v>
      </c>
      <c r="I85" s="9" cm="1">
        <f t="array" aca="1" ref="I85" ca="1">IF(ROW()=ROW($I$2)+1,
1,
INDEX($I:$I,ROW()-1)+IF(INDEX($S:$S,ROW()-1),1,0))</f>
        <v>1</v>
      </c>
      <c r="J85" s="9">
        <f t="shared" ca="1" si="16"/>
        <v>83</v>
      </c>
      <c r="K85" s="9" t="str">
        <f t="shared" ca="1" si="17"/>
        <v/>
      </c>
      <c r="L85" s="9" t="str" cm="1">
        <f t="array" aca="1" ref="L85" ca="1">IF($P85="","",INDEX('Attack Steps'!$A:$A,$P85))</f>
        <v/>
      </c>
      <c r="M85" s="9" t="str" cm="1">
        <f t="array" aca="1" ref="M85" ca="1">IF($P85="","",INDEX('Attack Steps'!$U:$U,$P85))</f>
        <v/>
      </c>
      <c r="N85" s="9" t="str" cm="1">
        <f t="array" aca="1" ref="N85" ca="1">_xlfn.LET(_xlpm._dm,SanitizeInput(GetValuesWithFallback(SanitizeInput($AA85),Assumptions!$A:$J,Countermeasures!$A:$J,"",",",FALSE)),
IF(_xlpm._dm="","",","&amp;_xlpm._dm))</f>
        <v/>
      </c>
      <c r="O85" s="9" t="str" cm="1">
        <f t="array" aca="1" ref="O85" ca="1">ApplyDamageMitigation($M85,$N85,"")</f>
        <v/>
      </c>
      <c r="P85" s="9" t="str">
        <f ca="1">IFERROR(MATCH($I85,'Attack Steps'!$W:$W,0),"")</f>
        <v/>
      </c>
      <c r="Q85" s="9" t="str" cm="1">
        <f t="array" aca="1" ref="Q85" ca="1">IF($P85="","","§"&amp;INDEX('Attack Steps'!$T:$T,$P85))</f>
        <v/>
      </c>
      <c r="R85" s="9" t="str" cm="1">
        <f t="array" aca="1" ref="R85" ca="1">IF($P85="","",INDEX('Attack Steps'!$X:$X,$P85))</f>
        <v/>
      </c>
      <c r="S85" s="9" t="b">
        <f t="shared" ca="1" si="18"/>
        <v>0</v>
      </c>
      <c r="T85" s="9" cm="1">
        <f t="array" aca="1" ref="T85" ca="1">IF($M85="",0,OperateOnList($M85,_xlfn.LAMBDA(_xlpm._x,SimpleLookup(_xlpm._x,'Damage Scenarios'!$A:$U)),_xlfn.LAMBDA(_xlpm._x,_xlpm._y,MAX(_xlpm._x,_xlpm._y))))</f>
        <v>0</v>
      </c>
      <c r="U85" s="9" cm="1">
        <f t="array" aca="1" ref="U85" ca="1">IF($O85="",0,OperateOnList($O85,_xlfn.LAMBDA(_xlpm._x,SimpleLookup(_xlpm._x,'Damage Scenarios'!$A:$U)),_xlfn.LAMBDA(_xlpm._x,_xlpm._y,MAX(_xlpm._x,_xlpm._y))))</f>
        <v>0</v>
      </c>
      <c r="V85" s="9" t="str">
        <f ca="1">IF($U85=0,"",INDEX(Definitions!$Q:$Q,MATCH($U85,Definitions!$R:$R,0)))</f>
        <v/>
      </c>
      <c r="W85" s="9" cm="1">
        <f t="array" aca="1" ref="W85" ca="1">IF($K85="",0,_xlfn.LET(
_xlpm._listOfAttackSteps,$K85,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85" s="9" t="str" cm="1">
        <f t="array" aca="1" ref="X85" ca="1">IF(ROW()=ROW($X$2)+1,"",INDEX($X:$X,ROW()-1))&amp;IF($A85="","",$A85&amp;",")</f>
        <v/>
      </c>
      <c r="Y85" s="9" t="str" cm="1">
        <f t="array" aca="1" ref="Y85" ca="1">CreateSearchString($K85)</f>
        <v/>
      </c>
      <c r="Z85" s="9" cm="1">
        <f t="array" aca="1" ref="Z85" ca="1">IF($G85="",0,SimpleLookup($G85,Definitions!$AE:$AF))</f>
        <v>0</v>
      </c>
      <c r="AA85" s="9" t="str" cm="1">
        <f t="array" aca="1" ref="AA85" ca="1">SanitizeInput(InverseLookup($A85,Mitigation!$U$2,Mitigation!$J$2,1,Helper!$B$5,","))</f>
        <v/>
      </c>
      <c r="AB85" s="9" cm="1">
        <f t="array" aca="1" ref="AB85" ca="1">IF($K85="",0,_xlfn.LET(
_xlpm._listOfAttackStepsAndMitigations,$K85&amp;$AA85,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85" s="9" t="str">
        <f ca="1">IFERROR(VLOOKUP($AB85,Definitions!$V:$W,COLUMNS(Definitions!$V:$W),TRUE),"")</f>
        <v>Basic</v>
      </c>
      <c r="AD85" s="9" t="str">
        <f ca="1">_xlfn.LET(
_xlpm._comments,GetValues($K85,Mitigation!$A:$O,"","",FALSE),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85" s="9" t="str" cm="1">
        <f t="array" aca="1" ref="AE85" ca="1">_xlfn.LET(
_xlpm._rapRange,Definitions!$W:$W,
_xlpm._calculatedRAP,$AC85,
_xlpm._inlineRAP,$AD85,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85" s="9" t="str">
        <f ca="1">IFERROR(IF(OR($V85="",$AE85=""),
Definitions!$AE$4,
VLOOKUP($V85,Definitions!$AH:$AM,MATCH($AE85,Definitions!$AH$3:$AM$3,0),FALSE)),
"")</f>
        <v>No Risk</v>
      </c>
      <c r="AG85" s="9" cm="1">
        <f t="array" aca="1" ref="AG85" ca="1">IF($AF85="",0,SimpleLookup($AF85,Definitions!$AE:$AF))</f>
        <v>0</v>
      </c>
      <c r="AH85" s="9" t="str" cm="1">
        <f t="array" aca="1" ref="AH85" ca="1">IFERROR(SimpleLookup($A85,Tracing!$B:$Z),"")</f>
        <v/>
      </c>
      <c r="AI85" s="9" t="str" cm="1">
        <f t="array" aca="1" ref="AI85" ca="1">_xlfn.LET(_xlpm._dm,SanitizeInput(GetValuesWithFallback(SanitizeInput($AH85),Assumptions!$A:$J,Countermeasures!$A:$J,"",",",FALSE)),
IF(_xlpm._dm="","",","&amp;_xlpm._dm))</f>
        <v/>
      </c>
      <c r="AJ85" s="9" t="str" cm="1">
        <f t="array" aca="1" ref="AJ85" ca="1">ApplyDamageMitigation($M85,$AI85,"")</f>
        <v/>
      </c>
      <c r="AK85" s="9" cm="1">
        <f t="array" aca="1" ref="AK85" ca="1">CalculateMaxFromList($AJ85,0,'Damage Scenarios'!$A:$U)</f>
        <v>0</v>
      </c>
      <c r="AL85" s="9" t="str">
        <f ca="1">IF($AK85=0,"",INDEX(Definitions!$Q:$Q,MATCH($AK85,Definitions!$R:$R,0)))</f>
        <v/>
      </c>
      <c r="AM85" s="9" cm="1">
        <f t="array" aca="1" ref="AM85" ca="1">IF($K85="",0,_xlfn.LET(
_xlpm._listOfAttackStepsAndMitigations,$K85&amp;$AH85,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85" s="9" t="str">
        <f ca="1">IFERROR(VLOOKUP($AM85,Definitions!$V:$W,COLUMNS(Definitions!$V:$W),TRUE),"")</f>
        <v>Basic</v>
      </c>
      <c r="AO85" s="9" t="str">
        <f ca="1">_xlfn.LET(
_xlpm._comments,SimpleLookup($A85,Tracing!$B:$AB),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85" s="9" t="str" cm="1">
        <f t="array" aca="1" ref="AP85" ca="1">_xlfn.LET(
_xlpm._rapRange,Definitions!$W:$W,
_xlpm._calculatedRAP,$AN85,
_xlpm._inlineRAP,$AO85,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85" s="9" t="str">
        <f ca="1">IFERROR(IF(OR($AL85="",$AP85=""),
Definitions!$AE$4,
VLOOKUP($AL85,Definitions!$AH:$AM,MATCH($AP85,Definitions!$AH$3:$AM$3,0),FALSE)),
"")</f>
        <v>No Risk</v>
      </c>
      <c r="AR85" s="9" cm="1">
        <f t="array" aca="1" ref="AR85" ca="1">IF($AQ85="",0,SimpleLookup($AQ85,Definitions!$AE:$AF))</f>
        <v>0</v>
      </c>
      <c r="AS85" s="9" t="b">
        <f ca="1">OR(AND($S85,$I85=Helper!$B$7),$I85&gt;Helper!$B$7)</f>
        <v>1</v>
      </c>
      <c r="AT85" s="9" t="str">
        <f t="shared" ca="1" si="19"/>
        <v/>
      </c>
      <c r="AU85" s="9" cm="1">
        <f t="array" aca="1" ref="AU85" ca="1">CreateID($AU$2,$AT85&lt;&gt;"")</f>
        <v>0</v>
      </c>
      <c r="AV85" s="9" t="str">
        <f ca="1">IF(IFERROR(MATCH(","&amp;A85&amp;",",'Risk Treatment'!$AT:$AT,0)&gt;0,FALSE),"",$A85)</f>
        <v/>
      </c>
      <c r="AW85" s="9" cm="1">
        <f t="array" aca="1" ref="AW85" ca="1">CreateID($AW$2,$AV85&lt;&gt;"")</f>
        <v>0</v>
      </c>
      <c r="AX85" s="9" t="str" cm="1">
        <f t="array" aca="1" ref="AX85" ca="1">CreateSearchString($AA85)</f>
        <v/>
      </c>
    </row>
    <row r="86" spans="1:50" x14ac:dyDescent="0.25">
      <c r="A86" s="13" t="str" cm="1">
        <f t="array" aca="1" ref="A86" ca="1">IF($B86="","","R"&amp;RemoveDelimiter(SUBSTITUTE(SUBSTITUTE($K86,"AS",""),",","-"),"-"))</f>
        <v/>
      </c>
      <c r="B86" s="13" t="str" cm="1">
        <f t="array" aca="1" ref="B86" ca="1">IF($L86="","",_xlfn.LET(
_xlpm._finalAttackStep,$L86,
_xlpm._prepAttacks,RemoveFirstElement(_xlpm._finalAttackStep&amp;","&amp;$K86),
_xlpm._prepAttackNames,IFERROR(LookupNames(_xlpm._prepAttacks,'Attack Steps'!$A:$B),""),
_xlpm._delimiter,REPT(CHAR(150),55),
$L86&amp;" "&amp;SimpleLookup($L86,'Attack Steps'!$A:$B)&amp;
IF(_xlpm._prepAttackNames="","",CHAR(10)&amp;_xlpm._delimiter&amp;CHAR(10)&amp;_xlpm._prepAttackNames)))</f>
        <v/>
      </c>
      <c r="C86" s="16" t="str" cm="1">
        <f t="array" aca="1" ref="C86" ca="1">IFERROR(LookupNames($M86,'Damage Scenarios'!$A:$V),"")</f>
        <v/>
      </c>
      <c r="D86" s="13" t="str">
        <f ca="1">IFERROR(IF($T86=0,"",INDEX(Definitions!$Q:$Q,MATCH($T86,Definitions!$R:$R,0))),"")</f>
        <v/>
      </c>
      <c r="E86" s="16" t="str" cm="1">
        <f t="array" aca="1" ref="E86" ca="1">IF($K86="","",_xlfn.LET(
_xlpm._listOfAttackSteps,$K86,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86" s="13" t="str">
        <f ca="1">IF($A86="","",IFERROR(VLOOKUP($W86,Definitions!$V:$W,COLUMNS(Definitions!$V:$W),TRUE),""))</f>
        <v/>
      </c>
      <c r="G86" s="13" t="str">
        <f ca="1">IFERROR(IF(OR($D86="",$F86=""),
"",
VLOOKUP($D86,Definitions!$AH:$AM,MATCH($F86,Definitions!$AH$3:$AM$3,0),FALSE)),
"")</f>
        <v/>
      </c>
      <c r="H86" s="10" cm="1">
        <f t="array" aca="1" ref="H86" ca="1">CreateID($H$2,$A86&lt;&gt;"")</f>
        <v>0</v>
      </c>
      <c r="I86" s="9" cm="1">
        <f t="array" aca="1" ref="I86" ca="1">IF(ROW()=ROW($I$2)+1,
1,
INDEX($I:$I,ROW()-1)+IF(INDEX($S:$S,ROW()-1),1,0))</f>
        <v>1</v>
      </c>
      <c r="J86" s="9">
        <f t="shared" ca="1" si="16"/>
        <v>84</v>
      </c>
      <c r="K86" s="9" t="str">
        <f t="shared" ca="1" si="17"/>
        <v/>
      </c>
      <c r="L86" s="9" t="str" cm="1">
        <f t="array" aca="1" ref="L86" ca="1">IF($P86="","",INDEX('Attack Steps'!$A:$A,$P86))</f>
        <v/>
      </c>
      <c r="M86" s="9" t="str" cm="1">
        <f t="array" aca="1" ref="M86" ca="1">IF($P86="","",INDEX('Attack Steps'!$U:$U,$P86))</f>
        <v/>
      </c>
      <c r="N86" s="9" t="str" cm="1">
        <f t="array" aca="1" ref="N86" ca="1">_xlfn.LET(_xlpm._dm,SanitizeInput(GetValuesWithFallback(SanitizeInput($AA86),Assumptions!$A:$J,Countermeasures!$A:$J,"",",",FALSE)),
IF(_xlpm._dm="","",","&amp;_xlpm._dm))</f>
        <v/>
      </c>
      <c r="O86" s="9" t="str" cm="1">
        <f t="array" aca="1" ref="O86" ca="1">ApplyDamageMitigation($M86,$N86,"")</f>
        <v/>
      </c>
      <c r="P86" s="9" t="str">
        <f ca="1">IFERROR(MATCH($I86,'Attack Steps'!$W:$W,0),"")</f>
        <v/>
      </c>
      <c r="Q86" s="9" t="str" cm="1">
        <f t="array" aca="1" ref="Q86" ca="1">IF($P86="","","§"&amp;INDEX('Attack Steps'!$T:$T,$P86))</f>
        <v/>
      </c>
      <c r="R86" s="9" t="str" cm="1">
        <f t="array" aca="1" ref="R86" ca="1">IF($P86="","",INDEX('Attack Steps'!$X:$X,$P86))</f>
        <v/>
      </c>
      <c r="S86" s="9" t="b">
        <f t="shared" ca="1" si="18"/>
        <v>0</v>
      </c>
      <c r="T86" s="9" cm="1">
        <f t="array" aca="1" ref="T86" ca="1">IF($M86="",0,OperateOnList($M86,_xlfn.LAMBDA(_xlpm._x,SimpleLookup(_xlpm._x,'Damage Scenarios'!$A:$U)),_xlfn.LAMBDA(_xlpm._x,_xlpm._y,MAX(_xlpm._x,_xlpm._y))))</f>
        <v>0</v>
      </c>
      <c r="U86" s="9" cm="1">
        <f t="array" aca="1" ref="U86" ca="1">IF($O86="",0,OperateOnList($O86,_xlfn.LAMBDA(_xlpm._x,SimpleLookup(_xlpm._x,'Damage Scenarios'!$A:$U)),_xlfn.LAMBDA(_xlpm._x,_xlpm._y,MAX(_xlpm._x,_xlpm._y))))</f>
        <v>0</v>
      </c>
      <c r="V86" s="9" t="str">
        <f ca="1">IF($U86=0,"",INDEX(Definitions!$Q:$Q,MATCH($U86,Definitions!$R:$R,0)))</f>
        <v/>
      </c>
      <c r="W86" s="9" cm="1">
        <f t="array" aca="1" ref="W86" ca="1">IF($K86="",0,_xlfn.LET(
_xlpm._listOfAttackSteps,$K86,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86" s="9" t="str" cm="1">
        <f t="array" aca="1" ref="X86" ca="1">IF(ROW()=ROW($X$2)+1,"",INDEX($X:$X,ROW()-1))&amp;IF($A86="","",$A86&amp;",")</f>
        <v/>
      </c>
      <c r="Y86" s="9" t="str" cm="1">
        <f t="array" aca="1" ref="Y86" ca="1">CreateSearchString($K86)</f>
        <v/>
      </c>
      <c r="Z86" s="9" cm="1">
        <f t="array" aca="1" ref="Z86" ca="1">IF($G86="",0,SimpleLookup($G86,Definitions!$AE:$AF))</f>
        <v>0</v>
      </c>
      <c r="AA86" s="9" t="str" cm="1">
        <f t="array" aca="1" ref="AA86" ca="1">SanitizeInput(InverseLookup($A86,Mitigation!$U$2,Mitigation!$J$2,1,Helper!$B$5,","))</f>
        <v/>
      </c>
      <c r="AB86" s="9" cm="1">
        <f t="array" aca="1" ref="AB86" ca="1">IF($K86="",0,_xlfn.LET(
_xlpm._listOfAttackStepsAndMitigations,$K86&amp;$AA86,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86" s="9" t="str">
        <f ca="1">IFERROR(VLOOKUP($AB86,Definitions!$V:$W,COLUMNS(Definitions!$V:$W),TRUE),"")</f>
        <v>Basic</v>
      </c>
      <c r="AD86" s="9" t="str">
        <f ca="1">_xlfn.LET(
_xlpm._comments,GetValues($K86,Mitigation!$A:$O,"","",FALSE),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86" s="9" t="str" cm="1">
        <f t="array" aca="1" ref="AE86" ca="1">_xlfn.LET(
_xlpm._rapRange,Definitions!$W:$W,
_xlpm._calculatedRAP,$AC86,
_xlpm._inlineRAP,$AD86,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86" s="9" t="str">
        <f ca="1">IFERROR(IF(OR($V86="",$AE86=""),
Definitions!$AE$4,
VLOOKUP($V86,Definitions!$AH:$AM,MATCH($AE86,Definitions!$AH$3:$AM$3,0),FALSE)),
"")</f>
        <v>No Risk</v>
      </c>
      <c r="AG86" s="9" cm="1">
        <f t="array" aca="1" ref="AG86" ca="1">IF($AF86="",0,SimpleLookup($AF86,Definitions!$AE:$AF))</f>
        <v>0</v>
      </c>
      <c r="AH86" s="9" t="str" cm="1">
        <f t="array" aca="1" ref="AH86" ca="1">IFERROR(SimpleLookup($A86,Tracing!$B:$Z),"")</f>
        <v/>
      </c>
      <c r="AI86" s="9" t="str" cm="1">
        <f t="array" aca="1" ref="AI86" ca="1">_xlfn.LET(_xlpm._dm,SanitizeInput(GetValuesWithFallback(SanitizeInput($AH86),Assumptions!$A:$J,Countermeasures!$A:$J,"",",",FALSE)),
IF(_xlpm._dm="","",","&amp;_xlpm._dm))</f>
        <v/>
      </c>
      <c r="AJ86" s="9" t="str" cm="1">
        <f t="array" aca="1" ref="AJ86" ca="1">ApplyDamageMitigation($M86,$AI86,"")</f>
        <v/>
      </c>
      <c r="AK86" s="9" cm="1">
        <f t="array" aca="1" ref="AK86" ca="1">CalculateMaxFromList($AJ86,0,'Damage Scenarios'!$A:$U)</f>
        <v>0</v>
      </c>
      <c r="AL86" s="9" t="str">
        <f ca="1">IF($AK86=0,"",INDEX(Definitions!$Q:$Q,MATCH($AK86,Definitions!$R:$R,0)))</f>
        <v/>
      </c>
      <c r="AM86" s="9" cm="1">
        <f t="array" aca="1" ref="AM86" ca="1">IF($K86="",0,_xlfn.LET(
_xlpm._listOfAttackStepsAndMitigations,$K86&amp;$AH86,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86" s="9" t="str">
        <f ca="1">IFERROR(VLOOKUP($AM86,Definitions!$V:$W,COLUMNS(Definitions!$V:$W),TRUE),"")</f>
        <v>Basic</v>
      </c>
      <c r="AO86" s="9" t="str">
        <f ca="1">_xlfn.LET(
_xlpm._comments,SimpleLookup($A86,Tracing!$B:$AB),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86" s="9" t="str" cm="1">
        <f t="array" aca="1" ref="AP86" ca="1">_xlfn.LET(
_xlpm._rapRange,Definitions!$W:$W,
_xlpm._calculatedRAP,$AN86,
_xlpm._inlineRAP,$AO86,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86" s="9" t="str">
        <f ca="1">IFERROR(IF(OR($AL86="",$AP86=""),
Definitions!$AE$4,
VLOOKUP($AL86,Definitions!$AH:$AM,MATCH($AP86,Definitions!$AH$3:$AM$3,0),FALSE)),
"")</f>
        <v>No Risk</v>
      </c>
      <c r="AR86" s="9" cm="1">
        <f t="array" aca="1" ref="AR86" ca="1">IF($AQ86="",0,SimpleLookup($AQ86,Definitions!$AE:$AF))</f>
        <v>0</v>
      </c>
      <c r="AS86" s="9" t="b">
        <f ca="1">OR(AND($S86,$I86=Helper!$B$7),$I86&gt;Helper!$B$7)</f>
        <v>1</v>
      </c>
      <c r="AT86" s="9" t="str">
        <f t="shared" ca="1" si="19"/>
        <v/>
      </c>
      <c r="AU86" s="9" cm="1">
        <f t="array" aca="1" ref="AU86" ca="1">CreateID($AU$2,$AT86&lt;&gt;"")</f>
        <v>0</v>
      </c>
      <c r="AV86" s="9" t="str">
        <f ca="1">IF(IFERROR(MATCH(","&amp;A86&amp;",",'Risk Treatment'!$AT:$AT,0)&gt;0,FALSE),"",$A86)</f>
        <v/>
      </c>
      <c r="AW86" s="9" cm="1">
        <f t="array" aca="1" ref="AW86" ca="1">CreateID($AW$2,$AV86&lt;&gt;"")</f>
        <v>0</v>
      </c>
      <c r="AX86" s="9" t="str" cm="1">
        <f t="array" aca="1" ref="AX86" ca="1">CreateSearchString($AA86)</f>
        <v/>
      </c>
    </row>
    <row r="87" spans="1:50" x14ac:dyDescent="0.25">
      <c r="A87" s="13" t="str" cm="1">
        <f t="array" aca="1" ref="A87" ca="1">IF($B87="","","R"&amp;RemoveDelimiter(SUBSTITUTE(SUBSTITUTE($K87,"AS",""),",","-"),"-"))</f>
        <v/>
      </c>
      <c r="B87" s="13" t="str" cm="1">
        <f t="array" aca="1" ref="B87" ca="1">IF($L87="","",_xlfn.LET(
_xlpm._finalAttackStep,$L87,
_xlpm._prepAttacks,RemoveFirstElement(_xlpm._finalAttackStep&amp;","&amp;$K87),
_xlpm._prepAttackNames,IFERROR(LookupNames(_xlpm._prepAttacks,'Attack Steps'!$A:$B),""),
_xlpm._delimiter,REPT(CHAR(150),55),
$L87&amp;" "&amp;SimpleLookup($L87,'Attack Steps'!$A:$B)&amp;
IF(_xlpm._prepAttackNames="","",CHAR(10)&amp;_xlpm._delimiter&amp;CHAR(10)&amp;_xlpm._prepAttackNames)))</f>
        <v/>
      </c>
      <c r="C87" s="16" t="str" cm="1">
        <f t="array" aca="1" ref="C87" ca="1">IFERROR(LookupNames($M87,'Damage Scenarios'!$A:$V),"")</f>
        <v/>
      </c>
      <c r="D87" s="13" t="str">
        <f ca="1">IFERROR(IF($T87=0,"",INDEX(Definitions!$Q:$Q,MATCH($T87,Definitions!$R:$R,0))),"")</f>
        <v/>
      </c>
      <c r="E87" s="16" t="str" cm="1">
        <f t="array" aca="1" ref="E87" ca="1">IF($K87="","",_xlfn.LET(
_xlpm._listOfAttackSteps,$K87,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87" s="13" t="str">
        <f ca="1">IF($A87="","",IFERROR(VLOOKUP($W87,Definitions!$V:$W,COLUMNS(Definitions!$V:$W),TRUE),""))</f>
        <v/>
      </c>
      <c r="G87" s="13" t="str">
        <f ca="1">IFERROR(IF(OR($D87="",$F87=""),
"",
VLOOKUP($D87,Definitions!$AH:$AM,MATCH($F87,Definitions!$AH$3:$AM$3,0),FALSE)),
"")</f>
        <v/>
      </c>
      <c r="H87" s="10" cm="1">
        <f t="array" aca="1" ref="H87" ca="1">CreateID($H$2,$A87&lt;&gt;"")</f>
        <v>0</v>
      </c>
      <c r="I87" s="9" cm="1">
        <f t="array" aca="1" ref="I87" ca="1">IF(ROW()=ROW($I$2)+1,
1,
INDEX($I:$I,ROW()-1)+IF(INDEX($S:$S,ROW()-1),1,0))</f>
        <v>1</v>
      </c>
      <c r="J87" s="9">
        <f t="shared" ca="1" si="16"/>
        <v>85</v>
      </c>
      <c r="K87" s="9" t="str">
        <f t="shared" ca="1" si="17"/>
        <v/>
      </c>
      <c r="L87" s="9" t="str" cm="1">
        <f t="array" aca="1" ref="L87" ca="1">IF($P87="","",INDEX('Attack Steps'!$A:$A,$P87))</f>
        <v/>
      </c>
      <c r="M87" s="9" t="str" cm="1">
        <f t="array" aca="1" ref="M87" ca="1">IF($P87="","",INDEX('Attack Steps'!$U:$U,$P87))</f>
        <v/>
      </c>
      <c r="N87" s="9" t="str" cm="1">
        <f t="array" aca="1" ref="N87" ca="1">_xlfn.LET(_xlpm._dm,SanitizeInput(GetValuesWithFallback(SanitizeInput($AA87),Assumptions!$A:$J,Countermeasures!$A:$J,"",",",FALSE)),
IF(_xlpm._dm="","",","&amp;_xlpm._dm))</f>
        <v/>
      </c>
      <c r="O87" s="9" t="str" cm="1">
        <f t="array" aca="1" ref="O87" ca="1">ApplyDamageMitigation($M87,$N87,"")</f>
        <v/>
      </c>
      <c r="P87" s="9" t="str">
        <f ca="1">IFERROR(MATCH($I87,'Attack Steps'!$W:$W,0),"")</f>
        <v/>
      </c>
      <c r="Q87" s="9" t="str" cm="1">
        <f t="array" aca="1" ref="Q87" ca="1">IF($P87="","","§"&amp;INDEX('Attack Steps'!$T:$T,$P87))</f>
        <v/>
      </c>
      <c r="R87" s="9" t="str" cm="1">
        <f t="array" aca="1" ref="R87" ca="1">IF($P87="","",INDEX('Attack Steps'!$X:$X,$P87))</f>
        <v/>
      </c>
      <c r="S87" s="9" t="b">
        <f t="shared" ca="1" si="18"/>
        <v>0</v>
      </c>
      <c r="T87" s="9" cm="1">
        <f t="array" aca="1" ref="T87" ca="1">IF($M87="",0,OperateOnList($M87,_xlfn.LAMBDA(_xlpm._x,SimpleLookup(_xlpm._x,'Damage Scenarios'!$A:$U)),_xlfn.LAMBDA(_xlpm._x,_xlpm._y,MAX(_xlpm._x,_xlpm._y))))</f>
        <v>0</v>
      </c>
      <c r="U87" s="9" cm="1">
        <f t="array" aca="1" ref="U87" ca="1">IF($O87="",0,OperateOnList($O87,_xlfn.LAMBDA(_xlpm._x,SimpleLookup(_xlpm._x,'Damage Scenarios'!$A:$U)),_xlfn.LAMBDA(_xlpm._x,_xlpm._y,MAX(_xlpm._x,_xlpm._y))))</f>
        <v>0</v>
      </c>
      <c r="V87" s="9" t="str">
        <f ca="1">IF($U87=0,"",INDEX(Definitions!$Q:$Q,MATCH($U87,Definitions!$R:$R,0)))</f>
        <v/>
      </c>
      <c r="W87" s="9" cm="1">
        <f t="array" aca="1" ref="W87" ca="1">IF($K87="",0,_xlfn.LET(
_xlpm._listOfAttackSteps,$K87,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87" s="9" t="str" cm="1">
        <f t="array" aca="1" ref="X87" ca="1">IF(ROW()=ROW($X$2)+1,"",INDEX($X:$X,ROW()-1))&amp;IF($A87="","",$A87&amp;",")</f>
        <v/>
      </c>
      <c r="Y87" s="9" t="str" cm="1">
        <f t="array" aca="1" ref="Y87" ca="1">CreateSearchString($K87)</f>
        <v/>
      </c>
      <c r="Z87" s="9" cm="1">
        <f t="array" aca="1" ref="Z87" ca="1">IF($G87="",0,SimpleLookup($G87,Definitions!$AE:$AF))</f>
        <v>0</v>
      </c>
      <c r="AA87" s="9" t="str" cm="1">
        <f t="array" aca="1" ref="AA87" ca="1">SanitizeInput(InverseLookup($A87,Mitigation!$U$2,Mitigation!$J$2,1,Helper!$B$5,","))</f>
        <v/>
      </c>
      <c r="AB87" s="9" cm="1">
        <f t="array" aca="1" ref="AB87" ca="1">IF($K87="",0,_xlfn.LET(
_xlpm._listOfAttackStepsAndMitigations,$K87&amp;$AA87,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87" s="9" t="str">
        <f ca="1">IFERROR(VLOOKUP($AB87,Definitions!$V:$W,COLUMNS(Definitions!$V:$W),TRUE),"")</f>
        <v>Basic</v>
      </c>
      <c r="AD87" s="9" t="str">
        <f ca="1">_xlfn.LET(
_xlpm._comments,GetValues($K87,Mitigation!$A:$O,"","",FALSE),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87" s="9" t="str" cm="1">
        <f t="array" aca="1" ref="AE87" ca="1">_xlfn.LET(
_xlpm._rapRange,Definitions!$W:$W,
_xlpm._calculatedRAP,$AC87,
_xlpm._inlineRAP,$AD87,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87" s="9" t="str">
        <f ca="1">IFERROR(IF(OR($V87="",$AE87=""),
Definitions!$AE$4,
VLOOKUP($V87,Definitions!$AH:$AM,MATCH($AE87,Definitions!$AH$3:$AM$3,0),FALSE)),
"")</f>
        <v>No Risk</v>
      </c>
      <c r="AG87" s="9" cm="1">
        <f t="array" aca="1" ref="AG87" ca="1">IF($AF87="",0,SimpleLookup($AF87,Definitions!$AE:$AF))</f>
        <v>0</v>
      </c>
      <c r="AH87" s="9" t="str" cm="1">
        <f t="array" aca="1" ref="AH87" ca="1">IFERROR(SimpleLookup($A87,Tracing!$B:$Z),"")</f>
        <v/>
      </c>
      <c r="AI87" s="9" t="str" cm="1">
        <f t="array" aca="1" ref="AI87" ca="1">_xlfn.LET(_xlpm._dm,SanitizeInput(GetValuesWithFallback(SanitizeInput($AH87),Assumptions!$A:$J,Countermeasures!$A:$J,"",",",FALSE)),
IF(_xlpm._dm="","",","&amp;_xlpm._dm))</f>
        <v/>
      </c>
      <c r="AJ87" s="9" t="str" cm="1">
        <f t="array" aca="1" ref="AJ87" ca="1">ApplyDamageMitigation($M87,$AI87,"")</f>
        <v/>
      </c>
      <c r="AK87" s="9" cm="1">
        <f t="array" aca="1" ref="AK87" ca="1">CalculateMaxFromList($AJ87,0,'Damage Scenarios'!$A:$U)</f>
        <v>0</v>
      </c>
      <c r="AL87" s="9" t="str">
        <f ca="1">IF($AK87=0,"",INDEX(Definitions!$Q:$Q,MATCH($AK87,Definitions!$R:$R,0)))</f>
        <v/>
      </c>
      <c r="AM87" s="9" cm="1">
        <f t="array" aca="1" ref="AM87" ca="1">IF($K87="",0,_xlfn.LET(
_xlpm._listOfAttackStepsAndMitigations,$K87&amp;$AH87,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87" s="9" t="str">
        <f ca="1">IFERROR(VLOOKUP($AM87,Definitions!$V:$W,COLUMNS(Definitions!$V:$W),TRUE),"")</f>
        <v>Basic</v>
      </c>
      <c r="AO87" s="9" t="str">
        <f ca="1">_xlfn.LET(
_xlpm._comments,SimpleLookup($A87,Tracing!$B:$AB),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87" s="9" t="str" cm="1">
        <f t="array" aca="1" ref="AP87" ca="1">_xlfn.LET(
_xlpm._rapRange,Definitions!$W:$W,
_xlpm._calculatedRAP,$AN87,
_xlpm._inlineRAP,$AO87,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87" s="9" t="str">
        <f ca="1">IFERROR(IF(OR($AL87="",$AP87=""),
Definitions!$AE$4,
VLOOKUP($AL87,Definitions!$AH:$AM,MATCH($AP87,Definitions!$AH$3:$AM$3,0),FALSE)),
"")</f>
        <v>No Risk</v>
      </c>
      <c r="AR87" s="9" cm="1">
        <f t="array" aca="1" ref="AR87" ca="1">IF($AQ87="",0,SimpleLookup($AQ87,Definitions!$AE:$AF))</f>
        <v>0</v>
      </c>
      <c r="AS87" s="9" t="b">
        <f ca="1">OR(AND($S87,$I87=Helper!$B$7),$I87&gt;Helper!$B$7)</f>
        <v>1</v>
      </c>
      <c r="AT87" s="9" t="str">
        <f t="shared" ca="1" si="19"/>
        <v/>
      </c>
      <c r="AU87" s="9" cm="1">
        <f t="array" aca="1" ref="AU87" ca="1">CreateID($AU$2,$AT87&lt;&gt;"")</f>
        <v>0</v>
      </c>
      <c r="AV87" s="9" t="str">
        <f ca="1">IF(IFERROR(MATCH(","&amp;A87&amp;",",'Risk Treatment'!$AT:$AT,0)&gt;0,FALSE),"",$A87)</f>
        <v/>
      </c>
      <c r="AW87" s="9" cm="1">
        <f t="array" aca="1" ref="AW87" ca="1">CreateID($AW$2,$AV87&lt;&gt;"")</f>
        <v>0</v>
      </c>
      <c r="AX87" s="9" t="str" cm="1">
        <f t="array" aca="1" ref="AX87" ca="1">CreateSearchString($AA87)</f>
        <v/>
      </c>
    </row>
    <row r="88" spans="1:50" x14ac:dyDescent="0.25">
      <c r="A88" s="13" t="str" cm="1">
        <f t="array" aca="1" ref="A88" ca="1">IF($B88="","","R"&amp;RemoveDelimiter(SUBSTITUTE(SUBSTITUTE($K88,"AS",""),",","-"),"-"))</f>
        <v/>
      </c>
      <c r="B88" s="13" t="str" cm="1">
        <f t="array" aca="1" ref="B88" ca="1">IF($L88="","",_xlfn.LET(
_xlpm._finalAttackStep,$L88,
_xlpm._prepAttacks,RemoveFirstElement(_xlpm._finalAttackStep&amp;","&amp;$K88),
_xlpm._prepAttackNames,IFERROR(LookupNames(_xlpm._prepAttacks,'Attack Steps'!$A:$B),""),
_xlpm._delimiter,REPT(CHAR(150),55),
$L88&amp;" "&amp;SimpleLookup($L88,'Attack Steps'!$A:$B)&amp;
IF(_xlpm._prepAttackNames="","",CHAR(10)&amp;_xlpm._delimiter&amp;CHAR(10)&amp;_xlpm._prepAttackNames)))</f>
        <v/>
      </c>
      <c r="C88" s="16" t="str" cm="1">
        <f t="array" aca="1" ref="C88" ca="1">IFERROR(LookupNames($M88,'Damage Scenarios'!$A:$V),"")</f>
        <v/>
      </c>
      <c r="D88" s="13" t="str">
        <f ca="1">IFERROR(IF($T88=0,"",INDEX(Definitions!$Q:$Q,MATCH($T88,Definitions!$R:$R,0))),"")</f>
        <v/>
      </c>
      <c r="E88" s="16" t="str" cm="1">
        <f t="array" aca="1" ref="E88" ca="1">IF($K88="","",_xlfn.LET(
_xlpm._listOfAttackSteps,$K88,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88" s="13" t="str">
        <f ca="1">IF($A88="","",IFERROR(VLOOKUP($W88,Definitions!$V:$W,COLUMNS(Definitions!$V:$W),TRUE),""))</f>
        <v/>
      </c>
      <c r="G88" s="13" t="str">
        <f ca="1">IFERROR(IF(OR($D88="",$F88=""),
"",
VLOOKUP($D88,Definitions!$AH:$AM,MATCH($F88,Definitions!$AH$3:$AM$3,0),FALSE)),
"")</f>
        <v/>
      </c>
      <c r="H88" s="10" cm="1">
        <f t="array" aca="1" ref="H88" ca="1">CreateID($H$2,$A88&lt;&gt;"")</f>
        <v>0</v>
      </c>
      <c r="I88" s="9" cm="1">
        <f t="array" aca="1" ref="I88" ca="1">IF(ROW()=ROW($I$2)+1,
1,
INDEX($I:$I,ROW()-1)+IF(INDEX($S:$S,ROW()-1),1,0))</f>
        <v>1</v>
      </c>
      <c r="J88" s="9">
        <f t="shared" ca="1" si="16"/>
        <v>86</v>
      </c>
      <c r="K88" s="9" t="str">
        <f t="shared" ca="1" si="17"/>
        <v/>
      </c>
      <c r="L88" s="9" t="str" cm="1">
        <f t="array" aca="1" ref="L88" ca="1">IF($P88="","",INDEX('Attack Steps'!$A:$A,$P88))</f>
        <v/>
      </c>
      <c r="M88" s="9" t="str" cm="1">
        <f t="array" aca="1" ref="M88" ca="1">IF($P88="","",INDEX('Attack Steps'!$U:$U,$P88))</f>
        <v/>
      </c>
      <c r="N88" s="9" t="str" cm="1">
        <f t="array" aca="1" ref="N88" ca="1">_xlfn.LET(_xlpm._dm,SanitizeInput(GetValuesWithFallback(SanitizeInput($AA88),Assumptions!$A:$J,Countermeasures!$A:$J,"",",",FALSE)),
IF(_xlpm._dm="","",","&amp;_xlpm._dm))</f>
        <v/>
      </c>
      <c r="O88" s="9" t="str" cm="1">
        <f t="array" aca="1" ref="O88" ca="1">ApplyDamageMitigation($M88,$N88,"")</f>
        <v/>
      </c>
      <c r="P88" s="9" t="str">
        <f ca="1">IFERROR(MATCH($I88,'Attack Steps'!$W:$W,0),"")</f>
        <v/>
      </c>
      <c r="Q88" s="9" t="str" cm="1">
        <f t="array" aca="1" ref="Q88" ca="1">IF($P88="","","§"&amp;INDEX('Attack Steps'!$T:$T,$P88))</f>
        <v/>
      </c>
      <c r="R88" s="9" t="str" cm="1">
        <f t="array" aca="1" ref="R88" ca="1">IF($P88="","",INDEX('Attack Steps'!$X:$X,$P88))</f>
        <v/>
      </c>
      <c r="S88" s="9" t="b">
        <f t="shared" ca="1" si="18"/>
        <v>0</v>
      </c>
      <c r="T88" s="9" cm="1">
        <f t="array" aca="1" ref="T88" ca="1">IF($M88="",0,OperateOnList($M88,_xlfn.LAMBDA(_xlpm._x,SimpleLookup(_xlpm._x,'Damage Scenarios'!$A:$U)),_xlfn.LAMBDA(_xlpm._x,_xlpm._y,MAX(_xlpm._x,_xlpm._y))))</f>
        <v>0</v>
      </c>
      <c r="U88" s="9" cm="1">
        <f t="array" aca="1" ref="U88" ca="1">IF($O88="",0,OperateOnList($O88,_xlfn.LAMBDA(_xlpm._x,SimpleLookup(_xlpm._x,'Damage Scenarios'!$A:$U)),_xlfn.LAMBDA(_xlpm._x,_xlpm._y,MAX(_xlpm._x,_xlpm._y))))</f>
        <v>0</v>
      </c>
      <c r="V88" s="9" t="str">
        <f ca="1">IF($U88=0,"",INDEX(Definitions!$Q:$Q,MATCH($U88,Definitions!$R:$R,0)))</f>
        <v/>
      </c>
      <c r="W88" s="9" cm="1">
        <f t="array" aca="1" ref="W88" ca="1">IF($K88="",0,_xlfn.LET(
_xlpm._listOfAttackSteps,$K88,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88" s="9" t="str" cm="1">
        <f t="array" aca="1" ref="X88" ca="1">IF(ROW()=ROW($X$2)+1,"",INDEX($X:$X,ROW()-1))&amp;IF($A88="","",$A88&amp;",")</f>
        <v/>
      </c>
      <c r="Y88" s="9" t="str" cm="1">
        <f t="array" aca="1" ref="Y88" ca="1">CreateSearchString($K88)</f>
        <v/>
      </c>
      <c r="Z88" s="9" cm="1">
        <f t="array" aca="1" ref="Z88" ca="1">IF($G88="",0,SimpleLookup($G88,Definitions!$AE:$AF))</f>
        <v>0</v>
      </c>
      <c r="AA88" s="9" t="str" cm="1">
        <f t="array" aca="1" ref="AA88" ca="1">SanitizeInput(InverseLookup($A88,Mitigation!$U$2,Mitigation!$J$2,1,Helper!$B$5,","))</f>
        <v/>
      </c>
      <c r="AB88" s="9" cm="1">
        <f t="array" aca="1" ref="AB88" ca="1">IF($K88="",0,_xlfn.LET(
_xlpm._listOfAttackStepsAndMitigations,$K88&amp;$AA88,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88" s="9" t="str">
        <f ca="1">IFERROR(VLOOKUP($AB88,Definitions!$V:$W,COLUMNS(Definitions!$V:$W),TRUE),"")</f>
        <v>Basic</v>
      </c>
      <c r="AD88" s="9" t="str">
        <f ca="1">_xlfn.LET(
_xlpm._comments,GetValues($K88,Mitigation!$A:$O,"","",FALSE),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88" s="9" t="str" cm="1">
        <f t="array" aca="1" ref="AE88" ca="1">_xlfn.LET(
_xlpm._rapRange,Definitions!$W:$W,
_xlpm._calculatedRAP,$AC88,
_xlpm._inlineRAP,$AD88,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88" s="9" t="str">
        <f ca="1">IFERROR(IF(OR($V88="",$AE88=""),
Definitions!$AE$4,
VLOOKUP($V88,Definitions!$AH:$AM,MATCH($AE88,Definitions!$AH$3:$AM$3,0),FALSE)),
"")</f>
        <v>No Risk</v>
      </c>
      <c r="AG88" s="9" cm="1">
        <f t="array" aca="1" ref="AG88" ca="1">IF($AF88="",0,SimpleLookup($AF88,Definitions!$AE:$AF))</f>
        <v>0</v>
      </c>
      <c r="AH88" s="9" t="str" cm="1">
        <f t="array" aca="1" ref="AH88" ca="1">IFERROR(SimpleLookup($A88,Tracing!$B:$Z),"")</f>
        <v/>
      </c>
      <c r="AI88" s="9" t="str" cm="1">
        <f t="array" aca="1" ref="AI88" ca="1">_xlfn.LET(_xlpm._dm,SanitizeInput(GetValuesWithFallback(SanitizeInput($AH88),Assumptions!$A:$J,Countermeasures!$A:$J,"",",",FALSE)),
IF(_xlpm._dm="","",","&amp;_xlpm._dm))</f>
        <v/>
      </c>
      <c r="AJ88" s="9" t="str" cm="1">
        <f t="array" aca="1" ref="AJ88" ca="1">ApplyDamageMitigation($M88,$AI88,"")</f>
        <v/>
      </c>
      <c r="AK88" s="9" cm="1">
        <f t="array" aca="1" ref="AK88" ca="1">CalculateMaxFromList($AJ88,0,'Damage Scenarios'!$A:$U)</f>
        <v>0</v>
      </c>
      <c r="AL88" s="9" t="str">
        <f ca="1">IF($AK88=0,"",INDEX(Definitions!$Q:$Q,MATCH($AK88,Definitions!$R:$R,0)))</f>
        <v/>
      </c>
      <c r="AM88" s="9" cm="1">
        <f t="array" aca="1" ref="AM88" ca="1">IF($K88="",0,_xlfn.LET(
_xlpm._listOfAttackStepsAndMitigations,$K88&amp;$AH88,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88" s="9" t="str">
        <f ca="1">IFERROR(VLOOKUP($AM88,Definitions!$V:$W,COLUMNS(Definitions!$V:$W),TRUE),"")</f>
        <v>Basic</v>
      </c>
      <c r="AO88" s="9" t="str">
        <f ca="1">_xlfn.LET(
_xlpm._comments,SimpleLookup($A88,Tracing!$B:$AB),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88" s="9" t="str" cm="1">
        <f t="array" aca="1" ref="AP88" ca="1">_xlfn.LET(
_xlpm._rapRange,Definitions!$W:$W,
_xlpm._calculatedRAP,$AN88,
_xlpm._inlineRAP,$AO88,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88" s="9" t="str">
        <f ca="1">IFERROR(IF(OR($AL88="",$AP88=""),
Definitions!$AE$4,
VLOOKUP($AL88,Definitions!$AH:$AM,MATCH($AP88,Definitions!$AH$3:$AM$3,0),FALSE)),
"")</f>
        <v>No Risk</v>
      </c>
      <c r="AR88" s="9" cm="1">
        <f t="array" aca="1" ref="AR88" ca="1">IF($AQ88="",0,SimpleLookup($AQ88,Definitions!$AE:$AF))</f>
        <v>0</v>
      </c>
      <c r="AS88" s="9" t="b">
        <f ca="1">OR(AND($S88,$I88=Helper!$B$7),$I88&gt;Helper!$B$7)</f>
        <v>1</v>
      </c>
      <c r="AT88" s="9" t="str">
        <f t="shared" ca="1" si="19"/>
        <v/>
      </c>
      <c r="AU88" s="9" cm="1">
        <f t="array" aca="1" ref="AU88" ca="1">CreateID($AU$2,$AT88&lt;&gt;"")</f>
        <v>0</v>
      </c>
      <c r="AV88" s="9" t="str">
        <f ca="1">IF(IFERROR(MATCH(","&amp;A88&amp;",",'Risk Treatment'!$AT:$AT,0)&gt;0,FALSE),"",$A88)</f>
        <v/>
      </c>
      <c r="AW88" s="9" cm="1">
        <f t="array" aca="1" ref="AW88" ca="1">CreateID($AW$2,$AV88&lt;&gt;"")</f>
        <v>0</v>
      </c>
      <c r="AX88" s="9" t="str" cm="1">
        <f t="array" aca="1" ref="AX88" ca="1">CreateSearchString($AA88)</f>
        <v/>
      </c>
    </row>
    <row r="89" spans="1:50" x14ac:dyDescent="0.25">
      <c r="A89" s="13" t="str" cm="1">
        <f t="array" aca="1" ref="A89" ca="1">IF($B89="","","R"&amp;RemoveDelimiter(SUBSTITUTE(SUBSTITUTE($K89,"AS",""),",","-"),"-"))</f>
        <v/>
      </c>
      <c r="B89" s="13" t="str" cm="1">
        <f t="array" aca="1" ref="B89" ca="1">IF($L89="","",_xlfn.LET(
_xlpm._finalAttackStep,$L89,
_xlpm._prepAttacks,RemoveFirstElement(_xlpm._finalAttackStep&amp;","&amp;$K89),
_xlpm._prepAttackNames,IFERROR(LookupNames(_xlpm._prepAttacks,'Attack Steps'!$A:$B),""),
_xlpm._delimiter,REPT(CHAR(150),55),
$L89&amp;" "&amp;SimpleLookup($L89,'Attack Steps'!$A:$B)&amp;
IF(_xlpm._prepAttackNames="","",CHAR(10)&amp;_xlpm._delimiter&amp;CHAR(10)&amp;_xlpm._prepAttackNames)))</f>
        <v/>
      </c>
      <c r="C89" s="16" t="str" cm="1">
        <f t="array" aca="1" ref="C89" ca="1">IFERROR(LookupNames($M89,'Damage Scenarios'!$A:$V),"")</f>
        <v/>
      </c>
      <c r="D89" s="13" t="str">
        <f ca="1">IFERROR(IF($T89=0,"",INDEX(Definitions!$Q:$Q,MATCH($T89,Definitions!$R:$R,0))),"")</f>
        <v/>
      </c>
      <c r="E89" s="16" t="str" cm="1">
        <f t="array" aca="1" ref="E89" ca="1">IF($K89="","",_xlfn.LET(
_xlpm._listOfAttackSteps,$K89,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89" s="13" t="str">
        <f ca="1">IF($A89="","",IFERROR(VLOOKUP($W89,Definitions!$V:$W,COLUMNS(Definitions!$V:$W),TRUE),""))</f>
        <v/>
      </c>
      <c r="G89" s="13" t="str">
        <f ca="1">IFERROR(IF(OR($D89="",$F89=""),
"",
VLOOKUP($D89,Definitions!$AH:$AM,MATCH($F89,Definitions!$AH$3:$AM$3,0),FALSE)),
"")</f>
        <v/>
      </c>
      <c r="H89" s="10" cm="1">
        <f t="array" aca="1" ref="H89" ca="1">CreateID($H$2,$A89&lt;&gt;"")</f>
        <v>0</v>
      </c>
      <c r="I89" s="9" cm="1">
        <f t="array" aca="1" ref="I89" ca="1">IF(ROW()=ROW($I$2)+1,
1,
INDEX($I:$I,ROW()-1)+IF(INDEX($S:$S,ROW()-1),1,0))</f>
        <v>1</v>
      </c>
      <c r="J89" s="9">
        <f t="shared" ca="1" si="16"/>
        <v>87</v>
      </c>
      <c r="K89" s="9" t="str">
        <f t="shared" ca="1" si="17"/>
        <v/>
      </c>
      <c r="L89" s="9" t="str" cm="1">
        <f t="array" aca="1" ref="L89" ca="1">IF($P89="","",INDEX('Attack Steps'!$A:$A,$P89))</f>
        <v/>
      </c>
      <c r="M89" s="9" t="str" cm="1">
        <f t="array" aca="1" ref="M89" ca="1">IF($P89="","",INDEX('Attack Steps'!$U:$U,$P89))</f>
        <v/>
      </c>
      <c r="N89" s="9" t="str" cm="1">
        <f t="array" aca="1" ref="N89" ca="1">_xlfn.LET(_xlpm._dm,SanitizeInput(GetValuesWithFallback(SanitizeInput($AA89),Assumptions!$A:$J,Countermeasures!$A:$J,"",",",FALSE)),
IF(_xlpm._dm="","",","&amp;_xlpm._dm))</f>
        <v/>
      </c>
      <c r="O89" s="9" t="str" cm="1">
        <f t="array" aca="1" ref="O89" ca="1">ApplyDamageMitigation($M89,$N89,"")</f>
        <v/>
      </c>
      <c r="P89" s="9" t="str">
        <f ca="1">IFERROR(MATCH($I89,'Attack Steps'!$W:$W,0),"")</f>
        <v/>
      </c>
      <c r="Q89" s="9" t="str" cm="1">
        <f t="array" aca="1" ref="Q89" ca="1">IF($P89="","","§"&amp;INDEX('Attack Steps'!$T:$T,$P89))</f>
        <v/>
      </c>
      <c r="R89" s="9" t="str" cm="1">
        <f t="array" aca="1" ref="R89" ca="1">IF($P89="","",INDEX('Attack Steps'!$X:$X,$P89))</f>
        <v/>
      </c>
      <c r="S89" s="9" t="b">
        <f t="shared" ca="1" si="18"/>
        <v>0</v>
      </c>
      <c r="T89" s="9" cm="1">
        <f t="array" aca="1" ref="T89" ca="1">IF($M89="",0,OperateOnList($M89,_xlfn.LAMBDA(_xlpm._x,SimpleLookup(_xlpm._x,'Damage Scenarios'!$A:$U)),_xlfn.LAMBDA(_xlpm._x,_xlpm._y,MAX(_xlpm._x,_xlpm._y))))</f>
        <v>0</v>
      </c>
      <c r="U89" s="9" cm="1">
        <f t="array" aca="1" ref="U89" ca="1">IF($O89="",0,OperateOnList($O89,_xlfn.LAMBDA(_xlpm._x,SimpleLookup(_xlpm._x,'Damage Scenarios'!$A:$U)),_xlfn.LAMBDA(_xlpm._x,_xlpm._y,MAX(_xlpm._x,_xlpm._y))))</f>
        <v>0</v>
      </c>
      <c r="V89" s="9" t="str">
        <f ca="1">IF($U89=0,"",INDEX(Definitions!$Q:$Q,MATCH($U89,Definitions!$R:$R,0)))</f>
        <v/>
      </c>
      <c r="W89" s="9" cm="1">
        <f t="array" aca="1" ref="W89" ca="1">IF($K89="",0,_xlfn.LET(
_xlpm._listOfAttackSteps,$K89,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89" s="9" t="str" cm="1">
        <f t="array" aca="1" ref="X89" ca="1">IF(ROW()=ROW($X$2)+1,"",INDEX($X:$X,ROW()-1))&amp;IF($A89="","",$A89&amp;",")</f>
        <v/>
      </c>
      <c r="Y89" s="9" t="str" cm="1">
        <f t="array" aca="1" ref="Y89" ca="1">CreateSearchString($K89)</f>
        <v/>
      </c>
      <c r="Z89" s="9" cm="1">
        <f t="array" aca="1" ref="Z89" ca="1">IF($G89="",0,SimpleLookup($G89,Definitions!$AE:$AF))</f>
        <v>0</v>
      </c>
      <c r="AA89" s="9" t="str" cm="1">
        <f t="array" aca="1" ref="AA89" ca="1">SanitizeInput(InverseLookup($A89,Mitigation!$U$2,Mitigation!$J$2,1,Helper!$B$5,","))</f>
        <v/>
      </c>
      <c r="AB89" s="9" cm="1">
        <f t="array" aca="1" ref="AB89" ca="1">IF($K89="",0,_xlfn.LET(
_xlpm._listOfAttackStepsAndMitigations,$K89&amp;$AA89,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89" s="9" t="str">
        <f ca="1">IFERROR(VLOOKUP($AB89,Definitions!$V:$W,COLUMNS(Definitions!$V:$W),TRUE),"")</f>
        <v>Basic</v>
      </c>
      <c r="AD89" s="9" t="str">
        <f ca="1">_xlfn.LET(
_xlpm._comments,GetValues($K89,Mitigation!$A:$O,"","",FALSE),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89" s="9" t="str" cm="1">
        <f t="array" aca="1" ref="AE89" ca="1">_xlfn.LET(
_xlpm._rapRange,Definitions!$W:$W,
_xlpm._calculatedRAP,$AC89,
_xlpm._inlineRAP,$AD89,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89" s="9" t="str">
        <f ca="1">IFERROR(IF(OR($V89="",$AE89=""),
Definitions!$AE$4,
VLOOKUP($V89,Definitions!$AH:$AM,MATCH($AE89,Definitions!$AH$3:$AM$3,0),FALSE)),
"")</f>
        <v>No Risk</v>
      </c>
      <c r="AG89" s="9" cm="1">
        <f t="array" aca="1" ref="AG89" ca="1">IF($AF89="",0,SimpleLookup($AF89,Definitions!$AE:$AF))</f>
        <v>0</v>
      </c>
      <c r="AH89" s="9" t="str" cm="1">
        <f t="array" aca="1" ref="AH89" ca="1">IFERROR(SimpleLookup($A89,Tracing!$B:$Z),"")</f>
        <v/>
      </c>
      <c r="AI89" s="9" t="str" cm="1">
        <f t="array" aca="1" ref="AI89" ca="1">_xlfn.LET(_xlpm._dm,SanitizeInput(GetValuesWithFallback(SanitizeInput($AH89),Assumptions!$A:$J,Countermeasures!$A:$J,"",",",FALSE)),
IF(_xlpm._dm="","",","&amp;_xlpm._dm))</f>
        <v/>
      </c>
      <c r="AJ89" s="9" t="str" cm="1">
        <f t="array" aca="1" ref="AJ89" ca="1">ApplyDamageMitigation($M89,$AI89,"")</f>
        <v/>
      </c>
      <c r="AK89" s="9" cm="1">
        <f t="array" aca="1" ref="AK89" ca="1">CalculateMaxFromList($AJ89,0,'Damage Scenarios'!$A:$U)</f>
        <v>0</v>
      </c>
      <c r="AL89" s="9" t="str">
        <f ca="1">IF($AK89=0,"",INDEX(Definitions!$Q:$Q,MATCH($AK89,Definitions!$R:$R,0)))</f>
        <v/>
      </c>
      <c r="AM89" s="9" cm="1">
        <f t="array" aca="1" ref="AM89" ca="1">IF($K89="",0,_xlfn.LET(
_xlpm._listOfAttackStepsAndMitigations,$K89&amp;$AH89,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89" s="9" t="str">
        <f ca="1">IFERROR(VLOOKUP($AM89,Definitions!$V:$W,COLUMNS(Definitions!$V:$W),TRUE),"")</f>
        <v>Basic</v>
      </c>
      <c r="AO89" s="9" t="str">
        <f ca="1">_xlfn.LET(
_xlpm._comments,SimpleLookup($A89,Tracing!$B:$AB),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89" s="9" t="str" cm="1">
        <f t="array" aca="1" ref="AP89" ca="1">_xlfn.LET(
_xlpm._rapRange,Definitions!$W:$W,
_xlpm._calculatedRAP,$AN89,
_xlpm._inlineRAP,$AO89,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89" s="9" t="str">
        <f ca="1">IFERROR(IF(OR($AL89="",$AP89=""),
Definitions!$AE$4,
VLOOKUP($AL89,Definitions!$AH:$AM,MATCH($AP89,Definitions!$AH$3:$AM$3,0),FALSE)),
"")</f>
        <v>No Risk</v>
      </c>
      <c r="AR89" s="9" cm="1">
        <f t="array" aca="1" ref="AR89" ca="1">IF($AQ89="",0,SimpleLookup($AQ89,Definitions!$AE:$AF))</f>
        <v>0</v>
      </c>
      <c r="AS89" s="9" t="b">
        <f ca="1">OR(AND($S89,$I89=Helper!$B$7),$I89&gt;Helper!$B$7)</f>
        <v>1</v>
      </c>
      <c r="AT89" s="9" t="str">
        <f t="shared" ca="1" si="19"/>
        <v/>
      </c>
      <c r="AU89" s="9" cm="1">
        <f t="array" aca="1" ref="AU89" ca="1">CreateID($AU$2,$AT89&lt;&gt;"")</f>
        <v>0</v>
      </c>
      <c r="AV89" s="9" t="str">
        <f ca="1">IF(IFERROR(MATCH(","&amp;A89&amp;",",'Risk Treatment'!$AT:$AT,0)&gt;0,FALSE),"",$A89)</f>
        <v/>
      </c>
      <c r="AW89" s="9" cm="1">
        <f t="array" aca="1" ref="AW89" ca="1">CreateID($AW$2,$AV89&lt;&gt;"")</f>
        <v>0</v>
      </c>
      <c r="AX89" s="9" t="str" cm="1">
        <f t="array" aca="1" ref="AX89" ca="1">CreateSearchString($AA89)</f>
        <v/>
      </c>
    </row>
    <row r="90" spans="1:50" x14ac:dyDescent="0.25">
      <c r="A90" s="13" t="str" cm="1">
        <f t="array" aca="1" ref="A90" ca="1">IF($B90="","","R"&amp;RemoveDelimiter(SUBSTITUTE(SUBSTITUTE($K90,"AS",""),",","-"),"-"))</f>
        <v/>
      </c>
      <c r="B90" s="13" t="str" cm="1">
        <f t="array" aca="1" ref="B90" ca="1">IF($L90="","",_xlfn.LET(
_xlpm._finalAttackStep,$L90,
_xlpm._prepAttacks,RemoveFirstElement(_xlpm._finalAttackStep&amp;","&amp;$K90),
_xlpm._prepAttackNames,IFERROR(LookupNames(_xlpm._prepAttacks,'Attack Steps'!$A:$B),""),
_xlpm._delimiter,REPT(CHAR(150),55),
$L90&amp;" "&amp;SimpleLookup($L90,'Attack Steps'!$A:$B)&amp;
IF(_xlpm._prepAttackNames="","",CHAR(10)&amp;_xlpm._delimiter&amp;CHAR(10)&amp;_xlpm._prepAttackNames)))</f>
        <v/>
      </c>
      <c r="C90" s="16" t="str" cm="1">
        <f t="array" aca="1" ref="C90" ca="1">IFERROR(LookupNames($M90,'Damage Scenarios'!$A:$V),"")</f>
        <v/>
      </c>
      <c r="D90" s="13" t="str">
        <f ca="1">IFERROR(IF($T90=0,"",INDEX(Definitions!$Q:$Q,MATCH($T90,Definitions!$R:$R,0))),"")</f>
        <v/>
      </c>
      <c r="E90" s="16" t="str" cm="1">
        <f t="array" aca="1" ref="E90" ca="1">IF($K90="","",_xlfn.LET(
_xlpm._listOfAttackSteps,$K90,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90" s="13" t="str">
        <f ca="1">IF($A90="","",IFERROR(VLOOKUP($W90,Definitions!$V:$W,COLUMNS(Definitions!$V:$W),TRUE),""))</f>
        <v/>
      </c>
      <c r="G90" s="13" t="str">
        <f ca="1">IFERROR(IF(OR($D90="",$F90=""),
"",
VLOOKUP($D90,Definitions!$AH:$AM,MATCH($F90,Definitions!$AH$3:$AM$3,0),FALSE)),
"")</f>
        <v/>
      </c>
      <c r="H90" s="10" cm="1">
        <f t="array" aca="1" ref="H90" ca="1">CreateID($H$2,$A90&lt;&gt;"")</f>
        <v>0</v>
      </c>
      <c r="I90" s="9" cm="1">
        <f t="array" aca="1" ref="I90" ca="1">IF(ROW()=ROW($I$2)+1,
1,
INDEX($I:$I,ROW()-1)+IF(INDEX($S:$S,ROW()-1),1,0))</f>
        <v>1</v>
      </c>
      <c r="J90" s="9">
        <f t="shared" ca="1" si="16"/>
        <v>88</v>
      </c>
      <c r="K90" s="9" t="str">
        <f t="shared" ca="1" si="17"/>
        <v/>
      </c>
      <c r="L90" s="9" t="str" cm="1">
        <f t="array" aca="1" ref="L90" ca="1">IF($P90="","",INDEX('Attack Steps'!$A:$A,$P90))</f>
        <v/>
      </c>
      <c r="M90" s="9" t="str" cm="1">
        <f t="array" aca="1" ref="M90" ca="1">IF($P90="","",INDEX('Attack Steps'!$U:$U,$P90))</f>
        <v/>
      </c>
      <c r="N90" s="9" t="str" cm="1">
        <f t="array" aca="1" ref="N90" ca="1">_xlfn.LET(_xlpm._dm,SanitizeInput(GetValuesWithFallback(SanitizeInput($AA90),Assumptions!$A:$J,Countermeasures!$A:$J,"",",",FALSE)),
IF(_xlpm._dm="","",","&amp;_xlpm._dm))</f>
        <v/>
      </c>
      <c r="O90" s="9" t="str" cm="1">
        <f t="array" aca="1" ref="O90" ca="1">ApplyDamageMitigation($M90,$N90,"")</f>
        <v/>
      </c>
      <c r="P90" s="9" t="str">
        <f ca="1">IFERROR(MATCH($I90,'Attack Steps'!$W:$W,0),"")</f>
        <v/>
      </c>
      <c r="Q90" s="9" t="str" cm="1">
        <f t="array" aca="1" ref="Q90" ca="1">IF($P90="","","§"&amp;INDEX('Attack Steps'!$T:$T,$P90))</f>
        <v/>
      </c>
      <c r="R90" s="9" t="str" cm="1">
        <f t="array" aca="1" ref="R90" ca="1">IF($P90="","",INDEX('Attack Steps'!$X:$X,$P90))</f>
        <v/>
      </c>
      <c r="S90" s="9" t="b">
        <f t="shared" ca="1" si="18"/>
        <v>0</v>
      </c>
      <c r="T90" s="9" cm="1">
        <f t="array" aca="1" ref="T90" ca="1">IF($M90="",0,OperateOnList($M90,_xlfn.LAMBDA(_xlpm._x,SimpleLookup(_xlpm._x,'Damage Scenarios'!$A:$U)),_xlfn.LAMBDA(_xlpm._x,_xlpm._y,MAX(_xlpm._x,_xlpm._y))))</f>
        <v>0</v>
      </c>
      <c r="U90" s="9" cm="1">
        <f t="array" aca="1" ref="U90" ca="1">IF($O90="",0,OperateOnList($O90,_xlfn.LAMBDA(_xlpm._x,SimpleLookup(_xlpm._x,'Damage Scenarios'!$A:$U)),_xlfn.LAMBDA(_xlpm._x,_xlpm._y,MAX(_xlpm._x,_xlpm._y))))</f>
        <v>0</v>
      </c>
      <c r="V90" s="9" t="str">
        <f ca="1">IF($U90=0,"",INDEX(Definitions!$Q:$Q,MATCH($U90,Definitions!$R:$R,0)))</f>
        <v/>
      </c>
      <c r="W90" s="9" cm="1">
        <f t="array" aca="1" ref="W90" ca="1">IF($K90="",0,_xlfn.LET(
_xlpm._listOfAttackSteps,$K90,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90" s="9" t="str" cm="1">
        <f t="array" aca="1" ref="X90" ca="1">IF(ROW()=ROW($X$2)+1,"",INDEX($X:$X,ROW()-1))&amp;IF($A90="","",$A90&amp;",")</f>
        <v/>
      </c>
      <c r="Y90" s="9" t="str" cm="1">
        <f t="array" aca="1" ref="Y90" ca="1">CreateSearchString($K90)</f>
        <v/>
      </c>
      <c r="Z90" s="9" cm="1">
        <f t="array" aca="1" ref="Z90" ca="1">IF($G90="",0,SimpleLookup($G90,Definitions!$AE:$AF))</f>
        <v>0</v>
      </c>
      <c r="AA90" s="9" t="str" cm="1">
        <f t="array" aca="1" ref="AA90" ca="1">SanitizeInput(InverseLookup($A90,Mitigation!$U$2,Mitigation!$J$2,1,Helper!$B$5,","))</f>
        <v/>
      </c>
      <c r="AB90" s="9" cm="1">
        <f t="array" aca="1" ref="AB90" ca="1">IF($K90="",0,_xlfn.LET(
_xlpm._listOfAttackStepsAndMitigations,$K90&amp;$AA90,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90" s="9" t="str">
        <f ca="1">IFERROR(VLOOKUP($AB90,Definitions!$V:$W,COLUMNS(Definitions!$V:$W),TRUE),"")</f>
        <v>Basic</v>
      </c>
      <c r="AD90" s="9" t="str">
        <f ca="1">_xlfn.LET(
_xlpm._comments,GetValues($K90,Mitigation!$A:$O,"","",FALSE),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90" s="9" t="str" cm="1">
        <f t="array" aca="1" ref="AE90" ca="1">_xlfn.LET(
_xlpm._rapRange,Definitions!$W:$W,
_xlpm._calculatedRAP,$AC90,
_xlpm._inlineRAP,$AD90,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90" s="9" t="str">
        <f ca="1">IFERROR(IF(OR($V90="",$AE90=""),
Definitions!$AE$4,
VLOOKUP($V90,Definitions!$AH:$AM,MATCH($AE90,Definitions!$AH$3:$AM$3,0),FALSE)),
"")</f>
        <v>No Risk</v>
      </c>
      <c r="AG90" s="9" cm="1">
        <f t="array" aca="1" ref="AG90" ca="1">IF($AF90="",0,SimpleLookup($AF90,Definitions!$AE:$AF))</f>
        <v>0</v>
      </c>
      <c r="AH90" s="9" t="str" cm="1">
        <f t="array" aca="1" ref="AH90" ca="1">IFERROR(SimpleLookup($A90,Tracing!$B:$Z),"")</f>
        <v/>
      </c>
      <c r="AI90" s="9" t="str" cm="1">
        <f t="array" aca="1" ref="AI90" ca="1">_xlfn.LET(_xlpm._dm,SanitizeInput(GetValuesWithFallback(SanitizeInput($AH90),Assumptions!$A:$J,Countermeasures!$A:$J,"",",",FALSE)),
IF(_xlpm._dm="","",","&amp;_xlpm._dm))</f>
        <v/>
      </c>
      <c r="AJ90" s="9" t="str" cm="1">
        <f t="array" aca="1" ref="AJ90" ca="1">ApplyDamageMitigation($M90,$AI90,"")</f>
        <v/>
      </c>
      <c r="AK90" s="9" cm="1">
        <f t="array" aca="1" ref="AK90" ca="1">CalculateMaxFromList($AJ90,0,'Damage Scenarios'!$A:$U)</f>
        <v>0</v>
      </c>
      <c r="AL90" s="9" t="str">
        <f ca="1">IF($AK90=0,"",INDEX(Definitions!$Q:$Q,MATCH($AK90,Definitions!$R:$R,0)))</f>
        <v/>
      </c>
      <c r="AM90" s="9" cm="1">
        <f t="array" aca="1" ref="AM90" ca="1">IF($K90="",0,_xlfn.LET(
_xlpm._listOfAttackStepsAndMitigations,$K90&amp;$AH90,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90" s="9" t="str">
        <f ca="1">IFERROR(VLOOKUP($AM90,Definitions!$V:$W,COLUMNS(Definitions!$V:$W),TRUE),"")</f>
        <v>Basic</v>
      </c>
      <c r="AO90" s="9" t="str">
        <f ca="1">_xlfn.LET(
_xlpm._comments,SimpleLookup($A90,Tracing!$B:$AB),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90" s="9" t="str" cm="1">
        <f t="array" aca="1" ref="AP90" ca="1">_xlfn.LET(
_xlpm._rapRange,Definitions!$W:$W,
_xlpm._calculatedRAP,$AN90,
_xlpm._inlineRAP,$AO90,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90" s="9" t="str">
        <f ca="1">IFERROR(IF(OR($AL90="",$AP90=""),
Definitions!$AE$4,
VLOOKUP($AL90,Definitions!$AH:$AM,MATCH($AP90,Definitions!$AH$3:$AM$3,0),FALSE)),
"")</f>
        <v>No Risk</v>
      </c>
      <c r="AR90" s="9" cm="1">
        <f t="array" aca="1" ref="AR90" ca="1">IF($AQ90="",0,SimpleLookup($AQ90,Definitions!$AE:$AF))</f>
        <v>0</v>
      </c>
      <c r="AS90" s="9" t="b">
        <f ca="1">OR(AND($S90,$I90=Helper!$B$7),$I90&gt;Helper!$B$7)</f>
        <v>1</v>
      </c>
      <c r="AT90" s="9" t="str">
        <f t="shared" ca="1" si="19"/>
        <v/>
      </c>
      <c r="AU90" s="9" cm="1">
        <f t="array" aca="1" ref="AU90" ca="1">CreateID($AU$2,$AT90&lt;&gt;"")</f>
        <v>0</v>
      </c>
      <c r="AV90" s="9" t="str">
        <f ca="1">IF(IFERROR(MATCH(","&amp;A90&amp;",",'Risk Treatment'!$AT:$AT,0)&gt;0,FALSE),"",$A90)</f>
        <v/>
      </c>
      <c r="AW90" s="9" cm="1">
        <f t="array" aca="1" ref="AW90" ca="1">CreateID($AW$2,$AV90&lt;&gt;"")</f>
        <v>0</v>
      </c>
      <c r="AX90" s="9" t="str" cm="1">
        <f t="array" aca="1" ref="AX90" ca="1">CreateSearchString($AA90)</f>
        <v/>
      </c>
    </row>
    <row r="91" spans="1:50" x14ac:dyDescent="0.25">
      <c r="A91" s="13" t="str" cm="1">
        <f t="array" aca="1" ref="A91" ca="1">IF($B91="","","R"&amp;RemoveDelimiter(SUBSTITUTE(SUBSTITUTE($K91,"AS",""),",","-"),"-"))</f>
        <v/>
      </c>
      <c r="B91" s="13" t="str" cm="1">
        <f t="array" aca="1" ref="B91" ca="1">IF($L91="","",_xlfn.LET(
_xlpm._finalAttackStep,$L91,
_xlpm._prepAttacks,RemoveFirstElement(_xlpm._finalAttackStep&amp;","&amp;$K91),
_xlpm._prepAttackNames,IFERROR(LookupNames(_xlpm._prepAttacks,'Attack Steps'!$A:$B),""),
_xlpm._delimiter,REPT(CHAR(150),55),
$L91&amp;" "&amp;SimpleLookup($L91,'Attack Steps'!$A:$B)&amp;
IF(_xlpm._prepAttackNames="","",CHAR(10)&amp;_xlpm._delimiter&amp;CHAR(10)&amp;_xlpm._prepAttackNames)))</f>
        <v/>
      </c>
      <c r="C91" s="16" t="str" cm="1">
        <f t="array" aca="1" ref="C91" ca="1">IFERROR(LookupNames($M91,'Damage Scenarios'!$A:$V),"")</f>
        <v/>
      </c>
      <c r="D91" s="13" t="str">
        <f ca="1">IFERROR(IF($T91=0,"",INDEX(Definitions!$Q:$Q,MATCH($T91,Definitions!$R:$R,0))),"")</f>
        <v/>
      </c>
      <c r="E91" s="16" t="str" cm="1">
        <f t="array" aca="1" ref="E91" ca="1">IF($K91="","",_xlfn.LET(
_xlpm._listOfAttackSteps,$K91,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91" s="13" t="str">
        <f ca="1">IF($A91="","",IFERROR(VLOOKUP($W91,Definitions!$V:$W,COLUMNS(Definitions!$V:$W),TRUE),""))</f>
        <v/>
      </c>
      <c r="G91" s="13" t="str">
        <f ca="1">IFERROR(IF(OR($D91="",$F91=""),
"",
VLOOKUP($D91,Definitions!$AH:$AM,MATCH($F91,Definitions!$AH$3:$AM$3,0),FALSE)),
"")</f>
        <v/>
      </c>
      <c r="H91" s="10" cm="1">
        <f t="array" aca="1" ref="H91" ca="1">CreateID($H$2,$A91&lt;&gt;"")</f>
        <v>0</v>
      </c>
      <c r="I91" s="9" cm="1">
        <f t="array" aca="1" ref="I91" ca="1">IF(ROW()=ROW($I$2)+1,
1,
INDEX($I:$I,ROW()-1)+IF(INDEX($S:$S,ROW()-1),1,0))</f>
        <v>1</v>
      </c>
      <c r="J91" s="9">
        <f t="shared" ca="1" si="16"/>
        <v>89</v>
      </c>
      <c r="K91" s="9" t="str">
        <f t="shared" ca="1" si="17"/>
        <v/>
      </c>
      <c r="L91" s="9" t="str" cm="1">
        <f t="array" aca="1" ref="L91" ca="1">IF($P91="","",INDEX('Attack Steps'!$A:$A,$P91))</f>
        <v/>
      </c>
      <c r="M91" s="9" t="str" cm="1">
        <f t="array" aca="1" ref="M91" ca="1">IF($P91="","",INDEX('Attack Steps'!$U:$U,$P91))</f>
        <v/>
      </c>
      <c r="N91" s="9" t="str" cm="1">
        <f t="array" aca="1" ref="N91" ca="1">_xlfn.LET(_xlpm._dm,SanitizeInput(GetValuesWithFallback(SanitizeInput($AA91),Assumptions!$A:$J,Countermeasures!$A:$J,"",",",FALSE)),
IF(_xlpm._dm="","",","&amp;_xlpm._dm))</f>
        <v/>
      </c>
      <c r="O91" s="9" t="str" cm="1">
        <f t="array" aca="1" ref="O91" ca="1">ApplyDamageMitigation($M91,$N91,"")</f>
        <v/>
      </c>
      <c r="P91" s="9" t="str">
        <f ca="1">IFERROR(MATCH($I91,'Attack Steps'!$W:$W,0),"")</f>
        <v/>
      </c>
      <c r="Q91" s="9" t="str" cm="1">
        <f t="array" aca="1" ref="Q91" ca="1">IF($P91="","","§"&amp;INDEX('Attack Steps'!$T:$T,$P91))</f>
        <v/>
      </c>
      <c r="R91" s="9" t="str" cm="1">
        <f t="array" aca="1" ref="R91" ca="1">IF($P91="","",INDEX('Attack Steps'!$X:$X,$P91))</f>
        <v/>
      </c>
      <c r="S91" s="9" t="b">
        <f t="shared" ca="1" si="18"/>
        <v>0</v>
      </c>
      <c r="T91" s="9" cm="1">
        <f t="array" aca="1" ref="T91" ca="1">IF($M91="",0,OperateOnList($M91,_xlfn.LAMBDA(_xlpm._x,SimpleLookup(_xlpm._x,'Damage Scenarios'!$A:$U)),_xlfn.LAMBDA(_xlpm._x,_xlpm._y,MAX(_xlpm._x,_xlpm._y))))</f>
        <v>0</v>
      </c>
      <c r="U91" s="9" cm="1">
        <f t="array" aca="1" ref="U91" ca="1">IF($O91="",0,OperateOnList($O91,_xlfn.LAMBDA(_xlpm._x,SimpleLookup(_xlpm._x,'Damage Scenarios'!$A:$U)),_xlfn.LAMBDA(_xlpm._x,_xlpm._y,MAX(_xlpm._x,_xlpm._y))))</f>
        <v>0</v>
      </c>
      <c r="V91" s="9" t="str">
        <f ca="1">IF($U91=0,"",INDEX(Definitions!$Q:$Q,MATCH($U91,Definitions!$R:$R,0)))</f>
        <v/>
      </c>
      <c r="W91" s="9" cm="1">
        <f t="array" aca="1" ref="W91" ca="1">IF($K91="",0,_xlfn.LET(
_xlpm._listOfAttackSteps,$K91,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91" s="9" t="str" cm="1">
        <f t="array" aca="1" ref="X91" ca="1">IF(ROW()=ROW($X$2)+1,"",INDEX($X:$X,ROW()-1))&amp;IF($A91="","",$A91&amp;",")</f>
        <v/>
      </c>
      <c r="Y91" s="9" t="str" cm="1">
        <f t="array" aca="1" ref="Y91" ca="1">CreateSearchString($K91)</f>
        <v/>
      </c>
      <c r="Z91" s="9" cm="1">
        <f t="array" aca="1" ref="Z91" ca="1">IF($G91="",0,SimpleLookup($G91,Definitions!$AE:$AF))</f>
        <v>0</v>
      </c>
      <c r="AA91" s="9" t="str" cm="1">
        <f t="array" aca="1" ref="AA91" ca="1">SanitizeInput(InverseLookup($A91,Mitigation!$U$2,Mitigation!$J$2,1,Helper!$B$5,","))</f>
        <v/>
      </c>
      <c r="AB91" s="9" cm="1">
        <f t="array" aca="1" ref="AB91" ca="1">IF($K91="",0,_xlfn.LET(
_xlpm._listOfAttackStepsAndMitigations,$K91&amp;$AA91,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91" s="9" t="str">
        <f ca="1">IFERROR(VLOOKUP($AB91,Definitions!$V:$W,COLUMNS(Definitions!$V:$W),TRUE),"")</f>
        <v>Basic</v>
      </c>
      <c r="AD91" s="9" t="str">
        <f ca="1">_xlfn.LET(
_xlpm._comments,GetValues($K91,Mitigation!$A:$O,"","",FALSE),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91" s="9" t="str" cm="1">
        <f t="array" aca="1" ref="AE91" ca="1">_xlfn.LET(
_xlpm._rapRange,Definitions!$W:$W,
_xlpm._calculatedRAP,$AC91,
_xlpm._inlineRAP,$AD91,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91" s="9" t="str">
        <f ca="1">IFERROR(IF(OR($V91="",$AE91=""),
Definitions!$AE$4,
VLOOKUP($V91,Definitions!$AH:$AM,MATCH($AE91,Definitions!$AH$3:$AM$3,0),FALSE)),
"")</f>
        <v>No Risk</v>
      </c>
      <c r="AG91" s="9" cm="1">
        <f t="array" aca="1" ref="AG91" ca="1">IF($AF91="",0,SimpleLookup($AF91,Definitions!$AE:$AF))</f>
        <v>0</v>
      </c>
      <c r="AH91" s="9" t="str" cm="1">
        <f t="array" aca="1" ref="AH91" ca="1">IFERROR(SimpleLookup($A91,Tracing!$B:$Z),"")</f>
        <v/>
      </c>
      <c r="AI91" s="9" t="str" cm="1">
        <f t="array" aca="1" ref="AI91" ca="1">_xlfn.LET(_xlpm._dm,SanitizeInput(GetValuesWithFallback(SanitizeInput($AH91),Assumptions!$A:$J,Countermeasures!$A:$J,"",",",FALSE)),
IF(_xlpm._dm="","",","&amp;_xlpm._dm))</f>
        <v/>
      </c>
      <c r="AJ91" s="9" t="str" cm="1">
        <f t="array" aca="1" ref="AJ91" ca="1">ApplyDamageMitigation($M91,$AI91,"")</f>
        <v/>
      </c>
      <c r="AK91" s="9" cm="1">
        <f t="array" aca="1" ref="AK91" ca="1">CalculateMaxFromList($AJ91,0,'Damage Scenarios'!$A:$U)</f>
        <v>0</v>
      </c>
      <c r="AL91" s="9" t="str">
        <f ca="1">IF($AK91=0,"",INDEX(Definitions!$Q:$Q,MATCH($AK91,Definitions!$R:$R,0)))</f>
        <v/>
      </c>
      <c r="AM91" s="9" cm="1">
        <f t="array" aca="1" ref="AM91" ca="1">IF($K91="",0,_xlfn.LET(
_xlpm._listOfAttackStepsAndMitigations,$K91&amp;$AH91,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91" s="9" t="str">
        <f ca="1">IFERROR(VLOOKUP($AM91,Definitions!$V:$W,COLUMNS(Definitions!$V:$W),TRUE),"")</f>
        <v>Basic</v>
      </c>
      <c r="AO91" s="9" t="str">
        <f ca="1">_xlfn.LET(
_xlpm._comments,SimpleLookup($A91,Tracing!$B:$AB),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91" s="9" t="str" cm="1">
        <f t="array" aca="1" ref="AP91" ca="1">_xlfn.LET(
_xlpm._rapRange,Definitions!$W:$W,
_xlpm._calculatedRAP,$AN91,
_xlpm._inlineRAP,$AO91,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91" s="9" t="str">
        <f ca="1">IFERROR(IF(OR($AL91="",$AP91=""),
Definitions!$AE$4,
VLOOKUP($AL91,Definitions!$AH:$AM,MATCH($AP91,Definitions!$AH$3:$AM$3,0),FALSE)),
"")</f>
        <v>No Risk</v>
      </c>
      <c r="AR91" s="9" cm="1">
        <f t="array" aca="1" ref="AR91" ca="1">IF($AQ91="",0,SimpleLookup($AQ91,Definitions!$AE:$AF))</f>
        <v>0</v>
      </c>
      <c r="AS91" s="9" t="b">
        <f ca="1">OR(AND($S91,$I91=Helper!$B$7),$I91&gt;Helper!$B$7)</f>
        <v>1</v>
      </c>
      <c r="AT91" s="9" t="str">
        <f t="shared" ca="1" si="19"/>
        <v/>
      </c>
      <c r="AU91" s="9" cm="1">
        <f t="array" aca="1" ref="AU91" ca="1">CreateID($AU$2,$AT91&lt;&gt;"")</f>
        <v>0</v>
      </c>
      <c r="AV91" s="9" t="str">
        <f ca="1">IF(IFERROR(MATCH(","&amp;A91&amp;",",'Risk Treatment'!$AT:$AT,0)&gt;0,FALSE),"",$A91)</f>
        <v/>
      </c>
      <c r="AW91" s="9" cm="1">
        <f t="array" aca="1" ref="AW91" ca="1">CreateID($AW$2,$AV91&lt;&gt;"")</f>
        <v>0</v>
      </c>
      <c r="AX91" s="9" t="str" cm="1">
        <f t="array" aca="1" ref="AX91" ca="1">CreateSearchString($AA91)</f>
        <v/>
      </c>
    </row>
    <row r="92" spans="1:50" x14ac:dyDescent="0.25">
      <c r="A92" s="13" t="str" cm="1">
        <f t="array" aca="1" ref="A92" ca="1">IF($B92="","","R"&amp;RemoveDelimiter(SUBSTITUTE(SUBSTITUTE($K92,"AS",""),",","-"),"-"))</f>
        <v/>
      </c>
      <c r="B92" s="13" t="str" cm="1">
        <f t="array" aca="1" ref="B92" ca="1">IF($L92="","",_xlfn.LET(
_xlpm._finalAttackStep,$L92,
_xlpm._prepAttacks,RemoveFirstElement(_xlpm._finalAttackStep&amp;","&amp;$K92),
_xlpm._prepAttackNames,IFERROR(LookupNames(_xlpm._prepAttacks,'Attack Steps'!$A:$B),""),
_xlpm._delimiter,REPT(CHAR(150),55),
$L92&amp;" "&amp;SimpleLookup($L92,'Attack Steps'!$A:$B)&amp;
IF(_xlpm._prepAttackNames="","",CHAR(10)&amp;_xlpm._delimiter&amp;CHAR(10)&amp;_xlpm._prepAttackNames)))</f>
        <v/>
      </c>
      <c r="C92" s="16" t="str" cm="1">
        <f t="array" aca="1" ref="C92" ca="1">IFERROR(LookupNames($M92,'Damage Scenarios'!$A:$V),"")</f>
        <v/>
      </c>
      <c r="D92" s="13" t="str">
        <f ca="1">IFERROR(IF($T92=0,"",INDEX(Definitions!$Q:$Q,MATCH($T92,Definitions!$R:$R,0))),"")</f>
        <v/>
      </c>
      <c r="E92" s="16" t="str" cm="1">
        <f t="array" aca="1" ref="E92" ca="1">IF($K92="","",_xlfn.LET(
_xlpm._listOfAttackSteps,$K92,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92" s="13" t="str">
        <f ca="1">IF($A92="","",IFERROR(VLOOKUP($W92,Definitions!$V:$W,COLUMNS(Definitions!$V:$W),TRUE),""))</f>
        <v/>
      </c>
      <c r="G92" s="13" t="str">
        <f ca="1">IFERROR(IF(OR($D92="",$F92=""),
"",
VLOOKUP($D92,Definitions!$AH:$AM,MATCH($F92,Definitions!$AH$3:$AM$3,0),FALSE)),
"")</f>
        <v/>
      </c>
      <c r="H92" s="10" cm="1">
        <f t="array" aca="1" ref="H92" ca="1">CreateID($H$2,$A92&lt;&gt;"")</f>
        <v>0</v>
      </c>
      <c r="I92" s="9" cm="1">
        <f t="array" aca="1" ref="I92" ca="1">IF(ROW()=ROW($I$2)+1,
1,
INDEX($I:$I,ROW()-1)+IF(INDEX($S:$S,ROW()-1),1,0))</f>
        <v>1</v>
      </c>
      <c r="J92" s="9">
        <f t="shared" ca="1" si="16"/>
        <v>90</v>
      </c>
      <c r="K92" s="9" t="str">
        <f t="shared" ca="1" si="17"/>
        <v/>
      </c>
      <c r="L92" s="9" t="str" cm="1">
        <f t="array" aca="1" ref="L92" ca="1">IF($P92="","",INDEX('Attack Steps'!$A:$A,$P92))</f>
        <v/>
      </c>
      <c r="M92" s="9" t="str" cm="1">
        <f t="array" aca="1" ref="M92" ca="1">IF($P92="","",INDEX('Attack Steps'!$U:$U,$P92))</f>
        <v/>
      </c>
      <c r="N92" s="9" t="str" cm="1">
        <f t="array" aca="1" ref="N92" ca="1">_xlfn.LET(_xlpm._dm,SanitizeInput(GetValuesWithFallback(SanitizeInput($AA92),Assumptions!$A:$J,Countermeasures!$A:$J,"",",",FALSE)),
IF(_xlpm._dm="","",","&amp;_xlpm._dm))</f>
        <v/>
      </c>
      <c r="O92" s="9" t="str" cm="1">
        <f t="array" aca="1" ref="O92" ca="1">ApplyDamageMitigation($M92,$N92,"")</f>
        <v/>
      </c>
      <c r="P92" s="9" t="str">
        <f ca="1">IFERROR(MATCH($I92,'Attack Steps'!$W:$W,0),"")</f>
        <v/>
      </c>
      <c r="Q92" s="9" t="str" cm="1">
        <f t="array" aca="1" ref="Q92" ca="1">IF($P92="","","§"&amp;INDEX('Attack Steps'!$T:$T,$P92))</f>
        <v/>
      </c>
      <c r="R92" s="9" t="str" cm="1">
        <f t="array" aca="1" ref="R92" ca="1">IF($P92="","",INDEX('Attack Steps'!$X:$X,$P92))</f>
        <v/>
      </c>
      <c r="S92" s="9" t="b">
        <f t="shared" ca="1" si="18"/>
        <v>0</v>
      </c>
      <c r="T92" s="9" cm="1">
        <f t="array" aca="1" ref="T92" ca="1">IF($M92="",0,OperateOnList($M92,_xlfn.LAMBDA(_xlpm._x,SimpleLookup(_xlpm._x,'Damage Scenarios'!$A:$U)),_xlfn.LAMBDA(_xlpm._x,_xlpm._y,MAX(_xlpm._x,_xlpm._y))))</f>
        <v>0</v>
      </c>
      <c r="U92" s="9" cm="1">
        <f t="array" aca="1" ref="U92" ca="1">IF($O92="",0,OperateOnList($O92,_xlfn.LAMBDA(_xlpm._x,SimpleLookup(_xlpm._x,'Damage Scenarios'!$A:$U)),_xlfn.LAMBDA(_xlpm._x,_xlpm._y,MAX(_xlpm._x,_xlpm._y))))</f>
        <v>0</v>
      </c>
      <c r="V92" s="9" t="str">
        <f ca="1">IF($U92=0,"",INDEX(Definitions!$Q:$Q,MATCH($U92,Definitions!$R:$R,0)))</f>
        <v/>
      </c>
      <c r="W92" s="9" cm="1">
        <f t="array" aca="1" ref="W92" ca="1">IF($K92="",0,_xlfn.LET(
_xlpm._listOfAttackSteps,$K92,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92" s="9" t="str" cm="1">
        <f t="array" aca="1" ref="X92" ca="1">IF(ROW()=ROW($X$2)+1,"",INDEX($X:$X,ROW()-1))&amp;IF($A92="","",$A92&amp;",")</f>
        <v/>
      </c>
      <c r="Y92" s="9" t="str" cm="1">
        <f t="array" aca="1" ref="Y92" ca="1">CreateSearchString($K92)</f>
        <v/>
      </c>
      <c r="Z92" s="9" cm="1">
        <f t="array" aca="1" ref="Z92" ca="1">IF($G92="",0,SimpleLookup($G92,Definitions!$AE:$AF))</f>
        <v>0</v>
      </c>
      <c r="AA92" s="9" t="str" cm="1">
        <f t="array" aca="1" ref="AA92" ca="1">SanitizeInput(InverseLookup($A92,Mitigation!$U$2,Mitigation!$J$2,1,Helper!$B$5,","))</f>
        <v/>
      </c>
      <c r="AB92" s="9" cm="1">
        <f t="array" aca="1" ref="AB92" ca="1">IF($K92="",0,_xlfn.LET(
_xlpm._listOfAttackStepsAndMitigations,$K92&amp;$AA92,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92" s="9" t="str">
        <f ca="1">IFERROR(VLOOKUP($AB92,Definitions!$V:$W,COLUMNS(Definitions!$V:$W),TRUE),"")</f>
        <v>Basic</v>
      </c>
      <c r="AD92" s="9" t="str">
        <f ca="1">_xlfn.LET(
_xlpm._comments,GetValues($K92,Mitigation!$A:$O,"","",FALSE),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92" s="9" t="str" cm="1">
        <f t="array" aca="1" ref="AE92" ca="1">_xlfn.LET(
_xlpm._rapRange,Definitions!$W:$W,
_xlpm._calculatedRAP,$AC92,
_xlpm._inlineRAP,$AD92,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92" s="9" t="str">
        <f ca="1">IFERROR(IF(OR($V92="",$AE92=""),
Definitions!$AE$4,
VLOOKUP($V92,Definitions!$AH:$AM,MATCH($AE92,Definitions!$AH$3:$AM$3,0),FALSE)),
"")</f>
        <v>No Risk</v>
      </c>
      <c r="AG92" s="9" cm="1">
        <f t="array" aca="1" ref="AG92" ca="1">IF($AF92="",0,SimpleLookup($AF92,Definitions!$AE:$AF))</f>
        <v>0</v>
      </c>
      <c r="AH92" s="9" t="str" cm="1">
        <f t="array" aca="1" ref="AH92" ca="1">IFERROR(SimpleLookup($A92,Tracing!$B:$Z),"")</f>
        <v/>
      </c>
      <c r="AI92" s="9" t="str" cm="1">
        <f t="array" aca="1" ref="AI92" ca="1">_xlfn.LET(_xlpm._dm,SanitizeInput(GetValuesWithFallback(SanitizeInput($AH92),Assumptions!$A:$J,Countermeasures!$A:$J,"",",",FALSE)),
IF(_xlpm._dm="","",","&amp;_xlpm._dm))</f>
        <v/>
      </c>
      <c r="AJ92" s="9" t="str" cm="1">
        <f t="array" aca="1" ref="AJ92" ca="1">ApplyDamageMitigation($M92,$AI92,"")</f>
        <v/>
      </c>
      <c r="AK92" s="9" cm="1">
        <f t="array" aca="1" ref="AK92" ca="1">CalculateMaxFromList($AJ92,0,'Damage Scenarios'!$A:$U)</f>
        <v>0</v>
      </c>
      <c r="AL92" s="9" t="str">
        <f ca="1">IF($AK92=0,"",INDEX(Definitions!$Q:$Q,MATCH($AK92,Definitions!$R:$R,0)))</f>
        <v/>
      </c>
      <c r="AM92" s="9" cm="1">
        <f t="array" aca="1" ref="AM92" ca="1">IF($K92="",0,_xlfn.LET(
_xlpm._listOfAttackStepsAndMitigations,$K92&amp;$AH92,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92" s="9" t="str">
        <f ca="1">IFERROR(VLOOKUP($AM92,Definitions!$V:$W,COLUMNS(Definitions!$V:$W),TRUE),"")</f>
        <v>Basic</v>
      </c>
      <c r="AO92" s="9" t="str">
        <f ca="1">_xlfn.LET(
_xlpm._comments,SimpleLookup($A92,Tracing!$B:$AB),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92" s="9" t="str" cm="1">
        <f t="array" aca="1" ref="AP92" ca="1">_xlfn.LET(
_xlpm._rapRange,Definitions!$W:$W,
_xlpm._calculatedRAP,$AN92,
_xlpm._inlineRAP,$AO92,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92" s="9" t="str">
        <f ca="1">IFERROR(IF(OR($AL92="",$AP92=""),
Definitions!$AE$4,
VLOOKUP($AL92,Definitions!$AH:$AM,MATCH($AP92,Definitions!$AH$3:$AM$3,0),FALSE)),
"")</f>
        <v>No Risk</v>
      </c>
      <c r="AR92" s="9" cm="1">
        <f t="array" aca="1" ref="AR92" ca="1">IF($AQ92="",0,SimpleLookup($AQ92,Definitions!$AE:$AF))</f>
        <v>0</v>
      </c>
      <c r="AS92" s="9" t="b">
        <f ca="1">OR(AND($S92,$I92=Helper!$B$7),$I92&gt;Helper!$B$7)</f>
        <v>1</v>
      </c>
      <c r="AT92" s="9" t="str">
        <f t="shared" ca="1" si="19"/>
        <v/>
      </c>
      <c r="AU92" s="9" cm="1">
        <f t="array" aca="1" ref="AU92" ca="1">CreateID($AU$2,$AT92&lt;&gt;"")</f>
        <v>0</v>
      </c>
      <c r="AV92" s="9" t="str">
        <f ca="1">IF(IFERROR(MATCH(","&amp;A92&amp;",",'Risk Treatment'!$AT:$AT,0)&gt;0,FALSE),"",$A92)</f>
        <v/>
      </c>
      <c r="AW92" s="9" cm="1">
        <f t="array" aca="1" ref="AW92" ca="1">CreateID($AW$2,$AV92&lt;&gt;"")</f>
        <v>0</v>
      </c>
      <c r="AX92" s="9" t="str" cm="1">
        <f t="array" aca="1" ref="AX92" ca="1">CreateSearchString($AA92)</f>
        <v/>
      </c>
    </row>
    <row r="93" spans="1:50" x14ac:dyDescent="0.25">
      <c r="A93" s="13" t="str" cm="1">
        <f t="array" aca="1" ref="A93" ca="1">IF($B93="","","R"&amp;RemoveDelimiter(SUBSTITUTE(SUBSTITUTE($K93,"AS",""),",","-"),"-"))</f>
        <v/>
      </c>
      <c r="B93" s="13" t="str" cm="1">
        <f t="array" aca="1" ref="B93" ca="1">IF($L93="","",_xlfn.LET(
_xlpm._finalAttackStep,$L93,
_xlpm._prepAttacks,RemoveFirstElement(_xlpm._finalAttackStep&amp;","&amp;$K93),
_xlpm._prepAttackNames,IFERROR(LookupNames(_xlpm._prepAttacks,'Attack Steps'!$A:$B),""),
_xlpm._delimiter,REPT(CHAR(150),55),
$L93&amp;" "&amp;SimpleLookup($L93,'Attack Steps'!$A:$B)&amp;
IF(_xlpm._prepAttackNames="","",CHAR(10)&amp;_xlpm._delimiter&amp;CHAR(10)&amp;_xlpm._prepAttackNames)))</f>
        <v/>
      </c>
      <c r="C93" s="16" t="str" cm="1">
        <f t="array" aca="1" ref="C93" ca="1">IFERROR(LookupNames($M93,'Damage Scenarios'!$A:$V),"")</f>
        <v/>
      </c>
      <c r="D93" s="13" t="str">
        <f ca="1">IFERROR(IF($T93=0,"",INDEX(Definitions!$Q:$Q,MATCH($T93,Definitions!$R:$R,0))),"")</f>
        <v/>
      </c>
      <c r="E93" s="16" t="str" cm="1">
        <f t="array" aca="1" ref="E93" ca="1">IF($K93="","",_xlfn.LET(
_xlpm._listOfAttackSteps,$K93,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93" s="13" t="str">
        <f ca="1">IF($A93="","",IFERROR(VLOOKUP($W93,Definitions!$V:$W,COLUMNS(Definitions!$V:$W),TRUE),""))</f>
        <v/>
      </c>
      <c r="G93" s="13" t="str">
        <f ca="1">IFERROR(IF(OR($D93="",$F93=""),
"",
VLOOKUP($D93,Definitions!$AH:$AM,MATCH($F93,Definitions!$AH$3:$AM$3,0),FALSE)),
"")</f>
        <v/>
      </c>
      <c r="H93" s="10" cm="1">
        <f t="array" aca="1" ref="H93" ca="1">CreateID($H$2,$A93&lt;&gt;"")</f>
        <v>0</v>
      </c>
      <c r="I93" s="9" cm="1">
        <f t="array" aca="1" ref="I93" ca="1">IF(ROW()=ROW($I$2)+1,
1,
INDEX($I:$I,ROW()-1)+IF(INDEX($S:$S,ROW()-1),1,0))</f>
        <v>1</v>
      </c>
      <c r="J93" s="9">
        <f t="shared" ca="1" si="16"/>
        <v>91</v>
      </c>
      <c r="K93" s="9" t="str">
        <f t="shared" ca="1" si="17"/>
        <v/>
      </c>
      <c r="L93" s="9" t="str" cm="1">
        <f t="array" aca="1" ref="L93" ca="1">IF($P93="","",INDEX('Attack Steps'!$A:$A,$P93))</f>
        <v/>
      </c>
      <c r="M93" s="9" t="str" cm="1">
        <f t="array" aca="1" ref="M93" ca="1">IF($P93="","",INDEX('Attack Steps'!$U:$U,$P93))</f>
        <v/>
      </c>
      <c r="N93" s="9" t="str" cm="1">
        <f t="array" aca="1" ref="N93" ca="1">_xlfn.LET(_xlpm._dm,SanitizeInput(GetValuesWithFallback(SanitizeInput($AA93),Assumptions!$A:$J,Countermeasures!$A:$J,"",",",FALSE)),
IF(_xlpm._dm="","",","&amp;_xlpm._dm))</f>
        <v/>
      </c>
      <c r="O93" s="9" t="str" cm="1">
        <f t="array" aca="1" ref="O93" ca="1">ApplyDamageMitigation($M93,$N93,"")</f>
        <v/>
      </c>
      <c r="P93" s="9" t="str">
        <f ca="1">IFERROR(MATCH($I93,'Attack Steps'!$W:$W,0),"")</f>
        <v/>
      </c>
      <c r="Q93" s="9" t="str" cm="1">
        <f t="array" aca="1" ref="Q93" ca="1">IF($P93="","","§"&amp;INDEX('Attack Steps'!$T:$T,$P93))</f>
        <v/>
      </c>
      <c r="R93" s="9" t="str" cm="1">
        <f t="array" aca="1" ref="R93" ca="1">IF($P93="","",INDEX('Attack Steps'!$X:$X,$P93))</f>
        <v/>
      </c>
      <c r="S93" s="9" t="b">
        <f t="shared" ca="1" si="18"/>
        <v>0</v>
      </c>
      <c r="T93" s="9" cm="1">
        <f t="array" aca="1" ref="T93" ca="1">IF($M93="",0,OperateOnList($M93,_xlfn.LAMBDA(_xlpm._x,SimpleLookup(_xlpm._x,'Damage Scenarios'!$A:$U)),_xlfn.LAMBDA(_xlpm._x,_xlpm._y,MAX(_xlpm._x,_xlpm._y))))</f>
        <v>0</v>
      </c>
      <c r="U93" s="9" cm="1">
        <f t="array" aca="1" ref="U93" ca="1">IF($O93="",0,OperateOnList($O93,_xlfn.LAMBDA(_xlpm._x,SimpleLookup(_xlpm._x,'Damage Scenarios'!$A:$U)),_xlfn.LAMBDA(_xlpm._x,_xlpm._y,MAX(_xlpm._x,_xlpm._y))))</f>
        <v>0</v>
      </c>
      <c r="V93" s="9" t="str">
        <f ca="1">IF($U93=0,"",INDEX(Definitions!$Q:$Q,MATCH($U93,Definitions!$R:$R,0)))</f>
        <v/>
      </c>
      <c r="W93" s="9" cm="1">
        <f t="array" aca="1" ref="W93" ca="1">IF($K93="",0,_xlfn.LET(
_xlpm._listOfAttackSteps,$K93,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93" s="9" t="str" cm="1">
        <f t="array" aca="1" ref="X93" ca="1">IF(ROW()=ROW($X$2)+1,"",INDEX($X:$X,ROW()-1))&amp;IF($A93="","",$A93&amp;",")</f>
        <v/>
      </c>
      <c r="Y93" s="9" t="str" cm="1">
        <f t="array" aca="1" ref="Y93" ca="1">CreateSearchString($K93)</f>
        <v/>
      </c>
      <c r="Z93" s="9" cm="1">
        <f t="array" aca="1" ref="Z93" ca="1">IF($G93="",0,SimpleLookup($G93,Definitions!$AE:$AF))</f>
        <v>0</v>
      </c>
      <c r="AA93" s="9" t="str" cm="1">
        <f t="array" aca="1" ref="AA93" ca="1">SanitizeInput(InverseLookup($A93,Mitigation!$U$2,Mitigation!$J$2,1,Helper!$B$5,","))</f>
        <v/>
      </c>
      <c r="AB93" s="9" cm="1">
        <f t="array" aca="1" ref="AB93" ca="1">IF($K93="",0,_xlfn.LET(
_xlpm._listOfAttackStepsAndMitigations,$K93&amp;$AA93,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93" s="9" t="str">
        <f ca="1">IFERROR(VLOOKUP($AB93,Definitions!$V:$W,COLUMNS(Definitions!$V:$W),TRUE),"")</f>
        <v>Basic</v>
      </c>
      <c r="AD93" s="9" t="str">
        <f ca="1">_xlfn.LET(
_xlpm._comments,GetValues($K93,Mitigation!$A:$O,"","",FALSE),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93" s="9" t="str" cm="1">
        <f t="array" aca="1" ref="AE93" ca="1">_xlfn.LET(
_xlpm._rapRange,Definitions!$W:$W,
_xlpm._calculatedRAP,$AC93,
_xlpm._inlineRAP,$AD93,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93" s="9" t="str">
        <f ca="1">IFERROR(IF(OR($V93="",$AE93=""),
Definitions!$AE$4,
VLOOKUP($V93,Definitions!$AH:$AM,MATCH($AE93,Definitions!$AH$3:$AM$3,0),FALSE)),
"")</f>
        <v>No Risk</v>
      </c>
      <c r="AG93" s="9" cm="1">
        <f t="array" aca="1" ref="AG93" ca="1">IF($AF93="",0,SimpleLookup($AF93,Definitions!$AE:$AF))</f>
        <v>0</v>
      </c>
      <c r="AH93" s="9" t="str" cm="1">
        <f t="array" aca="1" ref="AH93" ca="1">IFERROR(SimpleLookup($A93,Tracing!$B:$Z),"")</f>
        <v/>
      </c>
      <c r="AI93" s="9" t="str" cm="1">
        <f t="array" aca="1" ref="AI93" ca="1">_xlfn.LET(_xlpm._dm,SanitizeInput(GetValuesWithFallback(SanitizeInput($AH93),Assumptions!$A:$J,Countermeasures!$A:$J,"",",",FALSE)),
IF(_xlpm._dm="","",","&amp;_xlpm._dm))</f>
        <v/>
      </c>
      <c r="AJ93" s="9" t="str" cm="1">
        <f t="array" aca="1" ref="AJ93" ca="1">ApplyDamageMitigation($M93,$AI93,"")</f>
        <v/>
      </c>
      <c r="AK93" s="9" cm="1">
        <f t="array" aca="1" ref="AK93" ca="1">CalculateMaxFromList($AJ93,0,'Damage Scenarios'!$A:$U)</f>
        <v>0</v>
      </c>
      <c r="AL93" s="9" t="str">
        <f ca="1">IF($AK93=0,"",INDEX(Definitions!$Q:$Q,MATCH($AK93,Definitions!$R:$R,0)))</f>
        <v/>
      </c>
      <c r="AM93" s="9" cm="1">
        <f t="array" aca="1" ref="AM93" ca="1">IF($K93="",0,_xlfn.LET(
_xlpm._listOfAttackStepsAndMitigations,$K93&amp;$AH93,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93" s="9" t="str">
        <f ca="1">IFERROR(VLOOKUP($AM93,Definitions!$V:$W,COLUMNS(Definitions!$V:$W),TRUE),"")</f>
        <v>Basic</v>
      </c>
      <c r="AO93" s="9" t="str">
        <f ca="1">_xlfn.LET(
_xlpm._comments,SimpleLookup($A93,Tracing!$B:$AB),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93" s="9" t="str" cm="1">
        <f t="array" aca="1" ref="AP93" ca="1">_xlfn.LET(
_xlpm._rapRange,Definitions!$W:$W,
_xlpm._calculatedRAP,$AN93,
_xlpm._inlineRAP,$AO93,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93" s="9" t="str">
        <f ca="1">IFERROR(IF(OR($AL93="",$AP93=""),
Definitions!$AE$4,
VLOOKUP($AL93,Definitions!$AH:$AM,MATCH($AP93,Definitions!$AH$3:$AM$3,0),FALSE)),
"")</f>
        <v>No Risk</v>
      </c>
      <c r="AR93" s="9" cm="1">
        <f t="array" aca="1" ref="AR93" ca="1">IF($AQ93="",0,SimpleLookup($AQ93,Definitions!$AE:$AF))</f>
        <v>0</v>
      </c>
      <c r="AS93" s="9" t="b">
        <f ca="1">OR(AND($S93,$I93=Helper!$B$7),$I93&gt;Helper!$B$7)</f>
        <v>1</v>
      </c>
      <c r="AT93" s="9" t="str">
        <f t="shared" ca="1" si="19"/>
        <v/>
      </c>
      <c r="AU93" s="9" cm="1">
        <f t="array" aca="1" ref="AU93" ca="1">CreateID($AU$2,$AT93&lt;&gt;"")</f>
        <v>0</v>
      </c>
      <c r="AV93" s="9" t="str">
        <f ca="1">IF(IFERROR(MATCH(","&amp;A93&amp;",",'Risk Treatment'!$AT:$AT,0)&gt;0,FALSE),"",$A93)</f>
        <v/>
      </c>
      <c r="AW93" s="9" cm="1">
        <f t="array" aca="1" ref="AW93" ca="1">CreateID($AW$2,$AV93&lt;&gt;"")</f>
        <v>0</v>
      </c>
      <c r="AX93" s="9" t="str" cm="1">
        <f t="array" aca="1" ref="AX93" ca="1">CreateSearchString($AA93)</f>
        <v/>
      </c>
    </row>
    <row r="94" spans="1:50" x14ac:dyDescent="0.25">
      <c r="A94" s="13" t="str" cm="1">
        <f t="array" aca="1" ref="A94" ca="1">IF($B94="","","R"&amp;RemoveDelimiter(SUBSTITUTE(SUBSTITUTE($K94,"AS",""),",","-"),"-"))</f>
        <v/>
      </c>
      <c r="B94" s="13" t="str" cm="1">
        <f t="array" aca="1" ref="B94" ca="1">IF($L94="","",_xlfn.LET(
_xlpm._finalAttackStep,$L94,
_xlpm._prepAttacks,RemoveFirstElement(_xlpm._finalAttackStep&amp;","&amp;$K94),
_xlpm._prepAttackNames,IFERROR(LookupNames(_xlpm._prepAttacks,'Attack Steps'!$A:$B),""),
_xlpm._delimiter,REPT(CHAR(150),55),
$L94&amp;" "&amp;SimpleLookup($L94,'Attack Steps'!$A:$B)&amp;
IF(_xlpm._prepAttackNames="","",CHAR(10)&amp;_xlpm._delimiter&amp;CHAR(10)&amp;_xlpm._prepAttackNames)))</f>
        <v/>
      </c>
      <c r="C94" s="16" t="str" cm="1">
        <f t="array" aca="1" ref="C94" ca="1">IFERROR(LookupNames($M94,'Damage Scenarios'!$A:$V),"")</f>
        <v/>
      </c>
      <c r="D94" s="13" t="str">
        <f ca="1">IFERROR(IF($T94=0,"",INDEX(Definitions!$Q:$Q,MATCH($T94,Definitions!$R:$R,0))),"")</f>
        <v/>
      </c>
      <c r="E94" s="16" t="str" cm="1">
        <f t="array" aca="1" ref="E94" ca="1">IF($K94="","",_xlfn.LET(
_xlpm._listOfAttackSteps,$K94,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94" s="13" t="str">
        <f ca="1">IF($A94="","",IFERROR(VLOOKUP($W94,Definitions!$V:$W,COLUMNS(Definitions!$V:$W),TRUE),""))</f>
        <v/>
      </c>
      <c r="G94" s="13" t="str">
        <f ca="1">IFERROR(IF(OR($D94="",$F94=""),
"",
VLOOKUP($D94,Definitions!$AH:$AM,MATCH($F94,Definitions!$AH$3:$AM$3,0),FALSE)),
"")</f>
        <v/>
      </c>
      <c r="H94" s="10" cm="1">
        <f t="array" aca="1" ref="H94" ca="1">CreateID($H$2,$A94&lt;&gt;"")</f>
        <v>0</v>
      </c>
      <c r="I94" s="9" cm="1">
        <f t="array" aca="1" ref="I94" ca="1">IF(ROW()=ROW($I$2)+1,
1,
INDEX($I:$I,ROW()-1)+IF(INDEX($S:$S,ROW()-1),1,0))</f>
        <v>1</v>
      </c>
      <c r="J94" s="9">
        <f t="shared" ca="1" si="16"/>
        <v>92</v>
      </c>
      <c r="K94" s="9" t="str">
        <f t="shared" ca="1" si="17"/>
        <v/>
      </c>
      <c r="L94" s="9" t="str" cm="1">
        <f t="array" aca="1" ref="L94" ca="1">IF($P94="","",INDEX('Attack Steps'!$A:$A,$P94))</f>
        <v/>
      </c>
      <c r="M94" s="9" t="str" cm="1">
        <f t="array" aca="1" ref="M94" ca="1">IF($P94="","",INDEX('Attack Steps'!$U:$U,$P94))</f>
        <v/>
      </c>
      <c r="N94" s="9" t="str" cm="1">
        <f t="array" aca="1" ref="N94" ca="1">_xlfn.LET(_xlpm._dm,SanitizeInput(GetValuesWithFallback(SanitizeInput($AA94),Assumptions!$A:$J,Countermeasures!$A:$J,"",",",FALSE)),
IF(_xlpm._dm="","",","&amp;_xlpm._dm))</f>
        <v/>
      </c>
      <c r="O94" s="9" t="str" cm="1">
        <f t="array" aca="1" ref="O94" ca="1">ApplyDamageMitigation($M94,$N94,"")</f>
        <v/>
      </c>
      <c r="P94" s="9" t="str">
        <f ca="1">IFERROR(MATCH($I94,'Attack Steps'!$W:$W,0),"")</f>
        <v/>
      </c>
      <c r="Q94" s="9" t="str" cm="1">
        <f t="array" aca="1" ref="Q94" ca="1">IF($P94="","","§"&amp;INDEX('Attack Steps'!$T:$T,$P94))</f>
        <v/>
      </c>
      <c r="R94" s="9" t="str" cm="1">
        <f t="array" aca="1" ref="R94" ca="1">IF($P94="","",INDEX('Attack Steps'!$X:$X,$P94))</f>
        <v/>
      </c>
      <c r="S94" s="9" t="b">
        <f t="shared" ca="1" si="18"/>
        <v>0</v>
      </c>
      <c r="T94" s="9" cm="1">
        <f t="array" aca="1" ref="T94" ca="1">IF($M94="",0,OperateOnList($M94,_xlfn.LAMBDA(_xlpm._x,SimpleLookup(_xlpm._x,'Damage Scenarios'!$A:$U)),_xlfn.LAMBDA(_xlpm._x,_xlpm._y,MAX(_xlpm._x,_xlpm._y))))</f>
        <v>0</v>
      </c>
      <c r="U94" s="9" cm="1">
        <f t="array" aca="1" ref="U94" ca="1">IF($O94="",0,OperateOnList($O94,_xlfn.LAMBDA(_xlpm._x,SimpleLookup(_xlpm._x,'Damage Scenarios'!$A:$U)),_xlfn.LAMBDA(_xlpm._x,_xlpm._y,MAX(_xlpm._x,_xlpm._y))))</f>
        <v>0</v>
      </c>
      <c r="V94" s="9" t="str">
        <f ca="1">IF($U94=0,"",INDEX(Definitions!$Q:$Q,MATCH($U94,Definitions!$R:$R,0)))</f>
        <v/>
      </c>
      <c r="W94" s="9" cm="1">
        <f t="array" aca="1" ref="W94" ca="1">IF($K94="",0,_xlfn.LET(
_xlpm._listOfAttackSteps,$K94,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94" s="9" t="str" cm="1">
        <f t="array" aca="1" ref="X94" ca="1">IF(ROW()=ROW($X$2)+1,"",INDEX($X:$X,ROW()-1))&amp;IF($A94="","",$A94&amp;",")</f>
        <v/>
      </c>
      <c r="Y94" s="9" t="str" cm="1">
        <f t="array" aca="1" ref="Y94" ca="1">CreateSearchString($K94)</f>
        <v/>
      </c>
      <c r="Z94" s="9" cm="1">
        <f t="array" aca="1" ref="Z94" ca="1">IF($G94="",0,SimpleLookup($G94,Definitions!$AE:$AF))</f>
        <v>0</v>
      </c>
      <c r="AA94" s="9" t="str" cm="1">
        <f t="array" aca="1" ref="AA94" ca="1">SanitizeInput(InverseLookup($A94,Mitigation!$U$2,Mitigation!$J$2,1,Helper!$B$5,","))</f>
        <v/>
      </c>
      <c r="AB94" s="9" cm="1">
        <f t="array" aca="1" ref="AB94" ca="1">IF($K94="",0,_xlfn.LET(
_xlpm._listOfAttackStepsAndMitigations,$K94&amp;$AA94,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94" s="9" t="str">
        <f ca="1">IFERROR(VLOOKUP($AB94,Definitions!$V:$W,COLUMNS(Definitions!$V:$W),TRUE),"")</f>
        <v>Basic</v>
      </c>
      <c r="AD94" s="9" t="str">
        <f ca="1">_xlfn.LET(
_xlpm._comments,GetValues($K94,Mitigation!$A:$O,"","",FALSE),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94" s="9" t="str" cm="1">
        <f t="array" aca="1" ref="AE94" ca="1">_xlfn.LET(
_xlpm._rapRange,Definitions!$W:$W,
_xlpm._calculatedRAP,$AC94,
_xlpm._inlineRAP,$AD94,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94" s="9" t="str">
        <f ca="1">IFERROR(IF(OR($V94="",$AE94=""),
Definitions!$AE$4,
VLOOKUP($V94,Definitions!$AH:$AM,MATCH($AE94,Definitions!$AH$3:$AM$3,0),FALSE)),
"")</f>
        <v>No Risk</v>
      </c>
      <c r="AG94" s="9" cm="1">
        <f t="array" aca="1" ref="AG94" ca="1">IF($AF94="",0,SimpleLookup($AF94,Definitions!$AE:$AF))</f>
        <v>0</v>
      </c>
      <c r="AH94" s="9" t="str" cm="1">
        <f t="array" aca="1" ref="AH94" ca="1">IFERROR(SimpleLookup($A94,Tracing!$B:$Z),"")</f>
        <v/>
      </c>
      <c r="AI94" s="9" t="str" cm="1">
        <f t="array" aca="1" ref="AI94" ca="1">_xlfn.LET(_xlpm._dm,SanitizeInput(GetValuesWithFallback(SanitizeInput($AH94),Assumptions!$A:$J,Countermeasures!$A:$J,"",",",FALSE)),
IF(_xlpm._dm="","",","&amp;_xlpm._dm))</f>
        <v/>
      </c>
      <c r="AJ94" s="9" t="str" cm="1">
        <f t="array" aca="1" ref="AJ94" ca="1">ApplyDamageMitigation($M94,$AI94,"")</f>
        <v/>
      </c>
      <c r="AK94" s="9" cm="1">
        <f t="array" aca="1" ref="AK94" ca="1">CalculateMaxFromList($AJ94,0,'Damage Scenarios'!$A:$U)</f>
        <v>0</v>
      </c>
      <c r="AL94" s="9" t="str">
        <f ca="1">IF($AK94=0,"",INDEX(Definitions!$Q:$Q,MATCH($AK94,Definitions!$R:$R,0)))</f>
        <v/>
      </c>
      <c r="AM94" s="9" cm="1">
        <f t="array" aca="1" ref="AM94" ca="1">IF($K94="",0,_xlfn.LET(
_xlpm._listOfAttackStepsAndMitigations,$K94&amp;$AH94,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94" s="9" t="str">
        <f ca="1">IFERROR(VLOOKUP($AM94,Definitions!$V:$W,COLUMNS(Definitions!$V:$W),TRUE),"")</f>
        <v>Basic</v>
      </c>
      <c r="AO94" s="9" t="str">
        <f ca="1">_xlfn.LET(
_xlpm._comments,SimpleLookup($A94,Tracing!$B:$AB),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94" s="9" t="str" cm="1">
        <f t="array" aca="1" ref="AP94" ca="1">_xlfn.LET(
_xlpm._rapRange,Definitions!$W:$W,
_xlpm._calculatedRAP,$AN94,
_xlpm._inlineRAP,$AO94,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94" s="9" t="str">
        <f ca="1">IFERROR(IF(OR($AL94="",$AP94=""),
Definitions!$AE$4,
VLOOKUP($AL94,Definitions!$AH:$AM,MATCH($AP94,Definitions!$AH$3:$AM$3,0),FALSE)),
"")</f>
        <v>No Risk</v>
      </c>
      <c r="AR94" s="9" cm="1">
        <f t="array" aca="1" ref="AR94" ca="1">IF($AQ94="",0,SimpleLookup($AQ94,Definitions!$AE:$AF))</f>
        <v>0</v>
      </c>
      <c r="AS94" s="9" t="b">
        <f ca="1">OR(AND($S94,$I94=Helper!$B$7),$I94&gt;Helper!$B$7)</f>
        <v>1</v>
      </c>
      <c r="AT94" s="9" t="str">
        <f t="shared" ca="1" si="19"/>
        <v/>
      </c>
      <c r="AU94" s="9" cm="1">
        <f t="array" aca="1" ref="AU94" ca="1">CreateID($AU$2,$AT94&lt;&gt;"")</f>
        <v>0</v>
      </c>
      <c r="AV94" s="9" t="str">
        <f ca="1">IF(IFERROR(MATCH(","&amp;A94&amp;",",'Risk Treatment'!$AT:$AT,0)&gt;0,FALSE),"",$A94)</f>
        <v/>
      </c>
      <c r="AW94" s="9" cm="1">
        <f t="array" aca="1" ref="AW94" ca="1">CreateID($AW$2,$AV94&lt;&gt;"")</f>
        <v>0</v>
      </c>
      <c r="AX94" s="9" t="str" cm="1">
        <f t="array" aca="1" ref="AX94" ca="1">CreateSearchString($AA94)</f>
        <v/>
      </c>
    </row>
    <row r="95" spans="1:50" x14ac:dyDescent="0.25">
      <c r="A95" s="13" t="str" cm="1">
        <f t="array" aca="1" ref="A95" ca="1">IF($B95="","","R"&amp;RemoveDelimiter(SUBSTITUTE(SUBSTITUTE($K95,"AS",""),",","-"),"-"))</f>
        <v/>
      </c>
      <c r="B95" s="13" t="str" cm="1">
        <f t="array" aca="1" ref="B95" ca="1">IF($L95="","",_xlfn.LET(
_xlpm._finalAttackStep,$L95,
_xlpm._prepAttacks,RemoveFirstElement(_xlpm._finalAttackStep&amp;","&amp;$K95),
_xlpm._prepAttackNames,IFERROR(LookupNames(_xlpm._prepAttacks,'Attack Steps'!$A:$B),""),
_xlpm._delimiter,REPT(CHAR(150),55),
$L95&amp;" "&amp;SimpleLookup($L95,'Attack Steps'!$A:$B)&amp;
IF(_xlpm._prepAttackNames="","",CHAR(10)&amp;_xlpm._delimiter&amp;CHAR(10)&amp;_xlpm._prepAttackNames)))</f>
        <v/>
      </c>
      <c r="C95" s="16" t="str" cm="1">
        <f t="array" aca="1" ref="C95" ca="1">IFERROR(LookupNames($M95,'Damage Scenarios'!$A:$V),"")</f>
        <v/>
      </c>
      <c r="D95" s="13" t="str">
        <f ca="1">IFERROR(IF($T95=0,"",INDEX(Definitions!$Q:$Q,MATCH($T95,Definitions!$R:$R,0))),"")</f>
        <v/>
      </c>
      <c r="E95" s="16" t="str" cm="1">
        <f t="array" aca="1" ref="E95" ca="1">IF($K95="","",_xlfn.LET(
_xlpm._listOfAttackSteps,$K95,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95" s="13" t="str">
        <f ca="1">IF($A95="","",IFERROR(VLOOKUP($W95,Definitions!$V:$W,COLUMNS(Definitions!$V:$W),TRUE),""))</f>
        <v/>
      </c>
      <c r="G95" s="13" t="str">
        <f ca="1">IFERROR(IF(OR($D95="",$F95=""),
"",
VLOOKUP($D95,Definitions!$AH:$AM,MATCH($F95,Definitions!$AH$3:$AM$3,0),FALSE)),
"")</f>
        <v/>
      </c>
      <c r="H95" s="10" cm="1">
        <f t="array" aca="1" ref="H95" ca="1">CreateID($H$2,$A95&lt;&gt;"")</f>
        <v>0</v>
      </c>
      <c r="I95" s="9" cm="1">
        <f t="array" aca="1" ref="I95" ca="1">IF(ROW()=ROW($I$2)+1,
1,
INDEX($I:$I,ROW()-1)+IF(INDEX($S:$S,ROW()-1),1,0))</f>
        <v>1</v>
      </c>
      <c r="J95" s="9">
        <f t="shared" ca="1" si="16"/>
        <v>93</v>
      </c>
      <c r="K95" s="9" t="str">
        <f t="shared" ca="1" si="17"/>
        <v/>
      </c>
      <c r="L95" s="9" t="str" cm="1">
        <f t="array" aca="1" ref="L95" ca="1">IF($P95="","",INDEX('Attack Steps'!$A:$A,$P95))</f>
        <v/>
      </c>
      <c r="M95" s="9" t="str" cm="1">
        <f t="array" aca="1" ref="M95" ca="1">IF($P95="","",INDEX('Attack Steps'!$U:$U,$P95))</f>
        <v/>
      </c>
      <c r="N95" s="9" t="str" cm="1">
        <f t="array" aca="1" ref="N95" ca="1">_xlfn.LET(_xlpm._dm,SanitizeInput(GetValuesWithFallback(SanitizeInput($AA95),Assumptions!$A:$J,Countermeasures!$A:$J,"",",",FALSE)),
IF(_xlpm._dm="","",","&amp;_xlpm._dm))</f>
        <v/>
      </c>
      <c r="O95" s="9" t="str" cm="1">
        <f t="array" aca="1" ref="O95" ca="1">ApplyDamageMitigation($M95,$N95,"")</f>
        <v/>
      </c>
      <c r="P95" s="9" t="str">
        <f ca="1">IFERROR(MATCH($I95,'Attack Steps'!$W:$W,0),"")</f>
        <v/>
      </c>
      <c r="Q95" s="9" t="str" cm="1">
        <f t="array" aca="1" ref="Q95" ca="1">IF($P95="","","§"&amp;INDEX('Attack Steps'!$T:$T,$P95))</f>
        <v/>
      </c>
      <c r="R95" s="9" t="str" cm="1">
        <f t="array" aca="1" ref="R95" ca="1">IF($P95="","",INDEX('Attack Steps'!$X:$X,$P95))</f>
        <v/>
      </c>
      <c r="S95" s="9" t="b">
        <f t="shared" ca="1" si="18"/>
        <v>0</v>
      </c>
      <c r="T95" s="9" cm="1">
        <f t="array" aca="1" ref="T95" ca="1">IF($M95="",0,OperateOnList($M95,_xlfn.LAMBDA(_xlpm._x,SimpleLookup(_xlpm._x,'Damage Scenarios'!$A:$U)),_xlfn.LAMBDA(_xlpm._x,_xlpm._y,MAX(_xlpm._x,_xlpm._y))))</f>
        <v>0</v>
      </c>
      <c r="U95" s="9" cm="1">
        <f t="array" aca="1" ref="U95" ca="1">IF($O95="",0,OperateOnList($O95,_xlfn.LAMBDA(_xlpm._x,SimpleLookup(_xlpm._x,'Damage Scenarios'!$A:$U)),_xlfn.LAMBDA(_xlpm._x,_xlpm._y,MAX(_xlpm._x,_xlpm._y))))</f>
        <v>0</v>
      </c>
      <c r="V95" s="9" t="str">
        <f ca="1">IF($U95=0,"",INDEX(Definitions!$Q:$Q,MATCH($U95,Definitions!$R:$R,0)))</f>
        <v/>
      </c>
      <c r="W95" s="9" cm="1">
        <f t="array" aca="1" ref="W95" ca="1">IF($K95="",0,_xlfn.LET(
_xlpm._listOfAttackSteps,$K95,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95" s="9" t="str" cm="1">
        <f t="array" aca="1" ref="X95" ca="1">IF(ROW()=ROW($X$2)+1,"",INDEX($X:$X,ROW()-1))&amp;IF($A95="","",$A95&amp;",")</f>
        <v/>
      </c>
      <c r="Y95" s="9" t="str" cm="1">
        <f t="array" aca="1" ref="Y95" ca="1">CreateSearchString($K95)</f>
        <v/>
      </c>
      <c r="Z95" s="9" cm="1">
        <f t="array" aca="1" ref="Z95" ca="1">IF($G95="",0,SimpleLookup($G95,Definitions!$AE:$AF))</f>
        <v>0</v>
      </c>
      <c r="AA95" s="9" t="str" cm="1">
        <f t="array" aca="1" ref="AA95" ca="1">SanitizeInput(InverseLookup($A95,Mitigation!$U$2,Mitigation!$J$2,1,Helper!$B$5,","))</f>
        <v/>
      </c>
      <c r="AB95" s="9" cm="1">
        <f t="array" aca="1" ref="AB95" ca="1">IF($K95="",0,_xlfn.LET(
_xlpm._listOfAttackStepsAndMitigations,$K95&amp;$AA95,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95" s="9" t="str">
        <f ca="1">IFERROR(VLOOKUP($AB95,Definitions!$V:$W,COLUMNS(Definitions!$V:$W),TRUE),"")</f>
        <v>Basic</v>
      </c>
      <c r="AD95" s="9" t="str">
        <f ca="1">_xlfn.LET(
_xlpm._comments,GetValues($K95,Mitigation!$A:$O,"","",FALSE),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95" s="9" t="str" cm="1">
        <f t="array" aca="1" ref="AE95" ca="1">_xlfn.LET(
_xlpm._rapRange,Definitions!$W:$W,
_xlpm._calculatedRAP,$AC95,
_xlpm._inlineRAP,$AD95,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95" s="9" t="str">
        <f ca="1">IFERROR(IF(OR($V95="",$AE95=""),
Definitions!$AE$4,
VLOOKUP($V95,Definitions!$AH:$AM,MATCH($AE95,Definitions!$AH$3:$AM$3,0),FALSE)),
"")</f>
        <v>No Risk</v>
      </c>
      <c r="AG95" s="9" cm="1">
        <f t="array" aca="1" ref="AG95" ca="1">IF($AF95="",0,SimpleLookup($AF95,Definitions!$AE:$AF))</f>
        <v>0</v>
      </c>
      <c r="AH95" s="9" t="str" cm="1">
        <f t="array" aca="1" ref="AH95" ca="1">IFERROR(SimpleLookup($A95,Tracing!$B:$Z),"")</f>
        <v/>
      </c>
      <c r="AI95" s="9" t="str" cm="1">
        <f t="array" aca="1" ref="AI95" ca="1">_xlfn.LET(_xlpm._dm,SanitizeInput(GetValuesWithFallback(SanitizeInput($AH95),Assumptions!$A:$J,Countermeasures!$A:$J,"",",",FALSE)),
IF(_xlpm._dm="","",","&amp;_xlpm._dm))</f>
        <v/>
      </c>
      <c r="AJ95" s="9" t="str" cm="1">
        <f t="array" aca="1" ref="AJ95" ca="1">ApplyDamageMitigation($M95,$AI95,"")</f>
        <v/>
      </c>
      <c r="AK95" s="9" cm="1">
        <f t="array" aca="1" ref="AK95" ca="1">CalculateMaxFromList($AJ95,0,'Damage Scenarios'!$A:$U)</f>
        <v>0</v>
      </c>
      <c r="AL95" s="9" t="str">
        <f ca="1">IF($AK95=0,"",INDEX(Definitions!$Q:$Q,MATCH($AK95,Definitions!$R:$R,0)))</f>
        <v/>
      </c>
      <c r="AM95" s="9" cm="1">
        <f t="array" aca="1" ref="AM95" ca="1">IF($K95="",0,_xlfn.LET(
_xlpm._listOfAttackStepsAndMitigations,$K95&amp;$AH95,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95" s="9" t="str">
        <f ca="1">IFERROR(VLOOKUP($AM95,Definitions!$V:$W,COLUMNS(Definitions!$V:$W),TRUE),"")</f>
        <v>Basic</v>
      </c>
      <c r="AO95" s="9" t="str">
        <f ca="1">_xlfn.LET(
_xlpm._comments,SimpleLookup($A95,Tracing!$B:$AB),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95" s="9" t="str" cm="1">
        <f t="array" aca="1" ref="AP95" ca="1">_xlfn.LET(
_xlpm._rapRange,Definitions!$W:$W,
_xlpm._calculatedRAP,$AN95,
_xlpm._inlineRAP,$AO95,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95" s="9" t="str">
        <f ca="1">IFERROR(IF(OR($AL95="",$AP95=""),
Definitions!$AE$4,
VLOOKUP($AL95,Definitions!$AH:$AM,MATCH($AP95,Definitions!$AH$3:$AM$3,0),FALSE)),
"")</f>
        <v>No Risk</v>
      </c>
      <c r="AR95" s="9" cm="1">
        <f t="array" aca="1" ref="AR95" ca="1">IF($AQ95="",0,SimpleLookup($AQ95,Definitions!$AE:$AF))</f>
        <v>0</v>
      </c>
      <c r="AS95" s="9" t="b">
        <f ca="1">OR(AND($S95,$I95=Helper!$B$7),$I95&gt;Helper!$B$7)</f>
        <v>1</v>
      </c>
      <c r="AT95" s="9" t="str">
        <f t="shared" ca="1" si="19"/>
        <v/>
      </c>
      <c r="AU95" s="9" cm="1">
        <f t="array" aca="1" ref="AU95" ca="1">CreateID($AU$2,$AT95&lt;&gt;"")</f>
        <v>0</v>
      </c>
      <c r="AV95" s="9" t="str">
        <f ca="1">IF(IFERROR(MATCH(","&amp;A95&amp;",",'Risk Treatment'!$AT:$AT,0)&gt;0,FALSE),"",$A95)</f>
        <v/>
      </c>
      <c r="AW95" s="9" cm="1">
        <f t="array" aca="1" ref="AW95" ca="1">CreateID($AW$2,$AV95&lt;&gt;"")</f>
        <v>0</v>
      </c>
      <c r="AX95" s="9" t="str" cm="1">
        <f t="array" aca="1" ref="AX95" ca="1">CreateSearchString($AA95)</f>
        <v/>
      </c>
    </row>
    <row r="96" spans="1:50" x14ac:dyDescent="0.25">
      <c r="A96" s="13" t="str" cm="1">
        <f t="array" aca="1" ref="A96" ca="1">IF($B96="","","R"&amp;RemoveDelimiter(SUBSTITUTE(SUBSTITUTE($K96,"AS",""),",","-"),"-"))</f>
        <v/>
      </c>
      <c r="B96" s="13" t="str" cm="1">
        <f t="array" aca="1" ref="B96" ca="1">IF($L96="","",_xlfn.LET(
_xlpm._finalAttackStep,$L96,
_xlpm._prepAttacks,RemoveFirstElement(_xlpm._finalAttackStep&amp;","&amp;$K96),
_xlpm._prepAttackNames,IFERROR(LookupNames(_xlpm._prepAttacks,'Attack Steps'!$A:$B),""),
_xlpm._delimiter,REPT(CHAR(150),55),
$L96&amp;" "&amp;SimpleLookup($L96,'Attack Steps'!$A:$B)&amp;
IF(_xlpm._prepAttackNames="","",CHAR(10)&amp;_xlpm._delimiter&amp;CHAR(10)&amp;_xlpm._prepAttackNames)))</f>
        <v/>
      </c>
      <c r="C96" s="16" t="str" cm="1">
        <f t="array" aca="1" ref="C96" ca="1">IFERROR(LookupNames($M96,'Damage Scenarios'!$A:$V),"")</f>
        <v/>
      </c>
      <c r="D96" s="13" t="str">
        <f ca="1">IFERROR(IF($T96=0,"",INDEX(Definitions!$Q:$Q,MATCH($T96,Definitions!$R:$R,0))),"")</f>
        <v/>
      </c>
      <c r="E96" s="16" t="str" cm="1">
        <f t="array" aca="1" ref="E96" ca="1">IF($K96="","",_xlfn.LET(
_xlpm._listOfAttackSteps,$K96,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96" s="13" t="str">
        <f ca="1">IF($A96="","",IFERROR(VLOOKUP($W96,Definitions!$V:$W,COLUMNS(Definitions!$V:$W),TRUE),""))</f>
        <v/>
      </c>
      <c r="G96" s="13" t="str">
        <f ca="1">IFERROR(IF(OR($D96="",$F96=""),
"",
VLOOKUP($D96,Definitions!$AH:$AM,MATCH($F96,Definitions!$AH$3:$AM$3,0),FALSE)),
"")</f>
        <v/>
      </c>
      <c r="H96" s="10" cm="1">
        <f t="array" aca="1" ref="H96" ca="1">CreateID($H$2,$A96&lt;&gt;"")</f>
        <v>0</v>
      </c>
      <c r="I96" s="9" cm="1">
        <f t="array" aca="1" ref="I96" ca="1">IF(ROW()=ROW($I$2)+1,
1,
INDEX($I:$I,ROW()-1)+IF(INDEX($S:$S,ROW()-1),1,0))</f>
        <v>1</v>
      </c>
      <c r="J96" s="9">
        <f t="shared" ca="1" si="16"/>
        <v>94</v>
      </c>
      <c r="K96" s="9" t="str">
        <f t="shared" ca="1" si="17"/>
        <v/>
      </c>
      <c r="L96" s="9" t="str" cm="1">
        <f t="array" aca="1" ref="L96" ca="1">IF($P96="","",INDEX('Attack Steps'!$A:$A,$P96))</f>
        <v/>
      </c>
      <c r="M96" s="9" t="str" cm="1">
        <f t="array" aca="1" ref="M96" ca="1">IF($P96="","",INDEX('Attack Steps'!$U:$U,$P96))</f>
        <v/>
      </c>
      <c r="N96" s="9" t="str" cm="1">
        <f t="array" aca="1" ref="N96" ca="1">_xlfn.LET(_xlpm._dm,SanitizeInput(GetValuesWithFallback(SanitizeInput($AA96),Assumptions!$A:$J,Countermeasures!$A:$J,"",",",FALSE)),
IF(_xlpm._dm="","",","&amp;_xlpm._dm))</f>
        <v/>
      </c>
      <c r="O96" s="9" t="str" cm="1">
        <f t="array" aca="1" ref="O96" ca="1">ApplyDamageMitigation($M96,$N96,"")</f>
        <v/>
      </c>
      <c r="P96" s="9" t="str">
        <f ca="1">IFERROR(MATCH($I96,'Attack Steps'!$W:$W,0),"")</f>
        <v/>
      </c>
      <c r="Q96" s="9" t="str" cm="1">
        <f t="array" aca="1" ref="Q96" ca="1">IF($P96="","","§"&amp;INDEX('Attack Steps'!$T:$T,$P96))</f>
        <v/>
      </c>
      <c r="R96" s="9" t="str" cm="1">
        <f t="array" aca="1" ref="R96" ca="1">IF($P96="","",INDEX('Attack Steps'!$X:$X,$P96))</f>
        <v/>
      </c>
      <c r="S96" s="9" t="b">
        <f t="shared" ca="1" si="18"/>
        <v>0</v>
      </c>
      <c r="T96" s="9" cm="1">
        <f t="array" aca="1" ref="T96" ca="1">IF($M96="",0,OperateOnList($M96,_xlfn.LAMBDA(_xlpm._x,SimpleLookup(_xlpm._x,'Damage Scenarios'!$A:$U)),_xlfn.LAMBDA(_xlpm._x,_xlpm._y,MAX(_xlpm._x,_xlpm._y))))</f>
        <v>0</v>
      </c>
      <c r="U96" s="9" cm="1">
        <f t="array" aca="1" ref="U96" ca="1">IF($O96="",0,OperateOnList($O96,_xlfn.LAMBDA(_xlpm._x,SimpleLookup(_xlpm._x,'Damage Scenarios'!$A:$U)),_xlfn.LAMBDA(_xlpm._x,_xlpm._y,MAX(_xlpm._x,_xlpm._y))))</f>
        <v>0</v>
      </c>
      <c r="V96" s="9" t="str">
        <f ca="1">IF($U96=0,"",INDEX(Definitions!$Q:$Q,MATCH($U96,Definitions!$R:$R,0)))</f>
        <v/>
      </c>
      <c r="W96" s="9" cm="1">
        <f t="array" aca="1" ref="W96" ca="1">IF($K96="",0,_xlfn.LET(
_xlpm._listOfAttackSteps,$K96,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96" s="9" t="str" cm="1">
        <f t="array" aca="1" ref="X96" ca="1">IF(ROW()=ROW($X$2)+1,"",INDEX($X:$X,ROW()-1))&amp;IF($A96="","",$A96&amp;",")</f>
        <v/>
      </c>
      <c r="Y96" s="9" t="str" cm="1">
        <f t="array" aca="1" ref="Y96" ca="1">CreateSearchString($K96)</f>
        <v/>
      </c>
      <c r="Z96" s="9" cm="1">
        <f t="array" aca="1" ref="Z96" ca="1">IF($G96="",0,SimpleLookup($G96,Definitions!$AE:$AF))</f>
        <v>0</v>
      </c>
      <c r="AA96" s="9" t="str" cm="1">
        <f t="array" aca="1" ref="AA96" ca="1">SanitizeInput(InverseLookup($A96,Mitigation!$U$2,Mitigation!$J$2,1,Helper!$B$5,","))</f>
        <v/>
      </c>
      <c r="AB96" s="9" cm="1">
        <f t="array" aca="1" ref="AB96" ca="1">IF($K96="",0,_xlfn.LET(
_xlpm._listOfAttackStepsAndMitigations,$K96&amp;$AA96,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96" s="9" t="str">
        <f ca="1">IFERROR(VLOOKUP($AB96,Definitions!$V:$W,COLUMNS(Definitions!$V:$W),TRUE),"")</f>
        <v>Basic</v>
      </c>
      <c r="AD96" s="9" t="str">
        <f ca="1">_xlfn.LET(
_xlpm._comments,GetValues($K96,Mitigation!$A:$O,"","",FALSE),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96" s="9" t="str" cm="1">
        <f t="array" aca="1" ref="AE96" ca="1">_xlfn.LET(
_xlpm._rapRange,Definitions!$W:$W,
_xlpm._calculatedRAP,$AC96,
_xlpm._inlineRAP,$AD96,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96" s="9" t="str">
        <f ca="1">IFERROR(IF(OR($V96="",$AE96=""),
Definitions!$AE$4,
VLOOKUP($V96,Definitions!$AH:$AM,MATCH($AE96,Definitions!$AH$3:$AM$3,0),FALSE)),
"")</f>
        <v>No Risk</v>
      </c>
      <c r="AG96" s="9" cm="1">
        <f t="array" aca="1" ref="AG96" ca="1">IF($AF96="",0,SimpleLookup($AF96,Definitions!$AE:$AF))</f>
        <v>0</v>
      </c>
      <c r="AH96" s="9" t="str" cm="1">
        <f t="array" aca="1" ref="AH96" ca="1">IFERROR(SimpleLookup($A96,Tracing!$B:$Z),"")</f>
        <v/>
      </c>
      <c r="AI96" s="9" t="str" cm="1">
        <f t="array" aca="1" ref="AI96" ca="1">_xlfn.LET(_xlpm._dm,SanitizeInput(GetValuesWithFallback(SanitizeInput($AH96),Assumptions!$A:$J,Countermeasures!$A:$J,"",",",FALSE)),
IF(_xlpm._dm="","",","&amp;_xlpm._dm))</f>
        <v/>
      </c>
      <c r="AJ96" s="9" t="str" cm="1">
        <f t="array" aca="1" ref="AJ96" ca="1">ApplyDamageMitigation($M96,$AI96,"")</f>
        <v/>
      </c>
      <c r="AK96" s="9" cm="1">
        <f t="array" aca="1" ref="AK96" ca="1">CalculateMaxFromList($AJ96,0,'Damage Scenarios'!$A:$U)</f>
        <v>0</v>
      </c>
      <c r="AL96" s="9" t="str">
        <f ca="1">IF($AK96=0,"",INDEX(Definitions!$Q:$Q,MATCH($AK96,Definitions!$R:$R,0)))</f>
        <v/>
      </c>
      <c r="AM96" s="9" cm="1">
        <f t="array" aca="1" ref="AM96" ca="1">IF($K96="",0,_xlfn.LET(
_xlpm._listOfAttackStepsAndMitigations,$K96&amp;$AH96,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96" s="9" t="str">
        <f ca="1">IFERROR(VLOOKUP($AM96,Definitions!$V:$W,COLUMNS(Definitions!$V:$W),TRUE),"")</f>
        <v>Basic</v>
      </c>
      <c r="AO96" s="9" t="str">
        <f ca="1">_xlfn.LET(
_xlpm._comments,SimpleLookup($A96,Tracing!$B:$AB),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96" s="9" t="str" cm="1">
        <f t="array" aca="1" ref="AP96" ca="1">_xlfn.LET(
_xlpm._rapRange,Definitions!$W:$W,
_xlpm._calculatedRAP,$AN96,
_xlpm._inlineRAP,$AO96,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96" s="9" t="str">
        <f ca="1">IFERROR(IF(OR($AL96="",$AP96=""),
Definitions!$AE$4,
VLOOKUP($AL96,Definitions!$AH:$AM,MATCH($AP96,Definitions!$AH$3:$AM$3,0),FALSE)),
"")</f>
        <v>No Risk</v>
      </c>
      <c r="AR96" s="9" cm="1">
        <f t="array" aca="1" ref="AR96" ca="1">IF($AQ96="",0,SimpleLookup($AQ96,Definitions!$AE:$AF))</f>
        <v>0</v>
      </c>
      <c r="AS96" s="9" t="b">
        <f ca="1">OR(AND($S96,$I96=Helper!$B$7),$I96&gt;Helper!$B$7)</f>
        <v>1</v>
      </c>
      <c r="AT96" s="9" t="str">
        <f t="shared" ca="1" si="19"/>
        <v/>
      </c>
      <c r="AU96" s="9" cm="1">
        <f t="array" aca="1" ref="AU96" ca="1">CreateID($AU$2,$AT96&lt;&gt;"")</f>
        <v>0</v>
      </c>
      <c r="AV96" s="9" t="str">
        <f ca="1">IF(IFERROR(MATCH(","&amp;A96&amp;",",'Risk Treatment'!$AT:$AT,0)&gt;0,FALSE),"",$A96)</f>
        <v/>
      </c>
      <c r="AW96" s="9" cm="1">
        <f t="array" aca="1" ref="AW96" ca="1">CreateID($AW$2,$AV96&lt;&gt;"")</f>
        <v>0</v>
      </c>
      <c r="AX96" s="9" t="str" cm="1">
        <f t="array" aca="1" ref="AX96" ca="1">CreateSearchString($AA96)</f>
        <v/>
      </c>
    </row>
    <row r="97" spans="1:50" x14ac:dyDescent="0.25">
      <c r="A97" s="13" t="str" cm="1">
        <f t="array" aca="1" ref="A97" ca="1">IF($B97="","","R"&amp;RemoveDelimiter(SUBSTITUTE(SUBSTITUTE($K97,"AS",""),",","-"),"-"))</f>
        <v/>
      </c>
      <c r="B97" s="13" t="str" cm="1">
        <f t="array" aca="1" ref="B97" ca="1">IF($L97="","",_xlfn.LET(
_xlpm._finalAttackStep,$L97,
_xlpm._prepAttacks,RemoveFirstElement(_xlpm._finalAttackStep&amp;","&amp;$K97),
_xlpm._prepAttackNames,IFERROR(LookupNames(_xlpm._prepAttacks,'Attack Steps'!$A:$B),""),
_xlpm._delimiter,REPT(CHAR(150),55),
$L97&amp;" "&amp;SimpleLookup($L97,'Attack Steps'!$A:$B)&amp;
IF(_xlpm._prepAttackNames="","",CHAR(10)&amp;_xlpm._delimiter&amp;CHAR(10)&amp;_xlpm._prepAttackNames)))</f>
        <v/>
      </c>
      <c r="C97" s="16" t="str" cm="1">
        <f t="array" aca="1" ref="C97" ca="1">IFERROR(LookupNames($M97,'Damage Scenarios'!$A:$V),"")</f>
        <v/>
      </c>
      <c r="D97" s="13" t="str">
        <f ca="1">IFERROR(IF($T97=0,"",INDEX(Definitions!$Q:$Q,MATCH($T97,Definitions!$R:$R,0))),"")</f>
        <v/>
      </c>
      <c r="E97" s="16" t="str" cm="1">
        <f t="array" aca="1" ref="E97" ca="1">IF($K97="","",_xlfn.LET(
_xlpm._listOfAttackSteps,$K97,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97" s="13" t="str">
        <f ca="1">IF($A97="","",IFERROR(VLOOKUP($W97,Definitions!$V:$W,COLUMNS(Definitions!$V:$W),TRUE),""))</f>
        <v/>
      </c>
      <c r="G97" s="13" t="str">
        <f ca="1">IFERROR(IF(OR($D97="",$F97=""),
"",
VLOOKUP($D97,Definitions!$AH:$AM,MATCH($F97,Definitions!$AH$3:$AM$3,0),FALSE)),
"")</f>
        <v/>
      </c>
      <c r="H97" s="10" cm="1">
        <f t="array" aca="1" ref="H97" ca="1">CreateID($H$2,$A97&lt;&gt;"")</f>
        <v>0</v>
      </c>
      <c r="I97" s="9" cm="1">
        <f t="array" aca="1" ref="I97" ca="1">IF(ROW()=ROW($I$2)+1,
1,
INDEX($I:$I,ROW()-1)+IF(INDEX($S:$S,ROW()-1),1,0))</f>
        <v>1</v>
      </c>
      <c r="J97" s="9">
        <f t="shared" ca="1" si="16"/>
        <v>95</v>
      </c>
      <c r="K97" s="9" t="str">
        <f t="shared" ca="1" si="17"/>
        <v/>
      </c>
      <c r="L97" s="9" t="str" cm="1">
        <f t="array" aca="1" ref="L97" ca="1">IF($P97="","",INDEX('Attack Steps'!$A:$A,$P97))</f>
        <v/>
      </c>
      <c r="M97" s="9" t="str" cm="1">
        <f t="array" aca="1" ref="M97" ca="1">IF($P97="","",INDEX('Attack Steps'!$U:$U,$P97))</f>
        <v/>
      </c>
      <c r="N97" s="9" t="str" cm="1">
        <f t="array" aca="1" ref="N97" ca="1">_xlfn.LET(_xlpm._dm,SanitizeInput(GetValuesWithFallback(SanitizeInput($AA97),Assumptions!$A:$J,Countermeasures!$A:$J,"",",",FALSE)),
IF(_xlpm._dm="","",","&amp;_xlpm._dm))</f>
        <v/>
      </c>
      <c r="O97" s="9" t="str" cm="1">
        <f t="array" aca="1" ref="O97" ca="1">ApplyDamageMitigation($M97,$N97,"")</f>
        <v/>
      </c>
      <c r="P97" s="9" t="str">
        <f ca="1">IFERROR(MATCH($I97,'Attack Steps'!$W:$W,0),"")</f>
        <v/>
      </c>
      <c r="Q97" s="9" t="str" cm="1">
        <f t="array" aca="1" ref="Q97" ca="1">IF($P97="","","§"&amp;INDEX('Attack Steps'!$T:$T,$P97))</f>
        <v/>
      </c>
      <c r="R97" s="9" t="str" cm="1">
        <f t="array" aca="1" ref="R97" ca="1">IF($P97="","",INDEX('Attack Steps'!$X:$X,$P97))</f>
        <v/>
      </c>
      <c r="S97" s="9" t="b">
        <f t="shared" ca="1" si="18"/>
        <v>0</v>
      </c>
      <c r="T97" s="9" cm="1">
        <f t="array" aca="1" ref="T97" ca="1">IF($M97="",0,OperateOnList($M97,_xlfn.LAMBDA(_xlpm._x,SimpleLookup(_xlpm._x,'Damage Scenarios'!$A:$U)),_xlfn.LAMBDA(_xlpm._x,_xlpm._y,MAX(_xlpm._x,_xlpm._y))))</f>
        <v>0</v>
      </c>
      <c r="U97" s="9" cm="1">
        <f t="array" aca="1" ref="U97" ca="1">IF($O97="",0,OperateOnList($O97,_xlfn.LAMBDA(_xlpm._x,SimpleLookup(_xlpm._x,'Damage Scenarios'!$A:$U)),_xlfn.LAMBDA(_xlpm._x,_xlpm._y,MAX(_xlpm._x,_xlpm._y))))</f>
        <v>0</v>
      </c>
      <c r="V97" s="9" t="str">
        <f ca="1">IF($U97=0,"",INDEX(Definitions!$Q:$Q,MATCH($U97,Definitions!$R:$R,0)))</f>
        <v/>
      </c>
      <c r="W97" s="9" cm="1">
        <f t="array" aca="1" ref="W97" ca="1">IF($K97="",0,_xlfn.LET(
_xlpm._listOfAttackSteps,$K97,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97" s="9" t="str" cm="1">
        <f t="array" aca="1" ref="X97" ca="1">IF(ROW()=ROW($X$2)+1,"",INDEX($X:$X,ROW()-1))&amp;IF($A97="","",$A97&amp;",")</f>
        <v/>
      </c>
      <c r="Y97" s="9" t="str" cm="1">
        <f t="array" aca="1" ref="Y97" ca="1">CreateSearchString($K97)</f>
        <v/>
      </c>
      <c r="Z97" s="9" cm="1">
        <f t="array" aca="1" ref="Z97" ca="1">IF($G97="",0,SimpleLookup($G97,Definitions!$AE:$AF))</f>
        <v>0</v>
      </c>
      <c r="AA97" s="9" t="str" cm="1">
        <f t="array" aca="1" ref="AA97" ca="1">SanitizeInput(InverseLookup($A97,Mitigation!$U$2,Mitigation!$J$2,1,Helper!$B$5,","))</f>
        <v/>
      </c>
      <c r="AB97" s="9" cm="1">
        <f t="array" aca="1" ref="AB97" ca="1">IF($K97="",0,_xlfn.LET(
_xlpm._listOfAttackStepsAndMitigations,$K97&amp;$AA97,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97" s="9" t="str">
        <f ca="1">IFERROR(VLOOKUP($AB97,Definitions!$V:$W,COLUMNS(Definitions!$V:$W),TRUE),"")</f>
        <v>Basic</v>
      </c>
      <c r="AD97" s="9" t="str">
        <f ca="1">_xlfn.LET(
_xlpm._comments,GetValues($K97,Mitigation!$A:$O,"","",FALSE),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97" s="9" t="str" cm="1">
        <f t="array" aca="1" ref="AE97" ca="1">_xlfn.LET(
_xlpm._rapRange,Definitions!$W:$W,
_xlpm._calculatedRAP,$AC97,
_xlpm._inlineRAP,$AD97,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97" s="9" t="str">
        <f ca="1">IFERROR(IF(OR($V97="",$AE97=""),
Definitions!$AE$4,
VLOOKUP($V97,Definitions!$AH:$AM,MATCH($AE97,Definitions!$AH$3:$AM$3,0),FALSE)),
"")</f>
        <v>No Risk</v>
      </c>
      <c r="AG97" s="9" cm="1">
        <f t="array" aca="1" ref="AG97" ca="1">IF($AF97="",0,SimpleLookup($AF97,Definitions!$AE:$AF))</f>
        <v>0</v>
      </c>
      <c r="AH97" s="9" t="str" cm="1">
        <f t="array" aca="1" ref="AH97" ca="1">IFERROR(SimpleLookup($A97,Tracing!$B:$Z),"")</f>
        <v/>
      </c>
      <c r="AI97" s="9" t="str" cm="1">
        <f t="array" aca="1" ref="AI97" ca="1">_xlfn.LET(_xlpm._dm,SanitizeInput(GetValuesWithFallback(SanitizeInput($AH97),Assumptions!$A:$J,Countermeasures!$A:$J,"",",",FALSE)),
IF(_xlpm._dm="","",","&amp;_xlpm._dm))</f>
        <v/>
      </c>
      <c r="AJ97" s="9" t="str" cm="1">
        <f t="array" aca="1" ref="AJ97" ca="1">ApplyDamageMitigation($M97,$AI97,"")</f>
        <v/>
      </c>
      <c r="AK97" s="9" cm="1">
        <f t="array" aca="1" ref="AK97" ca="1">CalculateMaxFromList($AJ97,0,'Damage Scenarios'!$A:$U)</f>
        <v>0</v>
      </c>
      <c r="AL97" s="9" t="str">
        <f ca="1">IF($AK97=0,"",INDEX(Definitions!$Q:$Q,MATCH($AK97,Definitions!$R:$R,0)))</f>
        <v/>
      </c>
      <c r="AM97" s="9" cm="1">
        <f t="array" aca="1" ref="AM97" ca="1">IF($K97="",0,_xlfn.LET(
_xlpm._listOfAttackStepsAndMitigations,$K97&amp;$AH97,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97" s="9" t="str">
        <f ca="1">IFERROR(VLOOKUP($AM97,Definitions!$V:$W,COLUMNS(Definitions!$V:$W),TRUE),"")</f>
        <v>Basic</v>
      </c>
      <c r="AO97" s="9" t="str">
        <f ca="1">_xlfn.LET(
_xlpm._comments,SimpleLookup($A97,Tracing!$B:$AB),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97" s="9" t="str" cm="1">
        <f t="array" aca="1" ref="AP97" ca="1">_xlfn.LET(
_xlpm._rapRange,Definitions!$W:$W,
_xlpm._calculatedRAP,$AN97,
_xlpm._inlineRAP,$AO97,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97" s="9" t="str">
        <f ca="1">IFERROR(IF(OR($AL97="",$AP97=""),
Definitions!$AE$4,
VLOOKUP($AL97,Definitions!$AH:$AM,MATCH($AP97,Definitions!$AH$3:$AM$3,0),FALSE)),
"")</f>
        <v>No Risk</v>
      </c>
      <c r="AR97" s="9" cm="1">
        <f t="array" aca="1" ref="AR97" ca="1">IF($AQ97="",0,SimpleLookup($AQ97,Definitions!$AE:$AF))</f>
        <v>0</v>
      </c>
      <c r="AS97" s="9" t="b">
        <f ca="1">OR(AND($S97,$I97=Helper!$B$7),$I97&gt;Helper!$B$7)</f>
        <v>1</v>
      </c>
      <c r="AT97" s="9" t="str">
        <f t="shared" ca="1" si="19"/>
        <v/>
      </c>
      <c r="AU97" s="9" cm="1">
        <f t="array" aca="1" ref="AU97" ca="1">CreateID($AU$2,$AT97&lt;&gt;"")</f>
        <v>0</v>
      </c>
      <c r="AV97" s="9" t="str">
        <f ca="1">IF(IFERROR(MATCH(","&amp;A97&amp;",",'Risk Treatment'!$AT:$AT,0)&gt;0,FALSE),"",$A97)</f>
        <v/>
      </c>
      <c r="AW97" s="9" cm="1">
        <f t="array" aca="1" ref="AW97" ca="1">CreateID($AW$2,$AV97&lt;&gt;"")</f>
        <v>0</v>
      </c>
      <c r="AX97" s="9" t="str" cm="1">
        <f t="array" aca="1" ref="AX97" ca="1">CreateSearchString($AA97)</f>
        <v/>
      </c>
    </row>
    <row r="98" spans="1:50" x14ac:dyDescent="0.25">
      <c r="A98" s="13" t="str" cm="1">
        <f t="array" aca="1" ref="A98" ca="1">IF($B98="","","R"&amp;RemoveDelimiter(SUBSTITUTE(SUBSTITUTE($K98,"AS",""),",","-"),"-"))</f>
        <v/>
      </c>
      <c r="B98" s="13" t="str" cm="1">
        <f t="array" aca="1" ref="B98" ca="1">IF($L98="","",_xlfn.LET(
_xlpm._finalAttackStep,$L98,
_xlpm._prepAttacks,RemoveFirstElement(_xlpm._finalAttackStep&amp;","&amp;$K98),
_xlpm._prepAttackNames,IFERROR(LookupNames(_xlpm._prepAttacks,'Attack Steps'!$A:$B),""),
_xlpm._delimiter,REPT(CHAR(150),55),
$L98&amp;" "&amp;SimpleLookup($L98,'Attack Steps'!$A:$B)&amp;
IF(_xlpm._prepAttackNames="","",CHAR(10)&amp;_xlpm._delimiter&amp;CHAR(10)&amp;_xlpm._prepAttackNames)))</f>
        <v/>
      </c>
      <c r="C98" s="16" t="str" cm="1">
        <f t="array" aca="1" ref="C98" ca="1">IFERROR(LookupNames($M98,'Damage Scenarios'!$A:$V),"")</f>
        <v/>
      </c>
      <c r="D98" s="13" t="str">
        <f ca="1">IFERROR(IF($T98=0,"",INDEX(Definitions!$Q:$Q,MATCH($T98,Definitions!$R:$R,0))),"")</f>
        <v/>
      </c>
      <c r="E98" s="16" t="str" cm="1">
        <f t="array" aca="1" ref="E98" ca="1">IF($K98="","",_xlfn.LET(
_xlpm._listOfAttackSteps,$K98,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98" s="13" t="str">
        <f ca="1">IF($A98="","",IFERROR(VLOOKUP($W98,Definitions!$V:$W,COLUMNS(Definitions!$V:$W),TRUE),""))</f>
        <v/>
      </c>
      <c r="G98" s="13" t="str">
        <f ca="1">IFERROR(IF(OR($D98="",$F98=""),
"",
VLOOKUP($D98,Definitions!$AH:$AM,MATCH($F98,Definitions!$AH$3:$AM$3,0),FALSE)),
"")</f>
        <v/>
      </c>
      <c r="H98" s="10" cm="1">
        <f t="array" aca="1" ref="H98" ca="1">CreateID($H$2,$A98&lt;&gt;"")</f>
        <v>0</v>
      </c>
      <c r="I98" s="9" cm="1">
        <f t="array" aca="1" ref="I98" ca="1">IF(ROW()=ROW($I$2)+1,
1,
INDEX($I:$I,ROW()-1)+IF(INDEX($S:$S,ROW()-1),1,0))</f>
        <v>1</v>
      </c>
      <c r="J98" s="9">
        <f t="shared" ref="J98:J100" ca="1" si="20">COUNTIF(OFFSET($I$2,1,0,ROW()-ROW($I$2),1),$I98)</f>
        <v>96</v>
      </c>
      <c r="K98" s="9" t="str">
        <f t="shared" ref="K98:K100" ca="1" si="21">IF($Q98="","",_xlfn.LET(
_xlpm._aps,$Q98,
_xlpm._firstPos,FIND("$",SUBSTITUTE(_xlpm._aps,"§","$",$J98))+1,
_xlpm._lastPos,FIND("$",SUBSTITUTE(_xlpm._aps,"§","$",$J98+1)),
MID(_xlpm._aps,_xlpm._firstPos,_xlpm._lastPos-_xlpm._firstPos)))</f>
        <v/>
      </c>
      <c r="L98" s="9" t="str" cm="1">
        <f t="array" aca="1" ref="L98" ca="1">IF($P98="","",INDEX('Attack Steps'!$A:$A,$P98))</f>
        <v/>
      </c>
      <c r="M98" s="9" t="str" cm="1">
        <f t="array" aca="1" ref="M98" ca="1">IF($P98="","",INDEX('Attack Steps'!$U:$U,$P98))</f>
        <v/>
      </c>
      <c r="N98" s="9" t="str" cm="1">
        <f t="array" aca="1" ref="N98" ca="1">_xlfn.LET(_xlpm._dm,SanitizeInput(GetValuesWithFallback(SanitizeInput($AA98),Assumptions!$A:$J,Countermeasures!$A:$J,"",",",FALSE)),
IF(_xlpm._dm="","",","&amp;_xlpm._dm))</f>
        <v/>
      </c>
      <c r="O98" s="9" t="str" cm="1">
        <f t="array" aca="1" ref="O98" ca="1">ApplyDamageMitigation($M98,$N98,"")</f>
        <v/>
      </c>
      <c r="P98" s="9" t="str">
        <f ca="1">IFERROR(MATCH($I98,'Attack Steps'!$W:$W,0),"")</f>
        <v/>
      </c>
      <c r="Q98" s="9" t="str" cm="1">
        <f t="array" aca="1" ref="Q98" ca="1">IF($P98="","","§"&amp;INDEX('Attack Steps'!$T:$T,$P98))</f>
        <v/>
      </c>
      <c r="R98" s="9" t="str" cm="1">
        <f t="array" aca="1" ref="R98" ca="1">IF($P98="","",INDEX('Attack Steps'!$X:$X,$P98))</f>
        <v/>
      </c>
      <c r="S98" s="9" t="b">
        <f t="shared" ref="S98:S100" ca="1" si="22">$J98=$R98</f>
        <v>0</v>
      </c>
      <c r="T98" s="9" cm="1">
        <f t="array" aca="1" ref="T98" ca="1">IF($M98="",0,OperateOnList($M98,_xlfn.LAMBDA(_xlpm._x,SimpleLookup(_xlpm._x,'Damage Scenarios'!$A:$U)),_xlfn.LAMBDA(_xlpm._x,_xlpm._y,MAX(_xlpm._x,_xlpm._y))))</f>
        <v>0</v>
      </c>
      <c r="U98" s="9" cm="1">
        <f t="array" aca="1" ref="U98" ca="1">IF($O98="",0,OperateOnList($O98,_xlfn.LAMBDA(_xlpm._x,SimpleLookup(_xlpm._x,'Damage Scenarios'!$A:$U)),_xlfn.LAMBDA(_xlpm._x,_xlpm._y,MAX(_xlpm._x,_xlpm._y))))</f>
        <v>0</v>
      </c>
      <c r="V98" s="9" t="str">
        <f ca="1">IF($U98=0,"",INDEX(Definitions!$Q:$Q,MATCH($U98,Definitions!$R:$R,0)))</f>
        <v/>
      </c>
      <c r="W98" s="9" cm="1">
        <f t="array" aca="1" ref="W98" ca="1">IF($K98="",0,_xlfn.LET(
_xlpm._listOfAttackSteps,$K98,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98" s="9" t="str" cm="1">
        <f t="array" aca="1" ref="X98" ca="1">IF(ROW()=ROW($X$2)+1,"",INDEX($X:$X,ROW()-1))&amp;IF($A98="","",$A98&amp;",")</f>
        <v/>
      </c>
      <c r="Y98" s="9" t="str" cm="1">
        <f t="array" aca="1" ref="Y98" ca="1">CreateSearchString($K98)</f>
        <v/>
      </c>
      <c r="Z98" s="9" cm="1">
        <f t="array" aca="1" ref="Z98" ca="1">IF($G98="",0,SimpleLookup($G98,Definitions!$AE:$AF))</f>
        <v>0</v>
      </c>
      <c r="AA98" s="9" t="str" cm="1">
        <f t="array" aca="1" ref="AA98" ca="1">SanitizeInput(InverseLookup($A98,Mitigation!$U$2,Mitigation!$J$2,1,Helper!$B$5,","))</f>
        <v/>
      </c>
      <c r="AB98" s="9" cm="1">
        <f t="array" aca="1" ref="AB98" ca="1">IF($K98="",0,_xlfn.LET(
_xlpm._listOfAttackStepsAndMitigations,$K98&amp;$AA98,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98" s="9" t="str">
        <f ca="1">IFERROR(VLOOKUP($AB98,Definitions!$V:$W,COLUMNS(Definitions!$V:$W),TRUE),"")</f>
        <v>Basic</v>
      </c>
      <c r="AD98" s="9" t="str">
        <f ca="1">_xlfn.LET(
_xlpm._comments,GetValues($K98,Mitigation!$A:$O,"","",FALSE),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98" s="9" t="str" cm="1">
        <f t="array" aca="1" ref="AE98" ca="1">_xlfn.LET(
_xlpm._rapRange,Definitions!$W:$W,
_xlpm._calculatedRAP,$AC98,
_xlpm._inlineRAP,$AD98,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98" s="9" t="str">
        <f ca="1">IFERROR(IF(OR($V98="",$AE98=""),
Definitions!$AE$4,
VLOOKUP($V98,Definitions!$AH:$AM,MATCH($AE98,Definitions!$AH$3:$AM$3,0),FALSE)),
"")</f>
        <v>No Risk</v>
      </c>
      <c r="AG98" s="9" cm="1">
        <f t="array" aca="1" ref="AG98" ca="1">IF($AF98="",0,SimpleLookup($AF98,Definitions!$AE:$AF))</f>
        <v>0</v>
      </c>
      <c r="AH98" s="9" t="str" cm="1">
        <f t="array" aca="1" ref="AH98" ca="1">IFERROR(SimpleLookup($A98,Tracing!$B:$Z),"")</f>
        <v/>
      </c>
      <c r="AI98" s="9" t="str" cm="1">
        <f t="array" aca="1" ref="AI98" ca="1">_xlfn.LET(_xlpm._dm,SanitizeInput(GetValuesWithFallback(SanitizeInput($AH98),Assumptions!$A:$J,Countermeasures!$A:$J,"",",",FALSE)),
IF(_xlpm._dm="","",","&amp;_xlpm._dm))</f>
        <v/>
      </c>
      <c r="AJ98" s="9" t="str" cm="1">
        <f t="array" aca="1" ref="AJ98" ca="1">ApplyDamageMitigation($M98,$AI98,"")</f>
        <v/>
      </c>
      <c r="AK98" s="9" cm="1">
        <f t="array" aca="1" ref="AK98" ca="1">CalculateMaxFromList($AJ98,0,'Damage Scenarios'!$A:$U)</f>
        <v>0</v>
      </c>
      <c r="AL98" s="9" t="str">
        <f ca="1">IF($AK98=0,"",INDEX(Definitions!$Q:$Q,MATCH($AK98,Definitions!$R:$R,0)))</f>
        <v/>
      </c>
      <c r="AM98" s="9" cm="1">
        <f t="array" aca="1" ref="AM98" ca="1">IF($K98="",0,_xlfn.LET(
_xlpm._listOfAttackStepsAndMitigations,$K98&amp;$AH98,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98" s="9" t="str">
        <f ca="1">IFERROR(VLOOKUP($AM98,Definitions!$V:$W,COLUMNS(Definitions!$V:$W),TRUE),"")</f>
        <v>Basic</v>
      </c>
      <c r="AO98" s="9" t="str">
        <f ca="1">_xlfn.LET(
_xlpm._comments,SimpleLookup($A98,Tracing!$B:$AB),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98" s="9" t="str" cm="1">
        <f t="array" aca="1" ref="AP98" ca="1">_xlfn.LET(
_xlpm._rapRange,Definitions!$W:$W,
_xlpm._calculatedRAP,$AN98,
_xlpm._inlineRAP,$AO98,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98" s="9" t="str">
        <f ca="1">IFERROR(IF(OR($AL98="",$AP98=""),
Definitions!$AE$4,
VLOOKUP($AL98,Definitions!$AH:$AM,MATCH($AP98,Definitions!$AH$3:$AM$3,0),FALSE)),
"")</f>
        <v>No Risk</v>
      </c>
      <c r="AR98" s="9" cm="1">
        <f t="array" aca="1" ref="AR98" ca="1">IF($AQ98="",0,SimpleLookup($AQ98,Definitions!$AE:$AF))</f>
        <v>0</v>
      </c>
      <c r="AS98" s="9" t="b">
        <f ca="1">OR(AND($S98,$I98=Helper!$B$7),$I98&gt;Helper!$B$7)</f>
        <v>1</v>
      </c>
      <c r="AT98" s="9" t="str">
        <f t="shared" ref="AT98:AT100" ca="1" si="23">IF(NOT(OR($AS98,AND(NOT($AS98),OFFSET($AS98,1,0)&lt;&gt;""))),"Please enlarge the table!","")</f>
        <v/>
      </c>
      <c r="AU98" s="9" cm="1">
        <f t="array" aca="1" ref="AU98" ca="1">CreateID($AU$2,$AT98&lt;&gt;"")</f>
        <v>0</v>
      </c>
      <c r="AV98" s="9" t="str">
        <f ca="1">IF(IFERROR(MATCH(","&amp;A98&amp;",",'Risk Treatment'!$AT:$AT,0)&gt;0,FALSE),"",$A98)</f>
        <v/>
      </c>
      <c r="AW98" s="9" cm="1">
        <f t="array" aca="1" ref="AW98" ca="1">CreateID($AW$2,$AV98&lt;&gt;"")</f>
        <v>0</v>
      </c>
      <c r="AX98" s="9" t="str" cm="1">
        <f t="array" aca="1" ref="AX98" ca="1">CreateSearchString($AA98)</f>
        <v/>
      </c>
    </row>
    <row r="99" spans="1:50" x14ac:dyDescent="0.25">
      <c r="A99" s="13" t="str" cm="1">
        <f t="array" aca="1" ref="A99" ca="1">IF($B99="","","R"&amp;RemoveDelimiter(SUBSTITUTE(SUBSTITUTE($K99,"AS",""),",","-"),"-"))</f>
        <v/>
      </c>
      <c r="B99" s="13" t="str" cm="1">
        <f t="array" aca="1" ref="B99" ca="1">IF($L99="","",_xlfn.LET(
_xlpm._finalAttackStep,$L99,
_xlpm._prepAttacks,RemoveFirstElement(_xlpm._finalAttackStep&amp;","&amp;$K99),
_xlpm._prepAttackNames,IFERROR(LookupNames(_xlpm._prepAttacks,'Attack Steps'!$A:$B),""),
_xlpm._delimiter,REPT(CHAR(150),55),
$L99&amp;" "&amp;SimpleLookup($L99,'Attack Steps'!$A:$B)&amp;
IF(_xlpm._prepAttackNames="","",CHAR(10)&amp;_xlpm._delimiter&amp;CHAR(10)&amp;_xlpm._prepAttackNames)))</f>
        <v/>
      </c>
      <c r="C99" s="16" t="str" cm="1">
        <f t="array" aca="1" ref="C99" ca="1">IFERROR(LookupNames($M99,'Damage Scenarios'!$A:$V),"")</f>
        <v/>
      </c>
      <c r="D99" s="13" t="str">
        <f ca="1">IFERROR(IF($T99=0,"",INDEX(Definitions!$Q:$Q,MATCH($T99,Definitions!$R:$R,0))),"")</f>
        <v/>
      </c>
      <c r="E99" s="16" t="str" cm="1">
        <f t="array" aca="1" ref="E99" ca="1">IF($K99="","",_xlfn.LET(
_xlpm._listOfAttackSteps,$K99,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99" s="13" t="str">
        <f ca="1">IF($A99="","",IFERROR(VLOOKUP($W99,Definitions!$V:$W,COLUMNS(Definitions!$V:$W),TRUE),""))</f>
        <v/>
      </c>
      <c r="G99" s="13" t="str">
        <f ca="1">IFERROR(IF(OR($D99="",$F99=""),
"",
VLOOKUP($D99,Definitions!$AH:$AM,MATCH($F99,Definitions!$AH$3:$AM$3,0),FALSE)),
"")</f>
        <v/>
      </c>
      <c r="H99" s="10" cm="1">
        <f t="array" aca="1" ref="H99" ca="1">CreateID($H$2,$A99&lt;&gt;"")</f>
        <v>0</v>
      </c>
      <c r="I99" s="9" cm="1">
        <f t="array" aca="1" ref="I99" ca="1">IF(ROW()=ROW($I$2)+1,
1,
INDEX($I:$I,ROW()-1)+IF(INDEX($S:$S,ROW()-1),1,0))</f>
        <v>1</v>
      </c>
      <c r="J99" s="9">
        <f t="shared" ca="1" si="20"/>
        <v>97</v>
      </c>
      <c r="K99" s="9" t="str">
        <f t="shared" ca="1" si="21"/>
        <v/>
      </c>
      <c r="L99" s="9" t="str" cm="1">
        <f t="array" aca="1" ref="L99" ca="1">IF($P99="","",INDEX('Attack Steps'!$A:$A,$P99))</f>
        <v/>
      </c>
      <c r="M99" s="9" t="str" cm="1">
        <f t="array" aca="1" ref="M99" ca="1">IF($P99="","",INDEX('Attack Steps'!$U:$U,$P99))</f>
        <v/>
      </c>
      <c r="N99" s="9" t="str" cm="1">
        <f t="array" aca="1" ref="N99" ca="1">_xlfn.LET(_xlpm._dm,SanitizeInput(GetValuesWithFallback(SanitizeInput($AA99),Assumptions!$A:$J,Countermeasures!$A:$J,"",",",FALSE)),
IF(_xlpm._dm="","",","&amp;_xlpm._dm))</f>
        <v/>
      </c>
      <c r="O99" s="9" t="str" cm="1">
        <f t="array" aca="1" ref="O99" ca="1">ApplyDamageMitigation($M99,$N99,"")</f>
        <v/>
      </c>
      <c r="P99" s="9" t="str">
        <f ca="1">IFERROR(MATCH($I99,'Attack Steps'!$W:$W,0),"")</f>
        <v/>
      </c>
      <c r="Q99" s="9" t="str" cm="1">
        <f t="array" aca="1" ref="Q99" ca="1">IF($P99="","","§"&amp;INDEX('Attack Steps'!$T:$T,$P99))</f>
        <v/>
      </c>
      <c r="R99" s="9" t="str" cm="1">
        <f t="array" aca="1" ref="R99" ca="1">IF($P99="","",INDEX('Attack Steps'!$X:$X,$P99))</f>
        <v/>
      </c>
      <c r="S99" s="9" t="b">
        <f t="shared" ca="1" si="22"/>
        <v>0</v>
      </c>
      <c r="T99" s="9" cm="1">
        <f t="array" aca="1" ref="T99" ca="1">IF($M99="",0,OperateOnList($M99,_xlfn.LAMBDA(_xlpm._x,SimpleLookup(_xlpm._x,'Damage Scenarios'!$A:$U)),_xlfn.LAMBDA(_xlpm._x,_xlpm._y,MAX(_xlpm._x,_xlpm._y))))</f>
        <v>0</v>
      </c>
      <c r="U99" s="9" cm="1">
        <f t="array" aca="1" ref="U99" ca="1">IF($O99="",0,OperateOnList($O99,_xlfn.LAMBDA(_xlpm._x,SimpleLookup(_xlpm._x,'Damage Scenarios'!$A:$U)),_xlfn.LAMBDA(_xlpm._x,_xlpm._y,MAX(_xlpm._x,_xlpm._y))))</f>
        <v>0</v>
      </c>
      <c r="V99" s="9" t="str">
        <f ca="1">IF($U99=0,"",INDEX(Definitions!$Q:$Q,MATCH($U99,Definitions!$R:$R,0)))</f>
        <v/>
      </c>
      <c r="W99" s="9" cm="1">
        <f t="array" aca="1" ref="W99" ca="1">IF($K99="",0,_xlfn.LET(
_xlpm._listOfAttackSteps,$K99,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99" s="9" t="str" cm="1">
        <f t="array" aca="1" ref="X99" ca="1">IF(ROW()=ROW($X$2)+1,"",INDEX($X:$X,ROW()-1))&amp;IF($A99="","",$A99&amp;",")</f>
        <v/>
      </c>
      <c r="Y99" s="9" t="str" cm="1">
        <f t="array" aca="1" ref="Y99" ca="1">CreateSearchString($K99)</f>
        <v/>
      </c>
      <c r="Z99" s="9" cm="1">
        <f t="array" aca="1" ref="Z99" ca="1">IF($G99="",0,SimpleLookup($G99,Definitions!$AE:$AF))</f>
        <v>0</v>
      </c>
      <c r="AA99" s="9" t="str" cm="1">
        <f t="array" aca="1" ref="AA99" ca="1">SanitizeInput(InverseLookup($A99,Mitigation!$U$2,Mitigation!$J$2,1,Helper!$B$5,","))</f>
        <v/>
      </c>
      <c r="AB99" s="9" cm="1">
        <f t="array" aca="1" ref="AB99" ca="1">IF($K99="",0,_xlfn.LET(
_xlpm._listOfAttackStepsAndMitigations,$K99&amp;$AA99,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99" s="9" t="str">
        <f ca="1">IFERROR(VLOOKUP($AB99,Definitions!$V:$W,COLUMNS(Definitions!$V:$W),TRUE),"")</f>
        <v>Basic</v>
      </c>
      <c r="AD99" s="9" t="str">
        <f ca="1">_xlfn.LET(
_xlpm._comments,GetValues($K99,Mitigation!$A:$O,"","",FALSE),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99" s="9" t="str" cm="1">
        <f t="array" aca="1" ref="AE99" ca="1">_xlfn.LET(
_xlpm._rapRange,Definitions!$W:$W,
_xlpm._calculatedRAP,$AC99,
_xlpm._inlineRAP,$AD99,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99" s="9" t="str">
        <f ca="1">IFERROR(IF(OR($V99="",$AE99=""),
Definitions!$AE$4,
VLOOKUP($V99,Definitions!$AH:$AM,MATCH($AE99,Definitions!$AH$3:$AM$3,0),FALSE)),
"")</f>
        <v>No Risk</v>
      </c>
      <c r="AG99" s="9" cm="1">
        <f t="array" aca="1" ref="AG99" ca="1">IF($AF99="",0,SimpleLookup($AF99,Definitions!$AE:$AF))</f>
        <v>0</v>
      </c>
      <c r="AH99" s="9" t="str" cm="1">
        <f t="array" aca="1" ref="AH99" ca="1">IFERROR(SimpleLookup($A99,Tracing!$B:$Z),"")</f>
        <v/>
      </c>
      <c r="AI99" s="9" t="str" cm="1">
        <f t="array" aca="1" ref="AI99" ca="1">_xlfn.LET(_xlpm._dm,SanitizeInput(GetValuesWithFallback(SanitizeInput($AH99),Assumptions!$A:$J,Countermeasures!$A:$J,"",",",FALSE)),
IF(_xlpm._dm="","",","&amp;_xlpm._dm))</f>
        <v/>
      </c>
      <c r="AJ99" s="9" t="str" cm="1">
        <f t="array" aca="1" ref="AJ99" ca="1">ApplyDamageMitigation($M99,$AI99,"")</f>
        <v/>
      </c>
      <c r="AK99" s="9" cm="1">
        <f t="array" aca="1" ref="AK99" ca="1">CalculateMaxFromList($AJ99,0,'Damage Scenarios'!$A:$U)</f>
        <v>0</v>
      </c>
      <c r="AL99" s="9" t="str">
        <f ca="1">IF($AK99=0,"",INDEX(Definitions!$Q:$Q,MATCH($AK99,Definitions!$R:$R,0)))</f>
        <v/>
      </c>
      <c r="AM99" s="9" cm="1">
        <f t="array" aca="1" ref="AM99" ca="1">IF($K99="",0,_xlfn.LET(
_xlpm._listOfAttackStepsAndMitigations,$K99&amp;$AH99,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99" s="9" t="str">
        <f ca="1">IFERROR(VLOOKUP($AM99,Definitions!$V:$W,COLUMNS(Definitions!$V:$W),TRUE),"")</f>
        <v>Basic</v>
      </c>
      <c r="AO99" s="9" t="str">
        <f ca="1">_xlfn.LET(
_xlpm._comments,SimpleLookup($A99,Tracing!$B:$AB),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99" s="9" t="str" cm="1">
        <f t="array" aca="1" ref="AP99" ca="1">_xlfn.LET(
_xlpm._rapRange,Definitions!$W:$W,
_xlpm._calculatedRAP,$AN99,
_xlpm._inlineRAP,$AO99,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99" s="9" t="str">
        <f ca="1">IFERROR(IF(OR($AL99="",$AP99=""),
Definitions!$AE$4,
VLOOKUP($AL99,Definitions!$AH:$AM,MATCH($AP99,Definitions!$AH$3:$AM$3,0),FALSE)),
"")</f>
        <v>No Risk</v>
      </c>
      <c r="AR99" s="9" cm="1">
        <f t="array" aca="1" ref="AR99" ca="1">IF($AQ99="",0,SimpleLookup($AQ99,Definitions!$AE:$AF))</f>
        <v>0</v>
      </c>
      <c r="AS99" s="9" t="b">
        <f ca="1">OR(AND($S99,$I99=Helper!$B$7),$I99&gt;Helper!$B$7)</f>
        <v>1</v>
      </c>
      <c r="AT99" s="9" t="str">
        <f t="shared" ca="1" si="23"/>
        <v/>
      </c>
      <c r="AU99" s="9" cm="1">
        <f t="array" aca="1" ref="AU99" ca="1">CreateID($AU$2,$AT99&lt;&gt;"")</f>
        <v>0</v>
      </c>
      <c r="AV99" s="9" t="str">
        <f ca="1">IF(IFERROR(MATCH(","&amp;A99&amp;",",'Risk Treatment'!$AT:$AT,0)&gt;0,FALSE),"",$A99)</f>
        <v/>
      </c>
      <c r="AW99" s="9" cm="1">
        <f t="array" aca="1" ref="AW99" ca="1">CreateID($AW$2,$AV99&lt;&gt;"")</f>
        <v>0</v>
      </c>
      <c r="AX99" s="9" t="str" cm="1">
        <f t="array" aca="1" ref="AX99" ca="1">CreateSearchString($AA99)</f>
        <v/>
      </c>
    </row>
    <row r="100" spans="1:50" x14ac:dyDescent="0.25">
      <c r="A100" s="13" t="str" cm="1">
        <f t="array" aca="1" ref="A100" ca="1">IF($B100="","","R"&amp;RemoveDelimiter(SUBSTITUTE(SUBSTITUTE($K100,"AS",""),",","-"),"-"))</f>
        <v/>
      </c>
      <c r="B100" s="13" t="str" cm="1">
        <f t="array" aca="1" ref="B100" ca="1">IF($L100="","",_xlfn.LET(
_xlpm._finalAttackStep,$L100,
_xlpm._prepAttacks,RemoveFirstElement(_xlpm._finalAttackStep&amp;","&amp;$K100),
_xlpm._prepAttackNames,IFERROR(LookupNames(_xlpm._prepAttacks,'Attack Steps'!$A:$B),""),
_xlpm._delimiter,REPT(CHAR(150),55),
$L100&amp;" "&amp;SimpleLookup($L100,'Attack Steps'!$A:$B)&amp;
IF(_xlpm._prepAttackNames="","",CHAR(10)&amp;_xlpm._delimiter&amp;CHAR(10)&amp;_xlpm._prepAttackNames)))</f>
        <v/>
      </c>
      <c r="C100" s="16" t="str" cm="1">
        <f t="array" aca="1" ref="C100" ca="1">IFERROR(LookupNames($M100,'Damage Scenarios'!$A:$V),"")</f>
        <v/>
      </c>
      <c r="D100" s="13" t="str">
        <f ca="1">IFERROR(IF($T100=0,"",INDEX(Definitions!$Q:$Q,MATCH($T100,Definitions!$R:$R,0))),"")</f>
        <v/>
      </c>
      <c r="E100" s="16" t="str" cm="1">
        <f t="array" aca="1" ref="E100" ca="1">IF($K100="","",_xlfn.LET(
_xlpm._listOfAttackSteps,$K100,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100" s="13" t="str">
        <f ca="1">IF($A100="","",IFERROR(VLOOKUP($W100,Definitions!$V:$W,COLUMNS(Definitions!$V:$W),TRUE),""))</f>
        <v/>
      </c>
      <c r="G100" s="13" t="str">
        <f ca="1">IFERROR(IF(OR($D100="",$F100=""),
"",
VLOOKUP($D100,Definitions!$AH:$AM,MATCH($F100,Definitions!$AH$3:$AM$3,0),FALSE)),
"")</f>
        <v/>
      </c>
      <c r="H100" s="10" cm="1">
        <f t="array" aca="1" ref="H100" ca="1">CreateID($H$2,$A100&lt;&gt;"")</f>
        <v>0</v>
      </c>
      <c r="I100" s="9" cm="1">
        <f t="array" aca="1" ref="I100" ca="1">IF(ROW()=ROW($I$2)+1,
1,
INDEX($I:$I,ROW()-1)+IF(INDEX($S:$S,ROW()-1),1,0))</f>
        <v>1</v>
      </c>
      <c r="J100" s="9">
        <f t="shared" ca="1" si="20"/>
        <v>98</v>
      </c>
      <c r="K100" s="9" t="str">
        <f t="shared" ca="1" si="21"/>
        <v/>
      </c>
      <c r="L100" s="9" t="str" cm="1">
        <f t="array" aca="1" ref="L100" ca="1">IF($P100="","",INDEX('Attack Steps'!$A:$A,$P100))</f>
        <v/>
      </c>
      <c r="M100" s="9" t="str" cm="1">
        <f t="array" aca="1" ref="M100" ca="1">IF($P100="","",INDEX('Attack Steps'!$U:$U,$P100))</f>
        <v/>
      </c>
      <c r="N100" s="9" t="str" cm="1">
        <f t="array" aca="1" ref="N100" ca="1">_xlfn.LET(_xlpm._dm,SanitizeInput(GetValuesWithFallback(SanitizeInput($AA100),Assumptions!$A:$J,Countermeasures!$A:$J,"",",",FALSE)),
IF(_xlpm._dm="","",","&amp;_xlpm._dm))</f>
        <v/>
      </c>
      <c r="O100" s="9" t="str" cm="1">
        <f t="array" aca="1" ref="O100" ca="1">ApplyDamageMitigation($M100,$N100,"")</f>
        <v/>
      </c>
      <c r="P100" s="9" t="str">
        <f ca="1">IFERROR(MATCH($I100,'Attack Steps'!$W:$W,0),"")</f>
        <v/>
      </c>
      <c r="Q100" s="9" t="str" cm="1">
        <f t="array" aca="1" ref="Q100" ca="1">IF($P100="","","§"&amp;INDEX('Attack Steps'!$T:$T,$P100))</f>
        <v/>
      </c>
      <c r="R100" s="9" t="str" cm="1">
        <f t="array" aca="1" ref="R100" ca="1">IF($P100="","",INDEX('Attack Steps'!$X:$X,$P100))</f>
        <v/>
      </c>
      <c r="S100" s="9" t="b">
        <f t="shared" ca="1" si="22"/>
        <v>0</v>
      </c>
      <c r="T100" s="9" cm="1">
        <f t="array" aca="1" ref="T100" ca="1">IF($M100="",0,OperateOnList($M100,_xlfn.LAMBDA(_xlpm._x,SimpleLookup(_xlpm._x,'Damage Scenarios'!$A:$U)),_xlfn.LAMBDA(_xlpm._x,_xlpm._y,MAX(_xlpm._x,_xlpm._y))))</f>
        <v>0</v>
      </c>
      <c r="U100" s="9" cm="1">
        <f t="array" aca="1" ref="U100" ca="1">IF($O100="",0,OperateOnList($O100,_xlfn.LAMBDA(_xlpm._x,SimpleLookup(_xlpm._x,'Damage Scenarios'!$A:$U)),_xlfn.LAMBDA(_xlpm._x,_xlpm._y,MAX(_xlpm._x,_xlpm._y))))</f>
        <v>0</v>
      </c>
      <c r="V100" s="9" t="str">
        <f ca="1">IF($U100=0,"",INDEX(Definitions!$Q:$Q,MATCH($U100,Definitions!$R:$R,0)))</f>
        <v/>
      </c>
      <c r="W100" s="9" cm="1">
        <f t="array" aca="1" ref="W100" ca="1">IF($K100="",0,_xlfn.LET(
_xlpm._listOfAttackSteps,$K100,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100" s="9" t="str" cm="1">
        <f t="array" aca="1" ref="X100" ca="1">IF(ROW()=ROW($X$2)+1,"",INDEX($X:$X,ROW()-1))&amp;IF($A100="","",$A100&amp;",")</f>
        <v/>
      </c>
      <c r="Y100" s="9" t="str" cm="1">
        <f t="array" aca="1" ref="Y100" ca="1">CreateSearchString($K100)</f>
        <v/>
      </c>
      <c r="Z100" s="9" cm="1">
        <f t="array" aca="1" ref="Z100" ca="1">IF($G100="",0,SimpleLookup($G100,Definitions!$AE:$AF))</f>
        <v>0</v>
      </c>
      <c r="AA100" s="9" t="str" cm="1">
        <f t="array" aca="1" ref="AA100" ca="1">SanitizeInput(InverseLookup($A100,Mitigation!$U$2,Mitigation!$J$2,1,Helper!$B$5,","))</f>
        <v/>
      </c>
      <c r="AB100" s="9" cm="1">
        <f t="array" aca="1" ref="AB100" ca="1">IF($K100="",0,_xlfn.LET(
_xlpm._listOfAttackStepsAndMitigations,$K100&amp;$AA100,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100" s="9" t="str">
        <f ca="1">IFERROR(VLOOKUP($AB100,Definitions!$V:$W,COLUMNS(Definitions!$V:$W),TRUE),"")</f>
        <v>Basic</v>
      </c>
      <c r="AD100" s="9" t="str">
        <f ca="1">_xlfn.LET(
_xlpm._comments,GetValues($K100,Mitigation!$A:$O,"","",FALSE),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100" s="9" t="str" cm="1">
        <f t="array" aca="1" ref="AE100" ca="1">_xlfn.LET(
_xlpm._rapRange,Definitions!$W:$W,
_xlpm._calculatedRAP,$AC100,
_xlpm._inlineRAP,$AD100,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100" s="9" t="str">
        <f ca="1">IFERROR(IF(OR($V100="",$AE100=""),
Definitions!$AE$4,
VLOOKUP($V100,Definitions!$AH:$AM,MATCH($AE100,Definitions!$AH$3:$AM$3,0),FALSE)),
"")</f>
        <v>No Risk</v>
      </c>
      <c r="AG100" s="9" cm="1">
        <f t="array" aca="1" ref="AG100" ca="1">IF($AF100="",0,SimpleLookup($AF100,Definitions!$AE:$AF))</f>
        <v>0</v>
      </c>
      <c r="AH100" s="9" t="str" cm="1">
        <f t="array" aca="1" ref="AH100" ca="1">IFERROR(SimpleLookup($A100,Tracing!$B:$Z),"")</f>
        <v/>
      </c>
      <c r="AI100" s="9" t="str" cm="1">
        <f t="array" aca="1" ref="AI100" ca="1">_xlfn.LET(_xlpm._dm,SanitizeInput(GetValuesWithFallback(SanitizeInput($AH100),Assumptions!$A:$J,Countermeasures!$A:$J,"",",",FALSE)),
IF(_xlpm._dm="","",","&amp;_xlpm._dm))</f>
        <v/>
      </c>
      <c r="AJ100" s="9" t="str" cm="1">
        <f t="array" aca="1" ref="AJ100" ca="1">ApplyDamageMitigation($M100,$AI100,"")</f>
        <v/>
      </c>
      <c r="AK100" s="9" cm="1">
        <f t="array" aca="1" ref="AK100" ca="1">CalculateMaxFromList($AJ100,0,'Damage Scenarios'!$A:$U)</f>
        <v>0</v>
      </c>
      <c r="AL100" s="9" t="str">
        <f ca="1">IF($AK100=0,"",INDEX(Definitions!$Q:$Q,MATCH($AK100,Definitions!$R:$R,0)))</f>
        <v/>
      </c>
      <c r="AM100" s="9" cm="1">
        <f t="array" aca="1" ref="AM100" ca="1">IF($K100="",0,_xlfn.LET(
_xlpm._listOfAttackStepsAndMitigations,$K100&amp;$AH100,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100" s="9" t="str">
        <f ca="1">IFERROR(VLOOKUP($AM100,Definitions!$V:$W,COLUMNS(Definitions!$V:$W),TRUE),"")</f>
        <v>Basic</v>
      </c>
      <c r="AO100" s="9" t="str">
        <f ca="1">_xlfn.LET(
_xlpm._comments,SimpleLookup($A100,Tracing!$B:$AB),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100" s="9" t="str" cm="1">
        <f t="array" aca="1" ref="AP100" ca="1">_xlfn.LET(
_xlpm._rapRange,Definitions!$W:$W,
_xlpm._calculatedRAP,$AN100,
_xlpm._inlineRAP,$AO100,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100" s="9" t="str">
        <f ca="1">IFERROR(IF(OR($AL100="",$AP100=""),
Definitions!$AE$4,
VLOOKUP($AL100,Definitions!$AH:$AM,MATCH($AP100,Definitions!$AH$3:$AM$3,0),FALSE)),
"")</f>
        <v>No Risk</v>
      </c>
      <c r="AR100" s="9" cm="1">
        <f t="array" aca="1" ref="AR100" ca="1">IF($AQ100="",0,SimpleLookup($AQ100,Definitions!$AE:$AF))</f>
        <v>0</v>
      </c>
      <c r="AS100" s="9" t="b">
        <f ca="1">OR(AND($S100,$I100=Helper!$B$7),$I100&gt;Helper!$B$7)</f>
        <v>1</v>
      </c>
      <c r="AT100" s="9" t="str">
        <f t="shared" ca="1" si="23"/>
        <v/>
      </c>
      <c r="AU100" s="9" cm="1">
        <f t="array" aca="1" ref="AU100" ca="1">CreateID($AU$2,$AT100&lt;&gt;"")</f>
        <v>0</v>
      </c>
      <c r="AV100" s="9" t="str">
        <f ca="1">IF(IFERROR(MATCH(","&amp;A100&amp;",",'Risk Treatment'!$AT:$AT,0)&gt;0,FALSE),"",$A100)</f>
        <v/>
      </c>
      <c r="AW100" s="9" cm="1">
        <f t="array" aca="1" ref="AW100" ca="1">CreateID($AW$2,$AV100&lt;&gt;"")</f>
        <v>0</v>
      </c>
      <c r="AX100" s="9" t="str" cm="1">
        <f t="array" aca="1" ref="AX100" ca="1">CreateSearchString($AA100)</f>
        <v/>
      </c>
    </row>
    <row r="101" spans="1:50" x14ac:dyDescent="0.25">
      <c r="A101" s="13" t="str" cm="1">
        <f t="array" aca="1" ref="A101" ca="1">IF($B101="","","R"&amp;RemoveDelimiter(SUBSTITUTE(SUBSTITUTE($K101,"AS",""),",","-"),"-"))</f>
        <v/>
      </c>
      <c r="B101" s="13" t="str" cm="1">
        <f t="array" aca="1" ref="B101" ca="1">IF($L101="","",_xlfn.LET(
_xlpm._finalAttackStep,$L101,
_xlpm._prepAttacks,RemoveFirstElement(_xlpm._finalAttackStep&amp;","&amp;$K101),
_xlpm._prepAttackNames,IFERROR(LookupNames(_xlpm._prepAttacks,'Attack Steps'!$A:$B),""),
_xlpm._delimiter,REPT(CHAR(150),55),
$L101&amp;" "&amp;SimpleLookup($L101,'Attack Steps'!$A:$B)&amp;
IF(_xlpm._prepAttackNames="","",CHAR(10)&amp;_xlpm._delimiter&amp;CHAR(10)&amp;_xlpm._prepAttackNames)))</f>
        <v/>
      </c>
      <c r="C101" s="16" t="str" cm="1">
        <f t="array" aca="1" ref="C101" ca="1">IFERROR(LookupNames($M101,'Damage Scenarios'!$A:$V),"")</f>
        <v/>
      </c>
      <c r="D101" s="13" t="str">
        <f ca="1">IFERROR(IF($T101=0,"",INDEX(Definitions!$Q:$Q,MATCH($T101,Definitions!$R:$R,0))),"")</f>
        <v/>
      </c>
      <c r="E101" s="16" t="str" cm="1">
        <f t="array" aca="1" ref="E101" ca="1">IF($K101="","",_xlfn.LET(
_xlpm._listOfAttackSteps,$K101,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101" s="13" t="str">
        <f ca="1">IF($A101="","",IFERROR(VLOOKUP($W101,Definitions!$V:$W,COLUMNS(Definitions!$V:$W),TRUE),""))</f>
        <v/>
      </c>
      <c r="G101" s="13" t="str">
        <f ca="1">IFERROR(IF(OR($D101="",$F101=""),
"",
VLOOKUP($D101,Definitions!$AH:$AM,MATCH($F101,Definitions!$AH$3:$AM$3,0),FALSE)),
"")</f>
        <v/>
      </c>
      <c r="H101" s="10" cm="1">
        <f t="array" aca="1" ref="H101" ca="1">CreateID($H$2,$A101&lt;&gt;"")</f>
        <v>0</v>
      </c>
      <c r="I101" s="9" cm="1">
        <f t="array" aca="1" ref="I101" ca="1">IF(ROW()=ROW($I$2)+1,
1,
INDEX($I:$I,ROW()-1)+IF(INDEX($S:$S,ROW()-1),1,0))</f>
        <v>1</v>
      </c>
      <c r="J101" s="9">
        <f t="shared" ref="J101:J102" ca="1" si="24">COUNTIF(OFFSET($I$2,1,0,ROW()-ROW($I$2),1),$I101)</f>
        <v>99</v>
      </c>
      <c r="K101" s="9" t="str">
        <f t="shared" ref="K101:K102" ca="1" si="25">IF($Q101="","",_xlfn.LET(
_xlpm._aps,$Q101,
_xlpm._firstPos,FIND("$",SUBSTITUTE(_xlpm._aps,"§","$",$J101))+1,
_xlpm._lastPos,FIND("$",SUBSTITUTE(_xlpm._aps,"§","$",$J101+1)),
MID(_xlpm._aps,_xlpm._firstPos,_xlpm._lastPos-_xlpm._firstPos)))</f>
        <v/>
      </c>
      <c r="L101" s="9" t="str" cm="1">
        <f t="array" aca="1" ref="L101" ca="1">IF($P101="","",INDEX('Attack Steps'!$A:$A,$P101))</f>
        <v/>
      </c>
      <c r="M101" s="9" t="str" cm="1">
        <f t="array" aca="1" ref="M101" ca="1">IF($P101="","",INDEX('Attack Steps'!$U:$U,$P101))</f>
        <v/>
      </c>
      <c r="N101" s="9" t="str" cm="1">
        <f t="array" aca="1" ref="N101" ca="1">_xlfn.LET(_xlpm._dm,SanitizeInput(GetValuesWithFallback(SanitizeInput($AA101),Assumptions!$A:$J,Countermeasures!$A:$J,"",",",FALSE)),
IF(_xlpm._dm="","",","&amp;_xlpm._dm))</f>
        <v/>
      </c>
      <c r="O101" s="9" t="str" cm="1">
        <f t="array" aca="1" ref="O101" ca="1">ApplyDamageMitigation($M101,$N101,"")</f>
        <v/>
      </c>
      <c r="P101" s="9" t="str">
        <f ca="1">IFERROR(MATCH($I101,'Attack Steps'!$W:$W,0),"")</f>
        <v/>
      </c>
      <c r="Q101" s="9" t="str" cm="1">
        <f t="array" aca="1" ref="Q101" ca="1">IF($P101="","","§"&amp;INDEX('Attack Steps'!$T:$T,$P101))</f>
        <v/>
      </c>
      <c r="R101" s="9" t="str" cm="1">
        <f t="array" aca="1" ref="R101" ca="1">IF($P101="","",INDEX('Attack Steps'!$X:$X,$P101))</f>
        <v/>
      </c>
      <c r="S101" s="9" t="b">
        <f t="shared" ref="S101:S102" ca="1" si="26">$J101=$R101</f>
        <v>0</v>
      </c>
      <c r="T101" s="9" cm="1">
        <f t="array" aca="1" ref="T101" ca="1">IF($M101="",0,OperateOnList($M101,_xlfn.LAMBDA(_xlpm._x,SimpleLookup(_xlpm._x,'Damage Scenarios'!$A:$U)),_xlfn.LAMBDA(_xlpm._x,_xlpm._y,MAX(_xlpm._x,_xlpm._y))))</f>
        <v>0</v>
      </c>
      <c r="U101" s="9" cm="1">
        <f t="array" aca="1" ref="U101" ca="1">IF($O101="",0,OperateOnList($O101,_xlfn.LAMBDA(_xlpm._x,SimpleLookup(_xlpm._x,'Damage Scenarios'!$A:$U)),_xlfn.LAMBDA(_xlpm._x,_xlpm._y,MAX(_xlpm._x,_xlpm._y))))</f>
        <v>0</v>
      </c>
      <c r="V101" s="9" t="str">
        <f ca="1">IF($U101=0,"",INDEX(Definitions!$Q:$Q,MATCH($U101,Definitions!$R:$R,0)))</f>
        <v/>
      </c>
      <c r="W101" s="9" cm="1">
        <f t="array" aca="1" ref="W101" ca="1">IF($K101="",0,_xlfn.LET(
_xlpm._listOfAttackSteps,$K101,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101" s="9" t="str" cm="1">
        <f t="array" aca="1" ref="X101" ca="1">IF(ROW()=ROW($X$2)+1,"",INDEX($X:$X,ROW()-1))&amp;IF($A101="","",$A101&amp;",")</f>
        <v/>
      </c>
      <c r="Y101" s="9" t="str" cm="1">
        <f t="array" aca="1" ref="Y101" ca="1">CreateSearchString($K101)</f>
        <v/>
      </c>
      <c r="Z101" s="9" cm="1">
        <f t="array" aca="1" ref="Z101" ca="1">IF($G101="",0,SimpleLookup($G101,Definitions!$AE:$AF))</f>
        <v>0</v>
      </c>
      <c r="AA101" s="9" t="str" cm="1">
        <f t="array" aca="1" ref="AA101" ca="1">SanitizeInput(InverseLookup($A101,Mitigation!$U$2,Mitigation!$J$2,1,Helper!$B$5,","))</f>
        <v/>
      </c>
      <c r="AB101" s="9" cm="1">
        <f t="array" aca="1" ref="AB101" ca="1">IF($K101="",0,_xlfn.LET(
_xlpm._listOfAttackStepsAndMitigations,$K101&amp;$AA101,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101" s="9" t="str">
        <f ca="1">IFERROR(VLOOKUP($AB101,Definitions!$V:$W,COLUMNS(Definitions!$V:$W),TRUE),"")</f>
        <v>Basic</v>
      </c>
      <c r="AD101" s="9" t="str">
        <f ca="1">_xlfn.LET(
_xlpm._comments,GetValues($K101,Mitigation!$A:$O,"","",FALSE),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101" s="9" t="str" cm="1">
        <f t="array" aca="1" ref="AE101" ca="1">_xlfn.LET(
_xlpm._rapRange,Definitions!$W:$W,
_xlpm._calculatedRAP,$AC101,
_xlpm._inlineRAP,$AD101,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101" s="9" t="str">
        <f ca="1">IFERROR(IF(OR($V101="",$AE101=""),
Definitions!$AE$4,
VLOOKUP($V101,Definitions!$AH:$AM,MATCH($AE101,Definitions!$AH$3:$AM$3,0),FALSE)),
"")</f>
        <v>No Risk</v>
      </c>
      <c r="AG101" s="9" cm="1">
        <f t="array" aca="1" ref="AG101" ca="1">IF($AF101="",0,SimpleLookup($AF101,Definitions!$AE:$AF))</f>
        <v>0</v>
      </c>
      <c r="AH101" s="9" t="str" cm="1">
        <f t="array" aca="1" ref="AH101" ca="1">IFERROR(SimpleLookup($A101,Tracing!$B:$Z),"")</f>
        <v/>
      </c>
      <c r="AI101" s="9" t="str" cm="1">
        <f t="array" aca="1" ref="AI101" ca="1">_xlfn.LET(_xlpm._dm,SanitizeInput(GetValuesWithFallback(SanitizeInput($AH101),Assumptions!$A:$J,Countermeasures!$A:$J,"",",",FALSE)),
IF(_xlpm._dm="","",","&amp;_xlpm._dm))</f>
        <v/>
      </c>
      <c r="AJ101" s="9" t="str" cm="1">
        <f t="array" aca="1" ref="AJ101" ca="1">ApplyDamageMitigation($M101,$AI101,"")</f>
        <v/>
      </c>
      <c r="AK101" s="9" cm="1">
        <f t="array" aca="1" ref="AK101" ca="1">CalculateMaxFromList($AJ101,0,'Damage Scenarios'!$A:$U)</f>
        <v>0</v>
      </c>
      <c r="AL101" s="9" t="str">
        <f ca="1">IF($AK101=0,"",INDEX(Definitions!$Q:$Q,MATCH($AK101,Definitions!$R:$R,0)))</f>
        <v/>
      </c>
      <c r="AM101" s="9" cm="1">
        <f t="array" aca="1" ref="AM101" ca="1">IF($K101="",0,_xlfn.LET(
_xlpm._listOfAttackStepsAndMitigations,$K101&amp;$AH101,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101" s="9" t="str">
        <f ca="1">IFERROR(VLOOKUP($AM101,Definitions!$V:$W,COLUMNS(Definitions!$V:$W),TRUE),"")</f>
        <v>Basic</v>
      </c>
      <c r="AO101" s="9" t="str">
        <f ca="1">_xlfn.LET(
_xlpm._comments,SimpleLookup($A101,Tracing!$B:$AB),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101" s="9" t="str" cm="1">
        <f t="array" aca="1" ref="AP101" ca="1">_xlfn.LET(
_xlpm._rapRange,Definitions!$W:$W,
_xlpm._calculatedRAP,$AN101,
_xlpm._inlineRAP,$AO101,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101" s="9" t="str">
        <f ca="1">IFERROR(IF(OR($AL101="",$AP101=""),
Definitions!$AE$4,
VLOOKUP($AL101,Definitions!$AH:$AM,MATCH($AP101,Definitions!$AH$3:$AM$3,0),FALSE)),
"")</f>
        <v>No Risk</v>
      </c>
      <c r="AR101" s="9" cm="1">
        <f t="array" aca="1" ref="AR101" ca="1">IF($AQ101="",0,SimpleLookup($AQ101,Definitions!$AE:$AF))</f>
        <v>0</v>
      </c>
      <c r="AS101" s="9" t="b">
        <f ca="1">OR(AND($S101,$I101=Helper!$B$7),$I101&gt;Helper!$B$7)</f>
        <v>1</v>
      </c>
      <c r="AT101" s="9" t="str">
        <f t="shared" ref="AT101:AT102" ca="1" si="27">IF(NOT(OR($AS101,AND(NOT($AS101),OFFSET($AS101,1,0)&lt;&gt;""))),"Please enlarge the table!","")</f>
        <v/>
      </c>
      <c r="AU101" s="9" cm="1">
        <f t="array" aca="1" ref="AU101" ca="1">CreateID($AU$2,$AT101&lt;&gt;"")</f>
        <v>0</v>
      </c>
      <c r="AV101" s="9" t="str">
        <f ca="1">IF(IFERROR(MATCH(","&amp;A101&amp;",",'Risk Treatment'!$AT:$AT,0)&gt;0,FALSE),"",$A101)</f>
        <v/>
      </c>
      <c r="AW101" s="9" cm="1">
        <f t="array" aca="1" ref="AW101" ca="1">CreateID($AW$2,$AV101&lt;&gt;"")</f>
        <v>0</v>
      </c>
      <c r="AX101" s="9" t="str" cm="1">
        <f t="array" aca="1" ref="AX101" ca="1">CreateSearchString($AA101)</f>
        <v/>
      </c>
    </row>
    <row r="102" spans="1:50" x14ac:dyDescent="0.25">
      <c r="A102" s="13" t="str" cm="1">
        <f t="array" aca="1" ref="A102" ca="1">IF($B102="","","R"&amp;RemoveDelimiter(SUBSTITUTE(SUBSTITUTE($K102,"AS",""),",","-"),"-"))</f>
        <v/>
      </c>
      <c r="B102" s="13" t="str" cm="1">
        <f t="array" aca="1" ref="B102" ca="1">IF($L102="","",_xlfn.LET(
_xlpm._finalAttackStep,$L102,
_xlpm._prepAttacks,RemoveFirstElement(_xlpm._finalAttackStep&amp;","&amp;$K102),
_xlpm._prepAttackNames,IFERROR(LookupNames(_xlpm._prepAttacks,'Attack Steps'!$A:$B),""),
_xlpm._delimiter,REPT(CHAR(150),55),
$L102&amp;" "&amp;SimpleLookup($L102,'Attack Steps'!$A:$B)&amp;
IF(_xlpm._prepAttackNames="","",CHAR(10)&amp;_xlpm._delimiter&amp;CHAR(10)&amp;_xlpm._prepAttackNames)))</f>
        <v/>
      </c>
      <c r="C102" s="16" t="str" cm="1">
        <f t="array" aca="1" ref="C102" ca="1">IFERROR(LookupNames($M102,'Damage Scenarios'!$A:$V),"")</f>
        <v/>
      </c>
      <c r="D102" s="13" t="str">
        <f ca="1">IFERROR(IF($T102=0,"",INDEX(Definitions!$Q:$Q,MATCH($T102,Definitions!$R:$R,0))),"")</f>
        <v/>
      </c>
      <c r="E102" s="16" t="str" cm="1">
        <f t="array" aca="1" ref="E102" ca="1">IF($K102="","",_xlfn.LET(
_xlpm._listOfAttackSteps,$K102,
_xlpm._numberOfFactors,Helper!$B$16,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_xlpm._attackStepsWithMaxFactor,FilterListByCriterion(_xlpm._listOfAttackSteps,_xlpm._maxForFactor,_xlfn.LAMBDA(_xlpm._attackStep,_xlfn.LET(
        _xlpm._factorName,VLOOKUP(_xlpm._attackStep,'Attack Steps'!$A:$L,COLUMNS('Attack Steps'!$A:$H)+COLUMN(_xlpm._factorClass)-COLUMN('Attack Steps'!$H$2),FALSE),
        IF(_xlpm._factorName="",0,SimpleLookup(_xlpm._factorName,Definitions!$Z:$AA)))),
      _xlfn.LAMBDA(_xlpm._x,_xlpm._y,_xlpm._x=_xlpm._y),", "),
    _xlpm._factorClass&amp;" ["&amp;_xlpm._maxForFactor&amp;"]: "&amp;RemoveDelimiter(_xlpm._attackStepsWithMaxFactor,", "))),
  _xlfn.LAMBDA(_xlpm._x,_xlpm._y,_xlpm._x&amp;CHAR(10)&amp;_xlpm._y))))</f>
        <v/>
      </c>
      <c r="F102" s="13" t="str">
        <f ca="1">IF($A102="","",IFERROR(VLOOKUP($W102,Definitions!$V:$W,COLUMNS(Definitions!$V:$W),TRUE),""))</f>
        <v/>
      </c>
      <c r="G102" s="13" t="str">
        <f ca="1">IFERROR(IF(OR($D102="",$F102=""),
"",
VLOOKUP($D102,Definitions!$AH:$AM,MATCH($F102,Definitions!$AH$3:$AM$3,0),FALSE)),
"")</f>
        <v/>
      </c>
      <c r="H102" s="10" cm="1">
        <f t="array" aca="1" ref="H102" ca="1">CreateID($H$2,$A102&lt;&gt;"")</f>
        <v>0</v>
      </c>
      <c r="I102" s="9" cm="1">
        <f t="array" aca="1" ref="I102" ca="1">IF(ROW()=ROW($I$2)+1,
1,
INDEX($I:$I,ROW()-1)+IF(INDEX($S:$S,ROW()-1),1,0))</f>
        <v>1</v>
      </c>
      <c r="J102" s="9">
        <f t="shared" ca="1" si="24"/>
        <v>100</v>
      </c>
      <c r="K102" s="9" t="str">
        <f t="shared" ca="1" si="25"/>
        <v/>
      </c>
      <c r="L102" s="9" t="str" cm="1">
        <f t="array" aca="1" ref="L102" ca="1">IF($P102="","",INDEX('Attack Steps'!$A:$A,$P102))</f>
        <v/>
      </c>
      <c r="M102" s="9" t="str" cm="1">
        <f t="array" aca="1" ref="M102" ca="1">IF($P102="","",INDEX('Attack Steps'!$U:$U,$P102))</f>
        <v/>
      </c>
      <c r="N102" s="9" t="str" cm="1">
        <f t="array" aca="1" ref="N102" ca="1">_xlfn.LET(_xlpm._dm,SanitizeInput(GetValuesWithFallback(SanitizeInput($AA102),Assumptions!$A:$J,Countermeasures!$A:$J,"",",",FALSE)),
IF(_xlpm._dm="","",","&amp;_xlpm._dm))</f>
        <v/>
      </c>
      <c r="O102" s="9" t="str" cm="1">
        <f t="array" aca="1" ref="O102" ca="1">ApplyDamageMitigation($M102,$N102,"")</f>
        <v/>
      </c>
      <c r="P102" s="9" t="str">
        <f ca="1">IFERROR(MATCH($I102,'Attack Steps'!$W:$W,0),"")</f>
        <v/>
      </c>
      <c r="Q102" s="9" t="str" cm="1">
        <f t="array" aca="1" ref="Q102" ca="1">IF($P102="","","§"&amp;INDEX('Attack Steps'!$T:$T,$P102))</f>
        <v/>
      </c>
      <c r="R102" s="9" t="str" cm="1">
        <f t="array" aca="1" ref="R102" ca="1">IF($P102="","",INDEX('Attack Steps'!$X:$X,$P102))</f>
        <v/>
      </c>
      <c r="S102" s="9" t="b">
        <f t="shared" ca="1" si="26"/>
        <v>0</v>
      </c>
      <c r="T102" s="9" cm="1">
        <f t="array" aca="1" ref="T102" ca="1">IF($M102="",0,OperateOnList($M102,_xlfn.LAMBDA(_xlpm._x,SimpleLookup(_xlpm._x,'Damage Scenarios'!$A:$U)),_xlfn.LAMBDA(_xlpm._x,_xlpm._y,MAX(_xlpm._x,_xlpm._y))))</f>
        <v>0</v>
      </c>
      <c r="U102" s="9" cm="1">
        <f t="array" aca="1" ref="U102" ca="1">IF($O102="",0,OperateOnList($O102,_xlfn.LAMBDA(_xlpm._x,SimpleLookup(_xlpm._x,'Damage Scenarios'!$A:$U)),_xlfn.LAMBDA(_xlpm._x,_xlpm._y,MAX(_xlpm._x,_xlpm._y))))</f>
        <v>0</v>
      </c>
      <c r="V102" s="9" t="str">
        <f ca="1">IF($U102=0,"",INDEX(Definitions!$Q:$Q,MATCH($U102,Definitions!$R:$R,0)))</f>
        <v/>
      </c>
      <c r="W102" s="9" cm="1">
        <f t="array" aca="1" ref="W102" ca="1">IF($K102="",0,_xlfn.LET(
_xlpm._listOfAttackSteps,$K102,
_xlpm._numberOfFactors,MAX(Definitions!$AB:$AB),
OperateOnRange(
  'Attack Steps'!$H$2,
  TRUE,
  _xlpm._numberOfFactors,
  0,
  _xlfn.LAMBDA(_xlpm._factorClass,_xlfn.LET(
    _xlpm._maxForFactor,OperateOnList(
      _xlpm._listOfAttackSteps,
      _xlfn.LAMBDA(_xlpm._attackStep,_xlfn.LET(
        _xlpm._factorName,VLOOKUP(_xlpm._attackStep,'Attack Steps'!$A:$L,COLUMNS('Attack Steps'!$A:$H)+COLUMN(_xlpm._factorClass)-COLUMN('Attack Steps'!$H$2),FALSE),
        IF(_xlpm._factorName="",0,SimpleLookup(_xlpm._factorName,Definitions!$Z:$AA)))),
      _xlfn.LAMBDA(_xlpm._x,_xlpm._y,MAX(_xlpm._x,_xlpm._y))),
    _xlpm._maxForFactor)),
  _xlfn.LAMBDA(_xlpm._x,_xlpm._y,_xlpm._x+_xlpm._y))))</f>
        <v>0</v>
      </c>
      <c r="X102" s="9" t="str" cm="1">
        <f t="array" aca="1" ref="X102" ca="1">IF(ROW()=ROW($X$2)+1,"",INDEX($X:$X,ROW()-1))&amp;IF($A102="","",$A102&amp;",")</f>
        <v/>
      </c>
      <c r="Y102" s="9" t="str" cm="1">
        <f t="array" aca="1" ref="Y102" ca="1">CreateSearchString($K102)</f>
        <v/>
      </c>
      <c r="Z102" s="9" cm="1">
        <f t="array" aca="1" ref="Z102" ca="1">IF($G102="",0,SimpleLookup($G102,Definitions!$AE:$AF))</f>
        <v>0</v>
      </c>
      <c r="AA102" s="9" t="str" cm="1">
        <f t="array" aca="1" ref="AA102" ca="1">SanitizeInput(InverseLookup($A102,Mitigation!$U$2,Mitigation!$J$2,1,Helper!$B$5,","))</f>
        <v/>
      </c>
      <c r="AB102" s="9" cm="1">
        <f t="array" aca="1" ref="AB102" ca="1">IF($K102="",0,_xlfn.LET(
_xlpm._listOfAttackStepsAndMitigations,$K102&amp;$AA102,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C102" s="9" t="str">
        <f ca="1">IFERROR(VLOOKUP($AB102,Definitions!$V:$W,COLUMNS(Definitions!$V:$W),TRUE),"")</f>
        <v>Basic</v>
      </c>
      <c r="AD102" s="9" t="str">
        <f ca="1">_xlfn.LET(
_xlpm._comments,GetValues($K102,Mitigation!$A:$O,"","",FALSE),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E102" s="9" t="str" cm="1">
        <f t="array" aca="1" ref="AE102" ca="1">_xlfn.LET(
_xlpm._rapRange,Definitions!$W:$W,
_xlpm._calculatedRAP,$AC102,
_xlpm._inlineRAP,$AD102,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F102" s="9" t="str">
        <f ca="1">IFERROR(IF(OR($V102="",$AE102=""),
Definitions!$AE$4,
VLOOKUP($V102,Definitions!$AH:$AM,MATCH($AE102,Definitions!$AH$3:$AM$3,0),FALSE)),
"")</f>
        <v>No Risk</v>
      </c>
      <c r="AG102" s="9" cm="1">
        <f t="array" aca="1" ref="AG102" ca="1">IF($AF102="",0,SimpleLookup($AF102,Definitions!$AE:$AF))</f>
        <v>0</v>
      </c>
      <c r="AH102" s="9" t="str" cm="1">
        <f t="array" aca="1" ref="AH102" ca="1">IFERROR(SimpleLookup($A102,Tracing!$B:$Z),"")</f>
        <v/>
      </c>
      <c r="AI102" s="9" t="str" cm="1">
        <f t="array" aca="1" ref="AI102" ca="1">_xlfn.LET(_xlpm._dm,SanitizeInput(GetValuesWithFallback(SanitizeInput($AH102),Assumptions!$A:$J,Countermeasures!$A:$J,"",",",FALSE)),
IF(_xlpm._dm="","",","&amp;_xlpm._dm))</f>
        <v/>
      </c>
      <c r="AJ102" s="9" t="str" cm="1">
        <f t="array" aca="1" ref="AJ102" ca="1">ApplyDamageMitigation($M102,$AI102,"")</f>
        <v/>
      </c>
      <c r="AK102" s="9" cm="1">
        <f t="array" aca="1" ref="AK102" ca="1">CalculateMaxFromList($AJ102,0,'Damage Scenarios'!$A:$U)</f>
        <v>0</v>
      </c>
      <c r="AL102" s="9" t="str">
        <f ca="1">IF($AK102=0,"",INDEX(Definitions!$Q:$Q,MATCH($AK102,Definitions!$R:$R,0)))</f>
        <v/>
      </c>
      <c r="AM102" s="9" cm="1">
        <f t="array" aca="1" ref="AM102" ca="1">IF($K102="",0,_xlfn.LET(
_xlpm._listOfAttackStepsAndMitigations,$K102&amp;$AH102,
_xlpm._numberOfFactors,MAX(Definitions!$AB:$AB),
OperateOnRange(
  'Attack Steps'!$H$2,
  TRUE,
  _xlpm._numberOfFactors,
  0,
  _xlfn.LAMBDA(_xlpm._factorClass,_xlfn.LET(
    _xlpm._maxForFactor,OperateOnList(
      _xlpm._listOfAttackStepsAndMitigations,
      _xlfn.LAMBDA(_xlpm._attackCountermeasureOrAssumption,_xlfn.LET(
        _xlpm._factorNum,COLUMN(_xlpm._factorClass)-COLUMN('Attack Steps'!$H$2),
        _xlpm._factorName,IFERROR(VLOOKUP(_xlpm._attackCountermeasureOrAssumption,'Attack Steps'!$A:$L,COLUMNS('Attack Steps'!$A:$H)+_xlpm._factorNum,FALSE),
          IFERROR(VLOOKUP(_xlpm._attackCountermeasureOrAssumption,Countermeasures!$A:$P,COLUMNS(Countermeasures!$A:$L)+_xlpm._factorNum,FALSE),
            VLOOKUP(_xlpm._attackCountermeasureOrAssumption,Assumptions!$A:$P,COLUMNS(Assumptions!$A:$L)+_xlpm._factorNum,FALSE))),
        IF(_xlpm._factorName="",0,SimpleLookup(_xlpm._factorName,Definitions!$Z:$AA)))),
      _xlfn.LAMBDA(_xlpm._x,_xlpm._y,MAX(_xlpm._x,_xlpm._y))),
    _xlpm._maxForFactor)),
  _xlfn.LAMBDA(_xlpm._x,_xlpm._y,_xlpm._x+_xlpm._y))))</f>
        <v>0</v>
      </c>
      <c r="AN102" s="9" t="str">
        <f ca="1">IFERROR(VLOOKUP($AM102,Definitions!$V:$W,COLUMNS(Definitions!$V:$W),TRUE),"")</f>
        <v>Basic</v>
      </c>
      <c r="AO102" s="9" t="str">
        <f ca="1">_xlfn.LET(
_xlpm._comments,SimpleLookup($A102,Tracing!$B:$AB),
_xlpm._attackPotentialHeader,Definitions!$W$3,
_xlpm._attackPotentialColumn,Definitions!$W:$W,
_xlpm._attackPotentialsRange,OFFSET(_xlpm._attackPotentialHeader,1,0,COUNTA(_xlpm._attackPotentialColumn),1),
_xlpm._parsedAttackPotentialA,ParseAttackPotentialFromComment(_xlpm._comments,Definitions!$AR$6,Definitions!$AS$4,_xlpm._attackPotentialsRange,0),
_xlpm._parsedAttackPotentialC,ParseAttackPotentialFromComment(_xlpm._comments,Definitions!$AR$6,Definitions!$AS$5,_xlpm._attackPotentialsRange,0),
_xlpm._parsedAttackPotentialValue,MAX(_xlpm._parsedAttackPotentialA,_xlpm._parsedAttackPotentialC),
IF(_xlpm._parsedAttackPotentialValue=0,"",OFFSET(_xlpm._attackPotentialHeader,_xlpm._parsedAttackPotentialValue,0)))</f>
        <v/>
      </c>
      <c r="AP102" s="9" t="str" cm="1">
        <f t="array" aca="1" ref="AP102" ca="1">_xlfn.LET(
_xlpm._rapRange,Definitions!$W:$W,
_xlpm._calculatedRAP,$AN102,
_xlpm._inlineRAP,$AO102,
_xlpm._calculatedRAPValue,IF(_xlpm._calculatedRAP="",0,MATCH(_xlpm._calculatedRAP,_xlpm._rapRange,0)),
_xlpm._inlineRAPValue,IF(_xlpm._inlineRAP="",0,MATCH(_xlpm._inlineRAP,_xlpm._rapRange,0)),
_xlpm._maxRAP,MAX(_xlpm._calculatedRAPValue,_xlpm._inlineRAPValue),
IF(_xlpm._maxRAP=0,"",INDEX(_xlpm._rapRange,_xlpm._maxRAP)))</f>
        <v>Basic</v>
      </c>
      <c r="AQ102" s="9" t="str">
        <f ca="1">IFERROR(IF(OR($AL102="",$AP102=""),
Definitions!$AE$4,
VLOOKUP($AL102,Definitions!$AH:$AM,MATCH($AP102,Definitions!$AH$3:$AM$3,0),FALSE)),
"")</f>
        <v>No Risk</v>
      </c>
      <c r="AR102" s="9" cm="1">
        <f t="array" aca="1" ref="AR102" ca="1">IF($AQ102="",0,SimpleLookup($AQ102,Definitions!$AE:$AF))</f>
        <v>0</v>
      </c>
      <c r="AS102" s="9" t="b">
        <f ca="1">OR(AND($S102,$I102=Helper!$B$7),$I102&gt;Helper!$B$7)</f>
        <v>1</v>
      </c>
      <c r="AT102" s="9" t="str">
        <f t="shared" ca="1" si="27"/>
        <v/>
      </c>
      <c r="AU102" s="9" cm="1">
        <f t="array" aca="1" ref="AU102" ca="1">CreateID($AU$2,$AT102&lt;&gt;"")</f>
        <v>0</v>
      </c>
      <c r="AV102" s="9" t="str">
        <f ca="1">IF(IFERROR(MATCH(","&amp;A102&amp;",",'Risk Treatment'!$AT:$AT,0)&gt;0,FALSE),"",$A102)</f>
        <v/>
      </c>
      <c r="AW102" s="9" cm="1">
        <f t="array" aca="1" ref="AW102" ca="1">CreateID($AW$2,$AV102&lt;&gt;"")</f>
        <v>0</v>
      </c>
      <c r="AX102" s="9" t="str" cm="1">
        <f t="array" aca="1" ref="AX102" ca="1">CreateSearchString($AA102)</f>
        <v/>
      </c>
    </row>
  </sheetData>
  <phoneticPr fontId="4" type="noConversion"/>
  <conditionalFormatting sqref="A1:G1048576">
    <cfRule type="expression" dxfId="61" priority="446">
      <formula>AND($AS1="",$AT1=FALSE,$AT1&lt;&gt;"")</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447" id="{3B498FEA-817E-40B2-BF1B-7C0D3E0B4AAA}">
            <xm:f>AND(ROW(A1)&gt;ROW(A$2),$A1="",ROW(A1)-ROW(A$2)&lt;=Helper!$B$13)</xm:f>
            <x14:dxf>
              <fill>
                <patternFill>
                  <bgColor rgb="FFFFB9B9"/>
                </patternFill>
              </fill>
            </x14:dxf>
          </x14:cfRule>
          <xm:sqref>A1:G1048576</xm:sqref>
        </x14:conditionalFormatting>
        <x14:conditionalFormatting xmlns:xm="http://schemas.microsoft.com/office/excel/2006/main">
          <x14:cfRule type="expression" priority="378" id="{B24F1A57-D384-4CE3-B6FE-59CBD6D2286C}">
            <xm:f>$G1=Definitions!$AE$4</xm:f>
            <x14:dxf>
              <font>
                <color theme="3" tint="-0.499984740745262"/>
              </font>
              <fill>
                <patternFill>
                  <bgColor theme="3" tint="0.59996337778862885"/>
                </patternFill>
              </fill>
            </x14:dxf>
          </x14:cfRule>
          <x14:cfRule type="expression" priority="379" id="{2DF7CA87-BED7-4229-899B-219DE7EA4117}">
            <xm:f>$G1=Definitions!$AE$5</xm:f>
            <x14:dxf>
              <font>
                <color theme="1"/>
              </font>
              <fill>
                <patternFill>
                  <bgColor rgb="FF99FFCC"/>
                </patternFill>
              </fill>
            </x14:dxf>
          </x14:cfRule>
          <x14:cfRule type="expression" priority="380" id="{5306B858-EBC3-4B93-BA24-7ED0DA905A6B}">
            <xm:f>$G1=Definitions!$AE$6</xm:f>
            <x14:dxf>
              <font>
                <color theme="1"/>
              </font>
              <fill>
                <patternFill>
                  <bgColor rgb="FFCCFF33"/>
                </patternFill>
              </fill>
            </x14:dxf>
          </x14:cfRule>
          <x14:cfRule type="expression" priority="381" id="{0E7B7D04-E705-4365-8899-E0427428ECAE}">
            <xm:f>$G1=Definitions!$AE$7</xm:f>
            <x14:dxf>
              <font>
                <color theme="1"/>
              </font>
              <fill>
                <patternFill>
                  <bgColor rgb="FFFFCC00"/>
                </patternFill>
              </fill>
            </x14:dxf>
          </x14:cfRule>
          <x14:cfRule type="expression" priority="382" id="{45B3F720-84CE-4E7C-ADC5-50091246A65A}">
            <xm:f>$G1=Definitions!$AE$8</xm:f>
            <x14:dxf>
              <font>
                <color theme="1"/>
              </font>
              <fill>
                <patternFill>
                  <bgColor rgb="FFFF3300"/>
                </patternFill>
              </fill>
            </x14:dxf>
          </x14:cfRule>
          <xm:sqref>G1:G1048576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00BD4-9312-4775-A47D-90BF49352759}">
  <sheetPr>
    <tabColor theme="1" tint="0.14999847407452621"/>
    <pageSetUpPr fitToPage="1"/>
  </sheetPr>
  <dimension ref="A1:AN43"/>
  <sheetViews>
    <sheetView workbookViewId="0">
      <pane xSplit="5" ySplit="2" topLeftCell="F3" activePane="bottomRight" state="frozen"/>
      <selection pane="topRight" activeCell="F1" sqref="F1"/>
      <selection pane="bottomLeft" activeCell="A2" sqref="A2"/>
      <selection pane="bottomRight" activeCell="J3" sqref="J3"/>
    </sheetView>
  </sheetViews>
  <sheetFormatPr defaultColWidth="9.140625" defaultRowHeight="15" outlineLevelCol="2" x14ac:dyDescent="0.25"/>
  <cols>
    <col min="1" max="1" width="9.140625" style="7"/>
    <col min="2" max="2" width="30.7109375" style="7" customWidth="1"/>
    <col min="3" max="3" width="21.28515625" style="7" hidden="1" customWidth="1" outlineLevel="2"/>
    <col min="4" max="4" width="70.7109375" style="7" hidden="1" customWidth="1" outlineLevel="1"/>
    <col min="5" max="5" width="15.7109375" style="7" customWidth="1" collapsed="1"/>
    <col min="6" max="8" width="15.7109375" style="7" customWidth="1" outlineLevel="1"/>
    <col min="9" max="9" width="30.7109375" style="7" customWidth="1" outlineLevel="1"/>
    <col min="10" max="10" width="15.7109375" style="4" customWidth="1"/>
    <col min="11" max="11" width="30.7109375" style="7" customWidth="1"/>
    <col min="12" max="12" width="21.28515625" style="4" hidden="1" customWidth="1" outlineLevel="2"/>
    <col min="13" max="13" width="70.7109375" style="7" customWidth="1" outlineLevel="1" collapsed="1"/>
    <col min="14" max="14" width="15.7109375" style="7" customWidth="1"/>
    <col min="15" max="15" width="40.7109375" style="4" customWidth="1"/>
    <col min="16" max="17" width="12.5703125" style="2" hidden="1" customWidth="1"/>
    <col min="18" max="18" width="9.140625" style="2" hidden="1" customWidth="1"/>
    <col min="19" max="19" width="24.42578125" style="2" hidden="1" customWidth="1"/>
    <col min="20" max="20" width="9.140625" style="2" hidden="1" customWidth="1"/>
    <col min="21" max="21" width="13.5703125" style="2" hidden="1" customWidth="1"/>
    <col min="22" max="22" width="9.140625" style="2" hidden="1" customWidth="1"/>
    <col min="23" max="23" width="14.5703125" style="2" hidden="1" customWidth="1"/>
    <col min="24" max="24" width="19" style="2" hidden="1" customWidth="1"/>
    <col min="25" max="25" width="19.5703125" style="2" hidden="1" customWidth="1"/>
    <col min="26" max="27" width="26.28515625" style="2" hidden="1" customWidth="1"/>
    <col min="28" max="29" width="30.7109375" style="2" hidden="1" customWidth="1"/>
    <col min="30" max="30" width="22.28515625" style="2" hidden="1" customWidth="1"/>
    <col min="31" max="31" width="44.85546875" style="2" hidden="1" customWidth="1"/>
    <col min="32" max="32" width="17.42578125" style="2" hidden="1" customWidth="1"/>
    <col min="33" max="33" width="23.42578125" style="2" hidden="1" customWidth="1"/>
    <col min="34" max="34" width="12.7109375" style="2" hidden="1" customWidth="1"/>
    <col min="35" max="35" width="34" style="2" hidden="1" customWidth="1"/>
    <col min="36" max="36" width="32" style="2" hidden="1" customWidth="1"/>
    <col min="37" max="37" width="41.140625" style="2" hidden="1" customWidth="1"/>
    <col min="38" max="38" width="39" style="2" hidden="1" customWidth="1"/>
    <col min="39" max="39" width="16.7109375" style="2" hidden="1" customWidth="1"/>
    <col min="40" max="40" width="14.5703125" style="2" hidden="1" customWidth="1"/>
    <col min="41" max="16384" width="9.140625" style="2"/>
  </cols>
  <sheetData>
    <row r="1" spans="1:40" s="80" customFormat="1" x14ac:dyDescent="0.25">
      <c r="A1" s="79" t="str" cm="1">
        <f t="array" aca="1" ref="A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HYPERLINK("#'"&amp;Helper!$G$2&amp;"'!"&amp;CHAR(CODE("A")+COLUMN(_xlpm._columnNameHeader)-1)&amp;_xlpm._entryOffset,Definitions!$AY$4)))(Helper!$G$13,A$2,README!$E:$E,README!$I$35,README!$B$35)</f>
        <v>◈</v>
      </c>
      <c r="B1" s="79" t="str" cm="1">
        <f t="array" aca="1" ref="B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HYPERLINK("#'"&amp;Helper!$G$2&amp;"'!"&amp;CHAR(CODE("A")+COLUMN(_xlpm._columnNameHeader)-1)&amp;_xlpm._entryOffset,Definitions!$AY$4)))(Helper!$G$13,B$2,README!$E:$E,README!$I$35,README!$B$35)</f>
        <v>◈</v>
      </c>
      <c r="C1" s="79" t="str" cm="1">
        <f t="array" aca="1" ref="C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HYPERLINK("#'"&amp;Helper!$G$2&amp;"'!"&amp;CHAR(CODE("A")+COLUMN(_xlpm._columnNameHeader)-1)&amp;_xlpm._entryOffset,Definitions!$AY$4)))(Helper!$G$13,C$2,README!$E:$E,README!$I$35,README!$B$35)</f>
        <v>◈</v>
      </c>
      <c r="D1" s="79" t="str" cm="1">
        <f t="array" aca="1" ref="D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HYPERLINK("#'"&amp;Helper!$G$2&amp;"'!"&amp;CHAR(CODE("A")+COLUMN(_xlpm._columnNameHeader)-1)&amp;_xlpm._entryOffset,Definitions!$AY$4)))(Helper!$G$13,D$2,README!$E:$E,README!$I$35,README!$B$35)</f>
        <v>◈</v>
      </c>
      <c r="E1" s="79" t="str" cm="1">
        <f t="array" aca="1" ref="E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HYPERLINK("#'"&amp;Helper!$G$2&amp;"'!"&amp;CHAR(CODE("A")+COLUMN(_xlpm._columnNameHeader)-1)&amp;_xlpm._entryOffset,Definitions!$AY$4)))(Helper!$G$13,E$2,README!$E:$E,README!$I$35,README!$B$35)</f>
        <v>◈</v>
      </c>
      <c r="F1" s="79" t="str" cm="1">
        <f t="array" aca="1" ref="F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HYPERLINK("#'"&amp;Helper!$G$2&amp;"'!"&amp;CHAR(CODE("A")+COLUMN(_xlpm._columnNameHeader)-1)&amp;_xlpm._entryOffset,Definitions!$AY$4)))(Helper!$G$13,F$2,README!$E:$E,README!$I$35,README!$B$35)</f>
        <v>◈</v>
      </c>
      <c r="G1" s="79" t="str" cm="1">
        <f t="array" aca="1" ref="G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HYPERLINK("#'"&amp;Helper!$G$2&amp;"'!"&amp;CHAR(CODE("A")+COLUMN(_xlpm._columnNameHeader)-1)&amp;_xlpm._entryOffset,Definitions!$AY$4)))(Helper!$G$13,G$2,README!$E:$E,README!$I$35,README!$B$35)</f>
        <v>◈</v>
      </c>
      <c r="H1" s="79" t="str" cm="1">
        <f t="array" aca="1" ref="H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HYPERLINK("#'"&amp;Helper!$G$2&amp;"'!"&amp;CHAR(CODE("A")+COLUMN(_xlpm._columnNameHeader)-1)&amp;_xlpm._entryOffset,Definitions!$AY$4)))(Helper!$G$13,H$2,README!$E:$E,README!$I$35,README!$B$35)</f>
        <v>◈</v>
      </c>
      <c r="I1" s="79" t="str" cm="1">
        <f t="array" aca="1" ref="I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HYPERLINK("#'"&amp;Helper!$G$2&amp;"'!"&amp;CHAR(CODE("A")+COLUMN(_xlpm._columnNameHeader)-1)&amp;_xlpm._entryOffset,Definitions!$AY$4)))(Helper!$G$13,I$2,README!$E:$E,README!$I$35,README!$B$35)</f>
        <v>◈</v>
      </c>
      <c r="J1" s="79" t="str" cm="1">
        <f t="array" aca="1" ref="J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HYPERLINK("#'"&amp;Helper!$G$2&amp;"'!"&amp;CHAR(CODE("A")+COLUMN(_xlpm._columnNameHeader)-1)&amp;_xlpm._entryOffset,Definitions!$AY$4)))(Helper!$G$13,J$2,README!$E:$E,README!$I$35,README!$B$35)</f>
        <v>◈</v>
      </c>
      <c r="K1" s="79" t="str" cm="1">
        <f t="array" aca="1" ref="K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HYPERLINK("#'"&amp;Helper!$G$2&amp;"'!"&amp;CHAR(CODE("A")+COLUMN(_xlpm._columnNameHeader)-1)&amp;_xlpm._entryOffset,Definitions!$AY$4)))(Helper!$G$13,K$2,README!$E:$E,README!$I$35,README!$B$35)</f>
        <v>◈</v>
      </c>
      <c r="L1" s="79" t="str" cm="1">
        <f t="array" aca="1" ref="L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HYPERLINK("#'"&amp;Helper!$G$2&amp;"'!"&amp;CHAR(CODE("A")+COLUMN(_xlpm._columnNameHeader)-1)&amp;_xlpm._entryOffset,Definitions!$AY$4)))(Helper!$G$13,L$2,README!$E:$E,README!$I$35,README!$B$35)</f>
        <v>◈</v>
      </c>
      <c r="M1" s="79" t="str" cm="1">
        <f t="array" aca="1" ref="M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HYPERLINK("#'"&amp;Helper!$G$2&amp;"'!"&amp;CHAR(CODE("A")+COLUMN(_xlpm._columnNameHeader)-1)&amp;_xlpm._entryOffset,Definitions!$AY$4)))(Helper!$G$13,M$2,README!$E:$E,README!$I$35,README!$B$35)</f>
        <v>◈</v>
      </c>
      <c r="N1" s="79" t="str" cm="1">
        <f t="array" aca="1" ref="N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HYPERLINK("#'"&amp;Helper!$G$2&amp;"'!"&amp;CHAR(CODE("A")+COLUMN(_xlpm._columnNameHeader)-1)&amp;_xlpm._entryOffset,Definitions!$AY$4)))(Helper!$G$13,N$2,README!$E:$E,README!$I$35,README!$B$35)</f>
        <v>◈</v>
      </c>
      <c r="O1" s="79" t="str" cm="1">
        <f t="array" aca="1" ref="O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HYPERLINK("#'"&amp;Helper!$G$2&amp;"'!"&amp;CHAR(CODE("A")+COLUMN(_xlpm._columnNameHeader)-1)&amp;_xlpm._entryOffset,Definitions!$AY$4)))(Helper!$G$13,O$2,README!$E:$E,README!$I$35,README!$B$35)</f>
        <v>◈</v>
      </c>
    </row>
    <row r="2" spans="1:40" ht="63.75" x14ac:dyDescent="0.25">
      <c r="A2" s="13" t="s">
        <v>241</v>
      </c>
      <c r="B2" s="13" t="s">
        <v>78</v>
      </c>
      <c r="C2" s="10" t="s">
        <v>1139</v>
      </c>
      <c r="D2" s="13" t="s">
        <v>255</v>
      </c>
      <c r="E2" s="13" t="s">
        <v>242</v>
      </c>
      <c r="F2" s="13" t="s">
        <v>1140</v>
      </c>
      <c r="G2" s="13" t="s">
        <v>763</v>
      </c>
      <c r="H2" s="13" t="s">
        <v>766</v>
      </c>
      <c r="I2" s="13" t="s">
        <v>234</v>
      </c>
      <c r="J2" s="10" t="s">
        <v>235</v>
      </c>
      <c r="K2" s="13" t="s">
        <v>233</v>
      </c>
      <c r="L2" s="10" t="s">
        <v>796</v>
      </c>
      <c r="M2" s="13" t="s">
        <v>254</v>
      </c>
      <c r="N2" s="7" t="s">
        <v>424</v>
      </c>
      <c r="O2" s="10" t="s">
        <v>1529</v>
      </c>
      <c r="P2" s="9" t="s">
        <v>47</v>
      </c>
      <c r="Q2" s="9" t="s">
        <v>196</v>
      </c>
      <c r="R2" s="9" t="s">
        <v>75</v>
      </c>
      <c r="S2" s="9" t="s">
        <v>256</v>
      </c>
      <c r="T2" s="9" t="s">
        <v>245</v>
      </c>
      <c r="U2" s="9" t="s">
        <v>247</v>
      </c>
      <c r="V2" s="9" t="s">
        <v>252</v>
      </c>
      <c r="W2" s="9" t="s">
        <v>253</v>
      </c>
      <c r="X2" s="9" t="s">
        <v>356</v>
      </c>
      <c r="Y2" s="9" t="s">
        <v>404</v>
      </c>
      <c r="Z2" s="9" t="s">
        <v>499</v>
      </c>
      <c r="AA2" s="9" t="s">
        <v>500</v>
      </c>
      <c r="AB2" s="9" t="s">
        <v>518</v>
      </c>
      <c r="AC2" s="9" t="s">
        <v>519</v>
      </c>
      <c r="AD2" s="9" t="s">
        <v>538</v>
      </c>
      <c r="AE2" s="9" t="s">
        <v>953</v>
      </c>
      <c r="AF2" s="9" t="s">
        <v>954</v>
      </c>
      <c r="AG2" s="9" t="s">
        <v>1098</v>
      </c>
      <c r="AH2" s="9" t="s">
        <v>1168</v>
      </c>
      <c r="AI2" s="9" t="s">
        <v>1166</v>
      </c>
      <c r="AJ2" s="9" t="s">
        <v>1167</v>
      </c>
      <c r="AK2" s="9" t="s">
        <v>1169</v>
      </c>
      <c r="AL2" s="9" t="s">
        <v>1170</v>
      </c>
      <c r="AM2" s="9" t="s">
        <v>1285</v>
      </c>
      <c r="AN2" s="9" t="s">
        <v>1286</v>
      </c>
    </row>
    <row r="3" spans="1:40" ht="45" x14ac:dyDescent="0.25">
      <c r="A3" s="13" t="str" cm="1">
        <f t="array" aca="1" ref="A3" ca="1">IF($R3=0,"",INDEX('Attack Steps'!A:A,$R3))</f>
        <v>AS1</v>
      </c>
      <c r="B3" s="13" t="str" cm="1">
        <f t="array" aca="1" ref="B3" ca="1">IF($R3=0,"",INDEX('Attack Steps'!B:B,$R3))</f>
        <v>Getting access to a trusted operational environment</v>
      </c>
      <c r="C3" s="10">
        <f>3</f>
        <v>3</v>
      </c>
      <c r="D3" s="16" t="str" cm="1">
        <f t="array" aca="1" ref="D3" ca="1">_xlfn.LET(
_xlpm._displayLimit,$C3,
_xlpm._risks,$S3,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3" s="13" t="str" cm="1">
        <f t="array" aca="1" ref="E3" ca="1">_xlfn.LET(_xlpm._riskValue,CalculateMaxFromList($T3,0,Risks!$A:$Z),
INDEX(Definitions!$AE:$AE,MATCH(_xlpm._riskValue,Definitions!$AF:$AF,0)))</f>
        <v>No Risk</v>
      </c>
      <c r="F3" s="13" t="str" cm="1">
        <f t="array" aca="1" ref="F3" ca="1">IF($A3="","",SUBSTITUTE(RemoveDelimiter(SanitizeInput(SimpleLookup($A3,'Attack Steps'!$A:$AA)),","),",",", "))</f>
        <v/>
      </c>
      <c r="G3" s="13" t="str" cm="1">
        <f t="array" aca="1" ref="G3" ca="1">IF($A3="","",SUBSTITUTE(RemoveDelimiter(SanitizeInput(SimpleLookup($A3,'Attack Steps'!$A:$AB)),","),",",", "))</f>
        <v/>
      </c>
      <c r="H3" s="55" t="str" cm="1">
        <f t="array" aca="1" ref="H3" ca="1">IF($A3="","",_xlfn.LET(
_xlpm._proposedActive,SanitizeInput($G3),
_xlpm._proposedAll,SimpleLookup($A3,'Attack Steps'!$A:$AC),
_xlpm._proposedDiff,FilterElementsFromList(_xlpm._proposedAll,_xlpm._proposedActive,FALSE,","),
SUBSTITUTE(RemoveDelimiter(SanitizeInput(_xlpm._proposedDiff),","),",",", ")))</f>
        <v>A12</v>
      </c>
      <c r="I3" s="13" t="str" cm="1">
        <f t="array" aca="1" ref="I3" ca="1">RemoveDelimiter(GetValuesWithFallback(SanitizeInput($F3)&amp;SanitizeInput($G3)&amp;SanitizeInput($H3),Countermeasures!$A:$B,Assumptions!$A:$B," ",","&amp;CHAR(10),TRUE),","&amp;CHAR(10))</f>
        <v>A12 SDR 1.10 – Device operates in trustworthy operational environment</v>
      </c>
      <c r="J3" s="10"/>
      <c r="K3" s="13" t="str" cm="1">
        <f t="array" ref="K3">RemoveDelimiter(GetValuesWithFallback(SanitizeInput($J3),Countermeasures!$A:$B,Assumptions!$A:$B," ",","&amp;CHAR(10),TRUE),","&amp;CHAR(10))</f>
        <v/>
      </c>
      <c r="L3" s="10">
        <f>3</f>
        <v>3</v>
      </c>
      <c r="M3" s="16" t="str" cm="1">
        <f t="array" aca="1" ref="M3" ca="1">_xlfn.LET(
_xlpm._displayLimit,$L3,
_xlpm._risks,$V3,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3" s="13" t="str">
        <f ca="1">INDEX(Definitions!$AE:$AE,MATCH($W3,Definitions!$AF:$AF,0))</f>
        <v>No Risk</v>
      </c>
      <c r="O3" s="10"/>
      <c r="P3" s="9" cm="1">
        <f t="array" aca="1" ref="P3" ca="1">CreateID($P$2,$A3&lt;&gt;"")</f>
        <v>1</v>
      </c>
      <c r="Q3" s="9" cm="1">
        <f t="array" ref="Q3">CreateTaskID($Q$2,$Q:$Q,Tasks!$B$17,$O3)</f>
        <v>0</v>
      </c>
      <c r="R3" s="9">
        <f ca="1">IFERROR(MATCH(ROW()-ROW($R$2),'Attack Steps'!$R:$R,0),0)</f>
        <v>3</v>
      </c>
      <c r="S3" s="9" t="str" cm="1">
        <f t="array" aca="1" ref="S3" ca="1">CalculateMaxAndElements($T3,0,"",Risks!$A:$Z)</f>
        <v>0:</v>
      </c>
      <c r="T3" s="9" t="str" cm="1">
        <f t="array" aca="1" ref="T3" ca="1">InverseLookup($A3,Risks!$Y$2,Risks!$A$2,1,Helper!$B$1,",")</f>
        <v/>
      </c>
      <c r="U3" s="9" t="str">
        <f t="shared" ref="U3:U16" ca="1" si="0">IF($T3="","",","&amp;$T3)</f>
        <v/>
      </c>
      <c r="V3" s="9" t="str" cm="1">
        <f t="array" aca="1" ref="V3" ca="1">CalculateMaxAndElements($T3,0,"",Risks!$A:$AG)</f>
        <v>0:</v>
      </c>
      <c r="W3" s="9">
        <f t="shared" ref="W3:W16" ca="1" si="1">IF($V3="","",VALUE(LEFT($V3,FIND(":",$V3)-1)))</f>
        <v>0</v>
      </c>
      <c r="X3" s="9" t="str" cm="1">
        <f t="array" ref="X3">IF($J3="","",","&amp;SanitizeInput($J3))</f>
        <v/>
      </c>
      <c r="Y3" s="9" t="b" cm="1">
        <f t="array" aca="1" ref="Y3" ca="1">INDEX('Attack Steps'!$AE:$AE,$R3)</f>
        <v>0</v>
      </c>
      <c r="Z3" s="9" cm="1">
        <f t="array" aca="1" ref="Z3" ca="1">CreateID($Z$2,IFERROR(FIND(Definitions!$AR$4,$O3)&gt;0,FALSE))</f>
        <v>0</v>
      </c>
      <c r="AA3" s="9">
        <f>_xlfn.LET(
_xlpm._comment,$O3,
_xlpm._keyWord,Definitions!$AR$4,
_xlpm._diffLen,LEN(_xlpm._comment)-LEN(SUBSTITUTE(_xlpm._comment,_xlpm._keyWord,"")),
_xlpm._diffLen/LEN(_xlpm._keyWord))</f>
        <v>0</v>
      </c>
      <c r="AB3" s="9" cm="1">
        <f t="array" aca="1" ref="AB3" ca="1">CreateID($AB$2,IFERROR(FIND(Definitions!$AR$5,$O3)&gt;0,FALSE))</f>
        <v>0</v>
      </c>
      <c r="AC3" s="9">
        <f>_xlfn.LET(
_xlpm._comment,$O3,
_xlpm._keyWord,Definitions!$AR$5,
_xlpm._diffLen,LEN(_xlpm._comment)-LEN(SUBSTITUTE(_xlpm._comment,_xlpm._keyWord,"")),
_xlpm._diffLen/LEN(_xlpm._keyWord))</f>
        <v>0</v>
      </c>
      <c r="AD3" s="9" t="str" cm="1">
        <f t="array" ref="AD3">CreateSearchString($J3)</f>
        <v/>
      </c>
      <c r="AE3" s="9" t="str" cm="1">
        <f t="array" aca="1" ref="AE3" ca="1">_xlfn.LET(
_xlpm._selected,SanitizeInput($J3),
_xlpm._catalogOptions,SanitizeInput($F3)&amp;SanitizeInput($G3)&amp;SanitizeInput($H3),
_xlpm._selectedNotInOptions,FilterElementsFromList(_xlpm._selected,_xlpm._catalogOptions,FALSE,","),
IF(_xlpm._selectedNotInOptions="","",$A3&amp;" "&amp;$B3&amp;": "&amp;SUBSTITUTE(RemoveDelimiter(_xlpm._selectedNotInOptions,","),",",", ")))</f>
        <v/>
      </c>
      <c r="AF3" s="9" cm="1">
        <f t="array" aca="1" ref="AF3" ca="1">CreateID($AF$2,$AE3&lt;&gt;"")</f>
        <v>0</v>
      </c>
      <c r="AG3" s="9" t="str" cm="1">
        <f t="array" aca="1" ref="AG3" ca="1">_xlfn.LET(
_xlpm._delimiter,","&amp;CHAR(10),
_xlpm._assumptions,ParseAllMitigationsFromComment($A3,"-","A",$O3,Definitions!$AR$4,Definitions!$AS$4,Definitions!$AR$6,_xlpm._delimiter,1),
_xlpm._countermeasures,ParseAllMitigationsFromComment($A3,"-","C",$O3,Definitions!$AR$5,Definitions!$AS$5,Definitions!$AR$6,_xlpm._delimiter,1),
IF(_xlpm._countermeasures="",RemoveDelimiter(_xlpm._assumptions,_xlpm._delimiter),_xlpm._assumptions&amp;RemoveDelimiter(_xlpm._countermeasures,_xlpm._delimiter)))</f>
        <v/>
      </c>
      <c r="AH3" s="9" t="str" cm="1">
        <f t="array" ref="AH3">CreateSearchString(SanitizeInput($J3)&amp;GetValuesIgnoreErrors(SanitizeInput($J3),Countermeasures!$A:$H,"",",",FALSE))</f>
        <v/>
      </c>
      <c r="AI3" s="9" t="str" cm="1">
        <f t="array" aca="1" ref="AI3" ca="1">IF(AND(IFERROR(FIND(","&amp;Countermeasures!$A$31&amp;",",$AH3)&gt;0,FALSE),Countermeasures!$AB$31=TRUE,SimpleLookup(Questions!$A$48,Questionnaire!$B:$D)=Definitions!$A$5),$A3&amp;" "&amp;$B3,"")</f>
        <v/>
      </c>
      <c r="AJ3" s="9" cm="1">
        <f t="array" aca="1" ref="AJ3" ca="1">CreateID($AJ$2,$AI3&lt;&gt;"")</f>
        <v>0</v>
      </c>
      <c r="AK3" s="9" t="str">
        <f t="shared" ref="AK3:AK41" ca="1" si="2">IF(AND($Y3=FALSE,$J3&lt;&gt;""),$A3&amp;" "&amp;$B3,"")</f>
        <v/>
      </c>
      <c r="AL3" s="9" cm="1">
        <f t="array" aca="1" ref="AL3" ca="1">CreateID($AL$2,$AK3&lt;&gt;"")</f>
        <v>0</v>
      </c>
      <c r="AM3" s="9" t="str">
        <f t="shared" ref="AM3:AM42" si="3">IF(IFERROR(FIND("ERROR:",$K3)&gt;0,FALSE),$A3&amp;" "&amp;$B3,"")</f>
        <v/>
      </c>
      <c r="AN3" s="9" cm="1">
        <f t="array" aca="1" ref="AN3" ca="1">CreateID($AN$2,$AM3&lt;&gt;"")</f>
        <v>0</v>
      </c>
    </row>
    <row r="4" spans="1:40" ht="45" x14ac:dyDescent="0.25">
      <c r="A4" s="13" t="str" cm="1">
        <f t="array" aca="1" ref="A4" ca="1">IF($R4=0,"",INDEX('Attack Steps'!A:A,$R4))</f>
        <v>AS2</v>
      </c>
      <c r="B4" s="13" t="str" cm="1">
        <f t="array" aca="1" ref="B4" ca="1">IF($R4=0,"",INDEX('Attack Steps'!B:B,$R4))</f>
        <v>Getting access to a wireless network</v>
      </c>
      <c r="C4" s="10">
        <f>3</f>
        <v>3</v>
      </c>
      <c r="D4" s="16" t="str" cm="1">
        <f t="array" aca="1" ref="D4" ca="1">_xlfn.LET(
_xlpm._displayLimit,$C4,
_xlpm._risks,$S4,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4" s="13" t="str" cm="1">
        <f t="array" aca="1" ref="E4" ca="1">_xlfn.LET(_xlpm._riskValue,CalculateMaxFromList($T4,0,Risks!$A:$Z),
INDEX(Definitions!$AE:$AE,MATCH(_xlpm._riskValue,Definitions!$AF:$AF,0)))</f>
        <v>No Risk</v>
      </c>
      <c r="F4" s="13" t="str" cm="1">
        <f t="array" aca="1" ref="F4" ca="1">IF($A4="","",SUBSTITUTE(RemoveDelimiter(SanitizeInput(SimpleLookup($A4,'Attack Steps'!$A:$AA)),","),",",", "))</f>
        <v>CM20</v>
      </c>
      <c r="G4" s="13" t="str" cm="1">
        <f t="array" aca="1" ref="G4" ca="1">IF($A4="","",SUBSTITUTE(RemoveDelimiter(SanitizeInput(SimpleLookup($A4,'Attack Steps'!$A:$AB)),","),",",", "))</f>
        <v/>
      </c>
      <c r="H4" s="55" t="str" cm="1">
        <f t="array" aca="1" ref="H4" ca="1">IF($A4="","",_xlfn.LET(
_xlpm._proposedActive,SanitizeInput($G4),
_xlpm._proposedAll,SimpleLookup($A4,'Attack Steps'!$A:$AC),
_xlpm._proposedDiff,FilterElementsFromList(_xlpm._proposedAll,_xlpm._proposedActive,FALSE,","),
SUBSTITUTE(RemoveDelimiter(SanitizeInput(_xlpm._proposedDiff),","),",",", ")))</f>
        <v>A36</v>
      </c>
      <c r="I4" s="13" t="str" cm="1">
        <f t="array" aca="1" ref="I4" ca="1">RemoveDelimiter(GetValuesWithFallback(SanitizeInput($F4)&amp;SanitizeInput($G4)&amp;SanitizeInput($H4),Countermeasures!$A:$B,Assumptions!$A:$B," ",","&amp;CHAR(10),TRUE),","&amp;CHAR(10))</f>
        <v>CM20 SCR 2.11 - Secure Wi-Fi,
A36 SDR 1.18 - Well-protected trustworthy wireless network</v>
      </c>
      <c r="J4" s="10"/>
      <c r="K4" s="13" t="str" cm="1">
        <f t="array" ref="K4">RemoveDelimiter(GetValuesWithFallback(SanitizeInput($J4),Countermeasures!$A:$B,Assumptions!$A:$B," ",","&amp;CHAR(10),TRUE),","&amp;CHAR(10))</f>
        <v/>
      </c>
      <c r="L4" s="10">
        <f>3</f>
        <v>3</v>
      </c>
      <c r="M4" s="16" t="str" cm="1">
        <f t="array" aca="1" ref="M4" ca="1">_xlfn.LET(
_xlpm._displayLimit,$L4,
_xlpm._risks,$V4,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4" s="7" t="str">
        <f ca="1">INDEX(Definitions!$AE:$AE,MATCH($W4,Definitions!$AF:$AF,0))</f>
        <v>No Risk</v>
      </c>
      <c r="O4" s="10"/>
      <c r="P4" s="9" cm="1">
        <f t="array" aca="1" ref="P4" ca="1">CreateID($P$2,$A4&lt;&gt;"")</f>
        <v>2</v>
      </c>
      <c r="Q4" s="9" cm="1">
        <f t="array" ref="Q4">CreateTaskID($Q$2,$Q:$Q,Tasks!$B$17,$O4)</f>
        <v>0</v>
      </c>
      <c r="R4" s="9">
        <f ca="1">IFERROR(MATCH(ROW()-ROW($R$2),'Attack Steps'!$R:$R,0),0)</f>
        <v>4</v>
      </c>
      <c r="S4" s="9" t="str" cm="1">
        <f t="array" aca="1" ref="S4" ca="1">CalculateMaxAndElements($T4,0,"",Risks!$A:$Z)</f>
        <v>0:</v>
      </c>
      <c r="T4" s="9" t="str" cm="1">
        <f t="array" aca="1" ref="T4" ca="1">InverseLookup($A4,Risks!$Y$2,Risks!$A$2,1,Helper!$B$1,",")</f>
        <v/>
      </c>
      <c r="U4" s="9" t="str">
        <f t="shared" ca="1" si="0"/>
        <v/>
      </c>
      <c r="V4" s="9" t="str" cm="1">
        <f t="array" aca="1" ref="V4" ca="1">CalculateMaxAndElements($T4,0,"",Risks!$A:$AG)</f>
        <v>0:</v>
      </c>
      <c r="W4" s="9">
        <f t="shared" ca="1" si="1"/>
        <v>0</v>
      </c>
      <c r="X4" s="9" t="str" cm="1">
        <f t="array" ref="X4">IF($J4="","",","&amp;SanitizeInput($J4))</f>
        <v/>
      </c>
      <c r="Y4" s="9" t="b" cm="1">
        <f t="array" aca="1" ref="Y4" ca="1">INDEX('Attack Steps'!$AE:$AE,$R4)</f>
        <v>0</v>
      </c>
      <c r="Z4" s="9" cm="1">
        <f t="array" aca="1" ref="Z4" ca="1">CreateID($Z$2,IFERROR(FIND(Definitions!$AR$4,$O4)&gt;0,FALSE))</f>
        <v>0</v>
      </c>
      <c r="AA4" s="9">
        <f>_xlfn.LET(
_xlpm._comment,$O4,
_xlpm._keyWord,Definitions!$AR$4,
_xlpm._diffLen,LEN(_xlpm._comment)-LEN(SUBSTITUTE(_xlpm._comment,_xlpm._keyWord,"")),
_xlpm._diffLen/LEN(_xlpm._keyWord))</f>
        <v>0</v>
      </c>
      <c r="AB4" s="9" cm="1">
        <f t="array" aca="1" ref="AB4" ca="1">CreateID($AB$2,IFERROR(FIND(Definitions!$AR$5,$O4)&gt;0,FALSE))</f>
        <v>0</v>
      </c>
      <c r="AC4" s="9">
        <f>_xlfn.LET(
_xlpm._comment,$O4,
_xlpm._keyWord,Definitions!$AR$5,
_xlpm._diffLen,LEN(_xlpm._comment)-LEN(SUBSTITUTE(_xlpm._comment,_xlpm._keyWord,"")),
_xlpm._diffLen/LEN(_xlpm._keyWord))</f>
        <v>0</v>
      </c>
      <c r="AD4" s="9" t="str" cm="1">
        <f t="array" ref="AD4">CreateSearchString($J4)</f>
        <v/>
      </c>
      <c r="AE4" s="9" t="str" cm="1">
        <f t="array" aca="1" ref="AE4" ca="1">_xlfn.LET(
_xlpm._selected,SanitizeInput($J4),
_xlpm._catalogOptions,SanitizeInput($F4)&amp;SanitizeInput($G4)&amp;SanitizeInput($H4),
_xlpm._selectedNotInOptions,FilterElementsFromList(_xlpm._selected,_xlpm._catalogOptions,FALSE,","),
IF(_xlpm._selectedNotInOptions="","",$A4&amp;" "&amp;$B4&amp;": "&amp;SUBSTITUTE(RemoveDelimiter(_xlpm._selectedNotInOptions,","),",",", ")))</f>
        <v/>
      </c>
      <c r="AF4" s="9" cm="1">
        <f t="array" aca="1" ref="AF4" ca="1">CreateID($AF$2,$AE4&lt;&gt;"")</f>
        <v>0</v>
      </c>
      <c r="AG4" s="9" t="str" cm="1">
        <f t="array" aca="1" ref="AG4" ca="1">_xlfn.LET(
_xlpm._delimiter,","&amp;CHAR(10),
_xlpm._assumptions,ParseAllMitigationsFromComment($A4,"-","A",$O4,Definitions!$AR$4,Definitions!$AS$4,Definitions!$AR$6,_xlpm._delimiter,1),
_xlpm._countermeasures,ParseAllMitigationsFromComment($A4,"-","C",$O4,Definitions!$AR$5,Definitions!$AS$5,Definitions!$AR$6,_xlpm._delimiter,1),
IF(_xlpm._countermeasures="",RemoveDelimiter(_xlpm._assumptions,_xlpm._delimiter),_xlpm._assumptions&amp;RemoveDelimiter(_xlpm._countermeasures,_xlpm._delimiter)))</f>
        <v/>
      </c>
      <c r="AH4" s="9" t="str" cm="1">
        <f t="array" ref="AH4">CreateSearchString(SanitizeInput($J4)&amp;GetValuesIgnoreErrors(SanitizeInput($J4),Countermeasures!$A:$H,"",",",FALSE))</f>
        <v/>
      </c>
      <c r="AI4" s="9" t="str" cm="1">
        <f t="array" aca="1" ref="AI4" ca="1">IF(AND(IFERROR(FIND(","&amp;Countermeasures!$A$31&amp;",",$AH4)&gt;0,FALSE),Countermeasures!$AB$31=TRUE,SimpleLookup(Questions!$A$48,Questionnaire!$B:$D)=Definitions!$A$5),$A4&amp;" "&amp;$B4,"")</f>
        <v/>
      </c>
      <c r="AJ4" s="9" cm="1">
        <f t="array" aca="1" ref="AJ4" ca="1">CreateID($AJ$2,$AI4&lt;&gt;"")</f>
        <v>0</v>
      </c>
      <c r="AK4" s="9" t="str">
        <f t="shared" ca="1" si="2"/>
        <v/>
      </c>
      <c r="AL4" s="9" cm="1">
        <f t="array" aca="1" ref="AL4" ca="1">CreateID($AL$2,$AK4&lt;&gt;"")</f>
        <v>0</v>
      </c>
      <c r="AM4" s="9" t="str">
        <f t="shared" si="3"/>
        <v/>
      </c>
      <c r="AN4" s="9" cm="1">
        <f t="array" aca="1" ref="AN4" ca="1">CreateID($AN$2,$AM4&lt;&gt;"")</f>
        <v>0</v>
      </c>
    </row>
    <row r="5" spans="1:40" ht="90" x14ac:dyDescent="0.25">
      <c r="A5" s="13" t="str" cm="1">
        <f t="array" aca="1" ref="A5" ca="1">IF($R5=0,"",INDEX('Attack Steps'!A:A,$R5))</f>
        <v>AS3</v>
      </c>
      <c r="B5" s="13" t="str" cm="1">
        <f t="array" aca="1" ref="B5" ca="1">IF($R5=0,"",INDEX('Attack Steps'!B:B,$R5))</f>
        <v>Compromising the product using a software vulnerability</v>
      </c>
      <c r="C5" s="10">
        <f>3</f>
        <v>3</v>
      </c>
      <c r="D5" s="16" t="str" cm="1">
        <f t="array" aca="1" ref="D5" ca="1">_xlfn.LET(
_xlpm._displayLimit,$C5,
_xlpm._risks,$S5,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5" s="13" t="str" cm="1">
        <f t="array" aca="1" ref="E5" ca="1">_xlfn.LET(_xlpm._riskValue,CalculateMaxFromList($T5,0,Risks!$A:$Z),
INDEX(Definitions!$AE:$AE,MATCH(_xlpm._riskValue,Definitions!$AF:$AF,0)))</f>
        <v>No Risk</v>
      </c>
      <c r="F5" s="13" t="str" cm="1">
        <f t="array" aca="1" ref="F5" ca="1">IF($A5="","",SUBSTITUTE(RemoveDelimiter(SanitizeInput(SimpleLookup($A5,'Attack Steps'!$A:$AA)),","),",",", "))</f>
        <v>CM2, CM21, CM22</v>
      </c>
      <c r="G5" s="13" t="str" cm="1">
        <f t="array" aca="1" ref="G5" ca="1">IF($A5="","",SUBSTITUTE(RemoveDelimiter(SanitizeInput(SimpleLookup($A5,'Attack Steps'!$A:$AB)),","),",",", "))</f>
        <v/>
      </c>
      <c r="H5" s="55" t="str" cm="1">
        <f t="array" aca="1" ref="H5" ca="1">IF($A5="","",_xlfn.LET(
_xlpm._proposedActive,SanitizeInput($G5),
_xlpm._proposedAll,SimpleLookup($A5,'Attack Steps'!$A:$AC),
_xlpm._proposedDiff,FilterElementsFromList(_xlpm._proposedAll,_xlpm._proposedActive,FALSE,","),
SUBSTITUTE(RemoveDelimiter(SanitizeInput(_xlpm._proposedDiff),","),",",", ")))</f>
        <v/>
      </c>
      <c r="I5" s="13" t="str" cm="1">
        <f t="array" aca="1" ref="I5" ca="1">RemoveDelimiter(GetValuesWithFallback(SanitizeInput($F5)&amp;SanitizeInput($G5)&amp;SanitizeInput($H5),Countermeasures!$A:$B,Assumptions!$A:$B," ",","&amp;CHAR(10),TRUE),","&amp;CHAR(10))</f>
        <v>CM2 CRA-compliant SDL and vulnerability management,
CM21 SCR 2.12 - Trusted Execution Environment (TEE),
CM22 SCR 2.18 - Isolation using virtualization or containers</v>
      </c>
      <c r="J5" s="10"/>
      <c r="K5" s="13" t="str" cm="1">
        <f t="array" ref="K5">RemoveDelimiter(GetValuesWithFallback(SanitizeInput($J5),Countermeasures!$A:$B,Assumptions!$A:$B," ",","&amp;CHAR(10),TRUE),","&amp;CHAR(10))</f>
        <v/>
      </c>
      <c r="L5" s="10">
        <f>3</f>
        <v>3</v>
      </c>
      <c r="M5" s="16" t="str" cm="1">
        <f t="array" aca="1" ref="M5" ca="1">_xlfn.LET(
_xlpm._displayLimit,$L5,
_xlpm._risks,$V5,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5" s="13" t="str">
        <f ca="1">INDEX(Definitions!$AE:$AE,MATCH($W5,Definitions!$AF:$AF,0))</f>
        <v>No Risk</v>
      </c>
      <c r="O5" s="10"/>
      <c r="P5" s="9" cm="1">
        <f t="array" aca="1" ref="P5" ca="1">CreateID($P$2,$A5&lt;&gt;"")</f>
        <v>3</v>
      </c>
      <c r="Q5" s="9" cm="1">
        <f t="array" ref="Q5">CreateTaskID($Q$2,$Q:$Q,Tasks!$B$17,$O5)</f>
        <v>0</v>
      </c>
      <c r="R5" s="9">
        <f ca="1">IFERROR(MATCH(ROW()-ROW($R$2),'Attack Steps'!$R:$R,0),0)</f>
        <v>5</v>
      </c>
      <c r="S5" s="9" t="str" cm="1">
        <f t="array" aca="1" ref="S5" ca="1">CalculateMaxAndElements($T5,0,"",Risks!$A:$Z)</f>
        <v>0:</v>
      </c>
      <c r="T5" s="9" t="str" cm="1">
        <f t="array" aca="1" ref="T5" ca="1">InverseLookup($A5,Risks!$Y$2,Risks!$A$2,1,Helper!$B$1,",")</f>
        <v/>
      </c>
      <c r="U5" s="9" t="str">
        <f t="shared" ca="1" si="0"/>
        <v/>
      </c>
      <c r="V5" s="9" t="str" cm="1">
        <f t="array" aca="1" ref="V5" ca="1">CalculateMaxAndElements($T5,0,"",Risks!$A:$AG)</f>
        <v>0:</v>
      </c>
      <c r="W5" s="9">
        <f t="shared" ca="1" si="1"/>
        <v>0</v>
      </c>
      <c r="X5" s="9" t="str" cm="1">
        <f t="array" ref="X5">IF($J5="","",","&amp;SanitizeInput($J5))</f>
        <v/>
      </c>
      <c r="Y5" s="9" t="b" cm="1">
        <f t="array" aca="1" ref="Y5" ca="1">INDEX('Attack Steps'!$AE:$AE,$R5)</f>
        <v>0</v>
      </c>
      <c r="Z5" s="9" cm="1">
        <f t="array" aca="1" ref="Z5" ca="1">CreateID($Z$2,IFERROR(FIND(Definitions!$AR$4,$O5)&gt;0,FALSE))</f>
        <v>0</v>
      </c>
      <c r="AA5" s="9">
        <f>_xlfn.LET(
_xlpm._comment,$O5,
_xlpm._keyWord,Definitions!$AR$4,
_xlpm._diffLen,LEN(_xlpm._comment)-LEN(SUBSTITUTE(_xlpm._comment,_xlpm._keyWord,"")),
_xlpm._diffLen/LEN(_xlpm._keyWord))</f>
        <v>0</v>
      </c>
      <c r="AB5" s="9" cm="1">
        <f t="array" aca="1" ref="AB5" ca="1">CreateID($AB$2,IFERROR(FIND(Definitions!$AR$5,$O5)&gt;0,FALSE))</f>
        <v>0</v>
      </c>
      <c r="AC5" s="9">
        <f>_xlfn.LET(
_xlpm._comment,$O5,
_xlpm._keyWord,Definitions!$AR$5,
_xlpm._diffLen,LEN(_xlpm._comment)-LEN(SUBSTITUTE(_xlpm._comment,_xlpm._keyWord,"")),
_xlpm._diffLen/LEN(_xlpm._keyWord))</f>
        <v>0</v>
      </c>
      <c r="AD5" s="9" t="str" cm="1">
        <f t="array" ref="AD5">CreateSearchString($J5)</f>
        <v/>
      </c>
      <c r="AE5" s="9" t="str" cm="1">
        <f t="array" aca="1" ref="AE5" ca="1">_xlfn.LET(
_xlpm._selected,SanitizeInput($J5),
_xlpm._catalogOptions,SanitizeInput($F5)&amp;SanitizeInput($G5)&amp;SanitizeInput($H5),
_xlpm._selectedNotInOptions,FilterElementsFromList(_xlpm._selected,_xlpm._catalogOptions,FALSE,","),
IF(_xlpm._selectedNotInOptions="","",$A5&amp;" "&amp;$B5&amp;": "&amp;SUBSTITUTE(RemoveDelimiter(_xlpm._selectedNotInOptions,","),",",", ")))</f>
        <v/>
      </c>
      <c r="AF5" s="9" cm="1">
        <f t="array" aca="1" ref="AF5" ca="1">CreateID($AF$2,$AE5&lt;&gt;"")</f>
        <v>0</v>
      </c>
      <c r="AG5" s="9" t="str" cm="1">
        <f t="array" aca="1" ref="AG5" ca="1">_xlfn.LET(
_xlpm._delimiter,","&amp;CHAR(10),
_xlpm._assumptions,ParseAllMitigationsFromComment($A5,"-","A",$O5,Definitions!$AR$4,Definitions!$AS$4,Definitions!$AR$6,_xlpm._delimiter,1),
_xlpm._countermeasures,ParseAllMitigationsFromComment($A5,"-","C",$O5,Definitions!$AR$5,Definitions!$AS$5,Definitions!$AR$6,_xlpm._delimiter,1),
IF(_xlpm._countermeasures="",RemoveDelimiter(_xlpm._assumptions,_xlpm._delimiter),_xlpm._assumptions&amp;RemoveDelimiter(_xlpm._countermeasures,_xlpm._delimiter)))</f>
        <v/>
      </c>
      <c r="AH5" s="9" t="str" cm="1">
        <f t="array" ref="AH5">CreateSearchString(SanitizeInput($J5)&amp;GetValuesIgnoreErrors(SanitizeInput($J5),Countermeasures!$A:$H,"",",",FALSE))</f>
        <v/>
      </c>
      <c r="AI5" s="9" t="str" cm="1">
        <f t="array" aca="1" ref="AI5" ca="1">IF(AND(IFERROR(FIND(","&amp;Countermeasures!$A$31&amp;",",$AH5)&gt;0,FALSE),Countermeasures!$AB$31=TRUE,SimpleLookup(Questions!$A$48,Questionnaire!$B:$D)=Definitions!$A$5),$A5&amp;" "&amp;$B5,"")</f>
        <v/>
      </c>
      <c r="AJ5" s="9" cm="1">
        <f t="array" aca="1" ref="AJ5" ca="1">CreateID($AJ$2,$AI5&lt;&gt;"")</f>
        <v>0</v>
      </c>
      <c r="AK5" s="9" t="str">
        <f t="shared" ca="1" si="2"/>
        <v/>
      </c>
      <c r="AL5" s="9" cm="1">
        <f t="array" aca="1" ref="AL5" ca="1">CreateID($AL$2,$AK5&lt;&gt;"")</f>
        <v>0</v>
      </c>
      <c r="AM5" s="9" t="str">
        <f t="shared" si="3"/>
        <v/>
      </c>
      <c r="AN5" s="9" cm="1">
        <f t="array" aca="1" ref="AN5" ca="1">CreateID($AN$2,$AM5&lt;&gt;"")</f>
        <v>0</v>
      </c>
    </row>
    <row r="6" spans="1:40" ht="75" x14ac:dyDescent="0.25">
      <c r="A6" s="13" t="str" cm="1">
        <f t="array" aca="1" ref="A6" ca="1">IF($R6=0,"",INDEX('Attack Steps'!A:A,$R6))</f>
        <v>AS4</v>
      </c>
      <c r="B6" s="13" t="str" cm="1">
        <f t="array" aca="1" ref="B6" ca="1">IF($R6=0,"",INDEX('Attack Steps'!B:B,$R6))</f>
        <v>Interrupting the product with a denial of service attack</v>
      </c>
      <c r="C6" s="10">
        <f>3</f>
        <v>3</v>
      </c>
      <c r="D6" s="16" t="str" cm="1">
        <f t="array" aca="1" ref="D6" ca="1">_xlfn.LET(
_xlpm._displayLimit,$C6,
_xlpm._risks,$S6,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6" s="13" t="str" cm="1">
        <f t="array" aca="1" ref="E6" ca="1">_xlfn.LET(_xlpm._riskValue,CalculateMaxFromList($T6,0,Risks!$A:$Z),
INDEX(Definitions!$AE:$AE,MATCH(_xlpm._riskValue,Definitions!$AF:$AF,0)))</f>
        <v>No Risk</v>
      </c>
      <c r="F6" s="13" t="str" cm="1">
        <f t="array" aca="1" ref="F6" ca="1">IF($A6="","",SUBSTITUTE(RemoveDelimiter(SanitizeInput(SimpleLookup($A6,'Attack Steps'!$A:$AA)),","),",",", "))</f>
        <v>C20, C21</v>
      </c>
      <c r="G6" s="13" t="str" cm="1">
        <f t="array" aca="1" ref="G6" ca="1">IF($A6="","",SUBSTITUTE(RemoveDelimiter(SanitizeInput(SimpleLookup($A6,'Attack Steps'!$A:$AB)),","),",",", "))</f>
        <v/>
      </c>
      <c r="H6" s="55" t="str" cm="1">
        <f t="array" aca="1" ref="H6" ca="1">IF($A6="","",_xlfn.LET(
_xlpm._proposedActive,SanitizeInput($G6),
_xlpm._proposedAll,SimpleLookup($A6,'Attack Steps'!$A:$AC),
_xlpm._proposedDiff,FilterElementsFromList(_xlpm._proposedAll,_xlpm._proposedActive,FALSE,","),
SUBSTITUTE(RemoveDelimiter(SanitizeInput(_xlpm._proposedDiff),","),",",", ")))</f>
        <v/>
      </c>
      <c r="I6" s="13" t="str" cm="1">
        <f t="array" aca="1" ref="I6" ca="1">RemoveDelimiter(GetValuesWithFallback(SanitizeInput($F6)&amp;SanitizeInput($G6)&amp;SanitizeInput($H6),Countermeasures!$A:$B,Assumptions!$A:$B," ",","&amp;CHAR(10),TRUE),","&amp;CHAR(10))</f>
        <v>C20 CR 7.1 – Denial of service protection,
C21 CR 7.1 RE 1 Manage communication load from component</v>
      </c>
      <c r="J6" s="10"/>
      <c r="K6" s="13" t="str" cm="1">
        <f t="array" ref="K6">RemoveDelimiter(GetValuesWithFallback(SanitizeInput($J6),Countermeasures!$A:$B,Assumptions!$A:$B," ",","&amp;CHAR(10),TRUE),","&amp;CHAR(10))</f>
        <v/>
      </c>
      <c r="L6" s="10">
        <f>3</f>
        <v>3</v>
      </c>
      <c r="M6" s="16" t="str" cm="1">
        <f t="array" aca="1" ref="M6" ca="1">_xlfn.LET(
_xlpm._displayLimit,$L6,
_xlpm._risks,$V6,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6" s="13" t="str">
        <f ca="1">INDEX(Definitions!$AE:$AE,MATCH($W6,Definitions!$AF:$AF,0))</f>
        <v>No Risk</v>
      </c>
      <c r="O6" s="10"/>
      <c r="P6" s="9" cm="1">
        <f t="array" aca="1" ref="P6" ca="1">CreateID($P$2,$A6&lt;&gt;"")</f>
        <v>4</v>
      </c>
      <c r="Q6" s="9" cm="1">
        <f t="array" ref="Q6">CreateTaskID($Q$2,$Q:$Q,Tasks!$B$17,$O6)</f>
        <v>0</v>
      </c>
      <c r="R6" s="9">
        <f ca="1">IFERROR(MATCH(ROW()-ROW($R$2),'Attack Steps'!$R:$R,0),0)</f>
        <v>6</v>
      </c>
      <c r="S6" s="9" t="str" cm="1">
        <f t="array" aca="1" ref="S6" ca="1">CalculateMaxAndElements($T6,0,"",Risks!$A:$Z)</f>
        <v>0:</v>
      </c>
      <c r="T6" s="9" t="str" cm="1">
        <f t="array" aca="1" ref="T6" ca="1">InverseLookup($A6,Risks!$Y$2,Risks!$A$2,1,Helper!$B$1,",")</f>
        <v/>
      </c>
      <c r="U6" s="9" t="str">
        <f t="shared" ca="1" si="0"/>
        <v/>
      </c>
      <c r="V6" s="9" t="str" cm="1">
        <f t="array" aca="1" ref="V6" ca="1">CalculateMaxAndElements($T6,0,"",Risks!$A:$AG)</f>
        <v>0:</v>
      </c>
      <c r="W6" s="9">
        <f t="shared" ca="1" si="1"/>
        <v>0</v>
      </c>
      <c r="X6" s="9" t="str" cm="1">
        <f t="array" ref="X6">IF($J6="","",","&amp;SanitizeInput($J6))</f>
        <v/>
      </c>
      <c r="Y6" s="9" t="b" cm="1">
        <f t="array" aca="1" ref="Y6" ca="1">INDEX('Attack Steps'!$AE:$AE,$R6)</f>
        <v>0</v>
      </c>
      <c r="Z6" s="9" cm="1">
        <f t="array" aca="1" ref="Z6" ca="1">CreateID($Z$2,IFERROR(FIND(Definitions!$AR$4,$O6)&gt;0,FALSE))</f>
        <v>0</v>
      </c>
      <c r="AA6" s="9">
        <f>_xlfn.LET(
_xlpm._comment,$O6,
_xlpm._keyWord,Definitions!$AR$4,
_xlpm._diffLen,LEN(_xlpm._comment)-LEN(SUBSTITUTE(_xlpm._comment,_xlpm._keyWord,"")),
_xlpm._diffLen/LEN(_xlpm._keyWord))</f>
        <v>0</v>
      </c>
      <c r="AB6" s="9" cm="1">
        <f t="array" aca="1" ref="AB6" ca="1">CreateID($AB$2,IFERROR(FIND(Definitions!$AR$5,$O6)&gt;0,FALSE))</f>
        <v>0</v>
      </c>
      <c r="AC6" s="9">
        <f>_xlfn.LET(
_xlpm._comment,$O6,
_xlpm._keyWord,Definitions!$AR$5,
_xlpm._diffLen,LEN(_xlpm._comment)-LEN(SUBSTITUTE(_xlpm._comment,_xlpm._keyWord,"")),
_xlpm._diffLen/LEN(_xlpm._keyWord))</f>
        <v>0</v>
      </c>
      <c r="AD6" s="9" t="str" cm="1">
        <f t="array" ref="AD6">CreateSearchString($J6)</f>
        <v/>
      </c>
      <c r="AE6" s="9" t="str" cm="1">
        <f t="array" aca="1" ref="AE6" ca="1">_xlfn.LET(
_xlpm._selected,SanitizeInput($J6),
_xlpm._catalogOptions,SanitizeInput($F6)&amp;SanitizeInput($G6)&amp;SanitizeInput($H6),
_xlpm._selectedNotInOptions,FilterElementsFromList(_xlpm._selected,_xlpm._catalogOptions,FALSE,","),
IF(_xlpm._selectedNotInOptions="","",$A6&amp;" "&amp;$B6&amp;": "&amp;SUBSTITUTE(RemoveDelimiter(_xlpm._selectedNotInOptions,","),",",", ")))</f>
        <v/>
      </c>
      <c r="AF6" s="9" cm="1">
        <f t="array" aca="1" ref="AF6" ca="1">CreateID($AF$2,$AE6&lt;&gt;"")</f>
        <v>0</v>
      </c>
      <c r="AG6" s="9" t="str" cm="1">
        <f t="array" aca="1" ref="AG6" ca="1">_xlfn.LET(
_xlpm._delimiter,","&amp;CHAR(10),
_xlpm._assumptions,ParseAllMitigationsFromComment($A6,"-","A",$O6,Definitions!$AR$4,Definitions!$AS$4,Definitions!$AR$6,_xlpm._delimiter,1),
_xlpm._countermeasures,ParseAllMitigationsFromComment($A6,"-","C",$O6,Definitions!$AR$5,Definitions!$AS$5,Definitions!$AR$6,_xlpm._delimiter,1),
IF(_xlpm._countermeasures="",RemoveDelimiter(_xlpm._assumptions,_xlpm._delimiter),_xlpm._assumptions&amp;RemoveDelimiter(_xlpm._countermeasures,_xlpm._delimiter)))</f>
        <v/>
      </c>
      <c r="AH6" s="9" t="str" cm="1">
        <f t="array" ref="AH6">CreateSearchString(SanitizeInput($J6)&amp;GetValuesIgnoreErrors(SanitizeInput($J6),Countermeasures!$A:$H,"",",",FALSE))</f>
        <v/>
      </c>
      <c r="AI6" s="9" t="str" cm="1">
        <f t="array" aca="1" ref="AI6" ca="1">IF(AND(IFERROR(FIND(","&amp;Countermeasures!$A$31&amp;",",$AH6)&gt;0,FALSE),Countermeasures!$AB$31=TRUE,SimpleLookup(Questions!$A$48,Questionnaire!$B:$D)=Definitions!$A$5),$A6&amp;" "&amp;$B6,"")</f>
        <v/>
      </c>
      <c r="AJ6" s="9" cm="1">
        <f t="array" aca="1" ref="AJ6" ca="1">CreateID($AJ$2,$AI6&lt;&gt;"")</f>
        <v>0</v>
      </c>
      <c r="AK6" s="9" t="str">
        <f t="shared" ca="1" si="2"/>
        <v/>
      </c>
      <c r="AL6" s="9" cm="1">
        <f t="array" aca="1" ref="AL6" ca="1">CreateID($AL$2,$AK6&lt;&gt;"")</f>
        <v>0</v>
      </c>
      <c r="AM6" s="9" t="str">
        <f t="shared" si="3"/>
        <v/>
      </c>
      <c r="AN6" s="9" cm="1">
        <f t="array" aca="1" ref="AN6" ca="1">CreateID($AN$2,$AM6&lt;&gt;"")</f>
        <v>0</v>
      </c>
    </row>
    <row r="7" spans="1:40" ht="135" x14ac:dyDescent="0.25">
      <c r="A7" s="13" t="str" cm="1">
        <f t="array" aca="1" ref="A7" ca="1">IF($R7=0,"",INDEX('Attack Steps'!A:A,$R7))</f>
        <v>AS5</v>
      </c>
      <c r="B7" s="13" t="str" cm="1">
        <f t="array" aca="1" ref="B7" ca="1">IF($R7=0,"",INDEX('Attack Steps'!B:B,$R7))</f>
        <v>Eavesdropping on the product's communication</v>
      </c>
      <c r="C7" s="10">
        <f>3</f>
        <v>3</v>
      </c>
      <c r="D7" s="16" t="str" cm="1">
        <f t="array" aca="1" ref="D7" ca="1">_xlfn.LET(
_xlpm._displayLimit,$C7,
_xlpm._risks,$S7,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7" s="13" t="str" cm="1">
        <f t="array" aca="1" ref="E7" ca="1">_xlfn.LET(_xlpm._riskValue,CalculateMaxFromList($T7,0,Risks!$A:$Z),
INDEX(Definitions!$AE:$AE,MATCH(_xlpm._riskValue,Definitions!$AF:$AF,0)))</f>
        <v>No Risk</v>
      </c>
      <c r="F7" s="13" t="str" cm="1">
        <f t="array" aca="1" ref="F7" ca="1">IF($A7="","",SUBSTITUTE(RemoveDelimiter(SanitizeInput(SimpleLookup($A7,'Attack Steps'!$A:$AA)),","),",",", "))</f>
        <v>C29</v>
      </c>
      <c r="G7" s="13" t="str" cm="1">
        <f t="array" aca="1" ref="G7" ca="1">IF($A7="","",SUBSTITUTE(RemoveDelimiter(SanitizeInput(SimpleLookup($A7,'Attack Steps'!$A:$AB)),","),",",", "))</f>
        <v/>
      </c>
      <c r="H7" s="55" t="str" cm="1">
        <f t="array" aca="1" ref="H7" ca="1">IF($A7="","",_xlfn.LET(
_xlpm._proposedActive,SanitizeInput($G7),
_xlpm._proposedAll,SimpleLookup($A7,'Attack Steps'!$A:$AC),
_xlpm._proposedDiff,FilterElementsFromList(_xlpm._proposedAll,_xlpm._proposedActive,FALSE,","),
SUBSTITUTE(RemoveDelimiter(SanitizeInput(_xlpm._proposedDiff),","),",",", ")))</f>
        <v>A28, A37</v>
      </c>
      <c r="I7" s="13" t="str" cm="1">
        <f t="array" aca="1" ref="I7" ca="1">RemoveDelimiter(GetValuesWithFallback(SanitizeInput($F7)&amp;SanitizeInput($G7)&amp;SanitizeInput($H7),Countermeasures!$A:$B,Assumptions!$A:$B," ",","&amp;CHAR(10),TRUE),","&amp;CHAR(10))</f>
        <v>C29 SRS 4.1 – Information confidentiality,
A28 SDR 1.25 - The product does not transmit confidential cryptographic material (such as passwords),
A37 SDR 2.6 - Limited accessibility of short-range wireless communication</v>
      </c>
      <c r="J7" s="10"/>
      <c r="K7" s="13" t="str" cm="1">
        <f t="array" ref="K7">RemoveDelimiter(GetValuesWithFallback(SanitizeInput($J7),Countermeasures!$A:$B,Assumptions!$A:$B," ",","&amp;CHAR(10),TRUE),","&amp;CHAR(10))</f>
        <v/>
      </c>
      <c r="L7" s="10">
        <f>3</f>
        <v>3</v>
      </c>
      <c r="M7" s="16" t="str" cm="1">
        <f t="array" aca="1" ref="M7" ca="1">_xlfn.LET(
_xlpm._displayLimit,$L7,
_xlpm._risks,$V7,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7" s="13" t="str">
        <f ca="1">INDEX(Definitions!$AE:$AE,MATCH($W7,Definitions!$AF:$AF,0))</f>
        <v>No Risk</v>
      </c>
      <c r="O7" s="10"/>
      <c r="P7" s="9" cm="1">
        <f t="array" aca="1" ref="P7" ca="1">CreateID($P$2,$A7&lt;&gt;"")</f>
        <v>5</v>
      </c>
      <c r="Q7" s="9" cm="1">
        <f t="array" ref="Q7">CreateTaskID($Q$2,$Q:$Q,Tasks!$B$17,$O7)</f>
        <v>0</v>
      </c>
      <c r="R7" s="9">
        <f ca="1">IFERROR(MATCH(ROW()-ROW($R$2),'Attack Steps'!$R:$R,0),0)</f>
        <v>7</v>
      </c>
      <c r="S7" s="9" t="str" cm="1">
        <f t="array" aca="1" ref="S7" ca="1">CalculateMaxAndElements($T7,0,"",Risks!$A:$Z)</f>
        <v>0:</v>
      </c>
      <c r="T7" s="9" t="str" cm="1">
        <f t="array" aca="1" ref="T7" ca="1">InverseLookup($A7,Risks!$Y$2,Risks!$A$2,1,Helper!$B$1,",")</f>
        <v/>
      </c>
      <c r="U7" s="9" t="str">
        <f t="shared" ca="1" si="0"/>
        <v/>
      </c>
      <c r="V7" s="9" t="str" cm="1">
        <f t="array" aca="1" ref="V7" ca="1">CalculateMaxAndElements($T7,0,"",Risks!$A:$AG)</f>
        <v>0:</v>
      </c>
      <c r="W7" s="9">
        <f t="shared" ca="1" si="1"/>
        <v>0</v>
      </c>
      <c r="X7" s="9" t="str" cm="1">
        <f t="array" ref="X7">IF($J7="","",","&amp;SanitizeInput($J7))</f>
        <v/>
      </c>
      <c r="Y7" s="9" t="b" cm="1">
        <f t="array" aca="1" ref="Y7" ca="1">INDEX('Attack Steps'!$AE:$AE,$R7)</f>
        <v>0</v>
      </c>
      <c r="Z7" s="9" cm="1">
        <f t="array" aca="1" ref="Z7" ca="1">CreateID($Z$2,IFERROR(FIND(Definitions!$AR$4,$O7)&gt;0,FALSE))</f>
        <v>0</v>
      </c>
      <c r="AA7" s="9">
        <f>_xlfn.LET(
_xlpm._comment,$O7,
_xlpm._keyWord,Definitions!$AR$4,
_xlpm._diffLen,LEN(_xlpm._comment)-LEN(SUBSTITUTE(_xlpm._comment,_xlpm._keyWord,"")),
_xlpm._diffLen/LEN(_xlpm._keyWord))</f>
        <v>0</v>
      </c>
      <c r="AB7" s="9" cm="1">
        <f t="array" aca="1" ref="AB7" ca="1">CreateID($AB$2,IFERROR(FIND(Definitions!$AR$5,$O7)&gt;0,FALSE))</f>
        <v>0</v>
      </c>
      <c r="AC7" s="9">
        <f>_xlfn.LET(
_xlpm._comment,$O7,
_xlpm._keyWord,Definitions!$AR$5,
_xlpm._diffLen,LEN(_xlpm._comment)-LEN(SUBSTITUTE(_xlpm._comment,_xlpm._keyWord,"")),
_xlpm._diffLen/LEN(_xlpm._keyWord))</f>
        <v>0</v>
      </c>
      <c r="AD7" s="9" t="str" cm="1">
        <f t="array" ref="AD7">CreateSearchString($J7)</f>
        <v/>
      </c>
      <c r="AE7" s="9" t="str" cm="1">
        <f t="array" aca="1" ref="AE7" ca="1">_xlfn.LET(
_xlpm._selected,SanitizeInput($J7),
_xlpm._catalogOptions,SanitizeInput($F7)&amp;SanitizeInput($G7)&amp;SanitizeInput($H7),
_xlpm._selectedNotInOptions,FilterElementsFromList(_xlpm._selected,_xlpm._catalogOptions,FALSE,","),
IF(_xlpm._selectedNotInOptions="","",$A7&amp;" "&amp;$B7&amp;": "&amp;SUBSTITUTE(RemoveDelimiter(_xlpm._selectedNotInOptions,","),",",", ")))</f>
        <v/>
      </c>
      <c r="AF7" s="9" cm="1">
        <f t="array" aca="1" ref="AF7" ca="1">CreateID($AF$2,$AE7&lt;&gt;"")</f>
        <v>0</v>
      </c>
      <c r="AG7" s="9" t="str" cm="1">
        <f t="array" aca="1" ref="AG7" ca="1">_xlfn.LET(
_xlpm._delimiter,","&amp;CHAR(10),
_xlpm._assumptions,ParseAllMitigationsFromComment($A7,"-","A",$O7,Definitions!$AR$4,Definitions!$AS$4,Definitions!$AR$6,_xlpm._delimiter,1),
_xlpm._countermeasures,ParseAllMitigationsFromComment($A7,"-","C",$O7,Definitions!$AR$5,Definitions!$AS$5,Definitions!$AR$6,_xlpm._delimiter,1),
IF(_xlpm._countermeasures="",RemoveDelimiter(_xlpm._assumptions,_xlpm._delimiter),_xlpm._assumptions&amp;RemoveDelimiter(_xlpm._countermeasures,_xlpm._delimiter)))</f>
        <v/>
      </c>
      <c r="AH7" s="9" t="str" cm="1">
        <f t="array" ref="AH7">CreateSearchString(SanitizeInput($J7)&amp;GetValuesIgnoreErrors(SanitizeInput($J7),Countermeasures!$A:$H,"",",",FALSE))</f>
        <v/>
      </c>
      <c r="AI7" s="9" t="str" cm="1">
        <f t="array" aca="1" ref="AI7" ca="1">IF(AND(IFERROR(FIND(","&amp;Countermeasures!$A$31&amp;",",$AH7)&gt;0,FALSE),Countermeasures!$AB$31=TRUE,SimpleLookup(Questions!$A$48,Questionnaire!$B:$D)=Definitions!$A$5),$A7&amp;" "&amp;$B7,"")</f>
        <v/>
      </c>
      <c r="AJ7" s="9" cm="1">
        <f t="array" aca="1" ref="AJ7" ca="1">CreateID($AJ$2,$AI7&lt;&gt;"")</f>
        <v>0</v>
      </c>
      <c r="AK7" s="9" t="str">
        <f t="shared" ca="1" si="2"/>
        <v/>
      </c>
      <c r="AL7" s="9" cm="1">
        <f t="array" aca="1" ref="AL7" ca="1">CreateID($AL$2,$AK7&lt;&gt;"")</f>
        <v>0</v>
      </c>
      <c r="AM7" s="9" t="str">
        <f t="shared" si="3"/>
        <v/>
      </c>
      <c r="AN7" s="9" cm="1">
        <f t="array" aca="1" ref="AN7" ca="1">CreateID($AN$2,$AM7&lt;&gt;"")</f>
        <v>0</v>
      </c>
    </row>
    <row r="8" spans="1:40" ht="75" x14ac:dyDescent="0.25">
      <c r="A8" s="13" t="str" cm="1">
        <f t="array" aca="1" ref="A8" ca="1">IF($R8=0,"",INDEX('Attack Steps'!A:A,$R8))</f>
        <v>AS6</v>
      </c>
      <c r="B8" s="13" t="str" cm="1">
        <f t="array" aca="1" ref="B8" ca="1">IF($R8=0,"",INDEX('Attack Steps'!B:B,$R8))</f>
        <v>Spoofing / tampering with the product's outgoing communication</v>
      </c>
      <c r="C8" s="10">
        <f>3</f>
        <v>3</v>
      </c>
      <c r="D8" s="16" t="str" cm="1">
        <f t="array" aca="1" ref="D8" ca="1">_xlfn.LET(
_xlpm._displayLimit,$C8,
_xlpm._risks,$S8,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8" s="13" t="str" cm="1">
        <f t="array" aca="1" ref="E8" ca="1">_xlfn.LET(_xlpm._riskValue,CalculateMaxFromList($T8,0,Risks!$A:$Z),
INDEX(Definitions!$AE:$AE,MATCH(_xlpm._riskValue,Definitions!$AF:$AF,0)))</f>
        <v>No Risk</v>
      </c>
      <c r="F8" s="13" t="str" cm="1">
        <f t="array" aca="1" ref="F8" ca="1">IF($A8="","",SUBSTITUTE(RemoveDelimiter(SanitizeInput(SimpleLookup($A8,'Attack Steps'!$A:$AA)),","),",",", "))</f>
        <v>CM10</v>
      </c>
      <c r="G8" s="13" t="str" cm="1">
        <f t="array" aca="1" ref="G8" ca="1">IF($A8="","",SUBSTITUTE(RemoveDelimiter(SanitizeInput(SimpleLookup($A8,'Attack Steps'!$A:$AB)),","),",",", "))</f>
        <v/>
      </c>
      <c r="H8" s="55" t="str" cm="1">
        <f t="array" aca="1" ref="H8" ca="1">IF($A8="","",_xlfn.LET(
_xlpm._proposedActive,SanitizeInput($G8),
_xlpm._proposedAll,SimpleLookup($A8,'Attack Steps'!$A:$AC),
_xlpm._proposedDiff,FilterElementsFromList(_xlpm._proposedAll,_xlpm._proposedActive,FALSE,","),
SUBSTITUTE(RemoveDelimiter(SanitizeInput(_xlpm._proposedDiff),","),",",", ")))</f>
        <v>A37</v>
      </c>
      <c r="I8" s="13" t="str" cm="1">
        <f t="array" aca="1" ref="I8" ca="1">RemoveDelimiter(GetValuesWithFallback(SanitizeInput($F8)&amp;SanitizeInput($G8)&amp;SanitizeInput($H8),Countermeasures!$A:$B,Assumptions!$A:$B," ",","&amp;CHAR(10),TRUE),","&amp;CHAR(10))</f>
        <v>CM10 SCR 2.6 - Secure channel with product authentication,
A37 SDR 2.6 - Limited accessibility of short-range wireless communication</v>
      </c>
      <c r="J8" s="10"/>
      <c r="K8" s="13" t="str" cm="1">
        <f t="array" ref="K8">RemoveDelimiter(GetValuesWithFallback(SanitizeInput($J8),Countermeasures!$A:$B,Assumptions!$A:$B," ",","&amp;CHAR(10),TRUE),","&amp;CHAR(10))</f>
        <v/>
      </c>
      <c r="L8" s="10">
        <f>3</f>
        <v>3</v>
      </c>
      <c r="M8" s="16" t="str" cm="1">
        <f t="array" aca="1" ref="M8" ca="1">_xlfn.LET(
_xlpm._displayLimit,$L8,
_xlpm._risks,$V8,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8" s="13" t="str">
        <f ca="1">INDEX(Definitions!$AE:$AE,MATCH($W8,Definitions!$AF:$AF,0))</f>
        <v>No Risk</v>
      </c>
      <c r="O8" s="10"/>
      <c r="P8" s="9" cm="1">
        <f t="array" aca="1" ref="P8" ca="1">CreateID($P$2,$A8&lt;&gt;"")</f>
        <v>6</v>
      </c>
      <c r="Q8" s="9" cm="1">
        <f t="array" ref="Q8">CreateTaskID($Q$2,$Q:$Q,Tasks!$B$17,$O8)</f>
        <v>0</v>
      </c>
      <c r="R8" s="9">
        <f ca="1">IFERROR(MATCH(ROW()-ROW($R$2),'Attack Steps'!$R:$R,0),0)</f>
        <v>8</v>
      </c>
      <c r="S8" s="9" t="str" cm="1">
        <f t="array" aca="1" ref="S8" ca="1">CalculateMaxAndElements($T8,0,"",Risks!$A:$Z)</f>
        <v>0:</v>
      </c>
      <c r="T8" s="9" t="str" cm="1">
        <f t="array" aca="1" ref="T8" ca="1">InverseLookup($A8,Risks!$Y$2,Risks!$A$2,1,Helper!$B$1,",")</f>
        <v/>
      </c>
      <c r="U8" s="9" t="str">
        <f t="shared" ca="1" si="0"/>
        <v/>
      </c>
      <c r="V8" s="9" t="str" cm="1">
        <f t="array" aca="1" ref="V8" ca="1">CalculateMaxAndElements($T8,0,"",Risks!$A:$AG)</f>
        <v>0:</v>
      </c>
      <c r="W8" s="9">
        <f t="shared" ca="1" si="1"/>
        <v>0</v>
      </c>
      <c r="X8" s="9" t="str" cm="1">
        <f t="array" ref="X8">IF($J8="","",","&amp;SanitizeInput($J8))</f>
        <v/>
      </c>
      <c r="Y8" s="9" t="b" cm="1">
        <f t="array" aca="1" ref="Y8" ca="1">INDEX('Attack Steps'!$AE:$AE,$R8)</f>
        <v>0</v>
      </c>
      <c r="Z8" s="9" cm="1">
        <f t="array" aca="1" ref="Z8" ca="1">CreateID($Z$2,IFERROR(FIND(Definitions!$AR$4,$O8)&gt;0,FALSE))</f>
        <v>0</v>
      </c>
      <c r="AA8" s="9">
        <f>_xlfn.LET(
_xlpm._comment,$O8,
_xlpm._keyWord,Definitions!$AR$4,
_xlpm._diffLen,LEN(_xlpm._comment)-LEN(SUBSTITUTE(_xlpm._comment,_xlpm._keyWord,"")),
_xlpm._diffLen/LEN(_xlpm._keyWord))</f>
        <v>0</v>
      </c>
      <c r="AB8" s="9" cm="1">
        <f t="array" aca="1" ref="AB8" ca="1">CreateID($AB$2,IFERROR(FIND(Definitions!$AR$5,$O8)&gt;0,FALSE))</f>
        <v>0</v>
      </c>
      <c r="AC8" s="9">
        <f>_xlfn.LET(
_xlpm._comment,$O8,
_xlpm._keyWord,Definitions!$AR$5,
_xlpm._diffLen,LEN(_xlpm._comment)-LEN(SUBSTITUTE(_xlpm._comment,_xlpm._keyWord,"")),
_xlpm._diffLen/LEN(_xlpm._keyWord))</f>
        <v>0</v>
      </c>
      <c r="AD8" s="9" t="str" cm="1">
        <f t="array" ref="AD8">CreateSearchString($J8)</f>
        <v/>
      </c>
      <c r="AE8" s="9" t="str" cm="1">
        <f t="array" aca="1" ref="AE8" ca="1">_xlfn.LET(
_xlpm._selected,SanitizeInput($J8),
_xlpm._catalogOptions,SanitizeInput($F8)&amp;SanitizeInput($G8)&amp;SanitizeInput($H8),
_xlpm._selectedNotInOptions,FilterElementsFromList(_xlpm._selected,_xlpm._catalogOptions,FALSE,","),
IF(_xlpm._selectedNotInOptions="","",$A8&amp;" "&amp;$B8&amp;": "&amp;SUBSTITUTE(RemoveDelimiter(_xlpm._selectedNotInOptions,","),",",", ")))</f>
        <v/>
      </c>
      <c r="AF8" s="9" cm="1">
        <f t="array" aca="1" ref="AF8" ca="1">CreateID($AF$2,$AE8&lt;&gt;"")</f>
        <v>0</v>
      </c>
      <c r="AG8" s="9" t="str" cm="1">
        <f t="array" aca="1" ref="AG8" ca="1">_xlfn.LET(
_xlpm._delimiter,","&amp;CHAR(10),
_xlpm._assumptions,ParseAllMitigationsFromComment($A8,"-","A",$O8,Definitions!$AR$4,Definitions!$AS$4,Definitions!$AR$6,_xlpm._delimiter,1),
_xlpm._countermeasures,ParseAllMitigationsFromComment($A8,"-","C",$O8,Definitions!$AR$5,Definitions!$AS$5,Definitions!$AR$6,_xlpm._delimiter,1),
IF(_xlpm._countermeasures="",RemoveDelimiter(_xlpm._assumptions,_xlpm._delimiter),_xlpm._assumptions&amp;RemoveDelimiter(_xlpm._countermeasures,_xlpm._delimiter)))</f>
        <v/>
      </c>
      <c r="AH8" s="9" t="str" cm="1">
        <f t="array" ref="AH8">CreateSearchString(SanitizeInput($J8)&amp;GetValuesIgnoreErrors(SanitizeInput($J8),Countermeasures!$A:$H,"",",",FALSE))</f>
        <v/>
      </c>
      <c r="AI8" s="9" t="str" cm="1">
        <f t="array" aca="1" ref="AI8" ca="1">IF(AND(IFERROR(FIND(","&amp;Countermeasures!$A$31&amp;",",$AH8)&gt;0,FALSE),Countermeasures!$AB$31=TRUE,SimpleLookup(Questions!$A$48,Questionnaire!$B:$D)=Definitions!$A$5),$A8&amp;" "&amp;$B8,"")</f>
        <v/>
      </c>
      <c r="AJ8" s="9" cm="1">
        <f t="array" aca="1" ref="AJ8" ca="1">CreateID($AJ$2,$AI8&lt;&gt;"")</f>
        <v>0</v>
      </c>
      <c r="AK8" s="9" t="str">
        <f t="shared" ca="1" si="2"/>
        <v/>
      </c>
      <c r="AL8" s="9" cm="1">
        <f t="array" aca="1" ref="AL8" ca="1">CreateID($AL$2,$AK8&lt;&gt;"")</f>
        <v>0</v>
      </c>
      <c r="AM8" s="9" t="str">
        <f t="shared" si="3"/>
        <v/>
      </c>
      <c r="AN8" s="9" cm="1">
        <f t="array" aca="1" ref="AN8" ca="1">CreateID($AN$2,$AM8&lt;&gt;"")</f>
        <v>0</v>
      </c>
    </row>
    <row r="9" spans="1:40" ht="45" x14ac:dyDescent="0.25">
      <c r="A9" s="13" t="str" cm="1">
        <f t="array" aca="1" ref="A9" ca="1">IF($R9=0,"",INDEX('Attack Steps'!A:A,$R9))</f>
        <v>AS7</v>
      </c>
      <c r="B9" s="13" t="str" cm="1">
        <f t="array" aca="1" ref="B9" ca="1">IF($R9=0,"",INDEX('Attack Steps'!B:B,$R9))</f>
        <v>Spoofing / tampering with the product's incoming communication</v>
      </c>
      <c r="C9" s="10">
        <f>3</f>
        <v>3</v>
      </c>
      <c r="D9" s="16" t="str" cm="1">
        <f t="array" aca="1" ref="D9" ca="1">_xlfn.LET(
_xlpm._displayLimit,$C9,
_xlpm._risks,$S9,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9" s="13" t="str" cm="1">
        <f t="array" aca="1" ref="E9" ca="1">_xlfn.LET(_xlpm._riskValue,CalculateMaxFromList($T9,0,Risks!$A:$Z),
INDEX(Definitions!$AE:$AE,MATCH(_xlpm._riskValue,Definitions!$AF:$AF,0)))</f>
        <v>No Risk</v>
      </c>
      <c r="F9" s="13" t="str" cm="1">
        <f t="array" aca="1" ref="F9" ca="1">IF($A9="","",SUBSTITUTE(RemoveDelimiter(SanitizeInput(SimpleLookup($A9,'Attack Steps'!$A:$AA)),","),",",", "))</f>
        <v>CM11</v>
      </c>
      <c r="G9" s="13" t="str" cm="1">
        <f t="array" aca="1" ref="G9" ca="1">IF($A9="","",SUBSTITUTE(RemoveDelimiter(SanitizeInput(SimpleLookup($A9,'Attack Steps'!$A:$AB)),","),",",", "))</f>
        <v/>
      </c>
      <c r="H9" s="55" t="str" cm="1">
        <f t="array" aca="1" ref="H9" ca="1">IF($A9="","",_xlfn.LET(
_xlpm._proposedActive,SanitizeInput($G9),
_xlpm._proposedAll,SimpleLookup($A9,'Attack Steps'!$A:$AC),
_xlpm._proposedDiff,FilterElementsFromList(_xlpm._proposedAll,_xlpm._proposedActive,FALSE,","),
SUBSTITUTE(RemoveDelimiter(SanitizeInput(_xlpm._proposedDiff),","),",",", ")))</f>
        <v/>
      </c>
      <c r="I9" s="13" t="str" cm="1">
        <f t="array" aca="1" ref="I9" ca="1">RemoveDelimiter(GetValuesWithFallback(SanitizeInput($F9)&amp;SanitizeInput($G9)&amp;SanitizeInput($H9),Countermeasures!$A:$B,Assumptions!$A:$B," ",","&amp;CHAR(10),TRUE),","&amp;CHAR(10))</f>
        <v>CM11 SCR 2.9 - Secure channel with communication partner authentication</v>
      </c>
      <c r="J9" s="10"/>
      <c r="K9" s="13" t="str" cm="1">
        <f t="array" ref="K9">RemoveDelimiter(GetValuesWithFallback(SanitizeInput($J9),Countermeasures!$A:$B,Assumptions!$A:$B," ",","&amp;CHAR(10),TRUE),","&amp;CHAR(10))</f>
        <v/>
      </c>
      <c r="L9" s="10">
        <f>3</f>
        <v>3</v>
      </c>
      <c r="M9" s="16" t="str" cm="1">
        <f t="array" aca="1" ref="M9" ca="1">_xlfn.LET(
_xlpm._displayLimit,$L9,
_xlpm._risks,$V9,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9" s="13" t="str">
        <f ca="1">INDEX(Definitions!$AE:$AE,MATCH($W9,Definitions!$AF:$AF,0))</f>
        <v>No Risk</v>
      </c>
      <c r="O9" s="10"/>
      <c r="P9" s="9" cm="1">
        <f t="array" aca="1" ref="P9" ca="1">CreateID($P$2,$A9&lt;&gt;"")</f>
        <v>7</v>
      </c>
      <c r="Q9" s="9" cm="1">
        <f t="array" ref="Q9">CreateTaskID($Q$2,$Q:$Q,Tasks!$B$17,$O9)</f>
        <v>0</v>
      </c>
      <c r="R9" s="9">
        <f ca="1">IFERROR(MATCH(ROW()-ROW($R$2),'Attack Steps'!$R:$R,0),0)</f>
        <v>9</v>
      </c>
      <c r="S9" s="9" t="str" cm="1">
        <f t="array" aca="1" ref="S9" ca="1">CalculateMaxAndElements($T9,0,"",Risks!$A:$Z)</f>
        <v>0:</v>
      </c>
      <c r="T9" s="9" t="str" cm="1">
        <f t="array" aca="1" ref="T9" ca="1">InverseLookup($A9,Risks!$Y$2,Risks!$A$2,1,Helper!$B$1,",")</f>
        <v/>
      </c>
      <c r="U9" s="9" t="str">
        <f t="shared" ca="1" si="0"/>
        <v/>
      </c>
      <c r="V9" s="9" t="str" cm="1">
        <f t="array" aca="1" ref="V9" ca="1">CalculateMaxAndElements($T9,0,"",Risks!$A:$AG)</f>
        <v>0:</v>
      </c>
      <c r="W9" s="9">
        <f t="shared" ca="1" si="1"/>
        <v>0</v>
      </c>
      <c r="X9" s="9" t="str" cm="1">
        <f t="array" ref="X9">IF($J9="","",","&amp;SanitizeInput($J9))</f>
        <v/>
      </c>
      <c r="Y9" s="9" t="b" cm="1">
        <f t="array" aca="1" ref="Y9" ca="1">INDEX('Attack Steps'!$AE:$AE,$R9)</f>
        <v>0</v>
      </c>
      <c r="Z9" s="9" cm="1">
        <f t="array" aca="1" ref="Z9" ca="1">CreateID($Z$2,IFERROR(FIND(Definitions!$AR$4,$O9)&gt;0,FALSE))</f>
        <v>0</v>
      </c>
      <c r="AA9" s="9">
        <f>_xlfn.LET(
_xlpm._comment,$O9,
_xlpm._keyWord,Definitions!$AR$4,
_xlpm._diffLen,LEN(_xlpm._comment)-LEN(SUBSTITUTE(_xlpm._comment,_xlpm._keyWord,"")),
_xlpm._diffLen/LEN(_xlpm._keyWord))</f>
        <v>0</v>
      </c>
      <c r="AB9" s="9" cm="1">
        <f t="array" aca="1" ref="AB9" ca="1">CreateID($AB$2,IFERROR(FIND(Definitions!$AR$5,$O9)&gt;0,FALSE))</f>
        <v>0</v>
      </c>
      <c r="AC9" s="9">
        <f>_xlfn.LET(
_xlpm._comment,$O9,
_xlpm._keyWord,Definitions!$AR$5,
_xlpm._diffLen,LEN(_xlpm._comment)-LEN(SUBSTITUTE(_xlpm._comment,_xlpm._keyWord,"")),
_xlpm._diffLen/LEN(_xlpm._keyWord))</f>
        <v>0</v>
      </c>
      <c r="AD9" s="9" t="str" cm="1">
        <f t="array" ref="AD9">CreateSearchString($J9)</f>
        <v/>
      </c>
      <c r="AE9" s="9" t="str" cm="1">
        <f t="array" aca="1" ref="AE9" ca="1">_xlfn.LET(
_xlpm._selected,SanitizeInput($J9),
_xlpm._catalogOptions,SanitizeInput($F9)&amp;SanitizeInput($G9)&amp;SanitizeInput($H9),
_xlpm._selectedNotInOptions,FilterElementsFromList(_xlpm._selected,_xlpm._catalogOptions,FALSE,","),
IF(_xlpm._selectedNotInOptions="","",$A9&amp;" "&amp;$B9&amp;": "&amp;SUBSTITUTE(RemoveDelimiter(_xlpm._selectedNotInOptions,","),",",", ")))</f>
        <v/>
      </c>
      <c r="AF9" s="9" cm="1">
        <f t="array" aca="1" ref="AF9" ca="1">CreateID($AF$2,$AE9&lt;&gt;"")</f>
        <v>0</v>
      </c>
      <c r="AG9" s="9" t="str" cm="1">
        <f t="array" aca="1" ref="AG9" ca="1">_xlfn.LET(
_xlpm._delimiter,","&amp;CHAR(10),
_xlpm._assumptions,ParseAllMitigationsFromComment($A9,"-","A",$O9,Definitions!$AR$4,Definitions!$AS$4,Definitions!$AR$6,_xlpm._delimiter,1),
_xlpm._countermeasures,ParseAllMitigationsFromComment($A9,"-","C",$O9,Definitions!$AR$5,Definitions!$AS$5,Definitions!$AR$6,_xlpm._delimiter,1),
IF(_xlpm._countermeasures="",RemoveDelimiter(_xlpm._assumptions,_xlpm._delimiter),_xlpm._assumptions&amp;RemoveDelimiter(_xlpm._countermeasures,_xlpm._delimiter)))</f>
        <v/>
      </c>
      <c r="AH9" s="9" t="str" cm="1">
        <f t="array" ref="AH9">CreateSearchString(SanitizeInput($J9)&amp;GetValuesIgnoreErrors(SanitizeInput($J9),Countermeasures!$A:$H,"",",",FALSE))</f>
        <v/>
      </c>
      <c r="AI9" s="9" t="str" cm="1">
        <f t="array" aca="1" ref="AI9" ca="1">IF(AND(IFERROR(FIND(","&amp;Countermeasures!$A$31&amp;",",$AH9)&gt;0,FALSE),Countermeasures!$AB$31=TRUE,SimpleLookup(Questions!$A$48,Questionnaire!$B:$D)=Definitions!$A$5),$A9&amp;" "&amp;$B9,"")</f>
        <v/>
      </c>
      <c r="AJ9" s="9" cm="1">
        <f t="array" aca="1" ref="AJ9" ca="1">CreateID($AJ$2,$AI9&lt;&gt;"")</f>
        <v>0</v>
      </c>
      <c r="AK9" s="9" t="str">
        <f t="shared" ca="1" si="2"/>
        <v/>
      </c>
      <c r="AL9" s="9" cm="1">
        <f t="array" aca="1" ref="AL9" ca="1">CreateID($AL$2,$AK9&lt;&gt;"")</f>
        <v>0</v>
      </c>
      <c r="AM9" s="9" t="str">
        <f t="shared" si="3"/>
        <v/>
      </c>
      <c r="AN9" s="9" cm="1">
        <f t="array" aca="1" ref="AN9" ca="1">CreateID($AN$2,$AM9&lt;&gt;"")</f>
        <v>0</v>
      </c>
    </row>
    <row r="10" spans="1:40" ht="60" x14ac:dyDescent="0.25">
      <c r="A10" s="13" t="str" cm="1">
        <f t="array" aca="1" ref="A10" ca="1">IF($R10=0,"",INDEX('Attack Steps'!A:A,$R10))</f>
        <v>AS8</v>
      </c>
      <c r="B10" s="13" t="str" cm="1">
        <f t="array" aca="1" ref="B10" ca="1">IF($R10=0,"",INDEX('Attack Steps'!B:B,$R10))</f>
        <v>Disrupting the product's communication over the wireless network</v>
      </c>
      <c r="C10" s="10">
        <f>3</f>
        <v>3</v>
      </c>
      <c r="D10" s="16" t="str" cm="1">
        <f t="array" aca="1" ref="D10" ca="1">_xlfn.LET(
_xlpm._displayLimit,$C10,
_xlpm._risks,$S10,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10" s="13" t="str" cm="1">
        <f t="array" aca="1" ref="E10" ca="1">_xlfn.LET(_xlpm._riskValue,CalculateMaxFromList($T10,0,Risks!$A:$Z),
INDEX(Definitions!$AE:$AE,MATCH(_xlpm._riskValue,Definitions!$AF:$AF,0)))</f>
        <v>No Risk</v>
      </c>
      <c r="F10" s="13" t="str" cm="1">
        <f t="array" aca="1" ref="F10" ca="1">IF($A10="","",SUBSTITUTE(RemoveDelimiter(SanitizeInput(SimpleLookup($A10,'Attack Steps'!$A:$AA)),","),",",", "))</f>
        <v/>
      </c>
      <c r="G10" s="13" t="str" cm="1">
        <f t="array" aca="1" ref="G10" ca="1">IF($A10="","",SUBSTITUTE(RemoveDelimiter(SanitizeInput(SimpleLookup($A10,'Attack Steps'!$A:$AB)),","),",",", "))</f>
        <v/>
      </c>
      <c r="H10" s="55" t="str" cm="1">
        <f t="array" aca="1" ref="H10" ca="1">IF($A10="","",_xlfn.LET(
_xlpm._proposedActive,SanitizeInput($G10),
_xlpm._proposedAll,SimpleLookup($A10,'Attack Steps'!$A:$AC),
_xlpm._proposedDiff,FilterElementsFromList(_xlpm._proposedAll,_xlpm._proposedActive,FALSE,","),
SUBSTITUTE(RemoveDelimiter(SanitizeInput(_xlpm._proposedDiff),","),",",", ")))</f>
        <v>A29</v>
      </c>
      <c r="I10" s="13" t="str" cm="1">
        <f t="array" aca="1" ref="I10" ca="1">RemoveDelimiter(GetValuesWithFallback(SanitizeInput($F10)&amp;SanitizeInput($G10)&amp;SanitizeInput($H10),Countermeasures!$A:$B,Assumptions!$A:$B," ",","&amp;CHAR(10),TRUE),","&amp;CHAR(10))</f>
        <v>A29 SDR 1.26 - The customer ensures that a loss of wireless communication with the product is manageable</v>
      </c>
      <c r="J10" s="10"/>
      <c r="K10" s="13" t="str" cm="1">
        <f t="array" ref="K10">RemoveDelimiter(GetValuesWithFallback(SanitizeInput($J10),Countermeasures!$A:$B,Assumptions!$A:$B," ",","&amp;CHAR(10),TRUE),","&amp;CHAR(10))</f>
        <v/>
      </c>
      <c r="L10" s="10">
        <f>3</f>
        <v>3</v>
      </c>
      <c r="M10" s="16" t="str" cm="1">
        <f t="array" aca="1" ref="M10" ca="1">_xlfn.LET(
_xlpm._displayLimit,$L10,
_xlpm._risks,$V10,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10" s="13" t="str">
        <f ca="1">INDEX(Definitions!$AE:$AE,MATCH($W10,Definitions!$AF:$AF,0))</f>
        <v>No Risk</v>
      </c>
      <c r="O10" s="10"/>
      <c r="P10" s="9" cm="1">
        <f t="array" aca="1" ref="P10" ca="1">CreateID($P$2,$A10&lt;&gt;"")</f>
        <v>8</v>
      </c>
      <c r="Q10" s="9" cm="1">
        <f t="array" ref="Q10">CreateTaskID($Q$2,$Q:$Q,Tasks!$B$17,$O10)</f>
        <v>0</v>
      </c>
      <c r="R10" s="9">
        <f ca="1">IFERROR(MATCH(ROW()-ROW($R$2),'Attack Steps'!$R:$R,0),0)</f>
        <v>10</v>
      </c>
      <c r="S10" s="9" t="str" cm="1">
        <f t="array" aca="1" ref="S10" ca="1">CalculateMaxAndElements($T10,0,"",Risks!$A:$Z)</f>
        <v>0:</v>
      </c>
      <c r="T10" s="9" t="str" cm="1">
        <f t="array" aca="1" ref="T10" ca="1">InverseLookup($A10,Risks!$Y$2,Risks!$A$2,1,Helper!$B$1,",")</f>
        <v/>
      </c>
      <c r="U10" s="9" t="str">
        <f t="shared" ca="1" si="0"/>
        <v/>
      </c>
      <c r="V10" s="9" t="str" cm="1">
        <f t="array" aca="1" ref="V10" ca="1">CalculateMaxAndElements($T10,0,"",Risks!$A:$AG)</f>
        <v>0:</v>
      </c>
      <c r="W10" s="9">
        <f t="shared" ca="1" si="1"/>
        <v>0</v>
      </c>
      <c r="X10" s="9" t="str" cm="1">
        <f t="array" ref="X10">IF($J10="","",","&amp;SanitizeInput($J10))</f>
        <v/>
      </c>
      <c r="Y10" s="9" t="b" cm="1">
        <f t="array" aca="1" ref="Y10" ca="1">INDEX('Attack Steps'!$AE:$AE,$R10)</f>
        <v>0</v>
      </c>
      <c r="Z10" s="9" cm="1">
        <f t="array" aca="1" ref="Z10" ca="1">CreateID($Z$2,IFERROR(FIND(Definitions!$AR$4,$O10)&gt;0,FALSE))</f>
        <v>0</v>
      </c>
      <c r="AA10" s="9">
        <f>_xlfn.LET(
_xlpm._comment,$O10,
_xlpm._keyWord,Definitions!$AR$4,
_xlpm._diffLen,LEN(_xlpm._comment)-LEN(SUBSTITUTE(_xlpm._comment,_xlpm._keyWord,"")),
_xlpm._diffLen/LEN(_xlpm._keyWord))</f>
        <v>0</v>
      </c>
      <c r="AB10" s="9" cm="1">
        <f t="array" aca="1" ref="AB10" ca="1">CreateID($AB$2,IFERROR(FIND(Definitions!$AR$5,$O10)&gt;0,FALSE))</f>
        <v>0</v>
      </c>
      <c r="AC10" s="9">
        <f>_xlfn.LET(
_xlpm._comment,$O10,
_xlpm._keyWord,Definitions!$AR$5,
_xlpm._diffLen,LEN(_xlpm._comment)-LEN(SUBSTITUTE(_xlpm._comment,_xlpm._keyWord,"")),
_xlpm._diffLen/LEN(_xlpm._keyWord))</f>
        <v>0</v>
      </c>
      <c r="AD10" s="9" t="str" cm="1">
        <f t="array" ref="AD10">CreateSearchString($J10)</f>
        <v/>
      </c>
      <c r="AE10" s="9" t="str" cm="1">
        <f t="array" aca="1" ref="AE10" ca="1">_xlfn.LET(
_xlpm._selected,SanitizeInput($J10),
_xlpm._catalogOptions,SanitizeInput($F10)&amp;SanitizeInput($G10)&amp;SanitizeInput($H10),
_xlpm._selectedNotInOptions,FilterElementsFromList(_xlpm._selected,_xlpm._catalogOptions,FALSE,","),
IF(_xlpm._selectedNotInOptions="","",$A10&amp;" "&amp;$B10&amp;": "&amp;SUBSTITUTE(RemoveDelimiter(_xlpm._selectedNotInOptions,","),",",", ")))</f>
        <v/>
      </c>
      <c r="AF10" s="9" cm="1">
        <f t="array" aca="1" ref="AF10" ca="1">CreateID($AF$2,$AE10&lt;&gt;"")</f>
        <v>0</v>
      </c>
      <c r="AG10" s="9" t="str" cm="1">
        <f t="array" aca="1" ref="AG10" ca="1">_xlfn.LET(
_xlpm._delimiter,","&amp;CHAR(10),
_xlpm._assumptions,ParseAllMitigationsFromComment($A10,"-","A",$O10,Definitions!$AR$4,Definitions!$AS$4,Definitions!$AR$6,_xlpm._delimiter,1),
_xlpm._countermeasures,ParseAllMitigationsFromComment($A10,"-","C",$O10,Definitions!$AR$5,Definitions!$AS$5,Definitions!$AR$6,_xlpm._delimiter,1),
IF(_xlpm._countermeasures="",RemoveDelimiter(_xlpm._assumptions,_xlpm._delimiter),_xlpm._assumptions&amp;RemoveDelimiter(_xlpm._countermeasures,_xlpm._delimiter)))</f>
        <v/>
      </c>
      <c r="AH10" s="9" t="str" cm="1">
        <f t="array" ref="AH10">CreateSearchString(SanitizeInput($J10)&amp;GetValuesIgnoreErrors(SanitizeInput($J10),Countermeasures!$A:$H,"",",",FALSE))</f>
        <v/>
      </c>
      <c r="AI10" s="9" t="str" cm="1">
        <f t="array" aca="1" ref="AI10" ca="1">IF(AND(IFERROR(FIND(","&amp;Countermeasures!$A$31&amp;",",$AH10)&gt;0,FALSE),Countermeasures!$AB$31=TRUE,SimpleLookup(Questions!$A$48,Questionnaire!$B:$D)=Definitions!$A$5),$A10&amp;" "&amp;$B10,"")</f>
        <v/>
      </c>
      <c r="AJ10" s="9" cm="1">
        <f t="array" aca="1" ref="AJ10" ca="1">CreateID($AJ$2,$AI10&lt;&gt;"")</f>
        <v>0</v>
      </c>
      <c r="AK10" s="9" t="str">
        <f t="shared" ca="1" si="2"/>
        <v/>
      </c>
      <c r="AL10" s="9" cm="1">
        <f t="array" aca="1" ref="AL10" ca="1">CreateID($AL$2,$AK10&lt;&gt;"")</f>
        <v>0</v>
      </c>
      <c r="AM10" s="9" t="str">
        <f t="shared" si="3"/>
        <v/>
      </c>
      <c r="AN10" s="9" cm="1">
        <f t="array" aca="1" ref="AN10" ca="1">CreateID($AN$2,$AM10&lt;&gt;"")</f>
        <v>0</v>
      </c>
    </row>
    <row r="11" spans="1:40" ht="30" x14ac:dyDescent="0.25">
      <c r="A11" s="13" t="str" cm="1">
        <f t="array" aca="1" ref="A11" ca="1">IF($R11=0,"",INDEX('Attack Steps'!A:A,$R11))</f>
        <v>AS9</v>
      </c>
      <c r="B11" s="13" t="str" cm="1">
        <f t="array" aca="1" ref="B11" ca="1">IF($R11=0,"",INDEX('Attack Steps'!B:B,$R11))</f>
        <v>Attacking the product's internal gateway from the Internet</v>
      </c>
      <c r="C11" s="10">
        <f>3</f>
        <v>3</v>
      </c>
      <c r="D11" s="16" t="str" cm="1">
        <f t="array" aca="1" ref="D11" ca="1">_xlfn.LET(
_xlpm._displayLimit,$C11,
_xlpm._risks,$S11,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11" s="13" t="str" cm="1">
        <f t="array" aca="1" ref="E11" ca="1">_xlfn.LET(_xlpm._riskValue,CalculateMaxFromList($T11,0,Risks!$A:$Z),
INDEX(Definitions!$AE:$AE,MATCH(_xlpm._riskValue,Definitions!$AF:$AF,0)))</f>
        <v>No Risk</v>
      </c>
      <c r="F11" s="13" t="str" cm="1">
        <f t="array" aca="1" ref="F11" ca="1">IF($A11="","",SUBSTITUTE(RemoveDelimiter(SanitizeInput(SimpleLookup($A11,'Attack Steps'!$A:$AA)),","),",",", "))</f>
        <v>CM1</v>
      </c>
      <c r="G11" s="13" t="str" cm="1">
        <f t="array" aca="1" ref="G11" ca="1">IF($A11="","",SUBSTITUTE(RemoveDelimiter(SanitizeInput(SimpleLookup($A11,'Attack Steps'!$A:$AB)),","),",",", "))</f>
        <v/>
      </c>
      <c r="H11" s="55" t="str" cm="1">
        <f t="array" aca="1" ref="H11" ca="1">IF($A11="","",_xlfn.LET(
_xlpm._proposedActive,SanitizeInput($G11),
_xlpm._proposedAll,SimpleLookup($A11,'Attack Steps'!$A:$AC),
_xlpm._proposedDiff,FilterElementsFromList(_xlpm._proposedAll,_xlpm._proposedActive,FALSE,","),
SUBSTITUTE(RemoveDelimiter(SanitizeInput(_xlpm._proposedDiff),","),",",", ")))</f>
        <v/>
      </c>
      <c r="I11" s="13" t="str" cm="1">
        <f t="array" aca="1" ref="I11" ca="1">RemoveDelimiter(GetValuesWithFallback(SanitizeInput($F11)&amp;SanitizeInput($G11)&amp;SanitizeInput($H11),Countermeasures!$A:$B,Assumptions!$A:$B," ",","&amp;CHAR(10),TRUE),","&amp;CHAR(10))</f>
        <v>CM1 SCR 2.1 - Device Firewall</v>
      </c>
      <c r="J11" s="10"/>
      <c r="K11" s="13" t="str" cm="1">
        <f t="array" ref="K11">RemoveDelimiter(GetValuesWithFallback(SanitizeInput($J11),Countermeasures!$A:$B,Assumptions!$A:$B," ",","&amp;CHAR(10),TRUE),","&amp;CHAR(10))</f>
        <v/>
      </c>
      <c r="L11" s="10">
        <f>3</f>
        <v>3</v>
      </c>
      <c r="M11" s="16" t="str" cm="1">
        <f t="array" aca="1" ref="M11" ca="1">_xlfn.LET(
_xlpm._displayLimit,$L11,
_xlpm._risks,$V11,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11" s="13" t="str">
        <f ca="1">INDEX(Definitions!$AE:$AE,MATCH($W11,Definitions!$AF:$AF,0))</f>
        <v>No Risk</v>
      </c>
      <c r="O11" s="10"/>
      <c r="P11" s="9" cm="1">
        <f t="array" aca="1" ref="P11" ca="1">CreateID($P$2,$A11&lt;&gt;"")</f>
        <v>9</v>
      </c>
      <c r="Q11" s="9" cm="1">
        <f t="array" ref="Q11">CreateTaskID($Q$2,$Q:$Q,Tasks!$B$17,$O11)</f>
        <v>0</v>
      </c>
      <c r="R11" s="9">
        <f ca="1">IFERROR(MATCH(ROW()-ROW($R$2),'Attack Steps'!$R:$R,0),0)</f>
        <v>11</v>
      </c>
      <c r="S11" s="9" t="str" cm="1">
        <f t="array" aca="1" ref="S11" ca="1">CalculateMaxAndElements($T11,0,"",Risks!$A:$Z)</f>
        <v>0:</v>
      </c>
      <c r="T11" s="9" t="str" cm="1">
        <f t="array" aca="1" ref="T11" ca="1">InverseLookup($A11,Risks!$Y$2,Risks!$A$2,1,Helper!$B$1,",")</f>
        <v/>
      </c>
      <c r="U11" s="9" t="str">
        <f t="shared" ca="1" si="0"/>
        <v/>
      </c>
      <c r="V11" s="9" t="str" cm="1">
        <f t="array" aca="1" ref="V11" ca="1">CalculateMaxAndElements($T11,0,"",Risks!$A:$AG)</f>
        <v>0:</v>
      </c>
      <c r="W11" s="9">
        <f t="shared" ca="1" si="1"/>
        <v>0</v>
      </c>
      <c r="X11" s="9" t="str" cm="1">
        <f t="array" ref="X11">IF($J11="","",","&amp;SanitizeInput($J11))</f>
        <v/>
      </c>
      <c r="Y11" s="9" t="b" cm="1">
        <f t="array" aca="1" ref="Y11" ca="1">INDEX('Attack Steps'!$AE:$AE,$R11)</f>
        <v>0</v>
      </c>
      <c r="Z11" s="9" cm="1">
        <f t="array" aca="1" ref="Z11" ca="1">CreateID($Z$2,IFERROR(FIND(Definitions!$AR$4,$O11)&gt;0,FALSE))</f>
        <v>0</v>
      </c>
      <c r="AA11" s="9">
        <f>_xlfn.LET(
_xlpm._comment,$O11,
_xlpm._keyWord,Definitions!$AR$4,
_xlpm._diffLen,LEN(_xlpm._comment)-LEN(SUBSTITUTE(_xlpm._comment,_xlpm._keyWord,"")),
_xlpm._diffLen/LEN(_xlpm._keyWord))</f>
        <v>0</v>
      </c>
      <c r="AB11" s="9" cm="1">
        <f t="array" aca="1" ref="AB11" ca="1">CreateID($AB$2,IFERROR(FIND(Definitions!$AR$5,$O11)&gt;0,FALSE))</f>
        <v>0</v>
      </c>
      <c r="AC11" s="9">
        <f>_xlfn.LET(
_xlpm._comment,$O11,
_xlpm._keyWord,Definitions!$AR$5,
_xlpm._diffLen,LEN(_xlpm._comment)-LEN(SUBSTITUTE(_xlpm._comment,_xlpm._keyWord,"")),
_xlpm._diffLen/LEN(_xlpm._keyWord))</f>
        <v>0</v>
      </c>
      <c r="AD11" s="9" t="str" cm="1">
        <f t="array" ref="AD11">CreateSearchString($J11)</f>
        <v/>
      </c>
      <c r="AE11" s="9" t="str" cm="1">
        <f t="array" aca="1" ref="AE11" ca="1">_xlfn.LET(
_xlpm._selected,SanitizeInput($J11),
_xlpm._catalogOptions,SanitizeInput($F11)&amp;SanitizeInput($G11)&amp;SanitizeInput($H11),
_xlpm._selectedNotInOptions,FilterElementsFromList(_xlpm._selected,_xlpm._catalogOptions,FALSE,","),
IF(_xlpm._selectedNotInOptions="","",$A11&amp;" "&amp;$B11&amp;": "&amp;SUBSTITUTE(RemoveDelimiter(_xlpm._selectedNotInOptions,","),",",", ")))</f>
        <v/>
      </c>
      <c r="AF11" s="9" cm="1">
        <f t="array" aca="1" ref="AF11" ca="1">CreateID($AF$2,$AE11&lt;&gt;"")</f>
        <v>0</v>
      </c>
      <c r="AG11" s="9" t="str" cm="1">
        <f t="array" aca="1" ref="AG11" ca="1">_xlfn.LET(
_xlpm._delimiter,","&amp;CHAR(10),
_xlpm._assumptions,ParseAllMitigationsFromComment($A11,"-","A",$O11,Definitions!$AR$4,Definitions!$AS$4,Definitions!$AR$6,_xlpm._delimiter,1),
_xlpm._countermeasures,ParseAllMitigationsFromComment($A11,"-","C",$O11,Definitions!$AR$5,Definitions!$AS$5,Definitions!$AR$6,_xlpm._delimiter,1),
IF(_xlpm._countermeasures="",RemoveDelimiter(_xlpm._assumptions,_xlpm._delimiter),_xlpm._assumptions&amp;RemoveDelimiter(_xlpm._countermeasures,_xlpm._delimiter)))</f>
        <v/>
      </c>
      <c r="AH11" s="9" t="str" cm="1">
        <f t="array" ref="AH11">CreateSearchString(SanitizeInput($J11)&amp;GetValuesIgnoreErrors(SanitizeInput($J11),Countermeasures!$A:$H,"",",",FALSE))</f>
        <v/>
      </c>
      <c r="AI11" s="9" t="str" cm="1">
        <f t="array" aca="1" ref="AI11" ca="1">IF(AND(IFERROR(FIND(","&amp;Countermeasures!$A$31&amp;",",$AH11)&gt;0,FALSE),Countermeasures!$AB$31=TRUE,SimpleLookup(Questions!$A$48,Questionnaire!$B:$D)=Definitions!$A$5),$A11&amp;" "&amp;$B11,"")</f>
        <v/>
      </c>
      <c r="AJ11" s="9" cm="1">
        <f t="array" aca="1" ref="AJ11" ca="1">CreateID($AJ$2,$AI11&lt;&gt;"")</f>
        <v>0</v>
      </c>
      <c r="AK11" s="9" t="str">
        <f t="shared" ca="1" si="2"/>
        <v/>
      </c>
      <c r="AL11" s="9" cm="1">
        <f t="array" aca="1" ref="AL11" ca="1">CreateID($AL$2,$AK11&lt;&gt;"")</f>
        <v>0</v>
      </c>
      <c r="AM11" s="9" t="str">
        <f t="shared" si="3"/>
        <v/>
      </c>
      <c r="AN11" s="9" cm="1">
        <f t="array" aca="1" ref="AN11" ca="1">CreateID($AN$2,$AM11&lt;&gt;"")</f>
        <v>0</v>
      </c>
    </row>
    <row r="12" spans="1:40" ht="30" x14ac:dyDescent="0.25">
      <c r="A12" s="13" t="str" cm="1">
        <f t="array" aca="1" ref="A12" ca="1">IF($R12=0,"",INDEX('Attack Steps'!A:A,$R12))</f>
        <v>AS10</v>
      </c>
      <c r="B12" s="13" t="str" cm="1">
        <f t="array" aca="1" ref="B12" ca="1">IF($R12=0,"",INDEX('Attack Steps'!B:B,$R12))</f>
        <v>Attacking devices in the customer's network</v>
      </c>
      <c r="C12" s="10">
        <f>3</f>
        <v>3</v>
      </c>
      <c r="D12" s="16" t="str" cm="1">
        <f t="array" aca="1" ref="D12" ca="1">_xlfn.LET(
_xlpm._displayLimit,$C12,
_xlpm._risks,$S12,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12" s="13" t="str" cm="1">
        <f t="array" aca="1" ref="E12" ca="1">_xlfn.LET(_xlpm._riskValue,CalculateMaxFromList($T12,0,Risks!$A:$Z),
INDEX(Definitions!$AE:$AE,MATCH(_xlpm._riskValue,Definitions!$AF:$AF,0)))</f>
        <v>No Risk</v>
      </c>
      <c r="F12" s="13" t="str" cm="1">
        <f t="array" aca="1" ref="F12" ca="1">IF($A12="","",SUBSTITUTE(RemoveDelimiter(SanitizeInput(SimpleLookup($A12,'Attack Steps'!$A:$AA)),","),",",", "))</f>
        <v/>
      </c>
      <c r="G12" s="13" t="str" cm="1">
        <f t="array" aca="1" ref="G12" ca="1">IF($A12="","",SUBSTITUTE(RemoveDelimiter(SanitizeInput(SimpleLookup($A12,'Attack Steps'!$A:$AB)),","),",",", "))</f>
        <v/>
      </c>
      <c r="H12" s="55" t="str" cm="1">
        <f t="array" aca="1" ref="H12" ca="1">IF($A12="","",_xlfn.LET(
_xlpm._proposedActive,SanitizeInput($G12),
_xlpm._proposedAll,SimpleLookup($A12,'Attack Steps'!$A:$AC),
_xlpm._proposedDiff,FilterElementsFromList(_xlpm._proposedAll,_xlpm._proposedActive,FALSE,","),
SUBSTITUTE(RemoveDelimiter(SanitizeInput(_xlpm._proposedDiff),","),",",", ")))</f>
        <v/>
      </c>
      <c r="I12" s="13" t="str" cm="1">
        <f t="array" aca="1" ref="I12" ca="1">RemoveDelimiter(GetValuesWithFallback(SanitizeInput($F12)&amp;SanitizeInput($G12)&amp;SanitizeInput($H12),Countermeasures!$A:$B,Assumptions!$A:$B," ",","&amp;CHAR(10),TRUE),","&amp;CHAR(10))</f>
        <v/>
      </c>
      <c r="J12" s="10"/>
      <c r="K12" s="13" t="str" cm="1">
        <f t="array" ref="K12">RemoveDelimiter(GetValuesWithFallback(SanitizeInput($J12),Countermeasures!$A:$B,Assumptions!$A:$B," ",","&amp;CHAR(10),TRUE),","&amp;CHAR(10))</f>
        <v/>
      </c>
      <c r="L12" s="10">
        <f>3</f>
        <v>3</v>
      </c>
      <c r="M12" s="16" t="str" cm="1">
        <f t="array" aca="1" ref="M12" ca="1">_xlfn.LET(
_xlpm._displayLimit,$L12,
_xlpm._risks,$V12,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12" s="13" t="str">
        <f ca="1">INDEX(Definitions!$AE:$AE,MATCH($W12,Definitions!$AF:$AF,0))</f>
        <v>No Risk</v>
      </c>
      <c r="O12" s="10"/>
      <c r="P12" s="9" cm="1">
        <f t="array" aca="1" ref="P12" ca="1">CreateID($P$2,$A12&lt;&gt;"")</f>
        <v>10</v>
      </c>
      <c r="Q12" s="9" cm="1">
        <f t="array" ref="Q12">CreateTaskID($Q$2,$Q:$Q,Tasks!$B$17,$O12)</f>
        <v>0</v>
      </c>
      <c r="R12" s="9">
        <f ca="1">IFERROR(MATCH(ROW()-ROW($R$2),'Attack Steps'!$R:$R,0),0)</f>
        <v>12</v>
      </c>
      <c r="S12" s="9" t="str" cm="1">
        <f t="array" aca="1" ref="S12" ca="1">CalculateMaxAndElements($T12,0,"",Risks!$A:$Z)</f>
        <v>0:</v>
      </c>
      <c r="T12" s="9" t="str" cm="1">
        <f t="array" aca="1" ref="T12" ca="1">InverseLookup($A12,Risks!$Y$2,Risks!$A$2,1,Helper!$B$1,",")</f>
        <v/>
      </c>
      <c r="U12" s="9" t="str">
        <f t="shared" ca="1" si="0"/>
        <v/>
      </c>
      <c r="V12" s="9" t="str" cm="1">
        <f t="array" aca="1" ref="V12" ca="1">CalculateMaxAndElements($T12,0,"",Risks!$A:$AG)</f>
        <v>0:</v>
      </c>
      <c r="W12" s="9">
        <f t="shared" ca="1" si="1"/>
        <v>0</v>
      </c>
      <c r="X12" s="9" t="str" cm="1">
        <f t="array" ref="X12">IF($J12="","",","&amp;SanitizeInput($J12))</f>
        <v/>
      </c>
      <c r="Y12" s="9" t="b" cm="1">
        <f t="array" aca="1" ref="Y12" ca="1">INDEX('Attack Steps'!$AE:$AE,$R12)</f>
        <v>0</v>
      </c>
      <c r="Z12" s="9" cm="1">
        <f t="array" aca="1" ref="Z12" ca="1">CreateID($Z$2,IFERROR(FIND(Definitions!$AR$4,$O12)&gt;0,FALSE))</f>
        <v>0</v>
      </c>
      <c r="AA12" s="9">
        <f>_xlfn.LET(
_xlpm._comment,$O12,
_xlpm._keyWord,Definitions!$AR$4,
_xlpm._diffLen,LEN(_xlpm._comment)-LEN(SUBSTITUTE(_xlpm._comment,_xlpm._keyWord,"")),
_xlpm._diffLen/LEN(_xlpm._keyWord))</f>
        <v>0</v>
      </c>
      <c r="AB12" s="9" cm="1">
        <f t="array" aca="1" ref="AB12" ca="1">CreateID($AB$2,IFERROR(FIND(Definitions!$AR$5,$O12)&gt;0,FALSE))</f>
        <v>0</v>
      </c>
      <c r="AC12" s="9">
        <f>_xlfn.LET(
_xlpm._comment,$O12,
_xlpm._keyWord,Definitions!$AR$5,
_xlpm._diffLen,LEN(_xlpm._comment)-LEN(SUBSTITUTE(_xlpm._comment,_xlpm._keyWord,"")),
_xlpm._diffLen/LEN(_xlpm._keyWord))</f>
        <v>0</v>
      </c>
      <c r="AD12" s="9" t="str" cm="1">
        <f t="array" ref="AD12">CreateSearchString($J12)</f>
        <v/>
      </c>
      <c r="AE12" s="9" t="str" cm="1">
        <f t="array" aca="1" ref="AE12" ca="1">_xlfn.LET(
_xlpm._selected,SanitizeInput($J12),
_xlpm._catalogOptions,SanitizeInput($F12)&amp;SanitizeInput($G12)&amp;SanitizeInput($H12),
_xlpm._selectedNotInOptions,FilterElementsFromList(_xlpm._selected,_xlpm._catalogOptions,FALSE,","),
IF(_xlpm._selectedNotInOptions="","",$A12&amp;" "&amp;$B12&amp;": "&amp;SUBSTITUTE(RemoveDelimiter(_xlpm._selectedNotInOptions,","),",",", ")))</f>
        <v/>
      </c>
      <c r="AF12" s="9" cm="1">
        <f t="array" aca="1" ref="AF12" ca="1">CreateID($AF$2,$AE12&lt;&gt;"")</f>
        <v>0</v>
      </c>
      <c r="AG12" s="9" t="str" cm="1">
        <f t="array" aca="1" ref="AG12" ca="1">_xlfn.LET(
_xlpm._delimiter,","&amp;CHAR(10),
_xlpm._assumptions,ParseAllMitigationsFromComment($A12,"-","A",$O12,Definitions!$AR$4,Definitions!$AS$4,Definitions!$AR$6,_xlpm._delimiter,1),
_xlpm._countermeasures,ParseAllMitigationsFromComment($A12,"-","C",$O12,Definitions!$AR$5,Definitions!$AS$5,Definitions!$AR$6,_xlpm._delimiter,1),
IF(_xlpm._countermeasures="",RemoveDelimiter(_xlpm._assumptions,_xlpm._delimiter),_xlpm._assumptions&amp;RemoveDelimiter(_xlpm._countermeasures,_xlpm._delimiter)))</f>
        <v/>
      </c>
      <c r="AH12" s="9" t="str" cm="1">
        <f t="array" ref="AH12">CreateSearchString(SanitizeInput($J12)&amp;GetValuesIgnoreErrors(SanitizeInput($J12),Countermeasures!$A:$H,"",",",FALSE))</f>
        <v/>
      </c>
      <c r="AI12" s="9" t="str" cm="1">
        <f t="array" aca="1" ref="AI12" ca="1">IF(AND(IFERROR(FIND(","&amp;Countermeasures!$A$31&amp;",",$AH12)&gt;0,FALSE),Countermeasures!$AB$31=TRUE,SimpleLookup(Questions!$A$48,Questionnaire!$B:$D)=Definitions!$A$5),$A12&amp;" "&amp;$B12,"")</f>
        <v/>
      </c>
      <c r="AJ12" s="9" cm="1">
        <f t="array" aca="1" ref="AJ12" ca="1">CreateID($AJ$2,$AI12&lt;&gt;"")</f>
        <v>0</v>
      </c>
      <c r="AK12" s="9" t="str">
        <f t="shared" ca="1" si="2"/>
        <v/>
      </c>
      <c r="AL12" s="9" cm="1">
        <f t="array" aca="1" ref="AL12" ca="1">CreateID($AL$2,$AK12&lt;&gt;"")</f>
        <v>0</v>
      </c>
      <c r="AM12" s="9" t="str">
        <f t="shared" si="3"/>
        <v/>
      </c>
      <c r="AN12" s="9" cm="1">
        <f t="array" aca="1" ref="AN12" ca="1">CreateID($AN$2,$AM12&lt;&gt;"")</f>
        <v>0</v>
      </c>
    </row>
    <row r="13" spans="1:40" ht="30" x14ac:dyDescent="0.25">
      <c r="A13" s="13" t="str" cm="1">
        <f t="array" aca="1" ref="A13" ca="1">IF($R13=0,"",INDEX('Attack Steps'!A:A,$R13))</f>
        <v>AS11</v>
      </c>
      <c r="B13" s="13" t="str" cm="1">
        <f t="array" aca="1" ref="B13" ca="1">IF($R13=0,"",INDEX('Attack Steps'!B:B,$R13))</f>
        <v>Denial of Service on the customer's network</v>
      </c>
      <c r="C13" s="10">
        <f>3</f>
        <v>3</v>
      </c>
      <c r="D13" s="16" t="str" cm="1">
        <f t="array" aca="1" ref="D13" ca="1">_xlfn.LET(
_xlpm._displayLimit,$C13,
_xlpm._risks,$S13,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13" s="13" t="str" cm="1">
        <f t="array" aca="1" ref="E13" ca="1">_xlfn.LET(_xlpm._riskValue,CalculateMaxFromList($T13,0,Risks!$A:$Z),
INDEX(Definitions!$AE:$AE,MATCH(_xlpm._riskValue,Definitions!$AF:$AF,0)))</f>
        <v>No Risk</v>
      </c>
      <c r="F13" s="13" t="str" cm="1">
        <f t="array" aca="1" ref="F13" ca="1">IF($A13="","",SUBSTITUTE(RemoveDelimiter(SanitizeInput(SimpleLookup($A13,'Attack Steps'!$A:$AA)),","),",",", "))</f>
        <v/>
      </c>
      <c r="G13" s="13" t="str" cm="1">
        <f t="array" aca="1" ref="G13" ca="1">IF($A13="","",SUBSTITUTE(RemoveDelimiter(SanitizeInput(SimpleLookup($A13,'Attack Steps'!$A:$AB)),","),",",", "))</f>
        <v/>
      </c>
      <c r="H13" s="55" t="str" cm="1">
        <f t="array" aca="1" ref="H13" ca="1">IF($A13="","",_xlfn.LET(
_xlpm._proposedActive,SanitizeInput($G13),
_xlpm._proposedAll,SimpleLookup($A13,'Attack Steps'!$A:$AC),
_xlpm._proposedDiff,FilterElementsFromList(_xlpm._proposedAll,_xlpm._proposedActive,FALSE,","),
SUBSTITUTE(RemoveDelimiter(SanitizeInput(_xlpm._proposedDiff),","),",",", ")))</f>
        <v/>
      </c>
      <c r="I13" s="13" t="str" cm="1">
        <f t="array" aca="1" ref="I13" ca="1">RemoveDelimiter(GetValuesWithFallback(SanitizeInput($F13)&amp;SanitizeInput($G13)&amp;SanitizeInput($H13),Countermeasures!$A:$B,Assumptions!$A:$B," ",","&amp;CHAR(10),TRUE),","&amp;CHAR(10))</f>
        <v/>
      </c>
      <c r="J13" s="10"/>
      <c r="K13" s="13" t="str" cm="1">
        <f t="array" ref="K13">RemoveDelimiter(GetValuesWithFallback(SanitizeInput($J13),Countermeasures!$A:$B,Assumptions!$A:$B," ",","&amp;CHAR(10),TRUE),","&amp;CHAR(10))</f>
        <v/>
      </c>
      <c r="L13" s="10">
        <f>3</f>
        <v>3</v>
      </c>
      <c r="M13" s="16" t="str" cm="1">
        <f t="array" aca="1" ref="M13" ca="1">_xlfn.LET(
_xlpm._displayLimit,$L13,
_xlpm._risks,$V13,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13" s="13" t="str">
        <f ca="1">INDEX(Definitions!$AE:$AE,MATCH($W13,Definitions!$AF:$AF,0))</f>
        <v>No Risk</v>
      </c>
      <c r="O13" s="10"/>
      <c r="P13" s="9" cm="1">
        <f t="array" aca="1" ref="P13" ca="1">CreateID($P$2,$A13&lt;&gt;"")</f>
        <v>11</v>
      </c>
      <c r="Q13" s="9" cm="1">
        <f t="array" ref="Q13">CreateTaskID($Q$2,$Q:$Q,Tasks!$B$17,$O13)</f>
        <v>0</v>
      </c>
      <c r="R13" s="9">
        <f ca="1">IFERROR(MATCH(ROW()-ROW($R$2),'Attack Steps'!$R:$R,0),0)</f>
        <v>13</v>
      </c>
      <c r="S13" s="9" t="str" cm="1">
        <f t="array" aca="1" ref="S13" ca="1">CalculateMaxAndElements($T13,0,"",Risks!$A:$Z)</f>
        <v>0:</v>
      </c>
      <c r="T13" s="9" t="str" cm="1">
        <f t="array" aca="1" ref="T13" ca="1">InverseLookup($A13,Risks!$Y$2,Risks!$A$2,1,Helper!$B$1,",")</f>
        <v/>
      </c>
      <c r="U13" s="9" t="str">
        <f t="shared" ca="1" si="0"/>
        <v/>
      </c>
      <c r="V13" s="9" t="str" cm="1">
        <f t="array" aca="1" ref="V13" ca="1">CalculateMaxAndElements($T13,0,"",Risks!$A:$AG)</f>
        <v>0:</v>
      </c>
      <c r="W13" s="9">
        <f t="shared" ca="1" si="1"/>
        <v>0</v>
      </c>
      <c r="X13" s="9" t="str" cm="1">
        <f t="array" ref="X13">IF($J13="","",","&amp;SanitizeInput($J13))</f>
        <v/>
      </c>
      <c r="Y13" s="9" t="b" cm="1">
        <f t="array" aca="1" ref="Y13" ca="1">INDEX('Attack Steps'!$AE:$AE,$R13)</f>
        <v>0</v>
      </c>
      <c r="Z13" s="9" cm="1">
        <f t="array" aca="1" ref="Z13" ca="1">CreateID($Z$2,IFERROR(FIND(Definitions!$AR$4,$O13)&gt;0,FALSE))</f>
        <v>0</v>
      </c>
      <c r="AA13" s="9">
        <f>_xlfn.LET(
_xlpm._comment,$O13,
_xlpm._keyWord,Definitions!$AR$4,
_xlpm._diffLen,LEN(_xlpm._comment)-LEN(SUBSTITUTE(_xlpm._comment,_xlpm._keyWord,"")),
_xlpm._diffLen/LEN(_xlpm._keyWord))</f>
        <v>0</v>
      </c>
      <c r="AB13" s="9" cm="1">
        <f t="array" aca="1" ref="AB13" ca="1">CreateID($AB$2,IFERROR(FIND(Definitions!$AR$5,$O13)&gt;0,FALSE))</f>
        <v>0</v>
      </c>
      <c r="AC13" s="9">
        <f>_xlfn.LET(
_xlpm._comment,$O13,
_xlpm._keyWord,Definitions!$AR$5,
_xlpm._diffLen,LEN(_xlpm._comment)-LEN(SUBSTITUTE(_xlpm._comment,_xlpm._keyWord,"")),
_xlpm._diffLen/LEN(_xlpm._keyWord))</f>
        <v>0</v>
      </c>
      <c r="AD13" s="9" t="str" cm="1">
        <f t="array" ref="AD13">CreateSearchString($J13)</f>
        <v/>
      </c>
      <c r="AE13" s="9" t="str" cm="1">
        <f t="array" aca="1" ref="AE13" ca="1">_xlfn.LET(
_xlpm._selected,SanitizeInput($J13),
_xlpm._catalogOptions,SanitizeInput($F13)&amp;SanitizeInput($G13)&amp;SanitizeInput($H13),
_xlpm._selectedNotInOptions,FilterElementsFromList(_xlpm._selected,_xlpm._catalogOptions,FALSE,","),
IF(_xlpm._selectedNotInOptions="","",$A13&amp;" "&amp;$B13&amp;": "&amp;SUBSTITUTE(RemoveDelimiter(_xlpm._selectedNotInOptions,","),",",", ")))</f>
        <v/>
      </c>
      <c r="AF13" s="9" cm="1">
        <f t="array" aca="1" ref="AF13" ca="1">CreateID($AF$2,$AE13&lt;&gt;"")</f>
        <v>0</v>
      </c>
      <c r="AG13" s="9" t="str" cm="1">
        <f t="array" aca="1" ref="AG13" ca="1">_xlfn.LET(
_xlpm._delimiter,","&amp;CHAR(10),
_xlpm._assumptions,ParseAllMitigationsFromComment($A13,"-","A",$O13,Definitions!$AR$4,Definitions!$AS$4,Definitions!$AR$6,_xlpm._delimiter,1),
_xlpm._countermeasures,ParseAllMitigationsFromComment($A13,"-","C",$O13,Definitions!$AR$5,Definitions!$AS$5,Definitions!$AR$6,_xlpm._delimiter,1),
IF(_xlpm._countermeasures="",RemoveDelimiter(_xlpm._assumptions,_xlpm._delimiter),_xlpm._assumptions&amp;RemoveDelimiter(_xlpm._countermeasures,_xlpm._delimiter)))</f>
        <v/>
      </c>
      <c r="AH13" s="9" t="str" cm="1">
        <f t="array" ref="AH13">CreateSearchString(SanitizeInput($J13)&amp;GetValuesIgnoreErrors(SanitizeInput($J13),Countermeasures!$A:$H,"",",",FALSE))</f>
        <v/>
      </c>
      <c r="AI13" s="9" t="str" cm="1">
        <f t="array" aca="1" ref="AI13" ca="1">IF(AND(IFERROR(FIND(","&amp;Countermeasures!$A$31&amp;",",$AH13)&gt;0,FALSE),Countermeasures!$AB$31=TRUE,SimpleLookup(Questions!$A$48,Questionnaire!$B:$D)=Definitions!$A$5),$A13&amp;" "&amp;$B13,"")</f>
        <v/>
      </c>
      <c r="AJ13" s="9" cm="1">
        <f t="array" aca="1" ref="AJ13" ca="1">CreateID($AJ$2,$AI13&lt;&gt;"")</f>
        <v>0</v>
      </c>
      <c r="AK13" s="9" t="str">
        <f t="shared" ca="1" si="2"/>
        <v/>
      </c>
      <c r="AL13" s="9" cm="1">
        <f t="array" aca="1" ref="AL13" ca="1">CreateID($AL$2,$AK13&lt;&gt;"")</f>
        <v>0</v>
      </c>
      <c r="AM13" s="9" t="str">
        <f t="shared" si="3"/>
        <v/>
      </c>
      <c r="AN13" s="9" cm="1">
        <f t="array" aca="1" ref="AN13" ca="1">CreateID($AN$2,$AM13&lt;&gt;"")</f>
        <v>0</v>
      </c>
    </row>
    <row r="14" spans="1:40" ht="45" x14ac:dyDescent="0.25">
      <c r="A14" s="13" t="str" cm="1">
        <f t="array" aca="1" ref="A14" ca="1">IF($R14=0,"",INDEX('Attack Steps'!A:A,$R14))</f>
        <v>AS12</v>
      </c>
      <c r="B14" s="13" t="str" cm="1">
        <f t="array" aca="1" ref="B14" ca="1">IF($R14=0,"",INDEX('Attack Steps'!B:B,$R14))</f>
        <v>Compromising an untrusted device that communicates directly with the product</v>
      </c>
      <c r="C14" s="10">
        <f>3</f>
        <v>3</v>
      </c>
      <c r="D14" s="16" t="str" cm="1">
        <f t="array" aca="1" ref="D14" ca="1">_xlfn.LET(
_xlpm._displayLimit,$C14,
_xlpm._risks,$S14,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14" s="13" t="str" cm="1">
        <f t="array" aca="1" ref="E14" ca="1">_xlfn.LET(_xlpm._riskValue,CalculateMaxFromList($T14,0,Risks!$A:$Z),
INDEX(Definitions!$AE:$AE,MATCH(_xlpm._riskValue,Definitions!$AF:$AF,0)))</f>
        <v>No Risk</v>
      </c>
      <c r="F14" s="13" t="str" cm="1">
        <f t="array" aca="1" ref="F14" ca="1">IF($A14="","",SUBSTITUTE(RemoveDelimiter(SanitizeInput(SimpleLookup($A14,'Attack Steps'!$A:$AA)),","),",",", "))</f>
        <v>C15</v>
      </c>
      <c r="G14" s="13" t="str" cm="1">
        <f t="array" aca="1" ref="G14" ca="1">IF($A14="","",SUBSTITUTE(RemoveDelimiter(SanitizeInput(SimpleLookup($A14,'Attack Steps'!$A:$AB)),","),",",", "))</f>
        <v/>
      </c>
      <c r="H14" s="55" t="str" cm="1">
        <f t="array" aca="1" ref="H14" ca="1">IF($A14="","",_xlfn.LET(
_xlpm._proposedActive,SanitizeInput($G14),
_xlpm._proposedAll,SimpleLookup($A14,'Attack Steps'!$A:$AC),
_xlpm._proposedDiff,FilterElementsFromList(_xlpm._proposedAll,_xlpm._proposedActive,FALSE,","),
SUBSTITUTE(RemoveDelimiter(SanitizeInput(_xlpm._proposedDiff),","),",",", ")))</f>
        <v/>
      </c>
      <c r="I14" s="13" t="str" cm="1">
        <f t="array" aca="1" ref="I14" ca="1">RemoveDelimiter(GetValuesWithFallback(SanitizeInput($F14)&amp;SanitizeInput($G14)&amp;SanitizeInput($H14),Countermeasures!$A:$B,Assumptions!$A:$B," ",","&amp;CHAR(10),TRUE),","&amp;CHAR(10))</f>
        <v>C15 CR 3.5 – Input validation</v>
      </c>
      <c r="J14" s="10"/>
      <c r="K14" s="13" t="str" cm="1">
        <f t="array" ref="K14">RemoveDelimiter(GetValuesWithFallback(SanitizeInput($J14),Countermeasures!$A:$B,Assumptions!$A:$B," ",","&amp;CHAR(10),TRUE),","&amp;CHAR(10))</f>
        <v/>
      </c>
      <c r="L14" s="10">
        <f>3</f>
        <v>3</v>
      </c>
      <c r="M14" s="16" t="str" cm="1">
        <f t="array" aca="1" ref="M14" ca="1">_xlfn.LET(
_xlpm._displayLimit,$L14,
_xlpm._risks,$V14,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14" s="13" t="str">
        <f ca="1">INDEX(Definitions!$AE:$AE,MATCH($W14,Definitions!$AF:$AF,0))</f>
        <v>No Risk</v>
      </c>
      <c r="O14" s="10"/>
      <c r="P14" s="9" cm="1">
        <f t="array" aca="1" ref="P14" ca="1">CreateID($P$2,$A14&lt;&gt;"")</f>
        <v>12</v>
      </c>
      <c r="Q14" s="9" cm="1">
        <f t="array" ref="Q14">CreateTaskID($Q$2,$Q:$Q,Tasks!$B$17,$O14)</f>
        <v>0</v>
      </c>
      <c r="R14" s="9">
        <f ca="1">IFERROR(MATCH(ROW()-ROW($R$2),'Attack Steps'!$R:$R,0),0)</f>
        <v>14</v>
      </c>
      <c r="S14" s="9" t="str" cm="1">
        <f t="array" aca="1" ref="S14" ca="1">CalculateMaxAndElements($T14,0,"",Risks!$A:$Z)</f>
        <v>0:</v>
      </c>
      <c r="T14" s="9" t="str" cm="1">
        <f t="array" aca="1" ref="T14" ca="1">InverseLookup($A14,Risks!$Y$2,Risks!$A$2,1,Helper!$B$1,",")</f>
        <v/>
      </c>
      <c r="U14" s="9" t="str">
        <f t="shared" ca="1" si="0"/>
        <v/>
      </c>
      <c r="V14" s="9" t="str" cm="1">
        <f t="array" aca="1" ref="V14" ca="1">CalculateMaxAndElements($T14,0,"",Risks!$A:$AG)</f>
        <v>0:</v>
      </c>
      <c r="W14" s="9">
        <f t="shared" ca="1" si="1"/>
        <v>0</v>
      </c>
      <c r="X14" s="9" t="str" cm="1">
        <f t="array" ref="X14">IF($J14="","",","&amp;SanitizeInput($J14))</f>
        <v/>
      </c>
      <c r="Y14" s="9" t="b" cm="1">
        <f t="array" aca="1" ref="Y14" ca="1">INDEX('Attack Steps'!$AE:$AE,$R14)</f>
        <v>0</v>
      </c>
      <c r="Z14" s="9" cm="1">
        <f t="array" aca="1" ref="Z14" ca="1">CreateID($Z$2,IFERROR(FIND(Definitions!$AR$4,$O14)&gt;0,FALSE))</f>
        <v>0</v>
      </c>
      <c r="AA14" s="9">
        <f>_xlfn.LET(
_xlpm._comment,$O14,
_xlpm._keyWord,Definitions!$AR$4,
_xlpm._diffLen,LEN(_xlpm._comment)-LEN(SUBSTITUTE(_xlpm._comment,_xlpm._keyWord,"")),
_xlpm._diffLen/LEN(_xlpm._keyWord))</f>
        <v>0</v>
      </c>
      <c r="AB14" s="9" cm="1">
        <f t="array" aca="1" ref="AB14" ca="1">CreateID($AB$2,IFERROR(FIND(Definitions!$AR$5,$O14)&gt;0,FALSE))</f>
        <v>0</v>
      </c>
      <c r="AC14" s="9">
        <f>_xlfn.LET(
_xlpm._comment,$O14,
_xlpm._keyWord,Definitions!$AR$5,
_xlpm._diffLen,LEN(_xlpm._comment)-LEN(SUBSTITUTE(_xlpm._comment,_xlpm._keyWord,"")),
_xlpm._diffLen/LEN(_xlpm._keyWord))</f>
        <v>0</v>
      </c>
      <c r="AD14" s="9" t="str" cm="1">
        <f t="array" ref="AD14">CreateSearchString($J14)</f>
        <v/>
      </c>
      <c r="AE14" s="9" t="str" cm="1">
        <f t="array" aca="1" ref="AE14" ca="1">_xlfn.LET(
_xlpm._selected,SanitizeInput($J14),
_xlpm._catalogOptions,SanitizeInput($F14)&amp;SanitizeInput($G14)&amp;SanitizeInput($H14),
_xlpm._selectedNotInOptions,FilterElementsFromList(_xlpm._selected,_xlpm._catalogOptions,FALSE,","),
IF(_xlpm._selectedNotInOptions="","",$A14&amp;" "&amp;$B14&amp;": "&amp;SUBSTITUTE(RemoveDelimiter(_xlpm._selectedNotInOptions,","),",",", ")))</f>
        <v/>
      </c>
      <c r="AF14" s="9" cm="1">
        <f t="array" aca="1" ref="AF14" ca="1">CreateID($AF$2,$AE14&lt;&gt;"")</f>
        <v>0</v>
      </c>
      <c r="AG14" s="9" t="str" cm="1">
        <f t="array" aca="1" ref="AG14" ca="1">_xlfn.LET(
_xlpm._delimiter,","&amp;CHAR(10),
_xlpm._assumptions,ParseAllMitigationsFromComment($A14,"-","A",$O14,Definitions!$AR$4,Definitions!$AS$4,Definitions!$AR$6,_xlpm._delimiter,1),
_xlpm._countermeasures,ParseAllMitigationsFromComment($A14,"-","C",$O14,Definitions!$AR$5,Definitions!$AS$5,Definitions!$AR$6,_xlpm._delimiter,1),
IF(_xlpm._countermeasures="",RemoveDelimiter(_xlpm._assumptions,_xlpm._delimiter),_xlpm._assumptions&amp;RemoveDelimiter(_xlpm._countermeasures,_xlpm._delimiter)))</f>
        <v/>
      </c>
      <c r="AH14" s="9" t="str" cm="1">
        <f t="array" ref="AH14">CreateSearchString(SanitizeInput($J14)&amp;GetValuesIgnoreErrors(SanitizeInput($J14),Countermeasures!$A:$H,"",",",FALSE))</f>
        <v/>
      </c>
      <c r="AI14" s="9" t="str" cm="1">
        <f t="array" aca="1" ref="AI14" ca="1">IF(AND(IFERROR(FIND(","&amp;Countermeasures!$A$31&amp;",",$AH14)&gt;0,FALSE),Countermeasures!$AB$31=TRUE,SimpleLookup(Questions!$A$48,Questionnaire!$B:$D)=Definitions!$A$5),$A14&amp;" "&amp;$B14,"")</f>
        <v/>
      </c>
      <c r="AJ14" s="9" cm="1">
        <f t="array" aca="1" ref="AJ14" ca="1">CreateID($AJ$2,$AI14&lt;&gt;"")</f>
        <v>0</v>
      </c>
      <c r="AK14" s="9" t="str">
        <f t="shared" ca="1" si="2"/>
        <v/>
      </c>
      <c r="AL14" s="9" cm="1">
        <f t="array" aca="1" ref="AL14" ca="1">CreateID($AL$2,$AK14&lt;&gt;"")</f>
        <v>0</v>
      </c>
      <c r="AM14" s="9" t="str">
        <f t="shared" si="3"/>
        <v/>
      </c>
      <c r="AN14" s="9" cm="1">
        <f t="array" aca="1" ref="AN14" ca="1">CreateID($AN$2,$AM14&lt;&gt;"")</f>
        <v>0</v>
      </c>
    </row>
    <row r="15" spans="1:40" ht="45" x14ac:dyDescent="0.25">
      <c r="A15" s="13" t="str" cm="1">
        <f t="array" aca="1" ref="A15" ca="1">IF($R15=0,"",INDEX('Attack Steps'!A:A,$R15))</f>
        <v>AS13</v>
      </c>
      <c r="B15" s="13" t="str" cm="1">
        <f t="array" aca="1" ref="B15" ca="1">IF($R15=0,"",INDEX('Attack Steps'!B:B,$R15))</f>
        <v>Attacking the product or its communication from an untrusted local network</v>
      </c>
      <c r="C15" s="10">
        <f>3</f>
        <v>3</v>
      </c>
      <c r="D15" s="16" t="str" cm="1">
        <f t="array" aca="1" ref="D15" ca="1">_xlfn.LET(
_xlpm._displayLimit,$C15,
_xlpm._risks,$S15,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15" s="13" t="str" cm="1">
        <f t="array" aca="1" ref="E15" ca="1">_xlfn.LET(_xlpm._riskValue,CalculateMaxFromList($T15,0,Risks!$A:$Z),
INDEX(Definitions!$AE:$AE,MATCH(_xlpm._riskValue,Definitions!$AF:$AF,0)))</f>
        <v>No Risk</v>
      </c>
      <c r="F15" s="13" t="str" cm="1">
        <f t="array" aca="1" ref="F15" ca="1">IF($A15="","",SUBSTITUTE(RemoveDelimiter(SanitizeInput(SimpleLookup($A15,'Attack Steps'!$A:$AA)),","),",",", "))</f>
        <v>C30</v>
      </c>
      <c r="G15" s="13" t="str" cm="1">
        <f t="array" aca="1" ref="G15" ca="1">IF($A15="","",SUBSTITUTE(RemoveDelimiter(SanitizeInput(SimpleLookup($A15,'Attack Steps'!$A:$AB)),","),",",", "))</f>
        <v/>
      </c>
      <c r="H15" s="55" t="str" cm="1">
        <f t="array" aca="1" ref="H15" ca="1">IF($A15="","",_xlfn.LET(
_xlpm._proposedActive,SanitizeInput($G15),
_xlpm._proposedAll,SimpleLookup($A15,'Attack Steps'!$A:$AC),
_xlpm._proposedDiff,FilterElementsFromList(_xlpm._proposedAll,_xlpm._proposedActive,FALSE,","),
SUBSTITUTE(RemoveDelimiter(SanitizeInput(_xlpm._proposedDiff),","),",",", ")))</f>
        <v/>
      </c>
      <c r="I15" s="13" t="str" cm="1">
        <f t="array" aca="1" ref="I15" ca="1">RemoveDelimiter(GetValuesWithFallback(SanitizeInput($F15)&amp;SanitizeInput($G15)&amp;SanitizeInput($H15),Countermeasures!$A:$B,Assumptions!$A:$B," ",","&amp;CHAR(10),TRUE),","&amp;CHAR(10))</f>
        <v>C30 SRS 7.4 – Control system recovery and reconstitution</v>
      </c>
      <c r="J15" s="10"/>
      <c r="K15" s="13" t="str" cm="1">
        <f t="array" ref="K15">RemoveDelimiter(GetValuesWithFallback(SanitizeInput($J15),Countermeasures!$A:$B,Assumptions!$A:$B," ",","&amp;CHAR(10),TRUE),","&amp;CHAR(10))</f>
        <v/>
      </c>
      <c r="L15" s="10">
        <f>3</f>
        <v>3</v>
      </c>
      <c r="M15" s="16" t="str" cm="1">
        <f t="array" aca="1" ref="M15" ca="1">_xlfn.LET(
_xlpm._displayLimit,$L15,
_xlpm._risks,$V15,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15" s="13" t="str">
        <f ca="1">INDEX(Definitions!$AE:$AE,MATCH($W15,Definitions!$AF:$AF,0))</f>
        <v>No Risk</v>
      </c>
      <c r="O15" s="10"/>
      <c r="P15" s="9" cm="1">
        <f t="array" aca="1" ref="P15" ca="1">CreateID($P$2,$A15&lt;&gt;"")</f>
        <v>13</v>
      </c>
      <c r="Q15" s="9" cm="1">
        <f t="array" ref="Q15">CreateTaskID($Q$2,$Q:$Q,Tasks!$B$17,$O15)</f>
        <v>0</v>
      </c>
      <c r="R15" s="9">
        <f ca="1">IFERROR(MATCH(ROW()-ROW($R$2),'Attack Steps'!$R:$R,0),0)</f>
        <v>15</v>
      </c>
      <c r="S15" s="9" t="str" cm="1">
        <f t="array" aca="1" ref="S15" ca="1">CalculateMaxAndElements($T15,0,"",Risks!$A:$Z)</f>
        <v>0:</v>
      </c>
      <c r="T15" s="9" t="str" cm="1">
        <f t="array" aca="1" ref="T15" ca="1">InverseLookup($A15,Risks!$Y$2,Risks!$A$2,1,Helper!$B$1,",")</f>
        <v/>
      </c>
      <c r="U15" s="9" t="str">
        <f t="shared" ca="1" si="0"/>
        <v/>
      </c>
      <c r="V15" s="9" t="str" cm="1">
        <f t="array" aca="1" ref="V15" ca="1">CalculateMaxAndElements($T15,0,"",Risks!$A:$AG)</f>
        <v>0:</v>
      </c>
      <c r="W15" s="9">
        <f t="shared" ca="1" si="1"/>
        <v>0</v>
      </c>
      <c r="X15" s="9" t="str" cm="1">
        <f t="array" ref="X15">IF($J15="","",","&amp;SanitizeInput($J15))</f>
        <v/>
      </c>
      <c r="Y15" s="9" t="b" cm="1">
        <f t="array" aca="1" ref="Y15" ca="1">INDEX('Attack Steps'!$AE:$AE,$R15)</f>
        <v>0</v>
      </c>
      <c r="Z15" s="9" cm="1">
        <f t="array" aca="1" ref="Z15" ca="1">CreateID($Z$2,IFERROR(FIND(Definitions!$AR$4,$O15)&gt;0,FALSE))</f>
        <v>0</v>
      </c>
      <c r="AA15" s="9">
        <f>_xlfn.LET(
_xlpm._comment,$O15,
_xlpm._keyWord,Definitions!$AR$4,
_xlpm._diffLen,LEN(_xlpm._comment)-LEN(SUBSTITUTE(_xlpm._comment,_xlpm._keyWord,"")),
_xlpm._diffLen/LEN(_xlpm._keyWord))</f>
        <v>0</v>
      </c>
      <c r="AB15" s="9" cm="1">
        <f t="array" aca="1" ref="AB15" ca="1">CreateID($AB$2,IFERROR(FIND(Definitions!$AR$5,$O15)&gt;0,FALSE))</f>
        <v>0</v>
      </c>
      <c r="AC15" s="9">
        <f>_xlfn.LET(
_xlpm._comment,$O15,
_xlpm._keyWord,Definitions!$AR$5,
_xlpm._diffLen,LEN(_xlpm._comment)-LEN(SUBSTITUTE(_xlpm._comment,_xlpm._keyWord,"")),
_xlpm._diffLen/LEN(_xlpm._keyWord))</f>
        <v>0</v>
      </c>
      <c r="AD15" s="9" t="str" cm="1">
        <f t="array" ref="AD15">CreateSearchString($J15)</f>
        <v/>
      </c>
      <c r="AE15" s="9" t="str" cm="1">
        <f t="array" aca="1" ref="AE15" ca="1">_xlfn.LET(
_xlpm._selected,SanitizeInput($J15),
_xlpm._catalogOptions,SanitizeInput($F15)&amp;SanitizeInput($G15)&amp;SanitizeInput($H15),
_xlpm._selectedNotInOptions,FilterElementsFromList(_xlpm._selected,_xlpm._catalogOptions,FALSE,","),
IF(_xlpm._selectedNotInOptions="","",$A15&amp;" "&amp;$B15&amp;": "&amp;SUBSTITUTE(RemoveDelimiter(_xlpm._selectedNotInOptions,","),",",", ")))</f>
        <v/>
      </c>
      <c r="AF15" s="9" cm="1">
        <f t="array" aca="1" ref="AF15" ca="1">CreateID($AF$2,$AE15&lt;&gt;"")</f>
        <v>0</v>
      </c>
      <c r="AG15" s="9" t="str" cm="1">
        <f t="array" aca="1" ref="AG15" ca="1">_xlfn.LET(
_xlpm._delimiter,","&amp;CHAR(10),
_xlpm._assumptions,ParseAllMitigationsFromComment($A15,"-","A",$O15,Definitions!$AR$4,Definitions!$AS$4,Definitions!$AR$6,_xlpm._delimiter,1),
_xlpm._countermeasures,ParseAllMitigationsFromComment($A15,"-","C",$O15,Definitions!$AR$5,Definitions!$AS$5,Definitions!$AR$6,_xlpm._delimiter,1),
IF(_xlpm._countermeasures="",RemoveDelimiter(_xlpm._assumptions,_xlpm._delimiter),_xlpm._assumptions&amp;RemoveDelimiter(_xlpm._countermeasures,_xlpm._delimiter)))</f>
        <v/>
      </c>
      <c r="AH15" s="9" t="str" cm="1">
        <f t="array" ref="AH15">CreateSearchString(SanitizeInput($J15)&amp;GetValuesIgnoreErrors(SanitizeInput($J15),Countermeasures!$A:$H,"",",",FALSE))</f>
        <v/>
      </c>
      <c r="AI15" s="9" t="str" cm="1">
        <f t="array" aca="1" ref="AI15" ca="1">IF(AND(IFERROR(FIND(","&amp;Countermeasures!$A$31&amp;",",$AH15)&gt;0,FALSE),Countermeasures!$AB$31=TRUE,SimpleLookup(Questions!$A$48,Questionnaire!$B:$D)=Definitions!$A$5),$A15&amp;" "&amp;$B15,"")</f>
        <v/>
      </c>
      <c r="AJ15" s="9" cm="1">
        <f t="array" aca="1" ref="AJ15" ca="1">CreateID($AJ$2,$AI15&lt;&gt;"")</f>
        <v>0</v>
      </c>
      <c r="AK15" s="9" t="str">
        <f t="shared" ca="1" si="2"/>
        <v/>
      </c>
      <c r="AL15" s="9" cm="1">
        <f t="array" aca="1" ref="AL15" ca="1">CreateID($AL$2,$AK15&lt;&gt;"")</f>
        <v>0</v>
      </c>
      <c r="AM15" s="9" t="str">
        <f t="shared" si="3"/>
        <v/>
      </c>
      <c r="AN15" s="9" cm="1">
        <f t="array" aca="1" ref="AN15" ca="1">CreateID($AN$2,$AM15&lt;&gt;"")</f>
        <v>0</v>
      </c>
    </row>
    <row r="16" spans="1:40" ht="45" x14ac:dyDescent="0.25">
      <c r="A16" s="13" t="str" cm="1">
        <f t="array" aca="1" ref="A16" ca="1">IF($R16=0,"",INDEX('Attack Steps'!A:A,$R16))</f>
        <v>AS14</v>
      </c>
      <c r="B16" s="13" t="str" cm="1">
        <f t="array" aca="1" ref="B16" ca="1">IF($R16=0,"",INDEX('Attack Steps'!B:B,$R16))</f>
        <v>Disrupting the product's communication over the local network</v>
      </c>
      <c r="C16" s="10">
        <f>3</f>
        <v>3</v>
      </c>
      <c r="D16" s="16" t="str" cm="1">
        <f t="array" aca="1" ref="D16" ca="1">_xlfn.LET(
_xlpm._displayLimit,$C16,
_xlpm._risks,$S16,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16" s="13" t="str" cm="1">
        <f t="array" aca="1" ref="E16" ca="1">_xlfn.LET(_xlpm._riskValue,CalculateMaxFromList($T16,0,Risks!$A:$Z),
INDEX(Definitions!$AE:$AE,MATCH(_xlpm._riskValue,Definitions!$AF:$AF,0)))</f>
        <v>No Risk</v>
      </c>
      <c r="F16" s="13" t="str" cm="1">
        <f t="array" aca="1" ref="F16" ca="1">IF($A16="","",SUBSTITUTE(RemoveDelimiter(SanitizeInput(SimpleLookup($A16,'Attack Steps'!$A:$AA)),","),",",", "))</f>
        <v/>
      </c>
      <c r="G16" s="13" t="str" cm="1">
        <f t="array" aca="1" ref="G16" ca="1">IF($A16="","",SUBSTITUTE(RemoveDelimiter(SanitizeInput(SimpleLookup($A16,'Attack Steps'!$A:$AB)),","),",",", "))</f>
        <v/>
      </c>
      <c r="H16" s="55" t="str" cm="1">
        <f t="array" aca="1" ref="H16" ca="1">IF($A16="","",_xlfn.LET(
_xlpm._proposedActive,SanitizeInput($G16),
_xlpm._proposedAll,SimpleLookup($A16,'Attack Steps'!$A:$AC),
_xlpm._proposedDiff,FilterElementsFromList(_xlpm._proposedAll,_xlpm._proposedActive,FALSE,","),
SUBSTITUTE(RemoveDelimiter(SanitizeInput(_xlpm._proposedDiff),","),",",", ")))</f>
        <v>A44</v>
      </c>
      <c r="I16" s="13" t="str" cm="1">
        <f t="array" aca="1" ref="I16" ca="1">RemoveDelimiter(GetValuesWithFallback(SanitizeInput($F16)&amp;SanitizeInput($G16)&amp;SanitizeInput($H16),Countermeasures!$A:$B,Assumptions!$A:$B," ",","&amp;CHAR(10),TRUE),","&amp;CHAR(10))</f>
        <v>A44 SDR 1.30 - Network monitoring</v>
      </c>
      <c r="J16" s="10"/>
      <c r="K16" s="13" t="str" cm="1">
        <f t="array" ref="K16">RemoveDelimiter(GetValuesWithFallback(SanitizeInput($J16),Countermeasures!$A:$B,Assumptions!$A:$B," ",","&amp;CHAR(10),TRUE),","&amp;CHAR(10))</f>
        <v/>
      </c>
      <c r="L16" s="10">
        <f>3</f>
        <v>3</v>
      </c>
      <c r="M16" s="16" t="str" cm="1">
        <f t="array" aca="1" ref="M16" ca="1">_xlfn.LET(
_xlpm._displayLimit,$L16,
_xlpm._risks,$V16,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16" s="13" t="str">
        <f ca="1">INDEX(Definitions!$AE:$AE,MATCH($W16,Definitions!$AF:$AF,0))</f>
        <v>No Risk</v>
      </c>
      <c r="O16" s="10"/>
      <c r="P16" s="9" cm="1">
        <f t="array" aca="1" ref="P16" ca="1">CreateID($P$2,$A16&lt;&gt;"")</f>
        <v>14</v>
      </c>
      <c r="Q16" s="9" cm="1">
        <f t="array" ref="Q16">CreateTaskID($Q$2,$Q:$Q,Tasks!$B$17,$O16)</f>
        <v>0</v>
      </c>
      <c r="R16" s="9">
        <f ca="1">IFERROR(MATCH(ROW()-ROW($R$2),'Attack Steps'!$R:$R,0),0)</f>
        <v>16</v>
      </c>
      <c r="S16" s="9" t="str" cm="1">
        <f t="array" aca="1" ref="S16" ca="1">CalculateMaxAndElements($T16,0,"",Risks!$A:$Z)</f>
        <v>0:</v>
      </c>
      <c r="T16" s="9" t="str" cm="1">
        <f t="array" aca="1" ref="T16" ca="1">InverseLookup($A16,Risks!$Y$2,Risks!$A$2,1,Helper!$B$1,",")</f>
        <v/>
      </c>
      <c r="U16" s="9" t="str">
        <f t="shared" ca="1" si="0"/>
        <v/>
      </c>
      <c r="V16" s="9" t="str" cm="1">
        <f t="array" aca="1" ref="V16" ca="1">CalculateMaxAndElements($T16,0,"",Risks!$A:$AG)</f>
        <v>0:</v>
      </c>
      <c r="W16" s="9">
        <f t="shared" ca="1" si="1"/>
        <v>0</v>
      </c>
      <c r="X16" s="9" t="str" cm="1">
        <f t="array" ref="X16">IF($J16="","",","&amp;SanitizeInput($J16))</f>
        <v/>
      </c>
      <c r="Y16" s="9" t="b" cm="1">
        <f t="array" aca="1" ref="Y16" ca="1">INDEX('Attack Steps'!$AE:$AE,$R16)</f>
        <v>0</v>
      </c>
      <c r="Z16" s="9" cm="1">
        <f t="array" aca="1" ref="Z16" ca="1">CreateID($Z$2,IFERROR(FIND(Definitions!$AR$4,$O16)&gt;0,FALSE))</f>
        <v>0</v>
      </c>
      <c r="AA16" s="9">
        <f>_xlfn.LET(
_xlpm._comment,$O16,
_xlpm._keyWord,Definitions!$AR$4,
_xlpm._diffLen,LEN(_xlpm._comment)-LEN(SUBSTITUTE(_xlpm._comment,_xlpm._keyWord,"")),
_xlpm._diffLen/LEN(_xlpm._keyWord))</f>
        <v>0</v>
      </c>
      <c r="AB16" s="9" cm="1">
        <f t="array" aca="1" ref="AB16" ca="1">CreateID($AB$2,IFERROR(FIND(Definitions!$AR$5,$O16)&gt;0,FALSE))</f>
        <v>0</v>
      </c>
      <c r="AC16" s="9">
        <f>_xlfn.LET(
_xlpm._comment,$O16,
_xlpm._keyWord,Definitions!$AR$5,
_xlpm._diffLen,LEN(_xlpm._comment)-LEN(SUBSTITUTE(_xlpm._comment,_xlpm._keyWord,"")),
_xlpm._diffLen/LEN(_xlpm._keyWord))</f>
        <v>0</v>
      </c>
      <c r="AD16" s="9" t="str" cm="1">
        <f t="array" ref="AD16">CreateSearchString($J16)</f>
        <v/>
      </c>
      <c r="AE16" s="9" t="str" cm="1">
        <f t="array" aca="1" ref="AE16" ca="1">_xlfn.LET(
_xlpm._selected,SanitizeInput($J16),
_xlpm._catalogOptions,SanitizeInput($F16)&amp;SanitizeInput($G16)&amp;SanitizeInput($H16),
_xlpm._selectedNotInOptions,FilterElementsFromList(_xlpm._selected,_xlpm._catalogOptions,FALSE,","),
IF(_xlpm._selectedNotInOptions="","",$A16&amp;" "&amp;$B16&amp;": "&amp;SUBSTITUTE(RemoveDelimiter(_xlpm._selectedNotInOptions,","),",",", ")))</f>
        <v/>
      </c>
      <c r="AF16" s="9" cm="1">
        <f t="array" aca="1" ref="AF16" ca="1">CreateID($AF$2,$AE16&lt;&gt;"")</f>
        <v>0</v>
      </c>
      <c r="AG16" s="9" t="str" cm="1">
        <f t="array" aca="1" ref="AG16" ca="1">_xlfn.LET(
_xlpm._delimiter,","&amp;CHAR(10),
_xlpm._assumptions,ParseAllMitigationsFromComment($A16,"-","A",$O16,Definitions!$AR$4,Definitions!$AS$4,Definitions!$AR$6,_xlpm._delimiter,1),
_xlpm._countermeasures,ParseAllMitigationsFromComment($A16,"-","C",$O16,Definitions!$AR$5,Definitions!$AS$5,Definitions!$AR$6,_xlpm._delimiter,1),
IF(_xlpm._countermeasures="",RemoveDelimiter(_xlpm._assumptions,_xlpm._delimiter),_xlpm._assumptions&amp;RemoveDelimiter(_xlpm._countermeasures,_xlpm._delimiter)))</f>
        <v/>
      </c>
      <c r="AH16" s="9" t="str" cm="1">
        <f t="array" ref="AH16">CreateSearchString(SanitizeInput($J16)&amp;GetValuesIgnoreErrors(SanitizeInput($J16),Countermeasures!$A:$H,"",",",FALSE))</f>
        <v/>
      </c>
      <c r="AI16" s="9" t="str" cm="1">
        <f t="array" aca="1" ref="AI16" ca="1">IF(AND(IFERROR(FIND(","&amp;Countermeasures!$A$31&amp;",",$AH16)&gt;0,FALSE),Countermeasures!$AB$31=TRUE,SimpleLookup(Questions!$A$48,Questionnaire!$B:$D)=Definitions!$A$5),$A16&amp;" "&amp;$B16,"")</f>
        <v/>
      </c>
      <c r="AJ16" s="9" cm="1">
        <f t="array" aca="1" ref="AJ16" ca="1">CreateID($AJ$2,$AI16&lt;&gt;"")</f>
        <v>0</v>
      </c>
      <c r="AK16" s="9" t="str">
        <f t="shared" ca="1" si="2"/>
        <v/>
      </c>
      <c r="AL16" s="9" cm="1">
        <f t="array" aca="1" ref="AL16" ca="1">CreateID($AL$2,$AK16&lt;&gt;"")</f>
        <v>0</v>
      </c>
      <c r="AM16" s="9" t="str">
        <f t="shared" si="3"/>
        <v/>
      </c>
      <c r="AN16" s="9" cm="1">
        <f t="array" aca="1" ref="AN16" ca="1">CreateID($AN$2,$AM16&lt;&gt;"")</f>
        <v>0</v>
      </c>
    </row>
    <row r="17" spans="1:40" ht="30" x14ac:dyDescent="0.25">
      <c r="A17" s="13" t="str" cm="1">
        <f t="array" aca="1" ref="A17" ca="1">IF($R17=0,"",INDEX('Attack Steps'!A:A,$R17))</f>
        <v>AS15</v>
      </c>
      <c r="B17" s="13" t="str" cm="1">
        <f t="array" aca="1" ref="B17" ca="1">IF($R17=0,"",INDEX('Attack Steps'!B:B,$R17))</f>
        <v>Attacking the product from the Internet or a mobile network</v>
      </c>
      <c r="C17" s="10">
        <f>3</f>
        <v>3</v>
      </c>
      <c r="D17" s="16" t="str" cm="1">
        <f t="array" aca="1" ref="D17" ca="1">_xlfn.LET(
_xlpm._displayLimit,$C17,
_xlpm._risks,$S17,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17" s="13" t="str" cm="1">
        <f t="array" aca="1" ref="E17" ca="1">_xlfn.LET(_xlpm._riskValue,CalculateMaxFromList($T17,0,Risks!$A:$Z),
INDEX(Definitions!$AE:$AE,MATCH(_xlpm._riskValue,Definitions!$AF:$AF,0)))</f>
        <v>No Risk</v>
      </c>
      <c r="F17" s="13" t="str" cm="1">
        <f t="array" aca="1" ref="F17" ca="1">IF($A17="","",SUBSTITUTE(RemoveDelimiter(SanitizeInput(SimpleLookup($A17,'Attack Steps'!$A:$AA)),","),",",", "))</f>
        <v>CM1</v>
      </c>
      <c r="G17" s="13" t="str" cm="1">
        <f t="array" aca="1" ref="G17" ca="1">IF($A17="","",SUBSTITUTE(RemoveDelimiter(SanitizeInput(SimpleLookup($A17,'Attack Steps'!$A:$AB)),","),",",", "))</f>
        <v/>
      </c>
      <c r="H17" s="55" t="str" cm="1">
        <f t="array" aca="1" ref="H17" ca="1">IF($A17="","",_xlfn.LET(
_xlpm._proposedActive,SanitizeInput($G17),
_xlpm._proposedAll,SimpleLookup($A17,'Attack Steps'!$A:$AC),
_xlpm._proposedDiff,FilterElementsFromList(_xlpm._proposedAll,_xlpm._proposedActive,FALSE,","),
SUBSTITUTE(RemoveDelimiter(SanitizeInput(_xlpm._proposedDiff),","),",",", ")))</f>
        <v/>
      </c>
      <c r="I17" s="13" t="str" cm="1">
        <f t="array" aca="1" ref="I17" ca="1">RemoveDelimiter(GetValuesWithFallback(SanitizeInput($F17)&amp;SanitizeInput($G17)&amp;SanitizeInput($H17),Countermeasures!$A:$B,Assumptions!$A:$B," ",","&amp;CHAR(10),TRUE),","&amp;CHAR(10))</f>
        <v>CM1 SCR 2.1 - Device Firewall</v>
      </c>
      <c r="J17" s="10"/>
      <c r="K17" s="13" t="str" cm="1">
        <f t="array" ref="K17">RemoveDelimiter(GetValuesWithFallback(SanitizeInput($J17),Countermeasures!$A:$B,Assumptions!$A:$B," ",","&amp;CHAR(10),TRUE),","&amp;CHAR(10))</f>
        <v/>
      </c>
      <c r="L17" s="10">
        <f>3</f>
        <v>3</v>
      </c>
      <c r="M17" s="16" t="str" cm="1">
        <f t="array" aca="1" ref="M17" ca="1">_xlfn.LET(
_xlpm._displayLimit,$L17,
_xlpm._risks,$V17,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17" s="13" t="str">
        <f ca="1">INDEX(Definitions!$AE:$AE,MATCH($W17,Definitions!$AF:$AF,0))</f>
        <v>No Risk</v>
      </c>
      <c r="O17" s="10"/>
      <c r="P17" s="9" cm="1">
        <f t="array" aca="1" ref="P17" ca="1">CreateID($P$2,$A17&lt;&gt;"")</f>
        <v>15</v>
      </c>
      <c r="Q17" s="9" cm="1">
        <f t="array" ref="Q17">CreateTaskID($Q$2,$Q:$Q,Tasks!$B$17,$O17)</f>
        <v>0</v>
      </c>
      <c r="R17" s="9">
        <f ca="1">IFERROR(MATCH(ROW()-ROW($R$2),'Attack Steps'!$R:$R,0),0)</f>
        <v>17</v>
      </c>
      <c r="S17" s="9" t="str" cm="1">
        <f t="array" aca="1" ref="S17" ca="1">CalculateMaxAndElements($T17,0,"",Risks!$A:$Z)</f>
        <v>0:</v>
      </c>
      <c r="T17" s="9" t="str" cm="1">
        <f t="array" aca="1" ref="T17" ca="1">InverseLookup($A17,Risks!$Y$2,Risks!$A$2,1,Helper!$B$1,",")</f>
        <v/>
      </c>
      <c r="U17" s="9" t="str">
        <f t="shared" ref="U17:U22" ca="1" si="4">IF($T17="","",","&amp;$T17)</f>
        <v/>
      </c>
      <c r="V17" s="9" t="str" cm="1">
        <f t="array" aca="1" ref="V17" ca="1">CalculateMaxAndElements($T17,0,"",Risks!$A:$AG)</f>
        <v>0:</v>
      </c>
      <c r="W17" s="9">
        <f t="shared" ref="W17:W22" ca="1" si="5">IF($V17="","",VALUE(LEFT($V17,FIND(":",$V17)-1)))</f>
        <v>0</v>
      </c>
      <c r="X17" s="9" t="str" cm="1">
        <f t="array" ref="X17">IF($J17="","",","&amp;SanitizeInput($J17))</f>
        <v/>
      </c>
      <c r="Y17" s="9" t="b" cm="1">
        <f t="array" aca="1" ref="Y17" ca="1">INDEX('Attack Steps'!$AE:$AE,$R17)</f>
        <v>0</v>
      </c>
      <c r="Z17" s="9" cm="1">
        <f t="array" aca="1" ref="Z17" ca="1">CreateID($Z$2,IFERROR(FIND(Definitions!$AR$4,$O17)&gt;0,FALSE))</f>
        <v>0</v>
      </c>
      <c r="AA17" s="9">
        <f>_xlfn.LET(
_xlpm._comment,$O17,
_xlpm._keyWord,Definitions!$AR$4,
_xlpm._diffLen,LEN(_xlpm._comment)-LEN(SUBSTITUTE(_xlpm._comment,_xlpm._keyWord,"")),
_xlpm._diffLen/LEN(_xlpm._keyWord))</f>
        <v>0</v>
      </c>
      <c r="AB17" s="9" cm="1">
        <f t="array" aca="1" ref="AB17" ca="1">CreateID($AB$2,IFERROR(FIND(Definitions!$AR$5,$O17)&gt;0,FALSE))</f>
        <v>0</v>
      </c>
      <c r="AC17" s="9">
        <f>_xlfn.LET(
_xlpm._comment,$O17,
_xlpm._keyWord,Definitions!$AR$5,
_xlpm._diffLen,LEN(_xlpm._comment)-LEN(SUBSTITUTE(_xlpm._comment,_xlpm._keyWord,"")),
_xlpm._diffLen/LEN(_xlpm._keyWord))</f>
        <v>0</v>
      </c>
      <c r="AD17" s="9" t="str" cm="1">
        <f t="array" ref="AD17">CreateSearchString($J17)</f>
        <v/>
      </c>
      <c r="AE17" s="9" t="str" cm="1">
        <f t="array" aca="1" ref="AE17" ca="1">_xlfn.LET(
_xlpm._selected,SanitizeInput($J17),
_xlpm._catalogOptions,SanitizeInput($F17)&amp;SanitizeInput($G17)&amp;SanitizeInput($H17),
_xlpm._selectedNotInOptions,FilterElementsFromList(_xlpm._selected,_xlpm._catalogOptions,FALSE,","),
IF(_xlpm._selectedNotInOptions="","",$A17&amp;" "&amp;$B17&amp;": "&amp;SUBSTITUTE(RemoveDelimiter(_xlpm._selectedNotInOptions,","),",",", ")))</f>
        <v/>
      </c>
      <c r="AF17" s="9" cm="1">
        <f t="array" aca="1" ref="AF17" ca="1">CreateID($AF$2,$AE17&lt;&gt;"")</f>
        <v>0</v>
      </c>
      <c r="AG17" s="9" t="str" cm="1">
        <f t="array" aca="1" ref="AG17" ca="1">_xlfn.LET(
_xlpm._delimiter,","&amp;CHAR(10),
_xlpm._assumptions,ParseAllMitigationsFromComment($A17,"-","A",$O17,Definitions!$AR$4,Definitions!$AS$4,Definitions!$AR$6,_xlpm._delimiter,1),
_xlpm._countermeasures,ParseAllMitigationsFromComment($A17,"-","C",$O17,Definitions!$AR$5,Definitions!$AS$5,Definitions!$AR$6,_xlpm._delimiter,1),
IF(_xlpm._countermeasures="",RemoveDelimiter(_xlpm._assumptions,_xlpm._delimiter),_xlpm._assumptions&amp;RemoveDelimiter(_xlpm._countermeasures,_xlpm._delimiter)))</f>
        <v/>
      </c>
      <c r="AH17" s="9" t="str" cm="1">
        <f t="array" ref="AH17">CreateSearchString(SanitizeInput($J17)&amp;GetValuesIgnoreErrors(SanitizeInput($J17),Countermeasures!$A:$H,"",",",FALSE))</f>
        <v/>
      </c>
      <c r="AI17" s="9" t="str" cm="1">
        <f t="array" aca="1" ref="AI17" ca="1">IF(AND(IFERROR(FIND(","&amp;Countermeasures!$A$31&amp;",",$AH17)&gt;0,FALSE),Countermeasures!$AB$31=TRUE,SimpleLookup(Questions!$A$48,Questionnaire!$B:$D)=Definitions!$A$5),$A17&amp;" "&amp;$B17,"")</f>
        <v/>
      </c>
      <c r="AJ17" s="9" cm="1">
        <f t="array" aca="1" ref="AJ17" ca="1">CreateID($AJ$2,$AI17&lt;&gt;"")</f>
        <v>0</v>
      </c>
      <c r="AK17" s="9" t="str">
        <f t="shared" ca="1" si="2"/>
        <v/>
      </c>
      <c r="AL17" s="9" cm="1">
        <f t="array" aca="1" ref="AL17" ca="1">CreateID($AL$2,$AK17&lt;&gt;"")</f>
        <v>0</v>
      </c>
      <c r="AM17" s="9" t="str">
        <f t="shared" si="3"/>
        <v/>
      </c>
      <c r="AN17" s="9" cm="1">
        <f t="array" aca="1" ref="AN17" ca="1">CreateID($AN$2,$AM17&lt;&gt;"")</f>
        <v>0</v>
      </c>
    </row>
    <row r="18" spans="1:40" ht="195" x14ac:dyDescent="0.25">
      <c r="A18" s="13" t="str" cm="1">
        <f t="array" aca="1" ref="A18" ca="1">IF($R18=0,"",INDEX('Attack Steps'!A:A,$R18))</f>
        <v>AS16</v>
      </c>
      <c r="B18" s="13" t="str" cm="1">
        <f t="array" aca="1" ref="B18" ca="1">IF($R18=0,"",INDEX('Attack Steps'!B:B,$R18))</f>
        <v>Manipulating the product's configuration via its configuration interface</v>
      </c>
      <c r="C18" s="10">
        <f>3</f>
        <v>3</v>
      </c>
      <c r="D18" s="16" t="str" cm="1">
        <f t="array" aca="1" ref="D18" ca="1">_xlfn.LET(
_xlpm._displayLimit,$C18,
_xlpm._risks,$S18,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18" s="13" t="str" cm="1">
        <f t="array" aca="1" ref="E18" ca="1">_xlfn.LET(_xlpm._riskValue,CalculateMaxFromList($T18,0,Risks!$A:$Z),
INDEX(Definitions!$AE:$AE,MATCH(_xlpm._riskValue,Definitions!$AF:$AF,0)))</f>
        <v>No Risk</v>
      </c>
      <c r="F18" s="13" t="str" cm="1">
        <f t="array" aca="1" ref="F18" ca="1">IF($A18="","",SUBSTITUTE(RemoveDelimiter(SanitizeInput(SimpleLookup($A18,'Attack Steps'!$A:$AA)),","),",",", "))</f>
        <v>CM5, CM6, CM14, CM15, CM24, CM25, CM26, CM27, CM28</v>
      </c>
      <c r="G18" s="13" t="str" cm="1">
        <f t="array" aca="1" ref="G18" ca="1">IF($A18="","",SUBSTITUTE(RemoveDelimiter(SanitizeInput(SimpleLookup($A18,'Attack Steps'!$A:$AB)),","),",",", "))</f>
        <v/>
      </c>
      <c r="H18" s="55" t="str" cm="1">
        <f t="array" aca="1" ref="H18" ca="1">IF($A18="","",_xlfn.LET(
_xlpm._proposedActive,SanitizeInput($G18),
_xlpm._proposedAll,SimpleLookup($A18,'Attack Steps'!$A:$AC),
_xlpm._proposedDiff,FilterElementsFromList(_xlpm._proposedAll,_xlpm._proposedActive,FALSE,","),
SUBSTITUTE(RemoveDelimiter(SanitizeInput(_xlpm._proposedDiff),","),",",", ")))</f>
        <v/>
      </c>
      <c r="I18" s="13" t="str" cm="1">
        <f t="array" aca="1" ref="I18" ca="1">RemoveDelimiter(GetValuesWithFallback(SanitizeInput($F18)&amp;SanitizeInput($G18)&amp;SanitizeInput($H18),Countermeasures!$A:$B,Assumptions!$A:$B," ",","&amp;CHAR(10),TRUE),","&amp;CHAR(10))</f>
        <v>CM5 SCR 2.3 - Password based authentication (human),
CM6 SCR 2.4 - Authentication with certificates (human),
CM14 SCR 2.10 - Password-based authentication (machine),
CM15 SCR 2.16 - Authentication with certificates (machine),
CM24 SSH with universal key,
CM25 SSH with individual key,
CM26 Oauth2,
CM27 LDAP over TLS,
CM28 OpenID Connect</v>
      </c>
      <c r="J18" s="10"/>
      <c r="K18" s="13" t="str" cm="1">
        <f t="array" ref="K18">RemoveDelimiter(GetValuesWithFallback(SanitizeInput($J18),Countermeasures!$A:$B,Assumptions!$A:$B," ",","&amp;CHAR(10),TRUE),","&amp;CHAR(10))</f>
        <v/>
      </c>
      <c r="L18" s="10">
        <f>3</f>
        <v>3</v>
      </c>
      <c r="M18" s="16" t="str" cm="1">
        <f t="array" aca="1" ref="M18" ca="1">_xlfn.LET(
_xlpm._displayLimit,$L18,
_xlpm._risks,$V18,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18" s="13" t="str">
        <f ca="1">INDEX(Definitions!$AE:$AE,MATCH($W18,Definitions!$AF:$AF,0))</f>
        <v>No Risk</v>
      </c>
      <c r="O18" s="10"/>
      <c r="P18" s="9" cm="1">
        <f t="array" aca="1" ref="P18" ca="1">CreateID($P$2,$A18&lt;&gt;"")</f>
        <v>16</v>
      </c>
      <c r="Q18" s="9" cm="1">
        <f t="array" ref="Q18">CreateTaskID($Q$2,$Q:$Q,Tasks!$B$17,$O18)</f>
        <v>0</v>
      </c>
      <c r="R18" s="9">
        <f ca="1">IFERROR(MATCH(ROW()-ROW($R$2),'Attack Steps'!$R:$R,0),0)</f>
        <v>18</v>
      </c>
      <c r="S18" s="9" t="str" cm="1">
        <f t="array" aca="1" ref="S18" ca="1">CalculateMaxAndElements($T18,0,"",Risks!$A:$Z)</f>
        <v>0:</v>
      </c>
      <c r="T18" s="9" t="str" cm="1">
        <f t="array" aca="1" ref="T18" ca="1">InverseLookup($A18,Risks!$Y$2,Risks!$A$2,1,Helper!$B$1,",")</f>
        <v/>
      </c>
      <c r="U18" s="9" t="str">
        <f t="shared" ca="1" si="4"/>
        <v/>
      </c>
      <c r="V18" s="9" t="str" cm="1">
        <f t="array" aca="1" ref="V18" ca="1">CalculateMaxAndElements($T18,0,"",Risks!$A:$AG)</f>
        <v>0:</v>
      </c>
      <c r="W18" s="9">
        <f t="shared" ca="1" si="5"/>
        <v>0</v>
      </c>
      <c r="X18" s="9" t="str" cm="1">
        <f t="array" ref="X18">IF($J18="","",","&amp;SanitizeInput($J18))</f>
        <v/>
      </c>
      <c r="Y18" s="9" t="b" cm="1">
        <f t="array" aca="1" ref="Y18" ca="1">INDEX('Attack Steps'!$AE:$AE,$R18)</f>
        <v>0</v>
      </c>
      <c r="Z18" s="9" cm="1">
        <f t="array" aca="1" ref="Z18" ca="1">CreateID($Z$2,IFERROR(FIND(Definitions!$AR$4,$O18)&gt;0,FALSE))</f>
        <v>0</v>
      </c>
      <c r="AA18" s="9">
        <f>_xlfn.LET(
_xlpm._comment,$O18,
_xlpm._keyWord,Definitions!$AR$4,
_xlpm._diffLen,LEN(_xlpm._comment)-LEN(SUBSTITUTE(_xlpm._comment,_xlpm._keyWord,"")),
_xlpm._diffLen/LEN(_xlpm._keyWord))</f>
        <v>0</v>
      </c>
      <c r="AB18" s="9" cm="1">
        <f t="array" aca="1" ref="AB18" ca="1">CreateID($AB$2,IFERROR(FIND(Definitions!$AR$5,$O18)&gt;0,FALSE))</f>
        <v>0</v>
      </c>
      <c r="AC18" s="9">
        <f>_xlfn.LET(
_xlpm._comment,$O18,
_xlpm._keyWord,Definitions!$AR$5,
_xlpm._diffLen,LEN(_xlpm._comment)-LEN(SUBSTITUTE(_xlpm._comment,_xlpm._keyWord,"")),
_xlpm._diffLen/LEN(_xlpm._keyWord))</f>
        <v>0</v>
      </c>
      <c r="AD18" s="9" t="str" cm="1">
        <f t="array" ref="AD18">CreateSearchString($J18)</f>
        <v/>
      </c>
      <c r="AE18" s="9" t="str" cm="1">
        <f t="array" aca="1" ref="AE18" ca="1">_xlfn.LET(
_xlpm._selected,SanitizeInput($J18),
_xlpm._catalogOptions,SanitizeInput($F18)&amp;SanitizeInput($G18)&amp;SanitizeInput($H18),
_xlpm._selectedNotInOptions,FilterElementsFromList(_xlpm._selected,_xlpm._catalogOptions,FALSE,","),
IF(_xlpm._selectedNotInOptions="","",$A18&amp;" "&amp;$B18&amp;": "&amp;SUBSTITUTE(RemoveDelimiter(_xlpm._selectedNotInOptions,","),",",", ")))</f>
        <v/>
      </c>
      <c r="AF18" s="9" cm="1">
        <f t="array" aca="1" ref="AF18" ca="1">CreateID($AF$2,$AE18&lt;&gt;"")</f>
        <v>0</v>
      </c>
      <c r="AG18" s="9" t="str" cm="1">
        <f t="array" aca="1" ref="AG18" ca="1">_xlfn.LET(
_xlpm._delimiter,","&amp;CHAR(10),
_xlpm._assumptions,ParseAllMitigationsFromComment($A18,"-","A",$O18,Definitions!$AR$4,Definitions!$AS$4,Definitions!$AR$6,_xlpm._delimiter,1),
_xlpm._countermeasures,ParseAllMitigationsFromComment($A18,"-","C",$O18,Definitions!$AR$5,Definitions!$AS$5,Definitions!$AR$6,_xlpm._delimiter,1),
IF(_xlpm._countermeasures="",RemoveDelimiter(_xlpm._assumptions,_xlpm._delimiter),_xlpm._assumptions&amp;RemoveDelimiter(_xlpm._countermeasures,_xlpm._delimiter)))</f>
        <v/>
      </c>
      <c r="AH18" s="9" t="str" cm="1">
        <f t="array" ref="AH18">CreateSearchString(SanitizeInput($J18)&amp;GetValuesIgnoreErrors(SanitizeInput($J18),Countermeasures!$A:$H,"",",",FALSE))</f>
        <v/>
      </c>
      <c r="AI18" s="9" t="str" cm="1">
        <f t="array" aca="1" ref="AI18" ca="1">IF(AND(IFERROR(FIND(","&amp;Countermeasures!$A$31&amp;",",$AH18)&gt;0,FALSE),Countermeasures!$AB$31=TRUE,SimpleLookup(Questions!$A$48,Questionnaire!$B:$D)=Definitions!$A$5),$A18&amp;" "&amp;$B18,"")</f>
        <v/>
      </c>
      <c r="AJ18" s="9" cm="1">
        <f t="array" aca="1" ref="AJ18" ca="1">CreateID($AJ$2,$AI18&lt;&gt;"")</f>
        <v>0</v>
      </c>
      <c r="AK18" s="9" t="str">
        <f t="shared" ca="1" si="2"/>
        <v/>
      </c>
      <c r="AL18" s="9" cm="1">
        <f t="array" aca="1" ref="AL18" ca="1">CreateID($AL$2,$AK18&lt;&gt;"")</f>
        <v>0</v>
      </c>
      <c r="AM18" s="9" t="str">
        <f t="shared" si="3"/>
        <v/>
      </c>
      <c r="AN18" s="9" cm="1">
        <f t="array" aca="1" ref="AN18" ca="1">CreateID($AN$2,$AM18&lt;&gt;"")</f>
        <v>0</v>
      </c>
    </row>
    <row r="19" spans="1:40" ht="45" x14ac:dyDescent="0.25">
      <c r="A19" s="13" t="str" cm="1">
        <f t="array" aca="1" ref="A19" ca="1">IF($R19=0,"",INDEX('Attack Steps'!A:A,$R19))</f>
        <v>AS17</v>
      </c>
      <c r="B19" s="13" t="str" cm="1">
        <f t="array" aca="1" ref="B19" ca="1">IF($R19=0,"",INDEX('Attack Steps'!B:B,$R19))</f>
        <v>Sending manipulated or malicious data to the product (from an untrusted source)</v>
      </c>
      <c r="C19" s="10">
        <f>3</f>
        <v>3</v>
      </c>
      <c r="D19" s="16" t="str" cm="1">
        <f t="array" aca="1" ref="D19" ca="1">_xlfn.LET(
_xlpm._displayLimit,$C19,
_xlpm._risks,$S19,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19" s="13" t="str" cm="1">
        <f t="array" aca="1" ref="E19" ca="1">_xlfn.LET(_xlpm._riskValue,CalculateMaxFromList($T19,0,Risks!$A:$Z),
INDEX(Definitions!$AE:$AE,MATCH(_xlpm._riskValue,Definitions!$AF:$AF,0)))</f>
        <v>No Risk</v>
      </c>
      <c r="F19" s="13" t="str" cm="1">
        <f t="array" aca="1" ref="F19" ca="1">IF($A19="","",SUBSTITUTE(RemoveDelimiter(SanitizeInput(SimpleLookup($A19,'Attack Steps'!$A:$AA)),","),",",", "))</f>
        <v>C15, CM19</v>
      </c>
      <c r="G19" s="13" t="str" cm="1">
        <f t="array" aca="1" ref="G19" ca="1">IF($A19="","",SUBSTITUTE(RemoveDelimiter(SanitizeInput(SimpleLookup($A19,'Attack Steps'!$A:$AB)),","),",",", "))</f>
        <v/>
      </c>
      <c r="H19" s="55" t="str" cm="1">
        <f t="array" aca="1" ref="H19" ca="1">IF($A19="","",_xlfn.LET(
_xlpm._proposedActive,SanitizeInput($G19),
_xlpm._proposedAll,SimpleLookup($A19,'Attack Steps'!$A:$AC),
_xlpm._proposedDiff,FilterElementsFromList(_xlpm._proposedAll,_xlpm._proposedActive,FALSE,","),
SUBSTITUTE(RemoveDelimiter(SanitizeInput(_xlpm._proposedDiff),","),",",", ")))</f>
        <v/>
      </c>
      <c r="I19" s="13" t="str" cm="1">
        <f t="array" aca="1" ref="I19" ca="1">RemoveDelimiter(GetValuesWithFallback(SanitizeInput($F19)&amp;SanitizeInput($G19)&amp;SanitizeInput($H19),Countermeasures!$A:$B,Assumptions!$A:$B," ",","&amp;CHAR(10),TRUE),","&amp;CHAR(10))</f>
        <v>C15 CR 3.5 – Input validation,
CM19 SDR 2.13 - No processing of external data</v>
      </c>
      <c r="J19" s="10"/>
      <c r="K19" s="13" t="str" cm="1">
        <f t="array" ref="K19">RemoveDelimiter(GetValuesWithFallback(SanitizeInput($J19),Countermeasures!$A:$B,Assumptions!$A:$B," ",","&amp;CHAR(10),TRUE),","&amp;CHAR(10))</f>
        <v/>
      </c>
      <c r="L19" s="10">
        <f>3</f>
        <v>3</v>
      </c>
      <c r="M19" s="16" t="str" cm="1">
        <f t="array" aca="1" ref="M19" ca="1">_xlfn.LET(
_xlpm._displayLimit,$L19,
_xlpm._risks,$V19,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19" s="13" t="str">
        <f ca="1">INDEX(Definitions!$AE:$AE,MATCH($W19,Definitions!$AF:$AF,0))</f>
        <v>No Risk</v>
      </c>
      <c r="O19" s="10"/>
      <c r="P19" s="9" cm="1">
        <f t="array" aca="1" ref="P19" ca="1">CreateID($P$2,$A19&lt;&gt;"")</f>
        <v>17</v>
      </c>
      <c r="Q19" s="9" cm="1">
        <f t="array" ref="Q19">CreateTaskID($Q$2,$Q:$Q,Tasks!$B$17,$O19)</f>
        <v>0</v>
      </c>
      <c r="R19" s="9">
        <f ca="1">IFERROR(MATCH(ROW()-ROW($R$2),'Attack Steps'!$R:$R,0),0)</f>
        <v>19</v>
      </c>
      <c r="S19" s="9" t="str" cm="1">
        <f t="array" aca="1" ref="S19" ca="1">CalculateMaxAndElements($T19,0,"",Risks!$A:$Z)</f>
        <v>0:</v>
      </c>
      <c r="T19" s="9" t="str" cm="1">
        <f t="array" aca="1" ref="T19" ca="1">InverseLookup($A19,Risks!$Y$2,Risks!$A$2,1,Helper!$B$1,",")</f>
        <v/>
      </c>
      <c r="U19" s="9" t="str">
        <f t="shared" ca="1" si="4"/>
        <v/>
      </c>
      <c r="V19" s="9" t="str" cm="1">
        <f t="array" aca="1" ref="V19" ca="1">CalculateMaxAndElements($T19,0,"",Risks!$A:$AG)</f>
        <v>0:</v>
      </c>
      <c r="W19" s="9">
        <f t="shared" ca="1" si="5"/>
        <v>0</v>
      </c>
      <c r="X19" s="9" t="str" cm="1">
        <f t="array" ref="X19">IF($J19="","",","&amp;SanitizeInput($J19))</f>
        <v/>
      </c>
      <c r="Y19" s="9" t="b" cm="1">
        <f t="array" aca="1" ref="Y19" ca="1">INDEX('Attack Steps'!$AE:$AE,$R19)</f>
        <v>0</v>
      </c>
      <c r="Z19" s="9" cm="1">
        <f t="array" aca="1" ref="Z19" ca="1">CreateID($Z$2,IFERROR(FIND(Definitions!$AR$4,$O19)&gt;0,FALSE))</f>
        <v>0</v>
      </c>
      <c r="AA19" s="9">
        <f>_xlfn.LET(
_xlpm._comment,$O19,
_xlpm._keyWord,Definitions!$AR$4,
_xlpm._diffLen,LEN(_xlpm._comment)-LEN(SUBSTITUTE(_xlpm._comment,_xlpm._keyWord,"")),
_xlpm._diffLen/LEN(_xlpm._keyWord))</f>
        <v>0</v>
      </c>
      <c r="AB19" s="9" cm="1">
        <f t="array" aca="1" ref="AB19" ca="1">CreateID($AB$2,IFERROR(FIND(Definitions!$AR$5,$O19)&gt;0,FALSE))</f>
        <v>0</v>
      </c>
      <c r="AC19" s="9">
        <f>_xlfn.LET(
_xlpm._comment,$O19,
_xlpm._keyWord,Definitions!$AR$5,
_xlpm._diffLen,LEN(_xlpm._comment)-LEN(SUBSTITUTE(_xlpm._comment,_xlpm._keyWord,"")),
_xlpm._diffLen/LEN(_xlpm._keyWord))</f>
        <v>0</v>
      </c>
      <c r="AD19" s="9" t="str" cm="1">
        <f t="array" ref="AD19">CreateSearchString($J19)</f>
        <v/>
      </c>
      <c r="AE19" s="9" t="str" cm="1">
        <f t="array" aca="1" ref="AE19" ca="1">_xlfn.LET(
_xlpm._selected,SanitizeInput($J19),
_xlpm._catalogOptions,SanitizeInput($F19)&amp;SanitizeInput($G19)&amp;SanitizeInput($H19),
_xlpm._selectedNotInOptions,FilterElementsFromList(_xlpm._selected,_xlpm._catalogOptions,FALSE,","),
IF(_xlpm._selectedNotInOptions="","",$A19&amp;" "&amp;$B19&amp;": "&amp;SUBSTITUTE(RemoveDelimiter(_xlpm._selectedNotInOptions,","),",",", ")))</f>
        <v/>
      </c>
      <c r="AF19" s="9" cm="1">
        <f t="array" aca="1" ref="AF19" ca="1">CreateID($AF$2,$AE19&lt;&gt;"")</f>
        <v>0</v>
      </c>
      <c r="AG19" s="9" t="str" cm="1">
        <f t="array" aca="1" ref="AG19" ca="1">_xlfn.LET(
_xlpm._delimiter,","&amp;CHAR(10),
_xlpm._assumptions,ParseAllMitigationsFromComment($A19,"-","A",$O19,Definitions!$AR$4,Definitions!$AS$4,Definitions!$AR$6,_xlpm._delimiter,1),
_xlpm._countermeasures,ParseAllMitigationsFromComment($A19,"-","C",$O19,Definitions!$AR$5,Definitions!$AS$5,Definitions!$AR$6,_xlpm._delimiter,1),
IF(_xlpm._countermeasures="",RemoveDelimiter(_xlpm._assumptions,_xlpm._delimiter),_xlpm._assumptions&amp;RemoveDelimiter(_xlpm._countermeasures,_xlpm._delimiter)))</f>
        <v/>
      </c>
      <c r="AH19" s="9" t="str" cm="1">
        <f t="array" ref="AH19">CreateSearchString(SanitizeInput($J19)&amp;GetValuesIgnoreErrors(SanitizeInput($J19),Countermeasures!$A:$H,"",",",FALSE))</f>
        <v/>
      </c>
      <c r="AI19" s="9" t="str" cm="1">
        <f t="array" aca="1" ref="AI19" ca="1">IF(AND(IFERROR(FIND(","&amp;Countermeasures!$A$31&amp;",",$AH19)&gt;0,FALSE),Countermeasures!$AB$31=TRUE,SimpleLookup(Questions!$A$48,Questionnaire!$B:$D)=Definitions!$A$5),$A19&amp;" "&amp;$B19,"")</f>
        <v/>
      </c>
      <c r="AJ19" s="9" cm="1">
        <f t="array" aca="1" ref="AJ19" ca="1">CreateID($AJ$2,$AI19&lt;&gt;"")</f>
        <v>0</v>
      </c>
      <c r="AK19" s="9" t="str">
        <f t="shared" ca="1" si="2"/>
        <v/>
      </c>
      <c r="AL19" s="9" cm="1">
        <f t="array" aca="1" ref="AL19" ca="1">CreateID($AL$2,$AK19&lt;&gt;"")</f>
        <v>0</v>
      </c>
      <c r="AM19" s="9" t="str">
        <f t="shared" si="3"/>
        <v/>
      </c>
      <c r="AN19" s="9" cm="1">
        <f t="array" aca="1" ref="AN19" ca="1">CreateID($AN$2,$AM19&lt;&gt;"")</f>
        <v>0</v>
      </c>
    </row>
    <row r="20" spans="1:40" ht="75" x14ac:dyDescent="0.25">
      <c r="A20" s="13" t="str" cm="1">
        <f t="array" aca="1" ref="A20" ca="1">IF($R20=0,"",INDEX('Attack Steps'!A:A,$R20))</f>
        <v>AS18</v>
      </c>
      <c r="B20" s="13" t="str" cm="1">
        <f t="array" aca="1" ref="B20" ca="1">IF($R20=0,"",INDEX('Attack Steps'!B:B,$R20))</f>
        <v>Abusing the software update functionality to manipulate the product</v>
      </c>
      <c r="C20" s="10">
        <f>3</f>
        <v>3</v>
      </c>
      <c r="D20" s="16" t="str" cm="1">
        <f t="array" aca="1" ref="D20" ca="1">_xlfn.LET(
_xlpm._displayLimit,$C20,
_xlpm._risks,$S20,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20" s="13" t="str" cm="1">
        <f t="array" aca="1" ref="E20" ca="1">_xlfn.LET(_xlpm._riskValue,CalculateMaxFromList($T20,0,Risks!$A:$Z),
INDEX(Definitions!$AE:$AE,MATCH(_xlpm._riskValue,Definitions!$AF:$AF,0)))</f>
        <v>No Risk</v>
      </c>
      <c r="F20" s="13" t="str" cm="1">
        <f t="array" aca="1" ref="F20" ca="1">IF($A20="","",SUBSTITUTE(RemoveDelimiter(SanitizeInput(SimpleLookup($A20,'Attack Steps'!$A:$AA)),","),",",", "))</f>
        <v>CM12</v>
      </c>
      <c r="G20" s="13" t="str" cm="1">
        <f t="array" aca="1" ref="G20" ca="1">IF($A20="","",SUBSTITUTE(RemoveDelimiter(SanitizeInput(SimpleLookup($A20,'Attack Steps'!$A:$AB)),","),",",", "))</f>
        <v/>
      </c>
      <c r="H20" s="55" t="str" cm="1">
        <f t="array" aca="1" ref="H20" ca="1">IF($A20="","",_xlfn.LET(
_xlpm._proposedActive,SanitizeInput($G20),
_xlpm._proposedAll,SimpleLookup($A20,'Attack Steps'!$A:$AC),
_xlpm._proposedDiff,FilterElementsFromList(_xlpm._proposedAll,_xlpm._proposedActive,FALSE,","),
SUBSTITUTE(RemoveDelimiter(SanitizeInput(_xlpm._proposedDiff),","),",",", ")))</f>
        <v/>
      </c>
      <c r="I20" s="13" t="str" cm="1">
        <f t="array" aca="1" ref="I20" ca="1">RemoveDelimiter(GetValuesWithFallback(SanitizeInput($F20)&amp;SanitizeInput($G20)&amp;SanitizeInput($H20),Countermeasures!$A:$B,Assumptions!$A:$B," ",","&amp;CHAR(10),TRUE),","&amp;CHAR(10))</f>
        <v>CM12 Secure update: RE1 Update authenticity and integrity
EDR 3.10 / HDR 3.10 / NDR 3.10 – Support for updates</v>
      </c>
      <c r="J20" s="10"/>
      <c r="K20" s="13" t="str" cm="1">
        <f t="array" ref="K20">RemoveDelimiter(GetValuesWithFallback(SanitizeInput($J20),Countermeasures!$A:$B,Assumptions!$A:$B," ",","&amp;CHAR(10),TRUE),","&amp;CHAR(10))</f>
        <v/>
      </c>
      <c r="L20" s="10">
        <f>3</f>
        <v>3</v>
      </c>
      <c r="M20" s="16" t="str" cm="1">
        <f t="array" aca="1" ref="M20" ca="1">_xlfn.LET(
_xlpm._displayLimit,$L20,
_xlpm._risks,$V20,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20" s="13" t="str">
        <f ca="1">INDEX(Definitions!$AE:$AE,MATCH($W20,Definitions!$AF:$AF,0))</f>
        <v>No Risk</v>
      </c>
      <c r="O20" s="10"/>
      <c r="P20" s="9" cm="1">
        <f t="array" aca="1" ref="P20" ca="1">CreateID($P$2,$A20&lt;&gt;"")</f>
        <v>18</v>
      </c>
      <c r="Q20" s="9" cm="1">
        <f t="array" ref="Q20">CreateTaskID($Q$2,$Q:$Q,Tasks!$B$17,$O20)</f>
        <v>0</v>
      </c>
      <c r="R20" s="9">
        <f ca="1">IFERROR(MATCH(ROW()-ROW($R$2),'Attack Steps'!$R:$R,0),0)</f>
        <v>20</v>
      </c>
      <c r="S20" s="9" t="str" cm="1">
        <f t="array" aca="1" ref="S20" ca="1">CalculateMaxAndElements($T20,0,"",Risks!$A:$Z)</f>
        <v>0:</v>
      </c>
      <c r="T20" s="9" t="str" cm="1">
        <f t="array" aca="1" ref="T20" ca="1">InverseLookup($A20,Risks!$Y$2,Risks!$A$2,1,Helper!$B$1,",")</f>
        <v/>
      </c>
      <c r="U20" s="9" t="str">
        <f t="shared" ca="1" si="4"/>
        <v/>
      </c>
      <c r="V20" s="9" t="str" cm="1">
        <f t="array" aca="1" ref="V20" ca="1">CalculateMaxAndElements($T20,0,"",Risks!$A:$AG)</f>
        <v>0:</v>
      </c>
      <c r="W20" s="9">
        <f t="shared" ca="1" si="5"/>
        <v>0</v>
      </c>
      <c r="X20" s="9" t="str" cm="1">
        <f t="array" ref="X20">IF($J20="","",","&amp;SanitizeInput($J20))</f>
        <v/>
      </c>
      <c r="Y20" s="9" t="b" cm="1">
        <f t="array" aca="1" ref="Y20" ca="1">INDEX('Attack Steps'!$AE:$AE,$R20)</f>
        <v>0</v>
      </c>
      <c r="Z20" s="9" cm="1">
        <f t="array" aca="1" ref="Z20" ca="1">CreateID($Z$2,IFERROR(FIND(Definitions!$AR$4,$O20)&gt;0,FALSE))</f>
        <v>0</v>
      </c>
      <c r="AA20" s="9">
        <f>_xlfn.LET(
_xlpm._comment,$O20,
_xlpm._keyWord,Definitions!$AR$4,
_xlpm._diffLen,LEN(_xlpm._comment)-LEN(SUBSTITUTE(_xlpm._comment,_xlpm._keyWord,"")),
_xlpm._diffLen/LEN(_xlpm._keyWord))</f>
        <v>0</v>
      </c>
      <c r="AB20" s="9" cm="1">
        <f t="array" aca="1" ref="AB20" ca="1">CreateID($AB$2,IFERROR(FIND(Definitions!$AR$5,$O20)&gt;0,FALSE))</f>
        <v>0</v>
      </c>
      <c r="AC20" s="9">
        <f>_xlfn.LET(
_xlpm._comment,$O20,
_xlpm._keyWord,Definitions!$AR$5,
_xlpm._diffLen,LEN(_xlpm._comment)-LEN(SUBSTITUTE(_xlpm._comment,_xlpm._keyWord,"")),
_xlpm._diffLen/LEN(_xlpm._keyWord))</f>
        <v>0</v>
      </c>
      <c r="AD20" s="9" t="str" cm="1">
        <f t="array" ref="AD20">CreateSearchString($J20)</f>
        <v/>
      </c>
      <c r="AE20" s="9" t="str" cm="1">
        <f t="array" aca="1" ref="AE20" ca="1">_xlfn.LET(
_xlpm._selected,SanitizeInput($J20),
_xlpm._catalogOptions,SanitizeInput($F20)&amp;SanitizeInput($G20)&amp;SanitizeInput($H20),
_xlpm._selectedNotInOptions,FilterElementsFromList(_xlpm._selected,_xlpm._catalogOptions,FALSE,","),
IF(_xlpm._selectedNotInOptions="","",$A20&amp;" "&amp;$B20&amp;": "&amp;SUBSTITUTE(RemoveDelimiter(_xlpm._selectedNotInOptions,","),",",", ")))</f>
        <v/>
      </c>
      <c r="AF20" s="9" cm="1">
        <f t="array" aca="1" ref="AF20" ca="1">CreateID($AF$2,$AE20&lt;&gt;"")</f>
        <v>0</v>
      </c>
      <c r="AG20" s="9" t="str" cm="1">
        <f t="array" aca="1" ref="AG20" ca="1">_xlfn.LET(
_xlpm._delimiter,","&amp;CHAR(10),
_xlpm._assumptions,ParseAllMitigationsFromComment($A20,"-","A",$O20,Definitions!$AR$4,Definitions!$AS$4,Definitions!$AR$6,_xlpm._delimiter,1),
_xlpm._countermeasures,ParseAllMitigationsFromComment($A20,"-","C",$O20,Definitions!$AR$5,Definitions!$AS$5,Definitions!$AR$6,_xlpm._delimiter,1),
IF(_xlpm._countermeasures="",RemoveDelimiter(_xlpm._assumptions,_xlpm._delimiter),_xlpm._assumptions&amp;RemoveDelimiter(_xlpm._countermeasures,_xlpm._delimiter)))</f>
        <v/>
      </c>
      <c r="AH20" s="9" t="str" cm="1">
        <f t="array" ref="AH20">CreateSearchString(SanitizeInput($J20)&amp;GetValuesIgnoreErrors(SanitizeInput($J20),Countermeasures!$A:$H,"",",",FALSE))</f>
        <v/>
      </c>
      <c r="AI20" s="9" t="str" cm="1">
        <f t="array" aca="1" ref="AI20" ca="1">IF(AND(IFERROR(FIND(","&amp;Countermeasures!$A$31&amp;",",$AH20)&gt;0,FALSE),Countermeasures!$AB$31=TRUE,SimpleLookup(Questions!$A$48,Questionnaire!$B:$D)=Definitions!$A$5),$A20&amp;" "&amp;$B20,"")</f>
        <v/>
      </c>
      <c r="AJ20" s="9" cm="1">
        <f t="array" aca="1" ref="AJ20" ca="1">CreateID($AJ$2,$AI20&lt;&gt;"")</f>
        <v>0</v>
      </c>
      <c r="AK20" s="9" t="str">
        <f t="shared" ca="1" si="2"/>
        <v/>
      </c>
      <c r="AL20" s="9" cm="1">
        <f t="array" aca="1" ref="AL20" ca="1">CreateID($AL$2,$AK20&lt;&gt;"")</f>
        <v>0</v>
      </c>
      <c r="AM20" s="9" t="str">
        <f t="shared" si="3"/>
        <v/>
      </c>
      <c r="AN20" s="9" cm="1">
        <f t="array" aca="1" ref="AN20" ca="1">CreateID($AN$2,$AM20&lt;&gt;"")</f>
        <v>0</v>
      </c>
    </row>
    <row r="21" spans="1:40" ht="60" x14ac:dyDescent="0.25">
      <c r="A21" s="13" t="str" cm="1">
        <f t="array" aca="1" ref="A21" ca="1">IF($R21=0,"",INDEX('Attack Steps'!A:A,$R21))</f>
        <v>AS19</v>
      </c>
      <c r="B21" s="13" t="str" cm="1">
        <f t="array" aca="1" ref="B21" ca="1">IF($R21=0,"",INDEX('Attack Steps'!B:B,$R21))</f>
        <v>Spoofing an entity sending a software update or manipulation of the update during transmission</v>
      </c>
      <c r="C21" s="10">
        <f>3</f>
        <v>3</v>
      </c>
      <c r="D21" s="16" t="str" cm="1">
        <f t="array" aca="1" ref="D21" ca="1">_xlfn.LET(
_xlpm._displayLimit,$C21,
_xlpm._risks,$S21,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21" s="13" t="str" cm="1">
        <f t="array" aca="1" ref="E21" ca="1">_xlfn.LET(_xlpm._riskValue,CalculateMaxFromList($T21,0,Risks!$A:$Z),
INDEX(Definitions!$AE:$AE,MATCH(_xlpm._riskValue,Definitions!$AF:$AF,0)))</f>
        <v>No Risk</v>
      </c>
      <c r="F21" s="13" t="str" cm="1">
        <f t="array" aca="1" ref="F21" ca="1">IF($A21="","",SUBSTITUTE(RemoveDelimiter(SanitizeInput(SimpleLookup($A21,'Attack Steps'!$A:$AA)),","),",",", "))</f>
        <v>CM11</v>
      </c>
      <c r="G21" s="13" t="str" cm="1">
        <f t="array" aca="1" ref="G21" ca="1">IF($A21="","",SUBSTITUTE(RemoveDelimiter(SanitizeInput(SimpleLookup($A21,'Attack Steps'!$A:$AB)),","),",",", "))</f>
        <v/>
      </c>
      <c r="H21" s="55" t="str" cm="1">
        <f t="array" aca="1" ref="H21" ca="1">IF($A21="","",_xlfn.LET(
_xlpm._proposedActive,SanitizeInput($G21),
_xlpm._proposedAll,SimpleLookup($A21,'Attack Steps'!$A:$AC),
_xlpm._proposedDiff,FilterElementsFromList(_xlpm._proposedAll,_xlpm._proposedActive,FALSE,","),
SUBSTITUTE(RemoveDelimiter(SanitizeInput(_xlpm._proposedDiff),","),",",", ")))</f>
        <v/>
      </c>
      <c r="I21" s="13" t="str" cm="1">
        <f t="array" aca="1" ref="I21" ca="1">RemoveDelimiter(GetValuesWithFallback(SanitizeInput($F21)&amp;SanitizeInput($G21)&amp;SanitizeInput($H21),Countermeasures!$A:$B,Assumptions!$A:$B," ",","&amp;CHAR(10),TRUE),","&amp;CHAR(10))</f>
        <v>CM11 SCR 2.9 - Secure channel with communication partner authentication</v>
      </c>
      <c r="J21" s="10"/>
      <c r="K21" s="13" t="str" cm="1">
        <f t="array" ref="K21">RemoveDelimiter(GetValuesWithFallback(SanitizeInput($J21),Countermeasures!$A:$B,Assumptions!$A:$B," ",","&amp;CHAR(10),TRUE),","&amp;CHAR(10))</f>
        <v/>
      </c>
      <c r="L21" s="10">
        <f>3</f>
        <v>3</v>
      </c>
      <c r="M21" s="16" t="str" cm="1">
        <f t="array" aca="1" ref="M21" ca="1">_xlfn.LET(
_xlpm._displayLimit,$L21,
_xlpm._risks,$V21,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21" s="13" t="str">
        <f ca="1">INDEX(Definitions!$AE:$AE,MATCH($W21,Definitions!$AF:$AF,0))</f>
        <v>No Risk</v>
      </c>
      <c r="O21" s="10"/>
      <c r="P21" s="9" cm="1">
        <f t="array" aca="1" ref="P21" ca="1">CreateID($P$2,$A21&lt;&gt;"")</f>
        <v>19</v>
      </c>
      <c r="Q21" s="9" cm="1">
        <f t="array" ref="Q21">CreateTaskID($Q$2,$Q:$Q,Tasks!$B$17,$O21)</f>
        <v>0</v>
      </c>
      <c r="R21" s="9">
        <f ca="1">IFERROR(MATCH(ROW()-ROW($R$2),'Attack Steps'!$R:$R,0),0)</f>
        <v>21</v>
      </c>
      <c r="S21" s="9" t="str" cm="1">
        <f t="array" aca="1" ref="S21" ca="1">CalculateMaxAndElements($T21,0,"",Risks!$A:$Z)</f>
        <v>0:</v>
      </c>
      <c r="T21" s="9" t="str" cm="1">
        <f t="array" aca="1" ref="T21" ca="1">InverseLookup($A21,Risks!$Y$2,Risks!$A$2,1,Helper!$B$1,",")</f>
        <v/>
      </c>
      <c r="U21" s="9" t="str">
        <f t="shared" ca="1" si="4"/>
        <v/>
      </c>
      <c r="V21" s="9" t="str" cm="1">
        <f t="array" aca="1" ref="V21" ca="1">CalculateMaxAndElements($T21,0,"",Risks!$A:$AG)</f>
        <v>0:</v>
      </c>
      <c r="W21" s="9">
        <f t="shared" ca="1" si="5"/>
        <v>0</v>
      </c>
      <c r="X21" s="9" t="str" cm="1">
        <f t="array" ref="X21">IF($J21="","",","&amp;SanitizeInput($J21))</f>
        <v/>
      </c>
      <c r="Y21" s="9" t="b" cm="1">
        <f t="array" aca="1" ref="Y21" ca="1">INDEX('Attack Steps'!$AE:$AE,$R21)</f>
        <v>0</v>
      </c>
      <c r="Z21" s="9" cm="1">
        <f t="array" aca="1" ref="Z21" ca="1">CreateID($Z$2,IFERROR(FIND(Definitions!$AR$4,$O21)&gt;0,FALSE))</f>
        <v>0</v>
      </c>
      <c r="AA21" s="9">
        <f>_xlfn.LET(
_xlpm._comment,$O21,
_xlpm._keyWord,Definitions!$AR$4,
_xlpm._diffLen,LEN(_xlpm._comment)-LEN(SUBSTITUTE(_xlpm._comment,_xlpm._keyWord,"")),
_xlpm._diffLen/LEN(_xlpm._keyWord))</f>
        <v>0</v>
      </c>
      <c r="AB21" s="9" cm="1">
        <f t="array" aca="1" ref="AB21" ca="1">CreateID($AB$2,IFERROR(FIND(Definitions!$AR$5,$O21)&gt;0,FALSE))</f>
        <v>0</v>
      </c>
      <c r="AC21" s="9">
        <f>_xlfn.LET(
_xlpm._comment,$O21,
_xlpm._keyWord,Definitions!$AR$5,
_xlpm._diffLen,LEN(_xlpm._comment)-LEN(SUBSTITUTE(_xlpm._comment,_xlpm._keyWord,"")),
_xlpm._diffLen/LEN(_xlpm._keyWord))</f>
        <v>0</v>
      </c>
      <c r="AD21" s="9" t="str" cm="1">
        <f t="array" ref="AD21">CreateSearchString($J21)</f>
        <v/>
      </c>
      <c r="AE21" s="9" t="str" cm="1">
        <f t="array" aca="1" ref="AE21" ca="1">_xlfn.LET(
_xlpm._selected,SanitizeInput($J21),
_xlpm._catalogOptions,SanitizeInput($F21)&amp;SanitizeInput($G21)&amp;SanitizeInput($H21),
_xlpm._selectedNotInOptions,FilterElementsFromList(_xlpm._selected,_xlpm._catalogOptions,FALSE,","),
IF(_xlpm._selectedNotInOptions="","",$A21&amp;" "&amp;$B21&amp;": "&amp;SUBSTITUTE(RemoveDelimiter(_xlpm._selectedNotInOptions,","),",",", ")))</f>
        <v/>
      </c>
      <c r="AF21" s="9" cm="1">
        <f t="array" aca="1" ref="AF21" ca="1">CreateID($AF$2,$AE21&lt;&gt;"")</f>
        <v>0</v>
      </c>
      <c r="AG21" s="9" t="str" cm="1">
        <f t="array" aca="1" ref="AG21" ca="1">_xlfn.LET(
_xlpm._delimiter,","&amp;CHAR(10),
_xlpm._assumptions,ParseAllMitigationsFromComment($A21,"-","A",$O21,Definitions!$AR$4,Definitions!$AS$4,Definitions!$AR$6,_xlpm._delimiter,1),
_xlpm._countermeasures,ParseAllMitigationsFromComment($A21,"-","C",$O21,Definitions!$AR$5,Definitions!$AS$5,Definitions!$AR$6,_xlpm._delimiter,1),
IF(_xlpm._countermeasures="",RemoveDelimiter(_xlpm._assumptions,_xlpm._delimiter),_xlpm._assumptions&amp;RemoveDelimiter(_xlpm._countermeasures,_xlpm._delimiter)))</f>
        <v/>
      </c>
      <c r="AH21" s="9" t="str" cm="1">
        <f t="array" ref="AH21">CreateSearchString(SanitizeInput($J21)&amp;GetValuesIgnoreErrors(SanitizeInput($J21),Countermeasures!$A:$H,"",",",FALSE))</f>
        <v/>
      </c>
      <c r="AI21" s="9" t="str" cm="1">
        <f t="array" aca="1" ref="AI21" ca="1">IF(AND(IFERROR(FIND(","&amp;Countermeasures!$A$31&amp;",",$AH21)&gt;0,FALSE),Countermeasures!$AB$31=TRUE,SimpleLookup(Questions!$A$48,Questionnaire!$B:$D)=Definitions!$A$5),$A21&amp;" "&amp;$B21,"")</f>
        <v/>
      </c>
      <c r="AJ21" s="9" cm="1">
        <f t="array" aca="1" ref="AJ21" ca="1">CreateID($AJ$2,$AI21&lt;&gt;"")</f>
        <v>0</v>
      </c>
      <c r="AK21" s="9" t="str">
        <f t="shared" ca="1" si="2"/>
        <v/>
      </c>
      <c r="AL21" s="9" cm="1">
        <f t="array" aca="1" ref="AL21" ca="1">CreateID($AL$2,$AK21&lt;&gt;"")</f>
        <v>0</v>
      </c>
      <c r="AM21" s="9" t="str">
        <f t="shared" si="3"/>
        <v/>
      </c>
      <c r="AN21" s="9" cm="1">
        <f t="array" aca="1" ref="AN21" ca="1">CreateID($AN$2,$AM21&lt;&gt;"")</f>
        <v>0</v>
      </c>
    </row>
    <row r="22" spans="1:40" ht="30" x14ac:dyDescent="0.25">
      <c r="A22" s="13" t="str" cm="1">
        <f t="array" aca="1" ref="A22" ca="1">IF($R22=0,"",INDEX('Attack Steps'!A:A,$R22))</f>
        <v>AS20</v>
      </c>
      <c r="B22" s="13" t="str" cm="1">
        <f t="array" aca="1" ref="B22" ca="1">IF($R22=0,"",INDEX('Attack Steps'!B:B,$R22))</f>
        <v>Providing a malicious software update from an untrusted source</v>
      </c>
      <c r="C22" s="10">
        <f>3</f>
        <v>3</v>
      </c>
      <c r="D22" s="16" t="str" cm="1">
        <f t="array" aca="1" ref="D22" ca="1">_xlfn.LET(
_xlpm._displayLimit,$C22,
_xlpm._risks,$S22,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22" s="13" t="str" cm="1">
        <f t="array" aca="1" ref="E22" ca="1">_xlfn.LET(_xlpm._riskValue,CalculateMaxFromList($T22,0,Risks!$A:$Z),
INDEX(Definitions!$AE:$AE,MATCH(_xlpm._riskValue,Definitions!$AF:$AF,0)))</f>
        <v>No Risk</v>
      </c>
      <c r="F22" s="13" t="str" cm="1">
        <f t="array" aca="1" ref="F22" ca="1">IF($A22="","",SUBSTITUTE(RemoveDelimiter(SanitizeInput(SimpleLookup($A22,'Attack Steps'!$A:$AA)),","),",",", "))</f>
        <v/>
      </c>
      <c r="G22" s="13" t="str" cm="1">
        <f t="array" aca="1" ref="G22" ca="1">IF($A22="","",SUBSTITUTE(RemoveDelimiter(SanitizeInput(SimpleLookup($A22,'Attack Steps'!$A:$AB)),","),",",", "))</f>
        <v/>
      </c>
      <c r="H22" s="55" t="str" cm="1">
        <f t="array" aca="1" ref="H22" ca="1">IF($A22="","",_xlfn.LET(
_xlpm._proposedActive,SanitizeInput($G22),
_xlpm._proposedAll,SimpleLookup($A22,'Attack Steps'!$A:$AC),
_xlpm._proposedDiff,FilterElementsFromList(_xlpm._proposedAll,_xlpm._proposedActive,FALSE,","),
SUBSTITUTE(RemoveDelimiter(SanitizeInput(_xlpm._proposedDiff),","),",",", ")))</f>
        <v/>
      </c>
      <c r="I22" s="13" t="str" cm="1">
        <f t="array" aca="1" ref="I22" ca="1">RemoveDelimiter(GetValuesWithFallback(SanitizeInput($F22)&amp;SanitizeInput($G22)&amp;SanitizeInput($H22),Countermeasures!$A:$B,Assumptions!$A:$B," ",","&amp;CHAR(10),TRUE),","&amp;CHAR(10))</f>
        <v/>
      </c>
      <c r="J22" s="10"/>
      <c r="K22" s="13" t="str" cm="1">
        <f t="array" ref="K22">RemoveDelimiter(GetValuesWithFallback(SanitizeInput($J22),Countermeasures!$A:$B,Assumptions!$A:$B," ",","&amp;CHAR(10),TRUE),","&amp;CHAR(10))</f>
        <v/>
      </c>
      <c r="L22" s="10">
        <f>3</f>
        <v>3</v>
      </c>
      <c r="M22" s="16" t="str" cm="1">
        <f t="array" aca="1" ref="M22" ca="1">_xlfn.LET(
_xlpm._displayLimit,$L22,
_xlpm._risks,$V22,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22" s="13" t="str">
        <f ca="1">INDEX(Definitions!$AE:$AE,MATCH($W22,Definitions!$AF:$AF,0))</f>
        <v>No Risk</v>
      </c>
      <c r="O22" s="10"/>
      <c r="P22" s="9" cm="1">
        <f t="array" aca="1" ref="P22" ca="1">CreateID($P$2,$A22&lt;&gt;"")</f>
        <v>20</v>
      </c>
      <c r="Q22" s="9" cm="1">
        <f t="array" ref="Q22">CreateTaskID($Q$2,$Q:$Q,Tasks!$B$17,$O22)</f>
        <v>0</v>
      </c>
      <c r="R22" s="9">
        <f ca="1">IFERROR(MATCH(ROW()-ROW($R$2),'Attack Steps'!$R:$R,0),0)</f>
        <v>22</v>
      </c>
      <c r="S22" s="9" t="str" cm="1">
        <f t="array" aca="1" ref="S22" ca="1">CalculateMaxAndElements($T22,0,"",Risks!$A:$Z)</f>
        <v>0:</v>
      </c>
      <c r="T22" s="9" t="str" cm="1">
        <f t="array" aca="1" ref="T22" ca="1">InverseLookup($A22,Risks!$Y$2,Risks!$A$2,1,Helper!$B$1,",")</f>
        <v/>
      </c>
      <c r="U22" s="9" t="str">
        <f t="shared" ca="1" si="4"/>
        <v/>
      </c>
      <c r="V22" s="9" t="str" cm="1">
        <f t="array" aca="1" ref="V22" ca="1">CalculateMaxAndElements($T22,0,"",Risks!$A:$AG)</f>
        <v>0:</v>
      </c>
      <c r="W22" s="9">
        <f t="shared" ca="1" si="5"/>
        <v>0</v>
      </c>
      <c r="X22" s="9" t="str" cm="1">
        <f t="array" ref="X22">IF($J22="","",","&amp;SanitizeInput($J22))</f>
        <v/>
      </c>
      <c r="Y22" s="9" t="b" cm="1">
        <f t="array" aca="1" ref="Y22" ca="1">INDEX('Attack Steps'!$AE:$AE,$R22)</f>
        <v>0</v>
      </c>
      <c r="Z22" s="9" cm="1">
        <f t="array" aca="1" ref="Z22" ca="1">CreateID($Z$2,IFERROR(FIND(Definitions!$AR$4,$O22)&gt;0,FALSE))</f>
        <v>0</v>
      </c>
      <c r="AA22" s="9">
        <f>_xlfn.LET(
_xlpm._comment,$O22,
_xlpm._keyWord,Definitions!$AR$4,
_xlpm._diffLen,LEN(_xlpm._comment)-LEN(SUBSTITUTE(_xlpm._comment,_xlpm._keyWord,"")),
_xlpm._diffLen/LEN(_xlpm._keyWord))</f>
        <v>0</v>
      </c>
      <c r="AB22" s="9" cm="1">
        <f t="array" aca="1" ref="AB22" ca="1">CreateID($AB$2,IFERROR(FIND(Definitions!$AR$5,$O22)&gt;0,FALSE))</f>
        <v>0</v>
      </c>
      <c r="AC22" s="9">
        <f>_xlfn.LET(
_xlpm._comment,$O22,
_xlpm._keyWord,Definitions!$AR$5,
_xlpm._diffLen,LEN(_xlpm._comment)-LEN(SUBSTITUTE(_xlpm._comment,_xlpm._keyWord,"")),
_xlpm._diffLen/LEN(_xlpm._keyWord))</f>
        <v>0</v>
      </c>
      <c r="AD22" s="9" t="str" cm="1">
        <f t="array" ref="AD22">CreateSearchString($J22)</f>
        <v/>
      </c>
      <c r="AE22" s="9" t="str" cm="1">
        <f t="array" aca="1" ref="AE22" ca="1">_xlfn.LET(
_xlpm._selected,SanitizeInput($J22),
_xlpm._catalogOptions,SanitizeInput($F22)&amp;SanitizeInput($G22)&amp;SanitizeInput($H22),
_xlpm._selectedNotInOptions,FilterElementsFromList(_xlpm._selected,_xlpm._catalogOptions,FALSE,","),
IF(_xlpm._selectedNotInOptions="","",$A22&amp;" "&amp;$B22&amp;": "&amp;SUBSTITUTE(RemoveDelimiter(_xlpm._selectedNotInOptions,","),",",", ")))</f>
        <v/>
      </c>
      <c r="AF22" s="9" cm="1">
        <f t="array" aca="1" ref="AF22" ca="1">CreateID($AF$2,$AE22&lt;&gt;"")</f>
        <v>0</v>
      </c>
      <c r="AG22" s="9" t="str" cm="1">
        <f t="array" aca="1" ref="AG22" ca="1">_xlfn.LET(
_xlpm._delimiter,","&amp;CHAR(10),
_xlpm._assumptions,ParseAllMitigationsFromComment($A22,"-","A",$O22,Definitions!$AR$4,Definitions!$AS$4,Definitions!$AR$6,_xlpm._delimiter,1),
_xlpm._countermeasures,ParseAllMitigationsFromComment($A22,"-","C",$O22,Definitions!$AR$5,Definitions!$AS$5,Definitions!$AR$6,_xlpm._delimiter,1),
IF(_xlpm._countermeasures="",RemoveDelimiter(_xlpm._assumptions,_xlpm._delimiter),_xlpm._assumptions&amp;RemoveDelimiter(_xlpm._countermeasures,_xlpm._delimiter)))</f>
        <v/>
      </c>
      <c r="AH22" s="9" t="str" cm="1">
        <f t="array" ref="AH22">CreateSearchString(SanitizeInput($J22)&amp;GetValuesIgnoreErrors(SanitizeInput($J22),Countermeasures!$A:$H,"",",",FALSE))</f>
        <v/>
      </c>
      <c r="AI22" s="9" t="str" cm="1">
        <f t="array" aca="1" ref="AI22" ca="1">IF(AND(IFERROR(FIND(","&amp;Countermeasures!$A$31&amp;",",$AH22)&gt;0,FALSE),Countermeasures!$AB$31=TRUE,SimpleLookup(Questions!$A$48,Questionnaire!$B:$D)=Definitions!$A$5),$A22&amp;" "&amp;$B22,"")</f>
        <v/>
      </c>
      <c r="AJ22" s="9" cm="1">
        <f t="array" aca="1" ref="AJ22" ca="1">CreateID($AJ$2,$AI22&lt;&gt;"")</f>
        <v>0</v>
      </c>
      <c r="AK22" s="9" t="str">
        <f t="shared" ca="1" si="2"/>
        <v/>
      </c>
      <c r="AL22" s="9" cm="1">
        <f t="array" aca="1" ref="AL22" ca="1">CreateID($AL$2,$AK22&lt;&gt;"")</f>
        <v>0</v>
      </c>
      <c r="AM22" s="9" t="str">
        <f t="shared" si="3"/>
        <v/>
      </c>
      <c r="AN22" s="9" cm="1">
        <f t="array" aca="1" ref="AN22" ca="1">CreateID($AN$2,$AM22&lt;&gt;"")</f>
        <v>0</v>
      </c>
    </row>
    <row r="23" spans="1:40" ht="105" x14ac:dyDescent="0.25">
      <c r="A23" s="13" t="str" cm="1">
        <f t="array" aca="1" ref="A23" ca="1">IF($R23=0,"",INDEX('Attack Steps'!A:A,$R23))</f>
        <v>AS21</v>
      </c>
      <c r="B23" s="13" t="str" cm="1">
        <f t="array" aca="1" ref="B23" ca="1">IF($R23=0,"",INDEX('Attack Steps'!B:B,$R23))</f>
        <v>Gaining physical access to the product (3rd party)</v>
      </c>
      <c r="C23" s="10">
        <f>3</f>
        <v>3</v>
      </c>
      <c r="D23" s="16" t="str" cm="1">
        <f t="array" aca="1" ref="D23" ca="1">_xlfn.LET(
_xlpm._displayLimit,$C23,
_xlpm._risks,$S23,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23" s="13" t="str" cm="1">
        <f t="array" aca="1" ref="E23" ca="1">_xlfn.LET(_xlpm._riskValue,CalculateMaxFromList($T23,0,Risks!$A:$Z),
INDEX(Definitions!$AE:$AE,MATCH(_xlpm._riskValue,Definitions!$AF:$AF,0)))</f>
        <v>No Risk</v>
      </c>
      <c r="F23" s="13" t="str" cm="1">
        <f t="array" aca="1" ref="F23" ca="1">IF($A23="","",SUBSTITUTE(RemoveDelimiter(SanitizeInput(SimpleLookup($A23,'Attack Steps'!$A:$AA)),","),",",", "))</f>
        <v/>
      </c>
      <c r="G23" s="13" t="str" cm="1">
        <f t="array" aca="1" ref="G23" ca="1">IF($A23="","",SUBSTITUTE(RemoveDelimiter(SanitizeInput(SimpleLookup($A23,'Attack Steps'!$A:$AB)),","),",",", "))</f>
        <v/>
      </c>
      <c r="H23" s="55" t="str" cm="1">
        <f t="array" aca="1" ref="H23" ca="1">IF($A23="","",_xlfn.LET(
_xlpm._proposedActive,SanitizeInput($G23),
_xlpm._proposedAll,SimpleLookup($A23,'Attack Steps'!$A:$AC),
_xlpm._proposedDiff,FilterElementsFromList(_xlpm._proposedAll,_xlpm._proposedActive,FALSE,","),
SUBSTITUTE(RemoveDelimiter(SanitizeInput(_xlpm._proposedDiff),","),",",", ")))</f>
        <v>A14, A15, A45</v>
      </c>
      <c r="I23" s="13" t="str" cm="1">
        <f t="array" aca="1" ref="I23" ca="1">RemoveDelimiter(GetValuesWithFallback(SanitizeInput($F23)&amp;SanitizeInput($G23)&amp;SanitizeInput($H23),Countermeasures!$A:$B,Assumptions!$A:$B," ",","&amp;CHAR(10),TRUE),","&amp;CHAR(10))</f>
        <v>A14 SDR 1.12 – Product inaccessible,
A15 SDR 1.13 – Area with restricted access,
A45 SDR 2.12 - Physical tampering with the product not plausible</v>
      </c>
      <c r="J23" s="10"/>
      <c r="K23" s="13" t="str" cm="1">
        <f t="array" ref="K23">RemoveDelimiter(GetValuesWithFallback(SanitizeInput($J23),Countermeasures!$A:$B,Assumptions!$A:$B," ",","&amp;CHAR(10),TRUE),","&amp;CHAR(10))</f>
        <v/>
      </c>
      <c r="L23" s="10">
        <f>3</f>
        <v>3</v>
      </c>
      <c r="M23" s="16" t="str" cm="1">
        <f t="array" aca="1" ref="M23" ca="1">_xlfn.LET(
_xlpm._displayLimit,$L23,
_xlpm._risks,$V23,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23" s="13" t="str">
        <f ca="1">INDEX(Definitions!$AE:$AE,MATCH($W23,Definitions!$AF:$AF,0))</f>
        <v>No Risk</v>
      </c>
      <c r="O23" s="10"/>
      <c r="P23" s="9" cm="1">
        <f t="array" aca="1" ref="P23" ca="1">CreateID($P$2,$A23&lt;&gt;"")</f>
        <v>21</v>
      </c>
      <c r="Q23" s="9" cm="1">
        <f t="array" ref="Q23">CreateTaskID($Q$2,$Q:$Q,Tasks!$B$17,$O23)</f>
        <v>0</v>
      </c>
      <c r="R23" s="9">
        <f ca="1">IFERROR(MATCH(ROW()-ROW($R$2),'Attack Steps'!$R:$R,0),0)</f>
        <v>23</v>
      </c>
      <c r="S23" s="9" t="str" cm="1">
        <f t="array" aca="1" ref="S23" ca="1">CalculateMaxAndElements($T23,0,"",Risks!$A:$Z)</f>
        <v>0:</v>
      </c>
      <c r="T23" s="9" t="str" cm="1">
        <f t="array" aca="1" ref="T23" ca="1">InverseLookup($A23,Risks!$Y$2,Risks!$A$2,1,Helper!$B$1,",")</f>
        <v/>
      </c>
      <c r="U23" s="9" t="str">
        <f ca="1">IF($T23="","",","&amp;$T23)</f>
        <v/>
      </c>
      <c r="V23" s="9" t="str" cm="1">
        <f t="array" aca="1" ref="V23" ca="1">CalculateMaxAndElements($T23,0,"",Risks!$A:$AG)</f>
        <v>0:</v>
      </c>
      <c r="W23" s="9">
        <f ca="1">IF($V23="","",VALUE(LEFT($V23,FIND(":",$V23)-1)))</f>
        <v>0</v>
      </c>
      <c r="X23" s="9" t="str" cm="1">
        <f t="array" ref="X23">IF($J23="","",","&amp;SanitizeInput($J23))</f>
        <v/>
      </c>
      <c r="Y23" s="9" t="b" cm="1">
        <f t="array" aca="1" ref="Y23" ca="1">INDEX('Attack Steps'!$AE:$AE,$R23)</f>
        <v>0</v>
      </c>
      <c r="Z23" s="9" cm="1">
        <f t="array" aca="1" ref="Z23" ca="1">CreateID($Z$2,IFERROR(FIND(Definitions!$AR$4,$O23)&gt;0,FALSE))</f>
        <v>0</v>
      </c>
      <c r="AA23" s="9">
        <f>_xlfn.LET(
_xlpm._comment,$O23,
_xlpm._keyWord,Definitions!$AR$4,
_xlpm._diffLen,LEN(_xlpm._comment)-LEN(SUBSTITUTE(_xlpm._comment,_xlpm._keyWord,"")),
_xlpm._diffLen/LEN(_xlpm._keyWord))</f>
        <v>0</v>
      </c>
      <c r="AB23" s="9" cm="1">
        <f t="array" aca="1" ref="AB23" ca="1">CreateID($AB$2,IFERROR(FIND(Definitions!$AR$5,$O23)&gt;0,FALSE))</f>
        <v>0</v>
      </c>
      <c r="AC23" s="9">
        <f>_xlfn.LET(
_xlpm._comment,$O23,
_xlpm._keyWord,Definitions!$AR$5,
_xlpm._diffLen,LEN(_xlpm._comment)-LEN(SUBSTITUTE(_xlpm._comment,_xlpm._keyWord,"")),
_xlpm._diffLen/LEN(_xlpm._keyWord))</f>
        <v>0</v>
      </c>
      <c r="AD23" s="9" t="str" cm="1">
        <f t="array" ref="AD23">CreateSearchString($J23)</f>
        <v/>
      </c>
      <c r="AE23" s="9" t="str" cm="1">
        <f t="array" aca="1" ref="AE23" ca="1">_xlfn.LET(
_xlpm._selected,SanitizeInput($J23),
_xlpm._catalogOptions,SanitizeInput($F23)&amp;SanitizeInput($G23)&amp;SanitizeInput($H23),
_xlpm._selectedNotInOptions,FilterElementsFromList(_xlpm._selected,_xlpm._catalogOptions,FALSE,","),
IF(_xlpm._selectedNotInOptions="","",$A23&amp;" "&amp;$B23&amp;": "&amp;SUBSTITUTE(RemoveDelimiter(_xlpm._selectedNotInOptions,","),",",", ")))</f>
        <v/>
      </c>
      <c r="AF23" s="9" cm="1">
        <f t="array" aca="1" ref="AF23" ca="1">CreateID($AF$2,$AE23&lt;&gt;"")</f>
        <v>0</v>
      </c>
      <c r="AG23" s="9" t="str" cm="1">
        <f t="array" aca="1" ref="AG23" ca="1">_xlfn.LET(
_xlpm._delimiter,","&amp;CHAR(10),
_xlpm._assumptions,ParseAllMitigationsFromComment($A23,"-","A",$O23,Definitions!$AR$4,Definitions!$AS$4,Definitions!$AR$6,_xlpm._delimiter,1),
_xlpm._countermeasures,ParseAllMitigationsFromComment($A23,"-","C",$O23,Definitions!$AR$5,Definitions!$AS$5,Definitions!$AR$6,_xlpm._delimiter,1),
IF(_xlpm._countermeasures="",RemoveDelimiter(_xlpm._assumptions,_xlpm._delimiter),_xlpm._assumptions&amp;RemoveDelimiter(_xlpm._countermeasures,_xlpm._delimiter)))</f>
        <v/>
      </c>
      <c r="AH23" s="9" t="str" cm="1">
        <f t="array" ref="AH23">CreateSearchString(SanitizeInput($J23)&amp;GetValuesIgnoreErrors(SanitizeInput($J23),Countermeasures!$A:$H,"",",",FALSE))</f>
        <v/>
      </c>
      <c r="AI23" s="9" t="str" cm="1">
        <f t="array" aca="1" ref="AI23" ca="1">IF(AND(IFERROR(FIND(","&amp;Countermeasures!$A$31&amp;",",$AH23)&gt;0,FALSE),Countermeasures!$AB$31=TRUE,SimpleLookup(Questions!$A$48,Questionnaire!$B:$D)=Definitions!$A$5),$A23&amp;" "&amp;$B23,"")</f>
        <v/>
      </c>
      <c r="AJ23" s="9" cm="1">
        <f t="array" aca="1" ref="AJ23" ca="1">CreateID($AJ$2,$AI23&lt;&gt;"")</f>
        <v>0</v>
      </c>
      <c r="AK23" s="9" t="str">
        <f t="shared" ca="1" si="2"/>
        <v/>
      </c>
      <c r="AL23" s="9" cm="1">
        <f t="array" aca="1" ref="AL23" ca="1">CreateID($AL$2,$AK23&lt;&gt;"")</f>
        <v>0</v>
      </c>
      <c r="AM23" s="9" t="str">
        <f t="shared" si="3"/>
        <v/>
      </c>
      <c r="AN23" s="9" cm="1">
        <f t="array" aca="1" ref="AN23" ca="1">CreateID($AN$2,$AM23&lt;&gt;"")</f>
        <v>0</v>
      </c>
    </row>
    <row r="24" spans="1:40" ht="90" x14ac:dyDescent="0.25">
      <c r="A24" s="13" t="str" cm="1">
        <f t="array" aca="1" ref="A24" ca="1">IF($R24=0,"",INDEX('Attack Steps'!A:A,$R24))</f>
        <v>AS22</v>
      </c>
      <c r="B24" s="13" t="str" cm="1">
        <f t="array" aca="1" ref="B24" ca="1">IF($R24=0,"",INDEX('Attack Steps'!B:B,$R24))</f>
        <v>Gaining physical access to the product (customer)</v>
      </c>
      <c r="C24" s="10">
        <f>3</f>
        <v>3</v>
      </c>
      <c r="D24" s="16" t="str" cm="1">
        <f t="array" aca="1" ref="D24" ca="1">_xlfn.LET(
_xlpm._displayLimit,$C24,
_xlpm._risks,$S24,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24" s="13" t="str" cm="1">
        <f t="array" aca="1" ref="E24" ca="1">_xlfn.LET(_xlpm._riskValue,CalculateMaxFromList($T24,0,Risks!$A:$Z),
INDEX(Definitions!$AE:$AE,MATCH(_xlpm._riskValue,Definitions!$AF:$AF,0)))</f>
        <v>No Risk</v>
      </c>
      <c r="F24" s="13" t="str" cm="1">
        <f t="array" aca="1" ref="F24" ca="1">IF($A24="","",SUBSTITUTE(RemoveDelimiter(SanitizeInput(SimpleLookup($A24,'Attack Steps'!$A:$AA)),","),",",", "))</f>
        <v>C3</v>
      </c>
      <c r="G24" s="13" t="str" cm="1">
        <f t="array" aca="1" ref="G24" ca="1">IF($A24="","",SUBSTITUTE(RemoveDelimiter(SanitizeInput(SimpleLookup($A24,'Attack Steps'!$A:$AB)),","),",",", "))</f>
        <v>A21</v>
      </c>
      <c r="H24" s="55" t="str" cm="1">
        <f t="array" aca="1" ref="H24" ca="1">IF($A24="","",_xlfn.LET(
_xlpm._proposedActive,SanitizeInput($G24),
_xlpm._proposedAll,SimpleLookup($A24,'Attack Steps'!$A:$AC),
_xlpm._proposedDiff,FilterElementsFromList(_xlpm._proposedAll,_xlpm._proposedActive,FALSE,","),
SUBSTITUTE(RemoveDelimiter(SanitizeInput(_xlpm._proposedDiff),","),",",", ")))</f>
        <v>A39</v>
      </c>
      <c r="I24" s="13" t="str" cm="1">
        <f t="array" aca="1" ref="I24" ca="1">RemoveDelimiter(GetValuesWithFallback(SanitizeInput($F24)&amp;SanitizeInput($G24)&amp;SanitizeInput($H24),Countermeasures!$A:$B,Assumptions!$A:$B," ",","&amp;CHAR(10),TRUE),","&amp;CHAR(10))</f>
        <v>C3 CCSC 3: Least privilege,
A21 SDR 2.7 - Scope for customer-based attacks,
A39 SDR 2.11 - The customer is trusted not to extract &lt;&lt; OEM Name &gt;&gt; IP</v>
      </c>
      <c r="J24" s="10"/>
      <c r="K24" s="13" t="str" cm="1">
        <f t="array" ref="K24">RemoveDelimiter(GetValuesWithFallback(SanitizeInput($J24),Countermeasures!$A:$B,Assumptions!$A:$B," ",","&amp;CHAR(10),TRUE),","&amp;CHAR(10))</f>
        <v/>
      </c>
      <c r="L24" s="10">
        <f>3</f>
        <v>3</v>
      </c>
      <c r="M24" s="16" t="str" cm="1">
        <f t="array" aca="1" ref="M24" ca="1">_xlfn.LET(
_xlpm._displayLimit,$L24,
_xlpm._risks,$V24,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24" s="13" t="str">
        <f ca="1">INDEX(Definitions!$AE:$AE,MATCH($W24,Definitions!$AF:$AF,0))</f>
        <v>No Risk</v>
      </c>
      <c r="O24" s="10"/>
      <c r="P24" s="9" cm="1">
        <f t="array" aca="1" ref="P24" ca="1">CreateID($P$2,$A24&lt;&gt;"")</f>
        <v>22</v>
      </c>
      <c r="Q24" s="9" cm="1">
        <f t="array" ref="Q24">CreateTaskID($Q$2,$Q:$Q,Tasks!$B$17,$O24)</f>
        <v>0</v>
      </c>
      <c r="R24" s="9">
        <f ca="1">IFERROR(MATCH(ROW()-ROW($R$2),'Attack Steps'!$R:$R,0),0)</f>
        <v>24</v>
      </c>
      <c r="S24" s="9" t="str" cm="1">
        <f t="array" aca="1" ref="S24" ca="1">CalculateMaxAndElements($T24,0,"",Risks!$A:$Z)</f>
        <v>0:</v>
      </c>
      <c r="T24" s="9" t="str" cm="1">
        <f t="array" aca="1" ref="T24" ca="1">InverseLookup($A24,Risks!$Y$2,Risks!$A$2,1,Helper!$B$1,",")</f>
        <v/>
      </c>
      <c r="U24" s="9" t="str">
        <f t="shared" ref="U24:U30" ca="1" si="6">IF($T24="","",","&amp;$T24)</f>
        <v/>
      </c>
      <c r="V24" s="9" t="str" cm="1">
        <f t="array" aca="1" ref="V24" ca="1">CalculateMaxAndElements($T24,0,"",Risks!$A:$AG)</f>
        <v>0:</v>
      </c>
      <c r="W24" s="9">
        <f t="shared" ref="W24:W30" ca="1" si="7">IF($V24="","",VALUE(LEFT($V24,FIND(":",$V24)-1)))</f>
        <v>0</v>
      </c>
      <c r="X24" s="9" t="str" cm="1">
        <f t="array" ref="X24">IF($J24="","",","&amp;SanitizeInput($J24))</f>
        <v/>
      </c>
      <c r="Y24" s="9" t="b" cm="1">
        <f t="array" aca="1" ref="Y24" ca="1">INDEX('Attack Steps'!$AE:$AE,$R24)</f>
        <v>0</v>
      </c>
      <c r="Z24" s="9" cm="1">
        <f t="array" aca="1" ref="Z24" ca="1">CreateID($Z$2,IFERROR(FIND(Definitions!$AR$4,$O24)&gt;0,FALSE))</f>
        <v>0</v>
      </c>
      <c r="AA24" s="9">
        <f>_xlfn.LET(
_xlpm._comment,$O24,
_xlpm._keyWord,Definitions!$AR$4,
_xlpm._diffLen,LEN(_xlpm._comment)-LEN(SUBSTITUTE(_xlpm._comment,_xlpm._keyWord,"")),
_xlpm._diffLen/LEN(_xlpm._keyWord))</f>
        <v>0</v>
      </c>
      <c r="AB24" s="9" cm="1">
        <f t="array" aca="1" ref="AB24" ca="1">CreateID($AB$2,IFERROR(FIND(Definitions!$AR$5,$O24)&gt;0,FALSE))</f>
        <v>0</v>
      </c>
      <c r="AC24" s="9">
        <f>_xlfn.LET(
_xlpm._comment,$O24,
_xlpm._keyWord,Definitions!$AR$5,
_xlpm._diffLen,LEN(_xlpm._comment)-LEN(SUBSTITUTE(_xlpm._comment,_xlpm._keyWord,"")),
_xlpm._diffLen/LEN(_xlpm._keyWord))</f>
        <v>0</v>
      </c>
      <c r="AD24" s="9" t="str" cm="1">
        <f t="array" ref="AD24">CreateSearchString($J24)</f>
        <v/>
      </c>
      <c r="AE24" s="9" t="str" cm="1">
        <f t="array" aca="1" ref="AE24" ca="1">_xlfn.LET(
_xlpm._selected,SanitizeInput($J24),
_xlpm._catalogOptions,SanitizeInput($F24)&amp;SanitizeInput($G24)&amp;SanitizeInput($H24),
_xlpm._selectedNotInOptions,FilterElementsFromList(_xlpm._selected,_xlpm._catalogOptions,FALSE,","),
IF(_xlpm._selectedNotInOptions="","",$A24&amp;" "&amp;$B24&amp;": "&amp;SUBSTITUTE(RemoveDelimiter(_xlpm._selectedNotInOptions,","),",",", ")))</f>
        <v/>
      </c>
      <c r="AF24" s="9" cm="1">
        <f t="array" aca="1" ref="AF24" ca="1">CreateID($AF$2,$AE24&lt;&gt;"")</f>
        <v>0</v>
      </c>
      <c r="AG24" s="9" t="str" cm="1">
        <f t="array" aca="1" ref="AG24" ca="1">_xlfn.LET(
_xlpm._delimiter,","&amp;CHAR(10),
_xlpm._assumptions,ParseAllMitigationsFromComment($A24,"-","A",$O24,Definitions!$AR$4,Definitions!$AS$4,Definitions!$AR$6,_xlpm._delimiter,1),
_xlpm._countermeasures,ParseAllMitigationsFromComment($A24,"-","C",$O24,Definitions!$AR$5,Definitions!$AS$5,Definitions!$AR$6,_xlpm._delimiter,1),
IF(_xlpm._countermeasures="",RemoveDelimiter(_xlpm._assumptions,_xlpm._delimiter),_xlpm._assumptions&amp;RemoveDelimiter(_xlpm._countermeasures,_xlpm._delimiter)))</f>
        <v/>
      </c>
      <c r="AH24" s="9" t="str" cm="1">
        <f t="array" ref="AH24">CreateSearchString(SanitizeInput($J24)&amp;GetValuesIgnoreErrors(SanitizeInput($J24),Countermeasures!$A:$H,"",",",FALSE))</f>
        <v/>
      </c>
      <c r="AI24" s="9" t="str" cm="1">
        <f t="array" aca="1" ref="AI24" ca="1">IF(AND(IFERROR(FIND(","&amp;Countermeasures!$A$31&amp;",",$AH24)&gt;0,FALSE),Countermeasures!$AB$31=TRUE,SimpleLookup(Questions!$A$48,Questionnaire!$B:$D)=Definitions!$A$5),$A24&amp;" "&amp;$B24,"")</f>
        <v/>
      </c>
      <c r="AJ24" s="9" cm="1">
        <f t="array" aca="1" ref="AJ24" ca="1">CreateID($AJ$2,$AI24&lt;&gt;"")</f>
        <v>0</v>
      </c>
      <c r="AK24" s="9" t="str">
        <f t="shared" ca="1" si="2"/>
        <v/>
      </c>
      <c r="AL24" s="9" cm="1">
        <f t="array" aca="1" ref="AL24" ca="1">CreateID($AL$2,$AK24&lt;&gt;"")</f>
        <v>0</v>
      </c>
      <c r="AM24" s="9" t="str">
        <f t="shared" si="3"/>
        <v/>
      </c>
      <c r="AN24" s="9" cm="1">
        <f t="array" aca="1" ref="AN24" ca="1">CreateID($AN$2,$AM24&lt;&gt;"")</f>
        <v>0</v>
      </c>
    </row>
    <row r="25" spans="1:40" ht="90" x14ac:dyDescent="0.25">
      <c r="A25" s="13" t="str" cm="1">
        <f t="array" aca="1" ref="A25" ca="1">IF($R25=0,"",INDEX('Attack Steps'!A:A,$R25))</f>
        <v>AS23</v>
      </c>
      <c r="B25" s="13" t="str" cm="1">
        <f t="array" aca="1" ref="B25" ca="1">IF($R25=0,"",INDEX('Attack Steps'!B:B,$R25))</f>
        <v>Compromising the product with direct access to its persistent memory</v>
      </c>
      <c r="C25" s="10">
        <f>3</f>
        <v>3</v>
      </c>
      <c r="D25" s="16" t="str" cm="1">
        <f t="array" aca="1" ref="D25" ca="1">_xlfn.LET(
_xlpm._displayLimit,$C25,
_xlpm._risks,$S25,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25" s="13" t="str" cm="1">
        <f t="array" aca="1" ref="E25" ca="1">_xlfn.LET(_xlpm._riskValue,CalculateMaxFromList($T25,0,Risks!$A:$Z),
INDEX(Definitions!$AE:$AE,MATCH(_xlpm._riskValue,Definitions!$AF:$AF,0)))</f>
        <v>No Risk</v>
      </c>
      <c r="F25" s="13" t="str" cm="1">
        <f t="array" aca="1" ref="F25" ca="1">IF($A25="","",SUBSTITUTE(RemoveDelimiter(SanitizeInput(SimpleLookup($A25,'Attack Steps'!$A:$AA)),","),",",", "))</f>
        <v>C30, C35, CM7</v>
      </c>
      <c r="G25" s="13" t="str" cm="1">
        <f t="array" aca="1" ref="G25" ca="1">IF($A25="","",SUBSTITUTE(RemoveDelimiter(SanitizeInput(SimpleLookup($A25,'Attack Steps'!$A:$AB)),","),",",", "))</f>
        <v/>
      </c>
      <c r="H25" s="55" t="str" cm="1">
        <f t="array" aca="1" ref="H25" ca="1">IF($A25="","",_xlfn.LET(
_xlpm._proposedActive,SanitizeInput($G25),
_xlpm._proposedAll,SimpleLookup($A25,'Attack Steps'!$A:$AC),
_xlpm._proposedDiff,FilterElementsFromList(_xlpm._proposedAll,_xlpm._proposedActive,FALSE,","),
SUBSTITUTE(RemoveDelimiter(SanitizeInput(_xlpm._proposedDiff),","),",",", ")))</f>
        <v/>
      </c>
      <c r="I25" s="13" t="str" cm="1">
        <f t="array" aca="1" ref="I25" ca="1">RemoveDelimiter(GetValuesWithFallback(SanitizeInput($F25)&amp;SanitizeInput($G25)&amp;SanitizeInput($H25),Countermeasures!$A:$B,Assumptions!$A:$B," ",","&amp;CHAR(10),TRUE),","&amp;CHAR(10))</f>
        <v>C30 SRS 7.4 – Control system recovery and reconstitution,
C35 EDR 3.14 / HDR 3.14 / NDR 3.14 – Integrity of the boot process,
CM7 SCR 2.5 - Secure boot</v>
      </c>
      <c r="J25" s="10"/>
      <c r="K25" s="13" t="str" cm="1">
        <f t="array" ref="K25">RemoveDelimiter(GetValuesWithFallback(SanitizeInput($J25),Countermeasures!$A:$B,Assumptions!$A:$B," ",","&amp;CHAR(10),TRUE),","&amp;CHAR(10))</f>
        <v/>
      </c>
      <c r="L25" s="10">
        <f>3</f>
        <v>3</v>
      </c>
      <c r="M25" s="16" t="str" cm="1">
        <f t="array" aca="1" ref="M25" ca="1">_xlfn.LET(
_xlpm._displayLimit,$L25,
_xlpm._risks,$V25,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25" s="13" t="str">
        <f ca="1">INDEX(Definitions!$AE:$AE,MATCH($W25,Definitions!$AF:$AF,0))</f>
        <v>No Risk</v>
      </c>
      <c r="O25" s="10"/>
      <c r="P25" s="9" cm="1">
        <f t="array" aca="1" ref="P25" ca="1">CreateID($P$2,$A25&lt;&gt;"")</f>
        <v>23</v>
      </c>
      <c r="Q25" s="9" cm="1">
        <f t="array" ref="Q25">CreateTaskID($Q$2,$Q:$Q,Tasks!$B$17,$O25)</f>
        <v>0</v>
      </c>
      <c r="R25" s="9">
        <f ca="1">IFERROR(MATCH(ROW()-ROW($R$2),'Attack Steps'!$R:$R,0),0)</f>
        <v>25</v>
      </c>
      <c r="S25" s="9" t="str" cm="1">
        <f t="array" aca="1" ref="S25" ca="1">CalculateMaxAndElements($T25,0,"",Risks!$A:$Z)</f>
        <v>0:</v>
      </c>
      <c r="T25" s="9" t="str" cm="1">
        <f t="array" aca="1" ref="T25" ca="1">InverseLookup($A25,Risks!$Y$2,Risks!$A$2,1,Helper!$B$1,",")</f>
        <v/>
      </c>
      <c r="U25" s="9" t="str">
        <f t="shared" ca="1" si="6"/>
        <v/>
      </c>
      <c r="V25" s="9" t="str" cm="1">
        <f t="array" aca="1" ref="V25" ca="1">CalculateMaxAndElements($T25,0,"",Risks!$A:$AG)</f>
        <v>0:</v>
      </c>
      <c r="W25" s="9">
        <f t="shared" ca="1" si="7"/>
        <v>0</v>
      </c>
      <c r="X25" s="9" t="str" cm="1">
        <f t="array" ref="X25">IF($J25="","",","&amp;SanitizeInput($J25))</f>
        <v/>
      </c>
      <c r="Y25" s="9" t="b" cm="1">
        <f t="array" aca="1" ref="Y25" ca="1">INDEX('Attack Steps'!$AE:$AE,$R25)</f>
        <v>0</v>
      </c>
      <c r="Z25" s="9" cm="1">
        <f t="array" aca="1" ref="Z25" ca="1">CreateID($Z$2,IFERROR(FIND(Definitions!$AR$4,$O25)&gt;0,FALSE))</f>
        <v>0</v>
      </c>
      <c r="AA25" s="9">
        <f>_xlfn.LET(
_xlpm._comment,$O25,
_xlpm._keyWord,Definitions!$AR$4,
_xlpm._diffLen,LEN(_xlpm._comment)-LEN(SUBSTITUTE(_xlpm._comment,_xlpm._keyWord,"")),
_xlpm._diffLen/LEN(_xlpm._keyWord))</f>
        <v>0</v>
      </c>
      <c r="AB25" s="9" cm="1">
        <f t="array" aca="1" ref="AB25" ca="1">CreateID($AB$2,IFERROR(FIND(Definitions!$AR$5,$O25)&gt;0,FALSE))</f>
        <v>0</v>
      </c>
      <c r="AC25" s="9">
        <f>_xlfn.LET(
_xlpm._comment,$O25,
_xlpm._keyWord,Definitions!$AR$5,
_xlpm._diffLen,LEN(_xlpm._comment)-LEN(SUBSTITUTE(_xlpm._comment,_xlpm._keyWord,"")),
_xlpm._diffLen/LEN(_xlpm._keyWord))</f>
        <v>0</v>
      </c>
      <c r="AD25" s="9" t="str" cm="1">
        <f t="array" ref="AD25">CreateSearchString($J25)</f>
        <v/>
      </c>
      <c r="AE25" s="9" t="str" cm="1">
        <f t="array" aca="1" ref="AE25" ca="1">_xlfn.LET(
_xlpm._selected,SanitizeInput($J25),
_xlpm._catalogOptions,SanitizeInput($F25)&amp;SanitizeInput($G25)&amp;SanitizeInput($H25),
_xlpm._selectedNotInOptions,FilterElementsFromList(_xlpm._selected,_xlpm._catalogOptions,FALSE,","),
IF(_xlpm._selectedNotInOptions="","",$A25&amp;" "&amp;$B25&amp;": "&amp;SUBSTITUTE(RemoveDelimiter(_xlpm._selectedNotInOptions,","),",",", ")))</f>
        <v/>
      </c>
      <c r="AF25" s="9" cm="1">
        <f t="array" aca="1" ref="AF25" ca="1">CreateID($AF$2,$AE25&lt;&gt;"")</f>
        <v>0</v>
      </c>
      <c r="AG25" s="9" t="str" cm="1">
        <f t="array" aca="1" ref="AG25" ca="1">_xlfn.LET(
_xlpm._delimiter,","&amp;CHAR(10),
_xlpm._assumptions,ParseAllMitigationsFromComment($A25,"-","A",$O25,Definitions!$AR$4,Definitions!$AS$4,Definitions!$AR$6,_xlpm._delimiter,1),
_xlpm._countermeasures,ParseAllMitigationsFromComment($A25,"-","C",$O25,Definitions!$AR$5,Definitions!$AS$5,Definitions!$AR$6,_xlpm._delimiter,1),
IF(_xlpm._countermeasures="",RemoveDelimiter(_xlpm._assumptions,_xlpm._delimiter),_xlpm._assumptions&amp;RemoveDelimiter(_xlpm._countermeasures,_xlpm._delimiter)))</f>
        <v/>
      </c>
      <c r="AH25" s="9" t="str" cm="1">
        <f t="array" ref="AH25">CreateSearchString(SanitizeInput($J25)&amp;GetValuesIgnoreErrors(SanitizeInput($J25),Countermeasures!$A:$H,"",",",FALSE))</f>
        <v/>
      </c>
      <c r="AI25" s="9" t="str" cm="1">
        <f t="array" aca="1" ref="AI25" ca="1">IF(AND(IFERROR(FIND(","&amp;Countermeasures!$A$31&amp;",",$AH25)&gt;0,FALSE),Countermeasures!$AB$31=TRUE,SimpleLookup(Questions!$A$48,Questionnaire!$B:$D)=Definitions!$A$5),$A25&amp;" "&amp;$B25,"")</f>
        <v/>
      </c>
      <c r="AJ25" s="9" cm="1">
        <f t="array" aca="1" ref="AJ25" ca="1">CreateID($AJ$2,$AI25&lt;&gt;"")</f>
        <v>0</v>
      </c>
      <c r="AK25" s="9" t="str">
        <f t="shared" ca="1" si="2"/>
        <v/>
      </c>
      <c r="AL25" s="9" cm="1">
        <f t="array" aca="1" ref="AL25" ca="1">CreateID($AL$2,$AK25&lt;&gt;"")</f>
        <v>0</v>
      </c>
      <c r="AM25" s="9" t="str">
        <f t="shared" si="3"/>
        <v/>
      </c>
      <c r="AN25" s="9" cm="1">
        <f t="array" aca="1" ref="AN25" ca="1">CreateID($AN$2,$AM25&lt;&gt;"")</f>
        <v>0</v>
      </c>
    </row>
    <row r="26" spans="1:40" ht="30" x14ac:dyDescent="0.25">
      <c r="A26" s="13" t="str" cm="1">
        <f t="array" aca="1" ref="A26" ca="1">IF($R26=0,"",INDEX('Attack Steps'!A:A,$R26))</f>
        <v>AS24</v>
      </c>
      <c r="B26" s="13" t="str" cm="1">
        <f t="array" aca="1" ref="B26" ca="1">IF($R26=0,"",INDEX('Attack Steps'!B:B,$R26))</f>
        <v>Data extraction from the product's persistent memory</v>
      </c>
      <c r="C26" s="10">
        <f>3</f>
        <v>3</v>
      </c>
      <c r="D26" s="16" t="str" cm="1">
        <f t="array" aca="1" ref="D26" ca="1">_xlfn.LET(
_xlpm._displayLimit,$C26,
_xlpm._risks,$S26,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26" s="13" t="str" cm="1">
        <f t="array" aca="1" ref="E26" ca="1">_xlfn.LET(_xlpm._riskValue,CalculateMaxFromList($T26,0,Risks!$A:$Z),
INDEX(Definitions!$AE:$AE,MATCH(_xlpm._riskValue,Definitions!$AF:$AF,0)))</f>
        <v>No Risk</v>
      </c>
      <c r="F26" s="13" t="str" cm="1">
        <f t="array" aca="1" ref="F26" ca="1">IF($A26="","",SUBSTITUTE(RemoveDelimiter(SanitizeInput(SimpleLookup($A26,'Attack Steps'!$A:$AA)),","),",",", "))</f>
        <v>CM4</v>
      </c>
      <c r="G26" s="13" t="str" cm="1">
        <f t="array" aca="1" ref="G26" ca="1">IF($A26="","",SUBSTITUTE(RemoveDelimiter(SanitizeInput(SimpleLookup($A26,'Attack Steps'!$A:$AB)),","),",",", "))</f>
        <v/>
      </c>
      <c r="H26" s="55" t="str" cm="1">
        <f t="array" aca="1" ref="H26" ca="1">IF($A26="","",_xlfn.LET(
_xlpm._proposedActive,SanitizeInput($G26),
_xlpm._proposedAll,SimpleLookup($A26,'Attack Steps'!$A:$AC),
_xlpm._proposedDiff,FilterElementsFromList(_xlpm._proposedAll,_xlpm._proposedActive,FALSE,","),
SUBSTITUTE(RemoveDelimiter(SanitizeInput(_xlpm._proposedDiff),","),",",", ")))</f>
        <v/>
      </c>
      <c r="I26" s="13" t="str" cm="1">
        <f t="array" aca="1" ref="I26" ca="1">RemoveDelimiter(GetValuesWithFallback(SanitizeInput($F26)&amp;SanitizeInput($G26)&amp;SanitizeInput($H26),Countermeasures!$A:$B,Assumptions!$A:$B," ",","&amp;CHAR(10),TRUE),","&amp;CHAR(10))</f>
        <v>CM4 SCR 2.2 - Hardware based Storage Encryption</v>
      </c>
      <c r="J26" s="10"/>
      <c r="K26" s="13" t="str" cm="1">
        <f t="array" ref="K26">RemoveDelimiter(GetValuesWithFallback(SanitizeInput($J26),Countermeasures!$A:$B,Assumptions!$A:$B," ",","&amp;CHAR(10),TRUE),","&amp;CHAR(10))</f>
        <v/>
      </c>
      <c r="L26" s="10">
        <f>3</f>
        <v>3</v>
      </c>
      <c r="M26" s="16" t="str" cm="1">
        <f t="array" aca="1" ref="M26" ca="1">_xlfn.LET(
_xlpm._displayLimit,$L26,
_xlpm._risks,$V26,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26" s="13" t="str">
        <f ca="1">INDEX(Definitions!$AE:$AE,MATCH($W26,Definitions!$AF:$AF,0))</f>
        <v>No Risk</v>
      </c>
      <c r="O26" s="10"/>
      <c r="P26" s="9" cm="1">
        <f t="array" aca="1" ref="P26" ca="1">CreateID($P$2,$A26&lt;&gt;"")</f>
        <v>24</v>
      </c>
      <c r="Q26" s="9" cm="1">
        <f t="array" ref="Q26">CreateTaskID($Q$2,$Q:$Q,Tasks!$B$17,$O26)</f>
        <v>0</v>
      </c>
      <c r="R26" s="9">
        <f ca="1">IFERROR(MATCH(ROW()-ROW($R$2),'Attack Steps'!$R:$R,0),0)</f>
        <v>26</v>
      </c>
      <c r="S26" s="9" t="str" cm="1">
        <f t="array" aca="1" ref="S26" ca="1">CalculateMaxAndElements($T26,0,"",Risks!$A:$Z)</f>
        <v>0:</v>
      </c>
      <c r="T26" s="9" t="str" cm="1">
        <f t="array" aca="1" ref="T26" ca="1">InverseLookup($A26,Risks!$Y$2,Risks!$A$2,1,Helper!$B$1,",")</f>
        <v/>
      </c>
      <c r="U26" s="9" t="str">
        <f t="shared" ca="1" si="6"/>
        <v/>
      </c>
      <c r="V26" s="9" t="str" cm="1">
        <f t="array" aca="1" ref="V26" ca="1">CalculateMaxAndElements($T26,0,"",Risks!$A:$AG)</f>
        <v>0:</v>
      </c>
      <c r="W26" s="9">
        <f t="shared" ca="1" si="7"/>
        <v>0</v>
      </c>
      <c r="X26" s="9" t="str" cm="1">
        <f t="array" ref="X26">IF($J26="","",","&amp;SanitizeInput($J26))</f>
        <v/>
      </c>
      <c r="Y26" s="9" t="b" cm="1">
        <f t="array" aca="1" ref="Y26" ca="1">INDEX('Attack Steps'!$AE:$AE,$R26)</f>
        <v>0</v>
      </c>
      <c r="Z26" s="9" cm="1">
        <f t="array" aca="1" ref="Z26" ca="1">CreateID($Z$2,IFERROR(FIND(Definitions!$AR$4,$O26)&gt;0,FALSE))</f>
        <v>0</v>
      </c>
      <c r="AA26" s="9">
        <f>_xlfn.LET(
_xlpm._comment,$O26,
_xlpm._keyWord,Definitions!$AR$4,
_xlpm._diffLen,LEN(_xlpm._comment)-LEN(SUBSTITUTE(_xlpm._comment,_xlpm._keyWord,"")),
_xlpm._diffLen/LEN(_xlpm._keyWord))</f>
        <v>0</v>
      </c>
      <c r="AB26" s="9" cm="1">
        <f t="array" aca="1" ref="AB26" ca="1">CreateID($AB$2,IFERROR(FIND(Definitions!$AR$5,$O26)&gt;0,FALSE))</f>
        <v>0</v>
      </c>
      <c r="AC26" s="9">
        <f>_xlfn.LET(
_xlpm._comment,$O26,
_xlpm._keyWord,Definitions!$AR$5,
_xlpm._diffLen,LEN(_xlpm._comment)-LEN(SUBSTITUTE(_xlpm._comment,_xlpm._keyWord,"")),
_xlpm._diffLen/LEN(_xlpm._keyWord))</f>
        <v>0</v>
      </c>
      <c r="AD26" s="9" t="str" cm="1">
        <f t="array" ref="AD26">CreateSearchString($J26)</f>
        <v/>
      </c>
      <c r="AE26" s="9" t="str" cm="1">
        <f t="array" aca="1" ref="AE26" ca="1">_xlfn.LET(
_xlpm._selected,SanitizeInput($J26),
_xlpm._catalogOptions,SanitizeInput($F26)&amp;SanitizeInput($G26)&amp;SanitizeInput($H26),
_xlpm._selectedNotInOptions,FilterElementsFromList(_xlpm._selected,_xlpm._catalogOptions,FALSE,","),
IF(_xlpm._selectedNotInOptions="","",$A26&amp;" "&amp;$B26&amp;": "&amp;SUBSTITUTE(RemoveDelimiter(_xlpm._selectedNotInOptions,","),",",", ")))</f>
        <v/>
      </c>
      <c r="AF26" s="9" cm="1">
        <f t="array" aca="1" ref="AF26" ca="1">CreateID($AF$2,$AE26&lt;&gt;"")</f>
        <v>0</v>
      </c>
      <c r="AG26" s="9" t="str" cm="1">
        <f t="array" aca="1" ref="AG26" ca="1">_xlfn.LET(
_xlpm._delimiter,","&amp;CHAR(10),
_xlpm._assumptions,ParseAllMitigationsFromComment($A26,"-","A",$O26,Definitions!$AR$4,Definitions!$AS$4,Definitions!$AR$6,_xlpm._delimiter,1),
_xlpm._countermeasures,ParseAllMitigationsFromComment($A26,"-","C",$O26,Definitions!$AR$5,Definitions!$AS$5,Definitions!$AR$6,_xlpm._delimiter,1),
IF(_xlpm._countermeasures="",RemoveDelimiter(_xlpm._assumptions,_xlpm._delimiter),_xlpm._assumptions&amp;RemoveDelimiter(_xlpm._countermeasures,_xlpm._delimiter)))</f>
        <v/>
      </c>
      <c r="AH26" s="9" t="str" cm="1">
        <f t="array" ref="AH26">CreateSearchString(SanitizeInput($J26)&amp;GetValuesIgnoreErrors(SanitizeInput($J26),Countermeasures!$A:$H,"",",",FALSE))</f>
        <v/>
      </c>
      <c r="AI26" s="9" t="str" cm="1">
        <f t="array" aca="1" ref="AI26" ca="1">IF(AND(IFERROR(FIND(","&amp;Countermeasures!$A$31&amp;",",$AH26)&gt;0,FALSE),Countermeasures!$AB$31=TRUE,SimpleLookup(Questions!$A$48,Questionnaire!$B:$D)=Definitions!$A$5),$A26&amp;" "&amp;$B26,"")</f>
        <v/>
      </c>
      <c r="AJ26" s="9" cm="1">
        <f t="array" aca="1" ref="AJ26" ca="1">CreateID($AJ$2,$AI26&lt;&gt;"")</f>
        <v>0</v>
      </c>
      <c r="AK26" s="9" t="str">
        <f t="shared" ca="1" si="2"/>
        <v/>
      </c>
      <c r="AL26" s="9" cm="1">
        <f t="array" aca="1" ref="AL26" ca="1">CreateID($AL$2,$AK26&lt;&gt;"")</f>
        <v>0</v>
      </c>
      <c r="AM26" s="9" t="str">
        <f t="shared" si="3"/>
        <v/>
      </c>
      <c r="AN26" s="9" cm="1">
        <f t="array" aca="1" ref="AN26" ca="1">CreateID($AN$2,$AM26&lt;&gt;"")</f>
        <v>0</v>
      </c>
    </row>
    <row r="27" spans="1:40" ht="150" x14ac:dyDescent="0.25">
      <c r="A27" s="13" t="str" cm="1">
        <f t="array" aca="1" ref="A27" ca="1">IF($R27=0,"",INDEX('Attack Steps'!A:A,$R27))</f>
        <v>AS25</v>
      </c>
      <c r="B27" s="13" t="str" cm="1">
        <f t="array" aca="1" ref="B27" ca="1">IF($R27=0,"",INDEX('Attack Steps'!B:B,$R27))</f>
        <v>Accessing the product's debug interfaces remotely</v>
      </c>
      <c r="C27" s="10">
        <f>3</f>
        <v>3</v>
      </c>
      <c r="D27" s="16" t="str" cm="1">
        <f t="array" aca="1" ref="D27" ca="1">_xlfn.LET(
_xlpm._displayLimit,$C27,
_xlpm._risks,$S27,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27" s="13" t="str" cm="1">
        <f t="array" aca="1" ref="E27" ca="1">_xlfn.LET(_xlpm._riskValue,CalculateMaxFromList($T27,0,Risks!$A:$Z),
INDEX(Definitions!$AE:$AE,MATCH(_xlpm._riskValue,Definitions!$AF:$AF,0)))</f>
        <v>No Risk</v>
      </c>
      <c r="F27" s="13" t="str" cm="1">
        <f t="array" aca="1" ref="F27" ca="1">IF($A27="","",SUBSTITUTE(RemoveDelimiter(SanitizeInput(SimpleLookup($A27,'Attack Steps'!$A:$AA)),","),",",", "))</f>
        <v>C30, CM8, CM16, CM17</v>
      </c>
      <c r="G27" s="13" t="str" cm="1">
        <f t="array" aca="1" ref="G27" ca="1">IF($A27="","",SUBSTITUTE(RemoveDelimiter(SanitizeInput(SimpleLookup($A27,'Attack Steps'!$A:$AB)),","),",",", "))</f>
        <v/>
      </c>
      <c r="H27" s="55" t="str" cm="1">
        <f t="array" aca="1" ref="H27" ca="1">IF($A27="","",_xlfn.LET(
_xlpm._proposedActive,SanitizeInput($G27),
_xlpm._proposedAll,SimpleLookup($A27,'Attack Steps'!$A:$AC),
_xlpm._proposedDiff,FilterElementsFromList(_xlpm._proposedAll,_xlpm._proposedActive,FALSE,","),
SUBSTITUTE(RemoveDelimiter(SanitizeInput(_xlpm._proposedDiff),","),",",", ")))</f>
        <v/>
      </c>
      <c r="I27" s="13" t="str" cm="1">
        <f t="array" aca="1" ref="I27" ca="1">RemoveDelimiter(GetValuesWithFallback(SanitizeInput($F27)&amp;SanitizeInput($G27)&amp;SanitizeInput($H27),Countermeasures!$A:$B,Assumptions!$A:$B," ",","&amp;CHAR(10),TRUE),","&amp;CHAR(10))</f>
        <v>C30 SRS 7.4 – Control system recovery and reconstitution,
CM8 SCR 2.7 - Close debug interfaces,
CM16 SCR 2.14 - Password-based authentication at debug interfaces,
CM17 SCR 2.13 - Public key-based authentication at debug interfaces</v>
      </c>
      <c r="J27" s="10"/>
      <c r="K27" s="13" t="str" cm="1">
        <f t="array" ref="K27">RemoveDelimiter(GetValuesWithFallback(SanitizeInput($J27),Countermeasures!$A:$B,Assumptions!$A:$B," ",","&amp;CHAR(10),TRUE),","&amp;CHAR(10))</f>
        <v/>
      </c>
      <c r="L27" s="10">
        <f>3</f>
        <v>3</v>
      </c>
      <c r="M27" s="16" t="str" cm="1">
        <f t="array" aca="1" ref="M27" ca="1">_xlfn.LET(
_xlpm._displayLimit,$L27,
_xlpm._risks,$V27,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27" s="13" t="str">
        <f ca="1">INDEX(Definitions!$AE:$AE,MATCH($W27,Definitions!$AF:$AF,0))</f>
        <v>No Risk</v>
      </c>
      <c r="O27" s="10"/>
      <c r="P27" s="9" cm="1">
        <f t="array" aca="1" ref="P27" ca="1">CreateID($P$2,$A27&lt;&gt;"")</f>
        <v>25</v>
      </c>
      <c r="Q27" s="9" cm="1">
        <f t="array" ref="Q27">CreateTaskID($Q$2,$Q:$Q,Tasks!$B$17,$O27)</f>
        <v>0</v>
      </c>
      <c r="R27" s="9">
        <f ca="1">IFERROR(MATCH(ROW()-ROW($R$2),'Attack Steps'!$R:$R,0),0)</f>
        <v>27</v>
      </c>
      <c r="S27" s="9" t="str" cm="1">
        <f t="array" aca="1" ref="S27" ca="1">CalculateMaxAndElements($T27,0,"",Risks!$A:$Z)</f>
        <v>0:</v>
      </c>
      <c r="T27" s="9" t="str" cm="1">
        <f t="array" aca="1" ref="T27" ca="1">InverseLookup($A27,Risks!$Y$2,Risks!$A$2,1,Helper!$B$1,",")</f>
        <v/>
      </c>
      <c r="U27" s="9" t="str">
        <f t="shared" ca="1" si="6"/>
        <v/>
      </c>
      <c r="V27" s="9" t="str" cm="1">
        <f t="array" aca="1" ref="V27" ca="1">CalculateMaxAndElements($T27,0,"",Risks!$A:$AG)</f>
        <v>0:</v>
      </c>
      <c r="W27" s="9">
        <f t="shared" ca="1" si="7"/>
        <v>0</v>
      </c>
      <c r="X27" s="9" t="str" cm="1">
        <f t="array" ref="X27">IF($J27="","",","&amp;SanitizeInput($J27))</f>
        <v/>
      </c>
      <c r="Y27" s="9" t="b" cm="1">
        <f t="array" aca="1" ref="Y27" ca="1">INDEX('Attack Steps'!$AE:$AE,$R27)</f>
        <v>0</v>
      </c>
      <c r="Z27" s="9" cm="1">
        <f t="array" aca="1" ref="Z27" ca="1">CreateID($Z$2,IFERROR(FIND(Definitions!$AR$4,$O27)&gt;0,FALSE))</f>
        <v>0</v>
      </c>
      <c r="AA27" s="9">
        <f>_xlfn.LET(
_xlpm._comment,$O27,
_xlpm._keyWord,Definitions!$AR$4,
_xlpm._diffLen,LEN(_xlpm._comment)-LEN(SUBSTITUTE(_xlpm._comment,_xlpm._keyWord,"")),
_xlpm._diffLen/LEN(_xlpm._keyWord))</f>
        <v>0</v>
      </c>
      <c r="AB27" s="9" cm="1">
        <f t="array" aca="1" ref="AB27" ca="1">CreateID($AB$2,IFERROR(FIND(Definitions!$AR$5,$O27)&gt;0,FALSE))</f>
        <v>0</v>
      </c>
      <c r="AC27" s="9">
        <f>_xlfn.LET(
_xlpm._comment,$O27,
_xlpm._keyWord,Definitions!$AR$5,
_xlpm._diffLen,LEN(_xlpm._comment)-LEN(SUBSTITUTE(_xlpm._comment,_xlpm._keyWord,"")),
_xlpm._diffLen/LEN(_xlpm._keyWord))</f>
        <v>0</v>
      </c>
      <c r="AD27" s="9" t="str" cm="1">
        <f t="array" ref="AD27">CreateSearchString($J27)</f>
        <v/>
      </c>
      <c r="AE27" s="9" t="str" cm="1">
        <f t="array" aca="1" ref="AE27" ca="1">_xlfn.LET(
_xlpm._selected,SanitizeInput($J27),
_xlpm._catalogOptions,SanitizeInput($F27)&amp;SanitizeInput($G27)&amp;SanitizeInput($H27),
_xlpm._selectedNotInOptions,FilterElementsFromList(_xlpm._selected,_xlpm._catalogOptions,FALSE,","),
IF(_xlpm._selectedNotInOptions="","",$A27&amp;" "&amp;$B27&amp;": "&amp;SUBSTITUTE(RemoveDelimiter(_xlpm._selectedNotInOptions,","),",",", ")))</f>
        <v/>
      </c>
      <c r="AF27" s="9" cm="1">
        <f t="array" aca="1" ref="AF27" ca="1">CreateID($AF$2,$AE27&lt;&gt;"")</f>
        <v>0</v>
      </c>
      <c r="AG27" s="9" t="str" cm="1">
        <f t="array" aca="1" ref="AG27" ca="1">_xlfn.LET(
_xlpm._delimiter,","&amp;CHAR(10),
_xlpm._assumptions,ParseAllMitigationsFromComment($A27,"-","A",$O27,Definitions!$AR$4,Definitions!$AS$4,Definitions!$AR$6,_xlpm._delimiter,1),
_xlpm._countermeasures,ParseAllMitigationsFromComment($A27,"-","C",$O27,Definitions!$AR$5,Definitions!$AS$5,Definitions!$AR$6,_xlpm._delimiter,1),
IF(_xlpm._countermeasures="",RemoveDelimiter(_xlpm._assumptions,_xlpm._delimiter),_xlpm._assumptions&amp;RemoveDelimiter(_xlpm._countermeasures,_xlpm._delimiter)))</f>
        <v/>
      </c>
      <c r="AH27" s="9" t="str" cm="1">
        <f t="array" ref="AH27">CreateSearchString(SanitizeInput($J27)&amp;GetValuesIgnoreErrors(SanitizeInput($J27),Countermeasures!$A:$H,"",",",FALSE))</f>
        <v/>
      </c>
      <c r="AI27" s="9" t="str" cm="1">
        <f t="array" aca="1" ref="AI27" ca="1">IF(AND(IFERROR(FIND(","&amp;Countermeasures!$A$31&amp;",",$AH27)&gt;0,FALSE),Countermeasures!$AB$31=TRUE,SimpleLookup(Questions!$A$48,Questionnaire!$B:$D)=Definitions!$A$5),$A27&amp;" "&amp;$B27,"")</f>
        <v/>
      </c>
      <c r="AJ27" s="9" cm="1">
        <f t="array" aca="1" ref="AJ27" ca="1">CreateID($AJ$2,$AI27&lt;&gt;"")</f>
        <v>0</v>
      </c>
      <c r="AK27" s="9" t="str">
        <f t="shared" ca="1" si="2"/>
        <v/>
      </c>
      <c r="AL27" s="9" cm="1">
        <f t="array" aca="1" ref="AL27" ca="1">CreateID($AL$2,$AK27&lt;&gt;"")</f>
        <v>0</v>
      </c>
      <c r="AM27" s="9" t="str">
        <f t="shared" si="3"/>
        <v/>
      </c>
      <c r="AN27" s="9" cm="1">
        <f t="array" aca="1" ref="AN27" ca="1">CreateID($AN$2,$AM27&lt;&gt;"")</f>
        <v>0</v>
      </c>
    </row>
    <row r="28" spans="1:40" ht="120" x14ac:dyDescent="0.25">
      <c r="A28" s="13" t="str" cm="1">
        <f t="array" aca="1" ref="A28" ca="1">IF($R28=0,"",INDEX('Attack Steps'!A:A,$R28))</f>
        <v>AS26</v>
      </c>
      <c r="B28" s="13" t="str" cm="1">
        <f t="array" aca="1" ref="B28" ca="1">IF($R28=0,"",INDEX('Attack Steps'!B:B,$R28))</f>
        <v>Accessing the product's physical debug interfaces</v>
      </c>
      <c r="C28" s="10">
        <f>3</f>
        <v>3</v>
      </c>
      <c r="D28" s="16" t="str" cm="1">
        <f t="array" aca="1" ref="D28" ca="1">_xlfn.LET(
_xlpm._displayLimit,$C28,
_xlpm._risks,$S28,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28" s="13" t="str" cm="1">
        <f t="array" aca="1" ref="E28" ca="1">_xlfn.LET(_xlpm._riskValue,CalculateMaxFromList($T28,0,Risks!$A:$Z),
INDEX(Definitions!$AE:$AE,MATCH(_xlpm._riskValue,Definitions!$AF:$AF,0)))</f>
        <v>No Risk</v>
      </c>
      <c r="F28" s="13" t="str" cm="1">
        <f t="array" aca="1" ref="F28" ca="1">IF($A28="","",SUBSTITUTE(RemoveDelimiter(SanitizeInput(SimpleLookup($A28,'Attack Steps'!$A:$AA)),","),",",", "))</f>
        <v>CM8, CM16, CM17</v>
      </c>
      <c r="G28" s="13" t="str" cm="1">
        <f t="array" aca="1" ref="G28" ca="1">IF($A28="","",SUBSTITUTE(RemoveDelimiter(SanitizeInput(SimpleLookup($A28,'Attack Steps'!$A:$AB)),","),",",", "))</f>
        <v/>
      </c>
      <c r="H28" s="55" t="str" cm="1">
        <f t="array" aca="1" ref="H28" ca="1">IF($A28="","",_xlfn.LET(
_xlpm._proposedActive,SanitizeInput($G28),
_xlpm._proposedAll,SimpleLookup($A28,'Attack Steps'!$A:$AC),
_xlpm._proposedDiff,FilterElementsFromList(_xlpm._proposedAll,_xlpm._proposedActive,FALSE,","),
SUBSTITUTE(RemoveDelimiter(SanitizeInput(_xlpm._proposedDiff),","),",",", ")))</f>
        <v/>
      </c>
      <c r="I28" s="13" t="str" cm="1">
        <f t="array" aca="1" ref="I28" ca="1">RemoveDelimiter(GetValuesWithFallback(SanitizeInput($F28)&amp;SanitizeInput($G28)&amp;SanitizeInput($H28),Countermeasures!$A:$B,Assumptions!$A:$B," ",","&amp;CHAR(10),TRUE),","&amp;CHAR(10))</f>
        <v>CM8 SCR 2.7 - Close debug interfaces,
CM16 SCR 2.14 - Password-based authentication at debug interfaces,
CM17 SCR 2.13 - Public key-based authentication at debug interfaces</v>
      </c>
      <c r="J28" s="10"/>
      <c r="K28" s="13" t="str" cm="1">
        <f t="array" ref="K28">RemoveDelimiter(GetValuesWithFallback(SanitizeInput($J28),Countermeasures!$A:$B,Assumptions!$A:$B," ",","&amp;CHAR(10),TRUE),","&amp;CHAR(10))</f>
        <v/>
      </c>
      <c r="L28" s="10">
        <f>3</f>
        <v>3</v>
      </c>
      <c r="M28" s="16" t="str" cm="1">
        <f t="array" aca="1" ref="M28" ca="1">_xlfn.LET(
_xlpm._displayLimit,$L28,
_xlpm._risks,$V28,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28" s="13" t="str">
        <f ca="1">INDEX(Definitions!$AE:$AE,MATCH($W28,Definitions!$AF:$AF,0))</f>
        <v>No Risk</v>
      </c>
      <c r="O28" s="10"/>
      <c r="P28" s="9" cm="1">
        <f t="array" aca="1" ref="P28" ca="1">CreateID($P$2,$A28&lt;&gt;"")</f>
        <v>26</v>
      </c>
      <c r="Q28" s="9" cm="1">
        <f t="array" ref="Q28">CreateTaskID($Q$2,$Q:$Q,Tasks!$B$17,$O28)</f>
        <v>0</v>
      </c>
      <c r="R28" s="9">
        <f ca="1">IFERROR(MATCH(ROW()-ROW($R$2),'Attack Steps'!$R:$R,0),0)</f>
        <v>28</v>
      </c>
      <c r="S28" s="9" t="str" cm="1">
        <f t="array" aca="1" ref="S28" ca="1">CalculateMaxAndElements($T28,0,"",Risks!$A:$Z)</f>
        <v>0:</v>
      </c>
      <c r="T28" s="9" t="str" cm="1">
        <f t="array" aca="1" ref="T28" ca="1">InverseLookup($A28,Risks!$Y$2,Risks!$A$2,1,Helper!$B$1,",")</f>
        <v/>
      </c>
      <c r="U28" s="9" t="str">
        <f t="shared" ca="1" si="6"/>
        <v/>
      </c>
      <c r="V28" s="9" t="str" cm="1">
        <f t="array" aca="1" ref="V28" ca="1">CalculateMaxAndElements($T28,0,"",Risks!$A:$AG)</f>
        <v>0:</v>
      </c>
      <c r="W28" s="9">
        <f t="shared" ca="1" si="7"/>
        <v>0</v>
      </c>
      <c r="X28" s="9" t="str" cm="1">
        <f t="array" ref="X28">IF($J28="","",","&amp;SanitizeInput($J28))</f>
        <v/>
      </c>
      <c r="Y28" s="9" t="b" cm="1">
        <f t="array" aca="1" ref="Y28" ca="1">INDEX('Attack Steps'!$AE:$AE,$R28)</f>
        <v>0</v>
      </c>
      <c r="Z28" s="9" cm="1">
        <f t="array" aca="1" ref="Z28" ca="1">CreateID($Z$2,IFERROR(FIND(Definitions!$AR$4,$O28)&gt;0,FALSE))</f>
        <v>0</v>
      </c>
      <c r="AA28" s="9">
        <f>_xlfn.LET(
_xlpm._comment,$O28,
_xlpm._keyWord,Definitions!$AR$4,
_xlpm._diffLen,LEN(_xlpm._comment)-LEN(SUBSTITUTE(_xlpm._comment,_xlpm._keyWord,"")),
_xlpm._diffLen/LEN(_xlpm._keyWord))</f>
        <v>0</v>
      </c>
      <c r="AB28" s="9" cm="1">
        <f t="array" aca="1" ref="AB28" ca="1">CreateID($AB$2,IFERROR(FIND(Definitions!$AR$5,$O28)&gt;0,FALSE))</f>
        <v>0</v>
      </c>
      <c r="AC28" s="9">
        <f>_xlfn.LET(
_xlpm._comment,$O28,
_xlpm._keyWord,Definitions!$AR$5,
_xlpm._diffLen,LEN(_xlpm._comment)-LEN(SUBSTITUTE(_xlpm._comment,_xlpm._keyWord,"")),
_xlpm._diffLen/LEN(_xlpm._keyWord))</f>
        <v>0</v>
      </c>
      <c r="AD28" s="9" t="str" cm="1">
        <f t="array" ref="AD28">CreateSearchString($J28)</f>
        <v/>
      </c>
      <c r="AE28" s="9" t="str" cm="1">
        <f t="array" aca="1" ref="AE28" ca="1">_xlfn.LET(
_xlpm._selected,SanitizeInput($J28),
_xlpm._catalogOptions,SanitizeInput($F28)&amp;SanitizeInput($G28)&amp;SanitizeInput($H28),
_xlpm._selectedNotInOptions,FilterElementsFromList(_xlpm._selected,_xlpm._catalogOptions,FALSE,","),
IF(_xlpm._selectedNotInOptions="","",$A28&amp;" "&amp;$B28&amp;": "&amp;SUBSTITUTE(RemoveDelimiter(_xlpm._selectedNotInOptions,","),",",", ")))</f>
        <v/>
      </c>
      <c r="AF28" s="9" cm="1">
        <f t="array" aca="1" ref="AF28" ca="1">CreateID($AF$2,$AE28&lt;&gt;"")</f>
        <v>0</v>
      </c>
      <c r="AG28" s="9" t="str" cm="1">
        <f t="array" aca="1" ref="AG28" ca="1">_xlfn.LET(
_xlpm._delimiter,","&amp;CHAR(10),
_xlpm._assumptions,ParseAllMitigationsFromComment($A28,"-","A",$O28,Definitions!$AR$4,Definitions!$AS$4,Definitions!$AR$6,_xlpm._delimiter,1),
_xlpm._countermeasures,ParseAllMitigationsFromComment($A28,"-","C",$O28,Definitions!$AR$5,Definitions!$AS$5,Definitions!$AR$6,_xlpm._delimiter,1),
IF(_xlpm._countermeasures="",RemoveDelimiter(_xlpm._assumptions,_xlpm._delimiter),_xlpm._assumptions&amp;RemoveDelimiter(_xlpm._countermeasures,_xlpm._delimiter)))</f>
        <v/>
      </c>
      <c r="AH28" s="9" t="str" cm="1">
        <f t="array" ref="AH28">CreateSearchString(SanitizeInput($J28)&amp;GetValuesIgnoreErrors(SanitizeInput($J28),Countermeasures!$A:$H,"",",",FALSE))</f>
        <v/>
      </c>
      <c r="AI28" s="9" t="str" cm="1">
        <f t="array" aca="1" ref="AI28" ca="1">IF(AND(IFERROR(FIND(","&amp;Countermeasures!$A$31&amp;",",$AH28)&gt;0,FALSE),Countermeasures!$AB$31=TRUE,SimpleLookup(Questions!$A$48,Questionnaire!$B:$D)=Definitions!$A$5),$A28&amp;" "&amp;$B28,"")</f>
        <v/>
      </c>
      <c r="AJ28" s="9" cm="1">
        <f t="array" aca="1" ref="AJ28" ca="1">CreateID($AJ$2,$AI28&lt;&gt;"")</f>
        <v>0</v>
      </c>
      <c r="AK28" s="9" t="str">
        <f t="shared" ca="1" si="2"/>
        <v/>
      </c>
      <c r="AL28" s="9" cm="1">
        <f t="array" aca="1" ref="AL28" ca="1">CreateID($AL$2,$AK28&lt;&gt;"")</f>
        <v>0</v>
      </c>
      <c r="AM28" s="9" t="str">
        <f t="shared" si="3"/>
        <v/>
      </c>
      <c r="AN28" s="9" cm="1">
        <f t="array" aca="1" ref="AN28" ca="1">CreateID($AN$2,$AM28&lt;&gt;"")</f>
        <v>0</v>
      </c>
    </row>
    <row r="29" spans="1:40" ht="45" x14ac:dyDescent="0.25">
      <c r="A29" s="13" t="str" cm="1">
        <f t="array" aca="1" ref="A29" ca="1">IF($R29=0,"",INDEX('Attack Steps'!A:A,$R29))</f>
        <v>AS27</v>
      </c>
      <c r="B29" s="13" t="str" cm="1">
        <f t="array" aca="1" ref="B29" ca="1">IF($R29=0,"",INDEX('Attack Steps'!B:B,$R29))</f>
        <v>Getting physical access to the product's linked communication media (e.g., field buses)</v>
      </c>
      <c r="C29" s="10">
        <f>3</f>
        <v>3</v>
      </c>
      <c r="D29" s="16" t="str" cm="1">
        <f t="array" aca="1" ref="D29" ca="1">_xlfn.LET(
_xlpm._displayLimit,$C29,
_xlpm._risks,$S29,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29" s="13" t="str" cm="1">
        <f t="array" aca="1" ref="E29" ca="1">_xlfn.LET(_xlpm._riskValue,CalculateMaxFromList($T29,0,Risks!$A:$Z),
INDEX(Definitions!$AE:$AE,MATCH(_xlpm._riskValue,Definitions!$AF:$AF,0)))</f>
        <v>No Risk</v>
      </c>
      <c r="F29" s="13" t="str" cm="1">
        <f t="array" aca="1" ref="F29" ca="1">IF($A29="","",SUBSTITUTE(RemoveDelimiter(SanitizeInput(SimpleLookup($A29,'Attack Steps'!$A:$AA)),","),",",", "))</f>
        <v/>
      </c>
      <c r="G29" s="13" t="str" cm="1">
        <f t="array" aca="1" ref="G29" ca="1">IF($A29="","",SUBSTITUTE(RemoveDelimiter(SanitizeInput(SimpleLookup($A29,'Attack Steps'!$A:$AB)),","),",",", "))</f>
        <v/>
      </c>
      <c r="H29" s="55" t="str" cm="1">
        <f t="array" aca="1" ref="H29" ca="1">IF($A29="","",_xlfn.LET(
_xlpm._proposedActive,SanitizeInput($G29),
_xlpm._proposedAll,SimpleLookup($A29,'Attack Steps'!$A:$AC),
_xlpm._proposedDiff,FilterElementsFromList(_xlpm._proposedAll,_xlpm._proposedActive,FALSE,","),
SUBSTITUTE(RemoveDelimiter(SanitizeInput(_xlpm._proposedDiff),","),",",", ")))</f>
        <v>A16</v>
      </c>
      <c r="I29" s="13" t="str" cm="1">
        <f t="array" aca="1" ref="I29" ca="1">RemoveDelimiter(GetValuesWithFallback(SanitizeInput($F29)&amp;SanitizeInput($G29)&amp;SanitizeInput($H29),Countermeasures!$A:$B,Assumptions!$A:$B," ",","&amp;CHAR(10),TRUE),","&amp;CHAR(10))</f>
        <v>A16 SDR 1.14 – Communication media located in restricted access area</v>
      </c>
      <c r="J29" s="10"/>
      <c r="K29" s="13" t="str" cm="1">
        <f t="array" ref="K29">RemoveDelimiter(GetValuesWithFallback(SanitizeInput($J29),Countermeasures!$A:$B,Assumptions!$A:$B," ",","&amp;CHAR(10),TRUE),","&amp;CHAR(10))</f>
        <v/>
      </c>
      <c r="L29" s="10">
        <f>3</f>
        <v>3</v>
      </c>
      <c r="M29" s="16" t="str" cm="1">
        <f t="array" aca="1" ref="M29" ca="1">_xlfn.LET(
_xlpm._displayLimit,$L29,
_xlpm._risks,$V29,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29" s="13" t="str">
        <f ca="1">INDEX(Definitions!$AE:$AE,MATCH($W29,Definitions!$AF:$AF,0))</f>
        <v>No Risk</v>
      </c>
      <c r="O29" s="10"/>
      <c r="P29" s="9" cm="1">
        <f t="array" aca="1" ref="P29" ca="1">CreateID($P$2,$A29&lt;&gt;"")</f>
        <v>27</v>
      </c>
      <c r="Q29" s="9" cm="1">
        <f t="array" ref="Q29">CreateTaskID($Q$2,$Q:$Q,Tasks!$B$17,$O29)</f>
        <v>0</v>
      </c>
      <c r="R29" s="9">
        <f ca="1">IFERROR(MATCH(ROW()-ROW($R$2),'Attack Steps'!$R:$R,0),0)</f>
        <v>29</v>
      </c>
      <c r="S29" s="9" t="str" cm="1">
        <f t="array" aca="1" ref="S29" ca="1">CalculateMaxAndElements($T29,0,"",Risks!$A:$Z)</f>
        <v>0:</v>
      </c>
      <c r="T29" s="9" t="str" cm="1">
        <f t="array" aca="1" ref="T29" ca="1">InverseLookup($A29,Risks!$Y$2,Risks!$A$2,1,Helper!$B$1,",")</f>
        <v/>
      </c>
      <c r="U29" s="9" t="str">
        <f t="shared" ca="1" si="6"/>
        <v/>
      </c>
      <c r="V29" s="9" t="str" cm="1">
        <f t="array" aca="1" ref="V29" ca="1">CalculateMaxAndElements($T29,0,"",Risks!$A:$AG)</f>
        <v>0:</v>
      </c>
      <c r="W29" s="9">
        <f t="shared" ca="1" si="7"/>
        <v>0</v>
      </c>
      <c r="X29" s="9" t="str" cm="1">
        <f t="array" ref="X29">IF($J29="","",","&amp;SanitizeInput($J29))</f>
        <v/>
      </c>
      <c r="Y29" s="9" t="b" cm="1">
        <f t="array" aca="1" ref="Y29" ca="1">INDEX('Attack Steps'!$AE:$AE,$R29)</f>
        <v>0</v>
      </c>
      <c r="Z29" s="9" cm="1">
        <f t="array" aca="1" ref="Z29" ca="1">CreateID($Z$2,IFERROR(FIND(Definitions!$AR$4,$O29)&gt;0,FALSE))</f>
        <v>0</v>
      </c>
      <c r="AA29" s="9">
        <f>_xlfn.LET(
_xlpm._comment,$O29,
_xlpm._keyWord,Definitions!$AR$4,
_xlpm._diffLen,LEN(_xlpm._comment)-LEN(SUBSTITUTE(_xlpm._comment,_xlpm._keyWord,"")),
_xlpm._diffLen/LEN(_xlpm._keyWord))</f>
        <v>0</v>
      </c>
      <c r="AB29" s="9" cm="1">
        <f t="array" aca="1" ref="AB29" ca="1">CreateID($AB$2,IFERROR(FIND(Definitions!$AR$5,$O29)&gt;0,FALSE))</f>
        <v>0</v>
      </c>
      <c r="AC29" s="9">
        <f>_xlfn.LET(
_xlpm._comment,$O29,
_xlpm._keyWord,Definitions!$AR$5,
_xlpm._diffLen,LEN(_xlpm._comment)-LEN(SUBSTITUTE(_xlpm._comment,_xlpm._keyWord,"")),
_xlpm._diffLen/LEN(_xlpm._keyWord))</f>
        <v>0</v>
      </c>
      <c r="AD29" s="9" t="str" cm="1">
        <f t="array" ref="AD29">CreateSearchString($J29)</f>
        <v/>
      </c>
      <c r="AE29" s="9" t="str" cm="1">
        <f t="array" aca="1" ref="AE29" ca="1">_xlfn.LET(
_xlpm._selected,SanitizeInput($J29),
_xlpm._catalogOptions,SanitizeInput($F29)&amp;SanitizeInput($G29)&amp;SanitizeInput($H29),
_xlpm._selectedNotInOptions,FilterElementsFromList(_xlpm._selected,_xlpm._catalogOptions,FALSE,","),
IF(_xlpm._selectedNotInOptions="","",$A29&amp;" "&amp;$B29&amp;": "&amp;SUBSTITUTE(RemoveDelimiter(_xlpm._selectedNotInOptions,","),",",", ")))</f>
        <v/>
      </c>
      <c r="AF29" s="9" cm="1">
        <f t="array" aca="1" ref="AF29" ca="1">CreateID($AF$2,$AE29&lt;&gt;"")</f>
        <v>0</v>
      </c>
      <c r="AG29" s="9" t="str" cm="1">
        <f t="array" aca="1" ref="AG29" ca="1">_xlfn.LET(
_xlpm._delimiter,","&amp;CHAR(10),
_xlpm._assumptions,ParseAllMitigationsFromComment($A29,"-","A",$O29,Definitions!$AR$4,Definitions!$AS$4,Definitions!$AR$6,_xlpm._delimiter,1),
_xlpm._countermeasures,ParseAllMitigationsFromComment($A29,"-","C",$O29,Definitions!$AR$5,Definitions!$AS$5,Definitions!$AR$6,_xlpm._delimiter,1),
IF(_xlpm._countermeasures="",RemoveDelimiter(_xlpm._assumptions,_xlpm._delimiter),_xlpm._assumptions&amp;RemoveDelimiter(_xlpm._countermeasures,_xlpm._delimiter)))</f>
        <v/>
      </c>
      <c r="AH29" s="9" t="str" cm="1">
        <f t="array" ref="AH29">CreateSearchString(SanitizeInput($J29)&amp;GetValuesIgnoreErrors(SanitizeInput($J29),Countermeasures!$A:$H,"",",",FALSE))</f>
        <v/>
      </c>
      <c r="AI29" s="9" t="str" cm="1">
        <f t="array" aca="1" ref="AI29" ca="1">IF(AND(IFERROR(FIND(","&amp;Countermeasures!$A$31&amp;",",$AH29)&gt;0,FALSE),Countermeasures!$AB$31=TRUE,SimpleLookup(Questions!$A$48,Questionnaire!$B:$D)=Definitions!$A$5),$A29&amp;" "&amp;$B29,"")</f>
        <v/>
      </c>
      <c r="AJ29" s="9" cm="1">
        <f t="array" aca="1" ref="AJ29" ca="1">CreateID($AJ$2,$AI29&lt;&gt;"")</f>
        <v>0</v>
      </c>
      <c r="AK29" s="9" t="str">
        <f t="shared" ca="1" si="2"/>
        <v/>
      </c>
      <c r="AL29" s="9" cm="1">
        <f t="array" aca="1" ref="AL29" ca="1">CreateID($AL$2,$AK29&lt;&gt;"")</f>
        <v>0</v>
      </c>
      <c r="AM29" s="9" t="str">
        <f t="shared" si="3"/>
        <v/>
      </c>
      <c r="AN29" s="9" cm="1">
        <f t="array" aca="1" ref="AN29" ca="1">CreateID($AN$2,$AM29&lt;&gt;"")</f>
        <v>0</v>
      </c>
    </row>
    <row r="30" spans="1:40" ht="30" x14ac:dyDescent="0.25">
      <c r="A30" s="13" t="str" cm="1">
        <f t="array" aca="1" ref="A30" ca="1">IF($R30=0,"",INDEX('Attack Steps'!A:A,$R30))</f>
        <v>AS28</v>
      </c>
      <c r="B30" s="13" t="str" cm="1">
        <f t="array" aca="1" ref="B30" ca="1">IF($R30=0,"",INDEX('Attack Steps'!B:B,$R30))</f>
        <v>Getting access to a trusted entity</v>
      </c>
      <c r="C30" s="10">
        <f>3</f>
        <v>3</v>
      </c>
      <c r="D30" s="16" t="str" cm="1">
        <f t="array" aca="1" ref="D30" ca="1">_xlfn.LET(
_xlpm._displayLimit,$C30,
_xlpm._risks,$S30,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30" s="13" t="str" cm="1">
        <f t="array" aca="1" ref="E30" ca="1">_xlfn.LET(_xlpm._riskValue,CalculateMaxFromList($T30,0,Risks!$A:$Z),
INDEX(Definitions!$AE:$AE,MATCH(_xlpm._riskValue,Definitions!$AF:$AF,0)))</f>
        <v>No Risk</v>
      </c>
      <c r="F30" s="13" t="str" cm="1">
        <f t="array" aca="1" ref="F30" ca="1">IF($A30="","",SUBSTITUTE(RemoveDelimiter(SanitizeInput(SimpleLookup($A30,'Attack Steps'!$A:$AA)),","),",",", "))</f>
        <v/>
      </c>
      <c r="G30" s="13" t="str" cm="1">
        <f t="array" aca="1" ref="G30" ca="1">IF($A30="","",SUBSTITUTE(RemoveDelimiter(SanitizeInput(SimpleLookup($A30,'Attack Steps'!$A:$AB)),","),",",", "))</f>
        <v/>
      </c>
      <c r="H30" s="55" t="str" cm="1">
        <f t="array" aca="1" ref="H30" ca="1">IF($A30="","",_xlfn.LET(
_xlpm._proposedActive,SanitizeInput($G30),
_xlpm._proposedAll,SimpleLookup($A30,'Attack Steps'!$A:$AC),
_xlpm._proposedDiff,FilterElementsFromList(_xlpm._proposedAll,_xlpm._proposedActive,FALSE,","),
SUBSTITUTE(RemoveDelimiter(SanitizeInput(_xlpm._proposedDiff),","),",",", ")))</f>
        <v>A13</v>
      </c>
      <c r="I30" s="13" t="str" cm="1">
        <f t="array" aca="1" ref="I30" ca="1">RemoveDelimiter(GetValuesWithFallback(SanitizeInput($F30)&amp;SanitizeInput($G30)&amp;SanitizeInput($H30),Countermeasures!$A:$B,Assumptions!$A:$B," ",","&amp;CHAR(10),TRUE),","&amp;CHAR(10))</f>
        <v>A13 SDR 1.11 – Trustworthy communication partner</v>
      </c>
      <c r="J30" s="10"/>
      <c r="K30" s="13" t="str" cm="1">
        <f t="array" ref="K30">RemoveDelimiter(GetValuesWithFallback(SanitizeInput($J30),Countermeasures!$A:$B,Assumptions!$A:$B," ",","&amp;CHAR(10),TRUE),","&amp;CHAR(10))</f>
        <v/>
      </c>
      <c r="L30" s="10">
        <f>3</f>
        <v>3</v>
      </c>
      <c r="M30" s="16" t="str" cm="1">
        <f t="array" aca="1" ref="M30" ca="1">_xlfn.LET(
_xlpm._displayLimit,$L30,
_xlpm._risks,$V30,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30" s="13" t="str">
        <f ca="1">INDEX(Definitions!$AE:$AE,MATCH($W30,Definitions!$AF:$AF,0))</f>
        <v>No Risk</v>
      </c>
      <c r="O30" s="10"/>
      <c r="P30" s="9" cm="1">
        <f t="array" aca="1" ref="P30" ca="1">CreateID($P$2,$A30&lt;&gt;"")</f>
        <v>28</v>
      </c>
      <c r="Q30" s="9" cm="1">
        <f t="array" ref="Q30">CreateTaskID($Q$2,$Q:$Q,Tasks!$B$17,$O30)</f>
        <v>0</v>
      </c>
      <c r="R30" s="9">
        <f ca="1">IFERROR(MATCH(ROW()-ROW($R$2),'Attack Steps'!$R:$R,0),0)</f>
        <v>30</v>
      </c>
      <c r="S30" s="9" t="str" cm="1">
        <f t="array" aca="1" ref="S30" ca="1">CalculateMaxAndElements($T30,0,"",Risks!$A:$Z)</f>
        <v>0:</v>
      </c>
      <c r="T30" s="9" t="str" cm="1">
        <f t="array" aca="1" ref="T30" ca="1">InverseLookup($A30,Risks!$Y$2,Risks!$A$2,1,Helper!$B$1,",")</f>
        <v/>
      </c>
      <c r="U30" s="9" t="str">
        <f t="shared" ca="1" si="6"/>
        <v/>
      </c>
      <c r="V30" s="9" t="str" cm="1">
        <f t="array" aca="1" ref="V30" ca="1">CalculateMaxAndElements($T30,0,"",Risks!$A:$AG)</f>
        <v>0:</v>
      </c>
      <c r="W30" s="9">
        <f t="shared" ca="1" si="7"/>
        <v>0</v>
      </c>
      <c r="X30" s="9" t="str" cm="1">
        <f t="array" ref="X30">IF($J30="","",","&amp;SanitizeInput($J30))</f>
        <v/>
      </c>
      <c r="Y30" s="9" t="b" cm="1">
        <f t="array" aca="1" ref="Y30" ca="1">INDEX('Attack Steps'!$AE:$AE,$R30)</f>
        <v>0</v>
      </c>
      <c r="Z30" s="9" cm="1">
        <f t="array" aca="1" ref="Z30" ca="1">CreateID($Z$2,IFERROR(FIND(Definitions!$AR$4,$O30)&gt;0,FALSE))</f>
        <v>0</v>
      </c>
      <c r="AA30" s="9">
        <f>_xlfn.LET(
_xlpm._comment,$O30,
_xlpm._keyWord,Definitions!$AR$4,
_xlpm._diffLen,LEN(_xlpm._comment)-LEN(SUBSTITUTE(_xlpm._comment,_xlpm._keyWord,"")),
_xlpm._diffLen/LEN(_xlpm._keyWord))</f>
        <v>0</v>
      </c>
      <c r="AB30" s="9" cm="1">
        <f t="array" aca="1" ref="AB30" ca="1">CreateID($AB$2,IFERROR(FIND(Definitions!$AR$5,$O30)&gt;0,FALSE))</f>
        <v>0</v>
      </c>
      <c r="AC30" s="9">
        <f>_xlfn.LET(
_xlpm._comment,$O30,
_xlpm._keyWord,Definitions!$AR$5,
_xlpm._diffLen,LEN(_xlpm._comment)-LEN(SUBSTITUTE(_xlpm._comment,_xlpm._keyWord,"")),
_xlpm._diffLen/LEN(_xlpm._keyWord))</f>
        <v>0</v>
      </c>
      <c r="AD30" s="9" t="str" cm="1">
        <f t="array" ref="AD30">CreateSearchString($J30)</f>
        <v/>
      </c>
      <c r="AE30" s="9" t="str" cm="1">
        <f t="array" aca="1" ref="AE30" ca="1">_xlfn.LET(
_xlpm._selected,SanitizeInput($J30),
_xlpm._catalogOptions,SanitizeInput($F30)&amp;SanitizeInput($G30)&amp;SanitizeInput($H30),
_xlpm._selectedNotInOptions,FilterElementsFromList(_xlpm._selected,_xlpm._catalogOptions,FALSE,","),
IF(_xlpm._selectedNotInOptions="","",$A30&amp;" "&amp;$B30&amp;": "&amp;SUBSTITUTE(RemoveDelimiter(_xlpm._selectedNotInOptions,","),",",", ")))</f>
        <v/>
      </c>
      <c r="AF30" s="9" cm="1">
        <f t="array" aca="1" ref="AF30" ca="1">CreateID($AF$2,$AE30&lt;&gt;"")</f>
        <v>0</v>
      </c>
      <c r="AG30" s="9" t="str" cm="1">
        <f t="array" aca="1" ref="AG30" ca="1">_xlfn.LET(
_xlpm._delimiter,","&amp;CHAR(10),
_xlpm._assumptions,ParseAllMitigationsFromComment($A30,"-","A",$O30,Definitions!$AR$4,Definitions!$AS$4,Definitions!$AR$6,_xlpm._delimiter,1),
_xlpm._countermeasures,ParseAllMitigationsFromComment($A30,"-","C",$O30,Definitions!$AR$5,Definitions!$AS$5,Definitions!$AR$6,_xlpm._delimiter,1),
IF(_xlpm._countermeasures="",RemoveDelimiter(_xlpm._assumptions,_xlpm._delimiter),_xlpm._assumptions&amp;RemoveDelimiter(_xlpm._countermeasures,_xlpm._delimiter)))</f>
        <v/>
      </c>
      <c r="AH30" s="9" t="str" cm="1">
        <f t="array" ref="AH30">CreateSearchString(SanitizeInput($J30)&amp;GetValuesIgnoreErrors(SanitizeInput($J30),Countermeasures!$A:$H,"",",",FALSE))</f>
        <v/>
      </c>
      <c r="AI30" s="9" t="str" cm="1">
        <f t="array" aca="1" ref="AI30" ca="1">IF(AND(IFERROR(FIND(","&amp;Countermeasures!$A$31&amp;",",$AH30)&gt;0,FALSE),Countermeasures!$AB$31=TRUE,SimpleLookup(Questions!$A$48,Questionnaire!$B:$D)=Definitions!$A$5),$A30&amp;" "&amp;$B30,"")</f>
        <v/>
      </c>
      <c r="AJ30" s="9" cm="1">
        <f t="array" aca="1" ref="AJ30" ca="1">CreateID($AJ$2,$AI30&lt;&gt;"")</f>
        <v>0</v>
      </c>
      <c r="AK30" s="9" t="str">
        <f t="shared" ca="1" si="2"/>
        <v/>
      </c>
      <c r="AL30" s="9" cm="1">
        <f t="array" aca="1" ref="AL30" ca="1">CreateID($AL$2,$AK30&lt;&gt;"")</f>
        <v>0</v>
      </c>
      <c r="AM30" s="9" t="str">
        <f t="shared" si="3"/>
        <v/>
      </c>
      <c r="AN30" s="9" cm="1">
        <f t="array" aca="1" ref="AN30" ca="1">CreateID($AN$2,$AM30&lt;&gt;"")</f>
        <v>0</v>
      </c>
    </row>
    <row r="31" spans="1:40" ht="60" x14ac:dyDescent="0.25">
      <c r="A31" s="13" t="str" cm="1">
        <f t="array" aca="1" ref="A31" ca="1">IF($R31=0,"",INDEX('Attack Steps'!A:A,$R31))</f>
        <v>AS29</v>
      </c>
      <c r="B31" s="13" t="str" cm="1">
        <f t="array" aca="1" ref="B31" ca="1">IF($R31=0,"",INDEX('Attack Steps'!B:B,$R31))</f>
        <v>Brute-forcing the authentication mechanism over IP</v>
      </c>
      <c r="C31" s="10">
        <f>3</f>
        <v>3</v>
      </c>
      <c r="D31" s="16" t="str" cm="1">
        <f t="array" aca="1" ref="D31" ca="1">_xlfn.LET(
_xlpm._displayLimit,$C31,
_xlpm._risks,$S31,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31" s="13" t="str" cm="1">
        <f t="array" aca="1" ref="E31" ca="1">_xlfn.LET(_xlpm._riskValue,CalculateMaxFromList($T31,0,Risks!$A:$Z),
INDEX(Definitions!$AE:$AE,MATCH(_xlpm._riskValue,Definitions!$AF:$AF,0)))</f>
        <v>No Risk</v>
      </c>
      <c r="F31" s="13" t="str" cm="1">
        <f t="array" aca="1" ref="F31" ca="1">IF($A31="","",SUBSTITUTE(RemoveDelimiter(SanitizeInput(SimpleLookup($A31,'Attack Steps'!$A:$AA)),","),",",", "))</f>
        <v>C32</v>
      </c>
      <c r="G31" s="13" t="str" cm="1">
        <f t="array" aca="1" ref="G31" ca="1">IF($A31="","",SUBSTITUTE(RemoveDelimiter(SanitizeInput(SimpleLookup($A31,'Attack Steps'!$A:$AB)),","),",",", "))</f>
        <v/>
      </c>
      <c r="H31" s="55" t="str" cm="1">
        <f t="array" aca="1" ref="H31" ca="1">IF($A31="","",_xlfn.LET(
_xlpm._proposedActive,SanitizeInput($G31),
_xlpm._proposedAll,SimpleLookup($A31,'Attack Steps'!$A:$AC),
_xlpm._proposedDiff,FilterElementsFromList(_xlpm._proposedAll,_xlpm._proposedActive,FALSE,","),
SUBSTITUTE(RemoveDelimiter(SanitizeInput(_xlpm._proposedDiff),","),",",", ")))</f>
        <v>A22</v>
      </c>
      <c r="I31" s="13" t="str" cm="1">
        <f t="array" aca="1" ref="I31" ca="1">RemoveDelimiter(GetValuesWithFallback(SanitizeInput($F31)&amp;SanitizeInput($G31)&amp;SanitizeInput($H31),Countermeasures!$A:$B,Assumptions!$A:$B," ",","&amp;CHAR(10),TRUE),","&amp;CHAR(10))</f>
        <v>C32 SRS 1.11 - Unsuccessful login attempts,
A22 SDR 2.8 - No authentication over the IP stack possible</v>
      </c>
      <c r="J31" s="10"/>
      <c r="K31" s="13" t="str" cm="1">
        <f t="array" ref="K31">RemoveDelimiter(GetValuesWithFallback(SanitizeInput($J31),Countermeasures!$A:$B,Assumptions!$A:$B," ",","&amp;CHAR(10),TRUE),","&amp;CHAR(10))</f>
        <v/>
      </c>
      <c r="L31" s="10">
        <f>3</f>
        <v>3</v>
      </c>
      <c r="M31" s="16" t="str" cm="1">
        <f t="array" aca="1" ref="M31" ca="1">_xlfn.LET(
_xlpm._displayLimit,$L31,
_xlpm._risks,$V31,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31" s="13" t="str">
        <f ca="1">INDEX(Definitions!$AE:$AE,MATCH($W31,Definitions!$AF:$AF,0))</f>
        <v>No Risk</v>
      </c>
      <c r="O31" s="10"/>
      <c r="P31" s="9" cm="1">
        <f t="array" aca="1" ref="P31" ca="1">CreateID($P$2,$A31&lt;&gt;"")</f>
        <v>29</v>
      </c>
      <c r="Q31" s="9" cm="1">
        <f t="array" ref="Q31">CreateTaskID($Q$2,$Q:$Q,Tasks!$B$17,$O31)</f>
        <v>0</v>
      </c>
      <c r="R31" s="9">
        <f ca="1">IFERROR(MATCH(ROW()-ROW($R$2),'Attack Steps'!$R:$R,0),0)</f>
        <v>31</v>
      </c>
      <c r="S31" s="9" t="str" cm="1">
        <f t="array" aca="1" ref="S31" ca="1">CalculateMaxAndElements($T31,0,"",Risks!$A:$Z)</f>
        <v>0:</v>
      </c>
      <c r="T31" s="9" t="str" cm="1">
        <f t="array" aca="1" ref="T31" ca="1">InverseLookup($A31,Risks!$Y$2,Risks!$A$2,1,Helper!$B$1,",")</f>
        <v/>
      </c>
      <c r="U31" s="9" t="str">
        <f t="shared" ref="U31:U36" ca="1" si="8">IF($T31="","",","&amp;$T31)</f>
        <v/>
      </c>
      <c r="V31" s="9" t="str" cm="1">
        <f t="array" aca="1" ref="V31" ca="1">CalculateMaxAndElements($T31,0,"",Risks!$A:$AG)</f>
        <v>0:</v>
      </c>
      <c r="W31" s="9">
        <f t="shared" ref="W31:W36" ca="1" si="9">IF($V31="","",VALUE(LEFT($V31,FIND(":",$V31)-1)))</f>
        <v>0</v>
      </c>
      <c r="X31" s="9" t="str" cm="1">
        <f t="array" ref="X31">IF($J31="","",","&amp;SanitizeInput($J31))</f>
        <v/>
      </c>
      <c r="Y31" s="9" t="b" cm="1">
        <f t="array" aca="1" ref="Y31" ca="1">INDEX('Attack Steps'!$AE:$AE,$R31)</f>
        <v>0</v>
      </c>
      <c r="Z31" s="9" cm="1">
        <f t="array" aca="1" ref="Z31" ca="1">CreateID($Z$2,IFERROR(FIND(Definitions!$AR$4,$O31)&gt;0,FALSE))</f>
        <v>0</v>
      </c>
      <c r="AA31" s="9">
        <f>_xlfn.LET(
_xlpm._comment,$O31,
_xlpm._keyWord,Definitions!$AR$4,
_xlpm._diffLen,LEN(_xlpm._comment)-LEN(SUBSTITUTE(_xlpm._comment,_xlpm._keyWord,"")),
_xlpm._diffLen/LEN(_xlpm._keyWord))</f>
        <v>0</v>
      </c>
      <c r="AB31" s="9" cm="1">
        <f t="array" aca="1" ref="AB31" ca="1">CreateID($AB$2,IFERROR(FIND(Definitions!$AR$5,$O31)&gt;0,FALSE))</f>
        <v>0</v>
      </c>
      <c r="AC31" s="9">
        <f>_xlfn.LET(
_xlpm._comment,$O31,
_xlpm._keyWord,Definitions!$AR$5,
_xlpm._diffLen,LEN(_xlpm._comment)-LEN(SUBSTITUTE(_xlpm._comment,_xlpm._keyWord,"")),
_xlpm._diffLen/LEN(_xlpm._keyWord))</f>
        <v>0</v>
      </c>
      <c r="AD31" s="9" t="str" cm="1">
        <f t="array" ref="AD31">CreateSearchString($J31)</f>
        <v/>
      </c>
      <c r="AE31" s="9" t="str" cm="1">
        <f t="array" aca="1" ref="AE31" ca="1">_xlfn.LET(
_xlpm._selected,SanitizeInput($J31),
_xlpm._catalogOptions,SanitizeInput($F31)&amp;SanitizeInput($G31)&amp;SanitizeInput($H31),
_xlpm._selectedNotInOptions,FilterElementsFromList(_xlpm._selected,_xlpm._catalogOptions,FALSE,","),
IF(_xlpm._selectedNotInOptions="","",$A31&amp;" "&amp;$B31&amp;": "&amp;SUBSTITUTE(RemoveDelimiter(_xlpm._selectedNotInOptions,","),",",", ")))</f>
        <v/>
      </c>
      <c r="AF31" s="9" cm="1">
        <f t="array" aca="1" ref="AF31" ca="1">CreateID($AF$2,$AE31&lt;&gt;"")</f>
        <v>0</v>
      </c>
      <c r="AG31" s="9" t="str" cm="1">
        <f t="array" aca="1" ref="AG31" ca="1">_xlfn.LET(
_xlpm._delimiter,","&amp;CHAR(10),
_xlpm._assumptions,ParseAllMitigationsFromComment($A31,"-","A",$O31,Definitions!$AR$4,Definitions!$AS$4,Definitions!$AR$6,_xlpm._delimiter,1),
_xlpm._countermeasures,ParseAllMitigationsFromComment($A31,"-","C",$O31,Definitions!$AR$5,Definitions!$AS$5,Definitions!$AR$6,_xlpm._delimiter,1),
IF(_xlpm._countermeasures="",RemoveDelimiter(_xlpm._assumptions,_xlpm._delimiter),_xlpm._assumptions&amp;RemoveDelimiter(_xlpm._countermeasures,_xlpm._delimiter)))</f>
        <v/>
      </c>
      <c r="AH31" s="9" t="str" cm="1">
        <f t="array" ref="AH31">CreateSearchString(SanitizeInput($J31)&amp;GetValuesIgnoreErrors(SanitizeInput($J31),Countermeasures!$A:$H,"",",",FALSE))</f>
        <v/>
      </c>
      <c r="AI31" s="9" t="str" cm="1">
        <f t="array" aca="1" ref="AI31" ca="1">IF(AND(IFERROR(FIND(","&amp;Countermeasures!$A$31&amp;",",$AH31)&gt;0,FALSE),Countermeasures!$AB$31=TRUE,SimpleLookup(Questions!$A$48,Questionnaire!$B:$D)=Definitions!$A$5),$A31&amp;" "&amp;$B31,"")</f>
        <v/>
      </c>
      <c r="AJ31" s="9" cm="1">
        <f t="array" aca="1" ref="AJ31" ca="1">CreateID($AJ$2,$AI31&lt;&gt;"")</f>
        <v>0</v>
      </c>
      <c r="AK31" s="9" t="str">
        <f t="shared" ca="1" si="2"/>
        <v/>
      </c>
      <c r="AL31" s="9" cm="1">
        <f t="array" aca="1" ref="AL31" ca="1">CreateID($AL$2,$AK31&lt;&gt;"")</f>
        <v>0</v>
      </c>
      <c r="AM31" s="9" t="str">
        <f t="shared" si="3"/>
        <v/>
      </c>
      <c r="AN31" s="9" cm="1">
        <f t="array" aca="1" ref="AN31" ca="1">CreateID($AN$2,$AM31&lt;&gt;"")</f>
        <v>0</v>
      </c>
    </row>
    <row r="32" spans="1:40" ht="60" x14ac:dyDescent="0.25">
      <c r="A32" s="13" t="str" cm="1">
        <f t="array" aca="1" ref="A32" ca="1">IF($R32=0,"",INDEX('Attack Steps'!A:A,$R32))</f>
        <v>AS30</v>
      </c>
      <c r="B32" s="13" t="str" cm="1">
        <f t="array" aca="1" ref="B32" ca="1">IF($R32=0,"",INDEX('Attack Steps'!B:B,$R32))</f>
        <v>Extracting information from a decommissioned or second-hand device's persistent memory</v>
      </c>
      <c r="C32" s="10">
        <f>3</f>
        <v>3</v>
      </c>
      <c r="D32" s="16" t="str" cm="1">
        <f t="array" aca="1" ref="D32" ca="1">_xlfn.LET(
_xlpm._displayLimit,$C32,
_xlpm._risks,$S32,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32" s="13" t="str" cm="1">
        <f t="array" aca="1" ref="E32" ca="1">_xlfn.LET(_xlpm._riskValue,CalculateMaxFromList($T32,0,Risks!$A:$Z),
INDEX(Definitions!$AE:$AE,MATCH(_xlpm._riskValue,Definitions!$AF:$AF,0)))</f>
        <v>No Risk</v>
      </c>
      <c r="F32" s="13" t="str" cm="1">
        <f t="array" aca="1" ref="F32" ca="1">IF($A32="","",SUBSTITUTE(RemoveDelimiter(SanitizeInput(SimpleLookup($A32,'Attack Steps'!$A:$AA)),","),",",", "))</f>
        <v>C17, CM4</v>
      </c>
      <c r="G32" s="13" t="str" cm="1">
        <f t="array" aca="1" ref="G32" ca="1">IF($A32="","",SUBSTITUTE(RemoveDelimiter(SanitizeInput(SimpleLookup($A32,'Attack Steps'!$A:$AB)),","),",",", "))</f>
        <v/>
      </c>
      <c r="H32" s="55" t="str" cm="1">
        <f t="array" aca="1" ref="H32" ca="1">IF($A32="","",_xlfn.LET(
_xlpm._proposedActive,SanitizeInput($G32),
_xlpm._proposedAll,SimpleLookup($A32,'Attack Steps'!$A:$AC),
_xlpm._proposedDiff,FilterElementsFromList(_xlpm._proposedAll,_xlpm._proposedActive,FALSE,","),
SUBSTITUTE(RemoveDelimiter(SanitizeInput(_xlpm._proposedDiff),","),",",", ")))</f>
        <v/>
      </c>
      <c r="I32" s="13" t="str" cm="1">
        <f t="array" aca="1" ref="I32" ca="1">RemoveDelimiter(GetValuesWithFallback(SanitizeInput($F32)&amp;SanitizeInput($G32)&amp;SanitizeInput($H32),Countermeasures!$A:$B,Assumptions!$A:$B," ",","&amp;CHAR(10),TRUE),","&amp;CHAR(10))</f>
        <v>C17 CR 4.2 – Information persistence,
CM4 SCR 2.2 - Hardware based Storage Encryption</v>
      </c>
      <c r="J32" s="10"/>
      <c r="K32" s="13" t="str" cm="1">
        <f t="array" ref="K32">RemoveDelimiter(GetValuesWithFallback(SanitizeInput($J32),Countermeasures!$A:$B,Assumptions!$A:$B," ",","&amp;CHAR(10),TRUE),","&amp;CHAR(10))</f>
        <v/>
      </c>
      <c r="L32" s="10">
        <f>3</f>
        <v>3</v>
      </c>
      <c r="M32" s="16" t="str" cm="1">
        <f t="array" aca="1" ref="M32" ca="1">_xlfn.LET(
_xlpm._displayLimit,$L32,
_xlpm._risks,$V32,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32" s="13" t="str">
        <f ca="1">INDEX(Definitions!$AE:$AE,MATCH($W32,Definitions!$AF:$AF,0))</f>
        <v>No Risk</v>
      </c>
      <c r="O32" s="10"/>
      <c r="P32" s="9" cm="1">
        <f t="array" aca="1" ref="P32" ca="1">CreateID($P$2,$A32&lt;&gt;"")</f>
        <v>30</v>
      </c>
      <c r="Q32" s="9" cm="1">
        <f t="array" ref="Q32">CreateTaskID($Q$2,$Q:$Q,Tasks!$B$17,$O32)</f>
        <v>0</v>
      </c>
      <c r="R32" s="9">
        <f ca="1">IFERROR(MATCH(ROW()-ROW($R$2),'Attack Steps'!$R:$R,0),0)</f>
        <v>32</v>
      </c>
      <c r="S32" s="9" t="str" cm="1">
        <f t="array" aca="1" ref="S32" ca="1">CalculateMaxAndElements($T32,0,"",Risks!$A:$Z)</f>
        <v>0:</v>
      </c>
      <c r="T32" s="9" t="str" cm="1">
        <f t="array" aca="1" ref="T32" ca="1">InverseLookup($A32,Risks!$Y$2,Risks!$A$2,1,Helper!$B$1,",")</f>
        <v/>
      </c>
      <c r="U32" s="9" t="str">
        <f t="shared" ca="1" si="8"/>
        <v/>
      </c>
      <c r="V32" s="9" t="str" cm="1">
        <f t="array" aca="1" ref="V32" ca="1">CalculateMaxAndElements($T32,0,"",Risks!$A:$AG)</f>
        <v>0:</v>
      </c>
      <c r="W32" s="9">
        <f t="shared" ca="1" si="9"/>
        <v>0</v>
      </c>
      <c r="X32" s="9" t="str" cm="1">
        <f t="array" ref="X32">IF($J32="","",","&amp;SanitizeInput($J32))</f>
        <v/>
      </c>
      <c r="Y32" s="9" t="b" cm="1">
        <f t="array" aca="1" ref="Y32" ca="1">INDEX('Attack Steps'!$AE:$AE,$R32)</f>
        <v>0</v>
      </c>
      <c r="Z32" s="9" cm="1">
        <f t="array" aca="1" ref="Z32" ca="1">CreateID($Z$2,IFERROR(FIND(Definitions!$AR$4,$O32)&gt;0,FALSE))</f>
        <v>0</v>
      </c>
      <c r="AA32" s="9">
        <f>_xlfn.LET(
_xlpm._comment,$O32,
_xlpm._keyWord,Definitions!$AR$4,
_xlpm._diffLen,LEN(_xlpm._comment)-LEN(SUBSTITUTE(_xlpm._comment,_xlpm._keyWord,"")),
_xlpm._diffLen/LEN(_xlpm._keyWord))</f>
        <v>0</v>
      </c>
      <c r="AB32" s="9" cm="1">
        <f t="array" aca="1" ref="AB32" ca="1">CreateID($AB$2,IFERROR(FIND(Definitions!$AR$5,$O32)&gt;0,FALSE))</f>
        <v>0</v>
      </c>
      <c r="AC32" s="9">
        <f>_xlfn.LET(
_xlpm._comment,$O32,
_xlpm._keyWord,Definitions!$AR$5,
_xlpm._diffLen,LEN(_xlpm._comment)-LEN(SUBSTITUTE(_xlpm._comment,_xlpm._keyWord,"")),
_xlpm._diffLen/LEN(_xlpm._keyWord))</f>
        <v>0</v>
      </c>
      <c r="AD32" s="9" t="str" cm="1">
        <f t="array" ref="AD32">CreateSearchString($J32)</f>
        <v/>
      </c>
      <c r="AE32" s="9" t="str" cm="1">
        <f t="array" aca="1" ref="AE32" ca="1">_xlfn.LET(
_xlpm._selected,SanitizeInput($J32),
_xlpm._catalogOptions,SanitizeInput($F32)&amp;SanitizeInput($G32)&amp;SanitizeInput($H32),
_xlpm._selectedNotInOptions,FilterElementsFromList(_xlpm._selected,_xlpm._catalogOptions,FALSE,","),
IF(_xlpm._selectedNotInOptions="","",$A32&amp;" "&amp;$B32&amp;": "&amp;SUBSTITUTE(RemoveDelimiter(_xlpm._selectedNotInOptions,","),",",", ")))</f>
        <v/>
      </c>
      <c r="AF32" s="9" cm="1">
        <f t="array" aca="1" ref="AF32" ca="1">CreateID($AF$2,$AE32&lt;&gt;"")</f>
        <v>0</v>
      </c>
      <c r="AG32" s="9" t="str" cm="1">
        <f t="array" aca="1" ref="AG32" ca="1">_xlfn.LET(
_xlpm._delimiter,","&amp;CHAR(10),
_xlpm._assumptions,ParseAllMitigationsFromComment($A32,"-","A",$O32,Definitions!$AR$4,Definitions!$AS$4,Definitions!$AR$6,_xlpm._delimiter,1),
_xlpm._countermeasures,ParseAllMitigationsFromComment($A32,"-","C",$O32,Definitions!$AR$5,Definitions!$AS$5,Definitions!$AR$6,_xlpm._delimiter,1),
IF(_xlpm._countermeasures="",RemoveDelimiter(_xlpm._assumptions,_xlpm._delimiter),_xlpm._assumptions&amp;RemoveDelimiter(_xlpm._countermeasures,_xlpm._delimiter)))</f>
        <v/>
      </c>
      <c r="AH32" s="9" t="str" cm="1">
        <f t="array" ref="AH32">CreateSearchString(SanitizeInput($J32)&amp;GetValuesIgnoreErrors(SanitizeInput($J32),Countermeasures!$A:$H,"",",",FALSE))</f>
        <v/>
      </c>
      <c r="AI32" s="9" t="str" cm="1">
        <f t="array" aca="1" ref="AI32" ca="1">IF(AND(IFERROR(FIND(","&amp;Countermeasures!$A$31&amp;",",$AH32)&gt;0,FALSE),Countermeasures!$AB$31=TRUE,SimpleLookup(Questions!$A$48,Questionnaire!$B:$D)=Definitions!$A$5),$A32&amp;" "&amp;$B32,"")</f>
        <v/>
      </c>
      <c r="AJ32" s="9" cm="1">
        <f t="array" aca="1" ref="AJ32" ca="1">CreateID($AJ$2,$AI32&lt;&gt;"")</f>
        <v>0</v>
      </c>
      <c r="AK32" s="9" t="str">
        <f t="shared" ca="1" si="2"/>
        <v/>
      </c>
      <c r="AL32" s="9" cm="1">
        <f t="array" aca="1" ref="AL32" ca="1">CreateID($AL$2,$AK32&lt;&gt;"")</f>
        <v>0</v>
      </c>
      <c r="AM32" s="9" t="str">
        <f t="shared" si="3"/>
        <v/>
      </c>
      <c r="AN32" s="9" cm="1">
        <f t="array" aca="1" ref="AN32" ca="1">CreateID($AN$2,$AM32&lt;&gt;"")</f>
        <v>0</v>
      </c>
    </row>
    <row r="33" spans="1:40" ht="60" x14ac:dyDescent="0.25">
      <c r="A33" s="13" t="str" cm="1">
        <f t="array" aca="1" ref="A33" ca="1">IF($R33=0,"",INDEX('Attack Steps'!A:A,$R33))</f>
        <v>AS31</v>
      </c>
      <c r="B33" s="13" t="str" cm="1">
        <f t="array" aca="1" ref="B33" ca="1">IF($R33=0,"",INDEX('Attack Steps'!B:B,$R33))</f>
        <v>Attacking a customer network from another customer network via the product's internal gateway</v>
      </c>
      <c r="C33" s="10">
        <f>3</f>
        <v>3</v>
      </c>
      <c r="D33" s="16" t="str" cm="1">
        <f t="array" aca="1" ref="D33" ca="1">_xlfn.LET(
_xlpm._displayLimit,$C33,
_xlpm._risks,$S33,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33" s="13" t="str" cm="1">
        <f t="array" aca="1" ref="E33" ca="1">_xlfn.LET(_xlpm._riskValue,CalculateMaxFromList($T33,0,Risks!$A:$Z),
INDEX(Definitions!$AE:$AE,MATCH(_xlpm._riskValue,Definitions!$AF:$AF,0)))</f>
        <v>No Risk</v>
      </c>
      <c r="F33" s="13" t="str" cm="1">
        <f t="array" aca="1" ref="F33" ca="1">IF($A33="","",SUBSTITUTE(RemoveDelimiter(SanitizeInput(SimpleLookup($A33,'Attack Steps'!$A:$AA)),","),",",", "))</f>
        <v>CM1</v>
      </c>
      <c r="G33" s="13" t="str" cm="1">
        <f t="array" aca="1" ref="G33" ca="1">IF($A33="","",SUBSTITUTE(RemoveDelimiter(SanitizeInput(SimpleLookup($A33,'Attack Steps'!$A:$AB)),","),",",", "))</f>
        <v/>
      </c>
      <c r="H33" s="55" t="str" cm="1">
        <f t="array" aca="1" ref="H33" ca="1">IF($A33="","",_xlfn.LET(
_xlpm._proposedActive,SanitizeInput($G33),
_xlpm._proposedAll,SimpleLookup($A33,'Attack Steps'!$A:$AC),
_xlpm._proposedDiff,FilterElementsFromList(_xlpm._proposedAll,_xlpm._proposedActive,FALSE,","),
SUBSTITUTE(RemoveDelimiter(SanitizeInput(_xlpm._proposedDiff),","),",",", ")))</f>
        <v/>
      </c>
      <c r="I33" s="13" t="str" cm="1">
        <f t="array" aca="1" ref="I33" ca="1">RemoveDelimiter(GetValuesWithFallback(SanitizeInput($F33)&amp;SanitizeInput($G33)&amp;SanitizeInput($H33),Countermeasures!$A:$B,Assumptions!$A:$B," ",","&amp;CHAR(10),TRUE),","&amp;CHAR(10))</f>
        <v>CM1 SCR 2.1 - Device Firewall</v>
      </c>
      <c r="J33" s="10"/>
      <c r="K33" s="13" t="str" cm="1">
        <f t="array" ref="K33">RemoveDelimiter(GetValuesWithFallback(SanitizeInput($J33),Countermeasures!$A:$B,Assumptions!$A:$B," ",","&amp;CHAR(10),TRUE),","&amp;CHAR(10))</f>
        <v/>
      </c>
      <c r="L33" s="10">
        <f>3</f>
        <v>3</v>
      </c>
      <c r="M33" s="16" t="str" cm="1">
        <f t="array" aca="1" ref="M33" ca="1">_xlfn.LET(
_xlpm._displayLimit,$L33,
_xlpm._risks,$V33,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33" s="13" t="str">
        <f ca="1">INDEX(Definitions!$AE:$AE,MATCH($W33,Definitions!$AF:$AF,0))</f>
        <v>No Risk</v>
      </c>
      <c r="O33" s="10"/>
      <c r="P33" s="9" cm="1">
        <f t="array" aca="1" ref="P33" ca="1">CreateID($P$2,$A33&lt;&gt;"")</f>
        <v>31</v>
      </c>
      <c r="Q33" s="9" cm="1">
        <f t="array" ref="Q33">CreateTaskID($Q$2,$Q:$Q,Tasks!$B$17,$O33)</f>
        <v>0</v>
      </c>
      <c r="R33" s="9">
        <f ca="1">IFERROR(MATCH(ROW()-ROW($R$2),'Attack Steps'!$R:$R,0),0)</f>
        <v>33</v>
      </c>
      <c r="S33" s="9" t="str" cm="1">
        <f t="array" aca="1" ref="S33" ca="1">CalculateMaxAndElements($T33,0,"",Risks!$A:$Z)</f>
        <v>0:</v>
      </c>
      <c r="T33" s="9" t="str" cm="1">
        <f t="array" aca="1" ref="T33" ca="1">InverseLookup($A33,Risks!$Y$2,Risks!$A$2,1,Helper!$B$1,",")</f>
        <v/>
      </c>
      <c r="U33" s="9" t="str">
        <f t="shared" ca="1" si="8"/>
        <v/>
      </c>
      <c r="V33" s="9" t="str" cm="1">
        <f t="array" aca="1" ref="V33" ca="1">CalculateMaxAndElements($T33,0,"",Risks!$A:$AG)</f>
        <v>0:</v>
      </c>
      <c r="W33" s="9">
        <f t="shared" ca="1" si="9"/>
        <v>0</v>
      </c>
      <c r="X33" s="9" t="str" cm="1">
        <f t="array" ref="X33">IF($J33="","",","&amp;SanitizeInput($J33))</f>
        <v/>
      </c>
      <c r="Y33" s="9" t="b" cm="1">
        <f t="array" aca="1" ref="Y33" ca="1">INDEX('Attack Steps'!$AE:$AE,$R33)</f>
        <v>0</v>
      </c>
      <c r="Z33" s="9" cm="1">
        <f t="array" aca="1" ref="Z33" ca="1">CreateID($Z$2,IFERROR(FIND(Definitions!$AR$4,$O33)&gt;0,FALSE))</f>
        <v>0</v>
      </c>
      <c r="AA33" s="9">
        <f>_xlfn.LET(
_xlpm._comment,$O33,
_xlpm._keyWord,Definitions!$AR$4,
_xlpm._diffLen,LEN(_xlpm._comment)-LEN(SUBSTITUTE(_xlpm._comment,_xlpm._keyWord,"")),
_xlpm._diffLen/LEN(_xlpm._keyWord))</f>
        <v>0</v>
      </c>
      <c r="AB33" s="9" cm="1">
        <f t="array" aca="1" ref="AB33" ca="1">CreateID($AB$2,IFERROR(FIND(Definitions!$AR$5,$O33)&gt;0,FALSE))</f>
        <v>0</v>
      </c>
      <c r="AC33" s="9">
        <f>_xlfn.LET(
_xlpm._comment,$O33,
_xlpm._keyWord,Definitions!$AR$5,
_xlpm._diffLen,LEN(_xlpm._comment)-LEN(SUBSTITUTE(_xlpm._comment,_xlpm._keyWord,"")),
_xlpm._diffLen/LEN(_xlpm._keyWord))</f>
        <v>0</v>
      </c>
      <c r="AD33" s="9" t="str" cm="1">
        <f t="array" ref="AD33">CreateSearchString($J33)</f>
        <v/>
      </c>
      <c r="AE33" s="9" t="str" cm="1">
        <f t="array" aca="1" ref="AE33" ca="1">_xlfn.LET(
_xlpm._selected,SanitizeInput($J33),
_xlpm._catalogOptions,SanitizeInput($F33)&amp;SanitizeInput($G33)&amp;SanitizeInput($H33),
_xlpm._selectedNotInOptions,FilterElementsFromList(_xlpm._selected,_xlpm._catalogOptions,FALSE,","),
IF(_xlpm._selectedNotInOptions="","",$A33&amp;" "&amp;$B33&amp;": "&amp;SUBSTITUTE(RemoveDelimiter(_xlpm._selectedNotInOptions,","),",",", ")))</f>
        <v/>
      </c>
      <c r="AF33" s="9" cm="1">
        <f t="array" aca="1" ref="AF33" ca="1">CreateID($AF$2,$AE33&lt;&gt;"")</f>
        <v>0</v>
      </c>
      <c r="AG33" s="9" t="str" cm="1">
        <f t="array" aca="1" ref="AG33" ca="1">_xlfn.LET(
_xlpm._delimiter,","&amp;CHAR(10),
_xlpm._assumptions,ParseAllMitigationsFromComment($A33,"-","A",$O33,Definitions!$AR$4,Definitions!$AS$4,Definitions!$AR$6,_xlpm._delimiter,1),
_xlpm._countermeasures,ParseAllMitigationsFromComment($A33,"-","C",$O33,Definitions!$AR$5,Definitions!$AS$5,Definitions!$AR$6,_xlpm._delimiter,1),
IF(_xlpm._countermeasures="",RemoveDelimiter(_xlpm._assumptions,_xlpm._delimiter),_xlpm._assumptions&amp;RemoveDelimiter(_xlpm._countermeasures,_xlpm._delimiter)))</f>
        <v/>
      </c>
      <c r="AH33" s="9" t="str" cm="1">
        <f t="array" ref="AH33">CreateSearchString(SanitizeInput($J33)&amp;GetValuesIgnoreErrors(SanitizeInput($J33),Countermeasures!$A:$H,"",",",FALSE))</f>
        <v/>
      </c>
      <c r="AI33" s="9" t="str" cm="1">
        <f t="array" aca="1" ref="AI33" ca="1">IF(AND(IFERROR(FIND(","&amp;Countermeasures!$A$31&amp;",",$AH33)&gt;0,FALSE),Countermeasures!$AB$31=TRUE,SimpleLookup(Questions!$A$48,Questionnaire!$B:$D)=Definitions!$A$5),$A33&amp;" "&amp;$B33,"")</f>
        <v/>
      </c>
      <c r="AJ33" s="9" cm="1">
        <f t="array" aca="1" ref="AJ33" ca="1">CreateID($AJ$2,$AI33&lt;&gt;"")</f>
        <v>0</v>
      </c>
      <c r="AK33" s="9" t="str">
        <f t="shared" ca="1" si="2"/>
        <v/>
      </c>
      <c r="AL33" s="9" cm="1">
        <f t="array" aca="1" ref="AL33" ca="1">CreateID($AL$2,$AK33&lt;&gt;"")</f>
        <v>0</v>
      </c>
      <c r="AM33" s="9" t="str">
        <f t="shared" si="3"/>
        <v/>
      </c>
      <c r="AN33" s="9" cm="1">
        <f t="array" aca="1" ref="AN33" ca="1">CreateID($AN$2,$AM33&lt;&gt;"")</f>
        <v>0</v>
      </c>
    </row>
    <row r="34" spans="1:40" ht="30" x14ac:dyDescent="0.25">
      <c r="A34" s="13" t="str" cm="1">
        <f t="array" aca="1" ref="A34" ca="1">IF($R34=0,"",INDEX('Attack Steps'!A:A,$R34))</f>
        <v>AS32</v>
      </c>
      <c r="B34" s="13" t="str" cm="1">
        <f t="array" aca="1" ref="B34" ca="1">IF($R34=0,"",INDEX('Attack Steps'!B:B,$R34))</f>
        <v>Extracting or misusing &lt;&lt; OEM Name &gt;&gt; IP</v>
      </c>
      <c r="C34" s="10">
        <f>3</f>
        <v>3</v>
      </c>
      <c r="D34" s="16" t="str" cm="1">
        <f t="array" aca="1" ref="D34" ca="1">_xlfn.LET(
_xlpm._displayLimit,$C34,
_xlpm._risks,$S34,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34" s="13" t="str" cm="1">
        <f t="array" aca="1" ref="E34" ca="1">_xlfn.LET(_xlpm._riskValue,CalculateMaxFromList($T34,0,Risks!$A:$Z),
INDEX(Definitions!$AE:$AE,MATCH(_xlpm._riskValue,Definitions!$AF:$AF,0)))</f>
        <v>No Risk</v>
      </c>
      <c r="F34" s="13" t="str" cm="1">
        <f t="array" aca="1" ref="F34" ca="1">IF($A34="","",SUBSTITUTE(RemoveDelimiter(SanitizeInput(SimpleLookup($A34,'Attack Steps'!$A:$AA)),","),",",", "))</f>
        <v>CM3, CM18</v>
      </c>
      <c r="G34" s="13" t="str" cm="1">
        <f t="array" aca="1" ref="G34" ca="1">IF($A34="","",SUBSTITUTE(RemoveDelimiter(SanitizeInput(SimpleLookup($A34,'Attack Steps'!$A:$AB)),","),",",", "))</f>
        <v/>
      </c>
      <c r="H34" s="55" t="str" cm="1">
        <f t="array" aca="1" ref="H34" ca="1">IF($A34="","",_xlfn.LET(
_xlpm._proposedActive,SanitizeInput($G34),
_xlpm._proposedAll,SimpleLookup($A34,'Attack Steps'!$A:$AC),
_xlpm._proposedDiff,FilterElementsFromList(_xlpm._proposedAll,_xlpm._proposedActive,FALSE,","),
SUBSTITUTE(RemoveDelimiter(SanitizeInput(_xlpm._proposedDiff),","),",",", ")))</f>
        <v/>
      </c>
      <c r="I34" s="13" t="str" cm="1">
        <f t="array" aca="1" ref="I34" ca="1">RemoveDelimiter(GetValuesWithFallback(SanitizeInput($F34)&amp;SanitizeInput($G34)&amp;SanitizeInput($H34),Countermeasures!$A:$B,Assumptions!$A:$B," ",","&amp;CHAR(10),TRUE),","&amp;CHAR(10))</f>
        <v>CM3 SCR 2.8 - Obfuscation,
CM18 SCR 2.15 - Patents</v>
      </c>
      <c r="J34" s="10"/>
      <c r="K34" s="13" t="str" cm="1">
        <f t="array" ref="K34">RemoveDelimiter(GetValuesWithFallback(SanitizeInput($J34),Countermeasures!$A:$B,Assumptions!$A:$B," ",","&amp;CHAR(10),TRUE),","&amp;CHAR(10))</f>
        <v/>
      </c>
      <c r="L34" s="10">
        <f>3</f>
        <v>3</v>
      </c>
      <c r="M34" s="16" t="str" cm="1">
        <f t="array" aca="1" ref="M34" ca="1">_xlfn.LET(
_xlpm._displayLimit,$L34,
_xlpm._risks,$V34,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34" s="13" t="str">
        <f ca="1">INDEX(Definitions!$AE:$AE,MATCH($W34,Definitions!$AF:$AF,0))</f>
        <v>No Risk</v>
      </c>
      <c r="O34" s="10"/>
      <c r="P34" s="9" cm="1">
        <f t="array" aca="1" ref="P34" ca="1">CreateID($P$2,$A34&lt;&gt;"")</f>
        <v>32</v>
      </c>
      <c r="Q34" s="9" cm="1">
        <f t="array" ref="Q34">CreateTaskID($Q$2,$Q:$Q,Tasks!$B$17,$O34)</f>
        <v>0</v>
      </c>
      <c r="R34" s="9">
        <f ca="1">IFERROR(MATCH(ROW()-ROW($R$2),'Attack Steps'!$R:$R,0),0)</f>
        <v>34</v>
      </c>
      <c r="S34" s="9" t="str" cm="1">
        <f t="array" aca="1" ref="S34" ca="1">CalculateMaxAndElements($T34,0,"",Risks!$A:$Z)</f>
        <v>0:</v>
      </c>
      <c r="T34" s="9" t="str" cm="1">
        <f t="array" aca="1" ref="T34" ca="1">InverseLookup($A34,Risks!$Y$2,Risks!$A$2,1,Helper!$B$1,",")</f>
        <v/>
      </c>
      <c r="U34" s="9" t="str">
        <f t="shared" ca="1" si="8"/>
        <v/>
      </c>
      <c r="V34" s="9" t="str" cm="1">
        <f t="array" aca="1" ref="V34" ca="1">CalculateMaxAndElements($T34,0,"",Risks!$A:$AG)</f>
        <v>0:</v>
      </c>
      <c r="W34" s="9">
        <f t="shared" ca="1" si="9"/>
        <v>0</v>
      </c>
      <c r="X34" s="9" t="str" cm="1">
        <f t="array" ref="X34">IF($J34="","",","&amp;SanitizeInput($J34))</f>
        <v/>
      </c>
      <c r="Y34" s="9" t="b" cm="1">
        <f t="array" aca="1" ref="Y34" ca="1">INDEX('Attack Steps'!$AE:$AE,$R34)</f>
        <v>0</v>
      </c>
      <c r="Z34" s="9" cm="1">
        <f t="array" aca="1" ref="Z34" ca="1">CreateID($Z$2,IFERROR(FIND(Definitions!$AR$4,$O34)&gt;0,FALSE))</f>
        <v>0</v>
      </c>
      <c r="AA34" s="9">
        <f>_xlfn.LET(
_xlpm._comment,$O34,
_xlpm._keyWord,Definitions!$AR$4,
_xlpm._diffLen,LEN(_xlpm._comment)-LEN(SUBSTITUTE(_xlpm._comment,_xlpm._keyWord,"")),
_xlpm._diffLen/LEN(_xlpm._keyWord))</f>
        <v>0</v>
      </c>
      <c r="AB34" s="9" cm="1">
        <f t="array" aca="1" ref="AB34" ca="1">CreateID($AB$2,IFERROR(FIND(Definitions!$AR$5,$O34)&gt;0,FALSE))</f>
        <v>0</v>
      </c>
      <c r="AC34" s="9">
        <f>_xlfn.LET(
_xlpm._comment,$O34,
_xlpm._keyWord,Definitions!$AR$5,
_xlpm._diffLen,LEN(_xlpm._comment)-LEN(SUBSTITUTE(_xlpm._comment,_xlpm._keyWord,"")),
_xlpm._diffLen/LEN(_xlpm._keyWord))</f>
        <v>0</v>
      </c>
      <c r="AD34" s="9" t="str" cm="1">
        <f t="array" ref="AD34">CreateSearchString($J34)</f>
        <v/>
      </c>
      <c r="AE34" s="9" t="str" cm="1">
        <f t="array" aca="1" ref="AE34" ca="1">_xlfn.LET(
_xlpm._selected,SanitizeInput($J34),
_xlpm._catalogOptions,SanitizeInput($F34)&amp;SanitizeInput($G34)&amp;SanitizeInput($H34),
_xlpm._selectedNotInOptions,FilterElementsFromList(_xlpm._selected,_xlpm._catalogOptions,FALSE,","),
IF(_xlpm._selectedNotInOptions="","",$A34&amp;" "&amp;$B34&amp;": "&amp;SUBSTITUTE(RemoveDelimiter(_xlpm._selectedNotInOptions,","),",",", ")))</f>
        <v/>
      </c>
      <c r="AF34" s="9" cm="1">
        <f t="array" aca="1" ref="AF34" ca="1">CreateID($AF$2,$AE34&lt;&gt;"")</f>
        <v>0</v>
      </c>
      <c r="AG34" s="9" t="str" cm="1">
        <f t="array" aca="1" ref="AG34" ca="1">_xlfn.LET(
_xlpm._delimiter,","&amp;CHAR(10),
_xlpm._assumptions,ParseAllMitigationsFromComment($A34,"-","A",$O34,Definitions!$AR$4,Definitions!$AS$4,Definitions!$AR$6,_xlpm._delimiter,1),
_xlpm._countermeasures,ParseAllMitigationsFromComment($A34,"-","C",$O34,Definitions!$AR$5,Definitions!$AS$5,Definitions!$AR$6,_xlpm._delimiter,1),
IF(_xlpm._countermeasures="",RemoveDelimiter(_xlpm._assumptions,_xlpm._delimiter),_xlpm._assumptions&amp;RemoveDelimiter(_xlpm._countermeasures,_xlpm._delimiter)))</f>
        <v/>
      </c>
      <c r="AH34" s="9" t="str" cm="1">
        <f t="array" ref="AH34">CreateSearchString(SanitizeInput($J34)&amp;GetValuesIgnoreErrors(SanitizeInput($J34),Countermeasures!$A:$H,"",",",FALSE))</f>
        <v/>
      </c>
      <c r="AI34" s="9" t="str" cm="1">
        <f t="array" aca="1" ref="AI34" ca="1">IF(AND(IFERROR(FIND(","&amp;Countermeasures!$A$31&amp;",",$AH34)&gt;0,FALSE),Countermeasures!$AB$31=TRUE,SimpleLookup(Questions!$A$48,Questionnaire!$B:$D)=Definitions!$A$5),$A34&amp;" "&amp;$B34,"")</f>
        <v/>
      </c>
      <c r="AJ34" s="9" cm="1">
        <f t="array" aca="1" ref="AJ34" ca="1">CreateID($AJ$2,$AI34&lt;&gt;"")</f>
        <v>0</v>
      </c>
      <c r="AK34" s="9" t="str">
        <f t="shared" ca="1" si="2"/>
        <v/>
      </c>
      <c r="AL34" s="9" cm="1">
        <f t="array" aca="1" ref="AL34" ca="1">CreateID($AL$2,$AK34&lt;&gt;"")</f>
        <v>0</v>
      </c>
      <c r="AM34" s="9" t="str">
        <f t="shared" si="3"/>
        <v/>
      </c>
      <c r="AN34" s="9" cm="1">
        <f t="array" aca="1" ref="AN34" ca="1">CreateID($AN$2,$AM34&lt;&gt;"")</f>
        <v>0</v>
      </c>
    </row>
    <row r="35" spans="1:40" ht="60" x14ac:dyDescent="0.25">
      <c r="A35" s="13" t="str" cm="1">
        <f t="array" aca="1" ref="A35" ca="1">IF($R35=0,"",INDEX('Attack Steps'!A:A,$R35))</f>
        <v>AS33</v>
      </c>
      <c r="B35" s="13" t="str" cm="1">
        <f t="array" aca="1" ref="B35" ca="1">IF($R35=0,"",INDEX('Attack Steps'!B:B,$R35))</f>
        <v>Disclosure of data by an untrusted entity receiving data from the product</v>
      </c>
      <c r="C35" s="10">
        <f>3</f>
        <v>3</v>
      </c>
      <c r="D35" s="16" t="str" cm="1">
        <f t="array" aca="1" ref="D35" ca="1">_xlfn.LET(
_xlpm._displayLimit,$C35,
_xlpm._risks,$S35,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35" s="13" t="str" cm="1">
        <f t="array" aca="1" ref="E35" ca="1">_xlfn.LET(_xlpm._riskValue,CalculateMaxFromList($T35,0,Risks!$A:$Z),
INDEX(Definitions!$AE:$AE,MATCH(_xlpm._riskValue,Definitions!$AF:$AF,0)))</f>
        <v>No Risk</v>
      </c>
      <c r="F35" s="13" t="str" cm="1">
        <f t="array" aca="1" ref="F35" ca="1">IF($A35="","",SUBSTITUTE(RemoveDelimiter(SanitizeInput(SimpleLookup($A35,'Attack Steps'!$A:$AA)),","),",",", "))</f>
        <v/>
      </c>
      <c r="G35" s="13" t="str" cm="1">
        <f t="array" aca="1" ref="G35" ca="1">IF($A35="","",SUBSTITUTE(RemoveDelimiter(SanitizeInput(SimpleLookup($A35,'Attack Steps'!$A:$AB)),","),",",", "))</f>
        <v/>
      </c>
      <c r="H35" s="55" t="str" cm="1">
        <f t="array" aca="1" ref="H35" ca="1">IF($A35="","",_xlfn.LET(
_xlpm._proposedActive,SanitizeInput($G35),
_xlpm._proposedAll,SimpleLookup($A35,'Attack Steps'!$A:$AC),
_xlpm._proposedDiff,FilterElementsFromList(_xlpm._proposedAll,_xlpm._proposedActive,FALSE,","),
SUBSTITUTE(RemoveDelimiter(SanitizeInput(_xlpm._proposedDiff),","),",",", ")))</f>
        <v>A25</v>
      </c>
      <c r="I35" s="13" t="str" cm="1">
        <f t="array" aca="1" ref="I35" ca="1">RemoveDelimiter(GetValuesWithFallback(SanitizeInput($F35)&amp;SanitizeInput($G35)&amp;SanitizeInput($H35),Countermeasures!$A:$B,Assumptions!$A:$B," ",","&amp;CHAR(10),TRUE),","&amp;CHAR(10))</f>
        <v>A25 SDR 1.22 - The product does not communicate any confidential data to an external communication partner</v>
      </c>
      <c r="J35" s="10"/>
      <c r="K35" s="13" t="str" cm="1">
        <f t="array" ref="K35">RemoveDelimiter(GetValuesWithFallback(SanitizeInput($J35),Countermeasures!$A:$B,Assumptions!$A:$B," ",","&amp;CHAR(10),TRUE),","&amp;CHAR(10))</f>
        <v/>
      </c>
      <c r="L35" s="10">
        <f>3</f>
        <v>3</v>
      </c>
      <c r="M35" s="16" t="str" cm="1">
        <f t="array" aca="1" ref="M35" ca="1">_xlfn.LET(
_xlpm._displayLimit,$L35,
_xlpm._risks,$V35,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35" s="13" t="str">
        <f ca="1">INDEX(Definitions!$AE:$AE,MATCH($W35,Definitions!$AF:$AF,0))</f>
        <v>No Risk</v>
      </c>
      <c r="O35" s="10"/>
      <c r="P35" s="9" cm="1">
        <f t="array" aca="1" ref="P35" ca="1">CreateID($P$2,$A35&lt;&gt;"")</f>
        <v>33</v>
      </c>
      <c r="Q35" s="9" cm="1">
        <f t="array" ref="Q35">CreateTaskID($Q$2,$Q:$Q,Tasks!$B$17,$O35)</f>
        <v>0</v>
      </c>
      <c r="R35" s="9">
        <f ca="1">IFERROR(MATCH(ROW()-ROW($R$2),'Attack Steps'!$R:$R,0),0)</f>
        <v>35</v>
      </c>
      <c r="S35" s="9" t="str" cm="1">
        <f t="array" aca="1" ref="S35" ca="1">CalculateMaxAndElements($T35,0,"",Risks!$A:$Z)</f>
        <v>0:</v>
      </c>
      <c r="T35" s="9" t="str" cm="1">
        <f t="array" aca="1" ref="T35" ca="1">InverseLookup($A35,Risks!$Y$2,Risks!$A$2,1,Helper!$B$1,",")</f>
        <v/>
      </c>
      <c r="U35" s="9" t="str">
        <f t="shared" ca="1" si="8"/>
        <v/>
      </c>
      <c r="V35" s="9" t="str" cm="1">
        <f t="array" aca="1" ref="V35" ca="1">CalculateMaxAndElements($T35,0,"",Risks!$A:$AG)</f>
        <v>0:</v>
      </c>
      <c r="W35" s="9">
        <f t="shared" ca="1" si="9"/>
        <v>0</v>
      </c>
      <c r="X35" s="9" t="str" cm="1">
        <f t="array" ref="X35">IF($J35="","",","&amp;SanitizeInput($J35))</f>
        <v/>
      </c>
      <c r="Y35" s="9" t="b" cm="1">
        <f t="array" aca="1" ref="Y35" ca="1">INDEX('Attack Steps'!$AE:$AE,$R35)</f>
        <v>0</v>
      </c>
      <c r="Z35" s="9" cm="1">
        <f t="array" aca="1" ref="Z35" ca="1">CreateID($Z$2,IFERROR(FIND(Definitions!$AR$4,$O35)&gt;0,FALSE))</f>
        <v>0</v>
      </c>
      <c r="AA35" s="9">
        <f>_xlfn.LET(
_xlpm._comment,$O35,
_xlpm._keyWord,Definitions!$AR$4,
_xlpm._diffLen,LEN(_xlpm._comment)-LEN(SUBSTITUTE(_xlpm._comment,_xlpm._keyWord,"")),
_xlpm._diffLen/LEN(_xlpm._keyWord))</f>
        <v>0</v>
      </c>
      <c r="AB35" s="9" cm="1">
        <f t="array" aca="1" ref="AB35" ca="1">CreateID($AB$2,IFERROR(FIND(Definitions!$AR$5,$O35)&gt;0,FALSE))</f>
        <v>0</v>
      </c>
      <c r="AC35" s="9">
        <f>_xlfn.LET(
_xlpm._comment,$O35,
_xlpm._keyWord,Definitions!$AR$5,
_xlpm._diffLen,LEN(_xlpm._comment)-LEN(SUBSTITUTE(_xlpm._comment,_xlpm._keyWord,"")),
_xlpm._diffLen/LEN(_xlpm._keyWord))</f>
        <v>0</v>
      </c>
      <c r="AD35" s="9" t="str" cm="1">
        <f t="array" ref="AD35">CreateSearchString($J35)</f>
        <v/>
      </c>
      <c r="AE35" s="9" t="str" cm="1">
        <f t="array" aca="1" ref="AE35" ca="1">_xlfn.LET(
_xlpm._selected,SanitizeInput($J35),
_xlpm._catalogOptions,SanitizeInput($F35)&amp;SanitizeInput($G35)&amp;SanitizeInput($H35),
_xlpm._selectedNotInOptions,FilterElementsFromList(_xlpm._selected,_xlpm._catalogOptions,FALSE,","),
IF(_xlpm._selectedNotInOptions="","",$A35&amp;" "&amp;$B35&amp;": "&amp;SUBSTITUTE(RemoveDelimiter(_xlpm._selectedNotInOptions,","),",",", ")))</f>
        <v/>
      </c>
      <c r="AF35" s="9" cm="1">
        <f t="array" aca="1" ref="AF35" ca="1">CreateID($AF$2,$AE35&lt;&gt;"")</f>
        <v>0</v>
      </c>
      <c r="AG35" s="9" t="str" cm="1">
        <f t="array" aca="1" ref="AG35" ca="1">_xlfn.LET(
_xlpm._delimiter,","&amp;CHAR(10),
_xlpm._assumptions,ParseAllMitigationsFromComment($A35,"-","A",$O35,Definitions!$AR$4,Definitions!$AS$4,Definitions!$AR$6,_xlpm._delimiter,1),
_xlpm._countermeasures,ParseAllMitigationsFromComment($A35,"-","C",$O35,Definitions!$AR$5,Definitions!$AS$5,Definitions!$AR$6,_xlpm._delimiter,1),
IF(_xlpm._countermeasures="",RemoveDelimiter(_xlpm._assumptions,_xlpm._delimiter),_xlpm._assumptions&amp;RemoveDelimiter(_xlpm._countermeasures,_xlpm._delimiter)))</f>
        <v/>
      </c>
      <c r="AH35" s="9" t="str" cm="1">
        <f t="array" ref="AH35">CreateSearchString(SanitizeInput($J35)&amp;GetValuesIgnoreErrors(SanitizeInput($J35),Countermeasures!$A:$H,"",",",FALSE))</f>
        <v/>
      </c>
      <c r="AI35" s="9" t="str" cm="1">
        <f t="array" aca="1" ref="AI35" ca="1">IF(AND(IFERROR(FIND(","&amp;Countermeasures!$A$31&amp;",",$AH35)&gt;0,FALSE),Countermeasures!$AB$31=TRUE,SimpleLookup(Questions!$A$48,Questionnaire!$B:$D)=Definitions!$A$5),$A35&amp;" "&amp;$B35,"")</f>
        <v/>
      </c>
      <c r="AJ35" s="9" cm="1">
        <f t="array" aca="1" ref="AJ35" ca="1">CreateID($AJ$2,$AI35&lt;&gt;"")</f>
        <v>0</v>
      </c>
      <c r="AK35" s="9" t="str">
        <f t="shared" ca="1" si="2"/>
        <v/>
      </c>
      <c r="AL35" s="9" cm="1">
        <f t="array" aca="1" ref="AL35" ca="1">CreateID($AL$2,$AK35&lt;&gt;"")</f>
        <v>0</v>
      </c>
      <c r="AM35" s="9" t="str">
        <f t="shared" si="3"/>
        <v/>
      </c>
      <c r="AN35" s="9" cm="1">
        <f t="array" aca="1" ref="AN35" ca="1">CreateID($AN$2,$AM35&lt;&gt;"")</f>
        <v>0</v>
      </c>
    </row>
    <row r="36" spans="1:40" ht="105" x14ac:dyDescent="0.25">
      <c r="A36" s="13" t="str" cm="1">
        <f t="array" aca="1" ref="A36" ca="1">IF($R36=0,"",INDEX('Attack Steps'!A:A,$R36))</f>
        <v>AS34</v>
      </c>
      <c r="B36" s="13" t="str" cm="1">
        <f t="array" aca="1" ref="B36" ca="1">IF($R36=0,"",INDEX('Attack Steps'!B:B,$R36))</f>
        <v>Attacking the product's outgoing communication to an external communication partner over the Internet or a mobile network</v>
      </c>
      <c r="C36" s="10">
        <f>3</f>
        <v>3</v>
      </c>
      <c r="D36" s="16" t="str" cm="1">
        <f t="array" aca="1" ref="D36" ca="1">_xlfn.LET(
_xlpm._displayLimit,$C36,
_xlpm._risks,$S36,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36" s="13" t="str" cm="1">
        <f t="array" aca="1" ref="E36" ca="1">_xlfn.LET(_xlpm._riskValue,CalculateMaxFromList($T36,0,Risks!$A:$Z),
INDEX(Definitions!$AE:$AE,MATCH(_xlpm._riskValue,Definitions!$AF:$AF,0)))</f>
        <v>No Risk</v>
      </c>
      <c r="F36" s="13" t="str" cm="1">
        <f t="array" aca="1" ref="F36" ca="1">IF($A36="","",SUBSTITUTE(RemoveDelimiter(SanitizeInput(SimpleLookup($A36,'Attack Steps'!$A:$AA)),","),",",", "))</f>
        <v>CM11</v>
      </c>
      <c r="G36" s="13" t="str" cm="1">
        <f t="array" aca="1" ref="G36" ca="1">IF($A36="","",SUBSTITUTE(RemoveDelimiter(SanitizeInput(SimpleLookup($A36,'Attack Steps'!$A:$AB)),","),",",", "))</f>
        <v/>
      </c>
      <c r="H36" s="55" t="str" cm="1">
        <f t="array" aca="1" ref="H36" ca="1">IF($A36="","",_xlfn.LET(
_xlpm._proposedActive,SanitizeInput($G36),
_xlpm._proposedAll,SimpleLookup($A36,'Attack Steps'!$A:$AC),
_xlpm._proposedDiff,FilterElementsFromList(_xlpm._proposedAll,_xlpm._proposedActive,FALSE,","),
SUBSTITUTE(RemoveDelimiter(SanitizeInput(_xlpm._proposedDiff),","),",",", ")))</f>
        <v>A26</v>
      </c>
      <c r="I36" s="13" t="str" cm="1">
        <f t="array" aca="1" ref="I36" ca="1">RemoveDelimiter(GetValuesWithFallback(SanitizeInput($F36)&amp;SanitizeInput($G36)&amp;SanitizeInput($H36),Countermeasures!$A:$B,Assumptions!$A:$B," ",","&amp;CHAR(10),TRUE),","&amp;CHAR(10))</f>
        <v>CM11 SCR 2.9 - Secure channel with communication partner authentication,
A26 SDR 1.23 - The product does not send any sensitive data to communication partners over the Internet or a mobile network</v>
      </c>
      <c r="J36" s="10"/>
      <c r="K36" s="13" t="str" cm="1">
        <f t="array" ref="K36">RemoveDelimiter(GetValuesWithFallback(SanitizeInput($J36),Countermeasures!$A:$B,Assumptions!$A:$B," ",","&amp;CHAR(10),TRUE),","&amp;CHAR(10))</f>
        <v/>
      </c>
      <c r="L36" s="10">
        <f>3</f>
        <v>3</v>
      </c>
      <c r="M36" s="16" t="str" cm="1">
        <f t="array" aca="1" ref="M36" ca="1">_xlfn.LET(
_xlpm._displayLimit,$L36,
_xlpm._risks,$V36,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36" s="13" t="str">
        <f ca="1">INDEX(Definitions!$AE:$AE,MATCH($W36,Definitions!$AF:$AF,0))</f>
        <v>No Risk</v>
      </c>
      <c r="O36" s="10"/>
      <c r="P36" s="9" cm="1">
        <f t="array" aca="1" ref="P36" ca="1">CreateID($P$2,$A36&lt;&gt;"")</f>
        <v>34</v>
      </c>
      <c r="Q36" s="9" cm="1">
        <f t="array" ref="Q36">CreateTaskID($Q$2,$Q:$Q,Tasks!$B$17,$O36)</f>
        <v>0</v>
      </c>
      <c r="R36" s="9">
        <f ca="1">IFERROR(MATCH(ROW()-ROW($R$2),'Attack Steps'!$R:$R,0),0)</f>
        <v>36</v>
      </c>
      <c r="S36" s="9" t="str" cm="1">
        <f t="array" aca="1" ref="S36" ca="1">CalculateMaxAndElements($T36,0,"",Risks!$A:$Z)</f>
        <v>0:</v>
      </c>
      <c r="T36" s="9" t="str" cm="1">
        <f t="array" aca="1" ref="T36" ca="1">InverseLookup($A36,Risks!$Y$2,Risks!$A$2,1,Helper!$B$1,",")</f>
        <v/>
      </c>
      <c r="U36" s="9" t="str">
        <f t="shared" ca="1" si="8"/>
        <v/>
      </c>
      <c r="V36" s="9" t="str" cm="1">
        <f t="array" aca="1" ref="V36" ca="1">CalculateMaxAndElements($T36,0,"",Risks!$A:$AG)</f>
        <v>0:</v>
      </c>
      <c r="W36" s="9">
        <f t="shared" ca="1" si="9"/>
        <v>0</v>
      </c>
      <c r="X36" s="9" t="str" cm="1">
        <f t="array" ref="X36">IF($J36="","",","&amp;SanitizeInput($J36))</f>
        <v/>
      </c>
      <c r="Y36" s="9" t="b" cm="1">
        <f t="array" aca="1" ref="Y36" ca="1">INDEX('Attack Steps'!$AE:$AE,$R36)</f>
        <v>0</v>
      </c>
      <c r="Z36" s="9" cm="1">
        <f t="array" aca="1" ref="Z36" ca="1">CreateID($Z$2,IFERROR(FIND(Definitions!$AR$4,$O36)&gt;0,FALSE))</f>
        <v>0</v>
      </c>
      <c r="AA36" s="9">
        <f>_xlfn.LET(
_xlpm._comment,$O36,
_xlpm._keyWord,Definitions!$AR$4,
_xlpm._diffLen,LEN(_xlpm._comment)-LEN(SUBSTITUTE(_xlpm._comment,_xlpm._keyWord,"")),
_xlpm._diffLen/LEN(_xlpm._keyWord))</f>
        <v>0</v>
      </c>
      <c r="AB36" s="9" cm="1">
        <f t="array" aca="1" ref="AB36" ca="1">CreateID($AB$2,IFERROR(FIND(Definitions!$AR$5,$O36)&gt;0,FALSE))</f>
        <v>0</v>
      </c>
      <c r="AC36" s="9">
        <f>_xlfn.LET(
_xlpm._comment,$O36,
_xlpm._keyWord,Definitions!$AR$5,
_xlpm._diffLen,LEN(_xlpm._comment)-LEN(SUBSTITUTE(_xlpm._comment,_xlpm._keyWord,"")),
_xlpm._diffLen/LEN(_xlpm._keyWord))</f>
        <v>0</v>
      </c>
      <c r="AD36" s="9" t="str" cm="1">
        <f t="array" ref="AD36">CreateSearchString($J36)</f>
        <v/>
      </c>
      <c r="AE36" s="9" t="str" cm="1">
        <f t="array" aca="1" ref="AE36" ca="1">_xlfn.LET(
_xlpm._selected,SanitizeInput($J36),
_xlpm._catalogOptions,SanitizeInput($F36)&amp;SanitizeInput($G36)&amp;SanitizeInput($H36),
_xlpm._selectedNotInOptions,FilterElementsFromList(_xlpm._selected,_xlpm._catalogOptions,FALSE,","),
IF(_xlpm._selectedNotInOptions="","",$A36&amp;" "&amp;$B36&amp;": "&amp;SUBSTITUTE(RemoveDelimiter(_xlpm._selectedNotInOptions,","),",",", ")))</f>
        <v/>
      </c>
      <c r="AF36" s="9" cm="1">
        <f t="array" aca="1" ref="AF36" ca="1">CreateID($AF$2,$AE36&lt;&gt;"")</f>
        <v>0</v>
      </c>
      <c r="AG36" s="9" t="str" cm="1">
        <f t="array" aca="1" ref="AG36" ca="1">_xlfn.LET(
_xlpm._delimiter,","&amp;CHAR(10),
_xlpm._assumptions,ParseAllMitigationsFromComment($A36,"-","A",$O36,Definitions!$AR$4,Definitions!$AS$4,Definitions!$AR$6,_xlpm._delimiter,1),
_xlpm._countermeasures,ParseAllMitigationsFromComment($A36,"-","C",$O36,Definitions!$AR$5,Definitions!$AS$5,Definitions!$AR$6,_xlpm._delimiter,1),
IF(_xlpm._countermeasures="",RemoveDelimiter(_xlpm._assumptions,_xlpm._delimiter),_xlpm._assumptions&amp;RemoveDelimiter(_xlpm._countermeasures,_xlpm._delimiter)))</f>
        <v/>
      </c>
      <c r="AH36" s="9" t="str" cm="1">
        <f t="array" ref="AH36">CreateSearchString(SanitizeInput($J36)&amp;GetValuesIgnoreErrors(SanitizeInput($J36),Countermeasures!$A:$H,"",",",FALSE))</f>
        <v/>
      </c>
      <c r="AI36" s="9" t="str" cm="1">
        <f t="array" aca="1" ref="AI36" ca="1">IF(AND(IFERROR(FIND(","&amp;Countermeasures!$A$31&amp;",",$AH36)&gt;0,FALSE),Countermeasures!$AB$31=TRUE,SimpleLookup(Questions!$A$48,Questionnaire!$B:$D)=Definitions!$A$5),$A36&amp;" "&amp;$B36,"")</f>
        <v/>
      </c>
      <c r="AJ36" s="9" cm="1">
        <f t="array" aca="1" ref="AJ36" ca="1">CreateID($AJ$2,$AI36&lt;&gt;"")</f>
        <v>0</v>
      </c>
      <c r="AK36" s="9" t="str">
        <f t="shared" ca="1" si="2"/>
        <v/>
      </c>
      <c r="AL36" s="9" cm="1">
        <f t="array" aca="1" ref="AL36" ca="1">CreateID($AL$2,$AK36&lt;&gt;"")</f>
        <v>0</v>
      </c>
      <c r="AM36" s="9" t="str">
        <f t="shared" si="3"/>
        <v/>
      </c>
      <c r="AN36" s="9" cm="1">
        <f t="array" aca="1" ref="AN36" ca="1">CreateID($AN$2,$AM36&lt;&gt;"")</f>
        <v>0</v>
      </c>
    </row>
    <row r="37" spans="1:40" ht="75" x14ac:dyDescent="0.25">
      <c r="A37" s="13" t="str" cm="1">
        <f t="array" aca="1" ref="A37" ca="1">IF($R37=0,"",INDEX('Attack Steps'!A:A,$R37))</f>
        <v>AS35</v>
      </c>
      <c r="B37" s="13" t="str" cm="1">
        <f t="array" aca="1" ref="B37" ca="1">IF($R37=0,"",INDEX('Attack Steps'!B:B,$R37))</f>
        <v>Disrupting the product's communication with an external entity (with communication over the Internet or a mobile network)</v>
      </c>
      <c r="C37" s="10">
        <f>3</f>
        <v>3</v>
      </c>
      <c r="D37" s="16" t="str" cm="1">
        <f t="array" aca="1" ref="D37" ca="1">_xlfn.LET(
_xlpm._displayLimit,$C37,
_xlpm._risks,$S37,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37" s="13" t="str" cm="1">
        <f t="array" aca="1" ref="E37" ca="1">_xlfn.LET(_xlpm._riskValue,CalculateMaxFromList($T37,0,Risks!$A:$Z),
INDEX(Definitions!$AE:$AE,MATCH(_xlpm._riskValue,Definitions!$AF:$AF,0)))</f>
        <v>No Risk</v>
      </c>
      <c r="F37" s="13" t="str" cm="1">
        <f t="array" aca="1" ref="F37" ca="1">IF($A37="","",SUBSTITUTE(RemoveDelimiter(SanitizeInput(SimpleLookup($A37,'Attack Steps'!$A:$AA)),","),",",", "))</f>
        <v/>
      </c>
      <c r="G37" s="13" t="str" cm="1">
        <f t="array" aca="1" ref="G37" ca="1">IF($A37="","",SUBSTITUTE(RemoveDelimiter(SanitizeInput(SimpleLookup($A37,'Attack Steps'!$A:$AB)),","),",",", "))</f>
        <v/>
      </c>
      <c r="H37" s="55" t="str" cm="1">
        <f t="array" aca="1" ref="H37" ca="1">IF($A37="","",_xlfn.LET(
_xlpm._proposedActive,SanitizeInput($G37),
_xlpm._proposedAll,SimpleLookup($A37,'Attack Steps'!$A:$AC),
_xlpm._proposedDiff,FilterElementsFromList(_xlpm._proposedAll,_xlpm._proposedActive,FALSE,","),
SUBSTITUTE(RemoveDelimiter(SanitizeInput(_xlpm._proposedDiff),","),",",", ")))</f>
        <v>A41</v>
      </c>
      <c r="I37" s="13" t="str" cm="1">
        <f t="array" aca="1" ref="I37" ca="1">RemoveDelimiter(GetValuesWithFallback(SanitizeInput($F37)&amp;SanitizeInput($G37)&amp;SanitizeInput($H37),Countermeasures!$A:$B,Assumptions!$A:$B," ",","&amp;CHAR(10),TRUE),","&amp;CHAR(10))</f>
        <v>A41 SDR 1.29 - Loss of external connectivity (Internet, mobile network) only leads to quality-related issues</v>
      </c>
      <c r="J37" s="10"/>
      <c r="K37" s="13" t="str" cm="1">
        <f t="array" ref="K37">RemoveDelimiter(GetValuesWithFallback(SanitizeInput($J37),Countermeasures!$A:$B,Assumptions!$A:$B," ",","&amp;CHAR(10),TRUE),","&amp;CHAR(10))</f>
        <v/>
      </c>
      <c r="L37" s="10">
        <f>3</f>
        <v>3</v>
      </c>
      <c r="M37" s="16" t="str" cm="1">
        <f t="array" aca="1" ref="M37" ca="1">_xlfn.LET(
_xlpm._displayLimit,$L37,
_xlpm._risks,$V37,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37" s="13" t="str">
        <f ca="1">INDEX(Definitions!$AE:$AE,MATCH($W37,Definitions!$AF:$AF,0))</f>
        <v>No Risk</v>
      </c>
      <c r="O37" s="10"/>
      <c r="P37" s="9" cm="1">
        <f t="array" aca="1" ref="P37" ca="1">CreateID($P$2,$A37&lt;&gt;"")</f>
        <v>35</v>
      </c>
      <c r="Q37" s="9" cm="1">
        <f t="array" ref="Q37">CreateTaskID($Q$2,$Q:$Q,Tasks!$B$17,$O37)</f>
        <v>0</v>
      </c>
      <c r="R37" s="9">
        <f ca="1">IFERROR(MATCH(ROW()-ROW($R$2),'Attack Steps'!$R:$R,0),0)</f>
        <v>37</v>
      </c>
      <c r="S37" s="9" t="str" cm="1">
        <f t="array" aca="1" ref="S37" ca="1">CalculateMaxAndElements($T37,0,"",Risks!$A:$Z)</f>
        <v>0:</v>
      </c>
      <c r="T37" s="9" t="str" cm="1">
        <f t="array" aca="1" ref="T37" ca="1">InverseLookup($A37,Risks!$Y$2,Risks!$A$2,1,Helper!$B$1,",")</f>
        <v/>
      </c>
      <c r="U37" s="9" t="str">
        <f t="shared" ref="U37:U42" ca="1" si="10">IF($T37="","",","&amp;$T37)</f>
        <v/>
      </c>
      <c r="V37" s="9" t="str" cm="1">
        <f t="array" aca="1" ref="V37" ca="1">CalculateMaxAndElements($T37,0,"",Risks!$A:$AG)</f>
        <v>0:</v>
      </c>
      <c r="W37" s="9">
        <f t="shared" ref="W37:W42" ca="1" si="11">IF($V37="","",VALUE(LEFT($V37,FIND(":",$V37)-1)))</f>
        <v>0</v>
      </c>
      <c r="X37" s="9" t="str" cm="1">
        <f t="array" ref="X37">IF($J37="","",","&amp;SanitizeInput($J37))</f>
        <v/>
      </c>
      <c r="Y37" s="9" t="b" cm="1">
        <f t="array" aca="1" ref="Y37" ca="1">INDEX('Attack Steps'!$AE:$AE,$R37)</f>
        <v>0</v>
      </c>
      <c r="Z37" s="9" cm="1">
        <f t="array" aca="1" ref="Z37" ca="1">CreateID($Z$2,IFERROR(FIND(Definitions!$AR$4,$O37)&gt;0,FALSE))</f>
        <v>0</v>
      </c>
      <c r="AA37" s="9">
        <f>_xlfn.LET(
_xlpm._comment,$O37,
_xlpm._keyWord,Definitions!$AR$4,
_xlpm._diffLen,LEN(_xlpm._comment)-LEN(SUBSTITUTE(_xlpm._comment,_xlpm._keyWord,"")),
_xlpm._diffLen/LEN(_xlpm._keyWord))</f>
        <v>0</v>
      </c>
      <c r="AB37" s="9" cm="1">
        <f t="array" aca="1" ref="AB37" ca="1">CreateID($AB$2,IFERROR(FIND(Definitions!$AR$5,$O37)&gt;0,FALSE))</f>
        <v>0</v>
      </c>
      <c r="AC37" s="9">
        <f>_xlfn.LET(
_xlpm._comment,$O37,
_xlpm._keyWord,Definitions!$AR$5,
_xlpm._diffLen,LEN(_xlpm._comment)-LEN(SUBSTITUTE(_xlpm._comment,_xlpm._keyWord,"")),
_xlpm._diffLen/LEN(_xlpm._keyWord))</f>
        <v>0</v>
      </c>
      <c r="AD37" s="9" t="str" cm="1">
        <f t="array" ref="AD37">CreateSearchString($J37)</f>
        <v/>
      </c>
      <c r="AE37" s="9" t="str" cm="1">
        <f t="array" aca="1" ref="AE37" ca="1">_xlfn.LET(
_xlpm._selected,SanitizeInput($J37),
_xlpm._catalogOptions,SanitizeInput($F37)&amp;SanitizeInput($G37)&amp;SanitizeInput($H37),
_xlpm._selectedNotInOptions,FilterElementsFromList(_xlpm._selected,_xlpm._catalogOptions,FALSE,","),
IF(_xlpm._selectedNotInOptions="","",$A37&amp;" "&amp;$B37&amp;": "&amp;SUBSTITUTE(RemoveDelimiter(_xlpm._selectedNotInOptions,","),",",", ")))</f>
        <v/>
      </c>
      <c r="AF37" s="9" cm="1">
        <f t="array" aca="1" ref="AF37" ca="1">CreateID($AF$2,$AE37&lt;&gt;"")</f>
        <v>0</v>
      </c>
      <c r="AG37" s="9" t="str" cm="1">
        <f t="array" aca="1" ref="AG37" ca="1">_xlfn.LET(
_xlpm._delimiter,","&amp;CHAR(10),
_xlpm._assumptions,ParseAllMitigationsFromComment($A37,"-","A",$O37,Definitions!$AR$4,Definitions!$AS$4,Definitions!$AR$6,_xlpm._delimiter,1),
_xlpm._countermeasures,ParseAllMitigationsFromComment($A37,"-","C",$O37,Definitions!$AR$5,Definitions!$AS$5,Definitions!$AR$6,_xlpm._delimiter,1),
IF(_xlpm._countermeasures="",RemoveDelimiter(_xlpm._assumptions,_xlpm._delimiter),_xlpm._assumptions&amp;RemoveDelimiter(_xlpm._countermeasures,_xlpm._delimiter)))</f>
        <v/>
      </c>
      <c r="AH37" s="9" t="str" cm="1">
        <f t="array" ref="AH37">CreateSearchString(SanitizeInput($J37)&amp;GetValuesIgnoreErrors(SanitizeInput($J37),Countermeasures!$A:$H,"",",",FALSE))</f>
        <v/>
      </c>
      <c r="AI37" s="9" t="str" cm="1">
        <f t="array" aca="1" ref="AI37" ca="1">IF(AND(IFERROR(FIND(","&amp;Countermeasures!$A$31&amp;",",$AH37)&gt;0,FALSE),Countermeasures!$AB$31=TRUE,SimpleLookup(Questions!$A$48,Questionnaire!$B:$D)=Definitions!$A$5),$A37&amp;" "&amp;$B37,"")</f>
        <v/>
      </c>
      <c r="AJ37" s="9" cm="1">
        <f t="array" aca="1" ref="AJ37" ca="1">CreateID($AJ$2,$AI37&lt;&gt;"")</f>
        <v>0</v>
      </c>
      <c r="AK37" s="9" t="str">
        <f t="shared" ca="1" si="2"/>
        <v/>
      </c>
      <c r="AL37" s="9" cm="1">
        <f t="array" aca="1" ref="AL37" ca="1">CreateID($AL$2,$AK37&lt;&gt;"")</f>
        <v>0</v>
      </c>
      <c r="AM37" s="9" t="str">
        <f t="shared" si="3"/>
        <v/>
      </c>
      <c r="AN37" s="9" cm="1">
        <f t="array" aca="1" ref="AN37" ca="1">CreateID($AN$2,$AM37&lt;&gt;"")</f>
        <v>0</v>
      </c>
    </row>
    <row r="38" spans="1:40" ht="150" x14ac:dyDescent="0.25">
      <c r="A38" s="13" t="str" cm="1">
        <f t="array" aca="1" ref="A38" ca="1">IF($R38=0,"",INDEX('Attack Steps'!A:A,$R38))</f>
        <v>AS36</v>
      </c>
      <c r="B38" s="13" t="str" cm="1">
        <f t="array" aca="1" ref="B38" ca="1">IF($R38=0,"",INDEX('Attack Steps'!B:B,$R38))</f>
        <v>Attacking the product's incoming communication from the Internet or a mobile network</v>
      </c>
      <c r="C38" s="10">
        <f>3</f>
        <v>3</v>
      </c>
      <c r="D38" s="16" t="str" cm="1">
        <f t="array" aca="1" ref="D38" ca="1">_xlfn.LET(
_xlpm._displayLimit,$C38,
_xlpm._risks,$S38,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38" s="13" t="str" cm="1">
        <f t="array" aca="1" ref="E38" ca="1">_xlfn.LET(_xlpm._riskValue,CalculateMaxFromList($T38,0,Risks!$A:$Z),
INDEX(Definitions!$AE:$AE,MATCH(_xlpm._riskValue,Definitions!$AF:$AF,0)))</f>
        <v>No Risk</v>
      </c>
      <c r="F38" s="13" t="str" cm="1">
        <f t="array" aca="1" ref="F38" ca="1">IF($A38="","",SUBSTITUTE(RemoveDelimiter(SanitizeInput(SimpleLookup($A38,'Attack Steps'!$A:$AA)),","),",",", "))</f>
        <v>CM11</v>
      </c>
      <c r="G38" s="13" t="str" cm="1">
        <f t="array" aca="1" ref="G38" ca="1">IF($A38="","",SUBSTITUTE(RemoveDelimiter(SanitizeInput(SimpleLookup($A38,'Attack Steps'!$A:$AB)),","),",",", "))</f>
        <v/>
      </c>
      <c r="H38" s="55" t="str" cm="1">
        <f t="array" aca="1" ref="H38" ca="1">IF($A38="","",_xlfn.LET(
_xlpm._proposedActive,SanitizeInput($G38),
_xlpm._proposedAll,SimpleLookup($A38,'Attack Steps'!$A:$AC),
_xlpm._proposedDiff,FilterElementsFromList(_xlpm._proposedAll,_xlpm._proposedActive,FALSE,","),
SUBSTITUTE(RemoveDelimiter(SanitizeInput(_xlpm._proposedDiff),","),",",", ")))</f>
        <v>A27</v>
      </c>
      <c r="I38" s="13" t="str" cm="1">
        <f t="array" aca="1" ref="I38" ca="1">RemoveDelimiter(GetValuesWithFallback(SanitizeInput($F38)&amp;SanitizeInput($G38)&amp;SanitizeInput($H38),Countermeasures!$A:$B,Assumptions!$A:$B," ",","&amp;CHAR(10),TRUE),","&amp;CHAR(10))</f>
        <v>CM11 SCR 2.9 - Secure channel with communication partner authentication,
A27 SDR 1.24 - The product does not receive any sensitive data (except updates / configuration / debug communication) from external communication partners over the Internet or a mobile network</v>
      </c>
      <c r="J38" s="10"/>
      <c r="K38" s="13" t="str" cm="1">
        <f t="array" ref="K38">RemoveDelimiter(GetValuesWithFallback(SanitizeInput($J38),Countermeasures!$A:$B,Assumptions!$A:$B," ",","&amp;CHAR(10),TRUE),","&amp;CHAR(10))</f>
        <v/>
      </c>
      <c r="L38" s="10">
        <f>3</f>
        <v>3</v>
      </c>
      <c r="M38" s="16" t="str" cm="1">
        <f t="array" aca="1" ref="M38" ca="1">_xlfn.LET(
_xlpm._displayLimit,$L38,
_xlpm._risks,$V38,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38" s="13" t="str">
        <f ca="1">INDEX(Definitions!$AE:$AE,MATCH($W38,Definitions!$AF:$AF,0))</f>
        <v>No Risk</v>
      </c>
      <c r="O38" s="10"/>
      <c r="P38" s="9" cm="1">
        <f t="array" aca="1" ref="P38" ca="1">CreateID($P$2,$A38&lt;&gt;"")</f>
        <v>36</v>
      </c>
      <c r="Q38" s="9" cm="1">
        <f t="array" ref="Q38">CreateTaskID($Q$2,$Q:$Q,Tasks!$B$17,$O38)</f>
        <v>0</v>
      </c>
      <c r="R38" s="9">
        <f ca="1">IFERROR(MATCH(ROW()-ROW($R$2),'Attack Steps'!$R:$R,0),0)</f>
        <v>38</v>
      </c>
      <c r="S38" s="9" t="str" cm="1">
        <f t="array" aca="1" ref="S38" ca="1">CalculateMaxAndElements($T38,0,"",Risks!$A:$Z)</f>
        <v>0:</v>
      </c>
      <c r="T38" s="9" t="str" cm="1">
        <f t="array" aca="1" ref="T38" ca="1">InverseLookup($A38,Risks!$Y$2,Risks!$A$2,1,Helper!$B$1,",")</f>
        <v/>
      </c>
      <c r="U38" s="9" t="str">
        <f t="shared" ca="1" si="10"/>
        <v/>
      </c>
      <c r="V38" s="9" t="str" cm="1">
        <f t="array" aca="1" ref="V38" ca="1">CalculateMaxAndElements($T38,0,"",Risks!$A:$AG)</f>
        <v>0:</v>
      </c>
      <c r="W38" s="9">
        <f t="shared" ca="1" si="11"/>
        <v>0</v>
      </c>
      <c r="X38" s="9" t="str" cm="1">
        <f t="array" ref="X38">IF($J38="","",","&amp;SanitizeInput($J38))</f>
        <v/>
      </c>
      <c r="Y38" s="9" t="b" cm="1">
        <f t="array" aca="1" ref="Y38" ca="1">INDEX('Attack Steps'!$AE:$AE,$R38)</f>
        <v>0</v>
      </c>
      <c r="Z38" s="9" cm="1">
        <f t="array" aca="1" ref="Z38" ca="1">CreateID($Z$2,IFERROR(FIND(Definitions!$AR$4,$O38)&gt;0,FALSE))</f>
        <v>0</v>
      </c>
      <c r="AA38" s="9">
        <f>_xlfn.LET(
_xlpm._comment,$O38,
_xlpm._keyWord,Definitions!$AR$4,
_xlpm._diffLen,LEN(_xlpm._comment)-LEN(SUBSTITUTE(_xlpm._comment,_xlpm._keyWord,"")),
_xlpm._diffLen/LEN(_xlpm._keyWord))</f>
        <v>0</v>
      </c>
      <c r="AB38" s="9" cm="1">
        <f t="array" aca="1" ref="AB38" ca="1">CreateID($AB$2,IFERROR(FIND(Definitions!$AR$5,$O38)&gt;0,FALSE))</f>
        <v>0</v>
      </c>
      <c r="AC38" s="9">
        <f>_xlfn.LET(
_xlpm._comment,$O38,
_xlpm._keyWord,Definitions!$AR$5,
_xlpm._diffLen,LEN(_xlpm._comment)-LEN(SUBSTITUTE(_xlpm._comment,_xlpm._keyWord,"")),
_xlpm._diffLen/LEN(_xlpm._keyWord))</f>
        <v>0</v>
      </c>
      <c r="AD38" s="9" t="str" cm="1">
        <f t="array" ref="AD38">CreateSearchString($J38)</f>
        <v/>
      </c>
      <c r="AE38" s="9" t="str" cm="1">
        <f t="array" aca="1" ref="AE38" ca="1">_xlfn.LET(
_xlpm._selected,SanitizeInput($J38),
_xlpm._catalogOptions,SanitizeInput($F38)&amp;SanitizeInput($G38)&amp;SanitizeInput($H38),
_xlpm._selectedNotInOptions,FilterElementsFromList(_xlpm._selected,_xlpm._catalogOptions,FALSE,","),
IF(_xlpm._selectedNotInOptions="","",$A38&amp;" "&amp;$B38&amp;": "&amp;SUBSTITUTE(RemoveDelimiter(_xlpm._selectedNotInOptions,","),",",", ")))</f>
        <v/>
      </c>
      <c r="AF38" s="9" cm="1">
        <f t="array" aca="1" ref="AF38" ca="1">CreateID($AF$2,$AE38&lt;&gt;"")</f>
        <v>0</v>
      </c>
      <c r="AG38" s="9" t="str" cm="1">
        <f t="array" aca="1" ref="AG38" ca="1">_xlfn.LET(
_xlpm._delimiter,","&amp;CHAR(10),
_xlpm._assumptions,ParseAllMitigationsFromComment($A38,"-","A",$O38,Definitions!$AR$4,Definitions!$AS$4,Definitions!$AR$6,_xlpm._delimiter,1),
_xlpm._countermeasures,ParseAllMitigationsFromComment($A38,"-","C",$O38,Definitions!$AR$5,Definitions!$AS$5,Definitions!$AR$6,_xlpm._delimiter,1),
IF(_xlpm._countermeasures="",RemoveDelimiter(_xlpm._assumptions,_xlpm._delimiter),_xlpm._assumptions&amp;RemoveDelimiter(_xlpm._countermeasures,_xlpm._delimiter)))</f>
        <v/>
      </c>
      <c r="AH38" s="9" t="str" cm="1">
        <f t="array" ref="AH38">CreateSearchString(SanitizeInput($J38)&amp;GetValuesIgnoreErrors(SanitizeInput($J38),Countermeasures!$A:$H,"",",",FALSE))</f>
        <v/>
      </c>
      <c r="AI38" s="9" t="str" cm="1">
        <f t="array" aca="1" ref="AI38" ca="1">IF(AND(IFERROR(FIND(","&amp;Countermeasures!$A$31&amp;",",$AH38)&gt;0,FALSE),Countermeasures!$AB$31=TRUE,SimpleLookup(Questions!$A$48,Questionnaire!$B:$D)=Definitions!$A$5),$A38&amp;" "&amp;$B38,"")</f>
        <v/>
      </c>
      <c r="AJ38" s="9" cm="1">
        <f t="array" aca="1" ref="AJ38" ca="1">CreateID($AJ$2,$AI38&lt;&gt;"")</f>
        <v>0</v>
      </c>
      <c r="AK38" s="9" t="str">
        <f t="shared" ca="1" si="2"/>
        <v/>
      </c>
      <c r="AL38" s="9" cm="1">
        <f t="array" aca="1" ref="AL38" ca="1">CreateID($AL$2,$AK38&lt;&gt;"")</f>
        <v>0</v>
      </c>
      <c r="AM38" s="9" t="str">
        <f t="shared" si="3"/>
        <v/>
      </c>
      <c r="AN38" s="9" cm="1">
        <f t="array" aca="1" ref="AN38" ca="1">CreateID($AN$2,$AM38&lt;&gt;"")</f>
        <v>0</v>
      </c>
    </row>
    <row r="39" spans="1:40" ht="60" x14ac:dyDescent="0.25">
      <c r="A39" s="13" t="str" cm="1">
        <f t="array" aca="1" ref="A39" ca="1">IF($R39=0,"",INDEX('Attack Steps'!A:A,$R39))</f>
        <v>AS37</v>
      </c>
      <c r="B39" s="13" t="str" cm="1">
        <f t="array" aca="1" ref="B39" ca="1">IF($R39=0,"",INDEX('Attack Steps'!B:B,$R39))</f>
        <v>The product is manipulated during production and consequently behaves maliciously</v>
      </c>
      <c r="C39" s="10">
        <f>3</f>
        <v>3</v>
      </c>
      <c r="D39" s="16" t="str" cm="1">
        <f t="array" aca="1" ref="D39" ca="1">_xlfn.LET(
_xlpm._displayLimit,$C39,
_xlpm._risks,$S39,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39" s="13" t="str" cm="1">
        <f t="array" aca="1" ref="E39" ca="1">_xlfn.LET(_xlpm._riskValue,CalculateMaxFromList($T39,0,Risks!$A:$Z),
INDEX(Definitions!$AE:$AE,MATCH(_xlpm._riskValue,Definitions!$AF:$AF,0)))</f>
        <v>No Risk</v>
      </c>
      <c r="F39" s="13" t="str" cm="1">
        <f t="array" aca="1" ref="F39" ca="1">IF($A39="","",SUBSTITUTE(RemoveDelimiter(SanitizeInput(SimpleLookup($A39,'Attack Steps'!$A:$AA)),","),",",", "))</f>
        <v/>
      </c>
      <c r="G39" s="13" t="str" cm="1">
        <f t="array" aca="1" ref="G39" ca="1">IF($A39="","",SUBSTITUTE(RemoveDelimiter(SanitizeInput(SimpleLookup($A39,'Attack Steps'!$A:$AB)),","),",",", "))</f>
        <v/>
      </c>
      <c r="H39" s="55" t="str" cm="1">
        <f t="array" aca="1" ref="H39" ca="1">IF($A39="","",_xlfn.LET(
_xlpm._proposedActive,SanitizeInput($G39),
_xlpm._proposedAll,SimpleLookup($A39,'Attack Steps'!$A:$AC),
_xlpm._proposedDiff,FilterElementsFromList(_xlpm._proposedAll,_xlpm._proposedActive,FALSE,","),
SUBSTITUTE(RemoveDelimiter(SanitizeInput(_xlpm._proposedDiff),","),",",", ")))</f>
        <v>A17</v>
      </c>
      <c r="I39" s="13" t="str" cm="1">
        <f t="array" aca="1" ref="I39" ca="1">RemoveDelimiter(GetValuesWithFallback(SanitizeInput($F39)&amp;SanitizeInput($G39)&amp;SanitizeInput($H39),Countermeasures!$A:$B,Assumptions!$A:$B," ",","&amp;CHAR(10),TRUE),","&amp;CHAR(10))</f>
        <v>A17 SDR 2.4 – Secure production</v>
      </c>
      <c r="J39" s="10"/>
      <c r="K39" s="13" t="str" cm="1">
        <f t="array" ref="K39">RemoveDelimiter(GetValuesWithFallback(SanitizeInput($J39),Countermeasures!$A:$B,Assumptions!$A:$B," ",","&amp;CHAR(10),TRUE),","&amp;CHAR(10))</f>
        <v/>
      </c>
      <c r="L39" s="10">
        <f>3</f>
        <v>3</v>
      </c>
      <c r="M39" s="16" t="str" cm="1">
        <f t="array" aca="1" ref="M39" ca="1">_xlfn.LET(
_xlpm._displayLimit,$L39,
_xlpm._risks,$V39,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39" s="13" t="str">
        <f ca="1">INDEX(Definitions!$AE:$AE,MATCH($W39,Definitions!$AF:$AF,0))</f>
        <v>No Risk</v>
      </c>
      <c r="O39" s="10"/>
      <c r="P39" s="9" cm="1">
        <f t="array" aca="1" ref="P39" ca="1">CreateID($P$2,$A39&lt;&gt;"")</f>
        <v>37</v>
      </c>
      <c r="Q39" s="9" cm="1">
        <f t="array" ref="Q39">CreateTaskID($Q$2,$Q:$Q,Tasks!$B$17,$O39)</f>
        <v>0</v>
      </c>
      <c r="R39" s="9">
        <f ca="1">IFERROR(MATCH(ROW()-ROW($R$2),'Attack Steps'!$R:$R,0),0)</f>
        <v>39</v>
      </c>
      <c r="S39" s="9" t="str" cm="1">
        <f t="array" aca="1" ref="S39" ca="1">CalculateMaxAndElements($T39,0,"",Risks!$A:$Z)</f>
        <v>0:</v>
      </c>
      <c r="T39" s="9" t="str" cm="1">
        <f t="array" aca="1" ref="T39" ca="1">InverseLookup($A39,Risks!$Y$2,Risks!$A$2,1,Helper!$B$1,",")</f>
        <v/>
      </c>
      <c r="U39" s="9" t="str">
        <f t="shared" ca="1" si="10"/>
        <v/>
      </c>
      <c r="V39" s="9" t="str" cm="1">
        <f t="array" aca="1" ref="V39" ca="1">CalculateMaxAndElements($T39,0,"",Risks!$A:$AG)</f>
        <v>0:</v>
      </c>
      <c r="W39" s="9">
        <f t="shared" ca="1" si="11"/>
        <v>0</v>
      </c>
      <c r="X39" s="9" t="str" cm="1">
        <f t="array" ref="X39">IF($J39="","",","&amp;SanitizeInput($J39))</f>
        <v/>
      </c>
      <c r="Y39" s="9" t="b" cm="1">
        <f t="array" aca="1" ref="Y39" ca="1">INDEX('Attack Steps'!$AE:$AE,$R39)</f>
        <v>0</v>
      </c>
      <c r="Z39" s="9" cm="1">
        <f t="array" aca="1" ref="Z39" ca="1">CreateID($Z$2,IFERROR(FIND(Definitions!$AR$4,$O39)&gt;0,FALSE))</f>
        <v>0</v>
      </c>
      <c r="AA39" s="9">
        <f>_xlfn.LET(
_xlpm._comment,$O39,
_xlpm._keyWord,Definitions!$AR$4,
_xlpm._diffLen,LEN(_xlpm._comment)-LEN(SUBSTITUTE(_xlpm._comment,_xlpm._keyWord,"")),
_xlpm._diffLen/LEN(_xlpm._keyWord))</f>
        <v>0</v>
      </c>
      <c r="AB39" s="9" cm="1">
        <f t="array" aca="1" ref="AB39" ca="1">CreateID($AB$2,IFERROR(FIND(Definitions!$AR$5,$O39)&gt;0,FALSE))</f>
        <v>0</v>
      </c>
      <c r="AC39" s="9">
        <f>_xlfn.LET(
_xlpm._comment,$O39,
_xlpm._keyWord,Definitions!$AR$5,
_xlpm._diffLen,LEN(_xlpm._comment)-LEN(SUBSTITUTE(_xlpm._comment,_xlpm._keyWord,"")),
_xlpm._diffLen/LEN(_xlpm._keyWord))</f>
        <v>0</v>
      </c>
      <c r="AD39" s="9" t="str" cm="1">
        <f t="array" ref="AD39">CreateSearchString($J39)</f>
        <v/>
      </c>
      <c r="AE39" s="9" t="str" cm="1">
        <f t="array" aca="1" ref="AE39" ca="1">_xlfn.LET(
_xlpm._selected,SanitizeInput($J39),
_xlpm._catalogOptions,SanitizeInput($F39)&amp;SanitizeInput($G39)&amp;SanitizeInput($H39),
_xlpm._selectedNotInOptions,FilterElementsFromList(_xlpm._selected,_xlpm._catalogOptions,FALSE,","),
IF(_xlpm._selectedNotInOptions="","",$A39&amp;" "&amp;$B39&amp;": "&amp;SUBSTITUTE(RemoveDelimiter(_xlpm._selectedNotInOptions,","),",",", ")))</f>
        <v/>
      </c>
      <c r="AF39" s="9" cm="1">
        <f t="array" aca="1" ref="AF39" ca="1">CreateID($AF$2,$AE39&lt;&gt;"")</f>
        <v>0</v>
      </c>
      <c r="AG39" s="9" t="str" cm="1">
        <f t="array" aca="1" ref="AG39" ca="1">_xlfn.LET(
_xlpm._delimiter,","&amp;CHAR(10),
_xlpm._assumptions,ParseAllMitigationsFromComment($A39,"-","A",$O39,Definitions!$AR$4,Definitions!$AS$4,Definitions!$AR$6,_xlpm._delimiter,1),
_xlpm._countermeasures,ParseAllMitigationsFromComment($A39,"-","C",$O39,Definitions!$AR$5,Definitions!$AS$5,Definitions!$AR$6,_xlpm._delimiter,1),
IF(_xlpm._countermeasures="",RemoveDelimiter(_xlpm._assumptions,_xlpm._delimiter),_xlpm._assumptions&amp;RemoveDelimiter(_xlpm._countermeasures,_xlpm._delimiter)))</f>
        <v/>
      </c>
      <c r="AH39" s="9" t="str" cm="1">
        <f t="array" ref="AH39">CreateSearchString(SanitizeInput($J39)&amp;GetValuesIgnoreErrors(SanitizeInput($J39),Countermeasures!$A:$H,"",",",FALSE))</f>
        <v/>
      </c>
      <c r="AI39" s="9" t="str" cm="1">
        <f t="array" aca="1" ref="AI39" ca="1">IF(AND(IFERROR(FIND(","&amp;Countermeasures!$A$31&amp;",",$AH39)&gt;0,FALSE),Countermeasures!$AB$31=TRUE,SimpleLookup(Questions!$A$48,Questionnaire!$B:$D)=Definitions!$A$5),$A39&amp;" "&amp;$B39,"")</f>
        <v/>
      </c>
      <c r="AJ39" s="9" cm="1">
        <f t="array" aca="1" ref="AJ39" ca="1">CreateID($AJ$2,$AI39&lt;&gt;"")</f>
        <v>0</v>
      </c>
      <c r="AK39" s="9" t="str">
        <f t="shared" ca="1" si="2"/>
        <v/>
      </c>
      <c r="AL39" s="9" cm="1">
        <f t="array" aca="1" ref="AL39" ca="1">CreateID($AL$2,$AK39&lt;&gt;"")</f>
        <v>0</v>
      </c>
      <c r="AM39" s="9" t="str">
        <f t="shared" si="3"/>
        <v/>
      </c>
      <c r="AN39" s="9" cm="1">
        <f t="array" aca="1" ref="AN39" ca="1">CreateID($AN$2,$AM39&lt;&gt;"")</f>
        <v>0</v>
      </c>
    </row>
    <row r="40" spans="1:40" ht="60" x14ac:dyDescent="0.25">
      <c r="A40" s="13" t="str" cm="1">
        <f t="array" aca="1" ref="A40" ca="1">IF($R40=0,"",INDEX('Attack Steps'!A:A,$R40))</f>
        <v>AS38</v>
      </c>
      <c r="B40" s="13" t="str" cm="1">
        <f t="array" aca="1" ref="B40" ca="1">IF($R40=0,"",INDEX('Attack Steps'!B:B,$R40))</f>
        <v>Manipulated parts from the supply chain are integrated into the product, leading to the product behaving maliciously</v>
      </c>
      <c r="C40" s="10">
        <f>3</f>
        <v>3</v>
      </c>
      <c r="D40" s="16" t="str" cm="1">
        <f t="array" aca="1" ref="D40" ca="1">_xlfn.LET(
_xlpm._displayLimit,$C40,
_xlpm._risks,$S40,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40" s="13" t="str" cm="1">
        <f t="array" aca="1" ref="E40" ca="1">_xlfn.LET(_xlpm._riskValue,CalculateMaxFromList($T40,0,Risks!$A:$Z),
INDEX(Definitions!$AE:$AE,MATCH(_xlpm._riskValue,Definitions!$AF:$AF,0)))</f>
        <v>No Risk</v>
      </c>
      <c r="F40" s="13" t="str" cm="1">
        <f t="array" aca="1" ref="F40" ca="1">IF($A40="","",SUBSTITUTE(RemoveDelimiter(SanitizeInput(SimpleLookup($A40,'Attack Steps'!$A:$AA)),","),",",", "))</f>
        <v/>
      </c>
      <c r="G40" s="13" t="str" cm="1">
        <f t="array" aca="1" ref="G40" ca="1">IF($A40="","",SUBSTITUTE(RemoveDelimiter(SanitizeInput(SimpleLookup($A40,'Attack Steps'!$A:$AB)),","),",",", "))</f>
        <v/>
      </c>
      <c r="H40" s="55" t="str" cm="1">
        <f t="array" aca="1" ref="H40" ca="1">IF($A40="","",_xlfn.LET(
_xlpm._proposedActive,SanitizeInput($G40),
_xlpm._proposedAll,SimpleLookup($A40,'Attack Steps'!$A:$AC),
_xlpm._proposedDiff,FilterElementsFromList(_xlpm._proposedAll,_xlpm._proposedActive,FALSE,","),
SUBSTITUTE(RemoveDelimiter(SanitizeInput(_xlpm._proposedDiff),","),",",", ")))</f>
        <v>A18</v>
      </c>
      <c r="I40" s="13" t="str" cm="1">
        <f t="array" aca="1" ref="I40" ca="1">RemoveDelimiter(GetValuesWithFallback(SanitizeInput($F40)&amp;SanitizeInput($G40)&amp;SanitizeInput($H40),Countermeasures!$A:$B,Assumptions!$A:$B," ",","&amp;CHAR(10),TRUE),","&amp;CHAR(10))</f>
        <v>A18 SDR 2.5 – Secure supply chain</v>
      </c>
      <c r="J40" s="10"/>
      <c r="K40" s="13" t="str" cm="1">
        <f t="array" ref="K40">RemoveDelimiter(GetValuesWithFallback(SanitizeInput($J40),Countermeasures!$A:$B,Assumptions!$A:$B," ",","&amp;CHAR(10),TRUE),","&amp;CHAR(10))</f>
        <v/>
      </c>
      <c r="L40" s="10">
        <f>3</f>
        <v>3</v>
      </c>
      <c r="M40" s="16" t="str" cm="1">
        <f t="array" aca="1" ref="M40" ca="1">_xlfn.LET(
_xlpm._displayLimit,$L40,
_xlpm._risks,$V40,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40" s="13" t="str">
        <f ca="1">INDEX(Definitions!$AE:$AE,MATCH($W40,Definitions!$AF:$AF,0))</f>
        <v>No Risk</v>
      </c>
      <c r="O40" s="10"/>
      <c r="P40" s="9" cm="1">
        <f t="array" aca="1" ref="P40" ca="1">CreateID($P$2,$A40&lt;&gt;"")</f>
        <v>38</v>
      </c>
      <c r="Q40" s="9" cm="1">
        <f t="array" ref="Q40">CreateTaskID($Q$2,$Q:$Q,Tasks!$B$17,$O40)</f>
        <v>0</v>
      </c>
      <c r="R40" s="9">
        <f ca="1">IFERROR(MATCH(ROW()-ROW($R$2),'Attack Steps'!$R:$R,0),0)</f>
        <v>40</v>
      </c>
      <c r="S40" s="9" t="str" cm="1">
        <f t="array" aca="1" ref="S40" ca="1">CalculateMaxAndElements($T40,0,"",Risks!$A:$Z)</f>
        <v>0:</v>
      </c>
      <c r="T40" s="9" t="str" cm="1">
        <f t="array" aca="1" ref="T40" ca="1">InverseLookup($A40,Risks!$Y$2,Risks!$A$2,1,Helper!$B$1,",")</f>
        <v/>
      </c>
      <c r="U40" s="9" t="str">
        <f t="shared" ca="1" si="10"/>
        <v/>
      </c>
      <c r="V40" s="9" t="str" cm="1">
        <f t="array" aca="1" ref="V40" ca="1">CalculateMaxAndElements($T40,0,"",Risks!$A:$AG)</f>
        <v>0:</v>
      </c>
      <c r="W40" s="9">
        <f t="shared" ca="1" si="11"/>
        <v>0</v>
      </c>
      <c r="X40" s="9" t="str" cm="1">
        <f t="array" ref="X40">IF($J40="","",","&amp;SanitizeInput($J40))</f>
        <v/>
      </c>
      <c r="Y40" s="9" t="b" cm="1">
        <f t="array" aca="1" ref="Y40" ca="1">INDEX('Attack Steps'!$AE:$AE,$R40)</f>
        <v>0</v>
      </c>
      <c r="Z40" s="9" cm="1">
        <f t="array" aca="1" ref="Z40" ca="1">CreateID($Z$2,IFERROR(FIND(Definitions!$AR$4,$O40)&gt;0,FALSE))</f>
        <v>0</v>
      </c>
      <c r="AA40" s="9">
        <f>_xlfn.LET(
_xlpm._comment,$O40,
_xlpm._keyWord,Definitions!$AR$4,
_xlpm._diffLen,LEN(_xlpm._comment)-LEN(SUBSTITUTE(_xlpm._comment,_xlpm._keyWord,"")),
_xlpm._diffLen/LEN(_xlpm._keyWord))</f>
        <v>0</v>
      </c>
      <c r="AB40" s="9" cm="1">
        <f t="array" aca="1" ref="AB40" ca="1">CreateID($AB$2,IFERROR(FIND(Definitions!$AR$5,$O40)&gt;0,FALSE))</f>
        <v>0</v>
      </c>
      <c r="AC40" s="9">
        <f>_xlfn.LET(
_xlpm._comment,$O40,
_xlpm._keyWord,Definitions!$AR$5,
_xlpm._diffLen,LEN(_xlpm._comment)-LEN(SUBSTITUTE(_xlpm._comment,_xlpm._keyWord,"")),
_xlpm._diffLen/LEN(_xlpm._keyWord))</f>
        <v>0</v>
      </c>
      <c r="AD40" s="9" t="str" cm="1">
        <f t="array" ref="AD40">CreateSearchString($J40)</f>
        <v/>
      </c>
      <c r="AE40" s="9" t="str" cm="1">
        <f t="array" aca="1" ref="AE40" ca="1">_xlfn.LET(
_xlpm._selected,SanitizeInput($J40),
_xlpm._catalogOptions,SanitizeInput($F40)&amp;SanitizeInput($G40)&amp;SanitizeInput($H40),
_xlpm._selectedNotInOptions,FilterElementsFromList(_xlpm._selected,_xlpm._catalogOptions,FALSE,","),
IF(_xlpm._selectedNotInOptions="","",$A40&amp;" "&amp;$B40&amp;": "&amp;SUBSTITUTE(RemoveDelimiter(_xlpm._selectedNotInOptions,","),",",", ")))</f>
        <v/>
      </c>
      <c r="AF40" s="9" cm="1">
        <f t="array" aca="1" ref="AF40" ca="1">CreateID($AF$2,$AE40&lt;&gt;"")</f>
        <v>0</v>
      </c>
      <c r="AG40" s="9" t="str" cm="1">
        <f t="array" aca="1" ref="AG40" ca="1">_xlfn.LET(
_xlpm._delimiter,","&amp;CHAR(10),
_xlpm._assumptions,ParseAllMitigationsFromComment($A40,"-","A",$O40,Definitions!$AR$4,Definitions!$AS$4,Definitions!$AR$6,_xlpm._delimiter,1),
_xlpm._countermeasures,ParseAllMitigationsFromComment($A40,"-","C",$O40,Definitions!$AR$5,Definitions!$AS$5,Definitions!$AR$6,_xlpm._delimiter,1),
IF(_xlpm._countermeasures="",RemoveDelimiter(_xlpm._assumptions,_xlpm._delimiter),_xlpm._assumptions&amp;RemoveDelimiter(_xlpm._countermeasures,_xlpm._delimiter)))</f>
        <v/>
      </c>
      <c r="AH40" s="9" t="str" cm="1">
        <f t="array" ref="AH40">CreateSearchString(SanitizeInput($J40)&amp;GetValuesIgnoreErrors(SanitizeInput($J40),Countermeasures!$A:$H,"",",",FALSE))</f>
        <v/>
      </c>
      <c r="AI40" s="9" t="str" cm="1">
        <f t="array" aca="1" ref="AI40" ca="1">IF(AND(IFERROR(FIND(","&amp;Countermeasures!$A$31&amp;",",$AH40)&gt;0,FALSE),Countermeasures!$AB$31=TRUE,SimpleLookup(Questions!$A$48,Questionnaire!$B:$D)=Definitions!$A$5),$A40&amp;" "&amp;$B40,"")</f>
        <v/>
      </c>
      <c r="AJ40" s="9" cm="1">
        <f t="array" aca="1" ref="AJ40" ca="1">CreateID($AJ$2,$AI40&lt;&gt;"")</f>
        <v>0</v>
      </c>
      <c r="AK40" s="9" t="str">
        <f t="shared" ca="1" si="2"/>
        <v/>
      </c>
      <c r="AL40" s="9" cm="1">
        <f t="array" aca="1" ref="AL40" ca="1">CreateID($AL$2,$AK40&lt;&gt;"")</f>
        <v>0</v>
      </c>
      <c r="AM40" s="9" t="str">
        <f t="shared" si="3"/>
        <v/>
      </c>
      <c r="AN40" s="9" cm="1">
        <f t="array" aca="1" ref="AN40" ca="1">CreateID($AN$2,$AM40&lt;&gt;"")</f>
        <v>0</v>
      </c>
    </row>
    <row r="41" spans="1:40" ht="60" x14ac:dyDescent="0.25">
      <c r="A41" s="13" t="str" cm="1">
        <f t="array" aca="1" ref="A41" ca="1">IF($R41=0,"",INDEX('Attack Steps'!A:A,$R41))</f>
        <v>AS39</v>
      </c>
      <c r="B41" s="13" t="str" cm="1">
        <f t="array" aca="1" ref="B41" ca="1">IF($R41=0,"",INDEX('Attack Steps'!B:B,$R41))</f>
        <v>Data extraction from the product's volatile memory</v>
      </c>
      <c r="C41" s="10">
        <f>3</f>
        <v>3</v>
      </c>
      <c r="D41" s="16" t="str" cm="1">
        <f t="array" aca="1" ref="D41" ca="1">_xlfn.LET(
_xlpm._displayLimit,$C41,
_xlpm._risks,$S41,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41" s="13" t="str" cm="1">
        <f t="array" aca="1" ref="E41" ca="1">_xlfn.LET(_xlpm._riskValue,CalculateMaxFromList($T41,0,Risks!$A:$Z),
INDEX(Definitions!$AE:$AE,MATCH(_xlpm._riskValue,Definitions!$AF:$AF,0)))</f>
        <v>No Risk</v>
      </c>
      <c r="F41" s="13" t="str" cm="1">
        <f t="array" aca="1" ref="F41" ca="1">IF($A41="","",SUBSTITUTE(RemoveDelimiter(SanitizeInput(SimpleLookup($A41,'Attack Steps'!$A:$AA)),","),",",", "))</f>
        <v>CM21, CM22</v>
      </c>
      <c r="G41" s="13" t="str" cm="1">
        <f t="array" aca="1" ref="G41" ca="1">IF($A41="","",SUBSTITUTE(RemoveDelimiter(SanitizeInput(SimpleLookup($A41,'Attack Steps'!$A:$AB)),","),",",", "))</f>
        <v/>
      </c>
      <c r="H41" s="55" t="str" cm="1">
        <f t="array" aca="1" ref="H41" ca="1">IF($A41="","",_xlfn.LET(
_xlpm._proposedActive,SanitizeInput($G41),
_xlpm._proposedAll,SimpleLookup($A41,'Attack Steps'!$A:$AC),
_xlpm._proposedDiff,FilterElementsFromList(_xlpm._proposedAll,_xlpm._proposedActive,FALSE,","),
SUBSTITUTE(RemoveDelimiter(SanitizeInput(_xlpm._proposedDiff),","),",",", ")))</f>
        <v/>
      </c>
      <c r="I41" s="13" t="str" cm="1">
        <f t="array" aca="1" ref="I41" ca="1">RemoveDelimiter(GetValuesWithFallback(SanitizeInput($F41)&amp;SanitizeInput($G41)&amp;SanitizeInput($H41),Countermeasures!$A:$B,Assumptions!$A:$B," ",","&amp;CHAR(10),TRUE),","&amp;CHAR(10))</f>
        <v>CM21 SCR 2.12 - Trusted Execution Environment (TEE),
CM22 SCR 2.18 - Isolation using virtualization or containers</v>
      </c>
      <c r="J41" s="10"/>
      <c r="K41" s="13" t="str" cm="1">
        <f t="array" ref="K41">RemoveDelimiter(GetValuesWithFallback(SanitizeInput($J41),Countermeasures!$A:$B,Assumptions!$A:$B," ",","&amp;CHAR(10),TRUE),","&amp;CHAR(10))</f>
        <v/>
      </c>
      <c r="L41" s="10">
        <f>3</f>
        <v>3</v>
      </c>
      <c r="M41" s="16" t="str" cm="1">
        <f t="array" aca="1" ref="M41" ca="1">_xlfn.LET(
_xlpm._displayLimit,$L41,
_xlpm._risks,$V41,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41" s="13" t="str">
        <f ca="1">INDEX(Definitions!$AE:$AE,MATCH($W41,Definitions!$AF:$AF,0))</f>
        <v>No Risk</v>
      </c>
      <c r="O41" s="10"/>
      <c r="P41" s="9" cm="1">
        <f t="array" aca="1" ref="P41" ca="1">CreateID($P$2,$A41&lt;&gt;"")</f>
        <v>39</v>
      </c>
      <c r="Q41" s="9" cm="1">
        <f t="array" ref="Q41">CreateTaskID($Q$2,$Q:$Q,Tasks!$B$17,$O41)</f>
        <v>0</v>
      </c>
      <c r="R41" s="9">
        <f ca="1">IFERROR(MATCH(ROW()-ROW($R$2),'Attack Steps'!$R:$R,0),0)</f>
        <v>41</v>
      </c>
      <c r="S41" s="9" t="str" cm="1">
        <f t="array" aca="1" ref="S41" ca="1">CalculateMaxAndElements($T41,0,"",Risks!$A:$Z)</f>
        <v>0:</v>
      </c>
      <c r="T41" s="9" t="str" cm="1">
        <f t="array" aca="1" ref="T41" ca="1">InverseLookup($A41,Risks!$Y$2,Risks!$A$2,1,Helper!$B$1,",")</f>
        <v/>
      </c>
      <c r="U41" s="9" t="str">
        <f t="shared" ca="1" si="10"/>
        <v/>
      </c>
      <c r="V41" s="9" t="str" cm="1">
        <f t="array" aca="1" ref="V41" ca="1">CalculateMaxAndElements($T41,0,"",Risks!$A:$AG)</f>
        <v>0:</v>
      </c>
      <c r="W41" s="9">
        <f t="shared" ca="1" si="11"/>
        <v>0</v>
      </c>
      <c r="X41" s="9" t="str" cm="1">
        <f t="array" ref="X41">IF($J41="","",","&amp;SanitizeInput($J41))</f>
        <v/>
      </c>
      <c r="Y41" s="9" t="b" cm="1">
        <f t="array" aca="1" ref="Y41" ca="1">INDEX('Attack Steps'!$AE:$AE,$R41)</f>
        <v>0</v>
      </c>
      <c r="Z41" s="9" cm="1">
        <f t="array" aca="1" ref="Z41" ca="1">CreateID($Z$2,IFERROR(FIND(Definitions!$AR$4,$O41)&gt;0,FALSE))</f>
        <v>0</v>
      </c>
      <c r="AA41" s="9">
        <f>_xlfn.LET(
_xlpm._comment,$O41,
_xlpm._keyWord,Definitions!$AR$4,
_xlpm._diffLen,LEN(_xlpm._comment)-LEN(SUBSTITUTE(_xlpm._comment,_xlpm._keyWord,"")),
_xlpm._diffLen/LEN(_xlpm._keyWord))</f>
        <v>0</v>
      </c>
      <c r="AB41" s="9" cm="1">
        <f t="array" aca="1" ref="AB41" ca="1">CreateID($AB$2,IFERROR(FIND(Definitions!$AR$5,$O41)&gt;0,FALSE))</f>
        <v>0</v>
      </c>
      <c r="AC41" s="9">
        <f>_xlfn.LET(
_xlpm._comment,$O41,
_xlpm._keyWord,Definitions!$AR$5,
_xlpm._diffLen,LEN(_xlpm._comment)-LEN(SUBSTITUTE(_xlpm._comment,_xlpm._keyWord,"")),
_xlpm._diffLen/LEN(_xlpm._keyWord))</f>
        <v>0</v>
      </c>
      <c r="AD41" s="9" t="str" cm="1">
        <f t="array" ref="AD41">CreateSearchString($J41)</f>
        <v/>
      </c>
      <c r="AE41" s="9" t="str" cm="1">
        <f t="array" aca="1" ref="AE41" ca="1">_xlfn.LET(
_xlpm._selected,SanitizeInput($J41),
_xlpm._catalogOptions,SanitizeInput($F41)&amp;SanitizeInput($G41)&amp;SanitizeInput($H41),
_xlpm._selectedNotInOptions,FilterElementsFromList(_xlpm._selected,_xlpm._catalogOptions,FALSE,","),
IF(_xlpm._selectedNotInOptions="","",$A41&amp;" "&amp;$B41&amp;": "&amp;SUBSTITUTE(RemoveDelimiter(_xlpm._selectedNotInOptions,","),",",", ")))</f>
        <v/>
      </c>
      <c r="AF41" s="9" cm="1">
        <f t="array" aca="1" ref="AF41" ca="1">CreateID($AF$2,$AE41&lt;&gt;"")</f>
        <v>0</v>
      </c>
      <c r="AG41" s="9" t="str" cm="1">
        <f t="array" aca="1" ref="AG41" ca="1">_xlfn.LET(
_xlpm._delimiter,","&amp;CHAR(10),
_xlpm._assumptions,ParseAllMitigationsFromComment($A41,"-","A",$O41,Definitions!$AR$4,Definitions!$AS$4,Definitions!$AR$6,_xlpm._delimiter,1),
_xlpm._countermeasures,ParseAllMitigationsFromComment($A41,"-","C",$O41,Definitions!$AR$5,Definitions!$AS$5,Definitions!$AR$6,_xlpm._delimiter,1),
IF(_xlpm._countermeasures="",RemoveDelimiter(_xlpm._assumptions,_xlpm._delimiter),_xlpm._assumptions&amp;RemoveDelimiter(_xlpm._countermeasures,_xlpm._delimiter)))</f>
        <v/>
      </c>
      <c r="AH41" s="9" t="str" cm="1">
        <f t="array" ref="AH41">CreateSearchString(SanitizeInput($J41)&amp;GetValuesIgnoreErrors(SanitizeInput($J41),Countermeasures!$A:$H,"",",",FALSE))</f>
        <v/>
      </c>
      <c r="AI41" s="9" t="str" cm="1">
        <f t="array" aca="1" ref="AI41" ca="1">IF(AND(IFERROR(FIND(","&amp;Countermeasures!$A$31&amp;",",$AH41)&gt;0,FALSE),Countermeasures!$AB$31=TRUE,SimpleLookup(Questions!$A$48,Questionnaire!$B:$D)=Definitions!$A$5),$A41&amp;" "&amp;$B41,"")</f>
        <v/>
      </c>
      <c r="AJ41" s="9" cm="1">
        <f t="array" aca="1" ref="AJ41" ca="1">CreateID($AJ$2,$AI41&lt;&gt;"")</f>
        <v>0</v>
      </c>
      <c r="AK41" s="9" t="str">
        <f t="shared" ca="1" si="2"/>
        <v/>
      </c>
      <c r="AL41" s="9" cm="1">
        <f t="array" aca="1" ref="AL41" ca="1">CreateID($AL$2,$AK41&lt;&gt;"")</f>
        <v>0</v>
      </c>
      <c r="AM41" s="9" t="str">
        <f t="shared" si="3"/>
        <v/>
      </c>
      <c r="AN41" s="9" cm="1">
        <f t="array" aca="1" ref="AN41" ca="1">CreateID($AN$2,$AM41&lt;&gt;"")</f>
        <v>0</v>
      </c>
    </row>
    <row r="42" spans="1:40" ht="45" x14ac:dyDescent="0.25">
      <c r="A42" s="13" t="str" cm="1">
        <f t="array" aca="1" ref="A42" ca="1">IF($R42=0,"",INDEX('Attack Steps'!A:A,$R42))</f>
        <v>AS40</v>
      </c>
      <c r="B42" s="13" t="str" cm="1">
        <f t="array" aca="1" ref="B42" ca="1">IF($R42=0,"",INDEX('Attack Steps'!B:B,$R42))</f>
        <v>Abusing the lack of a software update functionality to exploit an unpatched vulnerability</v>
      </c>
      <c r="C42" s="10">
        <f>3</f>
        <v>3</v>
      </c>
      <c r="D42" s="16" t="str" cm="1">
        <f t="array" aca="1" ref="D42" ca="1">_xlfn.LET(
_xlpm._displayLimit,$C42,
_xlpm._risks,$S42,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42" s="13" t="str" cm="1">
        <f t="array" aca="1" ref="E42" ca="1">_xlfn.LET(_xlpm._riskValue,CalculateMaxFromList($T42,0,Risks!$A:$Z),
INDEX(Definitions!$AE:$AE,MATCH(_xlpm._riskValue,Definitions!$AF:$AF,0)))</f>
        <v>No Risk</v>
      </c>
      <c r="F42" s="13" t="str" cm="1">
        <f t="array" aca="1" ref="F42" ca="1">IF($A42="","",SUBSTITUTE(RemoveDelimiter(SanitizeInput(SimpleLookup($A42,'Attack Steps'!$A:$AA)),","),",",", "))</f>
        <v>C27, CM23</v>
      </c>
      <c r="G42" s="13" t="str" cm="1">
        <f t="array" aca="1" ref="G42" ca="1">IF($A42="","",SUBSTITUTE(RemoveDelimiter(SanitizeInput(SimpleLookup($A42,'Attack Steps'!$A:$AB)),","),",",", "))</f>
        <v/>
      </c>
      <c r="H42" s="55" t="str" cm="1">
        <f t="array" aca="1" ref="H42" ca="1">IF($A42="","",_xlfn.LET(
_xlpm._proposedActive,SanitizeInput($G42),
_xlpm._proposedAll,SimpleLookup($A42,'Attack Steps'!$A:$AC),
_xlpm._proposedDiff,FilterElementsFromList(_xlpm._proposedAll,_xlpm._proposedActive,FALSE,","),
SUBSTITUTE(RemoveDelimiter(SanitizeInput(_xlpm._proposedDiff),","),",",", ")))</f>
        <v/>
      </c>
      <c r="I42" s="13" t="str" cm="1">
        <f t="array" aca="1" ref="I42" ca="1">RemoveDelimiter(GetValuesWithFallback(SanitizeInput($F42)&amp;SanitizeInput($G42)&amp;SanitizeInput($H42),Countermeasures!$A:$B,Assumptions!$A:$B," ",","&amp;CHAR(10),TRUE),","&amp;CHAR(10))</f>
        <v>C27 EDR 3.10 / HDR 3.10 / NDR 3.10 – Support for updates,
CM23 Hardware exchange</v>
      </c>
      <c r="J42" s="10"/>
      <c r="K42" s="13" t="str" cm="1">
        <f t="array" ref="K42">RemoveDelimiter(GetValuesWithFallback(SanitizeInput($J42),Countermeasures!$A:$B,Assumptions!$A:$B," ",","&amp;CHAR(10),TRUE),","&amp;CHAR(10))</f>
        <v/>
      </c>
      <c r="L42" s="10">
        <f>3</f>
        <v>3</v>
      </c>
      <c r="M42" s="16" t="str" cm="1">
        <f t="array" aca="1" ref="M42" ca="1">_xlfn.LET(
_xlpm._displayLimit,$L42,
_xlpm._risks,$V42,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42" s="13" t="str">
        <f ca="1">INDEX(Definitions!$AE:$AE,MATCH($W42,Definitions!$AF:$AF,0))</f>
        <v>No Risk</v>
      </c>
      <c r="O42" s="10"/>
      <c r="P42" s="9" cm="1">
        <f t="array" aca="1" ref="P42" ca="1">CreateID($P$2,$A42&lt;&gt;"")</f>
        <v>40</v>
      </c>
      <c r="Q42" s="9" cm="1">
        <f t="array" ref="Q42">CreateTaskID($Q$2,$Q:$Q,Tasks!$B$17,$O42)</f>
        <v>0</v>
      </c>
      <c r="R42" s="9">
        <f ca="1">IFERROR(MATCH(ROW()-ROW($R$2),'Attack Steps'!$R:$R,0),0)</f>
        <v>42</v>
      </c>
      <c r="S42" s="9" t="str" cm="1">
        <f t="array" aca="1" ref="S42" ca="1">CalculateMaxAndElements($T42,0,"",Risks!$A:$Z)</f>
        <v>0:</v>
      </c>
      <c r="T42" s="9" t="str" cm="1">
        <f t="array" aca="1" ref="T42" ca="1">InverseLookup($A42,Risks!$Y$2,Risks!$A$2,1,Helper!$B$1,",")</f>
        <v/>
      </c>
      <c r="U42" s="9" t="str">
        <f t="shared" ca="1" si="10"/>
        <v/>
      </c>
      <c r="V42" s="9" t="str" cm="1">
        <f t="array" aca="1" ref="V42" ca="1">CalculateMaxAndElements($T42,0,"",Risks!$A:$AG)</f>
        <v>0:</v>
      </c>
      <c r="W42" s="9">
        <f t="shared" ca="1" si="11"/>
        <v>0</v>
      </c>
      <c r="X42" s="9" t="str" cm="1">
        <f t="array" ref="X42">IF($J42="","",","&amp;SanitizeInput($J42))</f>
        <v/>
      </c>
      <c r="Y42" s="9" t="b" cm="1">
        <f t="array" aca="1" ref="Y42" ca="1">INDEX('Attack Steps'!$AE:$AE,$R42)</f>
        <v>0</v>
      </c>
      <c r="Z42" s="9" cm="1">
        <f t="array" aca="1" ref="Z42" ca="1">CreateID($Z$2,IFERROR(FIND(Definitions!$AR$4,$O42)&gt;0,FALSE))</f>
        <v>0</v>
      </c>
      <c r="AA42" s="9">
        <f>_xlfn.LET(
_xlpm._comment,$O42,
_xlpm._keyWord,Definitions!$AR$4,
_xlpm._diffLen,LEN(_xlpm._comment)-LEN(SUBSTITUTE(_xlpm._comment,_xlpm._keyWord,"")),
_xlpm._diffLen/LEN(_xlpm._keyWord))</f>
        <v>0</v>
      </c>
      <c r="AB42" s="9" cm="1">
        <f t="array" aca="1" ref="AB42" ca="1">CreateID($AB$2,IFERROR(FIND(Definitions!$AR$5,$O42)&gt;0,FALSE))</f>
        <v>0</v>
      </c>
      <c r="AC42" s="9">
        <f>_xlfn.LET(
_xlpm._comment,$O42,
_xlpm._keyWord,Definitions!$AR$5,
_xlpm._diffLen,LEN(_xlpm._comment)-LEN(SUBSTITUTE(_xlpm._comment,_xlpm._keyWord,"")),
_xlpm._diffLen/LEN(_xlpm._keyWord))</f>
        <v>0</v>
      </c>
      <c r="AD42" s="9" t="str" cm="1">
        <f t="array" ref="AD42">CreateSearchString($J42)</f>
        <v/>
      </c>
      <c r="AE42" s="9" t="str" cm="1">
        <f t="array" aca="1" ref="AE42" ca="1">_xlfn.LET(
_xlpm._selected,SanitizeInput($J42),
_xlpm._catalogOptions,SanitizeInput($F42)&amp;SanitizeInput($G42)&amp;SanitizeInput($H42),
_xlpm._selectedNotInOptions,FilterElementsFromList(_xlpm._selected,_xlpm._catalogOptions,FALSE,","),
IF(_xlpm._selectedNotInOptions="","",$A42&amp;" "&amp;$B42&amp;": "&amp;SUBSTITUTE(RemoveDelimiter(_xlpm._selectedNotInOptions,","),",",", ")))</f>
        <v/>
      </c>
      <c r="AF42" s="9" cm="1">
        <f t="array" aca="1" ref="AF42" ca="1">CreateID($AF$2,$AE42&lt;&gt;"")</f>
        <v>0</v>
      </c>
      <c r="AG42" s="9" t="str" cm="1">
        <f t="array" aca="1" ref="AG42" ca="1">_xlfn.LET(
_xlpm._delimiter,","&amp;CHAR(10),
_xlpm._assumptions,ParseAllMitigationsFromComment($A42,"-","A",$O42,Definitions!$AR$4,Definitions!$AS$4,Definitions!$AR$6,_xlpm._delimiter,1),
_xlpm._countermeasures,ParseAllMitigationsFromComment($A42,"-","C",$O42,Definitions!$AR$5,Definitions!$AS$5,Definitions!$AR$6,_xlpm._delimiter,1),
IF(_xlpm._countermeasures="",RemoveDelimiter(_xlpm._assumptions,_xlpm._delimiter),_xlpm._assumptions&amp;RemoveDelimiter(_xlpm._countermeasures,_xlpm._delimiter)))</f>
        <v/>
      </c>
      <c r="AH42" s="9" t="str" cm="1">
        <f t="array" ref="AH42">CreateSearchString(SanitizeInput($J42)&amp;GetValuesIgnoreErrors(SanitizeInput($J42),Countermeasures!$A:$H,"",",",FALSE))</f>
        <v/>
      </c>
      <c r="AI42" s="9" t="str" cm="1">
        <f t="array" aca="1" ref="AI42" ca="1">IF(AND(IFERROR(FIND(","&amp;Countermeasures!$A$31&amp;",",$AH42)&gt;0,FALSE),Countermeasures!$AB$31=TRUE,SimpleLookup(Questions!$A$48,Questionnaire!$B:$D)=Definitions!$A$5),$A42&amp;" "&amp;$B42,"")</f>
        <v/>
      </c>
      <c r="AJ42" s="9" cm="1">
        <f t="array" aca="1" ref="AJ42" ca="1">CreateID($AJ$2,$AI42&lt;&gt;"")</f>
        <v>0</v>
      </c>
      <c r="AK42" s="9" t="str">
        <f ca="1">IF(AND($Y42=FALSE,$J42&lt;&gt;""),$A42&amp;" "&amp;$B42,"")</f>
        <v/>
      </c>
      <c r="AL42" s="9" cm="1">
        <f t="array" aca="1" ref="AL42" ca="1">CreateID($AL$2,$AK42&lt;&gt;"")</f>
        <v>0</v>
      </c>
      <c r="AM42" s="9" t="str">
        <f t="shared" si="3"/>
        <v/>
      </c>
      <c r="AN42" s="9" cm="1">
        <f t="array" aca="1" ref="AN42" ca="1">CreateID($AN$2,$AM42&lt;&gt;"")</f>
        <v>0</v>
      </c>
    </row>
    <row r="43" spans="1:40" ht="45" x14ac:dyDescent="0.25">
      <c r="A43" s="13" t="str" cm="1">
        <f t="array" aca="1" ref="A43" ca="1">IF($R43=0,"",INDEX('Attack Steps'!A:A,$R43))</f>
        <v>AS41</v>
      </c>
      <c r="B43" s="13" t="str" cm="1">
        <f t="array" aca="1" ref="B43" ca="1">IF($R43=0,"",INDEX('Attack Steps'!B:B,$R43))</f>
        <v>Extracting information from a decommissioned or second-hand device's RAM</v>
      </c>
      <c r="C43" s="10">
        <f>3</f>
        <v>3</v>
      </c>
      <c r="D43" s="16" t="str" cm="1">
        <f t="array" aca="1" ref="D43" ca="1">_xlfn.LET(
_xlpm._displayLimit,$C43,
_xlpm._risks,$S43,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E43" s="13" t="str" cm="1">
        <f t="array" aca="1" ref="E43" ca="1">_xlfn.LET(_xlpm._riskValue,CalculateMaxFromList($T43,0,Risks!$A:$Z),
INDEX(Definitions!$AE:$AE,MATCH(_xlpm._riskValue,Definitions!$AF:$AF,0)))</f>
        <v>No Risk</v>
      </c>
      <c r="F43" s="13" t="str" cm="1">
        <f t="array" aca="1" ref="F43" ca="1">IF($A43="","",SUBSTITUTE(RemoveDelimiter(SanitizeInput(SimpleLookup($A43,'Attack Steps'!$A:$AA)),","),",",", "))</f>
        <v>C17</v>
      </c>
      <c r="G43" s="13" t="str" cm="1">
        <f t="array" aca="1" ref="G43" ca="1">IF($A43="","",SUBSTITUTE(RemoveDelimiter(SanitizeInput(SimpleLookup($A43,'Attack Steps'!$A:$AB)),","),",",", "))</f>
        <v/>
      </c>
      <c r="H43" s="55" t="str" cm="1">
        <f t="array" aca="1" ref="H43" ca="1">IF($A43="","",_xlfn.LET(
_xlpm._proposedActive,SanitizeInput($G43),
_xlpm._proposedAll,SimpleLookup($A43,'Attack Steps'!$A:$AC),
_xlpm._proposedDiff,FilterElementsFromList(_xlpm._proposedAll,_xlpm._proposedActive,FALSE,","),
SUBSTITUTE(RemoveDelimiter(SanitizeInput(_xlpm._proposedDiff),","),",",", ")))</f>
        <v/>
      </c>
      <c r="I43" s="13" t="str" cm="1">
        <f t="array" aca="1" ref="I43" ca="1">RemoveDelimiter(GetValuesWithFallback(SanitizeInput($F43)&amp;SanitizeInput($G43)&amp;SanitizeInput($H43),Countermeasures!$A:$B,Assumptions!$A:$B," ",","&amp;CHAR(10),TRUE),","&amp;CHAR(10))</f>
        <v>C17 CR 4.2 – Information persistence</v>
      </c>
      <c r="J43" s="10"/>
      <c r="K43" s="13" t="str" cm="1">
        <f t="array" ref="K43">RemoveDelimiter(GetValuesWithFallback(SanitizeInput($J43),Countermeasures!$A:$B,Assumptions!$A:$B," ",","&amp;CHAR(10),TRUE),","&amp;CHAR(10))</f>
        <v/>
      </c>
      <c r="L43" s="10">
        <f>3</f>
        <v>3</v>
      </c>
      <c r="M43" s="16" t="str" cm="1">
        <f t="array" aca="1" ref="M43" ca="1">_xlfn.LET(
_xlpm._displayLimit,$L43,
_xlpm._risks,$V43,
_xlpm._delimiter,CHAR(10)&amp;REPT(_xlfn.UNICHAR(9552),50)&amp;CHAR(10),
_xlpm._attackPaths,RemoveDelimiter(GetValues(RIGHT(_xlpm._risks,LEN(_xlpm._risks)-FIND(":",_xlpm._risks)),Risks!$A:$B," ",_xlpm._delimiter,TRUE),_xlpm._delimiter),
IF(_xlpm._displayLimit="",
_xlpm._attackPaths,
IFERROR(RemoveDelimiter(LEFT(_xlpm._attackPaths,FIND(CHAR(1),SUBSTITUTE(_xlpm._attackPaths,_xlpm._delimiter,CHAR(1),_xlpm._displayLimit))),CHAR(10)),_xlpm._attackPaths)))</f>
        <v/>
      </c>
      <c r="N43" s="13" t="str">
        <f ca="1">INDEX(Definitions!$AE:$AE,MATCH($W43,Definitions!$AF:$AF,0))</f>
        <v>No Risk</v>
      </c>
      <c r="O43" s="10"/>
      <c r="P43" s="9" cm="1">
        <f t="array" aca="1" ref="P43" ca="1">CreateID($P$2,$A43&lt;&gt;"")</f>
        <v>41</v>
      </c>
      <c r="Q43" s="9" cm="1">
        <f t="array" ref="Q43">CreateTaskID($Q$2,$Q:$Q,Tasks!$B$17,$O43)</f>
        <v>0</v>
      </c>
      <c r="R43" s="9">
        <f ca="1">IFERROR(MATCH(ROW()-ROW($R$2),'Attack Steps'!$R:$R,0),0)</f>
        <v>43</v>
      </c>
      <c r="S43" s="9" t="str" cm="1">
        <f t="array" aca="1" ref="S43" ca="1">CalculateMaxAndElements($T43,0,"",Risks!$A:$Z)</f>
        <v>0:</v>
      </c>
      <c r="T43" s="9" t="str" cm="1">
        <f t="array" aca="1" ref="T43" ca="1">InverseLookup($A43,Risks!$Y$2,Risks!$A$2,1,Helper!$B$1,",")</f>
        <v/>
      </c>
      <c r="U43" s="9" t="str">
        <f ca="1">IF($T43="","",","&amp;$T43)</f>
        <v/>
      </c>
      <c r="V43" s="9" t="str" cm="1">
        <f t="array" aca="1" ref="V43" ca="1">CalculateMaxAndElements($T43,0,"",Risks!$A:$AG)</f>
        <v>0:</v>
      </c>
      <c r="W43" s="9">
        <f ca="1">IF($V43="","",VALUE(LEFT($V43,FIND(":",$V43)-1)))</f>
        <v>0</v>
      </c>
      <c r="X43" s="9" t="str" cm="1">
        <f t="array" ref="X43">IF($J43="","",","&amp;SanitizeInput($J43))</f>
        <v/>
      </c>
      <c r="Y43" s="9" t="b" cm="1">
        <f t="array" aca="1" ref="Y43" ca="1">INDEX('Attack Steps'!$AE:$AE,$R43)</f>
        <v>0</v>
      </c>
      <c r="Z43" s="9" cm="1">
        <f t="array" aca="1" ref="Z43" ca="1">CreateID($Z$2,IFERROR(FIND(Definitions!$AR$4,$O43)&gt;0,FALSE))</f>
        <v>0</v>
      </c>
      <c r="AA43" s="9">
        <f>_xlfn.LET(
_xlpm._comment,$O43,
_xlpm._keyWord,Definitions!$AR$4,
_xlpm._diffLen,LEN(_xlpm._comment)-LEN(SUBSTITUTE(_xlpm._comment,_xlpm._keyWord,"")),
_xlpm._diffLen/LEN(_xlpm._keyWord))</f>
        <v>0</v>
      </c>
      <c r="AB43" s="9" cm="1">
        <f t="array" aca="1" ref="AB43" ca="1">CreateID($AB$2,IFERROR(FIND(Definitions!$AR$5,$O43)&gt;0,FALSE))</f>
        <v>0</v>
      </c>
      <c r="AC43" s="9">
        <f>_xlfn.LET(
_xlpm._comment,$O43,
_xlpm._keyWord,Definitions!$AR$5,
_xlpm._diffLen,LEN(_xlpm._comment)-LEN(SUBSTITUTE(_xlpm._comment,_xlpm._keyWord,"")),
_xlpm._diffLen/LEN(_xlpm._keyWord))</f>
        <v>0</v>
      </c>
      <c r="AD43" s="9" t="str" cm="1">
        <f t="array" ref="AD43">CreateSearchString($J43)</f>
        <v/>
      </c>
      <c r="AE43" s="9" t="str" cm="1">
        <f t="array" aca="1" ref="AE43" ca="1">_xlfn.LET(
_xlpm._selected,SanitizeInput($J43),
_xlpm._catalogOptions,SanitizeInput($F43)&amp;SanitizeInput($G43)&amp;SanitizeInput($H43),
_xlpm._selectedNotInOptions,FilterElementsFromList(_xlpm._selected,_xlpm._catalogOptions,FALSE,","),
IF(_xlpm._selectedNotInOptions="","",$A43&amp;" "&amp;$B43&amp;": "&amp;SUBSTITUTE(RemoveDelimiter(_xlpm._selectedNotInOptions,","),",",", ")))</f>
        <v/>
      </c>
      <c r="AF43" s="9" cm="1">
        <f t="array" aca="1" ref="AF43" ca="1">CreateID($AF$2,$AE43&lt;&gt;"")</f>
        <v>0</v>
      </c>
      <c r="AG43" s="9" t="str" cm="1">
        <f t="array" aca="1" ref="AG43" ca="1">_xlfn.LET(
_xlpm._delimiter,","&amp;CHAR(10),
_xlpm._assumptions,ParseAllMitigationsFromComment($A43,"-","A",$O43,Definitions!$AR$4,Definitions!$AS$4,Definitions!$AR$6,_xlpm._delimiter,1),
_xlpm._countermeasures,ParseAllMitigationsFromComment($A43,"-","C",$O43,Definitions!$AR$5,Definitions!$AS$5,Definitions!$AR$6,_xlpm._delimiter,1),
IF(_xlpm._countermeasures="",RemoveDelimiter(_xlpm._assumptions,_xlpm._delimiter),_xlpm._assumptions&amp;RemoveDelimiter(_xlpm._countermeasures,_xlpm._delimiter)))</f>
        <v/>
      </c>
      <c r="AH43" s="9" t="str" cm="1">
        <f t="array" ref="AH43">CreateSearchString(SanitizeInput($J43)&amp;GetValuesIgnoreErrors(SanitizeInput($J43),Countermeasures!$A:$H,"",",",FALSE))</f>
        <v/>
      </c>
      <c r="AI43" s="9" t="str" cm="1">
        <f t="array" aca="1" ref="AI43" ca="1">IF(AND(IFERROR(FIND(","&amp;Countermeasures!$A$31&amp;",",$AH43)&gt;0,FALSE),Countermeasures!$AB$31=TRUE,SimpleLookup(Questions!$A$48,Questionnaire!$B:$D)=Definitions!$A$5),$A43&amp;" "&amp;$B43,"")</f>
        <v/>
      </c>
      <c r="AJ43" s="9" cm="1">
        <f t="array" aca="1" ref="AJ43" ca="1">CreateID($AJ$2,$AI43&lt;&gt;"")</f>
        <v>0</v>
      </c>
      <c r="AK43" s="9" t="str">
        <f ca="1">IF(AND($Y43=FALSE,$J43&lt;&gt;""),$A43&amp;" "&amp;$B43,"")</f>
        <v/>
      </c>
      <c r="AL43" s="9" cm="1">
        <f t="array" aca="1" ref="AL43" ca="1">CreateID($AL$2,$AK43&lt;&gt;"")</f>
        <v>0</v>
      </c>
      <c r="AM43" s="9" t="str">
        <f>IF(IFERROR(FIND("ERROR:",$K43)&gt;0,FALSE),$A43&amp;" "&amp;$B43,"")</f>
        <v/>
      </c>
      <c r="AN43" s="9" cm="1">
        <f t="array" aca="1" ref="AN43" ca="1">CreateID($AN$2,$AM43&lt;&gt;"")</f>
        <v>0</v>
      </c>
    </row>
  </sheetData>
  <phoneticPr fontId="4" type="noConversion"/>
  <conditionalFormatting sqref="A1:O1048576">
    <cfRule type="expression" dxfId="54" priority="384">
      <formula>AND(ROW($Y1)&gt;ROW($Y$2),$Y1=FALSE)</formula>
    </cfRule>
  </conditionalFormatting>
  <conditionalFormatting sqref="J1:J1048576">
    <cfRule type="expression" dxfId="47" priority="385">
      <formula>AND(ROW($J1)&gt;ROW($J$2),$AE1&lt;&gt;"")</formula>
    </cfRule>
  </conditionalFormatting>
  <pageMargins left="0.7" right="0.7" top="0.75" bottom="0.75" header="0.3" footer="0.3"/>
  <pageSetup paperSize="9" scale="31" fitToHeight="0"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386" id="{C2876023-A483-4585-BEEF-8BFE45FC4AC7}">
            <xm:f>AND(ROW($Y1)&gt;ROW($Y$2),AND($A1="",ROW($A1)-ROW($A$2)&lt;Helper!$B$5))</xm:f>
            <x14:dxf>
              <fill>
                <patternFill>
                  <bgColor theme="9" tint="0.59996337778862885"/>
                </patternFill>
              </fill>
            </x14:dxf>
          </x14:cfRule>
          <xm:sqref>A1:O1048576</xm:sqref>
        </x14:conditionalFormatting>
        <x14:conditionalFormatting xmlns:xm="http://schemas.microsoft.com/office/excel/2006/main">
          <x14:cfRule type="expression" priority="3" id="{495D0B99-8BD4-44F5-9A36-C1D266A52FDC}">
            <xm:f>E1=Definitions!$AE$4</xm:f>
            <x14:dxf>
              <font>
                <color theme="3" tint="-0.499984740745262"/>
              </font>
              <fill>
                <patternFill>
                  <bgColor theme="3" tint="0.59996337778862885"/>
                </patternFill>
              </fill>
            </x14:dxf>
          </x14:cfRule>
          <x14:cfRule type="expression" priority="11" id="{48EE8EA1-2EFA-4C73-AF87-9E1174864B45}">
            <xm:f>E1=Definitions!$AE$5</xm:f>
            <x14:dxf>
              <font>
                <color theme="1"/>
              </font>
              <fill>
                <patternFill>
                  <bgColor rgb="FF99FFCC"/>
                </patternFill>
              </fill>
            </x14:dxf>
          </x14:cfRule>
          <x14:cfRule type="expression" priority="12" id="{B10DD826-8AF6-4E05-8699-FBDF9B612114}">
            <xm:f>E1=Definitions!$AE$6</xm:f>
            <x14:dxf>
              <font>
                <color theme="1"/>
              </font>
              <fill>
                <patternFill>
                  <bgColor rgb="FFCCFF33"/>
                </patternFill>
              </fill>
            </x14:dxf>
          </x14:cfRule>
          <x14:cfRule type="expression" priority="13" id="{63DFA6B4-701D-4754-AE99-E27E51C8E015}">
            <xm:f>E1=Definitions!$AE$7</xm:f>
            <x14:dxf>
              <font>
                <color theme="1"/>
              </font>
              <fill>
                <patternFill>
                  <bgColor rgb="FFFFCC00"/>
                </patternFill>
              </fill>
            </x14:dxf>
          </x14:cfRule>
          <x14:cfRule type="expression" priority="14" id="{397940E9-0293-428F-ACEC-AF17BADEC8B3}">
            <xm:f>E1=Definitions!$AE$8</xm:f>
            <x14:dxf>
              <font>
                <color theme="1"/>
              </font>
              <fill>
                <patternFill>
                  <bgColor rgb="FFFF3300"/>
                </patternFill>
              </fill>
            </x14:dxf>
          </x14:cfRule>
          <xm:sqref>E1:E1048576 N1:N1048576</xm:sqref>
        </x14:conditionalFormatting>
        <x14:conditionalFormatting xmlns:xm="http://schemas.microsoft.com/office/excel/2006/main">
          <x14:cfRule type="expression" priority="2" id="{91319E02-2B1C-498A-980D-CD250107BA76}">
            <xm:f>IFERROR(FIND(Tasks!$B$17,O1)&gt;0,FALSE)</xm:f>
            <x14:dxf>
              <font>
                <b/>
                <i val="0"/>
                <color rgb="FF99FFCC"/>
              </font>
            </x14:dxf>
          </x14:cfRule>
          <xm:sqref>O1:O1048576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78B33-4B77-4B88-AFA4-727EEA5E1AC7}">
  <sheetPr>
    <tabColor theme="1" tint="0.14999847407452621"/>
    <pageSetUpPr fitToPage="1"/>
  </sheetPr>
  <dimension ref="A1:AW5"/>
  <sheetViews>
    <sheetView workbookViewId="0">
      <pane xSplit="4" ySplit="4" topLeftCell="F5" activePane="bottomRight" state="frozen"/>
      <selection pane="topRight" activeCell="E1" sqref="E1"/>
      <selection pane="bottomLeft" activeCell="A5" sqref="A5"/>
      <selection pane="bottomRight" activeCell="A5" sqref="A5"/>
    </sheetView>
  </sheetViews>
  <sheetFormatPr defaultColWidth="9.140625" defaultRowHeight="15" outlineLevelRow="1" outlineLevelCol="1" x14ac:dyDescent="0.25"/>
  <cols>
    <col min="1" max="1" width="19.5703125" style="8" customWidth="1" outlineLevel="1"/>
    <col min="2" max="2" width="5.7109375" style="80" customWidth="1" outlineLevel="1"/>
    <col min="3" max="3" width="15.7109375" style="4" customWidth="1"/>
    <col min="4" max="4" width="60.7109375" style="4" customWidth="1"/>
    <col min="5" max="5" width="60.7109375" style="4" hidden="1" customWidth="1" outlineLevel="1"/>
    <col min="6" max="6" width="15.7109375" style="4" customWidth="1" collapsed="1"/>
    <col min="7" max="7" width="35.7109375" style="4" hidden="1" customWidth="1" outlineLevel="1"/>
    <col min="8" max="8" width="15.7109375" style="4" customWidth="1" collapsed="1"/>
    <col min="9" max="9" width="15.7109375" style="4" customWidth="1"/>
    <col min="10" max="10" width="45.7109375" style="4" customWidth="1"/>
    <col min="11" max="11" width="60.7109375" style="4" customWidth="1" outlineLevel="1"/>
    <col min="12" max="12" width="15.7109375" style="4" customWidth="1"/>
    <col min="13" max="13" width="35.7109375" style="4" customWidth="1" outlineLevel="1"/>
    <col min="14" max="15" width="15.7109375" style="4" customWidth="1"/>
    <col min="16" max="17" width="15.7109375" style="4" customWidth="1" outlineLevel="1"/>
    <col min="18" max="18" width="15.7109375" style="4" customWidth="1"/>
    <col min="19" max="19" width="60.7109375" style="4" customWidth="1"/>
    <col min="20" max="20" width="45.7109375" style="4" customWidth="1"/>
    <col min="21" max="21" width="12.5703125" style="2" hidden="1" customWidth="1"/>
    <col min="22" max="25" width="9.140625" style="2" hidden="1" customWidth="1"/>
    <col min="26" max="26" width="21.5703125" style="2" hidden="1" customWidth="1"/>
    <col min="27" max="27" width="10.85546875" style="2" hidden="1" customWidth="1"/>
    <col min="28" max="28" width="27.5703125" style="2" hidden="1" customWidth="1"/>
    <col min="29" max="29" width="25.5703125" style="2" hidden="1" customWidth="1"/>
    <col min="30" max="30" width="26.7109375" style="2" hidden="1" customWidth="1"/>
    <col min="31" max="31" width="24.7109375" style="2" hidden="1" customWidth="1"/>
    <col min="32" max="32" width="41.28515625" style="2" hidden="1" customWidth="1"/>
    <col min="33" max="33" width="17.42578125" style="2" hidden="1" customWidth="1"/>
    <col min="34" max="35" width="37" style="2" hidden="1" customWidth="1"/>
    <col min="36" max="37" width="38" style="2" hidden="1" customWidth="1"/>
    <col min="38" max="38" width="41.42578125" style="2" hidden="1" customWidth="1"/>
    <col min="39" max="39" width="40.5703125" style="2" hidden="1" customWidth="1"/>
    <col min="40" max="40" width="41.7109375" style="2" hidden="1" customWidth="1"/>
    <col min="41" max="41" width="40.85546875" style="2" hidden="1" customWidth="1"/>
    <col min="42" max="42" width="34.140625" style="2" hidden="1" customWidth="1"/>
    <col min="43" max="43" width="19.140625" style="2" hidden="1" customWidth="1"/>
    <col min="44" max="44" width="24.5703125" style="2" hidden="1" customWidth="1"/>
    <col min="45" max="45" width="22.42578125" style="2" hidden="1" customWidth="1"/>
    <col min="46" max="46" width="15.5703125" style="2" hidden="1" customWidth="1"/>
    <col min="47" max="47" width="25.140625" style="2" hidden="1" customWidth="1"/>
    <col min="48" max="48" width="20.7109375" style="2" hidden="1" customWidth="1"/>
    <col min="49" max="49" width="22.140625" style="2" hidden="1" customWidth="1"/>
    <col min="50" max="16384" width="9.140625" style="2"/>
  </cols>
  <sheetData>
    <row r="1" spans="1:49" s="80" customFormat="1" outlineLevel="1" x14ac:dyDescent="0.25">
      <c r="A1" s="80" t="str" cm="1">
        <f t="array" aca="1" ref="A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HYPERLINK("#'"&amp;Helper!$G$2&amp;"'!"&amp;CHAR(CODE("A")+COLUMN(_xlpm._columnNameHeader)-1)&amp;_xlpm._entryOffset,Definitions!$AY$4)))(Helper!$G$14,A$4,README!$E:$E,README!$I$35,README!$B$35)</f>
        <v>◈</v>
      </c>
      <c r="C1" s="80" t="str" cm="1">
        <f t="array" aca="1" ref="C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HYPERLINK("#'"&amp;Helper!$G$2&amp;"'!"&amp;CHAR(CODE("A")+COLUMN(_xlpm._columnNameHeader)-1)&amp;_xlpm._entryOffset,Definitions!$AY$4)))(Helper!$G$14,$C$2,README!$E:$E,README!$I$35,README!$B$35)</f>
        <v>◈</v>
      </c>
    </row>
    <row r="2" spans="1:49" outlineLevel="1" x14ac:dyDescent="0.25">
      <c r="A2" s="60" t="s">
        <v>806</v>
      </c>
      <c r="C2" s="6" t="s">
        <v>224</v>
      </c>
      <c r="D2" s="35" t="str" cm="1">
        <f t="array" aca="1" ref="D2" ca="1">RemoveDelimiter(FilterElementsFromList(Helper!$B$2,Helper!$B$3,FALSE,", "),", ")</f>
        <v/>
      </c>
    </row>
    <row r="3" spans="1:49" s="80" customFormat="1" outlineLevel="1" x14ac:dyDescent="0.25">
      <c r="A3" s="82" t="str">
        <f>_xlfn.UNICHAR(11206)</f>
        <v>⯆</v>
      </c>
      <c r="C3" s="79" t="str" cm="1">
        <f t="array" aca="1" ref="C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HYPERLINK("#'"&amp;Helper!$G$2&amp;"'!"&amp;CHAR(CODE("A")+COLUMN(_xlpm._columnNameHeader)-1)&amp;_xlpm._entryOffset,Definitions!$AY$4)))(Helper!$G$14,C$4,README!$E:$E,README!$I$35,README!$B$35)</f>
        <v>◈</v>
      </c>
      <c r="D3" s="79" t="str" cm="1">
        <f t="array" aca="1" ref="D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HYPERLINK("#'"&amp;Helper!$G$2&amp;"'!"&amp;CHAR(CODE("A")+COLUMN(_xlpm._columnNameHeader)-1)&amp;_xlpm._entryOffset,Definitions!$AY$4)))(Helper!$G$14,D$4,README!$E:$E,README!$I$35,README!$B$35)</f>
        <v>◈</v>
      </c>
      <c r="E3" s="79" t="str" cm="1">
        <f t="array" aca="1" ref="E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HYPERLINK("#'"&amp;Helper!$G$2&amp;"'!"&amp;CHAR(CODE("A")+COLUMN(_xlpm._columnNameHeader)-1)&amp;_xlpm._entryOffset,Definitions!$AY$4)))(Helper!$G$14,E$4,README!$E:$E,README!$I$35,README!$B$35)</f>
        <v>◈</v>
      </c>
      <c r="F3" s="79" t="str" cm="1">
        <f t="array" aca="1" ref="F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HYPERLINK("#'"&amp;Helper!$G$2&amp;"'!"&amp;CHAR(CODE("A")+COLUMN(_xlpm._columnNameHeader)-1)&amp;_xlpm._entryOffset,Definitions!$AY$4)))(Helper!$G$14,F$4,README!$E:$E,README!$I$35,README!$B$35)</f>
        <v>◈</v>
      </c>
      <c r="G3" s="79" t="str" cm="1">
        <f t="array" aca="1" ref="G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HYPERLINK("#'"&amp;Helper!$G$2&amp;"'!"&amp;CHAR(CODE("A")+COLUMN(_xlpm._columnNameHeader)-1)&amp;_xlpm._entryOffset,Definitions!$AY$4)))(Helper!$G$14,G$4,README!$E:$E,README!$I$35,README!$B$35)</f>
        <v>◈</v>
      </c>
      <c r="H3" s="79" t="str" cm="1">
        <f t="array" aca="1" ref="H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HYPERLINK("#'"&amp;Helper!$G$2&amp;"'!"&amp;CHAR(CODE("A")+COLUMN(_xlpm._columnNameHeader)-1)&amp;_xlpm._entryOffset,Definitions!$AY$4)))(Helper!$G$14,H$4,README!$E:$E,README!$I$35,README!$B$35)</f>
        <v>◈</v>
      </c>
      <c r="I3" s="79" t="str" cm="1">
        <f t="array" aca="1" ref="I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HYPERLINK("#'"&amp;Helper!$G$2&amp;"'!"&amp;CHAR(CODE("A")+COLUMN(_xlpm._columnNameHeader)-1)&amp;_xlpm._entryOffset,Definitions!$AY$4)))(Helper!$G$14,I$4,README!$E:$E,README!$I$35,README!$B$35)</f>
        <v>◈</v>
      </c>
      <c r="J3" s="79" t="str" cm="1">
        <f t="array" aca="1" ref="J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HYPERLINK("#'"&amp;Helper!$G$2&amp;"'!"&amp;CHAR(CODE("A")+COLUMN(_xlpm._columnNameHeader)-1)&amp;_xlpm._entryOffset,Definitions!$AY$4)))(Helper!$G$14,J$4,README!$E:$E,README!$I$35,README!$B$35)</f>
        <v>◈</v>
      </c>
      <c r="K3" s="79" t="str" cm="1">
        <f t="array" aca="1" ref="K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HYPERLINK("#'"&amp;Helper!$G$2&amp;"'!"&amp;CHAR(CODE("A")+COLUMN(_xlpm._columnNameHeader)-1)&amp;_xlpm._entryOffset,Definitions!$AY$4)))(Helper!$G$14,K$4,README!$E:$E,README!$I$35,README!$B$35)</f>
        <v>◈</v>
      </c>
      <c r="L3" s="79" t="str" cm="1">
        <f t="array" aca="1" ref="L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HYPERLINK("#'"&amp;Helper!$G$2&amp;"'!"&amp;CHAR(CODE("A")+COLUMN(_xlpm._columnNameHeader)-1)&amp;_xlpm._entryOffset,Definitions!$AY$4)))(Helper!$G$14,L$4,README!$E:$E,README!$I$35,README!$B$35)</f>
        <v>◈</v>
      </c>
      <c r="M3" s="79" t="str" cm="1">
        <f t="array" aca="1" ref="M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HYPERLINK("#'"&amp;Helper!$G$2&amp;"'!"&amp;CHAR(CODE("A")+COLUMN(_xlpm._columnNameHeader)-1)&amp;_xlpm._entryOffset,Definitions!$AY$4)))(Helper!$G$14,M$4,README!$E:$E,README!$I$35,README!$B$35)</f>
        <v>◈</v>
      </c>
      <c r="N3" s="79" t="str" cm="1">
        <f t="array" aca="1" ref="N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HYPERLINK("#'"&amp;Helper!$G$2&amp;"'!"&amp;CHAR(CODE("A")+COLUMN(_xlpm._columnNameHeader)-1)&amp;_xlpm._entryOffset,Definitions!$AY$4)))(Helper!$G$14,N$4,README!$E:$E,README!$I$35,README!$B$35)</f>
        <v>◈</v>
      </c>
      <c r="O3" s="79" t="str" cm="1">
        <f t="array" aca="1" ref="O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HYPERLINK("#'"&amp;Helper!$G$2&amp;"'!"&amp;CHAR(CODE("A")+COLUMN(_xlpm._columnNameHeader)-1)&amp;_xlpm._entryOffset,Definitions!$AY$4)))(Helper!$G$14,O$4,README!$E:$E,README!$I$35,README!$B$35)</f>
        <v>◈</v>
      </c>
      <c r="P3" s="79" t="str" cm="1">
        <f t="array" aca="1" ref="P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HYPERLINK("#'"&amp;Helper!$G$2&amp;"'!"&amp;CHAR(CODE("A")+COLUMN(_xlpm._columnNameHeader)-1)&amp;_xlpm._entryOffset,Definitions!$AY$4)))(Helper!$G$14,P$4,README!$E:$E,README!$I$35,README!$B$35)</f>
        <v>◈</v>
      </c>
      <c r="Q3" s="79" t="str" cm="1">
        <f t="array" aca="1" ref="Q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HYPERLINK("#'"&amp;Helper!$G$2&amp;"'!"&amp;CHAR(CODE("A")+COLUMN(_xlpm._columnNameHeader)-1)&amp;_xlpm._entryOffset,Definitions!$AY$4)))(Helper!$G$14,Q$4,README!$E:$E,README!$I$35,README!$B$35)</f>
        <v>◈</v>
      </c>
      <c r="R3" s="79" t="str" cm="1">
        <f t="array" aca="1" ref="R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HYPERLINK("#'"&amp;Helper!$G$2&amp;"'!"&amp;CHAR(CODE("A")+COLUMN(_xlpm._columnNameHeader)-1)&amp;_xlpm._entryOffset,Definitions!$AY$4)))(Helper!$G$14,R$4,README!$E:$E,README!$I$35,README!$B$35)</f>
        <v>◈</v>
      </c>
      <c r="S3" s="79" t="str" cm="1">
        <f t="array" aca="1" ref="S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HYPERLINK("#'"&amp;Helper!$G$2&amp;"'!"&amp;CHAR(CODE("A")+COLUMN(_xlpm._columnNameHeader)-1)&amp;_xlpm._entryOffset,Definitions!$AY$4)))(Helper!$G$14,S$4,README!$E:$E,README!$I$35,README!$B$35)</f>
        <v>◈</v>
      </c>
      <c r="T3" s="79" t="str" cm="1">
        <f t="array" aca="1" ref="T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HYPERLINK("#'"&amp;Helper!$G$2&amp;"'!"&amp;CHAR(CODE("A")+COLUMN(_xlpm._columnNameHeader)-1)&amp;_xlpm._entryOffset,Definitions!$AY$4)))(Helper!$G$14,T$4,README!$E:$E,README!$I$35,README!$B$35)</f>
        <v>◈</v>
      </c>
    </row>
    <row r="4" spans="1:49" ht="30" x14ac:dyDescent="0.25">
      <c r="A4" s="58" t="s">
        <v>807</v>
      </c>
      <c r="C4" s="10" t="s">
        <v>147</v>
      </c>
      <c r="D4" s="13" t="s">
        <v>76</v>
      </c>
      <c r="E4" s="13" t="s">
        <v>128</v>
      </c>
      <c r="F4" s="13" t="s">
        <v>158</v>
      </c>
      <c r="G4" s="13" t="s">
        <v>423</v>
      </c>
      <c r="H4" s="13" t="s">
        <v>159</v>
      </c>
      <c r="I4" s="13" t="s">
        <v>160</v>
      </c>
      <c r="J4" s="13" t="s">
        <v>233</v>
      </c>
      <c r="K4" s="13" t="s">
        <v>366</v>
      </c>
      <c r="L4" s="13" t="s">
        <v>364</v>
      </c>
      <c r="M4" s="13" t="s">
        <v>422</v>
      </c>
      <c r="N4" s="13" t="s">
        <v>363</v>
      </c>
      <c r="O4" s="13" t="s">
        <v>414</v>
      </c>
      <c r="P4" s="13" t="s">
        <v>372</v>
      </c>
      <c r="Q4" s="10" t="s">
        <v>373</v>
      </c>
      <c r="R4" s="13" t="s">
        <v>374</v>
      </c>
      <c r="S4" s="10" t="s">
        <v>375</v>
      </c>
      <c r="T4" s="10" t="s">
        <v>2</v>
      </c>
      <c r="U4" s="9" t="s">
        <v>47</v>
      </c>
      <c r="V4" s="9" t="s">
        <v>196</v>
      </c>
      <c r="W4" s="9" t="s">
        <v>75</v>
      </c>
      <c r="X4" s="9" t="s">
        <v>220</v>
      </c>
      <c r="Y4" s="9" t="s">
        <v>236</v>
      </c>
      <c r="Z4" s="9" t="s">
        <v>240</v>
      </c>
      <c r="AA4" s="9" t="s">
        <v>376</v>
      </c>
      <c r="AB4" s="9" t="s">
        <v>385</v>
      </c>
      <c r="AC4" s="9" t="s">
        <v>384</v>
      </c>
      <c r="AD4" s="9" t="s">
        <v>415</v>
      </c>
      <c r="AE4" s="9" t="s">
        <v>416</v>
      </c>
      <c r="AF4" s="9" t="s">
        <v>478</v>
      </c>
      <c r="AG4" s="9" t="s">
        <v>480</v>
      </c>
      <c r="AH4" s="9" t="s">
        <v>521</v>
      </c>
      <c r="AI4" s="9" t="s">
        <v>522</v>
      </c>
      <c r="AJ4" s="9" t="s">
        <v>523</v>
      </c>
      <c r="AK4" s="9" t="s">
        <v>524</v>
      </c>
      <c r="AL4" s="9" t="s">
        <v>525</v>
      </c>
      <c r="AM4" s="9" t="s">
        <v>526</v>
      </c>
      <c r="AN4" s="9" t="s">
        <v>527</v>
      </c>
      <c r="AO4" s="9" t="s">
        <v>528</v>
      </c>
      <c r="AP4" s="9" t="s">
        <v>1099</v>
      </c>
      <c r="AQ4" s="9" t="s">
        <v>1100</v>
      </c>
      <c r="AR4" s="9" t="s">
        <v>1104</v>
      </c>
      <c r="AS4" s="9" t="s">
        <v>1105</v>
      </c>
      <c r="AT4" s="9" t="s">
        <v>1134</v>
      </c>
      <c r="AU4" s="9" t="s">
        <v>1147</v>
      </c>
      <c r="AV4" s="9" t="s">
        <v>1148</v>
      </c>
      <c r="AW4" s="9" t="s">
        <v>1234</v>
      </c>
    </row>
    <row r="5" spans="1:49" x14ac:dyDescent="0.25">
      <c r="A5" s="59" t="str" cm="1">
        <f t="array" aca="1" ref="A5" ca="1">_xlfn._xlws.FILTER(Table8[R ID],Table8[R ID]&lt;&gt;"","")</f>
        <v/>
      </c>
      <c r="C5" s="10"/>
      <c r="D5" s="13" t="str" cm="1">
        <f t="array" ref="D5">IF($C5="","",IF($W5=-1,"ERROR: Unknown ID: "&amp;$C5,INDEX(Risks!B:B,$W5)))</f>
        <v/>
      </c>
      <c r="E5" s="25" t="str" cm="1">
        <f t="array" aca="1" ref="E5" ca="1">IF($W5=-1,"",INDEX(Risks!C:C,$W5))</f>
        <v/>
      </c>
      <c r="F5" s="13" t="str" cm="1">
        <f t="array" aca="1" ref="F5" ca="1">IF($W5=-1,"",INDEX(Risks!D:D,$W5))</f>
        <v/>
      </c>
      <c r="G5" s="16" t="str" cm="1">
        <f t="array" aca="1" ref="G5" ca="1">IF($W5=-1,"",INDEX(Risks!E:E,$W5))</f>
        <v/>
      </c>
      <c r="H5" s="13" t="str" cm="1">
        <f t="array" aca="1" ref="H5" ca="1">IF($W5=-1,"",INDEX(Risks!F:F,$W5))</f>
        <v/>
      </c>
      <c r="I5" s="13" t="str" cm="1">
        <f t="array" aca="1" ref="I5" ca="1">IF($W5=-1,"",INDEX(Risks!G:G,$W5))</f>
        <v/>
      </c>
      <c r="J5" s="13" t="str" cm="1">
        <f t="array" aca="1" ref="J5" ca="1">_xlfn.LET(
_xlpm._assignedMitigations,IF($C5="","",IFERROR(RemoveDelimiter(GetValuesWithFallback($AW5,Countermeasures!$A:$B,Assumptions!$A:$B," ",","&amp;CHAR(10),TRUE),","&amp;CHAR(10)),"Error: Unknown risk ID "&amp;$C5)),
_xlpm._inlineMitigations,$AQ5,
_xlpm._assignedMitigations&amp;
IF(OR(_xlpm._assignedMitigations="",_xlpm._inlineMitigations=""),"",","&amp;CHAR(10))&amp;
_xlpm._inlineMitigations)</f>
        <v/>
      </c>
      <c r="K5" s="25" t="str" cm="1">
        <f t="array" aca="1" ref="K5" ca="1">IF($W5=-1,"",RemoveDelimiter(GetValues(INDEX(Risks!O:O,$W5),'DS Overview'!$A:$B," ",","&amp;CHAR(10),TRUE),","&amp;CHAR(10)))</f>
        <v/>
      </c>
      <c r="L5" s="13" t="str" cm="1">
        <f t="array" ref="L5">IF($C5="","",SimpleLookup($C5,Risks!$A:$V))</f>
        <v/>
      </c>
      <c r="M5" s="16" t="str" cm="1">
        <f t="array" aca="1" ref="M5" ca="1">_xlfn.LET(
_xlpm._calculatedRAP,IFERROR(SimpleLookup($C5,Risks!$A:$AC),""),
_xlpm._inlineRAP,IFERROR(SimpleLookup($C5,Risks!$A:$AD),""),
_xlpm._calculatedValue,IFERROR(MATCH(_xlpm._calculatedRAP,Definitions!$W:$W,0),0),
_xlpm._inlineValue,IFERROR(MATCH(_xlpm._inlineRAP,Definitions!$W:$W,0),0),
_xlpm._mitigationSheetAddress,CELL("address",Mitigation!$A$2),
_xlpm._sheetNameStart,FIND("]",_xlpm._mitigationSheetAddress),
_xlpm._sheetNameEnd,FIND("!",_xlpm._mitigationSheetAddress),
_xlpm._mitigationSheetName,SUBSTITUTE(MID(_xlpm._mitigationSheetAddress,_xlpm._sheetNameStart+1,_xlpm._sheetNameEnd-_xlpm._sheetNameStart-1),"'",""),
IF(_xlpm._calculatedValue+_xlpm._inlineValue=0,"",
IF(_xlpm._calculatedValue&gt;=_xlpm._inlineValue,$AP5,
_xlpm._mitigationSheetName&amp;" sheet "&amp;_xlfn.UNICHAR(8702)&amp;" Comment column:"&amp;CHAR(10)&amp;$AQ5)))</f>
        <v/>
      </c>
      <c r="N5" s="13" t="str" cm="1">
        <f t="array" ref="N5">IF($C5="","",SimpleLookup($C5,Risks!$A:$AE))</f>
        <v/>
      </c>
      <c r="O5" s="13" t="str" cm="1">
        <f t="array" ref="O5">IF($C5="","",SimpleLookup($C5,Risks!$A:$AF))</f>
        <v/>
      </c>
      <c r="P5" s="13" t="str">
        <f>IF($C5="","",IF($AA5&lt;=Definitions!$AF$6,Definitions!$M$4,""))</f>
        <v/>
      </c>
      <c r="Q5" s="10"/>
      <c r="R5" s="13" t="str">
        <f>IF($Q5="",$P5,$Q5)</f>
        <v/>
      </c>
      <c r="S5" s="10"/>
      <c r="T5" s="10"/>
      <c r="U5" s="9" cm="1">
        <f t="array" aca="1" ref="U5" ca="1">CreateID($U$4,C5&lt;&gt;"")</f>
        <v>0</v>
      </c>
      <c r="V5" s="9" cm="1">
        <f t="array" ref="V5">CreateTaskID($V$4,$V:$V,Tasks!$B$17,$T5)</f>
        <v>0</v>
      </c>
      <c r="W5" s="9">
        <f ca="1">IFERROR(MATCH($C5,Risks!$A:$A,0),-1)</f>
        <v>-1</v>
      </c>
      <c r="X5" s="9" t="str" cm="1">
        <f t="array" ref="X5">IF(ROW()=ROW($X$4)+1,"",INDEX($X:$X,ROW()-1))&amp;IF($C5="","",$C5&amp;",")</f>
        <v/>
      </c>
      <c r="Y5" s="9" t="str" cm="1">
        <f t="array" aca="1" ref="Y5" ca="1">IF($W5=-1,"",INDEX(Risks!K:K,$W5))</f>
        <v/>
      </c>
      <c r="Z5" s="9" t="str" cm="1">
        <f t="array" aca="1" ref="Z5" ca="1">GetValues($Y5,'Attack Steps'!$A:$AA,"","",FALSE)</f>
        <v/>
      </c>
      <c r="AA5" s="9" cm="1">
        <f t="array" ref="AA5">IF($O5="",0,SimpleLookup($O5,Definitions!$AE:$AF))</f>
        <v>0</v>
      </c>
      <c r="AB5" s="9" t="str">
        <f t="shared" ref="AB5" si="0">IF(AND($Q5&lt;&gt;"",$S5=""),$C5&amp;" "&amp;$D5,"")</f>
        <v/>
      </c>
      <c r="AC5" s="9" cm="1">
        <f t="array" aca="1" ref="AC5" ca="1">CreateID($AC$4,AND($C5&lt;&gt;"",$AB5&lt;&gt;""))</f>
        <v>0</v>
      </c>
      <c r="AD5" s="9" t="str">
        <f t="shared" ref="AD5" si="1">IF(AND($P5="",$Q5=""),$C5&amp;" "&amp;$D5,"")</f>
        <v xml:space="preserve"> </v>
      </c>
      <c r="AE5" s="9" cm="1">
        <f t="array" aca="1" ref="AE5" ca="1">CreateID($AE$4,AND($C5&lt;&gt;"",$AD5&lt;&gt;""))</f>
        <v>0</v>
      </c>
      <c r="AF5" s="9" t="str" cm="1">
        <f t="array" ref="AF5">_xlfn.LET(
_xlpm._letters,IF(AND($R5&lt;&gt;"",$R5&lt;&gt;Definitions!$M$4),SimpleLookup(SimpleLookup($C5,Risks!$A:$L),'Attack Steps'!$A:$P),""),
IF(_xlpm._letters="","",","&amp;SanitizeInput(_xlpm._letters)))</f>
        <v/>
      </c>
      <c r="AG5" s="9" t="str">
        <f t="shared" ref="AG5" si="2">IF($AF5="","",$C5&amp;" ["&amp;$R5&amp;"]: "&amp;$S5)</f>
        <v/>
      </c>
      <c r="AH5" s="9" cm="1">
        <f t="array" aca="1" ref="AH5" ca="1">CreateID($AH$4,IFERROR(FIND(Definitions!$AR$4,$S5)&gt;0,FALSE))</f>
        <v>0</v>
      </c>
      <c r="AI5" s="9">
        <f>_xlfn.LET(
_xlpm._comment,$S5,
_xlpm._keyWord,Definitions!$AR$4,
_xlpm._diffLen,LEN(_xlpm._comment)-LEN(SUBSTITUTE(_xlpm._comment,_xlpm._keyWord,"")),
_xlpm._diffLen/LEN(_xlpm._keyWord))</f>
        <v>0</v>
      </c>
      <c r="AJ5" s="9" cm="1">
        <f t="array" aca="1" ref="AJ5" ca="1">CreateID($AJ$4,IFERROR(FIND(Definitions!$AR$4,$T5)&gt;0,FALSE))</f>
        <v>0</v>
      </c>
      <c r="AK5" s="9">
        <f>_xlfn.LET(
_xlpm._comment,$T5,
_xlpm._keyWord,Definitions!$AR$4,
_xlpm._diffLen,LEN(_xlpm._comment)-LEN(SUBSTITUTE(_xlpm._comment,_xlpm._keyWord,"")),
_xlpm._diffLen/LEN(_xlpm._keyWord))</f>
        <v>0</v>
      </c>
      <c r="AL5" s="9" cm="1">
        <f t="array" aca="1" ref="AL5" ca="1">CreateID($AL$4,IFERROR(FIND(Definitions!$AR$5,$S5)&gt;0,FALSE))</f>
        <v>0</v>
      </c>
      <c r="AM5" s="9">
        <f>_xlfn.LET(
_xlpm._comment,$S5,
_xlpm._keyWord,Definitions!$AR$5,
_xlpm._diffLen,LEN(_xlpm._comment)-LEN(SUBSTITUTE(_xlpm._comment,_xlpm._keyWord,"")),
_xlpm._diffLen/LEN(_xlpm._keyWord))</f>
        <v>0</v>
      </c>
      <c r="AN5" s="9" cm="1">
        <f t="array" aca="1" ref="AN5" ca="1">CreateID($AN$4,IFERROR(FIND(Definitions!$AR$5,$T5)&gt;0,FALSE))</f>
        <v>0</v>
      </c>
      <c r="AO5" s="9">
        <f>_xlfn.LET(
_xlpm._comment,$T5,
_xlpm._keyWord,Definitions!$AR$5,
_xlpm._diffLen,LEN(_xlpm._comment)-LEN(SUBSTITUTE(_xlpm._comment,_xlpm._keyWord,"")),
_xlpm._diffLen/LEN(_xlpm._keyWord))</f>
        <v>0</v>
      </c>
      <c r="AP5" s="9" t="str" cm="1">
        <f t="array" ref="AP5">IF($C5="","",_xlfn.LET(
_xlpm._list,SimpleLookup($C5,Risks!$A:$K)&amp;SimpleLookup($C5,Risks!$A:$AA),
_xlpm._numberOfFactors,MAX(Definitions!$AB:$AB),
OperateOnRange(
  'Attack Steps'!$H$2,
  TRUE,
  _xlpm._numberOfFactors,
  0,
  _xlfn.LAMBDA(_xlpm._factorClass,_xlfn.LET(
    _xlpm._maxForFactor,OperateOnList(
      _xlpm._list,
      _xlfn.LAMBDA(_xlpm._element,_xlfn.LET(
        _xlpm._factorNum,COLUMN(_xlpm._factorClass)-COLUMN('Attack Steps'!$H$2),
        _xlpm._factorName,IFERROR(VLOOKUP(_xlpm._element,'Attack Steps'!$A:$L,COLUMNS('Attack Steps'!$A:$H)+_xlpm._factorNum,FALSE),
          IFERROR(VLOOKUP(_xlpm._element,Countermeasures!$A:$P,COLUMNS(Countermeasures!$A:$L)+_xlpm._factorNum,FALSE),
            VLOOKUP(_xlpm._element,Assumptions!$A:$P,COLUMNS(Assumptions!$A:$L)+_xlpm._factorNum,FALSE))),
        IF(_xlpm._factorName="",0,SimpleLookup(_xlpm._factorName,Definitions!$Z:$AA)))),
      _xlfn.LAMBDA(_xlpm._x,_xlpm._y,MAX(_xlpm._x,_xlpm._y))),
    _xlpm._elementsWithMaxFactor,FilterListByCriterion(_xlpm._list,_xlpm._maxForFactor,_xlfn.LAMBDA(_xlpm._element,_xlfn.LET(
      _xlpm._factorNum,COLUMN(_xlpm._factorClass)-COLUMN('Attack Steps'!$H$2),
      _xlpm._factorName,IFERROR(VLOOKUP(_xlpm._element,'Attack Steps'!$A:$L,COLUMNS('Attack Steps'!$A:$H)+_xlpm._factorNum,FALSE),
        IFERROR(VLOOKUP(_xlpm._element,Countermeasures!$A:$P,COLUMNS(Countermeasures!$A:$L)+_xlpm._factorNum,FALSE),
          VLOOKUP(_xlpm._element,Assumptions!$A:$P,COLUMNS(Assumptions!$A:$L)+_xlpm._factorNum,FALSE))),
      IF(_xlpm._factorName="",0,SimpleLookup(_xlpm._factorName,Definitions!$Z:$AA)))),
      _xlfn.LAMBDA(_xlpm._x,_xlpm._y,_xlpm._x=_xlpm._y),", "),
    _xlpm._factorClass&amp;" ["&amp;_xlpm._maxForFactor&amp;"]: "&amp;RemoveDelimiter(_xlpm._elementsWithMaxFactor,", "))),
  _xlfn.LAMBDA(_xlpm._x,_xlpm._y,_xlpm._x&amp;CHAR(10)&amp;_xlpm._y))))</f>
        <v/>
      </c>
      <c r="AQ5" s="9" t="str" cm="1">
        <f t="array" aca="1" ref="AQ5" ca="1">RemoveDelimiter(GetValues($Y5,Mitigation!$A:$AG,"",","&amp;CHAR(10),FALSE),","&amp;CHAR(10))</f>
        <v/>
      </c>
      <c r="AR5" s="9" t="str" cm="1">
        <f t="array" ref="AR5">IF($C5="","",IF(ISERROR(SimpleLookup($C5,Risks!$A:$A)),$C5,""))</f>
        <v/>
      </c>
      <c r="AS5" s="9" cm="1">
        <f t="array" aca="1" ref="AS5" ca="1">CreateID($AS$4,$AR5&lt;&gt;"")</f>
        <v>0</v>
      </c>
      <c r="AT5" s="9" t="str" cm="1">
        <f t="array" ref="AT5">CreateSearchString($C5)</f>
        <v/>
      </c>
      <c r="AU5" s="9" t="str">
        <f>IF($C5="","",IF(MATCH($C5,$C:$C,0)=ROW($C5),"",$C5))</f>
        <v/>
      </c>
      <c r="AV5" s="9" cm="1">
        <f t="array" aca="1" ref="AV5" ca="1">CreateID($AV$4,$AU5&lt;&gt;"")</f>
        <v>0</v>
      </c>
      <c r="AW5" s="9" t="str" cm="1">
        <f t="array" ref="AW5">IF($C5="","",
_xlfn.LET(_xlpm._ids,SanitizeInput(SimpleLookup($C5,Risks!$A:$AA)),
_xlpm._assumptionIDs,SortList(_xlpm._ids,Assumptions!$A:$U,Helper!$B$6,"",",",TRUE),
_xlpm._countermeasureIDs,SortList(_xlpm._ids,Countermeasures!$A:$U,Helper!$B$4,"",",",TRUE),
_xlpm._sortedIDs,_xlpm._assumptionIDs&amp;_xlpm._countermeasureIDs,
_xlpm._sortedIDs))</f>
        <v/>
      </c>
    </row>
  </sheetData>
  <phoneticPr fontId="4" type="noConversion"/>
  <conditionalFormatting sqref="S1:S1048576">
    <cfRule type="expression" dxfId="39" priority="1">
      <formula>AND($Q1&lt;&gt;"",$S1="")</formula>
    </cfRule>
  </conditionalFormatting>
  <pageMargins left="0.7" right="0.7" top="0.75" bottom="0.75" header="0.3" footer="0.3"/>
  <pageSetup paperSize="9" scale="28" fitToHeight="0"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8" id="{6B91967B-8E03-43E6-9490-9119562478F0}">
            <xm:f>I1=Definitions!$AE$4</xm:f>
            <x14:dxf>
              <font>
                <color theme="3" tint="-0.499984740745262"/>
              </font>
              <fill>
                <patternFill>
                  <bgColor theme="3" tint="0.59996337778862885"/>
                </patternFill>
              </fill>
            </x14:dxf>
          </x14:cfRule>
          <x14:cfRule type="expression" priority="63" id="{79B33989-057A-4F2A-898C-264DCDEFAADB}">
            <xm:f>I1=Definitions!$AE$5</xm:f>
            <x14:dxf>
              <font>
                <color theme="1"/>
              </font>
              <fill>
                <patternFill>
                  <bgColor rgb="FF99FFCC"/>
                </patternFill>
              </fill>
            </x14:dxf>
          </x14:cfRule>
          <x14:cfRule type="expression" priority="64" id="{B5141C71-1516-4611-8E9B-A008F17AC73E}">
            <xm:f>I1=Definitions!$AE$6</xm:f>
            <x14:dxf>
              <font>
                <color theme="1"/>
              </font>
              <fill>
                <patternFill>
                  <bgColor rgb="FFCCFF33"/>
                </patternFill>
              </fill>
            </x14:dxf>
          </x14:cfRule>
          <x14:cfRule type="expression" priority="65" id="{306B264A-12C3-4D6A-9C0A-80435AABD679}">
            <xm:f>I1=Definitions!$AE$7</xm:f>
            <x14:dxf>
              <font>
                <color theme="1"/>
              </font>
              <fill>
                <patternFill>
                  <bgColor rgb="FFFFCC00"/>
                </patternFill>
              </fill>
            </x14:dxf>
          </x14:cfRule>
          <x14:cfRule type="expression" priority="66" id="{EF0BC30A-7BA9-41B8-9616-B2C56D2EFA79}">
            <xm:f>I1=Definitions!$AE$8</xm:f>
            <x14:dxf>
              <font>
                <color theme="1"/>
              </font>
              <fill>
                <patternFill>
                  <bgColor rgb="FFFF3300"/>
                </patternFill>
              </fill>
            </x14:dxf>
          </x14:cfRule>
          <xm:sqref>I1:I1048576 O1:O1048576</xm:sqref>
        </x14:conditionalFormatting>
        <x14:conditionalFormatting xmlns:xm="http://schemas.microsoft.com/office/excel/2006/main">
          <x14:cfRule type="expression" priority="2" id="{57F4CE5D-3888-4206-863A-15B9DE3458E2}">
            <xm:f>AND($O1&lt;&gt;"",$Q1="",$P1&lt;&gt;Definitions!$M$4)</xm:f>
            <x14:dxf>
              <border>
                <left style="thin">
                  <color rgb="FFFFB9B9"/>
                </left>
                <right style="thin">
                  <color rgb="FFFFB9B9"/>
                </right>
                <top style="thin">
                  <color rgb="FFFFB9B9"/>
                </top>
                <bottom style="thin">
                  <color rgb="FFFFB9B9"/>
                </bottom>
                <vertical/>
                <horizontal/>
              </border>
            </x14:dxf>
          </x14:cfRule>
          <xm:sqref>Q1:Q1048576</xm:sqref>
        </x14:conditionalFormatting>
        <x14:conditionalFormatting xmlns:xm="http://schemas.microsoft.com/office/excel/2006/main">
          <x14:cfRule type="expression" priority="3" id="{A7E543C0-735C-4605-9572-C17142E3E578}">
            <xm:f>IFERROR(FIND(Tasks!$B$17,T1)&gt;0,FALSE)</xm:f>
            <x14:dxf>
              <font>
                <b/>
                <i val="0"/>
                <color rgb="FF99FFCC"/>
              </font>
            </x14:dxf>
          </x14:cfRule>
          <xm:sqref>T1:T1048576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65525919-FB69-4A1A-BB93-4FB37766C94C}">
          <x14:formula1>
            <xm:f>OFFSET(Definitions!$M$3,1,0,Helper!$B$17,1)</xm:f>
          </x14:formula1>
          <xm:sqref>Q5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82E1A-DCF8-4A09-9231-B07CAD3B9BAB}">
  <sheetPr>
    <tabColor theme="9" tint="-0.499984740745262"/>
    <pageSetUpPr fitToPage="1"/>
  </sheetPr>
  <dimension ref="A1:AU101"/>
  <sheetViews>
    <sheetView workbookViewId="0">
      <pane xSplit="2" ySplit="17" topLeftCell="C18" activePane="bottomRight" state="frozen"/>
      <selection activeCell="A16" sqref="A16"/>
      <selection pane="topRight" activeCell="C16" sqref="C16"/>
      <selection pane="bottomLeft" activeCell="A17" sqref="A17"/>
      <selection pane="bottomRight" activeCell="E18" sqref="E18"/>
    </sheetView>
  </sheetViews>
  <sheetFormatPr defaultColWidth="9.140625" defaultRowHeight="15" outlineLevelCol="2" x14ac:dyDescent="0.25"/>
  <cols>
    <col min="1" max="1" width="12.7109375" style="4" customWidth="1"/>
    <col min="2" max="2" width="30.7109375" style="4" customWidth="1"/>
    <col min="3" max="3" width="15.7109375" style="4" customWidth="1"/>
    <col min="4" max="4" width="75.7109375" style="4" customWidth="1"/>
    <col min="5" max="6" width="10.7109375" style="4" customWidth="1" outlineLevel="1"/>
    <col min="7" max="7" width="17.85546875" style="4" customWidth="1" outlineLevel="1"/>
    <col min="8" max="8" width="17.85546875" style="4" hidden="1" customWidth="1" outlineLevel="2"/>
    <col min="9" max="9" width="75.7109375" style="4" customWidth="1" outlineLevel="1" collapsed="1"/>
    <col min="10" max="10" width="75.7109375" style="4" customWidth="1" outlineLevel="1"/>
    <col min="11" max="11" width="60.7109375" style="4" customWidth="1"/>
    <col min="12" max="12" width="14.140625" style="2" hidden="1" customWidth="1"/>
    <col min="13" max="13" width="19.5703125" style="2" hidden="1" customWidth="1"/>
    <col min="14" max="14" width="20.5703125" style="2" hidden="1" customWidth="1"/>
    <col min="15" max="15" width="36.85546875" style="2" hidden="1" customWidth="1"/>
    <col min="16" max="16" width="29.42578125" style="2" hidden="1" customWidth="1"/>
    <col min="17" max="17" width="35.140625" style="2" hidden="1" customWidth="1"/>
    <col min="18" max="18" width="22.7109375" style="2" hidden="1" customWidth="1"/>
    <col min="19" max="19" width="31.140625" style="2" hidden="1" customWidth="1"/>
    <col min="20" max="20" width="29.28515625" style="2" hidden="1" customWidth="1"/>
    <col min="21" max="21" width="37" style="2" hidden="1" customWidth="1"/>
    <col min="22" max="22" width="32.7109375" style="2" hidden="1" customWidth="1"/>
    <col min="23" max="23" width="27" style="2" hidden="1" customWidth="1"/>
    <col min="24" max="24" width="19.85546875" style="2" hidden="1" customWidth="1"/>
    <col min="25" max="25" width="26.140625" style="2" hidden="1" customWidth="1"/>
    <col min="26" max="26" width="22.5703125" style="2" hidden="1" customWidth="1"/>
    <col min="27" max="27" width="14.140625" style="2" hidden="1" customWidth="1"/>
    <col min="28" max="28" width="19.5703125" style="2" hidden="1" customWidth="1"/>
    <col min="29" max="29" width="18.42578125" style="2" hidden="1" customWidth="1"/>
    <col min="30" max="30" width="31.7109375" style="2" hidden="1" customWidth="1"/>
    <col min="31" max="31" width="25.28515625" style="2" hidden="1" customWidth="1"/>
    <col min="32" max="32" width="35" style="2" hidden="1" customWidth="1"/>
    <col min="33" max="33" width="22.140625" style="2" hidden="1" customWidth="1"/>
    <col min="34" max="34" width="19.85546875" style="2" hidden="1" customWidth="1"/>
    <col min="35" max="35" width="26.28515625" style="2" hidden="1" customWidth="1"/>
    <col min="36" max="36" width="68.42578125" style="2" hidden="1" customWidth="1"/>
    <col min="37" max="37" width="9.5703125" style="2" hidden="1" customWidth="1"/>
    <col min="38" max="38" width="24.28515625" style="2" hidden="1" customWidth="1"/>
    <col min="39" max="39" width="22.140625" style="2" hidden="1" customWidth="1"/>
    <col min="40" max="40" width="45.42578125" style="2" hidden="1" customWidth="1"/>
    <col min="41" max="41" width="37.140625" style="2" hidden="1" customWidth="1"/>
    <col min="42" max="42" width="34.140625" style="2" hidden="1" customWidth="1"/>
    <col min="43" max="43" width="43.7109375" style="2" hidden="1" customWidth="1"/>
    <col min="44" max="44" width="36.28515625" style="2" hidden="1" customWidth="1"/>
    <col min="45" max="45" width="33.28515625" style="2" hidden="1" customWidth="1"/>
    <col min="46" max="46" width="19" style="2" hidden="1" customWidth="1"/>
    <col min="47" max="16384" width="9.140625" style="2"/>
  </cols>
  <sheetData>
    <row r="1" spans="1:20" ht="18.75" hidden="1" x14ac:dyDescent="0.3">
      <c r="A1" s="2"/>
      <c r="B1" s="22" t="s">
        <v>516</v>
      </c>
      <c r="C1" s="2"/>
      <c r="D1" s="2"/>
      <c r="E1" s="2"/>
      <c r="F1" s="2"/>
      <c r="G1" s="2"/>
      <c r="H1" s="2"/>
      <c r="I1" s="2"/>
      <c r="J1" s="2"/>
      <c r="K1" s="2"/>
    </row>
    <row r="2" spans="1:20" hidden="1" x14ac:dyDescent="0.25">
      <c r="A2" s="2"/>
      <c r="B2" s="1" t="s">
        <v>199</v>
      </c>
      <c r="C2" s="1" t="s">
        <v>497</v>
      </c>
      <c r="D2" s="1" t="s">
        <v>501</v>
      </c>
      <c r="E2" s="1"/>
      <c r="F2" s="2" t="s">
        <v>197</v>
      </c>
      <c r="G2" s="2"/>
      <c r="H2" s="2"/>
      <c r="I2" s="2"/>
      <c r="J2" s="2"/>
      <c r="K2" s="2"/>
      <c r="L2" s="2" t="s">
        <v>201</v>
      </c>
      <c r="M2" s="2" t="s">
        <v>204</v>
      </c>
      <c r="N2" s="2" t="s">
        <v>394</v>
      </c>
      <c r="O2" s="2" t="s">
        <v>498</v>
      </c>
      <c r="P2" s="2" t="s">
        <v>502</v>
      </c>
      <c r="Q2" s="2" t="s">
        <v>503</v>
      </c>
      <c r="R2" s="2" t="s">
        <v>208</v>
      </c>
      <c r="S2" s="2" t="s">
        <v>214</v>
      </c>
      <c r="T2" s="2" t="s">
        <v>513</v>
      </c>
    </row>
    <row r="3" spans="1:20" hidden="1" x14ac:dyDescent="0.25">
      <c r="A3" s="2"/>
      <c r="B3" s="2" t="str" cm="1">
        <f t="array" aca="1" ref="B3" ca="1">CELL("address",Questionnaire!$H$3)</f>
        <v>'[QuBA-libre.xlsx]Questionnaire'!$H$3</v>
      </c>
      <c r="C3" s="2" t="str" cm="1">
        <f t="array" aca="1" ref="C3" ca="1">CELL("address",Questionnaire!$W$3)</f>
        <v>'[QuBA-libre.xlsx]Questionnaire'!$W$3</v>
      </c>
      <c r="D3" s="2" t="str" cm="1">
        <f t="array" aca="1" ref="D3" ca="1">CELL("address",Questionnaire!$X$3)</f>
        <v>'[QuBA-libre.xlsx]Questionnaire'!$X$3</v>
      </c>
      <c r="E3" s="2"/>
      <c r="F3" s="2" t="str" cm="1">
        <f t="array" aca="1" ref="F3" ca="1">CELL("address",Questionnaire!$B$3)</f>
        <v>'[QuBA-libre.xlsx]Questionnaire'!$B$3</v>
      </c>
      <c r="G3" s="2"/>
      <c r="H3" s="2"/>
      <c r="I3" s="2"/>
      <c r="J3" s="2"/>
      <c r="K3" s="2"/>
      <c r="L3" s="2" t="str">
        <f ca="1">IF(B3="","",_xlfn.LET(
_xlpm._in,B3,
_xlpm._start,FIND("]",_xlpm._in)+1,
SUBSTITUTE(MID(_xlpm._in,_xlpm._start,FIND("!",_xlpm._in)-_xlpm._start),"'","")))</f>
        <v>Questionnaire</v>
      </c>
      <c r="M3" s="2" t="str">
        <f t="shared" ref="M3:N7" ca="1" si="0">IF($L3="","",_xlfn.LET(
_xlpm._in,B3,
_xlpm._start,FIND("$",_xlpm._in)+1,
MID(_xlpm._in,_xlpm._start,FIND("$",SUBSTITUTE(_xlpm._in,"$","§",1))-_xlpm._start)))</f>
        <v>H</v>
      </c>
      <c r="N3" s="2" t="str">
        <f t="shared" ca="1" si="0"/>
        <v>W</v>
      </c>
      <c r="O3" s="2">
        <f ca="1">IF($L3="","",MAX(INDIRECT("'"&amp;$L3&amp;"'!"&amp;$N3&amp;":"&amp;$N3)))</f>
        <v>0</v>
      </c>
      <c r="P3" s="2" t="str">
        <f ca="1">IF($L3="","",_xlfn.LET(
_xlpm._in,D3,
_xlpm._start,FIND("$",_xlpm._in)+1,
MID(_xlpm._in,_xlpm._start,FIND("$",SUBSTITUTE(_xlpm._in,"$","§",1))-_xlpm._start)))</f>
        <v>X</v>
      </c>
      <c r="Q3" s="2">
        <f ca="1">IF($L3="","",SUM(INDIRECT("'"&amp;$L3&amp;"'!"&amp;$P3&amp;":"&amp;$P3)))</f>
        <v>0</v>
      </c>
      <c r="R3" s="2" cm="1">
        <f t="array" aca="1" ref="R3" ca="1">CreateID($R$2,AND($Q3&lt;&gt;0,$Q3&lt;&gt;""))</f>
        <v>0</v>
      </c>
      <c r="S3" s="2" t="str">
        <f ca="1">IF($B3="","",RIGHT($B3,LEN($B3)-FIND("$",SUBSTITUTE($B3,"$","§",1))))</f>
        <v>3</v>
      </c>
      <c r="T3" s="2" t="str">
        <f ca="1">IF($L3="","",_xlfn.LET(
_xlpm._in,F3,
_xlpm._start,FIND("$",_xlpm._in)+1,
MID(_xlpm._in,_xlpm._start,FIND("$",SUBSTITUTE(_xlpm._in,"$","§",1))-_xlpm._start)))</f>
        <v>B</v>
      </c>
    </row>
    <row r="4" spans="1:20" hidden="1" x14ac:dyDescent="0.25">
      <c r="A4" s="2"/>
      <c r="B4" s="2" t="str" cm="1">
        <f t="array" aca="1" ref="B4" ca="1">CELL("address",Mitigation!$O$2)</f>
        <v>'[QuBA-libre.xlsx]Mitigation'!$O$2</v>
      </c>
      <c r="C4" s="2" t="str" cm="1">
        <f t="array" aca="1" ref="C4" ca="1">CELL("address",Mitigation!$Z$2)</f>
        <v>'[QuBA-libre.xlsx]Mitigation'!$Z$2</v>
      </c>
      <c r="D4" s="2" t="str" cm="1">
        <f t="array" aca="1" ref="D4" ca="1">CELL("address",Mitigation!$AA$2)</f>
        <v>'[QuBA-libre.xlsx]Mitigation'!$AA$2</v>
      </c>
      <c r="E4" s="2"/>
      <c r="F4" s="2" t="str" cm="1">
        <f t="array" aca="1" ref="F4" ca="1">CELL("address",Mitigation!$A$2)</f>
        <v>'[QuBA-libre.xlsx]Mitigation'!$A$2</v>
      </c>
      <c r="G4" s="2"/>
      <c r="H4" s="2"/>
      <c r="I4" s="2"/>
      <c r="J4" s="2"/>
      <c r="K4" s="2"/>
      <c r="L4" s="2" t="str">
        <f ca="1">IF(B4="","",_xlfn.LET(
_xlpm._in,B4,
_xlpm._start,FIND("]",_xlpm._in)+1,
SUBSTITUTE(MID(_xlpm._in,_xlpm._start,FIND("!",_xlpm._in)-_xlpm._start),"'","")))</f>
        <v>Mitigation</v>
      </c>
      <c r="M4" s="2" t="str">
        <f t="shared" ca="1" si="0"/>
        <v>O</v>
      </c>
      <c r="N4" s="2" t="str">
        <f t="shared" ca="1" si="0"/>
        <v>Z</v>
      </c>
      <c r="O4" s="2">
        <f ca="1">IF($L4="","",MAX(INDIRECT("'"&amp;$L4&amp;"'!"&amp;$N4&amp;":"&amp;$N4)))</f>
        <v>0</v>
      </c>
      <c r="P4" s="2" t="str">
        <f ca="1">IF($L4="","",_xlfn.LET(
_xlpm._in,D4,
_xlpm._start,FIND("$",_xlpm._in)+1,
MID(_xlpm._in,_xlpm._start,FIND("$",SUBSTITUTE(_xlpm._in,"$","§",1))-_xlpm._start)))</f>
        <v>AA</v>
      </c>
      <c r="Q4" s="2">
        <f ca="1">IF($L4="","",SUM(INDIRECT("'"&amp;$L4&amp;"'!"&amp;$P4&amp;":"&amp;$P4)))</f>
        <v>0</v>
      </c>
      <c r="R4" s="2" cm="1">
        <f t="array" aca="1" ref="R4" ca="1">CreateID($R$2,AND($Q4&lt;&gt;0,$Q4&lt;&gt;""))</f>
        <v>0</v>
      </c>
      <c r="S4" s="2" t="str">
        <f ca="1">IF($B4="","",RIGHT($B4,LEN($B4)-FIND("$",SUBSTITUTE($B4,"$","§",1))))</f>
        <v>2</v>
      </c>
      <c r="T4" s="2" t="str">
        <f ca="1">IF($L4="","",_xlfn.LET(
_xlpm._in,F4,
_xlpm._start,FIND("$",_xlpm._in)+1,
MID(_xlpm._in,_xlpm._start,FIND("$",SUBSTITUTE(_xlpm._in,"$","§",1))-_xlpm._start)))</f>
        <v>A</v>
      </c>
    </row>
    <row r="5" spans="1:20" hidden="1" x14ac:dyDescent="0.25">
      <c r="A5" s="2"/>
      <c r="B5" s="2" t="str" cm="1">
        <f t="array" aca="1" ref="B5" ca="1">CELL("address",'Risk Treatment'!$S$4)</f>
        <v>'[QuBA-libre.xlsx]Risk Treatment'!$S$4</v>
      </c>
      <c r="C5" s="2" t="str" cm="1">
        <f t="array" aca="1" ref="C5" ca="1">CELL("address",'Risk Treatment'!$AH$4)</f>
        <v>'[QuBA-libre.xlsx]Risk Treatment'!$AH$4</v>
      </c>
      <c r="D5" s="2" t="str" cm="1">
        <f t="array" aca="1" ref="D5" ca="1">CELL("address",'Risk Treatment'!$AI$4)</f>
        <v>'[QuBA-libre.xlsx]Risk Treatment'!$AI$4</v>
      </c>
      <c r="E5" s="2"/>
      <c r="F5" s="2" t="str" cm="1">
        <f t="array" aca="1" ref="F5" ca="1">CELL("address",'Risk Treatment'!$C$4)</f>
        <v>'[QuBA-libre.xlsx]Risk Treatment'!$C$4</v>
      </c>
      <c r="G5" s="2"/>
      <c r="H5" s="2"/>
      <c r="I5" s="2"/>
      <c r="J5" s="2"/>
      <c r="K5" s="2"/>
      <c r="L5" s="2" t="str">
        <f ca="1">IF(B5="","",_xlfn.LET(
_xlpm._in,B5,
_xlpm._start,FIND("]",_xlpm._in)+1,
SUBSTITUTE(MID(_xlpm._in,_xlpm._start,FIND("!",_xlpm._in)-_xlpm._start),"'","")))</f>
        <v>Risk Treatment</v>
      </c>
      <c r="M5" s="2" t="str">
        <f t="shared" ca="1" si="0"/>
        <v>S</v>
      </c>
      <c r="N5" s="2" t="str">
        <f t="shared" ca="1" si="0"/>
        <v>AH</v>
      </c>
      <c r="O5" s="2">
        <f ca="1">IF($L5="","",MAX(INDIRECT("'"&amp;$L5&amp;"'!"&amp;$N5&amp;":"&amp;$N5)))</f>
        <v>0</v>
      </c>
      <c r="P5" s="2" t="str">
        <f ca="1">IF($L5="","",_xlfn.LET(
_xlpm._in,D5,
_xlpm._start,FIND("$",_xlpm._in)+1,
MID(_xlpm._in,_xlpm._start,FIND("$",SUBSTITUTE(_xlpm._in,"$","§",1))-_xlpm._start)))</f>
        <v>AI</v>
      </c>
      <c r="Q5" s="2">
        <f ca="1">IF($L5="","",SUM(INDIRECT("'"&amp;$L5&amp;"'!"&amp;$P5&amp;":"&amp;$P5)))</f>
        <v>0</v>
      </c>
      <c r="R5" s="2" cm="1">
        <f t="array" aca="1" ref="R5" ca="1">CreateID($R$2,AND($Q5&lt;&gt;0,$Q5&lt;&gt;""))</f>
        <v>0</v>
      </c>
      <c r="S5" s="2" t="str">
        <f ca="1">IF($B5="","",RIGHT($B5,LEN($B5)-FIND("$",SUBSTITUTE($B5,"$","§",1))))</f>
        <v>4</v>
      </c>
      <c r="T5" s="2" t="str">
        <f ca="1">IF($L5="","",_xlfn.LET(
_xlpm._in,F5,
_xlpm._start,FIND("$",_xlpm._in)+1,
MID(_xlpm._in,_xlpm._start,FIND("$",SUBSTITUTE(_xlpm._in,"$","§",1))-_xlpm._start)))</f>
        <v>C</v>
      </c>
    </row>
    <row r="6" spans="1:20" hidden="1" x14ac:dyDescent="0.25">
      <c r="A6" s="2"/>
      <c r="B6" s="2" t="str" cm="1">
        <f t="array" aca="1" ref="B6" ca="1">CELL("address",'Risk Treatment'!$T$4)</f>
        <v>'[QuBA-libre.xlsx]Risk Treatment'!$T$4</v>
      </c>
      <c r="C6" s="2" t="str" cm="1">
        <f t="array" aca="1" ref="C6" ca="1">CELL("address",'Risk Treatment'!$AJ$4)</f>
        <v>'[QuBA-libre.xlsx]Risk Treatment'!$AJ$4</v>
      </c>
      <c r="D6" s="2" t="str" cm="1">
        <f t="array" aca="1" ref="D6" ca="1">CELL("address",'Risk Treatment'!$AK$4)</f>
        <v>'[QuBA-libre.xlsx]Risk Treatment'!$AK$4</v>
      </c>
      <c r="E6" s="2"/>
      <c r="F6" s="2" t="str" cm="1">
        <f t="array" aca="1" ref="F6" ca="1">CELL("address",'Risk Treatment'!$C$4)</f>
        <v>'[QuBA-libre.xlsx]Risk Treatment'!$C$4</v>
      </c>
      <c r="G6" s="2"/>
      <c r="H6" s="2"/>
      <c r="I6" s="2"/>
      <c r="J6" s="2"/>
      <c r="K6" s="2"/>
      <c r="L6" s="2" t="str">
        <f ca="1">IF(B6="","",_xlfn.LET(
_xlpm._in,B6,
_xlpm._start,FIND("]",_xlpm._in)+1,
SUBSTITUTE(MID(_xlpm._in,_xlpm._start,FIND("!",_xlpm._in)-_xlpm._start),"'","")))</f>
        <v>Risk Treatment</v>
      </c>
      <c r="M6" s="2" t="str">
        <f t="shared" ca="1" si="0"/>
        <v>T</v>
      </c>
      <c r="N6" s="2" t="str">
        <f t="shared" ca="1" si="0"/>
        <v>AJ</v>
      </c>
      <c r="O6" s="2">
        <f ca="1">IF($L6="","",MAX(INDIRECT("'"&amp;$L6&amp;"'!"&amp;$N6&amp;":"&amp;$N6)))</f>
        <v>0</v>
      </c>
      <c r="P6" s="2" t="str">
        <f ca="1">IF($L6="","",_xlfn.LET(
_xlpm._in,D6,
_xlpm._start,FIND("$",_xlpm._in)+1,
MID(_xlpm._in,_xlpm._start,FIND("$",SUBSTITUTE(_xlpm._in,"$","§",1))-_xlpm._start)))</f>
        <v>AK</v>
      </c>
      <c r="Q6" s="2">
        <f ca="1">IF($L6="","",SUM(INDIRECT("'"&amp;$L6&amp;"'!"&amp;$P6&amp;":"&amp;$P6)))</f>
        <v>0</v>
      </c>
      <c r="R6" s="2" cm="1">
        <f t="array" aca="1" ref="R6" ca="1">CreateID($R$2,AND($Q6&lt;&gt;0,$Q6&lt;&gt;""))</f>
        <v>0</v>
      </c>
      <c r="S6" s="2" t="str">
        <f ca="1">IF($B6="","",RIGHT($B6,LEN($B6)-FIND("$",SUBSTITUTE($B6,"$","§",1))))</f>
        <v>4</v>
      </c>
      <c r="T6" s="2" t="str">
        <f ca="1">IF($L6="","",_xlfn.LET(
_xlpm._in,F6,
_xlpm._start,FIND("$",_xlpm._in)+1,
MID(_xlpm._in,_xlpm._start,FIND("$",SUBSTITUTE(_xlpm._in,"$","§",1))-_xlpm._start)))</f>
        <v>C</v>
      </c>
    </row>
    <row r="7" spans="1:20" hidden="1" x14ac:dyDescent="0.25">
      <c r="A7" s="2"/>
      <c r="B7" s="2"/>
      <c r="C7" s="2"/>
      <c r="D7" s="2"/>
      <c r="E7" s="2"/>
      <c r="F7" s="2"/>
      <c r="G7" s="2"/>
      <c r="H7" s="2"/>
      <c r="I7" s="2"/>
      <c r="J7" s="2"/>
      <c r="K7" s="2"/>
      <c r="L7" s="2" t="str">
        <f>IF(B7="","",_xlfn.LET(
_xlpm._in,B7,
_xlpm._start,FIND("]",_xlpm._in)+1,
SUBSTITUTE(MID(_xlpm._in,_xlpm._start,FIND("!",_xlpm._in)-_xlpm._start),"'","")))</f>
        <v/>
      </c>
      <c r="M7" s="2" t="str">
        <f t="shared" si="0"/>
        <v/>
      </c>
      <c r="N7" s="2" t="str">
        <f t="shared" si="0"/>
        <v/>
      </c>
      <c r="O7" s="2" t="str">
        <f ca="1">IF($L7="","",MAX(INDIRECT("'"&amp;$L7&amp;"'!"&amp;$N7&amp;":"&amp;$N7)))</f>
        <v/>
      </c>
      <c r="P7" s="2" t="str">
        <f>IF($L7="","",_xlfn.LET(
_xlpm._in,D7,
_xlpm._start,FIND("$",_xlpm._in)+1,
MID(_xlpm._in,_xlpm._start,FIND("$",SUBSTITUTE(_xlpm._in,"$","§",1))-_xlpm._start)))</f>
        <v/>
      </c>
      <c r="Q7" s="2" t="str">
        <f ca="1">IF($L7="","",SUM(INDIRECT("'"&amp;$L7&amp;"'!"&amp;$P7&amp;":"&amp;$P7)))</f>
        <v/>
      </c>
      <c r="R7" s="2" cm="1">
        <f t="array" aca="1" ref="R7" ca="1">CreateID($R$2,AND($Q7&lt;&gt;0,$Q7&lt;&gt;""))</f>
        <v>0</v>
      </c>
      <c r="S7" s="2" t="str">
        <f>IF($B7="","",RIGHT($B7,LEN($B7)-FIND("$",SUBSTITUTE($B7,"$","§",1))))</f>
        <v/>
      </c>
      <c r="T7" s="2" t="str">
        <f>IF($L7="","",_xlfn.LET(
_xlpm._in,F7,
_xlpm._start,FIND("$",_xlpm._in)+1,
MID(_xlpm._in,_xlpm._start,FIND("$",SUBSTITUTE(_xlpm._in,"$","§",1))-_xlpm._start)))</f>
        <v/>
      </c>
    </row>
    <row r="8" spans="1:20" ht="18.75" hidden="1" x14ac:dyDescent="0.3">
      <c r="A8" s="2"/>
      <c r="B8" s="22" t="s">
        <v>517</v>
      </c>
      <c r="C8" s="2"/>
      <c r="D8" s="2"/>
      <c r="E8" s="2"/>
      <c r="F8" s="2"/>
      <c r="G8" s="2"/>
      <c r="H8" s="2"/>
      <c r="I8" s="2"/>
      <c r="J8" s="2"/>
      <c r="K8" s="2"/>
    </row>
    <row r="9" spans="1:20" hidden="1" x14ac:dyDescent="0.25">
      <c r="A9" s="2"/>
      <c r="B9" s="1" t="s">
        <v>199</v>
      </c>
      <c r="C9" s="1" t="s">
        <v>497</v>
      </c>
      <c r="D9" s="1" t="s">
        <v>501</v>
      </c>
      <c r="E9" s="1"/>
      <c r="F9" s="1" t="s">
        <v>197</v>
      </c>
      <c r="G9" s="1"/>
      <c r="H9" s="1"/>
      <c r="I9" s="1"/>
      <c r="J9" s="1"/>
      <c r="K9" s="2"/>
      <c r="L9" s="2" t="s">
        <v>201</v>
      </c>
      <c r="M9" s="2" t="s">
        <v>204</v>
      </c>
      <c r="N9" s="2" t="s">
        <v>394</v>
      </c>
      <c r="O9" s="2" t="s">
        <v>498</v>
      </c>
      <c r="P9" s="2" t="s">
        <v>502</v>
      </c>
      <c r="Q9" s="2" t="s">
        <v>503</v>
      </c>
      <c r="R9" s="2" t="s">
        <v>208</v>
      </c>
      <c r="S9" s="2" t="s">
        <v>214</v>
      </c>
      <c r="T9" s="2" t="s">
        <v>513</v>
      </c>
    </row>
    <row r="10" spans="1:20" hidden="1" x14ac:dyDescent="0.25">
      <c r="A10" s="2"/>
      <c r="B10" s="2" t="str" cm="1">
        <f t="array" aca="1" ref="B10" ca="1">CELL("address",Questionnaire!$H$3)</f>
        <v>'[QuBA-libre.xlsx]Questionnaire'!$H$3</v>
      </c>
      <c r="C10" s="2" t="str" cm="1">
        <f t="array" aca="1" ref="C10" ca="1">CELL("address",Questionnaire!$Y$3)</f>
        <v>'[QuBA-libre.xlsx]Questionnaire'!$Y$3</v>
      </c>
      <c r="D10" s="2" t="str" cm="1">
        <f t="array" aca="1" ref="D10" ca="1">CELL("address",Questionnaire!$Z$3)</f>
        <v>'[QuBA-libre.xlsx]Questionnaire'!$Z$3</v>
      </c>
      <c r="E10" s="2"/>
      <c r="F10" s="2" t="str" cm="1">
        <f t="array" aca="1" ref="F10" ca="1">CELL("address",Questionnaire!$B$3)</f>
        <v>'[QuBA-libre.xlsx]Questionnaire'!$B$3</v>
      </c>
      <c r="G10" s="2"/>
      <c r="H10" s="2"/>
      <c r="I10" s="2"/>
      <c r="J10" s="2"/>
      <c r="K10" s="2"/>
      <c r="L10" s="2" t="str">
        <f ca="1">IF(B10="","",_xlfn.LET(
_xlpm._in,B10,
_xlpm._start,FIND("]",_xlpm._in)+1,
SUBSTITUTE(MID(_xlpm._in,_xlpm._start,FIND("!",_xlpm._in)-_xlpm._start),"'","")))</f>
        <v>Questionnaire</v>
      </c>
      <c r="M10" s="2" t="str">
        <f t="shared" ref="M10:N14" ca="1" si="1">IF($L10="","",_xlfn.LET(
_xlpm._in,B10,
_xlpm._start,FIND("$",_xlpm._in)+1,
MID(_xlpm._in,_xlpm._start,FIND("$",SUBSTITUTE(_xlpm._in,"$","§",1))-_xlpm._start)))</f>
        <v>H</v>
      </c>
      <c r="N10" s="2" t="str">
        <f t="shared" ca="1" si="1"/>
        <v>Y</v>
      </c>
      <c r="O10" s="2">
        <f ca="1">IF($L10="","",MAX(INDIRECT("'"&amp;$L10&amp;"'!"&amp;$N10&amp;":"&amp;$N10)))</f>
        <v>0</v>
      </c>
      <c r="P10" s="2" t="str">
        <f ca="1">IF($L10="","",_xlfn.LET(
_xlpm._in,D10,
_xlpm._start,FIND("$",_xlpm._in)+1,
MID(_xlpm._in,_xlpm._start,FIND("$",SUBSTITUTE(_xlpm._in,"$","§",1))-_xlpm._start)))</f>
        <v>Z</v>
      </c>
      <c r="Q10" s="2">
        <f ca="1">IF($L10="","",SUM(INDIRECT("'"&amp;$L10&amp;"'!"&amp;$P10&amp;":"&amp;$P10)))</f>
        <v>0</v>
      </c>
      <c r="R10" s="2" cm="1">
        <f t="array" aca="1" ref="R10" ca="1">CreateID($R$9,AND($Q10&lt;&gt;0,$Q10&lt;&gt;""))</f>
        <v>0</v>
      </c>
      <c r="S10" s="2" t="str">
        <f ca="1">IF($B10="","",RIGHT($B10,LEN($B10)-FIND("$",SUBSTITUTE($B10,"$","§",1))))</f>
        <v>3</v>
      </c>
      <c r="T10" s="2" t="str">
        <f ca="1">IF($L10="","",_xlfn.LET(
_xlpm._in,F10,
_xlpm._start,FIND("$",_xlpm._in)+1,
MID(_xlpm._in,_xlpm._start,FIND("$",SUBSTITUTE(_xlpm._in,"$","§",1))-_xlpm._start)))</f>
        <v>B</v>
      </c>
    </row>
    <row r="11" spans="1:20" hidden="1" x14ac:dyDescent="0.25">
      <c r="A11" s="2"/>
      <c r="B11" s="2" t="str" cm="1">
        <f t="array" aca="1" ref="B11" ca="1">CELL("address",Mitigation!$O$2)</f>
        <v>'[QuBA-libre.xlsx]Mitigation'!$O$2</v>
      </c>
      <c r="C11" s="2" t="str" cm="1">
        <f t="array" aca="1" ref="C11" ca="1">CELL("address",Mitigation!$AB$2)</f>
        <v>'[QuBA-libre.xlsx]Mitigation'!$AB$2</v>
      </c>
      <c r="D11" s="2" t="str" cm="1">
        <f t="array" aca="1" ref="D11" ca="1">CELL("address",Mitigation!$AC$2)</f>
        <v>'[QuBA-libre.xlsx]Mitigation'!$AC$2</v>
      </c>
      <c r="E11" s="2"/>
      <c r="F11" s="2" t="str" cm="1">
        <f t="array" aca="1" ref="F11" ca="1">CELL("address",Mitigation!$A$2)</f>
        <v>'[QuBA-libre.xlsx]Mitigation'!$A$2</v>
      </c>
      <c r="G11" s="2"/>
      <c r="H11" s="2"/>
      <c r="I11" s="2"/>
      <c r="J11" s="2"/>
      <c r="K11" s="2"/>
      <c r="L11" s="2" t="str">
        <f ca="1">IF(B11="","",_xlfn.LET(
_xlpm._in,B11,
_xlpm._start,FIND("]",_xlpm._in)+1,
SUBSTITUTE(MID(_xlpm._in,_xlpm._start,FIND("!",_xlpm._in)-_xlpm._start),"'","")))</f>
        <v>Mitigation</v>
      </c>
      <c r="M11" s="2" t="str">
        <f t="shared" ca="1" si="1"/>
        <v>O</v>
      </c>
      <c r="N11" s="2" t="str">
        <f t="shared" ca="1" si="1"/>
        <v>AB</v>
      </c>
      <c r="O11" s="2">
        <f ca="1">IF($L11="","",MAX(INDIRECT("'"&amp;$L11&amp;"'!"&amp;$N11&amp;":"&amp;$N11)))</f>
        <v>0</v>
      </c>
      <c r="P11" s="2" t="str">
        <f ca="1">IF($L11="","",_xlfn.LET(
_xlpm._in,D11,
_xlpm._start,FIND("$",_xlpm._in)+1,
MID(_xlpm._in,_xlpm._start,FIND("$",SUBSTITUTE(_xlpm._in,"$","§",1))-_xlpm._start)))</f>
        <v>AC</v>
      </c>
      <c r="Q11" s="2">
        <f ca="1">IF($L11="","",SUM(INDIRECT("'"&amp;$L11&amp;"'!"&amp;$P11&amp;":"&amp;$P11)))</f>
        <v>0</v>
      </c>
      <c r="R11" s="2" cm="1">
        <f t="array" aca="1" ref="R11" ca="1">CreateID($R$9,AND($Q11&lt;&gt;0,$Q11&lt;&gt;""))</f>
        <v>0</v>
      </c>
      <c r="S11" s="2" t="str">
        <f ca="1">IF($B11="","",RIGHT($B11,LEN($B11)-FIND("$",SUBSTITUTE($B11,"$","§",1))))</f>
        <v>2</v>
      </c>
      <c r="T11" s="2" t="str">
        <f ca="1">IF($L11="","",_xlfn.LET(
_xlpm._in,F11,
_xlpm._start,FIND("$",_xlpm._in)+1,
MID(_xlpm._in,_xlpm._start,FIND("$",SUBSTITUTE(_xlpm._in,"$","§",1))-_xlpm._start)))</f>
        <v>A</v>
      </c>
    </row>
    <row r="12" spans="1:20" hidden="1" x14ac:dyDescent="0.25">
      <c r="A12" s="2"/>
      <c r="B12" s="2" t="str" cm="1">
        <f t="array" aca="1" ref="B12" ca="1">CELL("address",'Risk Treatment'!$S$4)</f>
        <v>'[QuBA-libre.xlsx]Risk Treatment'!$S$4</v>
      </c>
      <c r="C12" s="2" t="str" cm="1">
        <f t="array" aca="1" ref="C12" ca="1">CELL("address",'Risk Treatment'!$AL$4)</f>
        <v>'[QuBA-libre.xlsx]Risk Treatment'!$AL$4</v>
      </c>
      <c r="D12" s="2" t="str" cm="1">
        <f t="array" aca="1" ref="D12" ca="1">CELL("address",'Risk Treatment'!$AM$4)</f>
        <v>'[QuBA-libre.xlsx]Risk Treatment'!$AM$4</v>
      </c>
      <c r="E12" s="2"/>
      <c r="F12" s="2" t="str" cm="1">
        <f t="array" aca="1" ref="F12" ca="1">CELL("address",'Risk Treatment'!$C$4)</f>
        <v>'[QuBA-libre.xlsx]Risk Treatment'!$C$4</v>
      </c>
      <c r="G12" s="2"/>
      <c r="H12" s="2"/>
      <c r="I12" s="2"/>
      <c r="J12" s="2"/>
      <c r="K12" s="2"/>
      <c r="L12" s="2" t="str">
        <f ca="1">IF(B12="","",_xlfn.LET(
_xlpm._in,B12,
_xlpm._start,FIND("]",_xlpm._in)+1,
SUBSTITUTE(MID(_xlpm._in,_xlpm._start,FIND("!",_xlpm._in)-_xlpm._start),"'","")))</f>
        <v>Risk Treatment</v>
      </c>
      <c r="M12" s="2" t="str">
        <f t="shared" ca="1" si="1"/>
        <v>S</v>
      </c>
      <c r="N12" s="2" t="str">
        <f t="shared" ca="1" si="1"/>
        <v>AL</v>
      </c>
      <c r="O12" s="2">
        <f ca="1">IF($L12="","",MAX(INDIRECT("'"&amp;$L12&amp;"'!"&amp;$N12&amp;":"&amp;$N12)))</f>
        <v>0</v>
      </c>
      <c r="P12" s="2" t="str">
        <f ca="1">IF($L12="","",_xlfn.LET(
_xlpm._in,D12,
_xlpm._start,FIND("$",_xlpm._in)+1,
MID(_xlpm._in,_xlpm._start,FIND("$",SUBSTITUTE(_xlpm._in,"$","§",1))-_xlpm._start)))</f>
        <v>AM</v>
      </c>
      <c r="Q12" s="2">
        <f ca="1">IF($L12="","",SUM(INDIRECT("'"&amp;$L12&amp;"'!"&amp;$P12&amp;":"&amp;$P12)))</f>
        <v>0</v>
      </c>
      <c r="R12" s="2" cm="1">
        <f t="array" aca="1" ref="R12" ca="1">CreateID($R$9,AND($Q12&lt;&gt;0,$Q12&lt;&gt;""))</f>
        <v>0</v>
      </c>
      <c r="S12" s="2" t="str">
        <f ca="1">IF($B12="","",RIGHT($B12,LEN($B12)-FIND("$",SUBSTITUTE($B12,"$","§",1))))</f>
        <v>4</v>
      </c>
      <c r="T12" s="2" t="str">
        <f ca="1">IF($L12="","",_xlfn.LET(
_xlpm._in,F12,
_xlpm._start,FIND("$",_xlpm._in)+1,
MID(_xlpm._in,_xlpm._start,FIND("$",SUBSTITUTE(_xlpm._in,"$","§",1))-_xlpm._start)))</f>
        <v>C</v>
      </c>
    </row>
    <row r="13" spans="1:20" hidden="1" x14ac:dyDescent="0.25">
      <c r="A13" s="2"/>
      <c r="B13" s="2" t="str" cm="1">
        <f t="array" aca="1" ref="B13" ca="1">CELL("address",'Risk Treatment'!$T$4)</f>
        <v>'[QuBA-libre.xlsx]Risk Treatment'!$T$4</v>
      </c>
      <c r="C13" s="2" t="str" cm="1">
        <f t="array" aca="1" ref="C13" ca="1">CELL("address",'Risk Treatment'!$AN$4)</f>
        <v>'[QuBA-libre.xlsx]Risk Treatment'!$AN$4</v>
      </c>
      <c r="D13" s="2" t="str" cm="1">
        <f t="array" aca="1" ref="D13" ca="1">CELL("address",'Risk Treatment'!$AO$4)</f>
        <v>'[QuBA-libre.xlsx]Risk Treatment'!$AO$4</v>
      </c>
      <c r="E13" s="2"/>
      <c r="F13" s="2" t="str" cm="1">
        <f t="array" aca="1" ref="F13" ca="1">CELL("address",'Risk Treatment'!$C$4)</f>
        <v>'[QuBA-libre.xlsx]Risk Treatment'!$C$4</v>
      </c>
      <c r="G13" s="2"/>
      <c r="H13" s="2"/>
      <c r="I13" s="2"/>
      <c r="J13" s="2"/>
      <c r="K13" s="2"/>
      <c r="L13" s="2" t="str">
        <f ca="1">IF(B13="","",_xlfn.LET(
_xlpm._in,B13,
_xlpm._start,FIND("]",_xlpm._in)+1,
SUBSTITUTE(MID(_xlpm._in,_xlpm._start,FIND("!",_xlpm._in)-_xlpm._start),"'","")))</f>
        <v>Risk Treatment</v>
      </c>
      <c r="M13" s="2" t="str">
        <f t="shared" ca="1" si="1"/>
        <v>T</v>
      </c>
      <c r="N13" s="2" t="str">
        <f t="shared" ca="1" si="1"/>
        <v>AN</v>
      </c>
      <c r="O13" s="2">
        <f ca="1">IF($L13="","",MAX(INDIRECT("'"&amp;$L13&amp;"'!"&amp;$N13&amp;":"&amp;$N13)))</f>
        <v>0</v>
      </c>
      <c r="P13" s="2" t="str">
        <f ca="1">IF($L13="","",_xlfn.LET(
_xlpm._in,D13,
_xlpm._start,FIND("$",_xlpm._in)+1,
MID(_xlpm._in,_xlpm._start,FIND("$",SUBSTITUTE(_xlpm._in,"$","§",1))-_xlpm._start)))</f>
        <v>AO</v>
      </c>
      <c r="Q13" s="2">
        <f ca="1">IF($L13="","",SUM(INDIRECT("'"&amp;$L13&amp;"'!"&amp;$P13&amp;":"&amp;$P13)))</f>
        <v>0</v>
      </c>
      <c r="R13" s="2" cm="1">
        <f t="array" aca="1" ref="R13" ca="1">CreateID($R$9,AND($Q13&lt;&gt;0,$Q13&lt;&gt;""))</f>
        <v>0</v>
      </c>
      <c r="S13" s="2" t="str">
        <f ca="1">IF($B13="","",RIGHT($B13,LEN($B13)-FIND("$",SUBSTITUTE($B13,"$","§",1))))</f>
        <v>4</v>
      </c>
      <c r="T13" s="2" t="str">
        <f ca="1">IF($L13="","",_xlfn.LET(
_xlpm._in,F13,
_xlpm._start,FIND("$",_xlpm._in)+1,
MID(_xlpm._in,_xlpm._start,FIND("$",SUBSTITUTE(_xlpm._in,"$","§",1))-_xlpm._start)))</f>
        <v>C</v>
      </c>
    </row>
    <row r="14" spans="1:20" hidden="1" x14ac:dyDescent="0.25">
      <c r="A14" s="2"/>
      <c r="B14" s="2"/>
      <c r="C14" s="2"/>
      <c r="D14" s="2"/>
      <c r="E14" s="2"/>
      <c r="F14" s="2"/>
      <c r="G14" s="2"/>
      <c r="H14" s="2"/>
      <c r="I14" s="2"/>
      <c r="J14" s="2"/>
      <c r="K14" s="2"/>
      <c r="L14" s="2" t="str">
        <f>IF(B14="","",_xlfn.LET(
_xlpm._in,B14,
_xlpm._start,FIND("]",_xlpm._in)+1,
SUBSTITUTE(MID(_xlpm._in,_xlpm._start,FIND("!",_xlpm._in)-_xlpm._start),"'","")))</f>
        <v/>
      </c>
      <c r="M14" s="2" t="str">
        <f t="shared" si="1"/>
        <v/>
      </c>
      <c r="N14" s="2" t="str">
        <f t="shared" si="1"/>
        <v/>
      </c>
      <c r="O14" s="2" t="str">
        <f ca="1">IF($L14="","",MAX(INDIRECT("'"&amp;$L14&amp;"'!"&amp;$N14&amp;":"&amp;$N14)))</f>
        <v/>
      </c>
      <c r="P14" s="2" t="str">
        <f>IF($L14="","",_xlfn.LET(
_xlpm._in,D14,
_xlpm._start,FIND("$",_xlpm._in)+1,
MID(_xlpm._in,_xlpm._start,FIND("$",SUBSTITUTE(_xlpm._in,"$","§",1))-_xlpm._start)))</f>
        <v/>
      </c>
      <c r="Q14" s="2" t="str">
        <f ca="1">IF($L14="","",SUM(INDIRECT("'"&amp;$L14&amp;"'!"&amp;$P14&amp;":"&amp;$P14)))</f>
        <v/>
      </c>
      <c r="R14" s="2" cm="1">
        <f t="array" aca="1" ref="R14" ca="1">CreateID($R$9,AND($Q14&lt;&gt;0,$Q14&lt;&gt;""))</f>
        <v>0</v>
      </c>
      <c r="S14" s="2" t="str">
        <f>IF($B14="","",RIGHT($B14,LEN($B14)-FIND("$",SUBSTITUTE($B14,"$","§",1))))</f>
        <v/>
      </c>
      <c r="T14" s="2" t="str">
        <f>IF($L14="","",_xlfn.LET(
_xlpm._in,F14,
_xlpm._start,FIND("$",_xlpm._in)+1,
MID(_xlpm._in,_xlpm._start,FIND("$",SUBSTITUTE(_xlpm._in,"$","§",1))-_xlpm._start)))</f>
        <v/>
      </c>
    </row>
    <row r="15" spans="1:20" hidden="1" x14ac:dyDescent="0.25">
      <c r="A15" s="2"/>
      <c r="B15" s="2"/>
      <c r="C15" s="2"/>
      <c r="D15" s="2"/>
      <c r="E15" s="2"/>
      <c r="F15" s="2"/>
      <c r="G15" s="2"/>
      <c r="H15" s="2"/>
      <c r="I15" s="2"/>
      <c r="J15" s="2"/>
      <c r="K15" s="2"/>
    </row>
    <row r="16" spans="1:20" s="80" customFormat="1" x14ac:dyDescent="0.25">
      <c r="A16" s="80" t="str" cm="1">
        <f t="array" aca="1" ref="A16"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HYPERLINK("#'"&amp;Helper!$G$2&amp;"'!"&amp;CHAR(CODE("A")+COLUMN(_xlpm._columnNameHeader)-1)&amp;_xlpm._entryOffset,Definitions!$AY$4)))(Helper!$G$15,A$17,README!$E:$E,README!$I$35,README!$B$35)</f>
        <v>◈</v>
      </c>
      <c r="B16" s="80" t="str" cm="1">
        <f t="array" aca="1" ref="B16"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HYPERLINK("#'"&amp;Helper!$G$2&amp;"'!"&amp;CHAR(CODE("A")+COLUMN(_xlpm._columnNameHeader)-1)&amp;_xlpm._entryOffset,Definitions!$AY$4)))(Helper!$G$15,B$17,README!$E:$E,README!$I$35,README!$B$35)</f>
        <v>◈</v>
      </c>
      <c r="C16" s="80" t="str" cm="1">
        <f t="array" aca="1" ref="C16"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HYPERLINK("#'"&amp;Helper!$G$2&amp;"'!"&amp;CHAR(CODE("A")+COLUMN(_xlpm._columnNameHeader)-1)&amp;_xlpm._entryOffset,Definitions!$AY$4)))(Helper!$G$15,C$17,README!$E:$E,README!$I$35,README!$B$35)</f>
        <v>◈</v>
      </c>
      <c r="D16" s="80" t="str" cm="1">
        <f t="array" aca="1" ref="D16"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HYPERLINK("#'"&amp;Helper!$G$2&amp;"'!"&amp;CHAR(CODE("A")+COLUMN(_xlpm._columnNameHeader)-1)&amp;_xlpm._entryOffset,Definitions!$AY$4)))(Helper!$G$15,D$17,README!$E:$E,README!$I$35,README!$B$35)</f>
        <v>◈</v>
      </c>
      <c r="E16" s="80" t="str" cm="1">
        <f t="array" aca="1" ref="E16"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HYPERLINK("#'"&amp;Helper!$G$2&amp;"'!"&amp;CHAR(CODE("A")+COLUMN(_xlpm._columnNameHeader)-1)&amp;_xlpm._entryOffset,Definitions!$AY$4)))(Helper!$G$15,E$17,README!$E:$E,README!$I$35,README!$B$35)</f>
        <v>◈</v>
      </c>
      <c r="F16" s="80" t="str" cm="1">
        <f t="array" aca="1" ref="F16"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HYPERLINK("#'"&amp;Helper!$G$2&amp;"'!"&amp;CHAR(CODE("A")+COLUMN(_xlpm._columnNameHeader)-1)&amp;_xlpm._entryOffset,Definitions!$AY$4)))(Helper!$G$15,F$17,README!$E:$E,README!$I$35,README!$B$35)</f>
        <v>◈</v>
      </c>
      <c r="G16" s="80" t="str" cm="1">
        <f t="array" aca="1" ref="G16"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HYPERLINK("#'"&amp;Helper!$G$2&amp;"'!"&amp;CHAR(CODE("A")+COLUMN(_xlpm._columnNameHeader)-1)&amp;_xlpm._entryOffset,Definitions!$AY$4)))(Helper!$G$15,G$17,README!$E:$E,README!$I$35,README!$B$35)</f>
        <v>◈</v>
      </c>
      <c r="H16" s="80" t="str" cm="1">
        <f t="array" aca="1" ref="H16"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HYPERLINK("#'"&amp;Helper!$G$2&amp;"'!"&amp;CHAR(CODE("A")+COLUMN(_xlpm._columnNameHeader)-1)&amp;_xlpm._entryOffset,Definitions!$AY$4)))(Helper!$G$15,H$17,README!$E:$E,README!$I$35,README!$B$35)</f>
        <v>◈</v>
      </c>
      <c r="I16" s="80" t="str" cm="1">
        <f t="array" aca="1" ref="I16"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HYPERLINK("#'"&amp;Helper!$G$2&amp;"'!"&amp;CHAR(CODE("A")+COLUMN(_xlpm._columnNameHeader)-1)&amp;_xlpm._entryOffset,Definitions!$AY$4)))(Helper!$G$15,I$17,README!$E:$E,README!$I$35,README!$B$35)</f>
        <v>◈</v>
      </c>
      <c r="J16" s="80" t="str" cm="1">
        <f t="array" aca="1" ref="J16"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HYPERLINK("#'"&amp;Helper!$G$2&amp;"'!"&amp;CHAR(CODE("A")+COLUMN(_xlpm._columnNameHeader)-1)&amp;_xlpm._entryOffset,Definitions!$AY$4)))(Helper!$G$15,J$17,README!$E:$E,README!$I$35,README!$B$35)</f>
        <v>◈</v>
      </c>
      <c r="K16" s="80" t="str" cm="1">
        <f t="array" aca="1" ref="K16"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HYPERLINK("#'"&amp;Helper!$G$2&amp;"'!"&amp;CHAR(CODE("A")+COLUMN(_xlpm._columnNameHeader)-1)&amp;_xlpm._entryOffset,Definitions!$AY$4)))(Helper!$G$15,K$17,README!$E:$E,README!$I$35,README!$B$35)</f>
        <v>◈</v>
      </c>
    </row>
    <row r="17" spans="1:46" ht="30" x14ac:dyDescent="0.25">
      <c r="A17" s="13" t="s">
        <v>46</v>
      </c>
      <c r="B17" s="13" t="s">
        <v>183</v>
      </c>
      <c r="C17" s="13" t="s">
        <v>294</v>
      </c>
      <c r="D17" s="13" t="s">
        <v>543</v>
      </c>
      <c r="E17" s="10" t="s">
        <v>544</v>
      </c>
      <c r="F17" s="13" t="s">
        <v>531</v>
      </c>
      <c r="G17" s="13" t="s">
        <v>1481</v>
      </c>
      <c r="H17" s="10" t="s">
        <v>1139</v>
      </c>
      <c r="I17" s="13" t="s">
        <v>1497</v>
      </c>
      <c r="J17" s="13" t="s">
        <v>1499</v>
      </c>
      <c r="K17" s="13" t="s">
        <v>2</v>
      </c>
      <c r="L17" s="9" t="s">
        <v>47</v>
      </c>
      <c r="M17" s="9" t="s">
        <v>379</v>
      </c>
      <c r="N17" s="9" t="s">
        <v>75</v>
      </c>
      <c r="O17" s="9" t="s">
        <v>504</v>
      </c>
      <c r="P17" s="9" t="s">
        <v>506</v>
      </c>
      <c r="Q17" s="9" t="s">
        <v>507</v>
      </c>
      <c r="R17" s="9" t="s">
        <v>508</v>
      </c>
      <c r="S17" s="9" t="s">
        <v>509</v>
      </c>
      <c r="T17" s="9" t="s">
        <v>510</v>
      </c>
      <c r="U17" s="9" t="s">
        <v>841</v>
      </c>
      <c r="V17" s="9" t="s">
        <v>511</v>
      </c>
      <c r="W17" s="9" t="s">
        <v>515</v>
      </c>
      <c r="X17" s="9" t="s">
        <v>512</v>
      </c>
      <c r="Y17" s="9" t="s">
        <v>514</v>
      </c>
      <c r="Z17" s="9" t="s">
        <v>530</v>
      </c>
      <c r="AA17" s="9" t="s">
        <v>201</v>
      </c>
      <c r="AB17" s="9" t="s">
        <v>529</v>
      </c>
      <c r="AC17" s="9" t="s">
        <v>546</v>
      </c>
      <c r="AD17" s="9" t="s">
        <v>540</v>
      </c>
      <c r="AE17" s="9" t="s">
        <v>539</v>
      </c>
      <c r="AF17" s="9" t="s">
        <v>541</v>
      </c>
      <c r="AG17" s="9" t="s">
        <v>542</v>
      </c>
      <c r="AH17" s="9" t="s">
        <v>545</v>
      </c>
      <c r="AI17" s="9" t="s">
        <v>547</v>
      </c>
      <c r="AJ17" s="9" t="s">
        <v>555</v>
      </c>
      <c r="AK17" s="9" t="s">
        <v>1259</v>
      </c>
      <c r="AL17" s="9" t="s">
        <v>463</v>
      </c>
      <c r="AM17" s="9" t="s">
        <v>464</v>
      </c>
      <c r="AN17" s="9" t="s">
        <v>1502</v>
      </c>
      <c r="AO17" s="9" t="s">
        <v>1500</v>
      </c>
      <c r="AP17" s="9" t="s">
        <v>1501</v>
      </c>
      <c r="AQ17" s="9" t="s">
        <v>1503</v>
      </c>
      <c r="AR17" s="9" t="s">
        <v>1504</v>
      </c>
      <c r="AS17" s="9" t="s">
        <v>1505</v>
      </c>
      <c r="AT17" s="9" t="s">
        <v>1508</v>
      </c>
    </row>
    <row r="18" spans="1:46" ht="90" x14ac:dyDescent="0.25">
      <c r="A18" s="106" t="str">
        <f ca="1">_xlfn.LET(
_xlpm._isAssumption,$M18,
_xlpm._row,$N18,
_xlpm._numActiveAssumptions,Helper!$B$8,
_xlpm._numActiveCountermeasures,Helper!$B$9,
_xlpm._numAdditionalAssumptions,Helper!$B$10,
_xlpm._numAdditionalCountermeasures,Helper!$B$11,
IF(_xlpm._isAssumption,
IF(_xlpm._row&gt;_xlpm._numActiveAssumptions,
$Y18&amp;"-A"&amp;$T18,
INDEX(Assumptions!A:A,MATCH(_xlpm._row,Assumptions!$AC:$AC,0))),
IF(_xlpm._row&gt;_xlpm._numActiveCountermeasures+_xlpm._numAdditionalCountermeasures,"",
IF(_xlpm._row&gt;_xlpm._numActiveCountermeasures,
$Y18&amp;"-C"&amp;$T18,
INDEX(Countermeasures!$A:$A,MATCH(_xlpm._row,Countermeasures!$AE:$AE,0))))))</f>
        <v>A21</v>
      </c>
      <c r="B18" s="106" t="str" cm="1">
        <f t="array" aca="1" ref="B18" ca="1">IF($A18="","",
_xlfn.LET(
_xlpm._isAssumption,$M18,
_xlpm._isAdditionalElement,$O18,
IF(_xlpm._isAdditionalElement,
IF(_xlpm._isAssumption,
ParseElementsFromComment($X18,Definitions!$AR$4,Definitions!$AS$4,Definitions!$AR$6,$T18),
ParseElementsFromComment($X18,Definitions!$AR$5,Definitions!$AS$5,Definitions!$AR$6,$T18)),
_xlfn.LET(_xlpm._value,IF($A18="","",IF($M18,SimpleLookup($A18,Assumptions!$A:$B),SimpleLookup($A18,Countermeasures!$A:$B))),IF(_xlpm._value="","",_xlpm._value)))))</f>
        <v>SDR 2.7 - Scope for customer-based attacks</v>
      </c>
      <c r="C18" s="106" t="str" cm="1">
        <f t="array" aca="1" ref="C18" ca="1">IF($A18="","",IF($M18,IFERROR(SimpleLookup($A18,Assumptions!$A:$E),""),Definitions!$AO$4))</f>
        <v>&lt;&lt; OEM Name &gt;&gt;</v>
      </c>
      <c r="D18" s="103" t="str">
        <f t="shared" ref="D18:D49" ca="1" si="2">_xlfn.LET(
_xlpm._dividerTop,REPT(_xlfn.UNICHAR(9552),63)&amp;CHAR(10),
_xlpm._dividerHeader,CHAR(10)&amp;REPT(CHAR(150),81)&amp;CHAR(10),
_xlpm._relatedQuestions,IF($AD18="","",_xlpm._dividerTop&amp;"Comments of related questions / answers:"&amp;_xlpm._dividerHeader&amp;$AD18),
_xlpm._assignedToAttackSteps,IF($AE18="","",_xlpm._dividerTop&amp;"Assigned to attack steps:"&amp;_xlpm._dividerHeader&amp;$AE18),
_xlpm._definedInContextOfElement,IF($AF18="","",_xlpm._dividerTop&amp;"Defined in the context of:"&amp;_xlpm._dividerHeader&amp;$AF18),
_xlpm._dependantCountermeasures,IF($AG18="","",_xlpm._dividerTop&amp;"Dependency of countermeasures:"&amp;_xlpm._dividerHeader&amp;$AG18),
_xlpm._defaultElementText,IF($AI18="","",_xlpm._dividerTop&amp;"Default "&amp;IF($M18,"assumption","countermeasure")&amp;":"&amp;_xlpm._dividerHeader&amp;$AI18),
_xlpm._relatedQuestions&amp;
IF(AND(_xlpm._relatedQuestions&lt;&gt;"",_xlpm._assignedToAttackSteps&lt;&gt;""),CHAR(10),"")&amp;_xlpm._assignedToAttackSteps&amp;
IF(AND(OR(_xlpm._relatedQuestions&lt;&gt;"",_xlpm._assignedToAttackSteps&lt;&gt;""),_xlpm._definedInContextOfElement&lt;&gt;""),CHAR(10),"")&amp;_xlpm._definedInContextOfElement&amp;
IF(AND(OR(_xlpm._relatedQuestions&lt;&gt;"",_xlpm._assignedToAttackSteps&lt;&gt;"",_xlpm._definedInContextOfElement&lt;&gt;""),_xlpm._dependantCountermeasures&lt;&gt;""),CHAR(10),"")&amp;_xlpm._dependantCountermeasures&amp;
IF(AND(OR(_xlpm._relatedQuestions&lt;&gt;"",_xlpm._assignedToAttackSteps&lt;&gt;"",_xlpm._definedInContextOfElement&lt;&gt;"",_xlpm._dependantCountermeasures&lt;&gt;""),_xlpm._defaultElementText&lt;&gt;""),CHAR(10),"")&amp;_xlpm._defaultElementText)</f>
        <v>═══════════════════════════════════════════════════════════════
Default assumption:
–––––––––––––––––––––––––––––––––––––––––––––––––––––––––––––––––––––––––––––––––
If the customer conducts attacks, then only selected damages are in scope of the analysis.</v>
      </c>
      <c r="E18" s="107"/>
      <c r="F18" s="108" t="str">
        <f t="shared" ref="F18:F49" ca="1" si="3">IF(AND($E18&lt;&gt;"",$AH18=""),"Error: Unknown ID: "&amp;$E18,
IF($A18="","",HYPERLINK("#"&amp;IF($AH18="",$AC18,$AH18),"click me")))</f>
        <v>click me</v>
      </c>
      <c r="G18" s="102" t="str" cm="1">
        <f t="array" aca="1" ref="G18" ca="1">_xlfn.LET(_xlpm._val,IFERROR(SimpleLookup($A18,Countermeasures!$A:$S),IFERROR(SimpleLookup($A18,Assumptions!$A:$S),"")),IF(_xlpm._val="","",_xlpm._val))</f>
        <v/>
      </c>
      <c r="H18" s="109" t="str">
        <f>""</f>
        <v/>
      </c>
      <c r="I18" s="102" t="str">
        <f t="shared" ref="I18:I49" ca="1" si="4">IF($O18,$AR18,$AO18)</f>
        <v/>
      </c>
      <c r="J18" s="102" t="str">
        <f t="shared" ref="J18:J49" ca="1" si="5">IF($O18,$AS18,$AP18)</f>
        <v/>
      </c>
      <c r="K18" s="106" t="str" cm="1">
        <f t="array" aca="1" ref="K18" ca="1">_xlfn.LET(_xlpm._value,IF($A18="","",IFERROR(IF($M18,SimpleLookup($A18,Assumptions!$A:$T),SimpleLookup($A18,Countermeasures!$A:$T)),"")),
IF(_xlpm._value="","",_xlpm._value))</f>
        <v>Removes damage scenarios not plausible when the customer acts as an attacker.
Note that safety-related aspects are not covered in this assumption, as people might wish to circumvent safety measures to "optimize" processes.</v>
      </c>
      <c r="L18" s="9" cm="1">
        <f t="array" aca="1" ref="L18" ca="1">CreateID($L$17,$A18&lt;&gt;"")</f>
        <v>1</v>
      </c>
      <c r="M18" s="9" t="b">
        <f ca="1">_xlfn.LET(_xlpm._row,ROW()-ROW($N$17),
_xlpm._numActiveAssumptions,Helper!$B$8,
_xlpm._numAdditionalAssumptions,SUM(Table24['# Elements]),
_xlpm._row&lt;=_xlpm._numActiveAssumptions+_xlpm._numAdditionalAssumptions)</f>
        <v>1</v>
      </c>
      <c r="N18" s="9">
        <f ca="1">_xlfn.LET(_xlpm._row,ROW()-ROW($N$17),
_xlpm._numActiveAssumptions,Helper!$B$8,
_xlpm._numAdditionalAssumptions,Helper!$B$10,
_xlpm._isAssumption,$M18,
_xlpm._elementID,IF(_xlpm._isAssumption,_xlpm._row,_xlpm._row-_xlpm._numActiveAssumptions-_xlpm._numAdditionalAssumptions),
_xlpm._elementID)</f>
        <v>1</v>
      </c>
      <c r="O18"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18" s="11" cm="1">
        <f t="array" aca="1" ref="P18" ca="1">IF($O18,
IF(ROW()=ROW($P$17)+1,1,INDEX($P:$P,ROW()-1)+IF(INDEX($W:$W,ROW()-1),1,0)),
1)</f>
        <v>1</v>
      </c>
      <c r="Q18" s="11" t="str" cm="1">
        <f t="array" aca="1" ref="Q18" ca="1">IF($O18=TRUE,
_xlfn.LET(
_xlpm._isAssumption,$M18,
_xlpm._indexRange,IF(_xlpm._isAssumption,Table24['# Elements],Table25['# Elements]),
_xlpm._lookupRow,$Z18,
INDEX(_xlpm._indexRange,_xlpm._lookupRow)),
"")</f>
        <v/>
      </c>
      <c r="R18" s="11" t="str" cm="1">
        <f t="array" aca="1" ref="R18" ca="1">IF($Q18="","",_xlfn.LET(
_xlpm._prevRow,ROW()-1,
IF(OR(INDEX($Q:$Q,_xlpm._prevRow)&lt;&gt;$Q18,INDEX($P:$P,_xlpm._prevRow)&lt;&gt;$P18),
1,
INDEX($R:$R,_xlpm._prevRow)+IF(INDEX($V:$V,_xlpm._prevRow),1,0))))</f>
        <v/>
      </c>
      <c r="S18" s="11" t="str" cm="1">
        <f t="array" aca="1" ref="S18" ca="1">IF($R18="","",_xlfn.LET(
_xlpm._isAssumption,$M18,
_xlpm._sheetRow,$Z18,
_xlpm._sheetName,$AA18,
_xlpm._elementIDRange,IF(_xlpm._isAssumption,Table24[Element ID Column],Table25[Element ID Column]),
_xlpm._numberOfElementsRange,IF(_xlpm._isAssumption,Table24[Number of Elements Column],Table25[Number of Elements Column]),
SimpleLookup($R18,INDIRECT("'"&amp;_xlpm._sheetName&amp;"'!"&amp;INDEX(_xlpm._elementIDRange,_xlpm._sheetRow)&amp;":"&amp;INDEX(_xlpm._numberOfElementsRange,_xlpm._sheetRow)))))</f>
        <v/>
      </c>
      <c r="T18" s="11" t="str" cm="1">
        <f t="array" aca="1" ref="T18" ca="1">IF($R18="","",IF(OR(INDEX($R:$R,ROW()-1)&lt;&gt;$R18,INDEX($P:$P,ROW()-1)&lt;&gt;$P18),1,INDEX($T:$T,ROW()-1)+1))</f>
        <v/>
      </c>
      <c r="U18" s="11">
        <f t="shared" ref="U18:U49" ca="1" si="6">COUNTIFS(
OFFSET($O$17,1,0,ROW()-ROW($O$17),1),TRUE,
OFFSET($P$17,1,0,ROW()-ROW($P$17),1),$P18,
OFFSET($M$17,1,0,ROW()-ROW($M$17),1),$M18)</f>
        <v>0</v>
      </c>
      <c r="V18" s="11" t="str">
        <f t="shared" ref="V18:V49" ca="1" si="7">IF($O18,$S18=$T18,"")</f>
        <v/>
      </c>
      <c r="W18" s="11" t="b">
        <f ca="1">_xlfn.LET(
_xlpm._isAssumption,$M18,
_xlpm._numberOfElementsRange,IF(_xlpm._isAssumption,Table24['# Elements],Table25['# Elements]),
_xlpm._sheetRow,$Z18,
IF($O18,AND($V18,$U18=$Q18),FALSE))</f>
        <v>0</v>
      </c>
      <c r="X18" s="11" t="str" cm="1">
        <f t="array" aca="1" ref="X18" ca="1">IF($O18,
_xlfn.LET(
_xlpm._elementID,$R18,
_xlpm._isAssumption,$M18,
_xlpm._sheetRow,$Z18,
_xlpm._sheetName,$AA18,
_xlpm._elementRow,$AB18,
_xlpm._resultColumnLetter,IF(_xlpm._isAssumption,INDEX(Table24[Comment Column],_xlpm._sheetRow),INDEX(Table25[Comment Column],_xlpm._sheetRow)),
INDEX(INDIRECT("'"&amp;_xlpm._sheetName&amp;"'!"&amp;_xlpm._resultColumnLetter&amp;":"&amp;_xlpm._resultColumnLetter),_xlpm._elementRow)),
"")</f>
        <v/>
      </c>
      <c r="Y18" s="11" t="str" cm="1">
        <f t="array" aca="1" ref="Y18" ca="1">IF($O18,
_xlfn.LET(
_xlpm._elementID,$R18,
_xlpm._isAssumption,$M18,
_xlpm._sheetRow,$Z18,
_xlpm._sheetName,$AA18,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18" s="11" t="str">
        <f ca="1">IF($O18=TRUE,
_xlfn.LET(
_xlpm._isAssumption,$M18,
_xlpm._searchRange,IF(_xlpm._isAssumption,Table24[Task Sheet Shadow ID],Table25[Task Sheet Shadow ID]),
MATCH($P18,_xlpm._searchRange,0)),
"")</f>
        <v/>
      </c>
      <c r="AA18" s="11" t="str" cm="1">
        <f t="array" aca="1" ref="AA18" ca="1">IF($O18,
_xlfn.LET(
_xlpm._isAssumption,$M18,
_xlpm._sheetRow,$Z18,
IF(_xlpm._isAssumption,INDEX(Table24[Sheet Name],_xlpm._sheetRow),INDEX(Table25[Sheet Name],_xlpm._sheetRow))),
"")</f>
        <v/>
      </c>
      <c r="AB18" s="11" t="str" cm="1">
        <f t="array" aca="1" ref="AB18" ca="1">IF($O18,
_xlfn.LET(
_xlpm._elementID,$R18,
_xlpm._isAssumption,$M18,
_xlpm._sheetRow,$Z18,
_xlpm._sheetName,$AA18,
_xlpm._elementIDColumnLetter,IF(_xlpm._isAssumption,INDEX(Table24[Element ID Column],_xlpm._sheetRow),INDEX(Table25[Element ID Column],_xlpm._sheetRow)),
MATCH(_xlpm._elementID,INDIRECT("'"&amp;_xlpm._sheetName&amp;"'!"&amp;_xlpm._elementIDColumnLetter&amp;":"&amp;_xlpm._elementIDColumnLetter),0)),
"")</f>
        <v/>
      </c>
      <c r="AC18" s="11" t="str" cm="1">
        <f t="array" aca="1" ref="AC18" ca="1">IF($A18="","",_xlfn.LET(
_xlpm._isAssumption,$M18,
_xlpm._isAdditionalElement,$O18,
_xlpm._sheetRow,$Z18,
_xlpm._sheetName,$AA18,
_xlpm._columnLetter,INDEX(IF(_xlpm._isAdditionalElement,Table24[Comment Column],Table25[Comment Column]),_xlpm._sheetRow),
_xlpm._sheetReference,IF(_xlpm._isAssumption,IF(_xlpm._isAdditionalElement,
CELL("address",INDEX(INDIRECT("'"&amp;_xlpm._sheetName&amp;"'!"&amp;_xlpm._columnLetter&amp;":"&amp;_xlpm._columnLetter),$AB18)),
CELL("address",INDEX(Assumptions!$A:$A,MATCH($A18,Assumptions!$A:$A,0),1))),
IF(_xlpm._isAdditionalElement,
CELL("address",INDEX(INDIRECT("'"&amp;_xlpm._sheetName&amp;"'!"&amp;_xlpm._columnLetter&amp;":"&amp;_xlpm._columnLetter),$AB18)),
CELL("address",INDEX(Countermeasures!$A:$A,MATCH($A18,Countermeasures!$A:$A,0),1)))),
_xlpm._start,FIND("]",_xlpm._sheetReference),
"'"&amp;SUBSTITUTE(SUBSTITUTE(RIGHT(_xlpm._sheetReference,LEN(_xlpm._sheetReference)-_xlpm._start),"'",""),"!","'!")))</f>
        <v>'Assumptions'!$A$22</v>
      </c>
      <c r="AD18" s="11" t="str" cm="1">
        <f t="array" aca="1" ref="AD18" ca="1">IF(NOT($O18),
_xlfn.LET(_xlpm._value,IF($A18="","",IF($M18,SimpleLookup($A18,Assumptions!$A:$AG),SimpleLookup($A18,Countermeasures!$A:$AJ))),
IF(_xlpm._value="","",_xlpm._value)),
"")</f>
        <v/>
      </c>
      <c r="AE18" s="11" t="str" cm="1">
        <f t="array" aca="1" ref="AE18" ca="1">LookupNames(InverseLookup($A18,Mitigation!$AD$2,Mitigation!$A$2,1,Helper!$B$5,","),'Attack Steps'!$A:$B)</f>
        <v/>
      </c>
      <c r="AF18" s="11" t="str" cm="1">
        <f t="array" aca="1" ref="AF18" ca="1">IF($O18,
_xlfn.LET(
_xlpm._in,$A18,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18" s="11" t="str" cm="1">
        <f t="array" aca="1" ref="AG18" ca="1">_xlfn.LET(
_xlpm._countermeasures,InverseLookup($A18,Countermeasures!$AC$2,Countermeasures!$A$2,1,Helper!$B$4,","),
LookupNames(_xlpm._countermeasures,Countermeasures!$A:$B))</f>
        <v/>
      </c>
      <c r="AH18" s="11" t="str" cm="1">
        <f t="array" aca="1" ref="AH18" ca="1">IF($E18="","",_xlfn.LET(
_xlpm._id,$E18,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18" s="11" t="str" cm="1">
        <f t="array" aca="1" ref="AI18" ca="1">IF(OR($A18="",$O18),"",_xlfn.LET(
_xlpm._answers,IF($M18,SimpleLookup($A18,Assumptions!$A:$F),SimpleLookup($A18,Countermeasures!$A:$D)),
IF(_xlpm._answers="*",IF($M18,SimpleLookup($A18,Assumptions!$A:$C),SimpleLookup($A18,Countermeasures!$A:$C)),"")))</f>
        <v>If the customer conducts attacks, then only selected damages are in scope of the analysis.</v>
      </c>
      <c r="AJ18" s="11" t="str" cm="1">
        <f t="array" aca="1" ref="AJ18" ca="1">IF(NOT($O18),"",_xlfn.LET(
_xlpm._mappedInMitigation,IFERROR(VLOOKUP($Y18,'Attack Steps'!$A:$P,COLUMNS('Attack Steps'!$A:$P),FALSE),""),
CreateSearchString(_xlpm._mappedInMitigation)))</f>
        <v/>
      </c>
      <c r="AK18" s="11" t="b">
        <f ca="1">ROW()-ROW($AK$17)=Helper!$B$15</f>
        <v>0</v>
      </c>
      <c r="AL18" s="11" t="str">
        <f t="shared" ref="AL18:AL49" ca="1" si="8">IF(IFERROR(MATCH(TRUE,$AK:$AK,0)&gt;0,FALSE),"",IF(OFFSET($AK18,1,0)="","Please enlarge the table!",""))</f>
        <v/>
      </c>
      <c r="AM18" s="11" cm="1">
        <f t="array" aca="1" ref="AM18" ca="1">CreateID($AM$17,$AL18&lt;&gt;"")</f>
        <v>0</v>
      </c>
      <c r="AN18" s="11" t="str" cm="1">
        <f t="array" aca="1" ref="AN18" ca="1">IF($O18,"",
_xlfn.LET(
_xlpm._this,SanitizeInput($A18)&amp;AT18,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18" s="11" t="str" cm="1">
        <f t="array" aca="1" ref="AO18" ca="1">IF($O18,"",_xlfn.LET(
_xlpm._listOfRisksAndLevels,SanitizeInput($AN18),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_xlpm._shortenedList,IF($H18="",_xlpm._risksWithMaxValue,
  IF(LEN(_xlpm._risksWithMaxValue)-LEN(SUBSTITUTE(_xlpm._risksWithMaxValue,",",""))&lt;=$H18,_xlpm._risksWithMaxValue,
    LEFT(_xlpm._risksWithMaxValue,FIND(CHAR(1),SUBSTITUTE(_xlpm._risksWithMaxValue,",",CHAR(1),$H18))))),
IF(_xlpm._maxRiskValue="","",
  _xlpm._lineMainSeparator&amp;
  INDEX(Definitions!$AE:$AE,MATCH(_xlpm._maxRiskValue,Definitions!$AF:$AF,0))&amp;CHAR(10)&amp;
  _xlpm._lineMainSeparator&amp;
  RemoveDelimiter(GetValues(_xlpm._shortenedList,Risks!$A:$B," ",CHAR(10)&amp;_xlpm._lineMainSeparator,TRUE),CHAR(10)&amp;_xlpm._lineMainSeparator))))</f>
        <v/>
      </c>
      <c r="AP18" s="11" t="str" cm="1">
        <f t="array" aca="1" ref="AP18" ca="1">IF($O18,"",_xlfn.LET(
_xlpm._lineMainSeparator,REPT(_xlfn.UNICHAR(9552),63)&amp;CHAR(10),
_xlpm._affectedRisks,InverseLookupList(SanitizeInput($A18)&amp;$AT18,Risks!$AX$2,Risks!$A$2,Helper!$B$1,","),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_xlpm._shortenedList,IF($H18="",_xlpm._risksWithMaxValue,
  IF(LEN(_xlpm._risksWithMaxValue)-LEN(SUBSTITUTE(_xlpm._risksWithMaxValue,",",""))&lt;=$H18,_xlpm._risksWithMaxValue,
    LEFT(_xlpm._risksWithMaxValue,FIND(CHAR(1),SUBSTITUTE(_xlpm._risksWithMaxValue,",",CHAR(1),$H18))))),
IF(_xlpm._maxRiskValue="","",
  _xlpm._lineMainSeparator&amp;
  INDEX(Definitions!$AE:$AE,MATCH(_xlpm._maxRiskValue,Definitions!$AF:$AF,0))&amp;CHAR(10)&amp;
  _xlpm._lineMainSeparator&amp;
  RemoveDelimiter(GetValues(_xlpm._shortenedList,Risks!$A:$B," ",CHAR(10)&amp;_xlpm._lineMainSeparator,TRUE),CHAR(10)&amp;_xlpm._lineMainSeparator))))</f>
        <v/>
      </c>
      <c r="AQ18" s="11" t="str" cm="1">
        <f t="array" aca="1" ref="AQ18" ca="1">IF(NOT($O18),"",
_xlfn.LET(
_xlpm._potentialASID,$Y18,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_xlpm._commentsFiltered,SUBSTITUTE(GetValues(_xlpm._attackSteps,Mitigation!$A:$O,"","",FALSE),$X18,""),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18" s="11" t="str" cm="1">
        <f t="array" aca="1" ref="AR18" ca="1">IF(NOT($O18),"",_xlfn.LET(
_xlpm._listOfRisksAndLevels,SanitizeInput($AQ18),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_xlpm._shortenedList,IF($H18="",_xlpm._risksWithMaxValue,
  IF(LEN(_xlpm._risksWithMaxValue)-LEN(SUBSTITUTE(_xlpm._risksWithMaxValue,",",""))&lt;=$H18,_xlpm._risksWithMaxValue,
    LEFT(_xlpm._risksWithMaxValue,FIND(CHAR(1),SUBSTITUTE(_xlpm._risksWithMaxValue,",",CHAR(1),$H18))))),
IF(_xlpm._maxRiskValue="","",
  _xlpm._lineMainSeparator&amp;
  INDEX(Definitions!$AE:$AE,MATCH(_xlpm._maxRiskValue,Definitions!$AF:$AF,0))&amp;CHAR(10)&amp;
  _xlpm._lineMainSeparator&amp;
  RemoveDelimiter(GetValues(_xlpm._shortenedList,Risks!$A:$B," ",CHAR(10)&amp;_xlpm._lineMainSeparator,TRUE),CHAR(10)&amp;_xlpm._lineMainSeparator))))</f>
        <v/>
      </c>
      <c r="AS18" s="11" t="str" cm="1">
        <f t="array" aca="1" ref="AS18" ca="1">IF(NOT($O18),"",
_xlfn.LET(
_xlpm._lineMainSeparator,REPT(_xlfn.UNICHAR(9552),63)&amp;CHAR(10),
_xlpm._potentialASID,$Y18,
_xlpm._risk,IFERROR(SimpleLookup(_xlpm._potentialASID,Mitigation!$A:$N),""),
_xlpm._attackPaths,IFERROR(SimpleLookup(_xlpm._potentialASID,Mitigation!$A:$M),""),
IF(_xlpm._risk="","",
_xlpm._lineMainSeparator&amp;
_xlpm._risk&amp;CHAR(10)&amp;
_xlpm._lineMainSeparator&amp;
_xlpm._attackPaths)))</f>
        <v/>
      </c>
      <c r="AT18" s="11" t="str" cm="1">
        <f t="array" aca="1" ref="AT18" ca="1">InverseLookup($A18,Countermeasures!$AA$2,Countermeasures!$A$2,1,Helper!$B$4,",")</f>
        <v/>
      </c>
    </row>
    <row r="19" spans="1:46" ht="60" x14ac:dyDescent="0.25">
      <c r="A19" s="106" t="str">
        <f ca="1">_xlfn.LET(
_xlpm._isAssumption,$M19,
_xlpm._row,$N19,
_xlpm._numActiveAssumptions,Helper!$B$8,
_xlpm._numActiveCountermeasures,Helper!$B$9,
_xlpm._numAdditionalAssumptions,Helper!$B$10,
_xlpm._numAdditionalCountermeasures,Helper!$B$11,
IF(_xlpm._isAssumption,
IF(_xlpm._row&gt;_xlpm._numActiveAssumptions,
$Y19&amp;"-A"&amp;$T19,
INDEX(Assumptions!A:A,MATCH(_xlpm._row,Assumptions!$AC:$AC,0))),
IF(_xlpm._row&gt;_xlpm._numActiveCountermeasures+_xlpm._numAdditionalCountermeasures,"",
IF(_xlpm._row&gt;_xlpm._numActiveCountermeasures,
$Y19&amp;"-C"&amp;$T19,
INDEX(Countermeasures!$A:$A,MATCH(_xlpm._row,Countermeasures!$AE:$AE,0))))))</f>
        <v>A30</v>
      </c>
      <c r="B19" s="106" t="str" cm="1">
        <f t="array" aca="1" ref="B19" ca="1">IF($A19="","",
_xlfn.LET(
_xlpm._isAssumption,$M19,
_xlpm._isAdditionalElement,$O19,
IF(_xlpm._isAdditionalElement,
IF(_xlpm._isAssumption,
ParseElementsFromComment($X19,Definitions!$AR$4,Definitions!$AS$4,Definitions!$AR$6,$T19),
ParseElementsFromComment($X19,Definitions!$AR$5,Definitions!$AS$5,Definitions!$AR$6,$T19)),
_xlfn.LET(_xlpm._value,IF($A19="","",IF($M19,SimpleLookup($A19,Assumptions!$A:$B),SimpleLookup($A19,Countermeasures!$A:$B))),IF(_xlpm._value="","",_xlpm._value)))))</f>
        <v>SDR 1.19 - Physical destruction</v>
      </c>
      <c r="C19" s="106" t="str" cm="1">
        <f t="array" aca="1" ref="C19" ca="1">IF($A19="","",IF($M19,IFERROR(SimpleLookup($A19,Assumptions!$A:$E),""),Definitions!$AO$4))</f>
        <v>Other (see comment)</v>
      </c>
      <c r="D19" s="103" t="str">
        <f t="shared" ca="1" si="2"/>
        <v>═══════════════════════════════════════════════════════════════
Default assumption:
–––––––––––––––––––––––––––––––––––––––––––––––––––––––––––––––––––––––––––––––––
Vandalism or other forms of physical destruction of the product are not in scope of this analysis.</v>
      </c>
      <c r="E19" s="107"/>
      <c r="F19" s="108" t="str">
        <f t="shared" ca="1" si="3"/>
        <v>click me</v>
      </c>
      <c r="G19" s="102" t="str" cm="1">
        <f t="array" aca="1" ref="G19" ca="1">_xlfn.LET(_xlpm._val,IFERROR(SimpleLookup($A19,Countermeasures!$A:$S),IFERROR(SimpleLookup($A19,Assumptions!$A:$S),"")),IF(_xlpm._val="","",_xlpm._val))</f>
        <v/>
      </c>
      <c r="H19" s="109" t="str">
        <f>""</f>
        <v/>
      </c>
      <c r="I19" s="102" t="str">
        <f t="shared" ca="1" si="4"/>
        <v/>
      </c>
      <c r="J19" s="102" t="str">
        <f t="shared" ca="1" si="5"/>
        <v/>
      </c>
      <c r="K19" s="106" t="str" cm="1">
        <f t="array" aca="1" ref="K19" ca="1">_xlfn.LET(_xlpm._value,IF($A19="","",IFERROR(IF($M19,SimpleLookup($A19,Assumptions!$A:$T),SimpleLookup($A19,Countermeasures!$A:$T)),"")),
IF(_xlpm._value="","",_xlpm._value))</f>
        <v>Scope definition - physical vandalism cannot be managed by the product's cybersecurity, but must be handled by compensating countermeasures, such as physical access control or monitoring.</v>
      </c>
      <c r="L19" s="9" cm="1">
        <f t="array" aca="1" ref="L19" ca="1">CreateID($L$17,$A19&lt;&gt;"")</f>
        <v>2</v>
      </c>
      <c r="M19" s="9" t="b">
        <f ca="1">_xlfn.LET(_xlpm._row,ROW()-ROW($N$17),
_xlpm._numActiveAssumptions,Helper!$B$8,
_xlpm._numAdditionalAssumptions,SUM(Table24['# Elements]),
_xlpm._row&lt;=_xlpm._numActiveAssumptions+_xlpm._numAdditionalAssumptions)</f>
        <v>1</v>
      </c>
      <c r="N19" s="9">
        <f ca="1">_xlfn.LET(_xlpm._row,ROW()-ROW($N$17),
_xlpm._numActiveAssumptions,Helper!$B$8,
_xlpm._numAdditionalAssumptions,Helper!$B$10,
_xlpm._isAssumption,$M19,
_xlpm._elementID,IF(_xlpm._isAssumption,_xlpm._row,_xlpm._row-_xlpm._numActiveAssumptions-_xlpm._numAdditionalAssumptions),
_xlpm._elementID)</f>
        <v>2</v>
      </c>
      <c r="O19"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19" s="11" cm="1">
        <f t="array" aca="1" ref="P19" ca="1">IF($O19,
IF(ROW()=ROW($P$17)+1,1,INDEX($P:$P,ROW()-1)+IF(INDEX($W:$W,ROW()-1),1,0)),
1)</f>
        <v>1</v>
      </c>
      <c r="Q19" s="11" t="str" cm="1">
        <f t="array" aca="1" ref="Q19" ca="1">IF($O19=TRUE,
_xlfn.LET(
_xlpm._isAssumption,$M19,
_xlpm._indexRange,IF(_xlpm._isAssumption,Table24['# Elements],Table25['# Elements]),
_xlpm._lookupRow,$Z19,
INDEX(_xlpm._indexRange,_xlpm._lookupRow)),
"")</f>
        <v/>
      </c>
      <c r="R19" s="11" t="str" cm="1">
        <f t="array" aca="1" ref="R19" ca="1">IF($Q19="","",_xlfn.LET(
_xlpm._prevRow,ROW()-1,
IF(OR(INDEX($Q:$Q,_xlpm._prevRow)&lt;&gt;$Q19,INDEX($P:$P,_xlpm._prevRow)&lt;&gt;$P19),
1,
INDEX($R:$R,_xlpm._prevRow)+IF(INDEX($V:$V,_xlpm._prevRow),1,0))))</f>
        <v/>
      </c>
      <c r="S19" s="11" t="str" cm="1">
        <f t="array" aca="1" ref="S19" ca="1">IF($R19="","",_xlfn.LET(
_xlpm._isAssumption,$M19,
_xlpm._sheetRow,$Z19,
_xlpm._sheetName,$AA19,
_xlpm._elementIDRange,IF(_xlpm._isAssumption,Table24[Element ID Column],Table25[Element ID Column]),
_xlpm._numberOfElementsRange,IF(_xlpm._isAssumption,Table24[Number of Elements Column],Table25[Number of Elements Column]),
SimpleLookup($R19,INDIRECT("'"&amp;_xlpm._sheetName&amp;"'!"&amp;INDEX(_xlpm._elementIDRange,_xlpm._sheetRow)&amp;":"&amp;INDEX(_xlpm._numberOfElementsRange,_xlpm._sheetRow)))))</f>
        <v/>
      </c>
      <c r="T19" s="11" t="str" cm="1">
        <f t="array" aca="1" ref="T19" ca="1">IF($R19="","",IF(OR(INDEX($R:$R,ROW()-1)&lt;&gt;$R19,INDEX($P:$P,ROW()-1)&lt;&gt;$P19),1,INDEX($T:$T,ROW()-1)+1))</f>
        <v/>
      </c>
      <c r="U19" s="11">
        <f t="shared" ca="1" si="6"/>
        <v>0</v>
      </c>
      <c r="V19" s="11" t="str">
        <f t="shared" ca="1" si="7"/>
        <v/>
      </c>
      <c r="W19" s="11" t="b">
        <f ca="1">_xlfn.LET(
_xlpm._isAssumption,$M19,
_xlpm._numberOfElementsRange,IF(_xlpm._isAssumption,Table24['# Elements],Table25['# Elements]),
_xlpm._sheetRow,$Z19,
IF($O19,AND($V19,$U19=$Q19),FALSE))</f>
        <v>0</v>
      </c>
      <c r="X19" s="11" t="str" cm="1">
        <f t="array" aca="1" ref="X19" ca="1">IF($O19,
_xlfn.LET(
_xlpm._elementID,$R19,
_xlpm._isAssumption,$M19,
_xlpm._sheetRow,$Z19,
_xlpm._sheetName,$AA19,
_xlpm._elementRow,$AB19,
_xlpm._resultColumnLetter,IF(_xlpm._isAssumption,INDEX(Table24[Comment Column],_xlpm._sheetRow),INDEX(Table25[Comment Column],_xlpm._sheetRow)),
INDEX(INDIRECT("'"&amp;_xlpm._sheetName&amp;"'!"&amp;_xlpm._resultColumnLetter&amp;":"&amp;_xlpm._resultColumnLetter),_xlpm._elementRow)),
"")</f>
        <v/>
      </c>
      <c r="Y19" s="11" t="str" cm="1">
        <f t="array" aca="1" ref="Y19" ca="1">IF($O19,
_xlfn.LET(
_xlpm._elementID,$R19,
_xlpm._isAssumption,$M19,
_xlpm._sheetRow,$Z19,
_xlpm._sheetName,$AA19,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19" s="11" t="str">
        <f ca="1">IF($O19=TRUE,
_xlfn.LET(
_xlpm._isAssumption,$M19,
_xlpm._searchRange,IF(_xlpm._isAssumption,Table24[Task Sheet Shadow ID],Table25[Task Sheet Shadow ID]),
MATCH($P19,_xlpm._searchRange,0)),
"")</f>
        <v/>
      </c>
      <c r="AA19" s="11" t="str" cm="1">
        <f t="array" aca="1" ref="AA19" ca="1">IF($O19,
_xlfn.LET(
_xlpm._isAssumption,$M19,
_xlpm._sheetRow,$Z19,
IF(_xlpm._isAssumption,INDEX(Table24[Sheet Name],_xlpm._sheetRow),INDEX(Table25[Sheet Name],_xlpm._sheetRow))),
"")</f>
        <v/>
      </c>
      <c r="AB19" s="11" t="str" cm="1">
        <f t="array" aca="1" ref="AB19" ca="1">IF($O19,
_xlfn.LET(
_xlpm._elementID,$R19,
_xlpm._isAssumption,$M19,
_xlpm._sheetRow,$Z19,
_xlpm._sheetName,$AA19,
_xlpm._elementIDColumnLetter,IF(_xlpm._isAssumption,INDEX(Table24[Element ID Column],_xlpm._sheetRow),INDEX(Table25[Element ID Column],_xlpm._sheetRow)),
MATCH(_xlpm._elementID,INDIRECT("'"&amp;_xlpm._sheetName&amp;"'!"&amp;_xlpm._elementIDColumnLetter&amp;":"&amp;_xlpm._elementIDColumnLetter),0)),
"")</f>
        <v/>
      </c>
      <c r="AC19" s="11" t="str" cm="1">
        <f t="array" aca="1" ref="AC19" ca="1">IF($A19="","",_xlfn.LET(
_xlpm._isAssumption,$M19,
_xlpm._isAdditionalElement,$O19,
_xlpm._sheetRow,$Z19,
_xlpm._sheetName,$AA19,
_xlpm._columnLetter,INDEX(IF(_xlpm._isAdditionalElement,Table24[Comment Column],Table25[Comment Column]),_xlpm._sheetRow),
_xlpm._sheetReference,IF(_xlpm._isAssumption,IF(_xlpm._isAdditionalElement,
CELL("address",INDEX(INDIRECT("'"&amp;_xlpm._sheetName&amp;"'!"&amp;_xlpm._columnLetter&amp;":"&amp;_xlpm._columnLetter),$AB19)),
CELL("address",INDEX(Assumptions!$A:$A,MATCH($A19,Assumptions!$A:$A,0),1))),
IF(_xlpm._isAdditionalElement,
CELL("address",INDEX(INDIRECT("'"&amp;_xlpm._sheetName&amp;"'!"&amp;_xlpm._columnLetter&amp;":"&amp;_xlpm._columnLetter),$AB19)),
CELL("address",INDEX(Countermeasures!$A:$A,MATCH($A19,Countermeasures!$A:$A,0),1)))),
_xlpm._start,FIND("]",_xlpm._sheetReference),
"'"&amp;SUBSTITUTE(SUBSTITUTE(RIGHT(_xlpm._sheetReference,LEN(_xlpm._sheetReference)-_xlpm._start),"'",""),"!","'!")))</f>
        <v>'Assumptions'!$A$31</v>
      </c>
      <c r="AD19" s="11" t="str" cm="1">
        <f t="array" aca="1" ref="AD19" ca="1">IF(NOT($O19),
_xlfn.LET(_xlpm._value,IF($A19="","",IF($M19,SimpleLookup($A19,Assumptions!$A:$AG),SimpleLookup($A19,Countermeasures!$A:$AJ))),
IF(_xlpm._value="","",_xlpm._value)),
"")</f>
        <v/>
      </c>
      <c r="AE19" s="11" t="str" cm="1">
        <f t="array" aca="1" ref="AE19" ca="1">LookupNames(InverseLookup($A19,Mitigation!$AD$2,Mitigation!$A$2,1,Helper!$B$5,","),'Attack Steps'!$A:$B)</f>
        <v/>
      </c>
      <c r="AF19" s="11" t="str" cm="1">
        <f t="array" aca="1" ref="AF19" ca="1">IF($O19,
_xlfn.LET(
_xlpm._in,$A19,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19" s="11" t="str" cm="1">
        <f t="array" aca="1" ref="AG19" ca="1">_xlfn.LET(
_xlpm._countermeasures,InverseLookup($A19,Countermeasures!$AC$2,Countermeasures!$A$2,1,Helper!$B$4,","),
LookupNames(_xlpm._countermeasures,Countermeasures!$A:$B))</f>
        <v/>
      </c>
      <c r="AH19" s="11" t="str" cm="1">
        <f t="array" aca="1" ref="AH19" ca="1">IF($E19="","",_xlfn.LET(
_xlpm._id,$E19,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19" s="11" t="str" cm="1">
        <f t="array" aca="1" ref="AI19" ca="1">IF(OR($A19="",$O19),"",_xlfn.LET(
_xlpm._answers,IF($M19,SimpleLookup($A19,Assumptions!$A:$F),SimpleLookup($A19,Countermeasures!$A:$D)),
IF(_xlpm._answers="*",IF($M19,SimpleLookup($A19,Assumptions!$A:$C),SimpleLookup($A19,Countermeasures!$A:$C)),"")))</f>
        <v>Vandalism or other forms of physical destruction of the product are not in scope of this analysis.</v>
      </c>
      <c r="AJ19" s="11" t="str" cm="1">
        <f t="array" aca="1" ref="AJ19" ca="1">IF(NOT($O19),"",_xlfn.LET(
_xlpm._mappedInMitigation,IFERROR(VLOOKUP($Y19,'Attack Steps'!$A:$P,COLUMNS('Attack Steps'!$A:$P),FALSE),""),
CreateSearchString(_xlpm._mappedInMitigation)))</f>
        <v/>
      </c>
      <c r="AK19" s="11" t="b">
        <f ca="1">ROW()-ROW($AK$17)=Helper!$B$15</f>
        <v>0</v>
      </c>
      <c r="AL19" s="11" t="str">
        <f t="shared" ca="1" si="8"/>
        <v/>
      </c>
      <c r="AM19" s="11" cm="1">
        <f t="array" aca="1" ref="AM19" ca="1">CreateID($AM$17,$AL19&lt;&gt;"")</f>
        <v>0</v>
      </c>
      <c r="AN19" s="11" t="str" cm="1">
        <f t="array" aca="1" ref="AN19" ca="1">IF($O19,"",
_xlfn.LET(
_xlpm._this,SanitizeInput($A19)&amp;AT19,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19" s="11" t="str" cm="1">
        <f t="array" aca="1" ref="AO19" ca="1">IF($O19,"",_xlfn.LET(
_xlpm._listOfRisksAndLevels,SanitizeInput($AN19),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_xlpm._shortenedList,IF($H19="",_xlpm._risksWithMaxValue,
  IF(LEN(_xlpm._risksWithMaxValue)-LEN(SUBSTITUTE(_xlpm._risksWithMaxValue,",",""))&lt;=$H19,_xlpm._risksWithMaxValue,
    LEFT(_xlpm._risksWithMaxValue,FIND(CHAR(1),SUBSTITUTE(_xlpm._risksWithMaxValue,",",CHAR(1),$H19))))),
IF(_xlpm._maxRiskValue="","",
  _xlpm._lineMainSeparator&amp;
  INDEX(Definitions!$AE:$AE,MATCH(_xlpm._maxRiskValue,Definitions!$AF:$AF,0))&amp;CHAR(10)&amp;
  _xlpm._lineMainSeparator&amp;
  RemoveDelimiter(GetValues(_xlpm._shortenedList,Risks!$A:$B," ",CHAR(10)&amp;_xlpm._lineMainSeparator,TRUE),CHAR(10)&amp;_xlpm._lineMainSeparator))))</f>
        <v/>
      </c>
      <c r="AP19" s="11" t="str" cm="1">
        <f t="array" aca="1" ref="AP19" ca="1">IF($O19,"",_xlfn.LET(
_xlpm._lineMainSeparator,REPT(_xlfn.UNICHAR(9552),63)&amp;CHAR(10),
_xlpm._affectedRisks,InverseLookupList(SanitizeInput($A19)&amp;$AT19,Risks!$AX$2,Risks!$A$2,Helper!$B$1,","),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_xlpm._shortenedList,IF($H19="",_xlpm._risksWithMaxValue,
  IF(LEN(_xlpm._risksWithMaxValue)-LEN(SUBSTITUTE(_xlpm._risksWithMaxValue,",",""))&lt;=$H19,_xlpm._risksWithMaxValue,
    LEFT(_xlpm._risksWithMaxValue,FIND(CHAR(1),SUBSTITUTE(_xlpm._risksWithMaxValue,",",CHAR(1),$H19))))),
IF(_xlpm._maxRiskValue="","",
  _xlpm._lineMainSeparator&amp;
  INDEX(Definitions!$AE:$AE,MATCH(_xlpm._maxRiskValue,Definitions!$AF:$AF,0))&amp;CHAR(10)&amp;
  _xlpm._lineMainSeparator&amp;
  RemoveDelimiter(GetValues(_xlpm._shortenedList,Risks!$A:$B," ",CHAR(10)&amp;_xlpm._lineMainSeparator,TRUE),CHAR(10)&amp;_xlpm._lineMainSeparator))))</f>
        <v/>
      </c>
      <c r="AQ19" s="11" t="str" cm="1">
        <f t="array" aca="1" ref="AQ19" ca="1">IF(NOT($O19),"",
_xlfn.LET(
_xlpm._potentialASID,$Y19,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_xlpm._commentsFiltered,SUBSTITUTE(GetValues(_xlpm._attackSteps,Mitigation!$A:$O,"","",FALSE),$X19,""),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19" s="11" t="str" cm="1">
        <f t="array" aca="1" ref="AR19" ca="1">IF(NOT($O19),"",_xlfn.LET(
_xlpm._listOfRisksAndLevels,SanitizeInput($AQ19),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_xlpm._shortenedList,IF($H19="",_xlpm._risksWithMaxValue,
  IF(LEN(_xlpm._risksWithMaxValue)-LEN(SUBSTITUTE(_xlpm._risksWithMaxValue,",",""))&lt;=$H19,_xlpm._risksWithMaxValue,
    LEFT(_xlpm._risksWithMaxValue,FIND(CHAR(1),SUBSTITUTE(_xlpm._risksWithMaxValue,",",CHAR(1),$H19))))),
IF(_xlpm._maxRiskValue="","",
  _xlpm._lineMainSeparator&amp;
  INDEX(Definitions!$AE:$AE,MATCH(_xlpm._maxRiskValue,Definitions!$AF:$AF,0))&amp;CHAR(10)&amp;
  _xlpm._lineMainSeparator&amp;
  RemoveDelimiter(GetValues(_xlpm._shortenedList,Risks!$A:$B," ",CHAR(10)&amp;_xlpm._lineMainSeparator,TRUE),CHAR(10)&amp;_xlpm._lineMainSeparator))))</f>
        <v/>
      </c>
      <c r="AS19" s="11" t="str" cm="1">
        <f t="array" aca="1" ref="AS19" ca="1">IF(NOT($O19),"",
_xlfn.LET(
_xlpm._lineMainSeparator,REPT(_xlfn.UNICHAR(9552),63)&amp;CHAR(10),
_xlpm._potentialASID,$Y19,
_xlpm._risk,IFERROR(SimpleLookup(_xlpm._potentialASID,Mitigation!$A:$N),""),
_xlpm._attackPaths,IFERROR(SimpleLookup(_xlpm._potentialASID,Mitigation!$A:$M),""),
IF(_xlpm._risk="","",
_xlpm._lineMainSeparator&amp;
_xlpm._risk&amp;CHAR(10)&amp;
_xlpm._lineMainSeparator&amp;
_xlpm._attackPaths)))</f>
        <v/>
      </c>
      <c r="AT19" s="11" t="str" cm="1">
        <f t="array" aca="1" ref="AT19" ca="1">InverseLookup($A19,Countermeasures!$AA$2,Countermeasures!$A$2,1,Helper!$B$4,",")</f>
        <v/>
      </c>
    </row>
    <row r="20" spans="1:46" ht="72" x14ac:dyDescent="0.25">
      <c r="A20" s="106" t="str">
        <f ca="1">_xlfn.LET(
_xlpm._isAssumption,$M20,
_xlpm._row,$N20,
_xlpm._numActiveAssumptions,Helper!$B$8,
_xlpm._numActiveCountermeasures,Helper!$B$9,
_xlpm._numAdditionalAssumptions,Helper!$B$10,
_xlpm._numAdditionalCountermeasures,Helper!$B$11,
IF(_xlpm._isAssumption,
IF(_xlpm._row&gt;_xlpm._numActiveAssumptions,
$Y20&amp;"-A"&amp;$T20,
INDEX(Assumptions!A:A,MATCH(_xlpm._row,Assumptions!$AC:$AC,0))),
IF(_xlpm._row&gt;_xlpm._numActiveCountermeasures+_xlpm._numAdditionalCountermeasures,"",
IF(_xlpm._row&gt;_xlpm._numActiveCountermeasures,
$Y20&amp;"-C"&amp;$T20,
INDEX(Countermeasures!$A:$A,MATCH(_xlpm._row,Countermeasures!$AE:$AE,0))))))</f>
        <v>A34</v>
      </c>
      <c r="B20" s="106" t="str" cm="1">
        <f t="array" aca="1" ref="B20" ca="1">IF($A20="","",
_xlfn.LET(
_xlpm._isAssumption,$M20,
_xlpm._isAdditionalElement,$O20,
IF(_xlpm._isAdditionalElement,
IF(_xlpm._isAssumption,
ParseElementsFromComment($X20,Definitions!$AR$4,Definitions!$AS$4,Definitions!$AR$6,$T20),
ParseElementsFromComment($X20,Definitions!$AR$5,Definitions!$AS$5,Definitions!$AR$6,$T20)),
_xlfn.LET(_xlpm._value,IF($A20="","",IF($M20,SimpleLookup($A20,Assumptions!$A:$B),SimpleLookup($A20,Countermeasures!$A:$B))),IF(_xlpm._value="","",_xlpm._value)))))</f>
        <v>SDR 2.10 - The product is delivered with a secure by default configuration</v>
      </c>
      <c r="C20" s="106" t="str" cm="1">
        <f t="array" aca="1" ref="C20" ca="1">IF($A20="","",IF($M20,IFERROR(SimpleLookup($A20,Assumptions!$A:$E),""),Definitions!$AO$4))</f>
        <v>&lt;&lt; OEM Name &gt;&gt;</v>
      </c>
      <c r="D20" s="103" t="str">
        <f t="shared" ca="1" si="2"/>
        <v>═══════════════════════════════════════════════════════════════
Default assumption:
–––––––––––––––––––––––––––––––––––––––––––––––––––––––––––––––––––––––––––––––––
The product's configuration is secure by default. If user generated passwords are required, then the user is prompted to change the password on first use. The secure defaults are restored by a factory reset, if applicable.</v>
      </c>
      <c r="E20" s="107"/>
      <c r="F20" s="108" t="str">
        <f t="shared" ca="1" si="3"/>
        <v>click me</v>
      </c>
      <c r="G20" s="102" t="str" cm="1">
        <f t="array" aca="1" ref="G20" ca="1">_xlfn.LET(_xlpm._val,IFERROR(SimpleLookup($A20,Countermeasures!$A:$S),IFERROR(SimpleLookup($A20,Assumptions!$A:$S),"")),IF(_xlpm._val="","",_xlpm._val))</f>
        <v/>
      </c>
      <c r="H20" s="109" t="str">
        <f>""</f>
        <v/>
      </c>
      <c r="I20" s="102" t="str">
        <f t="shared" ca="1" si="4"/>
        <v/>
      </c>
      <c r="J20" s="102" t="str">
        <f t="shared" ca="1" si="5"/>
        <v/>
      </c>
      <c r="K20" s="106" t="str" cm="1">
        <f t="array" aca="1" ref="K20" ca="1">_xlfn.LET(_xlpm._value,IF($A20="","",IFERROR(IF($M20,SimpleLookup($A20,Assumptions!$A:$T),SimpleLookup($A20,Countermeasures!$A:$T)),"")),
IF(_xlpm._value="","",_xlpm._value))</f>
        <v/>
      </c>
      <c r="L20" s="9" cm="1">
        <f t="array" aca="1" ref="L20" ca="1">CreateID($L$17,$A20&lt;&gt;"")</f>
        <v>3</v>
      </c>
      <c r="M20" s="9" t="b">
        <f ca="1">_xlfn.LET(_xlpm._row,ROW()-ROW($N$17),
_xlpm._numActiveAssumptions,Helper!$B$8,
_xlpm._numAdditionalAssumptions,SUM(Table24['# Elements]),
_xlpm._row&lt;=_xlpm._numActiveAssumptions+_xlpm._numAdditionalAssumptions)</f>
        <v>1</v>
      </c>
      <c r="N20" s="9">
        <f ca="1">_xlfn.LET(_xlpm._row,ROW()-ROW($N$17),
_xlpm._numActiveAssumptions,Helper!$B$8,
_xlpm._numAdditionalAssumptions,Helper!$B$10,
_xlpm._isAssumption,$M20,
_xlpm._elementID,IF(_xlpm._isAssumption,_xlpm._row,_xlpm._row-_xlpm._numActiveAssumptions-_xlpm._numAdditionalAssumptions),
_xlpm._elementID)</f>
        <v>3</v>
      </c>
      <c r="O20"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20" s="11" cm="1">
        <f t="array" aca="1" ref="P20" ca="1">IF($O20,
IF(ROW()=ROW($P$17)+1,1,INDEX($P:$P,ROW()-1)+IF(INDEX($W:$W,ROW()-1),1,0)),
1)</f>
        <v>1</v>
      </c>
      <c r="Q20" s="11" t="str" cm="1">
        <f t="array" aca="1" ref="Q20" ca="1">IF($O20=TRUE,
_xlfn.LET(
_xlpm._isAssumption,$M20,
_xlpm._indexRange,IF(_xlpm._isAssumption,Table24['# Elements],Table25['# Elements]),
_xlpm._lookupRow,$Z20,
INDEX(_xlpm._indexRange,_xlpm._lookupRow)),
"")</f>
        <v/>
      </c>
      <c r="R20" s="11" t="str" cm="1">
        <f t="array" aca="1" ref="R20" ca="1">IF($Q20="","",_xlfn.LET(
_xlpm._prevRow,ROW()-1,
IF(OR(INDEX($Q:$Q,_xlpm._prevRow)&lt;&gt;$Q20,INDEX($P:$P,_xlpm._prevRow)&lt;&gt;$P20),
1,
INDEX($R:$R,_xlpm._prevRow)+IF(INDEX($V:$V,_xlpm._prevRow),1,0))))</f>
        <v/>
      </c>
      <c r="S20" s="11" t="str" cm="1">
        <f t="array" aca="1" ref="S20" ca="1">IF($R20="","",_xlfn.LET(
_xlpm._isAssumption,$M20,
_xlpm._sheetRow,$Z20,
_xlpm._sheetName,$AA20,
_xlpm._elementIDRange,IF(_xlpm._isAssumption,Table24[Element ID Column],Table25[Element ID Column]),
_xlpm._numberOfElementsRange,IF(_xlpm._isAssumption,Table24[Number of Elements Column],Table25[Number of Elements Column]),
SimpleLookup($R20,INDIRECT("'"&amp;_xlpm._sheetName&amp;"'!"&amp;INDEX(_xlpm._elementIDRange,_xlpm._sheetRow)&amp;":"&amp;INDEX(_xlpm._numberOfElementsRange,_xlpm._sheetRow)))))</f>
        <v/>
      </c>
      <c r="T20" s="11" t="str" cm="1">
        <f t="array" aca="1" ref="T20" ca="1">IF($R20="","",IF(OR(INDEX($R:$R,ROW()-1)&lt;&gt;$R20,INDEX($P:$P,ROW()-1)&lt;&gt;$P20),1,INDEX($T:$T,ROW()-1)+1))</f>
        <v/>
      </c>
      <c r="U20" s="11">
        <f t="shared" ca="1" si="6"/>
        <v>0</v>
      </c>
      <c r="V20" s="11" t="str">
        <f t="shared" ca="1" si="7"/>
        <v/>
      </c>
      <c r="W20" s="11" t="b">
        <f ca="1">_xlfn.LET(
_xlpm._isAssumption,$M20,
_xlpm._numberOfElementsRange,IF(_xlpm._isAssumption,Table24['# Elements],Table25['# Elements]),
_xlpm._sheetRow,$Z20,
IF($O20,AND($V20,$U20=$Q20),FALSE))</f>
        <v>0</v>
      </c>
      <c r="X20" s="11" t="str" cm="1">
        <f t="array" aca="1" ref="X20" ca="1">IF($O20,
_xlfn.LET(
_xlpm._elementID,$R20,
_xlpm._isAssumption,$M20,
_xlpm._sheetRow,$Z20,
_xlpm._sheetName,$AA20,
_xlpm._elementRow,$AB20,
_xlpm._resultColumnLetter,IF(_xlpm._isAssumption,INDEX(Table24[Comment Column],_xlpm._sheetRow),INDEX(Table25[Comment Column],_xlpm._sheetRow)),
INDEX(INDIRECT("'"&amp;_xlpm._sheetName&amp;"'!"&amp;_xlpm._resultColumnLetter&amp;":"&amp;_xlpm._resultColumnLetter),_xlpm._elementRow)),
"")</f>
        <v/>
      </c>
      <c r="Y20" s="11" t="str" cm="1">
        <f t="array" aca="1" ref="Y20" ca="1">IF($O20,
_xlfn.LET(
_xlpm._elementID,$R20,
_xlpm._isAssumption,$M20,
_xlpm._sheetRow,$Z20,
_xlpm._sheetName,$AA20,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20" s="11" t="str">
        <f ca="1">IF($O20=TRUE,
_xlfn.LET(
_xlpm._isAssumption,$M20,
_xlpm._searchRange,IF(_xlpm._isAssumption,Table24[Task Sheet Shadow ID],Table25[Task Sheet Shadow ID]),
MATCH($P20,_xlpm._searchRange,0)),
"")</f>
        <v/>
      </c>
      <c r="AA20" s="11" t="str" cm="1">
        <f t="array" aca="1" ref="AA20" ca="1">IF($O20,
_xlfn.LET(
_xlpm._isAssumption,$M20,
_xlpm._sheetRow,$Z20,
IF(_xlpm._isAssumption,INDEX(Table24[Sheet Name],_xlpm._sheetRow),INDEX(Table25[Sheet Name],_xlpm._sheetRow))),
"")</f>
        <v/>
      </c>
      <c r="AB20" s="11" t="str" cm="1">
        <f t="array" aca="1" ref="AB20" ca="1">IF($O20,
_xlfn.LET(
_xlpm._elementID,$R20,
_xlpm._isAssumption,$M20,
_xlpm._sheetRow,$Z20,
_xlpm._sheetName,$AA20,
_xlpm._elementIDColumnLetter,IF(_xlpm._isAssumption,INDEX(Table24[Element ID Column],_xlpm._sheetRow),INDEX(Table25[Element ID Column],_xlpm._sheetRow)),
MATCH(_xlpm._elementID,INDIRECT("'"&amp;_xlpm._sheetName&amp;"'!"&amp;_xlpm._elementIDColumnLetter&amp;":"&amp;_xlpm._elementIDColumnLetter),0)),
"")</f>
        <v/>
      </c>
      <c r="AC20" s="11" t="str" cm="1">
        <f t="array" aca="1" ref="AC20" ca="1">IF($A20="","",_xlfn.LET(
_xlpm._isAssumption,$M20,
_xlpm._isAdditionalElement,$O20,
_xlpm._sheetRow,$Z20,
_xlpm._sheetName,$AA20,
_xlpm._columnLetter,INDEX(IF(_xlpm._isAdditionalElement,Table24[Comment Column],Table25[Comment Column]),_xlpm._sheetRow),
_xlpm._sheetReference,IF(_xlpm._isAssumption,IF(_xlpm._isAdditionalElement,
CELL("address",INDEX(INDIRECT("'"&amp;_xlpm._sheetName&amp;"'!"&amp;_xlpm._columnLetter&amp;":"&amp;_xlpm._columnLetter),$AB20)),
CELL("address",INDEX(Assumptions!$A:$A,MATCH($A20,Assumptions!$A:$A,0),1))),
IF(_xlpm._isAdditionalElement,
CELL("address",INDEX(INDIRECT("'"&amp;_xlpm._sheetName&amp;"'!"&amp;_xlpm._columnLetter&amp;":"&amp;_xlpm._columnLetter),$AB20)),
CELL("address",INDEX(Countermeasures!$A:$A,MATCH($A20,Countermeasures!$A:$A,0),1)))),
_xlpm._start,FIND("]",_xlpm._sheetReference),
"'"&amp;SUBSTITUTE(SUBSTITUTE(RIGHT(_xlpm._sheetReference,LEN(_xlpm._sheetReference)-_xlpm._start),"'",""),"!","'!")))</f>
        <v>'Assumptions'!$A$34</v>
      </c>
      <c r="AD20" s="11" t="str" cm="1">
        <f t="array" aca="1" ref="AD20" ca="1">IF(NOT($O20),
_xlfn.LET(_xlpm._value,IF($A20="","",IF($M20,SimpleLookup($A20,Assumptions!$A:$AG),SimpleLookup($A20,Countermeasures!$A:$AJ))),
IF(_xlpm._value="","",_xlpm._value)),
"")</f>
        <v/>
      </c>
      <c r="AE20" s="11" t="str" cm="1">
        <f t="array" aca="1" ref="AE20" ca="1">LookupNames(InverseLookup($A20,Mitigation!$AD$2,Mitigation!$A$2,1,Helper!$B$5,","),'Attack Steps'!$A:$B)</f>
        <v/>
      </c>
      <c r="AF20" s="11" t="str" cm="1">
        <f t="array" aca="1" ref="AF20" ca="1">IF($O20,
_xlfn.LET(
_xlpm._in,$A20,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20" s="11" t="str" cm="1">
        <f t="array" aca="1" ref="AG20" ca="1">_xlfn.LET(
_xlpm._countermeasures,InverseLookup($A20,Countermeasures!$AC$2,Countermeasures!$A$2,1,Helper!$B$4,","),
LookupNames(_xlpm._countermeasures,Countermeasures!$A:$B))</f>
        <v/>
      </c>
      <c r="AH20" s="11" t="str" cm="1">
        <f t="array" aca="1" ref="AH20" ca="1">IF($E20="","",_xlfn.LET(
_xlpm._id,$E20,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20" s="11" t="str" cm="1">
        <f t="array" aca="1" ref="AI20" ca="1">IF(OR($A20="",$O20),"",_xlfn.LET(
_xlpm._answers,IF($M20,SimpleLookup($A20,Assumptions!$A:$F),SimpleLookup($A20,Countermeasures!$A:$D)),
IF(_xlpm._answers="*",IF($M20,SimpleLookup($A20,Assumptions!$A:$C),SimpleLookup($A20,Countermeasures!$A:$C)),"")))</f>
        <v>The product's configuration is secure by default. If user generated passwords are required, then the user is prompted to change the password on first use. The secure defaults are restored by a factory reset, if applicable.</v>
      </c>
      <c r="AJ20" s="11" t="str" cm="1">
        <f t="array" aca="1" ref="AJ20" ca="1">IF(NOT($O20),"",_xlfn.LET(
_xlpm._mappedInMitigation,IFERROR(VLOOKUP($Y20,'Attack Steps'!$A:$P,COLUMNS('Attack Steps'!$A:$P),FALSE),""),
CreateSearchString(_xlpm._mappedInMitigation)))</f>
        <v/>
      </c>
      <c r="AK20" s="11" t="b">
        <f ca="1">ROW()-ROW($AK$17)=Helper!$B$15</f>
        <v>0</v>
      </c>
      <c r="AL20" s="11" t="str">
        <f t="shared" ca="1" si="8"/>
        <v/>
      </c>
      <c r="AM20" s="11" cm="1">
        <f t="array" aca="1" ref="AM20" ca="1">CreateID($AM$17,$AL20&lt;&gt;"")</f>
        <v>0</v>
      </c>
      <c r="AN20" s="11" t="str" cm="1">
        <f t="array" aca="1" ref="AN20" ca="1">IF($O20,"",
_xlfn.LET(
_xlpm._this,SanitizeInput($A20)&amp;AT20,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20" s="11" t="str" cm="1">
        <f t="array" aca="1" ref="AO20" ca="1">IF($O20,"",_xlfn.LET(
_xlpm._listOfRisksAndLevels,SanitizeInput($AN20),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_xlpm._shortenedList,IF($H20="",_xlpm._risksWithMaxValue,
  IF(LEN(_xlpm._risksWithMaxValue)-LEN(SUBSTITUTE(_xlpm._risksWithMaxValue,",",""))&lt;=$H20,_xlpm._risksWithMaxValue,
    LEFT(_xlpm._risksWithMaxValue,FIND(CHAR(1),SUBSTITUTE(_xlpm._risksWithMaxValue,",",CHAR(1),$H20))))),
IF(_xlpm._maxRiskValue="","",
  _xlpm._lineMainSeparator&amp;
  INDEX(Definitions!$AE:$AE,MATCH(_xlpm._maxRiskValue,Definitions!$AF:$AF,0))&amp;CHAR(10)&amp;
  _xlpm._lineMainSeparator&amp;
  RemoveDelimiter(GetValues(_xlpm._shortenedList,Risks!$A:$B," ",CHAR(10)&amp;_xlpm._lineMainSeparator,TRUE),CHAR(10)&amp;_xlpm._lineMainSeparator))))</f>
        <v/>
      </c>
      <c r="AP20" s="11" t="str" cm="1">
        <f t="array" aca="1" ref="AP20" ca="1">IF($O20,"",_xlfn.LET(
_xlpm._lineMainSeparator,REPT(_xlfn.UNICHAR(9552),63)&amp;CHAR(10),
_xlpm._affectedRisks,InverseLookupList(SanitizeInput($A20)&amp;$AT20,Risks!$AX$2,Risks!$A$2,Helper!$B$1,","),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_xlpm._shortenedList,IF($H20="",_xlpm._risksWithMaxValue,
  IF(LEN(_xlpm._risksWithMaxValue)-LEN(SUBSTITUTE(_xlpm._risksWithMaxValue,",",""))&lt;=$H20,_xlpm._risksWithMaxValue,
    LEFT(_xlpm._risksWithMaxValue,FIND(CHAR(1),SUBSTITUTE(_xlpm._risksWithMaxValue,",",CHAR(1),$H20))))),
IF(_xlpm._maxRiskValue="","",
  _xlpm._lineMainSeparator&amp;
  INDEX(Definitions!$AE:$AE,MATCH(_xlpm._maxRiskValue,Definitions!$AF:$AF,0))&amp;CHAR(10)&amp;
  _xlpm._lineMainSeparator&amp;
  RemoveDelimiter(GetValues(_xlpm._shortenedList,Risks!$A:$B," ",CHAR(10)&amp;_xlpm._lineMainSeparator,TRUE),CHAR(10)&amp;_xlpm._lineMainSeparator))))</f>
        <v/>
      </c>
      <c r="AQ20" s="11" t="str" cm="1">
        <f t="array" aca="1" ref="AQ20" ca="1">IF(NOT($O20),"",
_xlfn.LET(
_xlpm._potentialASID,$Y20,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_xlpm._commentsFiltered,SUBSTITUTE(GetValues(_xlpm._attackSteps,Mitigation!$A:$O,"","",FALSE),$X20,""),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20" s="11" t="str" cm="1">
        <f t="array" aca="1" ref="AR20" ca="1">IF(NOT($O20),"",_xlfn.LET(
_xlpm._listOfRisksAndLevels,SanitizeInput($AQ20),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_xlpm._shortenedList,IF($H20="",_xlpm._risksWithMaxValue,
  IF(LEN(_xlpm._risksWithMaxValue)-LEN(SUBSTITUTE(_xlpm._risksWithMaxValue,",",""))&lt;=$H20,_xlpm._risksWithMaxValue,
    LEFT(_xlpm._risksWithMaxValue,FIND(CHAR(1),SUBSTITUTE(_xlpm._risksWithMaxValue,",",CHAR(1),$H20))))),
IF(_xlpm._maxRiskValue="","",
  _xlpm._lineMainSeparator&amp;
  INDEX(Definitions!$AE:$AE,MATCH(_xlpm._maxRiskValue,Definitions!$AF:$AF,0))&amp;CHAR(10)&amp;
  _xlpm._lineMainSeparator&amp;
  RemoveDelimiter(GetValues(_xlpm._shortenedList,Risks!$A:$B," ",CHAR(10)&amp;_xlpm._lineMainSeparator,TRUE),CHAR(10)&amp;_xlpm._lineMainSeparator))))</f>
        <v/>
      </c>
      <c r="AS20" s="11" t="str" cm="1">
        <f t="array" aca="1" ref="AS20" ca="1">IF(NOT($O20),"",
_xlfn.LET(
_xlpm._lineMainSeparator,REPT(_xlfn.UNICHAR(9552),63)&amp;CHAR(10),
_xlpm._potentialASID,$Y20,
_xlpm._risk,IFERROR(SimpleLookup(_xlpm._potentialASID,Mitigation!$A:$N),""),
_xlpm._attackPaths,IFERROR(SimpleLookup(_xlpm._potentialASID,Mitigation!$A:$M),""),
IF(_xlpm._risk="","",
_xlpm._lineMainSeparator&amp;
_xlpm._risk&amp;CHAR(10)&amp;
_xlpm._lineMainSeparator&amp;
_xlpm._attackPaths)))</f>
        <v/>
      </c>
      <c r="AT20" s="11" t="str" cm="1">
        <f t="array" aca="1" ref="AT20" ca="1">InverseLookup($A20,Countermeasures!$AA$2,Countermeasures!$A$2,1,Helper!$B$4,",")</f>
        <v/>
      </c>
    </row>
    <row r="21" spans="1:46" ht="75" x14ac:dyDescent="0.25">
      <c r="A21" s="106" t="str">
        <f ca="1">_xlfn.LET(
_xlpm._isAssumption,$M21,
_xlpm._row,$N21,
_xlpm._numActiveAssumptions,Helper!$B$8,
_xlpm._numActiveCountermeasures,Helper!$B$9,
_xlpm._numAdditionalAssumptions,Helper!$B$10,
_xlpm._numAdditionalCountermeasures,Helper!$B$11,
IF(_xlpm._isAssumption,
IF(_xlpm._row&gt;_xlpm._numActiveAssumptions,
$Y21&amp;"-A"&amp;$T21,
INDEX(Assumptions!A:A,MATCH(_xlpm._row,Assumptions!$AC:$AC,0))),
IF(_xlpm._row&gt;_xlpm._numActiveCountermeasures+_xlpm._numAdditionalCountermeasures,"",
IF(_xlpm._row&gt;_xlpm._numActiveCountermeasures,
$Y21&amp;"-C"&amp;$T21,
INDEX(Countermeasures!$A:$A,MATCH(_xlpm._row,Countermeasures!$AE:$AE,0))))))</f>
        <v>A38</v>
      </c>
      <c r="B21" s="106" t="str" cm="1">
        <f t="array" aca="1" ref="B21" ca="1">IF($A21="","",
_xlfn.LET(
_xlpm._isAssumption,$M21,
_xlpm._isAdditionalElement,$O21,
IF(_xlpm._isAdditionalElement,
IF(_xlpm._isAssumption,
ParseElementsFromComment($X21,Definitions!$AR$4,Definitions!$AS$4,Definitions!$AR$6,$T21),
ParseElementsFromComment($X21,Definitions!$AR$5,Definitions!$AS$5,Definitions!$AR$6,$T21)),
_xlfn.LET(_xlpm._value,IF($A21="","",IF($M21,SimpleLookup($A21,Assumptions!$A:$B),SimpleLookup($A21,Countermeasures!$A:$B))),IF(_xlpm._value="","",_xlpm._value)))))</f>
        <v>SDR 1.20 - Least privilege for provided credentials</v>
      </c>
      <c r="C21" s="106" t="str" cm="1">
        <f t="array" aca="1" ref="C21" ca="1">IF($A21="","",IF($M21,IFERROR(SimpleLookup($A21,Assumptions!$A:$E),""),Definitions!$AO$4))</f>
        <v>Customer</v>
      </c>
      <c r="D21" s="103" t="str">
        <f t="shared" ca="1" si="2"/>
        <v xml:space="preserve">═══════════════════════════════════════════════════════════════
Comments of related questions / answers:
–––––––––––––––––––––––––––––––––––––––––––––––––––––––––––––––––––––––––––––––––
QI5 </v>
      </c>
      <c r="E21" s="107"/>
      <c r="F21" s="108" t="str">
        <f t="shared" ca="1" si="3"/>
        <v>click me</v>
      </c>
      <c r="G21" s="102" t="str" cm="1">
        <f t="array" aca="1" ref="G21" ca="1">_xlfn.LET(_xlpm._val,IFERROR(SimpleLookup($A21,Countermeasures!$A:$S),IFERROR(SimpleLookup($A21,Assumptions!$A:$S),"")),IF(_xlpm._val="","",_xlpm._val))</f>
        <v/>
      </c>
      <c r="H21" s="109" t="str">
        <f>""</f>
        <v/>
      </c>
      <c r="I21" s="102" t="str">
        <f t="shared" ca="1" si="4"/>
        <v/>
      </c>
      <c r="J21" s="102" t="str">
        <f t="shared" ca="1" si="5"/>
        <v/>
      </c>
      <c r="K21" s="106" t="str" cm="1">
        <f t="array" aca="1" ref="K21" ca="1">_xlfn.LET(_xlpm._value,IF($A21="","",IFERROR(IF($M21,SimpleLookup($A21,Assumptions!$A:$T),SimpleLookup($A21,Countermeasures!$A:$T)),"")),
IF(_xlpm._value="","",_xlpm._value))</f>
        <v>Note that the effects of this are modeled in countermeasure C3, as the product must offer the functionality to apply the principle of least privilege.
Note that a device with no credentials fulfills this requirement.</v>
      </c>
      <c r="L21" s="9" cm="1">
        <f t="array" aca="1" ref="L21" ca="1">CreateID($L$17,$A21&lt;&gt;"")</f>
        <v>4</v>
      </c>
      <c r="M21" s="9" t="b">
        <f ca="1">_xlfn.LET(_xlpm._row,ROW()-ROW($N$17),
_xlpm._numActiveAssumptions,Helper!$B$8,
_xlpm._numAdditionalAssumptions,SUM(Table24['# Elements]),
_xlpm._row&lt;=_xlpm._numActiveAssumptions+_xlpm._numAdditionalAssumptions)</f>
        <v>1</v>
      </c>
      <c r="N21" s="9">
        <f ca="1">_xlfn.LET(_xlpm._row,ROW()-ROW($N$17),
_xlpm._numActiveAssumptions,Helper!$B$8,
_xlpm._numAdditionalAssumptions,Helper!$B$10,
_xlpm._isAssumption,$M21,
_xlpm._elementID,IF(_xlpm._isAssumption,_xlpm._row,_xlpm._row-_xlpm._numActiveAssumptions-_xlpm._numAdditionalAssumptions),
_xlpm._elementID)</f>
        <v>4</v>
      </c>
      <c r="O21"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21" s="11" cm="1">
        <f t="array" aca="1" ref="P21" ca="1">IF($O21,
IF(ROW()=ROW($P$17)+1,1,INDEX($P:$P,ROW()-1)+IF(INDEX($W:$W,ROW()-1),1,0)),
1)</f>
        <v>1</v>
      </c>
      <c r="Q21" s="11" t="str" cm="1">
        <f t="array" aca="1" ref="Q21" ca="1">IF($O21=TRUE,
_xlfn.LET(
_xlpm._isAssumption,$M21,
_xlpm._indexRange,IF(_xlpm._isAssumption,Table24['# Elements],Table25['# Elements]),
_xlpm._lookupRow,$Z21,
INDEX(_xlpm._indexRange,_xlpm._lookupRow)),
"")</f>
        <v/>
      </c>
      <c r="R21" s="11" t="str" cm="1">
        <f t="array" aca="1" ref="R21" ca="1">IF($Q21="","",_xlfn.LET(
_xlpm._prevRow,ROW()-1,
IF(OR(INDEX($Q:$Q,_xlpm._prevRow)&lt;&gt;$Q21,INDEX($P:$P,_xlpm._prevRow)&lt;&gt;$P21),
1,
INDEX($R:$R,_xlpm._prevRow)+IF(INDEX($V:$V,_xlpm._prevRow),1,0))))</f>
        <v/>
      </c>
      <c r="S21" s="11" t="str" cm="1">
        <f t="array" aca="1" ref="S21" ca="1">IF($R21="","",_xlfn.LET(
_xlpm._isAssumption,$M21,
_xlpm._sheetRow,$Z21,
_xlpm._sheetName,$AA21,
_xlpm._elementIDRange,IF(_xlpm._isAssumption,Table24[Element ID Column],Table25[Element ID Column]),
_xlpm._numberOfElementsRange,IF(_xlpm._isAssumption,Table24[Number of Elements Column],Table25[Number of Elements Column]),
SimpleLookup($R21,INDIRECT("'"&amp;_xlpm._sheetName&amp;"'!"&amp;INDEX(_xlpm._elementIDRange,_xlpm._sheetRow)&amp;":"&amp;INDEX(_xlpm._numberOfElementsRange,_xlpm._sheetRow)))))</f>
        <v/>
      </c>
      <c r="T21" s="11" t="str" cm="1">
        <f t="array" aca="1" ref="T21" ca="1">IF($R21="","",IF(OR(INDEX($R:$R,ROW()-1)&lt;&gt;$R21,INDEX($P:$P,ROW()-1)&lt;&gt;$P21),1,INDEX($T:$T,ROW()-1)+1))</f>
        <v/>
      </c>
      <c r="U21" s="11">
        <f t="shared" ca="1" si="6"/>
        <v>0</v>
      </c>
      <c r="V21" s="11" t="str">
        <f t="shared" ca="1" si="7"/>
        <v/>
      </c>
      <c r="W21" s="11" t="b">
        <f ca="1">_xlfn.LET(
_xlpm._isAssumption,$M21,
_xlpm._numberOfElementsRange,IF(_xlpm._isAssumption,Table24['# Elements],Table25['# Elements]),
_xlpm._sheetRow,$Z21,
IF($O21,AND($V21,$U21=$Q21),FALSE))</f>
        <v>0</v>
      </c>
      <c r="X21" s="11" t="str" cm="1">
        <f t="array" aca="1" ref="X21" ca="1">IF($O21,
_xlfn.LET(
_xlpm._elementID,$R21,
_xlpm._isAssumption,$M21,
_xlpm._sheetRow,$Z21,
_xlpm._sheetName,$AA21,
_xlpm._elementRow,$AB21,
_xlpm._resultColumnLetter,IF(_xlpm._isAssumption,INDEX(Table24[Comment Column],_xlpm._sheetRow),INDEX(Table25[Comment Column],_xlpm._sheetRow)),
INDEX(INDIRECT("'"&amp;_xlpm._sheetName&amp;"'!"&amp;_xlpm._resultColumnLetter&amp;":"&amp;_xlpm._resultColumnLetter),_xlpm._elementRow)),
"")</f>
        <v/>
      </c>
      <c r="Y21" s="11" t="str" cm="1">
        <f t="array" aca="1" ref="Y21" ca="1">IF($O21,
_xlfn.LET(
_xlpm._elementID,$R21,
_xlpm._isAssumption,$M21,
_xlpm._sheetRow,$Z21,
_xlpm._sheetName,$AA21,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21" s="11" t="str">
        <f ca="1">IF($O21=TRUE,
_xlfn.LET(
_xlpm._isAssumption,$M21,
_xlpm._searchRange,IF(_xlpm._isAssumption,Table24[Task Sheet Shadow ID],Table25[Task Sheet Shadow ID]),
MATCH($P21,_xlpm._searchRange,0)),
"")</f>
        <v/>
      </c>
      <c r="AA21" s="11" t="str" cm="1">
        <f t="array" aca="1" ref="AA21" ca="1">IF($O21,
_xlfn.LET(
_xlpm._isAssumption,$M21,
_xlpm._sheetRow,$Z21,
IF(_xlpm._isAssumption,INDEX(Table24[Sheet Name],_xlpm._sheetRow),INDEX(Table25[Sheet Name],_xlpm._sheetRow))),
"")</f>
        <v/>
      </c>
      <c r="AB21" s="11" t="str" cm="1">
        <f t="array" aca="1" ref="AB21" ca="1">IF($O21,
_xlfn.LET(
_xlpm._elementID,$R21,
_xlpm._isAssumption,$M21,
_xlpm._sheetRow,$Z21,
_xlpm._sheetName,$AA21,
_xlpm._elementIDColumnLetter,IF(_xlpm._isAssumption,INDEX(Table24[Element ID Column],_xlpm._sheetRow),INDEX(Table25[Element ID Column],_xlpm._sheetRow)),
MATCH(_xlpm._elementID,INDIRECT("'"&amp;_xlpm._sheetName&amp;"'!"&amp;_xlpm._elementIDColumnLetter&amp;":"&amp;_xlpm._elementIDColumnLetter),0)),
"")</f>
        <v/>
      </c>
      <c r="AC21" s="11" t="str" cm="1">
        <f t="array" aca="1" ref="AC21" ca="1">IF($A21="","",_xlfn.LET(
_xlpm._isAssumption,$M21,
_xlpm._isAdditionalElement,$O21,
_xlpm._sheetRow,$Z21,
_xlpm._sheetName,$AA21,
_xlpm._columnLetter,INDEX(IF(_xlpm._isAdditionalElement,Table24[Comment Column],Table25[Comment Column]),_xlpm._sheetRow),
_xlpm._sheetReference,IF(_xlpm._isAssumption,IF(_xlpm._isAdditionalElement,
CELL("address",INDEX(INDIRECT("'"&amp;_xlpm._sheetName&amp;"'!"&amp;_xlpm._columnLetter&amp;":"&amp;_xlpm._columnLetter),$AB21)),
CELL("address",INDEX(Assumptions!$A:$A,MATCH($A21,Assumptions!$A:$A,0),1))),
IF(_xlpm._isAdditionalElement,
CELL("address",INDEX(INDIRECT("'"&amp;_xlpm._sheetName&amp;"'!"&amp;_xlpm._columnLetter&amp;":"&amp;_xlpm._columnLetter),$AB21)),
CELL("address",INDEX(Countermeasures!$A:$A,MATCH($A21,Countermeasures!$A:$A,0),1)))),
_xlpm._start,FIND("]",_xlpm._sheetReference),
"'"&amp;SUBSTITUTE(SUBSTITUTE(RIGHT(_xlpm._sheetReference,LEN(_xlpm._sheetReference)-_xlpm._start),"'",""),"!","'!")))</f>
        <v>'Assumptions'!$A$38</v>
      </c>
      <c r="AD21" s="11" t="str" cm="1">
        <f t="array" aca="1" ref="AD21" ca="1">IF(NOT($O21),
_xlfn.LET(_xlpm._value,IF($A21="","",IF($M21,SimpleLookup($A21,Assumptions!$A:$AG),SimpleLookup($A21,Countermeasures!$A:$AJ))),
IF(_xlpm._value="","",_xlpm._value)),
"")</f>
        <v xml:space="preserve">QI5 </v>
      </c>
      <c r="AE21" s="11" t="str" cm="1">
        <f t="array" aca="1" ref="AE21" ca="1">LookupNames(InverseLookup($A21,Mitigation!$AD$2,Mitigation!$A$2,1,Helper!$B$5,","),'Attack Steps'!$A:$B)</f>
        <v/>
      </c>
      <c r="AF21" s="11" t="str" cm="1">
        <f t="array" aca="1" ref="AF21" ca="1">IF($O21,
_xlfn.LET(
_xlpm._in,$A21,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21" s="11" t="str" cm="1">
        <f t="array" aca="1" ref="AG21" ca="1">_xlfn.LET(
_xlpm._countermeasures,InverseLookup($A21,Countermeasures!$AC$2,Countermeasures!$A$2,1,Helper!$B$4,","),
LookupNames(_xlpm._countermeasures,Countermeasures!$A:$B))</f>
        <v/>
      </c>
      <c r="AH21" s="11" t="str" cm="1">
        <f t="array" aca="1" ref="AH21" ca="1">IF($E21="","",_xlfn.LET(
_xlpm._id,$E21,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21" s="11" t="str" cm="1">
        <f t="array" aca="1" ref="AI21" ca="1">IF(OR($A21="",$O21),"",_xlfn.LET(
_xlpm._answers,IF($M21,SimpleLookup($A21,Assumptions!$A:$F),SimpleLookup($A21,Countermeasures!$A:$D)),
IF(_xlpm._answers="*",IF($M21,SimpleLookup($A21,Assumptions!$A:$C),SimpleLookup($A21,Countermeasures!$A:$C)),"")))</f>
        <v/>
      </c>
      <c r="AJ21" s="11" t="str" cm="1">
        <f t="array" aca="1" ref="AJ21" ca="1">IF(NOT($O21),"",_xlfn.LET(
_xlpm._mappedInMitigation,IFERROR(VLOOKUP($Y21,'Attack Steps'!$A:$P,COLUMNS('Attack Steps'!$A:$P),FALSE),""),
CreateSearchString(_xlpm._mappedInMitigation)))</f>
        <v/>
      </c>
      <c r="AK21" s="11" t="b">
        <f ca="1">ROW()-ROW($AK$17)=Helper!$B$15</f>
        <v>0</v>
      </c>
      <c r="AL21" s="11" t="str">
        <f t="shared" ca="1" si="8"/>
        <v/>
      </c>
      <c r="AM21" s="11" cm="1">
        <f t="array" aca="1" ref="AM21" ca="1">CreateID($AM$17,$AL21&lt;&gt;"")</f>
        <v>0</v>
      </c>
      <c r="AN21" s="11" t="str" cm="1">
        <f t="array" aca="1" ref="AN21" ca="1">IF($O21,"",
_xlfn.LET(
_xlpm._this,SanitizeInput($A21)&amp;AT21,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21" s="11" t="str" cm="1">
        <f t="array" aca="1" ref="AO21" ca="1">IF($O21,"",_xlfn.LET(
_xlpm._listOfRisksAndLevels,SanitizeInput($AN21),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_xlpm._shortenedList,IF($H21="",_xlpm._risksWithMaxValue,
  IF(LEN(_xlpm._risksWithMaxValue)-LEN(SUBSTITUTE(_xlpm._risksWithMaxValue,",",""))&lt;=$H21,_xlpm._risksWithMaxValue,
    LEFT(_xlpm._risksWithMaxValue,FIND(CHAR(1),SUBSTITUTE(_xlpm._risksWithMaxValue,",",CHAR(1),$H21))))),
IF(_xlpm._maxRiskValue="","",
  _xlpm._lineMainSeparator&amp;
  INDEX(Definitions!$AE:$AE,MATCH(_xlpm._maxRiskValue,Definitions!$AF:$AF,0))&amp;CHAR(10)&amp;
  _xlpm._lineMainSeparator&amp;
  RemoveDelimiter(GetValues(_xlpm._shortenedList,Risks!$A:$B," ",CHAR(10)&amp;_xlpm._lineMainSeparator,TRUE),CHAR(10)&amp;_xlpm._lineMainSeparator))))</f>
        <v/>
      </c>
      <c r="AP21" s="11" t="str" cm="1">
        <f t="array" aca="1" ref="AP21" ca="1">IF($O21,"",_xlfn.LET(
_xlpm._lineMainSeparator,REPT(_xlfn.UNICHAR(9552),63)&amp;CHAR(10),
_xlpm._affectedRisks,InverseLookupList(SanitizeInput($A21)&amp;$AT21,Risks!$AX$2,Risks!$A$2,Helper!$B$1,","),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_xlpm._shortenedList,IF($H21="",_xlpm._risksWithMaxValue,
  IF(LEN(_xlpm._risksWithMaxValue)-LEN(SUBSTITUTE(_xlpm._risksWithMaxValue,",",""))&lt;=$H21,_xlpm._risksWithMaxValue,
    LEFT(_xlpm._risksWithMaxValue,FIND(CHAR(1),SUBSTITUTE(_xlpm._risksWithMaxValue,",",CHAR(1),$H21))))),
IF(_xlpm._maxRiskValue="","",
  _xlpm._lineMainSeparator&amp;
  INDEX(Definitions!$AE:$AE,MATCH(_xlpm._maxRiskValue,Definitions!$AF:$AF,0))&amp;CHAR(10)&amp;
  _xlpm._lineMainSeparator&amp;
  RemoveDelimiter(GetValues(_xlpm._shortenedList,Risks!$A:$B," ",CHAR(10)&amp;_xlpm._lineMainSeparator,TRUE),CHAR(10)&amp;_xlpm._lineMainSeparator))))</f>
        <v/>
      </c>
      <c r="AQ21" s="11" t="str" cm="1">
        <f t="array" aca="1" ref="AQ21" ca="1">IF(NOT($O21),"",
_xlfn.LET(
_xlpm._potentialASID,$Y21,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_xlpm._commentsFiltered,SUBSTITUTE(GetValues(_xlpm._attackSteps,Mitigation!$A:$O,"","",FALSE),$X21,""),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21" s="11" t="str" cm="1">
        <f t="array" aca="1" ref="AR21" ca="1">IF(NOT($O21),"",_xlfn.LET(
_xlpm._listOfRisksAndLevels,SanitizeInput($AQ21),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_xlpm._shortenedList,IF($H21="",_xlpm._risksWithMaxValue,
  IF(LEN(_xlpm._risksWithMaxValue)-LEN(SUBSTITUTE(_xlpm._risksWithMaxValue,",",""))&lt;=$H21,_xlpm._risksWithMaxValue,
    LEFT(_xlpm._risksWithMaxValue,FIND(CHAR(1),SUBSTITUTE(_xlpm._risksWithMaxValue,",",CHAR(1),$H21))))),
IF(_xlpm._maxRiskValue="","",
  _xlpm._lineMainSeparator&amp;
  INDEX(Definitions!$AE:$AE,MATCH(_xlpm._maxRiskValue,Definitions!$AF:$AF,0))&amp;CHAR(10)&amp;
  _xlpm._lineMainSeparator&amp;
  RemoveDelimiter(GetValues(_xlpm._shortenedList,Risks!$A:$B," ",CHAR(10)&amp;_xlpm._lineMainSeparator,TRUE),CHAR(10)&amp;_xlpm._lineMainSeparator))))</f>
        <v/>
      </c>
      <c r="AS21" s="11" t="str" cm="1">
        <f t="array" aca="1" ref="AS21" ca="1">IF(NOT($O21),"",
_xlfn.LET(
_xlpm._lineMainSeparator,REPT(_xlfn.UNICHAR(9552),63)&amp;CHAR(10),
_xlpm._potentialASID,$Y21,
_xlpm._risk,IFERROR(SimpleLookup(_xlpm._potentialASID,Mitigation!$A:$N),""),
_xlpm._attackPaths,IFERROR(SimpleLookup(_xlpm._potentialASID,Mitigation!$A:$M),""),
IF(_xlpm._risk="","",
_xlpm._lineMainSeparator&amp;
_xlpm._risk&amp;CHAR(10)&amp;
_xlpm._lineMainSeparator&amp;
_xlpm._attackPaths)))</f>
        <v/>
      </c>
      <c r="AT21" s="11" t="str" cm="1">
        <f t="array" aca="1" ref="AT21" ca="1">InverseLookup($A21,Countermeasures!$AA$2,Countermeasures!$A$2,1,Helper!$B$4,",")</f>
        <v>C3,</v>
      </c>
    </row>
    <row r="22" spans="1:46" ht="48" x14ac:dyDescent="0.25">
      <c r="A22" s="106" t="str">
        <f ca="1">_xlfn.LET(
_xlpm._isAssumption,$M22,
_xlpm._row,$N22,
_xlpm._numActiveAssumptions,Helper!$B$8,
_xlpm._numActiveCountermeasures,Helper!$B$9,
_xlpm._numAdditionalAssumptions,Helper!$B$10,
_xlpm._numAdditionalCountermeasures,Helper!$B$11,
IF(_xlpm._isAssumption,
IF(_xlpm._row&gt;_xlpm._numActiveAssumptions,
$Y22&amp;"-A"&amp;$T22,
INDEX(Assumptions!A:A,MATCH(_xlpm._row,Assumptions!$AC:$AC,0))),
IF(_xlpm._row&gt;_xlpm._numActiveCountermeasures+_xlpm._numAdditionalCountermeasures,"",
IF(_xlpm._row&gt;_xlpm._numActiveCountermeasures,
$Y22&amp;"-C"&amp;$T22,
INDEX(Countermeasures!$A:$A,MATCH(_xlpm._row,Countermeasures!$AE:$AE,0))))))</f>
        <v>C0</v>
      </c>
      <c r="B22" s="106" t="str" cm="1">
        <f t="array" aca="1" ref="B22" ca="1">IF($A22="","",
_xlfn.LET(
_xlpm._isAssumption,$M22,
_xlpm._isAdditionalElement,$O22,
IF(_xlpm._isAdditionalElement,
IF(_xlpm._isAssumption,
ParseElementsFromComment($X22,Definitions!$AR$4,Definitions!$AS$4,Definitions!$AR$6,$T22),
ParseElementsFromComment($X22,Definitions!$AR$5,Definitions!$AS$5,Definitions!$AR$6,$T22)),
_xlfn.LET(_xlpm._value,IF($A22="","",IF($M22,SimpleLookup($A22,Assumptions!$A:$B),SimpleLookup($A22,Countermeasures!$A:$B))),IF(_xlpm._value="","",_xlpm._value)))))</f>
        <v>CR 7.8 - Control system component inventory</v>
      </c>
      <c r="C22" s="106" t="str" cm="1">
        <f t="array" aca="1" ref="C22" ca="1">IF($A22="","",IF($M22,IFERROR(SimpleLookup($A22,Assumptions!$A:$E),""),Definitions!$AO$4))</f>
        <v>&lt;&lt; OEM Name &gt;&gt;</v>
      </c>
      <c r="D22" s="103" t="str">
        <f t="shared" ca="1" si="2"/>
        <v>═══════════════════════════════════════════════════════════════
Default countermeasure:
–––––––––––––––––––––––––––––––––––––––––––––––––––––––––––––––––––––––––––––––––
See IEC 62443</v>
      </c>
      <c r="E22" s="107"/>
      <c r="F22" s="108" t="str">
        <f t="shared" ca="1" si="3"/>
        <v>click me</v>
      </c>
      <c r="G22" s="102" t="str" cm="1">
        <f t="array" aca="1" ref="G22" ca="1">_xlfn.LET(_xlpm._val,IFERROR(SimpleLookup($A22,Countermeasures!$A:$S),IFERROR(SimpleLookup($A22,Assumptions!$A:$S),"")),IF(_xlpm._val="","",_xlpm._val))</f>
        <v/>
      </c>
      <c r="H22" s="109" t="str">
        <f>""</f>
        <v/>
      </c>
      <c r="I22" s="102" t="str">
        <f t="shared" ca="1" si="4"/>
        <v/>
      </c>
      <c r="J22" s="102" t="str">
        <f t="shared" ca="1" si="5"/>
        <v/>
      </c>
      <c r="K22" s="106" t="str" cm="1">
        <f t="array" aca="1" ref="K22" ca="1">_xlfn.LET(_xlpm._value,IF($A22="","",IFERROR(IF($M22,SimpleLookup($A22,Assumptions!$A:$T),SimpleLookup($A22,Countermeasures!$A:$T)),"")),
IF(_xlpm._value="","",_xlpm._value))</f>
        <v/>
      </c>
      <c r="L22" s="9" cm="1">
        <f t="array" aca="1" ref="L22" ca="1">CreateID($L$17,$A22&lt;&gt;"")</f>
        <v>5</v>
      </c>
      <c r="M22" s="9" t="b">
        <f ca="1">_xlfn.LET(_xlpm._row,ROW()-ROW($N$17),
_xlpm._numActiveAssumptions,Helper!$B$8,
_xlpm._numAdditionalAssumptions,SUM(Table24['# Elements]),
_xlpm._row&lt;=_xlpm._numActiveAssumptions+_xlpm._numAdditionalAssumptions)</f>
        <v>0</v>
      </c>
      <c r="N22" s="9">
        <f ca="1">_xlfn.LET(_xlpm._row,ROW()-ROW($N$17),
_xlpm._numActiveAssumptions,Helper!$B$8,
_xlpm._numAdditionalAssumptions,Helper!$B$10,
_xlpm._isAssumption,$M22,
_xlpm._elementID,IF(_xlpm._isAssumption,_xlpm._row,_xlpm._row-_xlpm._numActiveAssumptions-_xlpm._numAdditionalAssumptions),
_xlpm._elementID)</f>
        <v>1</v>
      </c>
      <c r="O22"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22" s="11" cm="1">
        <f t="array" aca="1" ref="P22" ca="1">IF($O22,
IF(ROW()=ROW($P$17)+1,1,INDEX($P:$P,ROW()-1)+IF(INDEX($W:$W,ROW()-1),1,0)),
1)</f>
        <v>1</v>
      </c>
      <c r="Q22" s="11" t="str" cm="1">
        <f t="array" aca="1" ref="Q22" ca="1">IF($O22=TRUE,
_xlfn.LET(
_xlpm._isAssumption,$M22,
_xlpm._indexRange,IF(_xlpm._isAssumption,Table24['# Elements],Table25['# Elements]),
_xlpm._lookupRow,$Z22,
INDEX(_xlpm._indexRange,_xlpm._lookupRow)),
"")</f>
        <v/>
      </c>
      <c r="R22" s="11" t="str" cm="1">
        <f t="array" aca="1" ref="R22" ca="1">IF($Q22="","",_xlfn.LET(
_xlpm._prevRow,ROW()-1,
IF(OR(INDEX($Q:$Q,_xlpm._prevRow)&lt;&gt;$Q22,INDEX($P:$P,_xlpm._prevRow)&lt;&gt;$P22),
1,
INDEX($R:$R,_xlpm._prevRow)+IF(INDEX($V:$V,_xlpm._prevRow),1,0))))</f>
        <v/>
      </c>
      <c r="S22" s="11" t="str" cm="1">
        <f t="array" aca="1" ref="S22" ca="1">IF($R22="","",_xlfn.LET(
_xlpm._isAssumption,$M22,
_xlpm._sheetRow,$Z22,
_xlpm._sheetName,$AA22,
_xlpm._elementIDRange,IF(_xlpm._isAssumption,Table24[Element ID Column],Table25[Element ID Column]),
_xlpm._numberOfElementsRange,IF(_xlpm._isAssumption,Table24[Number of Elements Column],Table25[Number of Elements Column]),
SimpleLookup($R22,INDIRECT("'"&amp;_xlpm._sheetName&amp;"'!"&amp;INDEX(_xlpm._elementIDRange,_xlpm._sheetRow)&amp;":"&amp;INDEX(_xlpm._numberOfElementsRange,_xlpm._sheetRow)))))</f>
        <v/>
      </c>
      <c r="T22" s="11" t="str" cm="1">
        <f t="array" aca="1" ref="T22" ca="1">IF($R22="","",IF(OR(INDEX($R:$R,ROW()-1)&lt;&gt;$R22,INDEX($P:$P,ROW()-1)&lt;&gt;$P22),1,INDEX($T:$T,ROW()-1)+1))</f>
        <v/>
      </c>
      <c r="U22" s="11">
        <f t="shared" ca="1" si="6"/>
        <v>0</v>
      </c>
      <c r="V22" s="11" t="str">
        <f t="shared" ca="1" si="7"/>
        <v/>
      </c>
      <c r="W22" s="11" t="b">
        <f ca="1">_xlfn.LET(
_xlpm._isAssumption,$M22,
_xlpm._numberOfElementsRange,IF(_xlpm._isAssumption,Table24['# Elements],Table25['# Elements]),
_xlpm._sheetRow,$Z22,
IF($O22,AND($V22,$U22=$Q22),FALSE))</f>
        <v>0</v>
      </c>
      <c r="X22" s="11" t="str" cm="1">
        <f t="array" aca="1" ref="X22" ca="1">IF($O22,
_xlfn.LET(
_xlpm._elementID,$R22,
_xlpm._isAssumption,$M22,
_xlpm._sheetRow,$Z22,
_xlpm._sheetName,$AA22,
_xlpm._elementRow,$AB22,
_xlpm._resultColumnLetter,IF(_xlpm._isAssumption,INDEX(Table24[Comment Column],_xlpm._sheetRow),INDEX(Table25[Comment Column],_xlpm._sheetRow)),
INDEX(INDIRECT("'"&amp;_xlpm._sheetName&amp;"'!"&amp;_xlpm._resultColumnLetter&amp;":"&amp;_xlpm._resultColumnLetter),_xlpm._elementRow)),
"")</f>
        <v/>
      </c>
      <c r="Y22" s="11" t="str" cm="1">
        <f t="array" aca="1" ref="Y22" ca="1">IF($O22,
_xlfn.LET(
_xlpm._elementID,$R22,
_xlpm._isAssumption,$M22,
_xlpm._sheetRow,$Z22,
_xlpm._sheetName,$AA22,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22" s="11" t="str">
        <f ca="1">IF($O22=TRUE,
_xlfn.LET(
_xlpm._isAssumption,$M22,
_xlpm._searchRange,IF(_xlpm._isAssumption,Table24[Task Sheet Shadow ID],Table25[Task Sheet Shadow ID]),
MATCH($P22,_xlpm._searchRange,0)),
"")</f>
        <v/>
      </c>
      <c r="AA22" s="11" t="str" cm="1">
        <f t="array" aca="1" ref="AA22" ca="1">IF($O22,
_xlfn.LET(
_xlpm._isAssumption,$M22,
_xlpm._sheetRow,$Z22,
IF(_xlpm._isAssumption,INDEX(Table24[Sheet Name],_xlpm._sheetRow),INDEX(Table25[Sheet Name],_xlpm._sheetRow))),
"")</f>
        <v/>
      </c>
      <c r="AB22" s="11" t="str" cm="1">
        <f t="array" aca="1" ref="AB22" ca="1">IF($O22,
_xlfn.LET(
_xlpm._elementID,$R22,
_xlpm._isAssumption,$M22,
_xlpm._sheetRow,$Z22,
_xlpm._sheetName,$AA22,
_xlpm._elementIDColumnLetter,IF(_xlpm._isAssumption,INDEX(Table24[Element ID Column],_xlpm._sheetRow),INDEX(Table25[Element ID Column],_xlpm._sheetRow)),
MATCH(_xlpm._elementID,INDIRECT("'"&amp;_xlpm._sheetName&amp;"'!"&amp;_xlpm._elementIDColumnLetter&amp;":"&amp;_xlpm._elementIDColumnLetter),0)),
"")</f>
        <v/>
      </c>
      <c r="AC22" s="11" t="str" cm="1">
        <f t="array" aca="1" ref="AC22" ca="1">IF($A22="","",_xlfn.LET(
_xlpm._isAssumption,$M22,
_xlpm._isAdditionalElement,$O22,
_xlpm._sheetRow,$Z22,
_xlpm._sheetName,$AA22,
_xlpm._columnLetter,INDEX(IF(_xlpm._isAdditionalElement,Table24[Comment Column],Table25[Comment Column]),_xlpm._sheetRow),
_xlpm._sheetReference,IF(_xlpm._isAssumption,IF(_xlpm._isAdditionalElement,
CELL("address",INDEX(INDIRECT("'"&amp;_xlpm._sheetName&amp;"'!"&amp;_xlpm._columnLetter&amp;":"&amp;_xlpm._columnLetter),$AB22)),
CELL("address",INDEX(Assumptions!$A:$A,MATCH($A22,Assumptions!$A:$A,0),1))),
IF(_xlpm._isAdditionalElement,
CELL("address",INDEX(INDIRECT("'"&amp;_xlpm._sheetName&amp;"'!"&amp;_xlpm._columnLetter&amp;":"&amp;_xlpm._columnLetter),$AB22)),
CELL("address",INDEX(Countermeasures!$A:$A,MATCH($A22,Countermeasures!$A:$A,0),1)))),
_xlpm._start,FIND("]",_xlpm._sheetReference),
"'"&amp;SUBSTITUTE(SUBSTITUTE(RIGHT(_xlpm._sheetReference,LEN(_xlpm._sheetReference)-_xlpm._start),"'",""),"!","'!")))</f>
        <v>'Countermeasures'!$A$3</v>
      </c>
      <c r="AD22" s="11" t="str" cm="1">
        <f t="array" aca="1" ref="AD22" ca="1">IF(NOT($O22),
_xlfn.LET(_xlpm._value,IF($A22="","",IF($M22,SimpleLookup($A22,Assumptions!$A:$AG),SimpleLookup($A22,Countermeasures!$A:$AJ))),
IF(_xlpm._value="","",_xlpm._value)),
"")</f>
        <v/>
      </c>
      <c r="AE22" s="11" t="str" cm="1">
        <f t="array" aca="1" ref="AE22" ca="1">LookupNames(InverseLookup($A22,Mitigation!$AD$2,Mitigation!$A$2,1,Helper!$B$5,","),'Attack Steps'!$A:$B)</f>
        <v/>
      </c>
      <c r="AF22" s="11" t="str" cm="1">
        <f t="array" aca="1" ref="AF22" ca="1">IF($O22,
_xlfn.LET(
_xlpm._in,$A22,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22" s="11" t="str" cm="1">
        <f t="array" aca="1" ref="AG22" ca="1">_xlfn.LET(
_xlpm._countermeasures,InverseLookup($A22,Countermeasures!$AC$2,Countermeasures!$A$2,1,Helper!$B$4,","),
LookupNames(_xlpm._countermeasures,Countermeasures!$A:$B))</f>
        <v/>
      </c>
      <c r="AH22" s="11" t="str" cm="1">
        <f t="array" aca="1" ref="AH22" ca="1">IF($E22="","",_xlfn.LET(
_xlpm._id,$E22,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22" s="11" t="str" cm="1">
        <f t="array" aca="1" ref="AI22" ca="1">IF(OR($A22="",$O22),"",_xlfn.LET(
_xlpm._answers,IF($M22,SimpleLookup($A22,Assumptions!$A:$F),SimpleLookup($A22,Countermeasures!$A:$D)),
IF(_xlpm._answers="*",IF($M22,SimpleLookup($A22,Assumptions!$A:$C),SimpleLookup($A22,Countermeasures!$A:$C)),"")))</f>
        <v>See IEC 62443</v>
      </c>
      <c r="AJ22" s="11" t="str" cm="1">
        <f t="array" aca="1" ref="AJ22" ca="1">IF(NOT($O22),"",_xlfn.LET(
_xlpm._mappedInMitigation,IFERROR(VLOOKUP($Y22,'Attack Steps'!$A:$P,COLUMNS('Attack Steps'!$A:$P),FALSE),""),
CreateSearchString(_xlpm._mappedInMitigation)))</f>
        <v/>
      </c>
      <c r="AK22" s="11" t="b">
        <f ca="1">ROW()-ROW($AK$17)=Helper!$B$15</f>
        <v>0</v>
      </c>
      <c r="AL22" s="11" t="str">
        <f t="shared" ca="1" si="8"/>
        <v/>
      </c>
      <c r="AM22" s="11" cm="1">
        <f t="array" aca="1" ref="AM22" ca="1">CreateID($AM$17,$AL22&lt;&gt;"")</f>
        <v>0</v>
      </c>
      <c r="AN22" s="11" t="str" cm="1">
        <f t="array" aca="1" ref="AN22" ca="1">IF($O22,"",
_xlfn.LET(
_xlpm._this,SanitizeInput($A22)&amp;AT22,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22" s="11" t="str" cm="1">
        <f t="array" aca="1" ref="AO22" ca="1">IF($O22,"",_xlfn.LET(
_xlpm._listOfRisksAndLevels,SanitizeInput($AN22),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_xlpm._shortenedList,IF($H22="",_xlpm._risksWithMaxValue,
  IF(LEN(_xlpm._risksWithMaxValue)-LEN(SUBSTITUTE(_xlpm._risksWithMaxValue,",",""))&lt;=$H22,_xlpm._risksWithMaxValue,
    LEFT(_xlpm._risksWithMaxValue,FIND(CHAR(1),SUBSTITUTE(_xlpm._risksWithMaxValue,",",CHAR(1),$H22))))),
IF(_xlpm._maxRiskValue="","",
  _xlpm._lineMainSeparator&amp;
  INDEX(Definitions!$AE:$AE,MATCH(_xlpm._maxRiskValue,Definitions!$AF:$AF,0))&amp;CHAR(10)&amp;
  _xlpm._lineMainSeparator&amp;
  RemoveDelimiter(GetValues(_xlpm._shortenedList,Risks!$A:$B," ",CHAR(10)&amp;_xlpm._lineMainSeparator,TRUE),CHAR(10)&amp;_xlpm._lineMainSeparator))))</f>
        <v/>
      </c>
      <c r="AP22" s="11" t="str" cm="1">
        <f t="array" aca="1" ref="AP22" ca="1">IF($O22,"",_xlfn.LET(
_xlpm._lineMainSeparator,REPT(_xlfn.UNICHAR(9552),63)&amp;CHAR(10),
_xlpm._affectedRisks,InverseLookupList(SanitizeInput($A22)&amp;$AT22,Risks!$AX$2,Risks!$A$2,Helper!$B$1,","),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_xlpm._shortenedList,IF($H22="",_xlpm._risksWithMaxValue,
  IF(LEN(_xlpm._risksWithMaxValue)-LEN(SUBSTITUTE(_xlpm._risksWithMaxValue,",",""))&lt;=$H22,_xlpm._risksWithMaxValue,
    LEFT(_xlpm._risksWithMaxValue,FIND(CHAR(1),SUBSTITUTE(_xlpm._risksWithMaxValue,",",CHAR(1),$H22))))),
IF(_xlpm._maxRiskValue="","",
  _xlpm._lineMainSeparator&amp;
  INDEX(Definitions!$AE:$AE,MATCH(_xlpm._maxRiskValue,Definitions!$AF:$AF,0))&amp;CHAR(10)&amp;
  _xlpm._lineMainSeparator&amp;
  RemoveDelimiter(GetValues(_xlpm._shortenedList,Risks!$A:$B," ",CHAR(10)&amp;_xlpm._lineMainSeparator,TRUE),CHAR(10)&amp;_xlpm._lineMainSeparator))))</f>
        <v/>
      </c>
      <c r="AQ22" s="11" t="str" cm="1">
        <f t="array" aca="1" ref="AQ22" ca="1">IF(NOT($O22),"",
_xlfn.LET(
_xlpm._potentialASID,$Y22,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_xlpm._commentsFiltered,SUBSTITUTE(GetValues(_xlpm._attackSteps,Mitigation!$A:$O,"","",FALSE),$X22,""),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22" s="11" t="str" cm="1">
        <f t="array" aca="1" ref="AR22" ca="1">IF(NOT($O22),"",_xlfn.LET(
_xlpm._listOfRisksAndLevels,SanitizeInput($AQ22),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_xlpm._shortenedList,IF($H22="",_xlpm._risksWithMaxValue,
  IF(LEN(_xlpm._risksWithMaxValue)-LEN(SUBSTITUTE(_xlpm._risksWithMaxValue,",",""))&lt;=$H22,_xlpm._risksWithMaxValue,
    LEFT(_xlpm._risksWithMaxValue,FIND(CHAR(1),SUBSTITUTE(_xlpm._risksWithMaxValue,",",CHAR(1),$H22))))),
IF(_xlpm._maxRiskValue="","",
  _xlpm._lineMainSeparator&amp;
  INDEX(Definitions!$AE:$AE,MATCH(_xlpm._maxRiskValue,Definitions!$AF:$AF,0))&amp;CHAR(10)&amp;
  _xlpm._lineMainSeparator&amp;
  RemoveDelimiter(GetValues(_xlpm._shortenedList,Risks!$A:$B," ",CHAR(10)&amp;_xlpm._lineMainSeparator,TRUE),CHAR(10)&amp;_xlpm._lineMainSeparator))))</f>
        <v/>
      </c>
      <c r="AS22" s="11" t="str" cm="1">
        <f t="array" aca="1" ref="AS22" ca="1">IF(NOT($O22),"",
_xlfn.LET(
_xlpm._lineMainSeparator,REPT(_xlfn.UNICHAR(9552),63)&amp;CHAR(10),
_xlpm._potentialASID,$Y22,
_xlpm._risk,IFERROR(SimpleLookup(_xlpm._potentialASID,Mitigation!$A:$N),""),
_xlpm._attackPaths,IFERROR(SimpleLookup(_xlpm._potentialASID,Mitigation!$A:$M),""),
IF(_xlpm._risk="","",
_xlpm._lineMainSeparator&amp;
_xlpm._risk&amp;CHAR(10)&amp;
_xlpm._lineMainSeparator&amp;
_xlpm._attackPaths)))</f>
        <v/>
      </c>
      <c r="AT22" s="11" t="str" cm="1">
        <f t="array" aca="1" ref="AT22" ca="1">InverseLookup($A22,Countermeasures!$AA$2,Countermeasures!$A$2,1,Helper!$B$4,",")</f>
        <v/>
      </c>
    </row>
    <row r="23" spans="1:46" ht="48" x14ac:dyDescent="0.25">
      <c r="A23" s="106" t="str">
        <f ca="1">_xlfn.LET(
_xlpm._isAssumption,$M23,
_xlpm._row,$N23,
_xlpm._numActiveAssumptions,Helper!$B$8,
_xlpm._numActiveCountermeasures,Helper!$B$9,
_xlpm._numAdditionalAssumptions,Helper!$B$10,
_xlpm._numAdditionalCountermeasures,Helper!$B$11,
IF(_xlpm._isAssumption,
IF(_xlpm._row&gt;_xlpm._numActiveAssumptions,
$Y23&amp;"-A"&amp;$T23,
INDEX(Assumptions!A:A,MATCH(_xlpm._row,Assumptions!$AC:$AC,0))),
IF(_xlpm._row&gt;_xlpm._numActiveCountermeasures+_xlpm._numAdditionalCountermeasures,"",
IF(_xlpm._row&gt;_xlpm._numActiveCountermeasures,
$Y23&amp;"-C"&amp;$T23,
INDEX(Countermeasures!$A:$A,MATCH(_xlpm._row,Countermeasures!$AE:$AE,0))))))</f>
        <v>DR1</v>
      </c>
      <c r="B23" s="106" t="str" cm="1">
        <f t="array" aca="1" ref="B23" ca="1">IF($A23="","",
_xlfn.LET(
_xlpm._isAssumption,$M23,
_xlpm._isAdditionalElement,$O23,
IF(_xlpm._isAdditionalElement,
IF(_xlpm._isAssumption,
ParseElementsFromComment($X23,Definitions!$AR$4,Definitions!$AS$4,Definitions!$AR$6,$T23),
ParseElementsFromComment($X23,Definitions!$AR$5,Definitions!$AS$5,Definitions!$AR$6,$T23)),
_xlfn.LET(_xlpm._value,IF($A23="","",IF($M23,SimpleLookup($A23,Assumptions!$A:$B),SimpleLookup($A23,Countermeasures!$A:$B))),IF(_xlpm._value="","",_xlpm._value)))))</f>
        <v>Required product documentation</v>
      </c>
      <c r="C23" s="106" t="str" cm="1">
        <f t="array" aca="1" ref="C23" ca="1">IF($A23="","",IF($M23,IFERROR(SimpleLookup($A23,Assumptions!$A:$E),""),Definitions!$AO$4))</f>
        <v>&lt;&lt; OEM Name &gt;&gt;</v>
      </c>
      <c r="D23" s="103" t="str">
        <f t="shared" ca="1" si="2"/>
        <v>═══════════════════════════════════════════════════════════════
Default countermeasure:
–––––––––––––––––––––––––––––––––––––––––––––––––––––––––––––––––––––––––––––––––
The component shall be provided with all required documentation.</v>
      </c>
      <c r="E23" s="107"/>
      <c r="F23" s="108" t="str">
        <f t="shared" ca="1" si="3"/>
        <v>click me</v>
      </c>
      <c r="G23" s="102" t="str" cm="1">
        <f t="array" aca="1" ref="G23" ca="1">_xlfn.LET(_xlpm._val,IFERROR(SimpleLookup($A23,Countermeasures!$A:$S),IFERROR(SimpleLookup($A23,Assumptions!$A:$S),"")),IF(_xlpm._val="","",_xlpm._val))</f>
        <v/>
      </c>
      <c r="H23" s="109" t="str">
        <f>""</f>
        <v/>
      </c>
      <c r="I23" s="102" t="str">
        <f t="shared" ca="1" si="4"/>
        <v/>
      </c>
      <c r="J23" s="102" t="str">
        <f t="shared" ca="1" si="5"/>
        <v/>
      </c>
      <c r="K23" s="106" t="str" cm="1">
        <f t="array" aca="1" ref="K23" ca="1">_xlfn.LET(_xlpm._value,IF($A23="","",IFERROR(IF($M23,SimpleLookup($A23,Assumptions!$A:$T),SimpleLookup($A23,Countermeasures!$A:$T)),"")),
IF(_xlpm._value="","",_xlpm._value))</f>
        <v>All documentation required by the CRA is available for the product and provided to customers buying the product.</v>
      </c>
      <c r="L23" s="9" cm="1">
        <f t="array" aca="1" ref="L23" ca="1">CreateID($L$17,$A23&lt;&gt;"")</f>
        <v>6</v>
      </c>
      <c r="M23" s="9" t="b">
        <f ca="1">_xlfn.LET(_xlpm._row,ROW()-ROW($N$17),
_xlpm._numActiveAssumptions,Helper!$B$8,
_xlpm._numAdditionalAssumptions,SUM(Table24['# Elements]),
_xlpm._row&lt;=_xlpm._numActiveAssumptions+_xlpm._numAdditionalAssumptions)</f>
        <v>0</v>
      </c>
      <c r="N23" s="9">
        <f ca="1">_xlfn.LET(_xlpm._row,ROW()-ROW($N$17),
_xlpm._numActiveAssumptions,Helper!$B$8,
_xlpm._numAdditionalAssumptions,Helper!$B$10,
_xlpm._isAssumption,$M23,
_xlpm._elementID,IF(_xlpm._isAssumption,_xlpm._row,_xlpm._row-_xlpm._numActiveAssumptions-_xlpm._numAdditionalAssumptions),
_xlpm._elementID)</f>
        <v>2</v>
      </c>
      <c r="O23"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23" s="11" cm="1">
        <f t="array" aca="1" ref="P23" ca="1">IF($O23,
IF(ROW()=ROW($P$17)+1,1,INDEX($P:$P,ROW()-1)+IF(INDEX($W:$W,ROW()-1),1,0)),
1)</f>
        <v>1</v>
      </c>
      <c r="Q23" s="11" t="str" cm="1">
        <f t="array" aca="1" ref="Q23" ca="1">IF($O23=TRUE,
_xlfn.LET(
_xlpm._isAssumption,$M23,
_xlpm._indexRange,IF(_xlpm._isAssumption,Table24['# Elements],Table25['# Elements]),
_xlpm._lookupRow,$Z23,
INDEX(_xlpm._indexRange,_xlpm._lookupRow)),
"")</f>
        <v/>
      </c>
      <c r="R23" s="11" t="str" cm="1">
        <f t="array" aca="1" ref="R23" ca="1">IF($Q23="","",_xlfn.LET(
_xlpm._prevRow,ROW()-1,
IF(OR(INDEX($Q:$Q,_xlpm._prevRow)&lt;&gt;$Q23,INDEX($P:$P,_xlpm._prevRow)&lt;&gt;$P23),
1,
INDEX($R:$R,_xlpm._prevRow)+IF(INDEX($V:$V,_xlpm._prevRow),1,0))))</f>
        <v/>
      </c>
      <c r="S23" s="11" t="str" cm="1">
        <f t="array" aca="1" ref="S23" ca="1">IF($R23="","",_xlfn.LET(
_xlpm._isAssumption,$M23,
_xlpm._sheetRow,$Z23,
_xlpm._sheetName,$AA23,
_xlpm._elementIDRange,IF(_xlpm._isAssumption,Table24[Element ID Column],Table25[Element ID Column]),
_xlpm._numberOfElementsRange,IF(_xlpm._isAssumption,Table24[Number of Elements Column],Table25[Number of Elements Column]),
SimpleLookup($R23,INDIRECT("'"&amp;_xlpm._sheetName&amp;"'!"&amp;INDEX(_xlpm._elementIDRange,_xlpm._sheetRow)&amp;":"&amp;INDEX(_xlpm._numberOfElementsRange,_xlpm._sheetRow)))))</f>
        <v/>
      </c>
      <c r="T23" s="11" t="str" cm="1">
        <f t="array" aca="1" ref="T23" ca="1">IF($R23="","",IF(OR(INDEX($R:$R,ROW()-1)&lt;&gt;$R23,INDEX($P:$P,ROW()-1)&lt;&gt;$P23),1,INDEX($T:$T,ROW()-1)+1))</f>
        <v/>
      </c>
      <c r="U23" s="11">
        <f t="shared" ca="1" si="6"/>
        <v>0</v>
      </c>
      <c r="V23" s="11" t="str">
        <f t="shared" ca="1" si="7"/>
        <v/>
      </c>
      <c r="W23" s="11" t="b">
        <f ca="1">_xlfn.LET(
_xlpm._isAssumption,$M23,
_xlpm._numberOfElementsRange,IF(_xlpm._isAssumption,Table24['# Elements],Table25['# Elements]),
_xlpm._sheetRow,$Z23,
IF($O23,AND($V23,$U23=$Q23),FALSE))</f>
        <v>0</v>
      </c>
      <c r="X23" s="11" t="str" cm="1">
        <f t="array" aca="1" ref="X23" ca="1">IF($O23,
_xlfn.LET(
_xlpm._elementID,$R23,
_xlpm._isAssumption,$M23,
_xlpm._sheetRow,$Z23,
_xlpm._sheetName,$AA23,
_xlpm._elementRow,$AB23,
_xlpm._resultColumnLetter,IF(_xlpm._isAssumption,INDEX(Table24[Comment Column],_xlpm._sheetRow),INDEX(Table25[Comment Column],_xlpm._sheetRow)),
INDEX(INDIRECT("'"&amp;_xlpm._sheetName&amp;"'!"&amp;_xlpm._resultColumnLetter&amp;":"&amp;_xlpm._resultColumnLetter),_xlpm._elementRow)),
"")</f>
        <v/>
      </c>
      <c r="Y23" s="11" t="str" cm="1">
        <f t="array" aca="1" ref="Y23" ca="1">IF($O23,
_xlfn.LET(
_xlpm._elementID,$R23,
_xlpm._isAssumption,$M23,
_xlpm._sheetRow,$Z23,
_xlpm._sheetName,$AA23,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23" s="11" t="str">
        <f ca="1">IF($O23=TRUE,
_xlfn.LET(
_xlpm._isAssumption,$M23,
_xlpm._searchRange,IF(_xlpm._isAssumption,Table24[Task Sheet Shadow ID],Table25[Task Sheet Shadow ID]),
MATCH($P23,_xlpm._searchRange,0)),
"")</f>
        <v/>
      </c>
      <c r="AA23" s="11" t="str" cm="1">
        <f t="array" aca="1" ref="AA23" ca="1">IF($O23,
_xlfn.LET(
_xlpm._isAssumption,$M23,
_xlpm._sheetRow,$Z23,
IF(_xlpm._isAssumption,INDEX(Table24[Sheet Name],_xlpm._sheetRow),INDEX(Table25[Sheet Name],_xlpm._sheetRow))),
"")</f>
        <v/>
      </c>
      <c r="AB23" s="11" t="str" cm="1">
        <f t="array" aca="1" ref="AB23" ca="1">IF($O23,
_xlfn.LET(
_xlpm._elementID,$R23,
_xlpm._isAssumption,$M23,
_xlpm._sheetRow,$Z23,
_xlpm._sheetName,$AA23,
_xlpm._elementIDColumnLetter,IF(_xlpm._isAssumption,INDEX(Table24[Element ID Column],_xlpm._sheetRow),INDEX(Table25[Element ID Column],_xlpm._sheetRow)),
MATCH(_xlpm._elementID,INDIRECT("'"&amp;_xlpm._sheetName&amp;"'!"&amp;_xlpm._elementIDColumnLetter&amp;":"&amp;_xlpm._elementIDColumnLetter),0)),
"")</f>
        <v/>
      </c>
      <c r="AC23" s="11" t="str" cm="1">
        <f t="array" aca="1" ref="AC23" ca="1">IF($A23="","",_xlfn.LET(
_xlpm._isAssumption,$M23,
_xlpm._isAdditionalElement,$O23,
_xlpm._sheetRow,$Z23,
_xlpm._sheetName,$AA23,
_xlpm._columnLetter,INDEX(IF(_xlpm._isAdditionalElement,Table24[Comment Column],Table25[Comment Column]),_xlpm._sheetRow),
_xlpm._sheetReference,IF(_xlpm._isAssumption,IF(_xlpm._isAdditionalElement,
CELL("address",INDEX(INDIRECT("'"&amp;_xlpm._sheetName&amp;"'!"&amp;_xlpm._columnLetter&amp;":"&amp;_xlpm._columnLetter),$AB23)),
CELL("address",INDEX(Assumptions!$A:$A,MATCH($A23,Assumptions!$A:$A,0),1))),
IF(_xlpm._isAdditionalElement,
CELL("address",INDEX(INDIRECT("'"&amp;_xlpm._sheetName&amp;"'!"&amp;_xlpm._columnLetter&amp;":"&amp;_xlpm._columnLetter),$AB23)),
CELL("address",INDEX(Countermeasures!$A:$A,MATCH($A23,Countermeasures!$A:$A,0),1)))),
_xlpm._start,FIND("]",_xlpm._sheetReference),
"'"&amp;SUBSTITUTE(SUBSTITUTE(RIGHT(_xlpm._sheetReference,LEN(_xlpm._sheetReference)-_xlpm._start),"'",""),"!","'!")))</f>
        <v>'Countermeasures'!$A$4</v>
      </c>
      <c r="AD23" s="11" t="str" cm="1">
        <f t="array" aca="1" ref="AD23" ca="1">IF(NOT($O23),
_xlfn.LET(_xlpm._value,IF($A23="","",IF($M23,SimpleLookup($A23,Assumptions!$A:$AG),SimpleLookup($A23,Countermeasures!$A:$AJ))),
IF(_xlpm._value="","",_xlpm._value)),
"")</f>
        <v/>
      </c>
      <c r="AE23" s="11" t="str" cm="1">
        <f t="array" aca="1" ref="AE23" ca="1">LookupNames(InverseLookup($A23,Mitigation!$AD$2,Mitigation!$A$2,1,Helper!$B$5,","),'Attack Steps'!$A:$B)</f>
        <v/>
      </c>
      <c r="AF23" s="11" t="str" cm="1">
        <f t="array" aca="1" ref="AF23" ca="1">IF($O23,
_xlfn.LET(
_xlpm._in,$A23,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23" s="11" t="str" cm="1">
        <f t="array" aca="1" ref="AG23" ca="1">_xlfn.LET(
_xlpm._countermeasures,InverseLookup($A23,Countermeasures!$AC$2,Countermeasures!$A$2,1,Helper!$B$4,","),
LookupNames(_xlpm._countermeasures,Countermeasures!$A:$B))</f>
        <v/>
      </c>
      <c r="AH23" s="11" t="str" cm="1">
        <f t="array" aca="1" ref="AH23" ca="1">IF($E23="","",_xlfn.LET(
_xlpm._id,$E23,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23" s="11" t="str" cm="1">
        <f t="array" aca="1" ref="AI23" ca="1">IF(OR($A23="",$O23),"",_xlfn.LET(
_xlpm._answers,IF($M23,SimpleLookup($A23,Assumptions!$A:$F),SimpleLookup($A23,Countermeasures!$A:$D)),
IF(_xlpm._answers="*",IF($M23,SimpleLookup($A23,Assumptions!$A:$C),SimpleLookup($A23,Countermeasures!$A:$C)),"")))</f>
        <v>The component shall be provided with all required documentation.</v>
      </c>
      <c r="AJ23" s="11" t="str" cm="1">
        <f t="array" aca="1" ref="AJ23" ca="1">IF(NOT($O23),"",_xlfn.LET(
_xlpm._mappedInMitigation,IFERROR(VLOOKUP($Y23,'Attack Steps'!$A:$P,COLUMNS('Attack Steps'!$A:$P),FALSE),""),
CreateSearchString(_xlpm._mappedInMitigation)))</f>
        <v/>
      </c>
      <c r="AK23" s="11" t="b">
        <f ca="1">ROW()-ROW($AK$17)=Helper!$B$15</f>
        <v>0</v>
      </c>
      <c r="AL23" s="11" t="str">
        <f t="shared" ca="1" si="8"/>
        <v/>
      </c>
      <c r="AM23" s="11" cm="1">
        <f t="array" aca="1" ref="AM23" ca="1">CreateID($AM$17,$AL23&lt;&gt;"")</f>
        <v>0</v>
      </c>
      <c r="AN23" s="11" t="str" cm="1">
        <f t="array" aca="1" ref="AN23" ca="1">IF($O23,"",
_xlfn.LET(
_xlpm._this,SanitizeInput($A23)&amp;AT23,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23" s="11" t="str" cm="1">
        <f t="array" aca="1" ref="AO23" ca="1">IF($O23,"",_xlfn.LET(
_xlpm._listOfRisksAndLevels,SanitizeInput($AN23),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_xlpm._shortenedList,IF($H23="",_xlpm._risksWithMaxValue,
  IF(LEN(_xlpm._risksWithMaxValue)-LEN(SUBSTITUTE(_xlpm._risksWithMaxValue,",",""))&lt;=$H23,_xlpm._risksWithMaxValue,
    LEFT(_xlpm._risksWithMaxValue,FIND(CHAR(1),SUBSTITUTE(_xlpm._risksWithMaxValue,",",CHAR(1),$H23))))),
IF(_xlpm._maxRiskValue="","",
  _xlpm._lineMainSeparator&amp;
  INDEX(Definitions!$AE:$AE,MATCH(_xlpm._maxRiskValue,Definitions!$AF:$AF,0))&amp;CHAR(10)&amp;
  _xlpm._lineMainSeparator&amp;
  RemoveDelimiter(GetValues(_xlpm._shortenedList,Risks!$A:$B," ",CHAR(10)&amp;_xlpm._lineMainSeparator,TRUE),CHAR(10)&amp;_xlpm._lineMainSeparator))))</f>
        <v/>
      </c>
      <c r="AP23" s="11" t="str" cm="1">
        <f t="array" aca="1" ref="AP23" ca="1">IF($O23,"",_xlfn.LET(
_xlpm._lineMainSeparator,REPT(_xlfn.UNICHAR(9552),63)&amp;CHAR(10),
_xlpm._affectedRisks,InverseLookupList(SanitizeInput($A23)&amp;$AT23,Risks!$AX$2,Risks!$A$2,Helper!$B$1,","),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_xlpm._shortenedList,IF($H23="",_xlpm._risksWithMaxValue,
  IF(LEN(_xlpm._risksWithMaxValue)-LEN(SUBSTITUTE(_xlpm._risksWithMaxValue,",",""))&lt;=$H23,_xlpm._risksWithMaxValue,
    LEFT(_xlpm._risksWithMaxValue,FIND(CHAR(1),SUBSTITUTE(_xlpm._risksWithMaxValue,",",CHAR(1),$H23))))),
IF(_xlpm._maxRiskValue="","",
  _xlpm._lineMainSeparator&amp;
  INDEX(Definitions!$AE:$AE,MATCH(_xlpm._maxRiskValue,Definitions!$AF:$AF,0))&amp;CHAR(10)&amp;
  _xlpm._lineMainSeparator&amp;
  RemoveDelimiter(GetValues(_xlpm._shortenedList,Risks!$A:$B," ",CHAR(10)&amp;_xlpm._lineMainSeparator,TRUE),CHAR(10)&amp;_xlpm._lineMainSeparator))))</f>
        <v/>
      </c>
      <c r="AQ23" s="11" t="str" cm="1">
        <f t="array" aca="1" ref="AQ23" ca="1">IF(NOT($O23),"",
_xlfn.LET(
_xlpm._potentialASID,$Y23,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_xlpm._commentsFiltered,SUBSTITUTE(GetValues(_xlpm._attackSteps,Mitigation!$A:$O,"","",FALSE),$X23,""),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23" s="11" t="str" cm="1">
        <f t="array" aca="1" ref="AR23" ca="1">IF(NOT($O23),"",_xlfn.LET(
_xlpm._listOfRisksAndLevels,SanitizeInput($AQ23),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_xlpm._shortenedList,IF($H23="",_xlpm._risksWithMaxValue,
  IF(LEN(_xlpm._risksWithMaxValue)-LEN(SUBSTITUTE(_xlpm._risksWithMaxValue,",",""))&lt;=$H23,_xlpm._risksWithMaxValue,
    LEFT(_xlpm._risksWithMaxValue,FIND(CHAR(1),SUBSTITUTE(_xlpm._risksWithMaxValue,",",CHAR(1),$H23))))),
IF(_xlpm._maxRiskValue="","",
  _xlpm._lineMainSeparator&amp;
  INDEX(Definitions!$AE:$AE,MATCH(_xlpm._maxRiskValue,Definitions!$AF:$AF,0))&amp;CHAR(10)&amp;
  _xlpm._lineMainSeparator&amp;
  RemoveDelimiter(GetValues(_xlpm._shortenedList,Risks!$A:$B," ",CHAR(10)&amp;_xlpm._lineMainSeparator,TRUE),CHAR(10)&amp;_xlpm._lineMainSeparator))))</f>
        <v/>
      </c>
      <c r="AS23" s="11" t="str" cm="1">
        <f t="array" aca="1" ref="AS23" ca="1">IF(NOT($O23),"",
_xlfn.LET(
_xlpm._lineMainSeparator,REPT(_xlfn.UNICHAR(9552),63)&amp;CHAR(10),
_xlpm._potentialASID,$Y23,
_xlpm._risk,IFERROR(SimpleLookup(_xlpm._potentialASID,Mitigation!$A:$N),""),
_xlpm._attackPaths,IFERROR(SimpleLookup(_xlpm._potentialASID,Mitigation!$A:$M),""),
IF(_xlpm._risk="","",
_xlpm._lineMainSeparator&amp;
_xlpm._risk&amp;CHAR(10)&amp;
_xlpm._lineMainSeparator&amp;
_xlpm._attackPaths)))</f>
        <v/>
      </c>
      <c r="AT23" s="11" t="str" cm="1">
        <f t="array" aca="1" ref="AT23" ca="1">InverseLookup($A23,Countermeasures!$AA$2,Countermeasures!$A$2,1,Helper!$B$4,",")</f>
        <v/>
      </c>
    </row>
    <row r="24" spans="1:46" ht="48" x14ac:dyDescent="0.25">
      <c r="A24" s="106" t="str">
        <f ca="1">_xlfn.LET(
_xlpm._isAssumption,$M24,
_xlpm._row,$N24,
_xlpm._numActiveAssumptions,Helper!$B$8,
_xlpm._numActiveCountermeasures,Helper!$B$9,
_xlpm._numAdditionalAssumptions,Helper!$B$10,
_xlpm._numAdditionalCountermeasures,Helper!$B$11,
IF(_xlpm._isAssumption,
IF(_xlpm._row&gt;_xlpm._numActiveAssumptions,
$Y24&amp;"-A"&amp;$T24,
INDEX(Assumptions!A:A,MATCH(_xlpm._row,Assumptions!$AC:$AC,0))),
IF(_xlpm._row&gt;_xlpm._numActiveCountermeasures+_xlpm._numAdditionalCountermeasures,"",
IF(_xlpm._row&gt;_xlpm._numActiveCountermeasures,
$Y24&amp;"-C"&amp;$T24,
INDEX(Countermeasures!$A:$A,MATCH(_xlpm._row,Countermeasures!$AE:$AE,0))))))</f>
        <v>C13</v>
      </c>
      <c r="B24" s="106" t="str" cm="1">
        <f t="array" aca="1" ref="B24" ca="1">IF($A24="","",
_xlfn.LET(
_xlpm._isAssumption,$M24,
_xlpm._isAdditionalElement,$O24,
IF(_xlpm._isAdditionalElement,
IF(_xlpm._isAssumption,
ParseElementsFromComment($X24,Definitions!$AR$4,Definitions!$AS$4,Definitions!$AR$6,$T24),
ParseElementsFromComment($X24,Definitions!$AR$5,Definitions!$AS$5,Definitions!$AR$6,$T24)),
_xlfn.LET(_xlpm._value,IF($A24="","",IF($M24,SimpleLookup($A24,Assumptions!$A:$B),SimpleLookup($A24,Countermeasures!$A:$B))),IF(_xlpm._value="","",_xlpm._value)))))</f>
        <v>CR 3.3 – Security functionality verification</v>
      </c>
      <c r="C24" s="106" t="str" cm="1">
        <f t="array" aca="1" ref="C24" ca="1">IF($A24="","",IF($M24,IFERROR(SimpleLookup($A24,Assumptions!$A:$E),""),Definitions!$AO$4))</f>
        <v>&lt;&lt; OEM Name &gt;&gt;</v>
      </c>
      <c r="D24" s="103" t="str">
        <f t="shared" ca="1" si="2"/>
        <v>═══════════════════════════════════════════════════════════════
Default countermeasure:
–––––––––––––––––––––––––––––––––––––––––––––––––––––––––––––––––––––––––––––––––
See IEC 62443</v>
      </c>
      <c r="E24" s="107"/>
      <c r="F24" s="108" t="str">
        <f t="shared" ca="1" si="3"/>
        <v>click me</v>
      </c>
      <c r="G24" s="102" t="str" cm="1">
        <f t="array" aca="1" ref="G24" ca="1">_xlfn.LET(_xlpm._val,IFERROR(SimpleLookup($A24,Countermeasures!$A:$S),IFERROR(SimpleLookup($A24,Assumptions!$A:$S),"")),IF(_xlpm._val="","",_xlpm._val))</f>
        <v/>
      </c>
      <c r="H24" s="109" t="str">
        <f>""</f>
        <v/>
      </c>
      <c r="I24" s="102" t="str">
        <f t="shared" ca="1" si="4"/>
        <v/>
      </c>
      <c r="J24" s="102" t="str">
        <f t="shared" ca="1" si="5"/>
        <v/>
      </c>
      <c r="K24" s="106" t="str" cm="1">
        <f t="array" aca="1" ref="K24" ca="1">_xlfn.LET(_xlpm._value,IF($A24="","",IFERROR(IF($M24,SimpleLookup($A24,Assumptions!$A:$T),SimpleLookup($A24,Countermeasures!$A:$T)),"")),
IF(_xlpm._value="","",_xlpm._value))</f>
        <v/>
      </c>
      <c r="L24" s="9" cm="1">
        <f t="array" aca="1" ref="L24" ca="1">CreateID($L$17,$A24&lt;&gt;"")</f>
        <v>7</v>
      </c>
      <c r="M24" s="9" t="b">
        <f ca="1">_xlfn.LET(_xlpm._row,ROW()-ROW($N$17),
_xlpm._numActiveAssumptions,Helper!$B$8,
_xlpm._numAdditionalAssumptions,SUM(Table24['# Elements]),
_xlpm._row&lt;=_xlpm._numActiveAssumptions+_xlpm._numAdditionalAssumptions)</f>
        <v>0</v>
      </c>
      <c r="N24" s="9">
        <f ca="1">_xlfn.LET(_xlpm._row,ROW()-ROW($N$17),
_xlpm._numActiveAssumptions,Helper!$B$8,
_xlpm._numAdditionalAssumptions,Helper!$B$10,
_xlpm._isAssumption,$M24,
_xlpm._elementID,IF(_xlpm._isAssumption,_xlpm._row,_xlpm._row-_xlpm._numActiveAssumptions-_xlpm._numAdditionalAssumptions),
_xlpm._elementID)</f>
        <v>3</v>
      </c>
      <c r="O24"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24" s="11" cm="1">
        <f t="array" aca="1" ref="P24" ca="1">IF($O24,
IF(ROW()=ROW($P$17)+1,1,INDEX($P:$P,ROW()-1)+IF(INDEX($W:$W,ROW()-1),1,0)),
1)</f>
        <v>1</v>
      </c>
      <c r="Q24" s="11" t="str" cm="1">
        <f t="array" aca="1" ref="Q24" ca="1">IF($O24=TRUE,
_xlfn.LET(
_xlpm._isAssumption,$M24,
_xlpm._indexRange,IF(_xlpm._isAssumption,Table24['# Elements],Table25['# Elements]),
_xlpm._lookupRow,$Z24,
INDEX(_xlpm._indexRange,_xlpm._lookupRow)),
"")</f>
        <v/>
      </c>
      <c r="R24" s="11" t="str" cm="1">
        <f t="array" aca="1" ref="R24" ca="1">IF($Q24="","",_xlfn.LET(
_xlpm._prevRow,ROW()-1,
IF(OR(INDEX($Q:$Q,_xlpm._prevRow)&lt;&gt;$Q24,INDEX($P:$P,_xlpm._prevRow)&lt;&gt;$P24),
1,
INDEX($R:$R,_xlpm._prevRow)+IF(INDEX($V:$V,_xlpm._prevRow),1,0))))</f>
        <v/>
      </c>
      <c r="S24" s="11" t="str" cm="1">
        <f t="array" aca="1" ref="S24" ca="1">IF($R24="","",_xlfn.LET(
_xlpm._isAssumption,$M24,
_xlpm._sheetRow,$Z24,
_xlpm._sheetName,$AA24,
_xlpm._elementIDRange,IF(_xlpm._isAssumption,Table24[Element ID Column],Table25[Element ID Column]),
_xlpm._numberOfElementsRange,IF(_xlpm._isAssumption,Table24[Number of Elements Column],Table25[Number of Elements Column]),
SimpleLookup($R24,INDIRECT("'"&amp;_xlpm._sheetName&amp;"'!"&amp;INDEX(_xlpm._elementIDRange,_xlpm._sheetRow)&amp;":"&amp;INDEX(_xlpm._numberOfElementsRange,_xlpm._sheetRow)))))</f>
        <v/>
      </c>
      <c r="T24" s="11" t="str" cm="1">
        <f t="array" aca="1" ref="T24" ca="1">IF($R24="","",IF(OR(INDEX($R:$R,ROW()-1)&lt;&gt;$R24,INDEX($P:$P,ROW()-1)&lt;&gt;$P24),1,INDEX($T:$T,ROW()-1)+1))</f>
        <v/>
      </c>
      <c r="U24" s="11">
        <f t="shared" ca="1" si="6"/>
        <v>0</v>
      </c>
      <c r="V24" s="11" t="str">
        <f t="shared" ca="1" si="7"/>
        <v/>
      </c>
      <c r="W24" s="11" t="b">
        <f ca="1">_xlfn.LET(
_xlpm._isAssumption,$M24,
_xlpm._numberOfElementsRange,IF(_xlpm._isAssumption,Table24['# Elements],Table25['# Elements]),
_xlpm._sheetRow,$Z24,
IF($O24,AND($V24,$U24=$Q24),FALSE))</f>
        <v>0</v>
      </c>
      <c r="X24" s="11" t="str" cm="1">
        <f t="array" aca="1" ref="X24" ca="1">IF($O24,
_xlfn.LET(
_xlpm._elementID,$R24,
_xlpm._isAssumption,$M24,
_xlpm._sheetRow,$Z24,
_xlpm._sheetName,$AA24,
_xlpm._elementRow,$AB24,
_xlpm._resultColumnLetter,IF(_xlpm._isAssumption,INDEX(Table24[Comment Column],_xlpm._sheetRow),INDEX(Table25[Comment Column],_xlpm._sheetRow)),
INDEX(INDIRECT("'"&amp;_xlpm._sheetName&amp;"'!"&amp;_xlpm._resultColumnLetter&amp;":"&amp;_xlpm._resultColumnLetter),_xlpm._elementRow)),
"")</f>
        <v/>
      </c>
      <c r="Y24" s="11" t="str" cm="1">
        <f t="array" aca="1" ref="Y24" ca="1">IF($O24,
_xlfn.LET(
_xlpm._elementID,$R24,
_xlpm._isAssumption,$M24,
_xlpm._sheetRow,$Z24,
_xlpm._sheetName,$AA24,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24" s="11" t="str">
        <f ca="1">IF($O24=TRUE,
_xlfn.LET(
_xlpm._isAssumption,$M24,
_xlpm._searchRange,IF(_xlpm._isAssumption,Table24[Task Sheet Shadow ID],Table25[Task Sheet Shadow ID]),
MATCH($P24,_xlpm._searchRange,0)),
"")</f>
        <v/>
      </c>
      <c r="AA24" s="11" t="str" cm="1">
        <f t="array" aca="1" ref="AA24" ca="1">IF($O24,
_xlfn.LET(
_xlpm._isAssumption,$M24,
_xlpm._sheetRow,$Z24,
IF(_xlpm._isAssumption,INDEX(Table24[Sheet Name],_xlpm._sheetRow),INDEX(Table25[Sheet Name],_xlpm._sheetRow))),
"")</f>
        <v/>
      </c>
      <c r="AB24" s="11" t="str" cm="1">
        <f t="array" aca="1" ref="AB24" ca="1">IF($O24,
_xlfn.LET(
_xlpm._elementID,$R24,
_xlpm._isAssumption,$M24,
_xlpm._sheetRow,$Z24,
_xlpm._sheetName,$AA24,
_xlpm._elementIDColumnLetter,IF(_xlpm._isAssumption,INDEX(Table24[Element ID Column],_xlpm._sheetRow),INDEX(Table25[Element ID Column],_xlpm._sheetRow)),
MATCH(_xlpm._elementID,INDIRECT("'"&amp;_xlpm._sheetName&amp;"'!"&amp;_xlpm._elementIDColumnLetter&amp;":"&amp;_xlpm._elementIDColumnLetter),0)),
"")</f>
        <v/>
      </c>
      <c r="AC24" s="11" t="str" cm="1">
        <f t="array" aca="1" ref="AC24" ca="1">IF($A24="","",_xlfn.LET(
_xlpm._isAssumption,$M24,
_xlpm._isAdditionalElement,$O24,
_xlpm._sheetRow,$Z24,
_xlpm._sheetName,$AA24,
_xlpm._columnLetter,INDEX(IF(_xlpm._isAdditionalElement,Table24[Comment Column],Table25[Comment Column]),_xlpm._sheetRow),
_xlpm._sheetReference,IF(_xlpm._isAssumption,IF(_xlpm._isAdditionalElement,
CELL("address",INDEX(INDIRECT("'"&amp;_xlpm._sheetName&amp;"'!"&amp;_xlpm._columnLetter&amp;":"&amp;_xlpm._columnLetter),$AB24)),
CELL("address",INDEX(Assumptions!$A:$A,MATCH($A24,Assumptions!$A:$A,0),1))),
IF(_xlpm._isAdditionalElement,
CELL("address",INDEX(INDIRECT("'"&amp;_xlpm._sheetName&amp;"'!"&amp;_xlpm._columnLetter&amp;":"&amp;_xlpm._columnLetter),$AB24)),
CELL("address",INDEX(Countermeasures!$A:$A,MATCH($A24,Countermeasures!$A:$A,0),1)))),
_xlpm._start,FIND("]",_xlpm._sheetReference),
"'"&amp;SUBSTITUTE(SUBSTITUTE(RIGHT(_xlpm._sheetReference,LEN(_xlpm._sheetReference)-_xlpm._start),"'",""),"!","'!")))</f>
        <v>'Countermeasures'!$A$17</v>
      </c>
      <c r="AD24" s="11" t="str" cm="1">
        <f t="array" aca="1" ref="AD24" ca="1">IF(NOT($O24),
_xlfn.LET(_xlpm._value,IF($A24="","",IF($M24,SimpleLookup($A24,Assumptions!$A:$AG),SimpleLookup($A24,Countermeasures!$A:$AJ))),
IF(_xlpm._value="","",_xlpm._value)),
"")</f>
        <v/>
      </c>
      <c r="AE24" s="11" t="str" cm="1">
        <f t="array" aca="1" ref="AE24" ca="1">LookupNames(InverseLookup($A24,Mitigation!$AD$2,Mitigation!$A$2,1,Helper!$B$5,","),'Attack Steps'!$A:$B)</f>
        <v/>
      </c>
      <c r="AF24" s="11" t="str" cm="1">
        <f t="array" aca="1" ref="AF24" ca="1">IF($O24,
_xlfn.LET(
_xlpm._in,$A24,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24" s="11" t="str" cm="1">
        <f t="array" aca="1" ref="AG24" ca="1">_xlfn.LET(
_xlpm._countermeasures,InverseLookup($A24,Countermeasures!$AC$2,Countermeasures!$A$2,1,Helper!$B$4,","),
LookupNames(_xlpm._countermeasures,Countermeasures!$A:$B))</f>
        <v/>
      </c>
      <c r="AH24" s="11" t="str" cm="1">
        <f t="array" aca="1" ref="AH24" ca="1">IF($E24="","",_xlfn.LET(
_xlpm._id,$E24,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24" s="11" t="str" cm="1">
        <f t="array" aca="1" ref="AI24" ca="1">IF(OR($A24="",$O24),"",_xlfn.LET(
_xlpm._answers,IF($M24,SimpleLookup($A24,Assumptions!$A:$F),SimpleLookup($A24,Countermeasures!$A:$D)),
IF(_xlpm._answers="*",IF($M24,SimpleLookup($A24,Assumptions!$A:$C),SimpleLookup($A24,Countermeasures!$A:$C)),"")))</f>
        <v>See IEC 62443</v>
      </c>
      <c r="AJ24" s="11" t="str" cm="1">
        <f t="array" aca="1" ref="AJ24" ca="1">IF(NOT($O24),"",_xlfn.LET(
_xlpm._mappedInMitigation,IFERROR(VLOOKUP($Y24,'Attack Steps'!$A:$P,COLUMNS('Attack Steps'!$A:$P),FALSE),""),
CreateSearchString(_xlpm._mappedInMitigation)))</f>
        <v/>
      </c>
      <c r="AK24" s="11" t="b">
        <f ca="1">ROW()-ROW($AK$17)=Helper!$B$15</f>
        <v>0</v>
      </c>
      <c r="AL24" s="11" t="str">
        <f t="shared" ca="1" si="8"/>
        <v/>
      </c>
      <c r="AM24" s="11" cm="1">
        <f t="array" aca="1" ref="AM24" ca="1">CreateID($AM$17,$AL24&lt;&gt;"")</f>
        <v>0</v>
      </c>
      <c r="AN24" s="11" t="str" cm="1">
        <f t="array" aca="1" ref="AN24" ca="1">IF($O24,"",
_xlfn.LET(
_xlpm._this,SanitizeInput($A24)&amp;AT24,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24" s="11" t="str" cm="1">
        <f t="array" aca="1" ref="AO24" ca="1">IF($O24,"",_xlfn.LET(
_xlpm._listOfRisksAndLevels,SanitizeInput($AN24),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_xlpm._shortenedList,IF($H24="",_xlpm._risksWithMaxValue,
  IF(LEN(_xlpm._risksWithMaxValue)-LEN(SUBSTITUTE(_xlpm._risksWithMaxValue,",",""))&lt;=$H24,_xlpm._risksWithMaxValue,
    LEFT(_xlpm._risksWithMaxValue,FIND(CHAR(1),SUBSTITUTE(_xlpm._risksWithMaxValue,",",CHAR(1),$H24))))),
IF(_xlpm._maxRiskValue="","",
  _xlpm._lineMainSeparator&amp;
  INDEX(Definitions!$AE:$AE,MATCH(_xlpm._maxRiskValue,Definitions!$AF:$AF,0))&amp;CHAR(10)&amp;
  _xlpm._lineMainSeparator&amp;
  RemoveDelimiter(GetValues(_xlpm._shortenedList,Risks!$A:$B," ",CHAR(10)&amp;_xlpm._lineMainSeparator,TRUE),CHAR(10)&amp;_xlpm._lineMainSeparator))))</f>
        <v/>
      </c>
      <c r="AP24" s="11" t="str" cm="1">
        <f t="array" aca="1" ref="AP24" ca="1">IF($O24,"",_xlfn.LET(
_xlpm._lineMainSeparator,REPT(_xlfn.UNICHAR(9552),63)&amp;CHAR(10),
_xlpm._affectedRisks,InverseLookupList(SanitizeInput($A24)&amp;$AT24,Risks!$AX$2,Risks!$A$2,Helper!$B$1,","),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_xlpm._shortenedList,IF($H24="",_xlpm._risksWithMaxValue,
  IF(LEN(_xlpm._risksWithMaxValue)-LEN(SUBSTITUTE(_xlpm._risksWithMaxValue,",",""))&lt;=$H24,_xlpm._risksWithMaxValue,
    LEFT(_xlpm._risksWithMaxValue,FIND(CHAR(1),SUBSTITUTE(_xlpm._risksWithMaxValue,",",CHAR(1),$H24))))),
IF(_xlpm._maxRiskValue="","",
  _xlpm._lineMainSeparator&amp;
  INDEX(Definitions!$AE:$AE,MATCH(_xlpm._maxRiskValue,Definitions!$AF:$AF,0))&amp;CHAR(10)&amp;
  _xlpm._lineMainSeparator&amp;
  RemoveDelimiter(GetValues(_xlpm._shortenedList,Risks!$A:$B," ",CHAR(10)&amp;_xlpm._lineMainSeparator,TRUE),CHAR(10)&amp;_xlpm._lineMainSeparator))))</f>
        <v/>
      </c>
      <c r="AQ24" s="11" t="str" cm="1">
        <f t="array" aca="1" ref="AQ24" ca="1">IF(NOT($O24),"",
_xlfn.LET(
_xlpm._potentialASID,$Y24,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_xlpm._commentsFiltered,SUBSTITUTE(GetValues(_xlpm._attackSteps,Mitigation!$A:$O,"","",FALSE),$X24,""),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24" s="11" t="str" cm="1">
        <f t="array" aca="1" ref="AR24" ca="1">IF(NOT($O24),"",_xlfn.LET(
_xlpm._listOfRisksAndLevels,SanitizeInput($AQ24),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_xlpm._shortenedList,IF($H24="",_xlpm._risksWithMaxValue,
  IF(LEN(_xlpm._risksWithMaxValue)-LEN(SUBSTITUTE(_xlpm._risksWithMaxValue,",",""))&lt;=$H24,_xlpm._risksWithMaxValue,
    LEFT(_xlpm._risksWithMaxValue,FIND(CHAR(1),SUBSTITUTE(_xlpm._risksWithMaxValue,",",CHAR(1),$H24))))),
IF(_xlpm._maxRiskValue="","",
  _xlpm._lineMainSeparator&amp;
  INDEX(Definitions!$AE:$AE,MATCH(_xlpm._maxRiskValue,Definitions!$AF:$AF,0))&amp;CHAR(10)&amp;
  _xlpm._lineMainSeparator&amp;
  RemoveDelimiter(GetValues(_xlpm._shortenedList,Risks!$A:$B," ",CHAR(10)&amp;_xlpm._lineMainSeparator,TRUE),CHAR(10)&amp;_xlpm._lineMainSeparator))))</f>
        <v/>
      </c>
      <c r="AS24" s="11" t="str" cm="1">
        <f t="array" aca="1" ref="AS24" ca="1">IF(NOT($O24),"",
_xlfn.LET(
_xlpm._lineMainSeparator,REPT(_xlfn.UNICHAR(9552),63)&amp;CHAR(10),
_xlpm._potentialASID,$Y24,
_xlpm._risk,IFERROR(SimpleLookup(_xlpm._potentialASID,Mitigation!$A:$N),""),
_xlpm._attackPaths,IFERROR(SimpleLookup(_xlpm._potentialASID,Mitigation!$A:$M),""),
IF(_xlpm._risk="","",
_xlpm._lineMainSeparator&amp;
_xlpm._risk&amp;CHAR(10)&amp;
_xlpm._lineMainSeparator&amp;
_xlpm._attackPaths)))</f>
        <v/>
      </c>
      <c r="AT24" s="11" t="str" cm="1">
        <f t="array" aca="1" ref="AT24" ca="1">InverseLookup($A24,Countermeasures!$AA$2,Countermeasures!$A$2,1,Helper!$B$4,",")</f>
        <v/>
      </c>
    </row>
    <row r="25" spans="1:46" ht="90" x14ac:dyDescent="0.25">
      <c r="A25" s="106" t="str">
        <f ca="1">_xlfn.LET(
_xlpm._isAssumption,$M25,
_xlpm._row,$N25,
_xlpm._numActiveAssumptions,Helper!$B$8,
_xlpm._numActiveCountermeasures,Helper!$B$9,
_xlpm._numAdditionalAssumptions,Helper!$B$10,
_xlpm._numAdditionalCountermeasures,Helper!$B$11,
IF(_xlpm._isAssumption,
IF(_xlpm._row&gt;_xlpm._numActiveAssumptions,
$Y25&amp;"-A"&amp;$T25,
INDEX(Assumptions!A:A,MATCH(_xlpm._row,Assumptions!$AC:$AC,0))),
IF(_xlpm._row&gt;_xlpm._numActiveCountermeasures+_xlpm._numAdditionalCountermeasures,"",
IF(_xlpm._row&gt;_xlpm._numActiveCountermeasures,
$Y25&amp;"-C"&amp;$T25,
INDEX(Countermeasures!$A:$A,MATCH(_xlpm._row,Countermeasures!$AE:$AE,0))))))</f>
        <v>C15</v>
      </c>
      <c r="B25" s="106" t="str" cm="1">
        <f t="array" aca="1" ref="B25" ca="1">IF($A25="","",
_xlfn.LET(
_xlpm._isAssumption,$M25,
_xlpm._isAdditionalElement,$O25,
IF(_xlpm._isAdditionalElement,
IF(_xlpm._isAssumption,
ParseElementsFromComment($X25,Definitions!$AR$4,Definitions!$AS$4,Definitions!$AR$6,$T25),
ParseElementsFromComment($X25,Definitions!$AR$5,Definitions!$AS$5,Definitions!$AR$6,$T25)),
_xlfn.LET(_xlpm._value,IF($A25="","",IF($M25,SimpleLookup($A25,Assumptions!$A:$B),SimpleLookup($A25,Countermeasures!$A:$B))),IF(_xlpm._value="","",_xlpm._value)))))</f>
        <v>CR 3.5 – Input validation</v>
      </c>
      <c r="C25" s="106" t="str" cm="1">
        <f t="array" aca="1" ref="C25" ca="1">IF($A25="","",IF($M25,IFERROR(SimpleLookup($A25,Assumptions!$A:$E),""),Definitions!$AO$4))</f>
        <v>&lt;&lt; OEM Name &gt;&gt;</v>
      </c>
      <c r="D25" s="103" t="str">
        <f t="shared" ca="1" si="2"/>
        <v>═══════════════════════════════════════════════════════════════
Default countermeasure:
–––––––––––––––––––––––––––––––––––––––––––––––––––––––––––––––––––––––––––––––––
See IEC 62443</v>
      </c>
      <c r="E25" s="107"/>
      <c r="F25" s="108" t="str">
        <f t="shared" ca="1" si="3"/>
        <v>click me</v>
      </c>
      <c r="G25" s="102" t="str" cm="1">
        <f t="array" aca="1" ref="G25" ca="1">_xlfn.LET(_xlpm._val,IFERROR(SimpleLookup($A25,Countermeasures!$A:$S),IFERROR(SimpleLookup($A25,Assumptions!$A:$S),"")),IF(_xlpm._val="","",_xlpm._val))</f>
        <v/>
      </c>
      <c r="H25" s="109" t="str">
        <f>""</f>
        <v/>
      </c>
      <c r="I25" s="102" t="str">
        <f t="shared" ca="1" si="4"/>
        <v/>
      </c>
      <c r="J25" s="102" t="str">
        <f t="shared" ca="1" si="5"/>
        <v/>
      </c>
      <c r="K25" s="106" t="str" cm="1">
        <f t="array" aca="1" ref="K25" ca="1">_xlfn.LET(_xlpm._value,IF($A25="","",IFERROR(IF($M25,SimpleLookup($A25,Assumptions!$A:$T),SimpleLookup($A25,Countermeasures!$A:$T)),"")),
IF(_xlpm._value="","",_xlpm._value))</f>
        <v xml:space="preserve"> &lt;= one week: The attacker needs a few days to find inputs that circumvent the input validation
Expert: The attacker needs to understand that input validation is operational and how to circumvent it
Sensitive: The attacker needs to understand how the product validates its inputs</v>
      </c>
      <c r="L25" s="9" cm="1">
        <f t="array" aca="1" ref="L25" ca="1">CreateID($L$17,$A25&lt;&gt;"")</f>
        <v>8</v>
      </c>
      <c r="M25" s="9" t="b">
        <f ca="1">_xlfn.LET(_xlpm._row,ROW()-ROW($N$17),
_xlpm._numActiveAssumptions,Helper!$B$8,
_xlpm._numAdditionalAssumptions,SUM(Table24['# Elements]),
_xlpm._row&lt;=_xlpm._numActiveAssumptions+_xlpm._numAdditionalAssumptions)</f>
        <v>0</v>
      </c>
      <c r="N25" s="9">
        <f ca="1">_xlfn.LET(_xlpm._row,ROW()-ROW($N$17),
_xlpm._numActiveAssumptions,Helper!$B$8,
_xlpm._numAdditionalAssumptions,Helper!$B$10,
_xlpm._isAssumption,$M25,
_xlpm._elementID,IF(_xlpm._isAssumption,_xlpm._row,_xlpm._row-_xlpm._numActiveAssumptions-_xlpm._numAdditionalAssumptions),
_xlpm._elementID)</f>
        <v>4</v>
      </c>
      <c r="O25"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25" s="11" cm="1">
        <f t="array" aca="1" ref="P25" ca="1">IF($O25,
IF(ROW()=ROW($P$17)+1,1,INDEX($P:$P,ROW()-1)+IF(INDEX($W:$W,ROW()-1),1,0)),
1)</f>
        <v>1</v>
      </c>
      <c r="Q25" s="11" t="str" cm="1">
        <f t="array" aca="1" ref="Q25" ca="1">IF($O25=TRUE,
_xlfn.LET(
_xlpm._isAssumption,$M25,
_xlpm._indexRange,IF(_xlpm._isAssumption,Table24['# Elements],Table25['# Elements]),
_xlpm._lookupRow,$Z25,
INDEX(_xlpm._indexRange,_xlpm._lookupRow)),
"")</f>
        <v/>
      </c>
      <c r="R25" s="11" t="str" cm="1">
        <f t="array" aca="1" ref="R25" ca="1">IF($Q25="","",_xlfn.LET(
_xlpm._prevRow,ROW()-1,
IF(OR(INDEX($Q:$Q,_xlpm._prevRow)&lt;&gt;$Q25,INDEX($P:$P,_xlpm._prevRow)&lt;&gt;$P25),
1,
INDEX($R:$R,_xlpm._prevRow)+IF(INDEX($V:$V,_xlpm._prevRow),1,0))))</f>
        <v/>
      </c>
      <c r="S25" s="11" t="str" cm="1">
        <f t="array" aca="1" ref="S25" ca="1">IF($R25="","",_xlfn.LET(
_xlpm._isAssumption,$M25,
_xlpm._sheetRow,$Z25,
_xlpm._sheetName,$AA25,
_xlpm._elementIDRange,IF(_xlpm._isAssumption,Table24[Element ID Column],Table25[Element ID Column]),
_xlpm._numberOfElementsRange,IF(_xlpm._isAssumption,Table24[Number of Elements Column],Table25[Number of Elements Column]),
SimpleLookup($R25,INDIRECT("'"&amp;_xlpm._sheetName&amp;"'!"&amp;INDEX(_xlpm._elementIDRange,_xlpm._sheetRow)&amp;":"&amp;INDEX(_xlpm._numberOfElementsRange,_xlpm._sheetRow)))))</f>
        <v/>
      </c>
      <c r="T25" s="11" t="str" cm="1">
        <f t="array" aca="1" ref="T25" ca="1">IF($R25="","",IF(OR(INDEX($R:$R,ROW()-1)&lt;&gt;$R25,INDEX($P:$P,ROW()-1)&lt;&gt;$P25),1,INDEX($T:$T,ROW()-1)+1))</f>
        <v/>
      </c>
      <c r="U25" s="11">
        <f t="shared" ca="1" si="6"/>
        <v>0</v>
      </c>
      <c r="V25" s="11" t="str">
        <f t="shared" ca="1" si="7"/>
        <v/>
      </c>
      <c r="W25" s="11" t="b">
        <f ca="1">_xlfn.LET(
_xlpm._isAssumption,$M25,
_xlpm._numberOfElementsRange,IF(_xlpm._isAssumption,Table24['# Elements],Table25['# Elements]),
_xlpm._sheetRow,$Z25,
IF($O25,AND($V25,$U25=$Q25),FALSE))</f>
        <v>0</v>
      </c>
      <c r="X25" s="11" t="str" cm="1">
        <f t="array" aca="1" ref="X25" ca="1">IF($O25,
_xlfn.LET(
_xlpm._elementID,$R25,
_xlpm._isAssumption,$M25,
_xlpm._sheetRow,$Z25,
_xlpm._sheetName,$AA25,
_xlpm._elementRow,$AB25,
_xlpm._resultColumnLetter,IF(_xlpm._isAssumption,INDEX(Table24[Comment Column],_xlpm._sheetRow),INDEX(Table25[Comment Column],_xlpm._sheetRow)),
INDEX(INDIRECT("'"&amp;_xlpm._sheetName&amp;"'!"&amp;_xlpm._resultColumnLetter&amp;":"&amp;_xlpm._resultColumnLetter),_xlpm._elementRow)),
"")</f>
        <v/>
      </c>
      <c r="Y25" s="11" t="str" cm="1">
        <f t="array" aca="1" ref="Y25" ca="1">IF($O25,
_xlfn.LET(
_xlpm._elementID,$R25,
_xlpm._isAssumption,$M25,
_xlpm._sheetRow,$Z25,
_xlpm._sheetName,$AA25,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25" s="11" t="str">
        <f ca="1">IF($O25=TRUE,
_xlfn.LET(
_xlpm._isAssumption,$M25,
_xlpm._searchRange,IF(_xlpm._isAssumption,Table24[Task Sheet Shadow ID],Table25[Task Sheet Shadow ID]),
MATCH($P25,_xlpm._searchRange,0)),
"")</f>
        <v/>
      </c>
      <c r="AA25" s="11" t="str" cm="1">
        <f t="array" aca="1" ref="AA25" ca="1">IF($O25,
_xlfn.LET(
_xlpm._isAssumption,$M25,
_xlpm._sheetRow,$Z25,
IF(_xlpm._isAssumption,INDEX(Table24[Sheet Name],_xlpm._sheetRow),INDEX(Table25[Sheet Name],_xlpm._sheetRow))),
"")</f>
        <v/>
      </c>
      <c r="AB25" s="11" t="str" cm="1">
        <f t="array" aca="1" ref="AB25" ca="1">IF($O25,
_xlfn.LET(
_xlpm._elementID,$R25,
_xlpm._isAssumption,$M25,
_xlpm._sheetRow,$Z25,
_xlpm._sheetName,$AA25,
_xlpm._elementIDColumnLetter,IF(_xlpm._isAssumption,INDEX(Table24[Element ID Column],_xlpm._sheetRow),INDEX(Table25[Element ID Column],_xlpm._sheetRow)),
MATCH(_xlpm._elementID,INDIRECT("'"&amp;_xlpm._sheetName&amp;"'!"&amp;_xlpm._elementIDColumnLetter&amp;":"&amp;_xlpm._elementIDColumnLetter),0)),
"")</f>
        <v/>
      </c>
      <c r="AC25" s="11" t="str" cm="1">
        <f t="array" aca="1" ref="AC25" ca="1">IF($A25="","",_xlfn.LET(
_xlpm._isAssumption,$M25,
_xlpm._isAdditionalElement,$O25,
_xlpm._sheetRow,$Z25,
_xlpm._sheetName,$AA25,
_xlpm._columnLetter,INDEX(IF(_xlpm._isAdditionalElement,Table24[Comment Column],Table25[Comment Column]),_xlpm._sheetRow),
_xlpm._sheetReference,IF(_xlpm._isAssumption,IF(_xlpm._isAdditionalElement,
CELL("address",INDEX(INDIRECT("'"&amp;_xlpm._sheetName&amp;"'!"&amp;_xlpm._columnLetter&amp;":"&amp;_xlpm._columnLetter),$AB25)),
CELL("address",INDEX(Assumptions!$A:$A,MATCH($A25,Assumptions!$A:$A,0),1))),
IF(_xlpm._isAdditionalElement,
CELL("address",INDEX(INDIRECT("'"&amp;_xlpm._sheetName&amp;"'!"&amp;_xlpm._columnLetter&amp;":"&amp;_xlpm._columnLetter),$AB25)),
CELL("address",INDEX(Countermeasures!$A:$A,MATCH($A25,Countermeasures!$A:$A,0),1)))),
_xlpm._start,FIND("]",_xlpm._sheetReference),
"'"&amp;SUBSTITUTE(SUBSTITUTE(RIGHT(_xlpm._sheetReference,LEN(_xlpm._sheetReference)-_xlpm._start),"'",""),"!","'!")))</f>
        <v>'Countermeasures'!$A$19</v>
      </c>
      <c r="AD25" s="11" t="str" cm="1">
        <f t="array" aca="1" ref="AD25" ca="1">IF(NOT($O25),
_xlfn.LET(_xlpm._value,IF($A25="","",IF($M25,SimpleLookup($A25,Assumptions!$A:$AG),SimpleLookup($A25,Countermeasures!$A:$AJ))),
IF(_xlpm._value="","",_xlpm._value)),
"")</f>
        <v/>
      </c>
      <c r="AE25" s="11" t="str" cm="1">
        <f t="array" aca="1" ref="AE25" ca="1">LookupNames(InverseLookup($A25,Mitigation!$AD$2,Mitigation!$A$2,1,Helper!$B$5,","),'Attack Steps'!$A:$B)</f>
        <v/>
      </c>
      <c r="AF25" s="11" t="str" cm="1">
        <f t="array" aca="1" ref="AF25" ca="1">IF($O25,
_xlfn.LET(
_xlpm._in,$A25,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25" s="11" t="str" cm="1">
        <f t="array" aca="1" ref="AG25" ca="1">_xlfn.LET(
_xlpm._countermeasures,InverseLookup($A25,Countermeasures!$AC$2,Countermeasures!$A$2,1,Helper!$B$4,","),
LookupNames(_xlpm._countermeasures,Countermeasures!$A:$B))</f>
        <v/>
      </c>
      <c r="AH25" s="11" t="str" cm="1">
        <f t="array" aca="1" ref="AH25" ca="1">IF($E25="","",_xlfn.LET(
_xlpm._id,$E25,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25" s="11" t="str" cm="1">
        <f t="array" aca="1" ref="AI25" ca="1">IF(OR($A25="",$O25),"",_xlfn.LET(
_xlpm._answers,IF($M25,SimpleLookup($A25,Assumptions!$A:$F),SimpleLookup($A25,Countermeasures!$A:$D)),
IF(_xlpm._answers="*",IF($M25,SimpleLookup($A25,Assumptions!$A:$C),SimpleLookup($A25,Countermeasures!$A:$C)),"")))</f>
        <v>See IEC 62443</v>
      </c>
      <c r="AJ25" s="11" t="str" cm="1">
        <f t="array" aca="1" ref="AJ25" ca="1">IF(NOT($O25),"",_xlfn.LET(
_xlpm._mappedInMitigation,IFERROR(VLOOKUP($Y25,'Attack Steps'!$A:$P,COLUMNS('Attack Steps'!$A:$P),FALSE),""),
CreateSearchString(_xlpm._mappedInMitigation)))</f>
        <v/>
      </c>
      <c r="AK25" s="11" t="b">
        <f ca="1">ROW()-ROW($AK$17)=Helper!$B$15</f>
        <v>0</v>
      </c>
      <c r="AL25" s="11" t="str">
        <f t="shared" ca="1" si="8"/>
        <v/>
      </c>
      <c r="AM25" s="11" cm="1">
        <f t="array" aca="1" ref="AM25" ca="1">CreateID($AM$17,$AL25&lt;&gt;"")</f>
        <v>0</v>
      </c>
      <c r="AN25" s="11" t="str" cm="1">
        <f t="array" aca="1" ref="AN25" ca="1">IF($O25,"",
_xlfn.LET(
_xlpm._this,SanitizeInput($A25)&amp;AT25,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25" s="11" t="str" cm="1">
        <f t="array" aca="1" ref="AO25" ca="1">IF($O25,"",_xlfn.LET(
_xlpm._listOfRisksAndLevels,SanitizeInput($AN25),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_xlpm._shortenedList,IF($H25="",_xlpm._risksWithMaxValue,
  IF(LEN(_xlpm._risksWithMaxValue)-LEN(SUBSTITUTE(_xlpm._risksWithMaxValue,",",""))&lt;=$H25,_xlpm._risksWithMaxValue,
    LEFT(_xlpm._risksWithMaxValue,FIND(CHAR(1),SUBSTITUTE(_xlpm._risksWithMaxValue,",",CHAR(1),$H25))))),
IF(_xlpm._maxRiskValue="","",
  _xlpm._lineMainSeparator&amp;
  INDEX(Definitions!$AE:$AE,MATCH(_xlpm._maxRiskValue,Definitions!$AF:$AF,0))&amp;CHAR(10)&amp;
  _xlpm._lineMainSeparator&amp;
  RemoveDelimiter(GetValues(_xlpm._shortenedList,Risks!$A:$B," ",CHAR(10)&amp;_xlpm._lineMainSeparator,TRUE),CHAR(10)&amp;_xlpm._lineMainSeparator))))</f>
        <v/>
      </c>
      <c r="AP25" s="11" t="str" cm="1">
        <f t="array" aca="1" ref="AP25" ca="1">IF($O25,"",_xlfn.LET(
_xlpm._lineMainSeparator,REPT(_xlfn.UNICHAR(9552),63)&amp;CHAR(10),
_xlpm._affectedRisks,InverseLookupList(SanitizeInput($A25)&amp;$AT25,Risks!$AX$2,Risks!$A$2,Helper!$B$1,","),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_xlpm._shortenedList,IF($H25="",_xlpm._risksWithMaxValue,
  IF(LEN(_xlpm._risksWithMaxValue)-LEN(SUBSTITUTE(_xlpm._risksWithMaxValue,",",""))&lt;=$H25,_xlpm._risksWithMaxValue,
    LEFT(_xlpm._risksWithMaxValue,FIND(CHAR(1),SUBSTITUTE(_xlpm._risksWithMaxValue,",",CHAR(1),$H25))))),
IF(_xlpm._maxRiskValue="","",
  _xlpm._lineMainSeparator&amp;
  INDEX(Definitions!$AE:$AE,MATCH(_xlpm._maxRiskValue,Definitions!$AF:$AF,0))&amp;CHAR(10)&amp;
  _xlpm._lineMainSeparator&amp;
  RemoveDelimiter(GetValues(_xlpm._shortenedList,Risks!$A:$B," ",CHAR(10)&amp;_xlpm._lineMainSeparator,TRUE),CHAR(10)&amp;_xlpm._lineMainSeparator))))</f>
        <v/>
      </c>
      <c r="AQ25" s="11" t="str" cm="1">
        <f t="array" aca="1" ref="AQ25" ca="1">IF(NOT($O25),"",
_xlfn.LET(
_xlpm._potentialASID,$Y25,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_xlpm._commentsFiltered,SUBSTITUTE(GetValues(_xlpm._attackSteps,Mitigation!$A:$O,"","",FALSE),$X25,""),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25" s="11" t="str" cm="1">
        <f t="array" aca="1" ref="AR25" ca="1">IF(NOT($O25),"",_xlfn.LET(
_xlpm._listOfRisksAndLevels,SanitizeInput($AQ25),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_xlpm._shortenedList,IF($H25="",_xlpm._risksWithMaxValue,
  IF(LEN(_xlpm._risksWithMaxValue)-LEN(SUBSTITUTE(_xlpm._risksWithMaxValue,",",""))&lt;=$H25,_xlpm._risksWithMaxValue,
    LEFT(_xlpm._risksWithMaxValue,FIND(CHAR(1),SUBSTITUTE(_xlpm._risksWithMaxValue,",",CHAR(1),$H25))))),
IF(_xlpm._maxRiskValue="","",
  _xlpm._lineMainSeparator&amp;
  INDEX(Definitions!$AE:$AE,MATCH(_xlpm._maxRiskValue,Definitions!$AF:$AF,0))&amp;CHAR(10)&amp;
  _xlpm._lineMainSeparator&amp;
  RemoveDelimiter(GetValues(_xlpm._shortenedList,Risks!$A:$B," ",CHAR(10)&amp;_xlpm._lineMainSeparator,TRUE),CHAR(10)&amp;_xlpm._lineMainSeparator))))</f>
        <v/>
      </c>
      <c r="AS25" s="11" t="str" cm="1">
        <f t="array" aca="1" ref="AS25" ca="1">IF(NOT($O25),"",
_xlfn.LET(
_xlpm._lineMainSeparator,REPT(_xlfn.UNICHAR(9552),63)&amp;CHAR(10),
_xlpm._potentialASID,$Y25,
_xlpm._risk,IFERROR(SimpleLookup(_xlpm._potentialASID,Mitigation!$A:$N),""),
_xlpm._attackPaths,IFERROR(SimpleLookup(_xlpm._potentialASID,Mitigation!$A:$M),""),
IF(_xlpm._risk="","",
_xlpm._lineMainSeparator&amp;
_xlpm._risk&amp;CHAR(10)&amp;
_xlpm._lineMainSeparator&amp;
_xlpm._attackPaths)))</f>
        <v/>
      </c>
      <c r="AT25" s="11" t="str" cm="1">
        <f t="array" aca="1" ref="AT25" ca="1">InverseLookup($A25,Countermeasures!$AA$2,Countermeasures!$A$2,1,Helper!$B$4,",")</f>
        <v>CM2,</v>
      </c>
    </row>
    <row r="26" spans="1:46" ht="48" x14ac:dyDescent="0.25">
      <c r="A26" s="106" t="str">
        <f ca="1">_xlfn.LET(
_xlpm._isAssumption,$M26,
_xlpm._row,$N26,
_xlpm._numActiveAssumptions,Helper!$B$8,
_xlpm._numActiveCountermeasures,Helper!$B$9,
_xlpm._numAdditionalAssumptions,Helper!$B$10,
_xlpm._numAdditionalCountermeasures,Helper!$B$11,
IF(_xlpm._isAssumption,
IF(_xlpm._row&gt;_xlpm._numActiveAssumptions,
$Y26&amp;"-A"&amp;$T26,
INDEX(Assumptions!A:A,MATCH(_xlpm._row,Assumptions!$AC:$AC,0))),
IF(_xlpm._row&gt;_xlpm._numActiveCountermeasures+_xlpm._numAdditionalCountermeasures,"",
IF(_xlpm._row&gt;_xlpm._numActiveCountermeasures,
$Y26&amp;"-C"&amp;$T26,
INDEX(Countermeasures!$A:$A,MATCH(_xlpm._row,Countermeasures!$AE:$AE,0))))))</f>
        <v>C24</v>
      </c>
      <c r="B26" s="106" t="str" cm="1">
        <f t="array" aca="1" ref="B26" ca="1">IF($A26="","",
_xlfn.LET(
_xlpm._isAssumption,$M26,
_xlpm._isAdditionalElement,$O26,
IF(_xlpm._isAdditionalElement,
IF(_xlpm._isAssumption,
ParseElementsFromComment($X26,Definitions!$AR$4,Definitions!$AS$4,Definitions!$AR$6,$T26),
ParseElementsFromComment($X26,Definitions!$AR$5,Definitions!$AS$5,Definitions!$AR$6,$T26)),
_xlfn.LET(_xlpm._value,IF($A26="","",IF($M26,SimpleLookup($A26,Assumptions!$A:$B),SimpleLookup($A26,Countermeasures!$A:$B))),IF(_xlpm._value="","",_xlpm._value)))))</f>
        <v>CR 7.7 – Least functionality</v>
      </c>
      <c r="C26" s="106" t="str" cm="1">
        <f t="array" aca="1" ref="C26" ca="1">IF($A26="","",IF($M26,IFERROR(SimpleLookup($A26,Assumptions!$A:$E),""),Definitions!$AO$4))</f>
        <v>&lt;&lt; OEM Name &gt;&gt;</v>
      </c>
      <c r="D26" s="103" t="str">
        <f t="shared" ca="1" si="2"/>
        <v>═══════════════════════════════════════════════════════════════
Default countermeasure:
–––––––––––––––––––––––––––––––––––––––––––––––––––––––––––––––––––––––––––––––––
See IEC 62443</v>
      </c>
      <c r="E26" s="107"/>
      <c r="F26" s="108" t="str">
        <f t="shared" ca="1" si="3"/>
        <v>click me</v>
      </c>
      <c r="G26" s="102" t="str" cm="1">
        <f t="array" aca="1" ref="G26" ca="1">_xlfn.LET(_xlpm._val,IFERROR(SimpleLookup($A26,Countermeasures!$A:$S),IFERROR(SimpleLookup($A26,Assumptions!$A:$S),"")),IF(_xlpm._val="","",_xlpm._val))</f>
        <v/>
      </c>
      <c r="H26" s="109" t="str">
        <f>""</f>
        <v/>
      </c>
      <c r="I26" s="102" t="str">
        <f t="shared" ca="1" si="4"/>
        <v/>
      </c>
      <c r="J26" s="102" t="str">
        <f t="shared" ca="1" si="5"/>
        <v/>
      </c>
      <c r="K26" s="106" t="str" cm="1">
        <f t="array" aca="1" ref="K26" ca="1">_xlfn.LET(_xlpm._value,IF($A26="","",IFERROR(IF($M26,SimpleLookup($A26,Assumptions!$A:$T),SimpleLookup($A26,Countermeasures!$A:$T)),"")),
IF(_xlpm._value="","",_xlpm._value))</f>
        <v/>
      </c>
      <c r="L26" s="9" cm="1">
        <f t="array" aca="1" ref="L26" ca="1">CreateID($L$17,$A26&lt;&gt;"")</f>
        <v>9</v>
      </c>
      <c r="M26" s="9" t="b">
        <f ca="1">_xlfn.LET(_xlpm._row,ROW()-ROW($N$17),
_xlpm._numActiveAssumptions,Helper!$B$8,
_xlpm._numAdditionalAssumptions,SUM(Table24['# Elements]),
_xlpm._row&lt;=_xlpm._numActiveAssumptions+_xlpm._numAdditionalAssumptions)</f>
        <v>0</v>
      </c>
      <c r="N26" s="9">
        <f ca="1">_xlfn.LET(_xlpm._row,ROW()-ROW($N$17),
_xlpm._numActiveAssumptions,Helper!$B$8,
_xlpm._numAdditionalAssumptions,Helper!$B$10,
_xlpm._isAssumption,$M26,
_xlpm._elementID,IF(_xlpm._isAssumption,_xlpm._row,_xlpm._row-_xlpm._numActiveAssumptions-_xlpm._numAdditionalAssumptions),
_xlpm._elementID)</f>
        <v>5</v>
      </c>
      <c r="O26"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26" s="11" cm="1">
        <f t="array" aca="1" ref="P26" ca="1">IF($O26,
IF(ROW()=ROW($P$17)+1,1,INDEX($P:$P,ROW()-1)+IF(INDEX($W:$W,ROW()-1),1,0)),
1)</f>
        <v>1</v>
      </c>
      <c r="Q26" s="11" t="str" cm="1">
        <f t="array" aca="1" ref="Q26" ca="1">IF($O26=TRUE,
_xlfn.LET(
_xlpm._isAssumption,$M26,
_xlpm._indexRange,IF(_xlpm._isAssumption,Table24['# Elements],Table25['# Elements]),
_xlpm._lookupRow,$Z26,
INDEX(_xlpm._indexRange,_xlpm._lookupRow)),
"")</f>
        <v/>
      </c>
      <c r="R26" s="11" t="str" cm="1">
        <f t="array" aca="1" ref="R26" ca="1">IF($Q26="","",_xlfn.LET(
_xlpm._prevRow,ROW()-1,
IF(OR(INDEX($Q:$Q,_xlpm._prevRow)&lt;&gt;$Q26,INDEX($P:$P,_xlpm._prevRow)&lt;&gt;$P26),
1,
INDEX($R:$R,_xlpm._prevRow)+IF(INDEX($V:$V,_xlpm._prevRow),1,0))))</f>
        <v/>
      </c>
      <c r="S26" s="11" t="str" cm="1">
        <f t="array" aca="1" ref="S26" ca="1">IF($R26="","",_xlfn.LET(
_xlpm._isAssumption,$M26,
_xlpm._sheetRow,$Z26,
_xlpm._sheetName,$AA26,
_xlpm._elementIDRange,IF(_xlpm._isAssumption,Table24[Element ID Column],Table25[Element ID Column]),
_xlpm._numberOfElementsRange,IF(_xlpm._isAssumption,Table24[Number of Elements Column],Table25[Number of Elements Column]),
SimpleLookup($R26,INDIRECT("'"&amp;_xlpm._sheetName&amp;"'!"&amp;INDEX(_xlpm._elementIDRange,_xlpm._sheetRow)&amp;":"&amp;INDEX(_xlpm._numberOfElementsRange,_xlpm._sheetRow)))))</f>
        <v/>
      </c>
      <c r="T26" s="11" t="str" cm="1">
        <f t="array" aca="1" ref="T26" ca="1">IF($R26="","",IF(OR(INDEX($R:$R,ROW()-1)&lt;&gt;$R26,INDEX($P:$P,ROW()-1)&lt;&gt;$P26),1,INDEX($T:$T,ROW()-1)+1))</f>
        <v/>
      </c>
      <c r="U26" s="11">
        <f t="shared" ca="1" si="6"/>
        <v>0</v>
      </c>
      <c r="V26" s="11" t="str">
        <f t="shared" ca="1" si="7"/>
        <v/>
      </c>
      <c r="W26" s="11" t="b">
        <f ca="1">_xlfn.LET(
_xlpm._isAssumption,$M26,
_xlpm._numberOfElementsRange,IF(_xlpm._isAssumption,Table24['# Elements],Table25['# Elements]),
_xlpm._sheetRow,$Z26,
IF($O26,AND($V26,$U26=$Q26),FALSE))</f>
        <v>0</v>
      </c>
      <c r="X26" s="11" t="str" cm="1">
        <f t="array" aca="1" ref="X26" ca="1">IF($O26,
_xlfn.LET(
_xlpm._elementID,$R26,
_xlpm._isAssumption,$M26,
_xlpm._sheetRow,$Z26,
_xlpm._sheetName,$AA26,
_xlpm._elementRow,$AB26,
_xlpm._resultColumnLetter,IF(_xlpm._isAssumption,INDEX(Table24[Comment Column],_xlpm._sheetRow),INDEX(Table25[Comment Column],_xlpm._sheetRow)),
INDEX(INDIRECT("'"&amp;_xlpm._sheetName&amp;"'!"&amp;_xlpm._resultColumnLetter&amp;":"&amp;_xlpm._resultColumnLetter),_xlpm._elementRow)),
"")</f>
        <v/>
      </c>
      <c r="Y26" s="11" t="str" cm="1">
        <f t="array" aca="1" ref="Y26" ca="1">IF($O26,
_xlfn.LET(
_xlpm._elementID,$R26,
_xlpm._isAssumption,$M26,
_xlpm._sheetRow,$Z26,
_xlpm._sheetName,$AA26,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26" s="11" t="str">
        <f ca="1">IF($O26=TRUE,
_xlfn.LET(
_xlpm._isAssumption,$M26,
_xlpm._searchRange,IF(_xlpm._isAssumption,Table24[Task Sheet Shadow ID],Table25[Task Sheet Shadow ID]),
MATCH($P26,_xlpm._searchRange,0)),
"")</f>
        <v/>
      </c>
      <c r="AA26" s="11" t="str" cm="1">
        <f t="array" aca="1" ref="AA26" ca="1">IF($O26,
_xlfn.LET(
_xlpm._isAssumption,$M26,
_xlpm._sheetRow,$Z26,
IF(_xlpm._isAssumption,INDEX(Table24[Sheet Name],_xlpm._sheetRow),INDEX(Table25[Sheet Name],_xlpm._sheetRow))),
"")</f>
        <v/>
      </c>
      <c r="AB26" s="11" t="str" cm="1">
        <f t="array" aca="1" ref="AB26" ca="1">IF($O26,
_xlfn.LET(
_xlpm._elementID,$R26,
_xlpm._isAssumption,$M26,
_xlpm._sheetRow,$Z26,
_xlpm._sheetName,$AA26,
_xlpm._elementIDColumnLetter,IF(_xlpm._isAssumption,INDEX(Table24[Element ID Column],_xlpm._sheetRow),INDEX(Table25[Element ID Column],_xlpm._sheetRow)),
MATCH(_xlpm._elementID,INDIRECT("'"&amp;_xlpm._sheetName&amp;"'!"&amp;_xlpm._elementIDColumnLetter&amp;":"&amp;_xlpm._elementIDColumnLetter),0)),
"")</f>
        <v/>
      </c>
      <c r="AC26" s="11" t="str" cm="1">
        <f t="array" aca="1" ref="AC26" ca="1">IF($A26="","",_xlfn.LET(
_xlpm._isAssumption,$M26,
_xlpm._isAdditionalElement,$O26,
_xlpm._sheetRow,$Z26,
_xlpm._sheetName,$AA26,
_xlpm._columnLetter,INDEX(IF(_xlpm._isAdditionalElement,Table24[Comment Column],Table25[Comment Column]),_xlpm._sheetRow),
_xlpm._sheetReference,IF(_xlpm._isAssumption,IF(_xlpm._isAdditionalElement,
CELL("address",INDEX(INDIRECT("'"&amp;_xlpm._sheetName&amp;"'!"&amp;_xlpm._columnLetter&amp;":"&amp;_xlpm._columnLetter),$AB26)),
CELL("address",INDEX(Assumptions!$A:$A,MATCH($A26,Assumptions!$A:$A,0),1))),
IF(_xlpm._isAdditionalElement,
CELL("address",INDEX(INDIRECT("'"&amp;_xlpm._sheetName&amp;"'!"&amp;_xlpm._columnLetter&amp;":"&amp;_xlpm._columnLetter),$AB26)),
CELL("address",INDEX(Countermeasures!$A:$A,MATCH($A26,Countermeasures!$A:$A,0),1)))),
_xlpm._start,FIND("]",_xlpm._sheetReference),
"'"&amp;SUBSTITUTE(SUBSTITUTE(RIGHT(_xlpm._sheetReference,LEN(_xlpm._sheetReference)-_xlpm._start),"'",""),"!","'!")))</f>
        <v>'Countermeasures'!$A$28</v>
      </c>
      <c r="AD26" s="11" t="str" cm="1">
        <f t="array" aca="1" ref="AD26" ca="1">IF(NOT($O26),
_xlfn.LET(_xlpm._value,IF($A26="","",IF($M26,SimpleLookup($A26,Assumptions!$A:$AG),SimpleLookup($A26,Countermeasures!$A:$AJ))),
IF(_xlpm._value="","",_xlpm._value)),
"")</f>
        <v/>
      </c>
      <c r="AE26" s="11" t="str" cm="1">
        <f t="array" aca="1" ref="AE26" ca="1">LookupNames(InverseLookup($A26,Mitigation!$AD$2,Mitigation!$A$2,1,Helper!$B$5,","),'Attack Steps'!$A:$B)</f>
        <v/>
      </c>
      <c r="AF26" s="11" t="str" cm="1">
        <f t="array" aca="1" ref="AF26" ca="1">IF($O26,
_xlfn.LET(
_xlpm._in,$A26,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26" s="11" t="str" cm="1">
        <f t="array" aca="1" ref="AG26" ca="1">_xlfn.LET(
_xlpm._countermeasures,InverseLookup($A26,Countermeasures!$AC$2,Countermeasures!$A$2,1,Helper!$B$4,","),
LookupNames(_xlpm._countermeasures,Countermeasures!$A:$B))</f>
        <v/>
      </c>
      <c r="AH26" s="11" t="str" cm="1">
        <f t="array" aca="1" ref="AH26" ca="1">IF($E26="","",_xlfn.LET(
_xlpm._id,$E26,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26" s="11" t="str" cm="1">
        <f t="array" aca="1" ref="AI26" ca="1">IF(OR($A26="",$O26),"",_xlfn.LET(
_xlpm._answers,IF($M26,SimpleLookup($A26,Assumptions!$A:$F),SimpleLookup($A26,Countermeasures!$A:$D)),
IF(_xlpm._answers="*",IF($M26,SimpleLookup($A26,Assumptions!$A:$C),SimpleLookup($A26,Countermeasures!$A:$C)),"")))</f>
        <v>See IEC 62443</v>
      </c>
      <c r="AJ26" s="11" t="str" cm="1">
        <f t="array" aca="1" ref="AJ26" ca="1">IF(NOT($O26),"",_xlfn.LET(
_xlpm._mappedInMitigation,IFERROR(VLOOKUP($Y26,'Attack Steps'!$A:$P,COLUMNS('Attack Steps'!$A:$P),FALSE),""),
CreateSearchString(_xlpm._mappedInMitigation)))</f>
        <v/>
      </c>
      <c r="AK26" s="11" t="b">
        <f ca="1">ROW()-ROW($AK$17)=Helper!$B$15</f>
        <v>0</v>
      </c>
      <c r="AL26" s="11" t="str">
        <f t="shared" ca="1" si="8"/>
        <v/>
      </c>
      <c r="AM26" s="11" cm="1">
        <f t="array" aca="1" ref="AM26" ca="1">CreateID($AM$17,$AL26&lt;&gt;"")</f>
        <v>0</v>
      </c>
      <c r="AN26" s="11" t="str" cm="1">
        <f t="array" aca="1" ref="AN26" ca="1">IF($O26,"",
_xlfn.LET(
_xlpm._this,SanitizeInput($A26)&amp;AT26,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26" s="11" t="str" cm="1">
        <f t="array" aca="1" ref="AO26" ca="1">IF($O26,"",_xlfn.LET(
_xlpm._listOfRisksAndLevels,SanitizeInput($AN26),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_xlpm._shortenedList,IF($H26="",_xlpm._risksWithMaxValue,
  IF(LEN(_xlpm._risksWithMaxValue)-LEN(SUBSTITUTE(_xlpm._risksWithMaxValue,",",""))&lt;=$H26,_xlpm._risksWithMaxValue,
    LEFT(_xlpm._risksWithMaxValue,FIND(CHAR(1),SUBSTITUTE(_xlpm._risksWithMaxValue,",",CHAR(1),$H26))))),
IF(_xlpm._maxRiskValue="","",
  _xlpm._lineMainSeparator&amp;
  INDEX(Definitions!$AE:$AE,MATCH(_xlpm._maxRiskValue,Definitions!$AF:$AF,0))&amp;CHAR(10)&amp;
  _xlpm._lineMainSeparator&amp;
  RemoveDelimiter(GetValues(_xlpm._shortenedList,Risks!$A:$B," ",CHAR(10)&amp;_xlpm._lineMainSeparator,TRUE),CHAR(10)&amp;_xlpm._lineMainSeparator))))</f>
        <v/>
      </c>
      <c r="AP26" s="11" t="str" cm="1">
        <f t="array" aca="1" ref="AP26" ca="1">IF($O26,"",_xlfn.LET(
_xlpm._lineMainSeparator,REPT(_xlfn.UNICHAR(9552),63)&amp;CHAR(10),
_xlpm._affectedRisks,InverseLookupList(SanitizeInput($A26)&amp;$AT26,Risks!$AX$2,Risks!$A$2,Helper!$B$1,","),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_xlpm._shortenedList,IF($H26="",_xlpm._risksWithMaxValue,
  IF(LEN(_xlpm._risksWithMaxValue)-LEN(SUBSTITUTE(_xlpm._risksWithMaxValue,",",""))&lt;=$H26,_xlpm._risksWithMaxValue,
    LEFT(_xlpm._risksWithMaxValue,FIND(CHAR(1),SUBSTITUTE(_xlpm._risksWithMaxValue,",",CHAR(1),$H26))))),
IF(_xlpm._maxRiskValue="","",
  _xlpm._lineMainSeparator&amp;
  INDEX(Definitions!$AE:$AE,MATCH(_xlpm._maxRiskValue,Definitions!$AF:$AF,0))&amp;CHAR(10)&amp;
  _xlpm._lineMainSeparator&amp;
  RemoveDelimiter(GetValues(_xlpm._shortenedList,Risks!$A:$B," ",CHAR(10)&amp;_xlpm._lineMainSeparator,TRUE),CHAR(10)&amp;_xlpm._lineMainSeparator))))</f>
        <v/>
      </c>
      <c r="AQ26" s="11" t="str" cm="1">
        <f t="array" aca="1" ref="AQ26" ca="1">IF(NOT($O26),"",
_xlfn.LET(
_xlpm._potentialASID,$Y26,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_xlpm._commentsFiltered,SUBSTITUTE(GetValues(_xlpm._attackSteps,Mitigation!$A:$O,"","",FALSE),$X26,""),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26" s="11" t="str" cm="1">
        <f t="array" aca="1" ref="AR26" ca="1">IF(NOT($O26),"",_xlfn.LET(
_xlpm._listOfRisksAndLevels,SanitizeInput($AQ26),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_xlpm._shortenedList,IF($H26="",_xlpm._risksWithMaxValue,
  IF(LEN(_xlpm._risksWithMaxValue)-LEN(SUBSTITUTE(_xlpm._risksWithMaxValue,",",""))&lt;=$H26,_xlpm._risksWithMaxValue,
    LEFT(_xlpm._risksWithMaxValue,FIND(CHAR(1),SUBSTITUTE(_xlpm._risksWithMaxValue,",",CHAR(1),$H26))))),
IF(_xlpm._maxRiskValue="","",
  _xlpm._lineMainSeparator&amp;
  INDEX(Definitions!$AE:$AE,MATCH(_xlpm._maxRiskValue,Definitions!$AF:$AF,0))&amp;CHAR(10)&amp;
  _xlpm._lineMainSeparator&amp;
  RemoveDelimiter(GetValues(_xlpm._shortenedList,Risks!$A:$B," ",CHAR(10)&amp;_xlpm._lineMainSeparator,TRUE),CHAR(10)&amp;_xlpm._lineMainSeparator))))</f>
        <v/>
      </c>
      <c r="AS26" s="11" t="str" cm="1">
        <f t="array" aca="1" ref="AS26" ca="1">IF(NOT($O26),"",
_xlfn.LET(
_xlpm._lineMainSeparator,REPT(_xlfn.UNICHAR(9552),63)&amp;CHAR(10),
_xlpm._potentialASID,$Y26,
_xlpm._risk,IFERROR(SimpleLookup(_xlpm._potentialASID,Mitigation!$A:$N),""),
_xlpm._attackPaths,IFERROR(SimpleLookup(_xlpm._potentialASID,Mitigation!$A:$M),""),
IF(_xlpm._risk="","",
_xlpm._lineMainSeparator&amp;
_xlpm._risk&amp;CHAR(10)&amp;
_xlpm._lineMainSeparator&amp;
_xlpm._attackPaths)))</f>
        <v/>
      </c>
      <c r="AT26" s="11" t="str" cm="1">
        <f t="array" aca="1" ref="AT26" ca="1">InverseLookup($A26,Countermeasures!$AA$2,Countermeasures!$A$2,1,Helper!$B$4,",")</f>
        <v/>
      </c>
    </row>
    <row r="27" spans="1:46" ht="48" x14ac:dyDescent="0.25">
      <c r="A27" s="106" t="str">
        <f ca="1">_xlfn.LET(
_xlpm._isAssumption,$M27,
_xlpm._row,$N27,
_xlpm._numActiveAssumptions,Helper!$B$8,
_xlpm._numActiveCountermeasures,Helper!$B$9,
_xlpm._numAdditionalAssumptions,Helper!$B$10,
_xlpm._numAdditionalCountermeasures,Helper!$B$11,
IF(_xlpm._isAssumption,
IF(_xlpm._row&gt;_xlpm._numActiveAssumptions,
$Y27&amp;"-A"&amp;$T27,
INDEX(Assumptions!A:A,MATCH(_xlpm._row,Assumptions!$AC:$AC,0))),
IF(_xlpm._row&gt;_xlpm._numActiveCountermeasures+_xlpm._numAdditionalCountermeasures,"",
IF(_xlpm._row&gt;_xlpm._numActiveCountermeasures,
$Y27&amp;"-C"&amp;$T27,
INDEX(Countermeasures!$A:$A,MATCH(_xlpm._row,Countermeasures!$AE:$AE,0))))))</f>
        <v>C33</v>
      </c>
      <c r="B27" s="106" t="str" cm="1">
        <f t="array" aca="1" ref="B27" ca="1">IF($A27="","",
_xlfn.LET(
_xlpm._isAssumption,$M27,
_xlpm._isAdditionalElement,$O27,
IF(_xlpm._isAdditionalElement,
IF(_xlpm._isAssumption,
ParseElementsFromComment($X27,Definitions!$AR$4,Definitions!$AS$4,Definitions!$AR$6,$T27),
ParseElementsFromComment($X27,Definitions!$AR$5,Definitions!$AS$5,Definitions!$AR$6,$T27)),
_xlfn.LET(_xlpm._value,IF($A27="","",IF($M27,SimpleLookup($A27,Assumptions!$A:$B),SimpleLookup($A27,Countermeasures!$A:$B))),IF(_xlpm._value="","",_xlpm._value)))))</f>
        <v>SCR 1.1 - Processed personal data</v>
      </c>
      <c r="C27" s="106" t="str" cm="1">
        <f t="array" aca="1" ref="C27" ca="1">IF($A27="","",IF($M27,IFERROR(SimpleLookup($A27,Assumptions!$A:$E),""),Definitions!$AO$4))</f>
        <v>&lt;&lt; OEM Name &gt;&gt;</v>
      </c>
      <c r="D27" s="103" t="str">
        <f t="shared" ca="1" si="2"/>
        <v>═══════════════════════════════════════════════════════════════
Default countermeasure:
–––––––––––––––––––––––––––––––––––––––––––––––––––––––––––––––––––––––––––––––––
See ETSI EN 303 645 V2.1.1 (2020-06), Provision 6-1, 6-2, and 6-3</v>
      </c>
      <c r="E27" s="107"/>
      <c r="F27" s="108" t="str">
        <f t="shared" ca="1" si="3"/>
        <v>click me</v>
      </c>
      <c r="G27" s="102" t="str" cm="1">
        <f t="array" aca="1" ref="G27" ca="1">_xlfn.LET(_xlpm._val,IFERROR(SimpleLookup($A27,Countermeasures!$A:$S),IFERROR(SimpleLookup($A27,Assumptions!$A:$S),"")),IF(_xlpm._val="","",_xlpm._val))</f>
        <v/>
      </c>
      <c r="H27" s="109" t="str">
        <f>""</f>
        <v/>
      </c>
      <c r="I27" s="102" t="str">
        <f t="shared" ca="1" si="4"/>
        <v/>
      </c>
      <c r="J27" s="102" t="str">
        <f t="shared" ca="1" si="5"/>
        <v/>
      </c>
      <c r="K27" s="106" t="str" cm="1">
        <f t="array" aca="1" ref="K27" ca="1">_xlfn.LET(_xlpm._value,IF($A27="","",IFERROR(IF($M27,SimpleLookup($A27,Assumptions!$A:$T),SimpleLookup($A27,Countermeasures!$A:$T)),"")),
IF(_xlpm._value="","",_xlpm._value))</f>
        <v/>
      </c>
      <c r="L27" s="9" cm="1">
        <f t="array" aca="1" ref="L27" ca="1">CreateID($L$17,$A27&lt;&gt;"")</f>
        <v>10</v>
      </c>
      <c r="M27" s="9" t="b">
        <f ca="1">_xlfn.LET(_xlpm._row,ROW()-ROW($N$17),
_xlpm._numActiveAssumptions,Helper!$B$8,
_xlpm._numAdditionalAssumptions,SUM(Table24['# Elements]),
_xlpm._row&lt;=_xlpm._numActiveAssumptions+_xlpm._numAdditionalAssumptions)</f>
        <v>0</v>
      </c>
      <c r="N27" s="9">
        <f ca="1">_xlfn.LET(_xlpm._row,ROW()-ROW($N$17),
_xlpm._numActiveAssumptions,Helper!$B$8,
_xlpm._numAdditionalAssumptions,Helper!$B$10,
_xlpm._isAssumption,$M27,
_xlpm._elementID,IF(_xlpm._isAssumption,_xlpm._row,_xlpm._row-_xlpm._numActiveAssumptions-_xlpm._numAdditionalAssumptions),
_xlpm._elementID)</f>
        <v>6</v>
      </c>
      <c r="O27"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27" s="11" cm="1">
        <f t="array" aca="1" ref="P27" ca="1">IF($O27,
IF(ROW()=ROW($P$17)+1,1,INDEX($P:$P,ROW()-1)+IF(INDEX($W:$W,ROW()-1),1,0)),
1)</f>
        <v>1</v>
      </c>
      <c r="Q27" s="11" t="str" cm="1">
        <f t="array" aca="1" ref="Q27" ca="1">IF($O27=TRUE,
_xlfn.LET(
_xlpm._isAssumption,$M27,
_xlpm._indexRange,IF(_xlpm._isAssumption,Table24['# Elements],Table25['# Elements]),
_xlpm._lookupRow,$Z27,
INDEX(_xlpm._indexRange,_xlpm._lookupRow)),
"")</f>
        <v/>
      </c>
      <c r="R27" s="11" t="str" cm="1">
        <f t="array" aca="1" ref="R27" ca="1">IF($Q27="","",_xlfn.LET(
_xlpm._prevRow,ROW()-1,
IF(OR(INDEX($Q:$Q,_xlpm._prevRow)&lt;&gt;$Q27,INDEX($P:$P,_xlpm._prevRow)&lt;&gt;$P27),
1,
INDEX($R:$R,_xlpm._prevRow)+IF(INDEX($V:$V,_xlpm._prevRow),1,0))))</f>
        <v/>
      </c>
      <c r="S27" s="11" t="str" cm="1">
        <f t="array" aca="1" ref="S27" ca="1">IF($R27="","",_xlfn.LET(
_xlpm._isAssumption,$M27,
_xlpm._sheetRow,$Z27,
_xlpm._sheetName,$AA27,
_xlpm._elementIDRange,IF(_xlpm._isAssumption,Table24[Element ID Column],Table25[Element ID Column]),
_xlpm._numberOfElementsRange,IF(_xlpm._isAssumption,Table24[Number of Elements Column],Table25[Number of Elements Column]),
SimpleLookup($R27,INDIRECT("'"&amp;_xlpm._sheetName&amp;"'!"&amp;INDEX(_xlpm._elementIDRange,_xlpm._sheetRow)&amp;":"&amp;INDEX(_xlpm._numberOfElementsRange,_xlpm._sheetRow)))))</f>
        <v/>
      </c>
      <c r="T27" s="11" t="str" cm="1">
        <f t="array" aca="1" ref="T27" ca="1">IF($R27="","",IF(OR(INDEX($R:$R,ROW()-1)&lt;&gt;$R27,INDEX($P:$P,ROW()-1)&lt;&gt;$P27),1,INDEX($T:$T,ROW()-1)+1))</f>
        <v/>
      </c>
      <c r="U27" s="11">
        <f t="shared" ca="1" si="6"/>
        <v>0</v>
      </c>
      <c r="V27" s="11" t="str">
        <f t="shared" ca="1" si="7"/>
        <v/>
      </c>
      <c r="W27" s="11" t="b">
        <f ca="1">_xlfn.LET(
_xlpm._isAssumption,$M27,
_xlpm._numberOfElementsRange,IF(_xlpm._isAssumption,Table24['# Elements],Table25['# Elements]),
_xlpm._sheetRow,$Z27,
IF($O27,AND($V27,$U27=$Q27),FALSE))</f>
        <v>0</v>
      </c>
      <c r="X27" s="11" t="str" cm="1">
        <f t="array" aca="1" ref="X27" ca="1">IF($O27,
_xlfn.LET(
_xlpm._elementID,$R27,
_xlpm._isAssumption,$M27,
_xlpm._sheetRow,$Z27,
_xlpm._sheetName,$AA27,
_xlpm._elementRow,$AB27,
_xlpm._resultColumnLetter,IF(_xlpm._isAssumption,INDEX(Table24[Comment Column],_xlpm._sheetRow),INDEX(Table25[Comment Column],_xlpm._sheetRow)),
INDEX(INDIRECT("'"&amp;_xlpm._sheetName&amp;"'!"&amp;_xlpm._resultColumnLetter&amp;":"&amp;_xlpm._resultColumnLetter),_xlpm._elementRow)),
"")</f>
        <v/>
      </c>
      <c r="Y27" s="11" t="str" cm="1">
        <f t="array" aca="1" ref="Y27" ca="1">IF($O27,
_xlfn.LET(
_xlpm._elementID,$R27,
_xlpm._isAssumption,$M27,
_xlpm._sheetRow,$Z27,
_xlpm._sheetName,$AA27,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27" s="11" t="str">
        <f ca="1">IF($O27=TRUE,
_xlfn.LET(
_xlpm._isAssumption,$M27,
_xlpm._searchRange,IF(_xlpm._isAssumption,Table24[Task Sheet Shadow ID],Table25[Task Sheet Shadow ID]),
MATCH($P27,_xlpm._searchRange,0)),
"")</f>
        <v/>
      </c>
      <c r="AA27" s="11" t="str" cm="1">
        <f t="array" aca="1" ref="AA27" ca="1">IF($O27,
_xlfn.LET(
_xlpm._isAssumption,$M27,
_xlpm._sheetRow,$Z27,
IF(_xlpm._isAssumption,INDEX(Table24[Sheet Name],_xlpm._sheetRow),INDEX(Table25[Sheet Name],_xlpm._sheetRow))),
"")</f>
        <v/>
      </c>
      <c r="AB27" s="11" t="str" cm="1">
        <f t="array" aca="1" ref="AB27" ca="1">IF($O27,
_xlfn.LET(
_xlpm._elementID,$R27,
_xlpm._isAssumption,$M27,
_xlpm._sheetRow,$Z27,
_xlpm._sheetName,$AA27,
_xlpm._elementIDColumnLetter,IF(_xlpm._isAssumption,INDEX(Table24[Element ID Column],_xlpm._sheetRow),INDEX(Table25[Element ID Column],_xlpm._sheetRow)),
MATCH(_xlpm._elementID,INDIRECT("'"&amp;_xlpm._sheetName&amp;"'!"&amp;_xlpm._elementIDColumnLetter&amp;":"&amp;_xlpm._elementIDColumnLetter),0)),
"")</f>
        <v/>
      </c>
      <c r="AC27" s="11" t="str" cm="1">
        <f t="array" aca="1" ref="AC27" ca="1">IF($A27="","",_xlfn.LET(
_xlpm._isAssumption,$M27,
_xlpm._isAdditionalElement,$O27,
_xlpm._sheetRow,$Z27,
_xlpm._sheetName,$AA27,
_xlpm._columnLetter,INDEX(IF(_xlpm._isAdditionalElement,Table24[Comment Column],Table25[Comment Column]),_xlpm._sheetRow),
_xlpm._sheetReference,IF(_xlpm._isAssumption,IF(_xlpm._isAdditionalElement,
CELL("address",INDEX(INDIRECT("'"&amp;_xlpm._sheetName&amp;"'!"&amp;_xlpm._columnLetter&amp;":"&amp;_xlpm._columnLetter),$AB27)),
CELL("address",INDEX(Assumptions!$A:$A,MATCH($A27,Assumptions!$A:$A,0),1))),
IF(_xlpm._isAdditionalElement,
CELL("address",INDEX(INDIRECT("'"&amp;_xlpm._sheetName&amp;"'!"&amp;_xlpm._columnLetter&amp;":"&amp;_xlpm._columnLetter),$AB27)),
CELL("address",INDEX(Countermeasures!$A:$A,MATCH($A27,Countermeasures!$A:$A,0),1)))),
_xlpm._start,FIND("]",_xlpm._sheetReference),
"'"&amp;SUBSTITUTE(SUBSTITUTE(RIGHT(_xlpm._sheetReference,LEN(_xlpm._sheetReference)-_xlpm._start),"'",""),"!","'!")))</f>
        <v>'Countermeasures'!$A$38</v>
      </c>
      <c r="AD27" s="11" t="str" cm="1">
        <f t="array" aca="1" ref="AD27" ca="1">IF(NOT($O27),
_xlfn.LET(_xlpm._value,IF($A27="","",IF($M27,SimpleLookup($A27,Assumptions!$A:$AG),SimpleLookup($A27,Countermeasures!$A:$AJ))),
IF(_xlpm._value="","",_xlpm._value)),
"")</f>
        <v/>
      </c>
      <c r="AE27" s="11" t="str" cm="1">
        <f t="array" aca="1" ref="AE27" ca="1">LookupNames(InverseLookup($A27,Mitigation!$AD$2,Mitigation!$A$2,1,Helper!$B$5,","),'Attack Steps'!$A:$B)</f>
        <v/>
      </c>
      <c r="AF27" s="11" t="str" cm="1">
        <f t="array" aca="1" ref="AF27" ca="1">IF($O27,
_xlfn.LET(
_xlpm._in,$A27,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27" s="11" t="str" cm="1">
        <f t="array" aca="1" ref="AG27" ca="1">_xlfn.LET(
_xlpm._countermeasures,InverseLookup($A27,Countermeasures!$AC$2,Countermeasures!$A$2,1,Helper!$B$4,","),
LookupNames(_xlpm._countermeasures,Countermeasures!$A:$B))</f>
        <v/>
      </c>
      <c r="AH27" s="11" t="str" cm="1">
        <f t="array" aca="1" ref="AH27" ca="1">IF($E27="","",_xlfn.LET(
_xlpm._id,$E27,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27" s="11" t="str" cm="1">
        <f t="array" aca="1" ref="AI27" ca="1">IF(OR($A27="",$O27),"",_xlfn.LET(
_xlpm._answers,IF($M27,SimpleLookup($A27,Assumptions!$A:$F),SimpleLookup($A27,Countermeasures!$A:$D)),
IF(_xlpm._answers="*",IF($M27,SimpleLookup($A27,Assumptions!$A:$C),SimpleLookup($A27,Countermeasures!$A:$C)),"")))</f>
        <v>See ETSI EN 303 645 V2.1.1 (2020-06), Provision 6-1, 6-2, and 6-3</v>
      </c>
      <c r="AJ27" s="11" t="str" cm="1">
        <f t="array" aca="1" ref="AJ27" ca="1">IF(NOT($O27),"",_xlfn.LET(
_xlpm._mappedInMitigation,IFERROR(VLOOKUP($Y27,'Attack Steps'!$A:$P,COLUMNS('Attack Steps'!$A:$P),FALSE),""),
CreateSearchString(_xlpm._mappedInMitigation)))</f>
        <v/>
      </c>
      <c r="AK27" s="11" t="b">
        <f ca="1">ROW()-ROW($AK$17)=Helper!$B$15</f>
        <v>0</v>
      </c>
      <c r="AL27" s="11" t="str">
        <f t="shared" ca="1" si="8"/>
        <v/>
      </c>
      <c r="AM27" s="11" cm="1">
        <f t="array" aca="1" ref="AM27" ca="1">CreateID($AM$17,$AL27&lt;&gt;"")</f>
        <v>0</v>
      </c>
      <c r="AN27" s="11" t="str" cm="1">
        <f t="array" aca="1" ref="AN27" ca="1">IF($O27,"",
_xlfn.LET(
_xlpm._this,SanitizeInput($A27)&amp;AT27,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27" s="11" t="str" cm="1">
        <f t="array" aca="1" ref="AO27" ca="1">IF($O27,"",_xlfn.LET(
_xlpm._listOfRisksAndLevels,SanitizeInput($AN27),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_xlpm._shortenedList,IF($H27="",_xlpm._risksWithMaxValue,
  IF(LEN(_xlpm._risksWithMaxValue)-LEN(SUBSTITUTE(_xlpm._risksWithMaxValue,",",""))&lt;=$H27,_xlpm._risksWithMaxValue,
    LEFT(_xlpm._risksWithMaxValue,FIND(CHAR(1),SUBSTITUTE(_xlpm._risksWithMaxValue,",",CHAR(1),$H27))))),
IF(_xlpm._maxRiskValue="","",
  _xlpm._lineMainSeparator&amp;
  INDEX(Definitions!$AE:$AE,MATCH(_xlpm._maxRiskValue,Definitions!$AF:$AF,0))&amp;CHAR(10)&amp;
  _xlpm._lineMainSeparator&amp;
  RemoveDelimiter(GetValues(_xlpm._shortenedList,Risks!$A:$B," ",CHAR(10)&amp;_xlpm._lineMainSeparator,TRUE),CHAR(10)&amp;_xlpm._lineMainSeparator))))</f>
        <v/>
      </c>
      <c r="AP27" s="11" t="str" cm="1">
        <f t="array" aca="1" ref="AP27" ca="1">IF($O27,"",_xlfn.LET(
_xlpm._lineMainSeparator,REPT(_xlfn.UNICHAR(9552),63)&amp;CHAR(10),
_xlpm._affectedRisks,InverseLookupList(SanitizeInput($A27)&amp;$AT27,Risks!$AX$2,Risks!$A$2,Helper!$B$1,","),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_xlpm._shortenedList,IF($H27="",_xlpm._risksWithMaxValue,
  IF(LEN(_xlpm._risksWithMaxValue)-LEN(SUBSTITUTE(_xlpm._risksWithMaxValue,",",""))&lt;=$H27,_xlpm._risksWithMaxValue,
    LEFT(_xlpm._risksWithMaxValue,FIND(CHAR(1),SUBSTITUTE(_xlpm._risksWithMaxValue,",",CHAR(1),$H27))))),
IF(_xlpm._maxRiskValue="","",
  _xlpm._lineMainSeparator&amp;
  INDEX(Definitions!$AE:$AE,MATCH(_xlpm._maxRiskValue,Definitions!$AF:$AF,0))&amp;CHAR(10)&amp;
  _xlpm._lineMainSeparator&amp;
  RemoveDelimiter(GetValues(_xlpm._shortenedList,Risks!$A:$B," ",CHAR(10)&amp;_xlpm._lineMainSeparator,TRUE),CHAR(10)&amp;_xlpm._lineMainSeparator))))</f>
        <v/>
      </c>
      <c r="AQ27" s="11" t="str" cm="1">
        <f t="array" aca="1" ref="AQ27" ca="1">IF(NOT($O27),"",
_xlfn.LET(
_xlpm._potentialASID,$Y27,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_xlpm._commentsFiltered,SUBSTITUTE(GetValues(_xlpm._attackSteps,Mitigation!$A:$O,"","",FALSE),$X27,""),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27" s="11" t="str" cm="1">
        <f t="array" aca="1" ref="AR27" ca="1">IF(NOT($O27),"",_xlfn.LET(
_xlpm._listOfRisksAndLevels,SanitizeInput($AQ27),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_xlpm._shortenedList,IF($H27="",_xlpm._risksWithMaxValue,
  IF(LEN(_xlpm._risksWithMaxValue)-LEN(SUBSTITUTE(_xlpm._risksWithMaxValue,",",""))&lt;=$H27,_xlpm._risksWithMaxValue,
    LEFT(_xlpm._risksWithMaxValue,FIND(CHAR(1),SUBSTITUTE(_xlpm._risksWithMaxValue,",",CHAR(1),$H27))))),
IF(_xlpm._maxRiskValue="","",
  _xlpm._lineMainSeparator&amp;
  INDEX(Definitions!$AE:$AE,MATCH(_xlpm._maxRiskValue,Definitions!$AF:$AF,0))&amp;CHAR(10)&amp;
  _xlpm._lineMainSeparator&amp;
  RemoveDelimiter(GetValues(_xlpm._shortenedList,Risks!$A:$B," ",CHAR(10)&amp;_xlpm._lineMainSeparator,TRUE),CHAR(10)&amp;_xlpm._lineMainSeparator))))</f>
        <v/>
      </c>
      <c r="AS27" s="11" t="str" cm="1">
        <f t="array" aca="1" ref="AS27" ca="1">IF(NOT($O27),"",
_xlfn.LET(
_xlpm._lineMainSeparator,REPT(_xlfn.UNICHAR(9552),63)&amp;CHAR(10),
_xlpm._potentialASID,$Y27,
_xlpm._risk,IFERROR(SimpleLookup(_xlpm._potentialASID,Mitigation!$A:$N),""),
_xlpm._attackPaths,IFERROR(SimpleLookup(_xlpm._potentialASID,Mitigation!$A:$M),""),
IF(_xlpm._risk="","",
_xlpm._lineMainSeparator&amp;
_xlpm._risk&amp;CHAR(10)&amp;
_xlpm._lineMainSeparator&amp;
_xlpm._attackPaths)))</f>
        <v/>
      </c>
      <c r="AT27" s="11" t="str" cm="1">
        <f t="array" aca="1" ref="AT27" ca="1">InverseLookup($A27,Countermeasures!$AA$2,Countermeasures!$A$2,1,Helper!$B$4,",")</f>
        <v/>
      </c>
    </row>
    <row r="28" spans="1:46" ht="48" x14ac:dyDescent="0.25">
      <c r="A28" s="106" t="str">
        <f ca="1">_xlfn.LET(
_xlpm._isAssumption,$M28,
_xlpm._row,$N28,
_xlpm._numActiveAssumptions,Helper!$B$8,
_xlpm._numActiveCountermeasures,Helper!$B$9,
_xlpm._numAdditionalAssumptions,Helper!$B$10,
_xlpm._numAdditionalCountermeasures,Helper!$B$11,
IF(_xlpm._isAssumption,
IF(_xlpm._row&gt;_xlpm._numActiveAssumptions,
$Y28&amp;"-A"&amp;$T28,
INDEX(Assumptions!A:A,MATCH(_xlpm._row,Assumptions!$AC:$AC,0))),
IF(_xlpm._row&gt;_xlpm._numActiveCountermeasures+_xlpm._numAdditionalCountermeasures,"",
IF(_xlpm._row&gt;_xlpm._numActiveCountermeasures,
$Y28&amp;"-C"&amp;$T28,
INDEX(Countermeasures!$A:$A,MATCH(_xlpm._row,Countermeasures!$AE:$AE,0))))))</f>
        <v>C34</v>
      </c>
      <c r="B28" s="106" t="str" cm="1">
        <f t="array" aca="1" ref="B28" ca="1">IF($A28="","",
_xlfn.LET(
_xlpm._isAssumption,$M28,
_xlpm._isAdditionalElement,$O28,
IF(_xlpm._isAdditionalElement,
IF(_xlpm._isAssumption,
ParseElementsFromComment($X28,Definitions!$AR$4,Definitions!$AS$4,Definitions!$AR$6,$T28),
ParseElementsFromComment($X28,Definitions!$AR$5,Definitions!$AS$5,Definitions!$AR$6,$T28)),
_xlfn.LET(_xlpm._value,IF($A28="","",IF($M28,SimpleLookup($A28,Assumptions!$A:$B),SimpleLookup($A28,Countermeasures!$A:$B))),IF(_xlpm._value="","",_xlpm._value)))))</f>
        <v>SCR 1.2 - Telemetry data</v>
      </c>
      <c r="C28" s="106" t="str" cm="1">
        <f t="array" aca="1" ref="C28" ca="1">IF($A28="","",IF($M28,IFERROR(SimpleLookup($A28,Assumptions!$A:$E),""),Definitions!$AO$4))</f>
        <v>&lt;&lt; OEM Name &gt;&gt;</v>
      </c>
      <c r="D28" s="103" t="str">
        <f t="shared" ca="1" si="2"/>
        <v>═══════════════════════════════════════════════════════════════
Default countermeasure:
–––––––––––––––––––––––––––––––––––––––––––––––––––––––––––––––––––––––––––––––––
See ETSI EN 303 645 V2.1.1 (2020-06), Provision 6-4, and 6-5</v>
      </c>
      <c r="E28" s="107"/>
      <c r="F28" s="108" t="str">
        <f t="shared" ca="1" si="3"/>
        <v>click me</v>
      </c>
      <c r="G28" s="102" t="str" cm="1">
        <f t="array" aca="1" ref="G28" ca="1">_xlfn.LET(_xlpm._val,IFERROR(SimpleLookup($A28,Countermeasures!$A:$S),IFERROR(SimpleLookup($A28,Assumptions!$A:$S),"")),IF(_xlpm._val="","",_xlpm._val))</f>
        <v/>
      </c>
      <c r="H28" s="109" t="str">
        <f>""</f>
        <v/>
      </c>
      <c r="I28" s="102" t="str">
        <f t="shared" ca="1" si="4"/>
        <v/>
      </c>
      <c r="J28" s="102" t="str">
        <f t="shared" ca="1" si="5"/>
        <v/>
      </c>
      <c r="K28" s="106" t="str" cm="1">
        <f t="array" aca="1" ref="K28" ca="1">_xlfn.LET(_xlpm._value,IF($A28="","",IFERROR(IF($M28,SimpleLookup($A28,Assumptions!$A:$T),SimpleLookup($A28,Countermeasures!$A:$T)),"")),
IF(_xlpm._value="","",_xlpm._value))</f>
        <v/>
      </c>
      <c r="L28" s="9" cm="1">
        <f t="array" aca="1" ref="L28" ca="1">CreateID($L$17,$A28&lt;&gt;"")</f>
        <v>11</v>
      </c>
      <c r="M28" s="9" t="b">
        <f ca="1">_xlfn.LET(_xlpm._row,ROW()-ROW($N$17),
_xlpm._numActiveAssumptions,Helper!$B$8,
_xlpm._numAdditionalAssumptions,SUM(Table24['# Elements]),
_xlpm._row&lt;=_xlpm._numActiveAssumptions+_xlpm._numAdditionalAssumptions)</f>
        <v>0</v>
      </c>
      <c r="N28" s="9">
        <f ca="1">_xlfn.LET(_xlpm._row,ROW()-ROW($N$17),
_xlpm._numActiveAssumptions,Helper!$B$8,
_xlpm._numAdditionalAssumptions,Helper!$B$10,
_xlpm._isAssumption,$M28,
_xlpm._elementID,IF(_xlpm._isAssumption,_xlpm._row,_xlpm._row-_xlpm._numActiveAssumptions-_xlpm._numAdditionalAssumptions),
_xlpm._elementID)</f>
        <v>7</v>
      </c>
      <c r="O28"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28" s="11" cm="1">
        <f t="array" aca="1" ref="P28" ca="1">IF($O28,
IF(ROW()=ROW($P$17)+1,1,INDEX($P:$P,ROW()-1)+IF(INDEX($W:$W,ROW()-1),1,0)),
1)</f>
        <v>1</v>
      </c>
      <c r="Q28" s="11" t="str" cm="1">
        <f t="array" aca="1" ref="Q28" ca="1">IF($O28=TRUE,
_xlfn.LET(
_xlpm._isAssumption,$M28,
_xlpm._indexRange,IF(_xlpm._isAssumption,Table24['# Elements],Table25['# Elements]),
_xlpm._lookupRow,$Z28,
INDEX(_xlpm._indexRange,_xlpm._lookupRow)),
"")</f>
        <v/>
      </c>
      <c r="R28" s="11" t="str" cm="1">
        <f t="array" aca="1" ref="R28" ca="1">IF($Q28="","",_xlfn.LET(
_xlpm._prevRow,ROW()-1,
IF(OR(INDEX($Q:$Q,_xlpm._prevRow)&lt;&gt;$Q28,INDEX($P:$P,_xlpm._prevRow)&lt;&gt;$P28),
1,
INDEX($R:$R,_xlpm._prevRow)+IF(INDEX($V:$V,_xlpm._prevRow),1,0))))</f>
        <v/>
      </c>
      <c r="S28" s="11" t="str" cm="1">
        <f t="array" aca="1" ref="S28" ca="1">IF($R28="","",_xlfn.LET(
_xlpm._isAssumption,$M28,
_xlpm._sheetRow,$Z28,
_xlpm._sheetName,$AA28,
_xlpm._elementIDRange,IF(_xlpm._isAssumption,Table24[Element ID Column],Table25[Element ID Column]),
_xlpm._numberOfElementsRange,IF(_xlpm._isAssumption,Table24[Number of Elements Column],Table25[Number of Elements Column]),
SimpleLookup($R28,INDIRECT("'"&amp;_xlpm._sheetName&amp;"'!"&amp;INDEX(_xlpm._elementIDRange,_xlpm._sheetRow)&amp;":"&amp;INDEX(_xlpm._numberOfElementsRange,_xlpm._sheetRow)))))</f>
        <v/>
      </c>
      <c r="T28" s="11" t="str" cm="1">
        <f t="array" aca="1" ref="T28" ca="1">IF($R28="","",IF(OR(INDEX($R:$R,ROW()-1)&lt;&gt;$R28,INDEX($P:$P,ROW()-1)&lt;&gt;$P28),1,INDEX($T:$T,ROW()-1)+1))</f>
        <v/>
      </c>
      <c r="U28" s="11">
        <f t="shared" ca="1" si="6"/>
        <v>0</v>
      </c>
      <c r="V28" s="11" t="str">
        <f t="shared" ca="1" si="7"/>
        <v/>
      </c>
      <c r="W28" s="11" t="b">
        <f ca="1">_xlfn.LET(
_xlpm._isAssumption,$M28,
_xlpm._numberOfElementsRange,IF(_xlpm._isAssumption,Table24['# Elements],Table25['# Elements]),
_xlpm._sheetRow,$Z28,
IF($O28,AND($V28,$U28=$Q28),FALSE))</f>
        <v>0</v>
      </c>
      <c r="X28" s="11" t="str" cm="1">
        <f t="array" aca="1" ref="X28" ca="1">IF($O28,
_xlfn.LET(
_xlpm._elementID,$R28,
_xlpm._isAssumption,$M28,
_xlpm._sheetRow,$Z28,
_xlpm._sheetName,$AA28,
_xlpm._elementRow,$AB28,
_xlpm._resultColumnLetter,IF(_xlpm._isAssumption,INDEX(Table24[Comment Column],_xlpm._sheetRow),INDEX(Table25[Comment Column],_xlpm._sheetRow)),
INDEX(INDIRECT("'"&amp;_xlpm._sheetName&amp;"'!"&amp;_xlpm._resultColumnLetter&amp;":"&amp;_xlpm._resultColumnLetter),_xlpm._elementRow)),
"")</f>
        <v/>
      </c>
      <c r="Y28" s="11" t="str" cm="1">
        <f t="array" aca="1" ref="Y28" ca="1">IF($O28,
_xlfn.LET(
_xlpm._elementID,$R28,
_xlpm._isAssumption,$M28,
_xlpm._sheetRow,$Z28,
_xlpm._sheetName,$AA28,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28" s="11" t="str">
        <f ca="1">IF($O28=TRUE,
_xlfn.LET(
_xlpm._isAssumption,$M28,
_xlpm._searchRange,IF(_xlpm._isAssumption,Table24[Task Sheet Shadow ID],Table25[Task Sheet Shadow ID]),
MATCH($P28,_xlpm._searchRange,0)),
"")</f>
        <v/>
      </c>
      <c r="AA28" s="11" t="str" cm="1">
        <f t="array" aca="1" ref="AA28" ca="1">IF($O28,
_xlfn.LET(
_xlpm._isAssumption,$M28,
_xlpm._sheetRow,$Z28,
IF(_xlpm._isAssumption,INDEX(Table24[Sheet Name],_xlpm._sheetRow),INDEX(Table25[Sheet Name],_xlpm._sheetRow))),
"")</f>
        <v/>
      </c>
      <c r="AB28" s="11" t="str" cm="1">
        <f t="array" aca="1" ref="AB28" ca="1">IF($O28,
_xlfn.LET(
_xlpm._elementID,$R28,
_xlpm._isAssumption,$M28,
_xlpm._sheetRow,$Z28,
_xlpm._sheetName,$AA28,
_xlpm._elementIDColumnLetter,IF(_xlpm._isAssumption,INDEX(Table24[Element ID Column],_xlpm._sheetRow),INDEX(Table25[Element ID Column],_xlpm._sheetRow)),
MATCH(_xlpm._elementID,INDIRECT("'"&amp;_xlpm._sheetName&amp;"'!"&amp;_xlpm._elementIDColumnLetter&amp;":"&amp;_xlpm._elementIDColumnLetter),0)),
"")</f>
        <v/>
      </c>
      <c r="AC28" s="11" t="str" cm="1">
        <f t="array" aca="1" ref="AC28" ca="1">IF($A28="","",_xlfn.LET(
_xlpm._isAssumption,$M28,
_xlpm._isAdditionalElement,$O28,
_xlpm._sheetRow,$Z28,
_xlpm._sheetName,$AA28,
_xlpm._columnLetter,INDEX(IF(_xlpm._isAdditionalElement,Table24[Comment Column],Table25[Comment Column]),_xlpm._sheetRow),
_xlpm._sheetReference,IF(_xlpm._isAssumption,IF(_xlpm._isAdditionalElement,
CELL("address",INDEX(INDIRECT("'"&amp;_xlpm._sheetName&amp;"'!"&amp;_xlpm._columnLetter&amp;":"&amp;_xlpm._columnLetter),$AB28)),
CELL("address",INDEX(Assumptions!$A:$A,MATCH($A28,Assumptions!$A:$A,0),1))),
IF(_xlpm._isAdditionalElement,
CELL("address",INDEX(INDIRECT("'"&amp;_xlpm._sheetName&amp;"'!"&amp;_xlpm._columnLetter&amp;":"&amp;_xlpm._columnLetter),$AB28)),
CELL("address",INDEX(Countermeasures!$A:$A,MATCH($A28,Countermeasures!$A:$A,0),1)))),
_xlpm._start,FIND("]",_xlpm._sheetReference),
"'"&amp;SUBSTITUTE(SUBSTITUTE(RIGHT(_xlpm._sheetReference,LEN(_xlpm._sheetReference)-_xlpm._start),"'",""),"!","'!")))</f>
        <v>'Countermeasures'!$A$39</v>
      </c>
      <c r="AD28" s="11" t="str" cm="1">
        <f t="array" aca="1" ref="AD28" ca="1">IF(NOT($O28),
_xlfn.LET(_xlpm._value,IF($A28="","",IF($M28,SimpleLookup($A28,Assumptions!$A:$AG),SimpleLookup($A28,Countermeasures!$A:$AJ))),
IF(_xlpm._value="","",_xlpm._value)),
"")</f>
        <v/>
      </c>
      <c r="AE28" s="11" t="str" cm="1">
        <f t="array" aca="1" ref="AE28" ca="1">LookupNames(InverseLookup($A28,Mitigation!$AD$2,Mitigation!$A$2,1,Helper!$B$5,","),'Attack Steps'!$A:$B)</f>
        <v/>
      </c>
      <c r="AF28" s="11" t="str" cm="1">
        <f t="array" aca="1" ref="AF28" ca="1">IF($O28,
_xlfn.LET(
_xlpm._in,$A28,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28" s="11" t="str" cm="1">
        <f t="array" aca="1" ref="AG28" ca="1">_xlfn.LET(
_xlpm._countermeasures,InverseLookup($A28,Countermeasures!$AC$2,Countermeasures!$A$2,1,Helper!$B$4,","),
LookupNames(_xlpm._countermeasures,Countermeasures!$A:$B))</f>
        <v/>
      </c>
      <c r="AH28" s="11" t="str" cm="1">
        <f t="array" aca="1" ref="AH28" ca="1">IF($E28="","",_xlfn.LET(
_xlpm._id,$E28,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28" s="11" t="str" cm="1">
        <f t="array" aca="1" ref="AI28" ca="1">IF(OR($A28="",$O28),"",_xlfn.LET(
_xlpm._answers,IF($M28,SimpleLookup($A28,Assumptions!$A:$F),SimpleLookup($A28,Countermeasures!$A:$D)),
IF(_xlpm._answers="*",IF($M28,SimpleLookup($A28,Assumptions!$A:$C),SimpleLookup($A28,Countermeasures!$A:$C)),"")))</f>
        <v>See ETSI EN 303 645 V2.1.1 (2020-06), Provision 6-4, and 6-5</v>
      </c>
      <c r="AJ28" s="11" t="str" cm="1">
        <f t="array" aca="1" ref="AJ28" ca="1">IF(NOT($O28),"",_xlfn.LET(
_xlpm._mappedInMitigation,IFERROR(VLOOKUP($Y28,'Attack Steps'!$A:$P,COLUMNS('Attack Steps'!$A:$P),FALSE),""),
CreateSearchString(_xlpm._mappedInMitigation)))</f>
        <v/>
      </c>
      <c r="AK28" s="11" t="b">
        <f ca="1">ROW()-ROW($AK$17)=Helper!$B$15</f>
        <v>1</v>
      </c>
      <c r="AL28" s="11" t="str">
        <f t="shared" ca="1" si="8"/>
        <v/>
      </c>
      <c r="AM28" s="11" cm="1">
        <f t="array" aca="1" ref="AM28" ca="1">CreateID($AM$17,$AL28&lt;&gt;"")</f>
        <v>0</v>
      </c>
      <c r="AN28" s="11" t="str" cm="1">
        <f t="array" aca="1" ref="AN28" ca="1">IF($O28,"",
_xlfn.LET(
_xlpm._this,SanitizeInput($A28)&amp;AT28,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28" s="11" t="str" cm="1">
        <f t="array" aca="1" ref="AO28" ca="1">IF($O28,"",_xlfn.LET(
_xlpm._listOfRisksAndLevels,SanitizeInput($AN28),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_xlpm._shortenedList,IF($H28="",_xlpm._risksWithMaxValue,
  IF(LEN(_xlpm._risksWithMaxValue)-LEN(SUBSTITUTE(_xlpm._risksWithMaxValue,",",""))&lt;=$H28,_xlpm._risksWithMaxValue,
    LEFT(_xlpm._risksWithMaxValue,FIND(CHAR(1),SUBSTITUTE(_xlpm._risksWithMaxValue,",",CHAR(1),$H28))))),
IF(_xlpm._maxRiskValue="","",
  _xlpm._lineMainSeparator&amp;
  INDEX(Definitions!$AE:$AE,MATCH(_xlpm._maxRiskValue,Definitions!$AF:$AF,0))&amp;CHAR(10)&amp;
  _xlpm._lineMainSeparator&amp;
  RemoveDelimiter(GetValues(_xlpm._shortenedList,Risks!$A:$B," ",CHAR(10)&amp;_xlpm._lineMainSeparator,TRUE),CHAR(10)&amp;_xlpm._lineMainSeparator))))</f>
        <v/>
      </c>
      <c r="AP28" s="11" t="str" cm="1">
        <f t="array" aca="1" ref="AP28" ca="1">IF($O28,"",_xlfn.LET(
_xlpm._lineMainSeparator,REPT(_xlfn.UNICHAR(9552),63)&amp;CHAR(10),
_xlpm._affectedRisks,InverseLookupList(SanitizeInput($A28)&amp;$AT28,Risks!$AX$2,Risks!$A$2,Helper!$B$1,","),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_xlpm._shortenedList,IF($H28="",_xlpm._risksWithMaxValue,
  IF(LEN(_xlpm._risksWithMaxValue)-LEN(SUBSTITUTE(_xlpm._risksWithMaxValue,",",""))&lt;=$H28,_xlpm._risksWithMaxValue,
    LEFT(_xlpm._risksWithMaxValue,FIND(CHAR(1),SUBSTITUTE(_xlpm._risksWithMaxValue,",",CHAR(1),$H28))))),
IF(_xlpm._maxRiskValue="","",
  _xlpm._lineMainSeparator&amp;
  INDEX(Definitions!$AE:$AE,MATCH(_xlpm._maxRiskValue,Definitions!$AF:$AF,0))&amp;CHAR(10)&amp;
  _xlpm._lineMainSeparator&amp;
  RemoveDelimiter(GetValues(_xlpm._shortenedList,Risks!$A:$B," ",CHAR(10)&amp;_xlpm._lineMainSeparator,TRUE),CHAR(10)&amp;_xlpm._lineMainSeparator))))</f>
        <v/>
      </c>
      <c r="AQ28" s="11" t="str" cm="1">
        <f t="array" aca="1" ref="AQ28" ca="1">IF(NOT($O28),"",
_xlfn.LET(
_xlpm._potentialASID,$Y28,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_xlpm._commentsFiltered,SUBSTITUTE(GetValues(_xlpm._attackSteps,Mitigation!$A:$O,"","",FALSE),$X28,""),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28" s="11" t="str" cm="1">
        <f t="array" aca="1" ref="AR28" ca="1">IF(NOT($O28),"",_xlfn.LET(
_xlpm._listOfRisksAndLevels,SanitizeInput($AQ28),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_xlpm._shortenedList,IF($H28="",_xlpm._risksWithMaxValue,
  IF(LEN(_xlpm._risksWithMaxValue)-LEN(SUBSTITUTE(_xlpm._risksWithMaxValue,",",""))&lt;=$H28,_xlpm._risksWithMaxValue,
    LEFT(_xlpm._risksWithMaxValue,FIND(CHAR(1),SUBSTITUTE(_xlpm._risksWithMaxValue,",",CHAR(1),$H28))))),
IF(_xlpm._maxRiskValue="","",
  _xlpm._lineMainSeparator&amp;
  INDEX(Definitions!$AE:$AE,MATCH(_xlpm._maxRiskValue,Definitions!$AF:$AF,0))&amp;CHAR(10)&amp;
  _xlpm._lineMainSeparator&amp;
  RemoveDelimiter(GetValues(_xlpm._shortenedList,Risks!$A:$B," ",CHAR(10)&amp;_xlpm._lineMainSeparator,TRUE),CHAR(10)&amp;_xlpm._lineMainSeparator))))</f>
        <v/>
      </c>
      <c r="AS28" s="11" t="str" cm="1">
        <f t="array" aca="1" ref="AS28" ca="1">IF(NOT($O28),"",
_xlfn.LET(
_xlpm._lineMainSeparator,REPT(_xlfn.UNICHAR(9552),63)&amp;CHAR(10),
_xlpm._potentialASID,$Y28,
_xlpm._risk,IFERROR(SimpleLookup(_xlpm._potentialASID,Mitigation!$A:$N),""),
_xlpm._attackPaths,IFERROR(SimpleLookup(_xlpm._potentialASID,Mitigation!$A:$M),""),
IF(_xlpm._risk="","",
_xlpm._lineMainSeparator&amp;
_xlpm._risk&amp;CHAR(10)&amp;
_xlpm._lineMainSeparator&amp;
_xlpm._attackPaths)))</f>
        <v/>
      </c>
      <c r="AT28" s="11" t="str" cm="1">
        <f t="array" aca="1" ref="AT28" ca="1">InverseLookup($A28,Countermeasures!$AA$2,Countermeasures!$A$2,1,Helper!$B$4,",")</f>
        <v/>
      </c>
    </row>
    <row r="29" spans="1:46" x14ac:dyDescent="0.25">
      <c r="A29" s="106" t="str">
        <f ca="1">_xlfn.LET(
_xlpm._isAssumption,$M29,
_xlpm._row,$N29,
_xlpm._numActiveAssumptions,Helper!$B$8,
_xlpm._numActiveCountermeasures,Helper!$B$9,
_xlpm._numAdditionalAssumptions,Helper!$B$10,
_xlpm._numAdditionalCountermeasures,Helper!$B$11,
IF(_xlpm._isAssumption,
IF(_xlpm._row&gt;_xlpm._numActiveAssumptions,
$Y29&amp;"-A"&amp;$T29,
INDEX(Assumptions!A:A,MATCH(_xlpm._row,Assumptions!$AC:$AC,0))),
IF(_xlpm._row&gt;_xlpm._numActiveCountermeasures+_xlpm._numAdditionalCountermeasures,"",
IF(_xlpm._row&gt;_xlpm._numActiveCountermeasures,
$Y29&amp;"-C"&amp;$T29,
INDEX(Countermeasures!$A:$A,MATCH(_xlpm._row,Countermeasures!$AE:$AE,0))))))</f>
        <v/>
      </c>
      <c r="B29" s="106" t="str" cm="1">
        <f t="array" aca="1" ref="B29" ca="1">IF($A29="","",
_xlfn.LET(
_xlpm._isAssumption,$M29,
_xlpm._isAdditionalElement,$O29,
IF(_xlpm._isAdditionalElement,
IF(_xlpm._isAssumption,
ParseElementsFromComment($X29,Definitions!$AR$4,Definitions!$AS$4,Definitions!$AR$6,$T29),
ParseElementsFromComment($X29,Definitions!$AR$5,Definitions!$AS$5,Definitions!$AR$6,$T29)),
_xlfn.LET(_xlpm._value,IF($A29="","",IF($M29,SimpleLookup($A29,Assumptions!$A:$B),SimpleLookup($A29,Countermeasures!$A:$B))),IF(_xlpm._value="","",_xlpm._value)))))</f>
        <v/>
      </c>
      <c r="C29" s="106" t="str" cm="1">
        <f t="array" aca="1" ref="C29" ca="1">IF($A29="","",IF($M29,IFERROR(SimpleLookup($A29,Assumptions!$A:$E),""),Definitions!$AO$4))</f>
        <v/>
      </c>
      <c r="D29" s="103" t="str">
        <f t="shared" ca="1" si="2"/>
        <v/>
      </c>
      <c r="E29" s="107"/>
      <c r="F29" s="108" t="str">
        <f t="shared" ca="1" si="3"/>
        <v/>
      </c>
      <c r="G29" s="102" t="str" cm="1">
        <f t="array" aca="1" ref="G29" ca="1">_xlfn.LET(_xlpm._val,IFERROR(SimpleLookup($A29,Countermeasures!$A:$S),IFERROR(SimpleLookup($A29,Assumptions!$A:$S),"")),IF(_xlpm._val="","",_xlpm._val))</f>
        <v/>
      </c>
      <c r="H29" s="109" t="str">
        <f>""</f>
        <v/>
      </c>
      <c r="I29" s="102" t="str">
        <f t="shared" ca="1" si="4"/>
        <v/>
      </c>
      <c r="J29" s="102" t="str">
        <f t="shared" ca="1" si="5"/>
        <v/>
      </c>
      <c r="K29" s="106" t="str" cm="1">
        <f t="array" aca="1" ref="K29" ca="1">_xlfn.LET(_xlpm._value,IF($A29="","",IFERROR(IF($M29,SimpleLookup($A29,Assumptions!$A:$T),SimpleLookup($A29,Countermeasures!$A:$T)),"")),
IF(_xlpm._value="","",_xlpm._value))</f>
        <v/>
      </c>
      <c r="L29" s="9" cm="1">
        <f t="array" aca="1" ref="L29" ca="1">CreateID($L$17,$A29&lt;&gt;"")</f>
        <v>11</v>
      </c>
      <c r="M29" s="9" t="b">
        <f ca="1">_xlfn.LET(_xlpm._row,ROW()-ROW($N$17),
_xlpm._numActiveAssumptions,Helper!$B$8,
_xlpm._numAdditionalAssumptions,SUM(Table24['# Elements]),
_xlpm._row&lt;=_xlpm._numActiveAssumptions+_xlpm._numAdditionalAssumptions)</f>
        <v>0</v>
      </c>
      <c r="N29" s="9">
        <f ca="1">_xlfn.LET(_xlpm._row,ROW()-ROW($N$17),
_xlpm._numActiveAssumptions,Helper!$B$8,
_xlpm._numAdditionalAssumptions,Helper!$B$10,
_xlpm._isAssumption,$M29,
_xlpm._elementID,IF(_xlpm._isAssumption,_xlpm._row,_xlpm._row-_xlpm._numActiveAssumptions-_xlpm._numAdditionalAssumptions),
_xlpm._elementID)</f>
        <v>8</v>
      </c>
      <c r="O29"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29" s="11" cm="1">
        <f t="array" aca="1" ref="P29" ca="1">IF($O29,
IF(ROW()=ROW($P$17)+1,1,INDEX($P:$P,ROW()-1)+IF(INDEX($W:$W,ROW()-1),1,0)),
1)</f>
        <v>1</v>
      </c>
      <c r="Q29" s="11" t="str" cm="1">
        <f t="array" aca="1" ref="Q29" ca="1">IF($O29=TRUE,
_xlfn.LET(
_xlpm._isAssumption,$M29,
_xlpm._indexRange,IF(_xlpm._isAssumption,Table24['# Elements],Table25['# Elements]),
_xlpm._lookupRow,$Z29,
INDEX(_xlpm._indexRange,_xlpm._lookupRow)),
"")</f>
        <v/>
      </c>
      <c r="R29" s="11" t="str" cm="1">
        <f t="array" aca="1" ref="R29" ca="1">IF($Q29="","",_xlfn.LET(
_xlpm._prevRow,ROW()-1,
IF(OR(INDEX($Q:$Q,_xlpm._prevRow)&lt;&gt;$Q29,INDEX($P:$P,_xlpm._prevRow)&lt;&gt;$P29),
1,
INDEX($R:$R,_xlpm._prevRow)+IF(INDEX($V:$V,_xlpm._prevRow),1,0))))</f>
        <v/>
      </c>
      <c r="S29" s="11" t="str" cm="1">
        <f t="array" aca="1" ref="S29" ca="1">IF($R29="","",_xlfn.LET(
_xlpm._isAssumption,$M29,
_xlpm._sheetRow,$Z29,
_xlpm._sheetName,$AA29,
_xlpm._elementIDRange,IF(_xlpm._isAssumption,Table24[Element ID Column],Table25[Element ID Column]),
_xlpm._numberOfElementsRange,IF(_xlpm._isAssumption,Table24[Number of Elements Column],Table25[Number of Elements Column]),
SimpleLookup($R29,INDIRECT("'"&amp;_xlpm._sheetName&amp;"'!"&amp;INDEX(_xlpm._elementIDRange,_xlpm._sheetRow)&amp;":"&amp;INDEX(_xlpm._numberOfElementsRange,_xlpm._sheetRow)))))</f>
        <v/>
      </c>
      <c r="T29" s="11" t="str" cm="1">
        <f t="array" aca="1" ref="T29" ca="1">IF($R29="","",IF(OR(INDEX($R:$R,ROW()-1)&lt;&gt;$R29,INDEX($P:$P,ROW()-1)&lt;&gt;$P29),1,INDEX($T:$T,ROW()-1)+1))</f>
        <v/>
      </c>
      <c r="U29" s="11">
        <f t="shared" ca="1" si="6"/>
        <v>0</v>
      </c>
      <c r="V29" s="11" t="str">
        <f t="shared" ca="1" si="7"/>
        <v/>
      </c>
      <c r="W29" s="11" t="b">
        <f ca="1">_xlfn.LET(
_xlpm._isAssumption,$M29,
_xlpm._numberOfElementsRange,IF(_xlpm._isAssumption,Table24['# Elements],Table25['# Elements]),
_xlpm._sheetRow,$Z29,
IF($O29,AND($V29,$U29=$Q29),FALSE))</f>
        <v>0</v>
      </c>
      <c r="X29" s="11" t="str" cm="1">
        <f t="array" aca="1" ref="X29" ca="1">IF($O29,
_xlfn.LET(
_xlpm._elementID,$R29,
_xlpm._isAssumption,$M29,
_xlpm._sheetRow,$Z29,
_xlpm._sheetName,$AA29,
_xlpm._elementRow,$AB29,
_xlpm._resultColumnLetter,IF(_xlpm._isAssumption,INDEX(Table24[Comment Column],_xlpm._sheetRow),INDEX(Table25[Comment Column],_xlpm._sheetRow)),
INDEX(INDIRECT("'"&amp;_xlpm._sheetName&amp;"'!"&amp;_xlpm._resultColumnLetter&amp;":"&amp;_xlpm._resultColumnLetter),_xlpm._elementRow)),
"")</f>
        <v/>
      </c>
      <c r="Y29" s="11" t="str" cm="1">
        <f t="array" aca="1" ref="Y29" ca="1">IF($O29,
_xlfn.LET(
_xlpm._elementID,$R29,
_xlpm._isAssumption,$M29,
_xlpm._sheetRow,$Z29,
_xlpm._sheetName,$AA29,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29" s="11" t="str">
        <f ca="1">IF($O29=TRUE,
_xlfn.LET(
_xlpm._isAssumption,$M29,
_xlpm._searchRange,IF(_xlpm._isAssumption,Table24[Task Sheet Shadow ID],Table25[Task Sheet Shadow ID]),
MATCH($P29,_xlpm._searchRange,0)),
"")</f>
        <v/>
      </c>
      <c r="AA29" s="11" t="str" cm="1">
        <f t="array" aca="1" ref="AA29" ca="1">IF($O29,
_xlfn.LET(
_xlpm._isAssumption,$M29,
_xlpm._sheetRow,$Z29,
IF(_xlpm._isAssumption,INDEX(Table24[Sheet Name],_xlpm._sheetRow),INDEX(Table25[Sheet Name],_xlpm._sheetRow))),
"")</f>
        <v/>
      </c>
      <c r="AB29" s="11" t="str" cm="1">
        <f t="array" aca="1" ref="AB29" ca="1">IF($O29,
_xlfn.LET(
_xlpm._elementID,$R29,
_xlpm._isAssumption,$M29,
_xlpm._sheetRow,$Z29,
_xlpm._sheetName,$AA29,
_xlpm._elementIDColumnLetter,IF(_xlpm._isAssumption,INDEX(Table24[Element ID Column],_xlpm._sheetRow),INDEX(Table25[Element ID Column],_xlpm._sheetRow)),
MATCH(_xlpm._elementID,INDIRECT("'"&amp;_xlpm._sheetName&amp;"'!"&amp;_xlpm._elementIDColumnLetter&amp;":"&amp;_xlpm._elementIDColumnLetter),0)),
"")</f>
        <v/>
      </c>
      <c r="AC29" s="11" t="str" cm="1">
        <f t="array" aca="1" ref="AC29" ca="1">IF($A29="","",_xlfn.LET(
_xlpm._isAssumption,$M29,
_xlpm._isAdditionalElement,$O29,
_xlpm._sheetRow,$Z29,
_xlpm._sheetName,$AA29,
_xlpm._columnLetter,INDEX(IF(_xlpm._isAdditionalElement,Table24[Comment Column],Table25[Comment Column]),_xlpm._sheetRow),
_xlpm._sheetReference,IF(_xlpm._isAssumption,IF(_xlpm._isAdditionalElement,
CELL("address",INDEX(INDIRECT("'"&amp;_xlpm._sheetName&amp;"'!"&amp;_xlpm._columnLetter&amp;":"&amp;_xlpm._columnLetter),$AB29)),
CELL("address",INDEX(Assumptions!$A:$A,MATCH($A29,Assumptions!$A:$A,0),1))),
IF(_xlpm._isAdditionalElement,
CELL("address",INDEX(INDIRECT("'"&amp;_xlpm._sheetName&amp;"'!"&amp;_xlpm._columnLetter&amp;":"&amp;_xlpm._columnLetter),$AB29)),
CELL("address",INDEX(Countermeasures!$A:$A,MATCH($A29,Countermeasures!$A:$A,0),1)))),
_xlpm._start,FIND("]",_xlpm._sheetReference),
"'"&amp;SUBSTITUTE(SUBSTITUTE(RIGHT(_xlpm._sheetReference,LEN(_xlpm._sheetReference)-_xlpm._start),"'",""),"!","'!")))</f>
        <v/>
      </c>
      <c r="AD29" s="11" t="str" cm="1">
        <f t="array" aca="1" ref="AD29" ca="1">IF(NOT($O29),
_xlfn.LET(_xlpm._value,IF($A29="","",IF($M29,SimpleLookup($A29,Assumptions!$A:$AG),SimpleLookup($A29,Countermeasures!$A:$AJ))),
IF(_xlpm._value="","",_xlpm._value)),
"")</f>
        <v/>
      </c>
      <c r="AE29" s="11" t="str" cm="1">
        <f t="array" aca="1" ref="AE29" ca="1">LookupNames(InverseLookup($A29,Mitigation!$AD$2,Mitigation!$A$2,1,Helper!$B$5,","),'Attack Steps'!$A:$B)</f>
        <v/>
      </c>
      <c r="AF29" s="11" t="str" cm="1">
        <f t="array" aca="1" ref="AF29" ca="1">IF($O29,
_xlfn.LET(
_xlpm._in,$A29,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29" s="11" t="str" cm="1">
        <f t="array" aca="1" ref="AG29" ca="1">_xlfn.LET(
_xlpm._countermeasures,InverseLookup($A29,Countermeasures!$AC$2,Countermeasures!$A$2,1,Helper!$B$4,","),
LookupNames(_xlpm._countermeasures,Countermeasures!$A:$B))</f>
        <v/>
      </c>
      <c r="AH29" s="11" t="str" cm="1">
        <f t="array" aca="1" ref="AH29" ca="1">IF($E29="","",_xlfn.LET(
_xlpm._id,$E29,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29" s="11" t="str" cm="1">
        <f t="array" aca="1" ref="AI29" ca="1">IF(OR($A29="",$O29),"",_xlfn.LET(
_xlpm._answers,IF($M29,SimpleLookup($A29,Assumptions!$A:$F),SimpleLookup($A29,Countermeasures!$A:$D)),
IF(_xlpm._answers="*",IF($M29,SimpleLookup($A29,Assumptions!$A:$C),SimpleLookup($A29,Countermeasures!$A:$C)),"")))</f>
        <v/>
      </c>
      <c r="AJ29" s="11" t="str" cm="1">
        <f t="array" aca="1" ref="AJ29" ca="1">IF(NOT($O29),"",_xlfn.LET(
_xlpm._mappedInMitigation,IFERROR(VLOOKUP($Y29,'Attack Steps'!$A:$P,COLUMNS('Attack Steps'!$A:$P),FALSE),""),
CreateSearchString(_xlpm._mappedInMitigation)))</f>
        <v/>
      </c>
      <c r="AK29" s="11" t="b">
        <f ca="1">ROW()-ROW($AK$17)=Helper!$B$15</f>
        <v>0</v>
      </c>
      <c r="AL29" s="11" t="str">
        <f t="shared" ca="1" si="8"/>
        <v/>
      </c>
      <c r="AM29" s="11" cm="1">
        <f t="array" aca="1" ref="AM29" ca="1">CreateID($AM$17,$AL29&lt;&gt;"")</f>
        <v>0</v>
      </c>
      <c r="AN29" s="11" t="str" cm="1">
        <f t="array" aca="1" ref="AN29" ca="1">IF($O29,"",
_xlfn.LET(
_xlpm._this,SanitizeInput($A29)&amp;AT29,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29" s="11" t="str" cm="1">
        <f t="array" aca="1" ref="AO29" ca="1">IF($O29,"",_xlfn.LET(
_xlpm._listOfRisksAndLevels,SanitizeInput($AN29),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_xlpm._shortenedList,IF($H29="",_xlpm._risksWithMaxValue,
  IF(LEN(_xlpm._risksWithMaxValue)-LEN(SUBSTITUTE(_xlpm._risksWithMaxValue,",",""))&lt;=$H29,_xlpm._risksWithMaxValue,
    LEFT(_xlpm._risksWithMaxValue,FIND(CHAR(1),SUBSTITUTE(_xlpm._risksWithMaxValue,",",CHAR(1),$H29))))),
IF(_xlpm._maxRiskValue="","",
  _xlpm._lineMainSeparator&amp;
  INDEX(Definitions!$AE:$AE,MATCH(_xlpm._maxRiskValue,Definitions!$AF:$AF,0))&amp;CHAR(10)&amp;
  _xlpm._lineMainSeparator&amp;
  RemoveDelimiter(GetValues(_xlpm._shortenedList,Risks!$A:$B," ",CHAR(10)&amp;_xlpm._lineMainSeparator,TRUE),CHAR(10)&amp;_xlpm._lineMainSeparator))))</f>
        <v/>
      </c>
      <c r="AP29" s="11" t="str" cm="1">
        <f t="array" aca="1" ref="AP29" ca="1">IF($O29,"",_xlfn.LET(
_xlpm._lineMainSeparator,REPT(_xlfn.UNICHAR(9552),63)&amp;CHAR(10),
_xlpm._affectedRisks,InverseLookupList(SanitizeInput($A29)&amp;$AT29,Risks!$AX$2,Risks!$A$2,Helper!$B$1,","),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_xlpm._shortenedList,IF($H29="",_xlpm._risksWithMaxValue,
  IF(LEN(_xlpm._risksWithMaxValue)-LEN(SUBSTITUTE(_xlpm._risksWithMaxValue,",",""))&lt;=$H29,_xlpm._risksWithMaxValue,
    LEFT(_xlpm._risksWithMaxValue,FIND(CHAR(1),SUBSTITUTE(_xlpm._risksWithMaxValue,",",CHAR(1),$H29))))),
IF(_xlpm._maxRiskValue="","",
  _xlpm._lineMainSeparator&amp;
  INDEX(Definitions!$AE:$AE,MATCH(_xlpm._maxRiskValue,Definitions!$AF:$AF,0))&amp;CHAR(10)&amp;
  _xlpm._lineMainSeparator&amp;
  RemoveDelimiter(GetValues(_xlpm._shortenedList,Risks!$A:$B," ",CHAR(10)&amp;_xlpm._lineMainSeparator,TRUE),CHAR(10)&amp;_xlpm._lineMainSeparator))))</f>
        <v/>
      </c>
      <c r="AQ29" s="11" t="str" cm="1">
        <f t="array" aca="1" ref="AQ29" ca="1">IF(NOT($O29),"",
_xlfn.LET(
_xlpm._potentialASID,$Y29,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_xlpm._commentsFiltered,SUBSTITUTE(GetValues(_xlpm._attackSteps,Mitigation!$A:$O,"","",FALSE),$X29,""),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29" s="11" t="str" cm="1">
        <f t="array" aca="1" ref="AR29" ca="1">IF(NOT($O29),"",_xlfn.LET(
_xlpm._listOfRisksAndLevels,SanitizeInput($AQ29),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_xlpm._shortenedList,IF($H29="",_xlpm._risksWithMaxValue,
  IF(LEN(_xlpm._risksWithMaxValue)-LEN(SUBSTITUTE(_xlpm._risksWithMaxValue,",",""))&lt;=$H29,_xlpm._risksWithMaxValue,
    LEFT(_xlpm._risksWithMaxValue,FIND(CHAR(1),SUBSTITUTE(_xlpm._risksWithMaxValue,",",CHAR(1),$H29))))),
IF(_xlpm._maxRiskValue="","",
  _xlpm._lineMainSeparator&amp;
  INDEX(Definitions!$AE:$AE,MATCH(_xlpm._maxRiskValue,Definitions!$AF:$AF,0))&amp;CHAR(10)&amp;
  _xlpm._lineMainSeparator&amp;
  RemoveDelimiter(GetValues(_xlpm._shortenedList,Risks!$A:$B," ",CHAR(10)&amp;_xlpm._lineMainSeparator,TRUE),CHAR(10)&amp;_xlpm._lineMainSeparator))))</f>
        <v/>
      </c>
      <c r="AS29" s="11" t="str" cm="1">
        <f t="array" aca="1" ref="AS29" ca="1">IF(NOT($O29),"",
_xlfn.LET(
_xlpm._lineMainSeparator,REPT(_xlfn.UNICHAR(9552),63)&amp;CHAR(10),
_xlpm._potentialASID,$Y29,
_xlpm._risk,IFERROR(SimpleLookup(_xlpm._potentialASID,Mitigation!$A:$N),""),
_xlpm._attackPaths,IFERROR(SimpleLookup(_xlpm._potentialASID,Mitigation!$A:$M),""),
IF(_xlpm._risk="","",
_xlpm._lineMainSeparator&amp;
_xlpm._risk&amp;CHAR(10)&amp;
_xlpm._lineMainSeparator&amp;
_xlpm._attackPaths)))</f>
        <v/>
      </c>
      <c r="AT29" s="11" t="str" cm="1">
        <f t="array" aca="1" ref="AT29" ca="1">InverseLookup($A29,Countermeasures!$AA$2,Countermeasures!$A$2,1,Helper!$B$4,",")</f>
        <v/>
      </c>
    </row>
    <row r="30" spans="1:46" x14ac:dyDescent="0.25">
      <c r="A30" s="106" t="str">
        <f ca="1">_xlfn.LET(
_xlpm._isAssumption,$M30,
_xlpm._row,$N30,
_xlpm._numActiveAssumptions,Helper!$B$8,
_xlpm._numActiveCountermeasures,Helper!$B$9,
_xlpm._numAdditionalAssumptions,Helper!$B$10,
_xlpm._numAdditionalCountermeasures,Helper!$B$11,
IF(_xlpm._isAssumption,
IF(_xlpm._row&gt;_xlpm._numActiveAssumptions,
$Y30&amp;"-A"&amp;$T30,
INDEX(Assumptions!A:A,MATCH(_xlpm._row,Assumptions!$AC:$AC,0))),
IF(_xlpm._row&gt;_xlpm._numActiveCountermeasures+_xlpm._numAdditionalCountermeasures,"",
IF(_xlpm._row&gt;_xlpm._numActiveCountermeasures,
$Y30&amp;"-C"&amp;$T30,
INDEX(Countermeasures!$A:$A,MATCH(_xlpm._row,Countermeasures!$AE:$AE,0))))))</f>
        <v/>
      </c>
      <c r="B30" s="106" t="str" cm="1">
        <f t="array" aca="1" ref="B30" ca="1">IF($A30="","",
_xlfn.LET(
_xlpm._isAssumption,$M30,
_xlpm._isAdditionalElement,$O30,
IF(_xlpm._isAdditionalElement,
IF(_xlpm._isAssumption,
ParseElementsFromComment($X30,Definitions!$AR$4,Definitions!$AS$4,Definitions!$AR$6,$T30),
ParseElementsFromComment($X30,Definitions!$AR$5,Definitions!$AS$5,Definitions!$AR$6,$T30)),
_xlfn.LET(_xlpm._value,IF($A30="","",IF($M30,SimpleLookup($A30,Assumptions!$A:$B),SimpleLookup($A30,Countermeasures!$A:$B))),IF(_xlpm._value="","",_xlpm._value)))))</f>
        <v/>
      </c>
      <c r="C30" s="106" t="str" cm="1">
        <f t="array" aca="1" ref="C30" ca="1">IF($A30="","",IF($M30,IFERROR(SimpleLookup($A30,Assumptions!$A:$E),""),Definitions!$AO$4))</f>
        <v/>
      </c>
      <c r="D30" s="103" t="str">
        <f t="shared" ca="1" si="2"/>
        <v/>
      </c>
      <c r="E30" s="107"/>
      <c r="F30" s="108" t="str">
        <f t="shared" ca="1" si="3"/>
        <v/>
      </c>
      <c r="G30" s="102" t="str" cm="1">
        <f t="array" aca="1" ref="G30" ca="1">_xlfn.LET(_xlpm._val,IFERROR(SimpleLookup($A30,Countermeasures!$A:$S),IFERROR(SimpleLookup($A30,Assumptions!$A:$S),"")),IF(_xlpm._val="","",_xlpm._val))</f>
        <v/>
      </c>
      <c r="H30" s="109" t="str">
        <f>""</f>
        <v/>
      </c>
      <c r="I30" s="102" t="str">
        <f t="shared" ca="1" si="4"/>
        <v/>
      </c>
      <c r="J30" s="102" t="str">
        <f t="shared" ca="1" si="5"/>
        <v/>
      </c>
      <c r="K30" s="106" t="str" cm="1">
        <f t="array" aca="1" ref="K30" ca="1">_xlfn.LET(_xlpm._value,IF($A30="","",IFERROR(IF($M30,SimpleLookup($A30,Assumptions!$A:$T),SimpleLookup($A30,Countermeasures!$A:$T)),"")),
IF(_xlpm._value="","",_xlpm._value))</f>
        <v/>
      </c>
      <c r="L30" s="9" cm="1">
        <f t="array" aca="1" ref="L30" ca="1">CreateID($L$17,$A30&lt;&gt;"")</f>
        <v>11</v>
      </c>
      <c r="M30" s="9" t="b">
        <f ca="1">_xlfn.LET(_xlpm._row,ROW()-ROW($N$17),
_xlpm._numActiveAssumptions,Helper!$B$8,
_xlpm._numAdditionalAssumptions,SUM(Table24['# Elements]),
_xlpm._row&lt;=_xlpm._numActiveAssumptions+_xlpm._numAdditionalAssumptions)</f>
        <v>0</v>
      </c>
      <c r="N30" s="9">
        <f ca="1">_xlfn.LET(_xlpm._row,ROW()-ROW($N$17),
_xlpm._numActiveAssumptions,Helper!$B$8,
_xlpm._numAdditionalAssumptions,Helper!$B$10,
_xlpm._isAssumption,$M30,
_xlpm._elementID,IF(_xlpm._isAssumption,_xlpm._row,_xlpm._row-_xlpm._numActiveAssumptions-_xlpm._numAdditionalAssumptions),
_xlpm._elementID)</f>
        <v>9</v>
      </c>
      <c r="O30"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30" s="11" cm="1">
        <f t="array" aca="1" ref="P30" ca="1">IF($O30,
IF(ROW()=ROW($P$17)+1,1,INDEX($P:$P,ROW()-1)+IF(INDEX($W:$W,ROW()-1),1,0)),
1)</f>
        <v>1</v>
      </c>
      <c r="Q30" s="11" t="str" cm="1">
        <f t="array" aca="1" ref="Q30" ca="1">IF($O30=TRUE,
_xlfn.LET(
_xlpm._isAssumption,$M30,
_xlpm._indexRange,IF(_xlpm._isAssumption,Table24['# Elements],Table25['# Elements]),
_xlpm._lookupRow,$Z30,
INDEX(_xlpm._indexRange,_xlpm._lookupRow)),
"")</f>
        <v/>
      </c>
      <c r="R30" s="11" t="str" cm="1">
        <f t="array" aca="1" ref="R30" ca="1">IF($Q30="","",_xlfn.LET(
_xlpm._prevRow,ROW()-1,
IF(OR(INDEX($Q:$Q,_xlpm._prevRow)&lt;&gt;$Q30,INDEX($P:$P,_xlpm._prevRow)&lt;&gt;$P30),
1,
INDEX($R:$R,_xlpm._prevRow)+IF(INDEX($V:$V,_xlpm._prevRow),1,0))))</f>
        <v/>
      </c>
      <c r="S30" s="11" t="str" cm="1">
        <f t="array" aca="1" ref="S30" ca="1">IF($R30="","",_xlfn.LET(
_xlpm._isAssumption,$M30,
_xlpm._sheetRow,$Z30,
_xlpm._sheetName,$AA30,
_xlpm._elementIDRange,IF(_xlpm._isAssumption,Table24[Element ID Column],Table25[Element ID Column]),
_xlpm._numberOfElementsRange,IF(_xlpm._isAssumption,Table24[Number of Elements Column],Table25[Number of Elements Column]),
SimpleLookup($R30,INDIRECT("'"&amp;_xlpm._sheetName&amp;"'!"&amp;INDEX(_xlpm._elementIDRange,_xlpm._sheetRow)&amp;":"&amp;INDEX(_xlpm._numberOfElementsRange,_xlpm._sheetRow)))))</f>
        <v/>
      </c>
      <c r="T30" s="11" t="str" cm="1">
        <f t="array" aca="1" ref="T30" ca="1">IF($R30="","",IF(OR(INDEX($R:$R,ROW()-1)&lt;&gt;$R30,INDEX($P:$P,ROW()-1)&lt;&gt;$P30),1,INDEX($T:$T,ROW()-1)+1))</f>
        <v/>
      </c>
      <c r="U30" s="11">
        <f t="shared" ca="1" si="6"/>
        <v>0</v>
      </c>
      <c r="V30" s="11" t="str">
        <f t="shared" ca="1" si="7"/>
        <v/>
      </c>
      <c r="W30" s="11" t="b">
        <f ca="1">_xlfn.LET(
_xlpm._isAssumption,$M30,
_xlpm._numberOfElementsRange,IF(_xlpm._isAssumption,Table24['# Elements],Table25['# Elements]),
_xlpm._sheetRow,$Z30,
IF($O30,AND($V30,$U30=$Q30),FALSE))</f>
        <v>0</v>
      </c>
      <c r="X30" s="11" t="str" cm="1">
        <f t="array" aca="1" ref="X30" ca="1">IF($O30,
_xlfn.LET(
_xlpm._elementID,$R30,
_xlpm._isAssumption,$M30,
_xlpm._sheetRow,$Z30,
_xlpm._sheetName,$AA30,
_xlpm._elementRow,$AB30,
_xlpm._resultColumnLetter,IF(_xlpm._isAssumption,INDEX(Table24[Comment Column],_xlpm._sheetRow),INDEX(Table25[Comment Column],_xlpm._sheetRow)),
INDEX(INDIRECT("'"&amp;_xlpm._sheetName&amp;"'!"&amp;_xlpm._resultColumnLetter&amp;":"&amp;_xlpm._resultColumnLetter),_xlpm._elementRow)),
"")</f>
        <v/>
      </c>
      <c r="Y30" s="11" t="str" cm="1">
        <f t="array" aca="1" ref="Y30" ca="1">IF($O30,
_xlfn.LET(
_xlpm._elementID,$R30,
_xlpm._isAssumption,$M30,
_xlpm._sheetRow,$Z30,
_xlpm._sheetName,$AA30,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30" s="11" t="str">
        <f ca="1">IF($O30=TRUE,
_xlfn.LET(
_xlpm._isAssumption,$M30,
_xlpm._searchRange,IF(_xlpm._isAssumption,Table24[Task Sheet Shadow ID],Table25[Task Sheet Shadow ID]),
MATCH($P30,_xlpm._searchRange,0)),
"")</f>
        <v/>
      </c>
      <c r="AA30" s="11" t="str" cm="1">
        <f t="array" aca="1" ref="AA30" ca="1">IF($O30,
_xlfn.LET(
_xlpm._isAssumption,$M30,
_xlpm._sheetRow,$Z30,
IF(_xlpm._isAssumption,INDEX(Table24[Sheet Name],_xlpm._sheetRow),INDEX(Table25[Sheet Name],_xlpm._sheetRow))),
"")</f>
        <v/>
      </c>
      <c r="AB30" s="11" t="str" cm="1">
        <f t="array" aca="1" ref="AB30" ca="1">IF($O30,
_xlfn.LET(
_xlpm._elementID,$R30,
_xlpm._isAssumption,$M30,
_xlpm._sheetRow,$Z30,
_xlpm._sheetName,$AA30,
_xlpm._elementIDColumnLetter,IF(_xlpm._isAssumption,INDEX(Table24[Element ID Column],_xlpm._sheetRow),INDEX(Table25[Element ID Column],_xlpm._sheetRow)),
MATCH(_xlpm._elementID,INDIRECT("'"&amp;_xlpm._sheetName&amp;"'!"&amp;_xlpm._elementIDColumnLetter&amp;":"&amp;_xlpm._elementIDColumnLetter),0)),
"")</f>
        <v/>
      </c>
      <c r="AC30" s="11" t="str" cm="1">
        <f t="array" aca="1" ref="AC30" ca="1">IF($A30="","",_xlfn.LET(
_xlpm._isAssumption,$M30,
_xlpm._isAdditionalElement,$O30,
_xlpm._sheetRow,$Z30,
_xlpm._sheetName,$AA30,
_xlpm._columnLetter,INDEX(IF(_xlpm._isAdditionalElement,Table24[Comment Column],Table25[Comment Column]),_xlpm._sheetRow),
_xlpm._sheetReference,IF(_xlpm._isAssumption,IF(_xlpm._isAdditionalElement,
CELL("address",INDEX(INDIRECT("'"&amp;_xlpm._sheetName&amp;"'!"&amp;_xlpm._columnLetter&amp;":"&amp;_xlpm._columnLetter),$AB30)),
CELL("address",INDEX(Assumptions!$A:$A,MATCH($A30,Assumptions!$A:$A,0),1))),
IF(_xlpm._isAdditionalElement,
CELL("address",INDEX(INDIRECT("'"&amp;_xlpm._sheetName&amp;"'!"&amp;_xlpm._columnLetter&amp;":"&amp;_xlpm._columnLetter),$AB30)),
CELL("address",INDEX(Countermeasures!$A:$A,MATCH($A30,Countermeasures!$A:$A,0),1)))),
_xlpm._start,FIND("]",_xlpm._sheetReference),
"'"&amp;SUBSTITUTE(SUBSTITUTE(RIGHT(_xlpm._sheetReference,LEN(_xlpm._sheetReference)-_xlpm._start),"'",""),"!","'!")))</f>
        <v/>
      </c>
      <c r="AD30" s="11" t="str" cm="1">
        <f t="array" aca="1" ref="AD30" ca="1">IF(NOT($O30),
_xlfn.LET(_xlpm._value,IF($A30="","",IF($M30,SimpleLookup($A30,Assumptions!$A:$AG),SimpleLookup($A30,Countermeasures!$A:$AJ))),
IF(_xlpm._value="","",_xlpm._value)),
"")</f>
        <v/>
      </c>
      <c r="AE30" s="11" t="str" cm="1">
        <f t="array" aca="1" ref="AE30" ca="1">LookupNames(InverseLookup($A30,Mitigation!$AD$2,Mitigation!$A$2,1,Helper!$B$5,","),'Attack Steps'!$A:$B)</f>
        <v/>
      </c>
      <c r="AF30" s="11" t="str" cm="1">
        <f t="array" aca="1" ref="AF30" ca="1">IF($O30,
_xlfn.LET(
_xlpm._in,$A30,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30" s="11" t="str" cm="1">
        <f t="array" aca="1" ref="AG30" ca="1">_xlfn.LET(
_xlpm._countermeasures,InverseLookup($A30,Countermeasures!$AC$2,Countermeasures!$A$2,1,Helper!$B$4,","),
LookupNames(_xlpm._countermeasures,Countermeasures!$A:$B))</f>
        <v/>
      </c>
      <c r="AH30" s="11" t="str" cm="1">
        <f t="array" aca="1" ref="AH30" ca="1">IF($E30="","",_xlfn.LET(
_xlpm._id,$E30,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30" s="11" t="str" cm="1">
        <f t="array" aca="1" ref="AI30" ca="1">IF(OR($A30="",$O30),"",_xlfn.LET(
_xlpm._answers,IF($M30,SimpleLookup($A30,Assumptions!$A:$F),SimpleLookup($A30,Countermeasures!$A:$D)),
IF(_xlpm._answers="*",IF($M30,SimpleLookup($A30,Assumptions!$A:$C),SimpleLookup($A30,Countermeasures!$A:$C)),"")))</f>
        <v/>
      </c>
      <c r="AJ30" s="11" t="str" cm="1">
        <f t="array" aca="1" ref="AJ30" ca="1">IF(NOT($O30),"",_xlfn.LET(
_xlpm._mappedInMitigation,IFERROR(VLOOKUP($Y30,'Attack Steps'!$A:$P,COLUMNS('Attack Steps'!$A:$P),FALSE),""),
CreateSearchString(_xlpm._mappedInMitigation)))</f>
        <v/>
      </c>
      <c r="AK30" s="11" t="b">
        <f ca="1">ROW()-ROW($AK$17)=Helper!$B$15</f>
        <v>0</v>
      </c>
      <c r="AL30" s="11" t="str">
        <f t="shared" ca="1" si="8"/>
        <v/>
      </c>
      <c r="AM30" s="11" cm="1">
        <f t="array" aca="1" ref="AM30" ca="1">CreateID($AM$17,$AL30&lt;&gt;"")</f>
        <v>0</v>
      </c>
      <c r="AN30" s="11" t="str" cm="1">
        <f t="array" aca="1" ref="AN30" ca="1">IF($O30,"",
_xlfn.LET(
_xlpm._this,SanitizeInput($A30)&amp;AT30,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30" s="11" t="str" cm="1">
        <f t="array" aca="1" ref="AO30" ca="1">IF($O30,"",_xlfn.LET(
_xlpm._listOfRisksAndLevels,SanitizeInput($AN30),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_xlpm._shortenedList,IF($H30="",_xlpm._risksWithMaxValue,
  IF(LEN(_xlpm._risksWithMaxValue)-LEN(SUBSTITUTE(_xlpm._risksWithMaxValue,",",""))&lt;=$H30,_xlpm._risksWithMaxValue,
    LEFT(_xlpm._risksWithMaxValue,FIND(CHAR(1),SUBSTITUTE(_xlpm._risksWithMaxValue,",",CHAR(1),$H30))))),
IF(_xlpm._maxRiskValue="","",
  _xlpm._lineMainSeparator&amp;
  INDEX(Definitions!$AE:$AE,MATCH(_xlpm._maxRiskValue,Definitions!$AF:$AF,0))&amp;CHAR(10)&amp;
  _xlpm._lineMainSeparator&amp;
  RemoveDelimiter(GetValues(_xlpm._shortenedList,Risks!$A:$B," ",CHAR(10)&amp;_xlpm._lineMainSeparator,TRUE),CHAR(10)&amp;_xlpm._lineMainSeparator))))</f>
        <v/>
      </c>
      <c r="AP30" s="11" t="str" cm="1">
        <f t="array" aca="1" ref="AP30" ca="1">IF($O30,"",_xlfn.LET(
_xlpm._lineMainSeparator,REPT(_xlfn.UNICHAR(9552),63)&amp;CHAR(10),
_xlpm._affectedRisks,InverseLookupList(SanitizeInput($A30)&amp;$AT30,Risks!$AX$2,Risks!$A$2,Helper!$B$1,","),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_xlpm._shortenedList,IF($H30="",_xlpm._risksWithMaxValue,
  IF(LEN(_xlpm._risksWithMaxValue)-LEN(SUBSTITUTE(_xlpm._risksWithMaxValue,",",""))&lt;=$H30,_xlpm._risksWithMaxValue,
    LEFT(_xlpm._risksWithMaxValue,FIND(CHAR(1),SUBSTITUTE(_xlpm._risksWithMaxValue,",",CHAR(1),$H30))))),
IF(_xlpm._maxRiskValue="","",
  _xlpm._lineMainSeparator&amp;
  INDEX(Definitions!$AE:$AE,MATCH(_xlpm._maxRiskValue,Definitions!$AF:$AF,0))&amp;CHAR(10)&amp;
  _xlpm._lineMainSeparator&amp;
  RemoveDelimiter(GetValues(_xlpm._shortenedList,Risks!$A:$B," ",CHAR(10)&amp;_xlpm._lineMainSeparator,TRUE),CHAR(10)&amp;_xlpm._lineMainSeparator))))</f>
        <v/>
      </c>
      <c r="AQ30" s="11" t="str" cm="1">
        <f t="array" aca="1" ref="AQ30" ca="1">IF(NOT($O30),"",
_xlfn.LET(
_xlpm._potentialASID,$Y30,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_xlpm._commentsFiltered,SUBSTITUTE(GetValues(_xlpm._attackSteps,Mitigation!$A:$O,"","",FALSE),$X30,""),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30" s="11" t="str" cm="1">
        <f t="array" aca="1" ref="AR30" ca="1">IF(NOT($O30),"",_xlfn.LET(
_xlpm._listOfRisksAndLevels,SanitizeInput($AQ30),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_xlpm._shortenedList,IF($H30="",_xlpm._risksWithMaxValue,
  IF(LEN(_xlpm._risksWithMaxValue)-LEN(SUBSTITUTE(_xlpm._risksWithMaxValue,",",""))&lt;=$H30,_xlpm._risksWithMaxValue,
    LEFT(_xlpm._risksWithMaxValue,FIND(CHAR(1),SUBSTITUTE(_xlpm._risksWithMaxValue,",",CHAR(1),$H30))))),
IF(_xlpm._maxRiskValue="","",
  _xlpm._lineMainSeparator&amp;
  INDEX(Definitions!$AE:$AE,MATCH(_xlpm._maxRiskValue,Definitions!$AF:$AF,0))&amp;CHAR(10)&amp;
  _xlpm._lineMainSeparator&amp;
  RemoveDelimiter(GetValues(_xlpm._shortenedList,Risks!$A:$B," ",CHAR(10)&amp;_xlpm._lineMainSeparator,TRUE),CHAR(10)&amp;_xlpm._lineMainSeparator))))</f>
        <v/>
      </c>
      <c r="AS30" s="11" t="str" cm="1">
        <f t="array" aca="1" ref="AS30" ca="1">IF(NOT($O30),"",
_xlfn.LET(
_xlpm._lineMainSeparator,REPT(_xlfn.UNICHAR(9552),63)&amp;CHAR(10),
_xlpm._potentialASID,$Y30,
_xlpm._risk,IFERROR(SimpleLookup(_xlpm._potentialASID,Mitigation!$A:$N),""),
_xlpm._attackPaths,IFERROR(SimpleLookup(_xlpm._potentialASID,Mitigation!$A:$M),""),
IF(_xlpm._risk="","",
_xlpm._lineMainSeparator&amp;
_xlpm._risk&amp;CHAR(10)&amp;
_xlpm._lineMainSeparator&amp;
_xlpm._attackPaths)))</f>
        <v/>
      </c>
      <c r="AT30" s="11" t="str" cm="1">
        <f t="array" aca="1" ref="AT30" ca="1">InverseLookup($A30,Countermeasures!$AA$2,Countermeasures!$A$2,1,Helper!$B$4,",")</f>
        <v/>
      </c>
    </row>
    <row r="31" spans="1:46" x14ac:dyDescent="0.25">
      <c r="A31" s="106" t="str">
        <f ca="1">_xlfn.LET(
_xlpm._isAssumption,$M31,
_xlpm._row,$N31,
_xlpm._numActiveAssumptions,Helper!$B$8,
_xlpm._numActiveCountermeasures,Helper!$B$9,
_xlpm._numAdditionalAssumptions,Helper!$B$10,
_xlpm._numAdditionalCountermeasures,Helper!$B$11,
IF(_xlpm._isAssumption,
IF(_xlpm._row&gt;_xlpm._numActiveAssumptions,
$Y31&amp;"-A"&amp;$T31,
INDEX(Assumptions!A:A,MATCH(_xlpm._row,Assumptions!$AC:$AC,0))),
IF(_xlpm._row&gt;_xlpm._numActiveCountermeasures+_xlpm._numAdditionalCountermeasures,"",
IF(_xlpm._row&gt;_xlpm._numActiveCountermeasures,
$Y31&amp;"-C"&amp;$T31,
INDEX(Countermeasures!$A:$A,MATCH(_xlpm._row,Countermeasures!$AE:$AE,0))))))</f>
        <v/>
      </c>
      <c r="B31" s="106" t="str" cm="1">
        <f t="array" aca="1" ref="B31" ca="1">IF($A31="","",
_xlfn.LET(
_xlpm._isAssumption,$M31,
_xlpm._isAdditionalElement,$O31,
IF(_xlpm._isAdditionalElement,
IF(_xlpm._isAssumption,
ParseElementsFromComment($X31,Definitions!$AR$4,Definitions!$AS$4,Definitions!$AR$6,$T31),
ParseElementsFromComment($X31,Definitions!$AR$5,Definitions!$AS$5,Definitions!$AR$6,$T31)),
_xlfn.LET(_xlpm._value,IF($A31="","",IF($M31,SimpleLookup($A31,Assumptions!$A:$B),SimpleLookup($A31,Countermeasures!$A:$B))),IF(_xlpm._value="","",_xlpm._value)))))</f>
        <v/>
      </c>
      <c r="C31" s="106" t="str" cm="1">
        <f t="array" aca="1" ref="C31" ca="1">IF($A31="","",IF($M31,IFERROR(SimpleLookup($A31,Assumptions!$A:$E),""),Definitions!$AO$4))</f>
        <v/>
      </c>
      <c r="D31" s="103" t="str">
        <f t="shared" ca="1" si="2"/>
        <v/>
      </c>
      <c r="E31" s="107"/>
      <c r="F31" s="108" t="str">
        <f t="shared" ca="1" si="3"/>
        <v/>
      </c>
      <c r="G31" s="102" t="str" cm="1">
        <f t="array" aca="1" ref="G31" ca="1">_xlfn.LET(_xlpm._val,IFERROR(SimpleLookup($A31,Countermeasures!$A:$S),IFERROR(SimpleLookup($A31,Assumptions!$A:$S),"")),IF(_xlpm._val="","",_xlpm._val))</f>
        <v/>
      </c>
      <c r="H31" s="109" t="str">
        <f>""</f>
        <v/>
      </c>
      <c r="I31" s="102" t="str">
        <f t="shared" ca="1" si="4"/>
        <v/>
      </c>
      <c r="J31" s="102" t="str">
        <f t="shared" ca="1" si="5"/>
        <v/>
      </c>
      <c r="K31" s="106" t="str" cm="1">
        <f t="array" aca="1" ref="K31" ca="1">_xlfn.LET(_xlpm._value,IF($A31="","",IFERROR(IF($M31,SimpleLookup($A31,Assumptions!$A:$T),SimpleLookup($A31,Countermeasures!$A:$T)),"")),
IF(_xlpm._value="","",_xlpm._value))</f>
        <v/>
      </c>
      <c r="L31" s="9" cm="1">
        <f t="array" aca="1" ref="L31" ca="1">CreateID($L$17,$A31&lt;&gt;"")</f>
        <v>11</v>
      </c>
      <c r="M31" s="9" t="b">
        <f ca="1">_xlfn.LET(_xlpm._row,ROW()-ROW($N$17),
_xlpm._numActiveAssumptions,Helper!$B$8,
_xlpm._numAdditionalAssumptions,SUM(Table24['# Elements]),
_xlpm._row&lt;=_xlpm._numActiveAssumptions+_xlpm._numAdditionalAssumptions)</f>
        <v>0</v>
      </c>
      <c r="N31" s="9">
        <f ca="1">_xlfn.LET(_xlpm._row,ROW()-ROW($N$17),
_xlpm._numActiveAssumptions,Helper!$B$8,
_xlpm._numAdditionalAssumptions,Helper!$B$10,
_xlpm._isAssumption,$M31,
_xlpm._elementID,IF(_xlpm._isAssumption,_xlpm._row,_xlpm._row-_xlpm._numActiveAssumptions-_xlpm._numAdditionalAssumptions),
_xlpm._elementID)</f>
        <v>10</v>
      </c>
      <c r="O31"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31" s="11" cm="1">
        <f t="array" aca="1" ref="P31" ca="1">IF($O31,
IF(ROW()=ROW($P$17)+1,1,INDEX($P:$P,ROW()-1)+IF(INDEX($W:$W,ROW()-1),1,0)),
1)</f>
        <v>1</v>
      </c>
      <c r="Q31" s="11" t="str" cm="1">
        <f t="array" aca="1" ref="Q31" ca="1">IF($O31=TRUE,
_xlfn.LET(
_xlpm._isAssumption,$M31,
_xlpm._indexRange,IF(_xlpm._isAssumption,Table24['# Elements],Table25['# Elements]),
_xlpm._lookupRow,$Z31,
INDEX(_xlpm._indexRange,_xlpm._lookupRow)),
"")</f>
        <v/>
      </c>
      <c r="R31" s="11" t="str" cm="1">
        <f t="array" aca="1" ref="R31" ca="1">IF($Q31="","",_xlfn.LET(
_xlpm._prevRow,ROW()-1,
IF(OR(INDEX($Q:$Q,_xlpm._prevRow)&lt;&gt;$Q31,INDEX($P:$P,_xlpm._prevRow)&lt;&gt;$P31),
1,
INDEX($R:$R,_xlpm._prevRow)+IF(INDEX($V:$V,_xlpm._prevRow),1,0))))</f>
        <v/>
      </c>
      <c r="S31" s="11" t="str" cm="1">
        <f t="array" aca="1" ref="S31" ca="1">IF($R31="","",_xlfn.LET(
_xlpm._isAssumption,$M31,
_xlpm._sheetRow,$Z31,
_xlpm._sheetName,$AA31,
_xlpm._elementIDRange,IF(_xlpm._isAssumption,Table24[Element ID Column],Table25[Element ID Column]),
_xlpm._numberOfElementsRange,IF(_xlpm._isAssumption,Table24[Number of Elements Column],Table25[Number of Elements Column]),
SimpleLookup($R31,INDIRECT("'"&amp;_xlpm._sheetName&amp;"'!"&amp;INDEX(_xlpm._elementIDRange,_xlpm._sheetRow)&amp;":"&amp;INDEX(_xlpm._numberOfElementsRange,_xlpm._sheetRow)))))</f>
        <v/>
      </c>
      <c r="T31" s="11" t="str" cm="1">
        <f t="array" aca="1" ref="T31" ca="1">IF($R31="","",IF(OR(INDEX($R:$R,ROW()-1)&lt;&gt;$R31,INDEX($P:$P,ROW()-1)&lt;&gt;$P31),1,INDEX($T:$T,ROW()-1)+1))</f>
        <v/>
      </c>
      <c r="U31" s="11">
        <f t="shared" ca="1" si="6"/>
        <v>0</v>
      </c>
      <c r="V31" s="11" t="str">
        <f t="shared" ca="1" si="7"/>
        <v/>
      </c>
      <c r="W31" s="11" t="b">
        <f ca="1">_xlfn.LET(
_xlpm._isAssumption,$M31,
_xlpm._numberOfElementsRange,IF(_xlpm._isAssumption,Table24['# Elements],Table25['# Elements]),
_xlpm._sheetRow,$Z31,
IF($O31,AND($V31,$U31=$Q31),FALSE))</f>
        <v>0</v>
      </c>
      <c r="X31" s="11" t="str" cm="1">
        <f t="array" aca="1" ref="X31" ca="1">IF($O31,
_xlfn.LET(
_xlpm._elementID,$R31,
_xlpm._isAssumption,$M31,
_xlpm._sheetRow,$Z31,
_xlpm._sheetName,$AA31,
_xlpm._elementRow,$AB31,
_xlpm._resultColumnLetter,IF(_xlpm._isAssumption,INDEX(Table24[Comment Column],_xlpm._sheetRow),INDEX(Table25[Comment Column],_xlpm._sheetRow)),
INDEX(INDIRECT("'"&amp;_xlpm._sheetName&amp;"'!"&amp;_xlpm._resultColumnLetter&amp;":"&amp;_xlpm._resultColumnLetter),_xlpm._elementRow)),
"")</f>
        <v/>
      </c>
      <c r="Y31" s="11" t="str" cm="1">
        <f t="array" aca="1" ref="Y31" ca="1">IF($O31,
_xlfn.LET(
_xlpm._elementID,$R31,
_xlpm._isAssumption,$M31,
_xlpm._sheetRow,$Z31,
_xlpm._sheetName,$AA31,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31" s="11" t="str">
        <f ca="1">IF($O31=TRUE,
_xlfn.LET(
_xlpm._isAssumption,$M31,
_xlpm._searchRange,IF(_xlpm._isAssumption,Table24[Task Sheet Shadow ID],Table25[Task Sheet Shadow ID]),
MATCH($P31,_xlpm._searchRange,0)),
"")</f>
        <v/>
      </c>
      <c r="AA31" s="11" t="str" cm="1">
        <f t="array" aca="1" ref="AA31" ca="1">IF($O31,
_xlfn.LET(
_xlpm._isAssumption,$M31,
_xlpm._sheetRow,$Z31,
IF(_xlpm._isAssumption,INDEX(Table24[Sheet Name],_xlpm._sheetRow),INDEX(Table25[Sheet Name],_xlpm._sheetRow))),
"")</f>
        <v/>
      </c>
      <c r="AB31" s="11" t="str" cm="1">
        <f t="array" aca="1" ref="AB31" ca="1">IF($O31,
_xlfn.LET(
_xlpm._elementID,$R31,
_xlpm._isAssumption,$M31,
_xlpm._sheetRow,$Z31,
_xlpm._sheetName,$AA31,
_xlpm._elementIDColumnLetter,IF(_xlpm._isAssumption,INDEX(Table24[Element ID Column],_xlpm._sheetRow),INDEX(Table25[Element ID Column],_xlpm._sheetRow)),
MATCH(_xlpm._elementID,INDIRECT("'"&amp;_xlpm._sheetName&amp;"'!"&amp;_xlpm._elementIDColumnLetter&amp;":"&amp;_xlpm._elementIDColumnLetter),0)),
"")</f>
        <v/>
      </c>
      <c r="AC31" s="11" t="str" cm="1">
        <f t="array" aca="1" ref="AC31" ca="1">IF($A31="","",_xlfn.LET(
_xlpm._isAssumption,$M31,
_xlpm._isAdditionalElement,$O31,
_xlpm._sheetRow,$Z31,
_xlpm._sheetName,$AA31,
_xlpm._columnLetter,INDEX(IF(_xlpm._isAdditionalElement,Table24[Comment Column],Table25[Comment Column]),_xlpm._sheetRow),
_xlpm._sheetReference,IF(_xlpm._isAssumption,IF(_xlpm._isAdditionalElement,
CELL("address",INDEX(INDIRECT("'"&amp;_xlpm._sheetName&amp;"'!"&amp;_xlpm._columnLetter&amp;":"&amp;_xlpm._columnLetter),$AB31)),
CELL("address",INDEX(Assumptions!$A:$A,MATCH($A31,Assumptions!$A:$A,0),1))),
IF(_xlpm._isAdditionalElement,
CELL("address",INDEX(INDIRECT("'"&amp;_xlpm._sheetName&amp;"'!"&amp;_xlpm._columnLetter&amp;":"&amp;_xlpm._columnLetter),$AB31)),
CELL("address",INDEX(Countermeasures!$A:$A,MATCH($A31,Countermeasures!$A:$A,0),1)))),
_xlpm._start,FIND("]",_xlpm._sheetReference),
"'"&amp;SUBSTITUTE(SUBSTITUTE(RIGHT(_xlpm._sheetReference,LEN(_xlpm._sheetReference)-_xlpm._start),"'",""),"!","'!")))</f>
        <v/>
      </c>
      <c r="AD31" s="11" t="str" cm="1">
        <f t="array" aca="1" ref="AD31" ca="1">IF(NOT($O31),
_xlfn.LET(_xlpm._value,IF($A31="","",IF($M31,SimpleLookup($A31,Assumptions!$A:$AG),SimpleLookup($A31,Countermeasures!$A:$AJ))),
IF(_xlpm._value="","",_xlpm._value)),
"")</f>
        <v/>
      </c>
      <c r="AE31" s="11" t="str" cm="1">
        <f t="array" aca="1" ref="AE31" ca="1">LookupNames(InverseLookup($A31,Mitigation!$AD$2,Mitigation!$A$2,1,Helper!$B$5,","),'Attack Steps'!$A:$B)</f>
        <v/>
      </c>
      <c r="AF31" s="11" t="str" cm="1">
        <f t="array" aca="1" ref="AF31" ca="1">IF($O31,
_xlfn.LET(
_xlpm._in,$A31,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31" s="11" t="str" cm="1">
        <f t="array" aca="1" ref="AG31" ca="1">_xlfn.LET(
_xlpm._countermeasures,InverseLookup($A31,Countermeasures!$AC$2,Countermeasures!$A$2,1,Helper!$B$4,","),
LookupNames(_xlpm._countermeasures,Countermeasures!$A:$B))</f>
        <v/>
      </c>
      <c r="AH31" s="11" t="str" cm="1">
        <f t="array" aca="1" ref="AH31" ca="1">IF($E31="","",_xlfn.LET(
_xlpm._id,$E31,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31" s="11" t="str" cm="1">
        <f t="array" aca="1" ref="AI31" ca="1">IF(OR($A31="",$O31),"",_xlfn.LET(
_xlpm._answers,IF($M31,SimpleLookup($A31,Assumptions!$A:$F),SimpleLookup($A31,Countermeasures!$A:$D)),
IF(_xlpm._answers="*",IF($M31,SimpleLookup($A31,Assumptions!$A:$C),SimpleLookup($A31,Countermeasures!$A:$C)),"")))</f>
        <v/>
      </c>
      <c r="AJ31" s="11" t="str" cm="1">
        <f t="array" aca="1" ref="AJ31" ca="1">IF(NOT($O31),"",_xlfn.LET(
_xlpm._mappedInMitigation,IFERROR(VLOOKUP($Y31,'Attack Steps'!$A:$P,COLUMNS('Attack Steps'!$A:$P),FALSE),""),
CreateSearchString(_xlpm._mappedInMitigation)))</f>
        <v/>
      </c>
      <c r="AK31" s="11" t="b">
        <f ca="1">ROW()-ROW($AK$17)=Helper!$B$15</f>
        <v>0</v>
      </c>
      <c r="AL31" s="11" t="str">
        <f t="shared" ca="1" si="8"/>
        <v/>
      </c>
      <c r="AM31" s="11" cm="1">
        <f t="array" aca="1" ref="AM31" ca="1">CreateID($AM$17,$AL31&lt;&gt;"")</f>
        <v>0</v>
      </c>
      <c r="AN31" s="11" t="str" cm="1">
        <f t="array" aca="1" ref="AN31" ca="1">IF($O31,"",
_xlfn.LET(
_xlpm._this,SanitizeInput($A31)&amp;AT31,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31" s="11" t="str" cm="1">
        <f t="array" aca="1" ref="AO31" ca="1">IF($O31,"",_xlfn.LET(
_xlpm._listOfRisksAndLevels,SanitizeInput($AN31),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_xlpm._shortenedList,IF($H31="",_xlpm._risksWithMaxValue,
  IF(LEN(_xlpm._risksWithMaxValue)-LEN(SUBSTITUTE(_xlpm._risksWithMaxValue,",",""))&lt;=$H31,_xlpm._risksWithMaxValue,
    LEFT(_xlpm._risksWithMaxValue,FIND(CHAR(1),SUBSTITUTE(_xlpm._risksWithMaxValue,",",CHAR(1),$H31))))),
IF(_xlpm._maxRiskValue="","",
  _xlpm._lineMainSeparator&amp;
  INDEX(Definitions!$AE:$AE,MATCH(_xlpm._maxRiskValue,Definitions!$AF:$AF,0))&amp;CHAR(10)&amp;
  _xlpm._lineMainSeparator&amp;
  RemoveDelimiter(GetValues(_xlpm._shortenedList,Risks!$A:$B," ",CHAR(10)&amp;_xlpm._lineMainSeparator,TRUE),CHAR(10)&amp;_xlpm._lineMainSeparator))))</f>
        <v/>
      </c>
      <c r="AP31" s="11" t="str" cm="1">
        <f t="array" aca="1" ref="AP31" ca="1">IF($O31,"",_xlfn.LET(
_xlpm._lineMainSeparator,REPT(_xlfn.UNICHAR(9552),63)&amp;CHAR(10),
_xlpm._affectedRisks,InverseLookupList(SanitizeInput($A31)&amp;$AT31,Risks!$AX$2,Risks!$A$2,Helper!$B$1,","),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_xlpm._shortenedList,IF($H31="",_xlpm._risksWithMaxValue,
  IF(LEN(_xlpm._risksWithMaxValue)-LEN(SUBSTITUTE(_xlpm._risksWithMaxValue,",",""))&lt;=$H31,_xlpm._risksWithMaxValue,
    LEFT(_xlpm._risksWithMaxValue,FIND(CHAR(1),SUBSTITUTE(_xlpm._risksWithMaxValue,",",CHAR(1),$H31))))),
IF(_xlpm._maxRiskValue="","",
  _xlpm._lineMainSeparator&amp;
  INDEX(Definitions!$AE:$AE,MATCH(_xlpm._maxRiskValue,Definitions!$AF:$AF,0))&amp;CHAR(10)&amp;
  _xlpm._lineMainSeparator&amp;
  RemoveDelimiter(GetValues(_xlpm._shortenedList,Risks!$A:$B," ",CHAR(10)&amp;_xlpm._lineMainSeparator,TRUE),CHAR(10)&amp;_xlpm._lineMainSeparator))))</f>
        <v/>
      </c>
      <c r="AQ31" s="11" t="str" cm="1">
        <f t="array" aca="1" ref="AQ31" ca="1">IF(NOT($O31),"",
_xlfn.LET(
_xlpm._potentialASID,$Y31,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_xlpm._commentsFiltered,SUBSTITUTE(GetValues(_xlpm._attackSteps,Mitigation!$A:$O,"","",FALSE),$X31,""),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31" s="11" t="str" cm="1">
        <f t="array" aca="1" ref="AR31" ca="1">IF(NOT($O31),"",_xlfn.LET(
_xlpm._listOfRisksAndLevels,SanitizeInput($AQ31),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_xlpm._shortenedList,IF($H31="",_xlpm._risksWithMaxValue,
  IF(LEN(_xlpm._risksWithMaxValue)-LEN(SUBSTITUTE(_xlpm._risksWithMaxValue,",",""))&lt;=$H31,_xlpm._risksWithMaxValue,
    LEFT(_xlpm._risksWithMaxValue,FIND(CHAR(1),SUBSTITUTE(_xlpm._risksWithMaxValue,",",CHAR(1),$H31))))),
IF(_xlpm._maxRiskValue="","",
  _xlpm._lineMainSeparator&amp;
  INDEX(Definitions!$AE:$AE,MATCH(_xlpm._maxRiskValue,Definitions!$AF:$AF,0))&amp;CHAR(10)&amp;
  _xlpm._lineMainSeparator&amp;
  RemoveDelimiter(GetValues(_xlpm._shortenedList,Risks!$A:$B," ",CHAR(10)&amp;_xlpm._lineMainSeparator,TRUE),CHAR(10)&amp;_xlpm._lineMainSeparator))))</f>
        <v/>
      </c>
      <c r="AS31" s="11" t="str" cm="1">
        <f t="array" aca="1" ref="AS31" ca="1">IF(NOT($O31),"",
_xlfn.LET(
_xlpm._lineMainSeparator,REPT(_xlfn.UNICHAR(9552),63)&amp;CHAR(10),
_xlpm._potentialASID,$Y31,
_xlpm._risk,IFERROR(SimpleLookup(_xlpm._potentialASID,Mitigation!$A:$N),""),
_xlpm._attackPaths,IFERROR(SimpleLookup(_xlpm._potentialASID,Mitigation!$A:$M),""),
IF(_xlpm._risk="","",
_xlpm._lineMainSeparator&amp;
_xlpm._risk&amp;CHAR(10)&amp;
_xlpm._lineMainSeparator&amp;
_xlpm._attackPaths)))</f>
        <v/>
      </c>
      <c r="AT31" s="11" t="str" cm="1">
        <f t="array" aca="1" ref="AT31" ca="1">InverseLookup($A31,Countermeasures!$AA$2,Countermeasures!$A$2,1,Helper!$B$4,",")</f>
        <v/>
      </c>
    </row>
    <row r="32" spans="1:46" x14ac:dyDescent="0.25">
      <c r="A32" s="106" t="str">
        <f ca="1">_xlfn.LET(
_xlpm._isAssumption,$M32,
_xlpm._row,$N32,
_xlpm._numActiveAssumptions,Helper!$B$8,
_xlpm._numActiveCountermeasures,Helper!$B$9,
_xlpm._numAdditionalAssumptions,Helper!$B$10,
_xlpm._numAdditionalCountermeasures,Helper!$B$11,
IF(_xlpm._isAssumption,
IF(_xlpm._row&gt;_xlpm._numActiveAssumptions,
$Y32&amp;"-A"&amp;$T32,
INDEX(Assumptions!A:A,MATCH(_xlpm._row,Assumptions!$AC:$AC,0))),
IF(_xlpm._row&gt;_xlpm._numActiveCountermeasures+_xlpm._numAdditionalCountermeasures,"",
IF(_xlpm._row&gt;_xlpm._numActiveCountermeasures,
$Y32&amp;"-C"&amp;$T32,
INDEX(Countermeasures!$A:$A,MATCH(_xlpm._row,Countermeasures!$AE:$AE,0))))))</f>
        <v/>
      </c>
      <c r="B32" s="106" t="str" cm="1">
        <f t="array" aca="1" ref="B32" ca="1">IF($A32="","",
_xlfn.LET(
_xlpm._isAssumption,$M32,
_xlpm._isAdditionalElement,$O32,
IF(_xlpm._isAdditionalElement,
IF(_xlpm._isAssumption,
ParseElementsFromComment($X32,Definitions!$AR$4,Definitions!$AS$4,Definitions!$AR$6,$T32),
ParseElementsFromComment($X32,Definitions!$AR$5,Definitions!$AS$5,Definitions!$AR$6,$T32)),
_xlfn.LET(_xlpm._value,IF($A32="","",IF($M32,SimpleLookup($A32,Assumptions!$A:$B),SimpleLookup($A32,Countermeasures!$A:$B))),IF(_xlpm._value="","",_xlpm._value)))))</f>
        <v/>
      </c>
      <c r="C32" s="106" t="str" cm="1">
        <f t="array" aca="1" ref="C32" ca="1">IF($A32="","",IF($M32,IFERROR(SimpleLookup($A32,Assumptions!$A:$E),""),Definitions!$AO$4))</f>
        <v/>
      </c>
      <c r="D32" s="103" t="str">
        <f t="shared" ca="1" si="2"/>
        <v/>
      </c>
      <c r="E32" s="107"/>
      <c r="F32" s="108" t="str">
        <f t="shared" ca="1" si="3"/>
        <v/>
      </c>
      <c r="G32" s="102" t="str" cm="1">
        <f t="array" aca="1" ref="G32" ca="1">_xlfn.LET(_xlpm._val,IFERROR(SimpleLookup($A32,Countermeasures!$A:$S),IFERROR(SimpleLookup($A32,Assumptions!$A:$S),"")),IF(_xlpm._val="","",_xlpm._val))</f>
        <v/>
      </c>
      <c r="H32" s="109" t="str">
        <f>""</f>
        <v/>
      </c>
      <c r="I32" s="102" t="str">
        <f t="shared" ca="1" si="4"/>
        <v/>
      </c>
      <c r="J32" s="102" t="str">
        <f t="shared" ca="1" si="5"/>
        <v/>
      </c>
      <c r="K32" s="106" t="str" cm="1">
        <f t="array" aca="1" ref="K32" ca="1">_xlfn.LET(_xlpm._value,IF($A32="","",IFERROR(IF($M32,SimpleLookup($A32,Assumptions!$A:$T),SimpleLookup($A32,Countermeasures!$A:$T)),"")),
IF(_xlpm._value="","",_xlpm._value))</f>
        <v/>
      </c>
      <c r="L32" s="9" cm="1">
        <f t="array" aca="1" ref="L32" ca="1">CreateID($L$17,$A32&lt;&gt;"")</f>
        <v>11</v>
      </c>
      <c r="M32" s="9" t="b">
        <f ca="1">_xlfn.LET(_xlpm._row,ROW()-ROW($N$17),
_xlpm._numActiveAssumptions,Helper!$B$8,
_xlpm._numAdditionalAssumptions,SUM(Table24['# Elements]),
_xlpm._row&lt;=_xlpm._numActiveAssumptions+_xlpm._numAdditionalAssumptions)</f>
        <v>0</v>
      </c>
      <c r="N32" s="9">
        <f ca="1">_xlfn.LET(_xlpm._row,ROW()-ROW($N$17),
_xlpm._numActiveAssumptions,Helper!$B$8,
_xlpm._numAdditionalAssumptions,Helper!$B$10,
_xlpm._isAssumption,$M32,
_xlpm._elementID,IF(_xlpm._isAssumption,_xlpm._row,_xlpm._row-_xlpm._numActiveAssumptions-_xlpm._numAdditionalAssumptions),
_xlpm._elementID)</f>
        <v>11</v>
      </c>
      <c r="O32"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32" s="11" cm="1">
        <f t="array" aca="1" ref="P32" ca="1">IF($O32,
IF(ROW()=ROW($P$17)+1,1,INDEX($P:$P,ROW()-1)+IF(INDEX($W:$W,ROW()-1),1,0)),
1)</f>
        <v>1</v>
      </c>
      <c r="Q32" s="11" t="str" cm="1">
        <f t="array" aca="1" ref="Q32" ca="1">IF($O32=TRUE,
_xlfn.LET(
_xlpm._isAssumption,$M32,
_xlpm._indexRange,IF(_xlpm._isAssumption,Table24['# Elements],Table25['# Elements]),
_xlpm._lookupRow,$Z32,
INDEX(_xlpm._indexRange,_xlpm._lookupRow)),
"")</f>
        <v/>
      </c>
      <c r="R32" s="11" t="str" cm="1">
        <f t="array" aca="1" ref="R32" ca="1">IF($Q32="","",_xlfn.LET(
_xlpm._prevRow,ROW()-1,
IF(OR(INDEX($Q:$Q,_xlpm._prevRow)&lt;&gt;$Q32,INDEX($P:$P,_xlpm._prevRow)&lt;&gt;$P32),
1,
INDEX($R:$R,_xlpm._prevRow)+IF(INDEX($V:$V,_xlpm._prevRow),1,0))))</f>
        <v/>
      </c>
      <c r="S32" s="11" t="str" cm="1">
        <f t="array" aca="1" ref="S32" ca="1">IF($R32="","",_xlfn.LET(
_xlpm._isAssumption,$M32,
_xlpm._sheetRow,$Z32,
_xlpm._sheetName,$AA32,
_xlpm._elementIDRange,IF(_xlpm._isAssumption,Table24[Element ID Column],Table25[Element ID Column]),
_xlpm._numberOfElementsRange,IF(_xlpm._isAssumption,Table24[Number of Elements Column],Table25[Number of Elements Column]),
SimpleLookup($R32,INDIRECT("'"&amp;_xlpm._sheetName&amp;"'!"&amp;INDEX(_xlpm._elementIDRange,_xlpm._sheetRow)&amp;":"&amp;INDEX(_xlpm._numberOfElementsRange,_xlpm._sheetRow)))))</f>
        <v/>
      </c>
      <c r="T32" s="11" t="str" cm="1">
        <f t="array" aca="1" ref="T32" ca="1">IF($R32="","",IF(OR(INDEX($R:$R,ROW()-1)&lt;&gt;$R32,INDEX($P:$P,ROW()-1)&lt;&gt;$P32),1,INDEX($T:$T,ROW()-1)+1))</f>
        <v/>
      </c>
      <c r="U32" s="11">
        <f t="shared" ca="1" si="6"/>
        <v>0</v>
      </c>
      <c r="V32" s="11" t="str">
        <f t="shared" ca="1" si="7"/>
        <v/>
      </c>
      <c r="W32" s="11" t="b">
        <f ca="1">_xlfn.LET(
_xlpm._isAssumption,$M32,
_xlpm._numberOfElementsRange,IF(_xlpm._isAssumption,Table24['# Elements],Table25['# Elements]),
_xlpm._sheetRow,$Z32,
IF($O32,AND($V32,$U32=$Q32),FALSE))</f>
        <v>0</v>
      </c>
      <c r="X32" s="11" t="str" cm="1">
        <f t="array" aca="1" ref="X32" ca="1">IF($O32,
_xlfn.LET(
_xlpm._elementID,$R32,
_xlpm._isAssumption,$M32,
_xlpm._sheetRow,$Z32,
_xlpm._sheetName,$AA32,
_xlpm._elementRow,$AB32,
_xlpm._resultColumnLetter,IF(_xlpm._isAssumption,INDEX(Table24[Comment Column],_xlpm._sheetRow),INDEX(Table25[Comment Column],_xlpm._sheetRow)),
INDEX(INDIRECT("'"&amp;_xlpm._sheetName&amp;"'!"&amp;_xlpm._resultColumnLetter&amp;":"&amp;_xlpm._resultColumnLetter),_xlpm._elementRow)),
"")</f>
        <v/>
      </c>
      <c r="Y32" s="11" t="str" cm="1">
        <f t="array" aca="1" ref="Y32" ca="1">IF($O32,
_xlfn.LET(
_xlpm._elementID,$R32,
_xlpm._isAssumption,$M32,
_xlpm._sheetRow,$Z32,
_xlpm._sheetName,$AA32,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32" s="11" t="str">
        <f ca="1">IF($O32=TRUE,
_xlfn.LET(
_xlpm._isAssumption,$M32,
_xlpm._searchRange,IF(_xlpm._isAssumption,Table24[Task Sheet Shadow ID],Table25[Task Sheet Shadow ID]),
MATCH($P32,_xlpm._searchRange,0)),
"")</f>
        <v/>
      </c>
      <c r="AA32" s="11" t="str" cm="1">
        <f t="array" aca="1" ref="AA32" ca="1">IF($O32,
_xlfn.LET(
_xlpm._isAssumption,$M32,
_xlpm._sheetRow,$Z32,
IF(_xlpm._isAssumption,INDEX(Table24[Sheet Name],_xlpm._sheetRow),INDEX(Table25[Sheet Name],_xlpm._sheetRow))),
"")</f>
        <v/>
      </c>
      <c r="AB32" s="11" t="str" cm="1">
        <f t="array" aca="1" ref="AB32" ca="1">IF($O32,
_xlfn.LET(
_xlpm._elementID,$R32,
_xlpm._isAssumption,$M32,
_xlpm._sheetRow,$Z32,
_xlpm._sheetName,$AA32,
_xlpm._elementIDColumnLetter,IF(_xlpm._isAssumption,INDEX(Table24[Element ID Column],_xlpm._sheetRow),INDEX(Table25[Element ID Column],_xlpm._sheetRow)),
MATCH(_xlpm._elementID,INDIRECT("'"&amp;_xlpm._sheetName&amp;"'!"&amp;_xlpm._elementIDColumnLetter&amp;":"&amp;_xlpm._elementIDColumnLetter),0)),
"")</f>
        <v/>
      </c>
      <c r="AC32" s="11" t="str" cm="1">
        <f t="array" aca="1" ref="AC32" ca="1">IF($A32="","",_xlfn.LET(
_xlpm._isAssumption,$M32,
_xlpm._isAdditionalElement,$O32,
_xlpm._sheetRow,$Z32,
_xlpm._sheetName,$AA32,
_xlpm._columnLetter,INDEX(IF(_xlpm._isAdditionalElement,Table24[Comment Column],Table25[Comment Column]),_xlpm._sheetRow),
_xlpm._sheetReference,IF(_xlpm._isAssumption,IF(_xlpm._isAdditionalElement,
CELL("address",INDEX(INDIRECT("'"&amp;_xlpm._sheetName&amp;"'!"&amp;_xlpm._columnLetter&amp;":"&amp;_xlpm._columnLetter),$AB32)),
CELL("address",INDEX(Assumptions!$A:$A,MATCH($A32,Assumptions!$A:$A,0),1))),
IF(_xlpm._isAdditionalElement,
CELL("address",INDEX(INDIRECT("'"&amp;_xlpm._sheetName&amp;"'!"&amp;_xlpm._columnLetter&amp;":"&amp;_xlpm._columnLetter),$AB32)),
CELL("address",INDEX(Countermeasures!$A:$A,MATCH($A32,Countermeasures!$A:$A,0),1)))),
_xlpm._start,FIND("]",_xlpm._sheetReference),
"'"&amp;SUBSTITUTE(SUBSTITUTE(RIGHT(_xlpm._sheetReference,LEN(_xlpm._sheetReference)-_xlpm._start),"'",""),"!","'!")))</f>
        <v/>
      </c>
      <c r="AD32" s="11" t="str" cm="1">
        <f t="array" aca="1" ref="AD32" ca="1">IF(NOT($O32),
_xlfn.LET(_xlpm._value,IF($A32="","",IF($M32,SimpleLookup($A32,Assumptions!$A:$AG),SimpleLookup($A32,Countermeasures!$A:$AJ))),
IF(_xlpm._value="","",_xlpm._value)),
"")</f>
        <v/>
      </c>
      <c r="AE32" s="11" t="str" cm="1">
        <f t="array" aca="1" ref="AE32" ca="1">LookupNames(InverseLookup($A32,Mitigation!$AD$2,Mitigation!$A$2,1,Helper!$B$5,","),'Attack Steps'!$A:$B)</f>
        <v/>
      </c>
      <c r="AF32" s="11" t="str" cm="1">
        <f t="array" aca="1" ref="AF32" ca="1">IF($O32,
_xlfn.LET(
_xlpm._in,$A32,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32" s="11" t="str" cm="1">
        <f t="array" aca="1" ref="AG32" ca="1">_xlfn.LET(
_xlpm._countermeasures,InverseLookup($A32,Countermeasures!$AC$2,Countermeasures!$A$2,1,Helper!$B$4,","),
LookupNames(_xlpm._countermeasures,Countermeasures!$A:$B))</f>
        <v/>
      </c>
      <c r="AH32" s="11" t="str" cm="1">
        <f t="array" aca="1" ref="AH32" ca="1">IF($E32="","",_xlfn.LET(
_xlpm._id,$E32,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32" s="11" t="str" cm="1">
        <f t="array" aca="1" ref="AI32" ca="1">IF(OR($A32="",$O32),"",_xlfn.LET(
_xlpm._answers,IF($M32,SimpleLookup($A32,Assumptions!$A:$F),SimpleLookup($A32,Countermeasures!$A:$D)),
IF(_xlpm._answers="*",IF($M32,SimpleLookup($A32,Assumptions!$A:$C),SimpleLookup($A32,Countermeasures!$A:$C)),"")))</f>
        <v/>
      </c>
      <c r="AJ32" s="11" t="str" cm="1">
        <f t="array" aca="1" ref="AJ32" ca="1">IF(NOT($O32),"",_xlfn.LET(
_xlpm._mappedInMitigation,IFERROR(VLOOKUP($Y32,'Attack Steps'!$A:$P,COLUMNS('Attack Steps'!$A:$P),FALSE),""),
CreateSearchString(_xlpm._mappedInMitigation)))</f>
        <v/>
      </c>
      <c r="AK32" s="11" t="b">
        <f ca="1">ROW()-ROW($AK$17)=Helper!$B$15</f>
        <v>0</v>
      </c>
      <c r="AL32" s="11" t="str">
        <f t="shared" ca="1" si="8"/>
        <v/>
      </c>
      <c r="AM32" s="11" cm="1">
        <f t="array" aca="1" ref="AM32" ca="1">CreateID($AM$17,$AL32&lt;&gt;"")</f>
        <v>0</v>
      </c>
      <c r="AN32" s="11" t="str" cm="1">
        <f t="array" aca="1" ref="AN32" ca="1">IF($O32,"",
_xlfn.LET(
_xlpm._this,SanitizeInput($A32)&amp;AT32,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32" s="11" t="str" cm="1">
        <f t="array" aca="1" ref="AO32" ca="1">IF($O32,"",_xlfn.LET(
_xlpm._listOfRisksAndLevels,SanitizeInput($AN32),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_xlpm._shortenedList,IF($H32="",_xlpm._risksWithMaxValue,
  IF(LEN(_xlpm._risksWithMaxValue)-LEN(SUBSTITUTE(_xlpm._risksWithMaxValue,",",""))&lt;=$H32,_xlpm._risksWithMaxValue,
    LEFT(_xlpm._risksWithMaxValue,FIND(CHAR(1),SUBSTITUTE(_xlpm._risksWithMaxValue,",",CHAR(1),$H32))))),
IF(_xlpm._maxRiskValue="","",
  _xlpm._lineMainSeparator&amp;
  INDEX(Definitions!$AE:$AE,MATCH(_xlpm._maxRiskValue,Definitions!$AF:$AF,0))&amp;CHAR(10)&amp;
  _xlpm._lineMainSeparator&amp;
  RemoveDelimiter(GetValues(_xlpm._shortenedList,Risks!$A:$B," ",CHAR(10)&amp;_xlpm._lineMainSeparator,TRUE),CHAR(10)&amp;_xlpm._lineMainSeparator))))</f>
        <v/>
      </c>
      <c r="AP32" s="11" t="str" cm="1">
        <f t="array" aca="1" ref="AP32" ca="1">IF($O32,"",_xlfn.LET(
_xlpm._lineMainSeparator,REPT(_xlfn.UNICHAR(9552),63)&amp;CHAR(10),
_xlpm._affectedRisks,InverseLookupList(SanitizeInput($A32)&amp;$AT32,Risks!$AX$2,Risks!$A$2,Helper!$B$1,","),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_xlpm._shortenedList,IF($H32="",_xlpm._risksWithMaxValue,
  IF(LEN(_xlpm._risksWithMaxValue)-LEN(SUBSTITUTE(_xlpm._risksWithMaxValue,",",""))&lt;=$H32,_xlpm._risksWithMaxValue,
    LEFT(_xlpm._risksWithMaxValue,FIND(CHAR(1),SUBSTITUTE(_xlpm._risksWithMaxValue,",",CHAR(1),$H32))))),
IF(_xlpm._maxRiskValue="","",
  _xlpm._lineMainSeparator&amp;
  INDEX(Definitions!$AE:$AE,MATCH(_xlpm._maxRiskValue,Definitions!$AF:$AF,0))&amp;CHAR(10)&amp;
  _xlpm._lineMainSeparator&amp;
  RemoveDelimiter(GetValues(_xlpm._shortenedList,Risks!$A:$B," ",CHAR(10)&amp;_xlpm._lineMainSeparator,TRUE),CHAR(10)&amp;_xlpm._lineMainSeparator))))</f>
        <v/>
      </c>
      <c r="AQ32" s="11" t="str" cm="1">
        <f t="array" aca="1" ref="AQ32" ca="1">IF(NOT($O32),"",
_xlfn.LET(
_xlpm._potentialASID,$Y32,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_xlpm._commentsFiltered,SUBSTITUTE(GetValues(_xlpm._attackSteps,Mitigation!$A:$O,"","",FALSE),$X32,""),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32" s="11" t="str" cm="1">
        <f t="array" aca="1" ref="AR32" ca="1">IF(NOT($O32),"",_xlfn.LET(
_xlpm._listOfRisksAndLevels,SanitizeInput($AQ32),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_xlpm._shortenedList,IF($H32="",_xlpm._risksWithMaxValue,
  IF(LEN(_xlpm._risksWithMaxValue)-LEN(SUBSTITUTE(_xlpm._risksWithMaxValue,",",""))&lt;=$H32,_xlpm._risksWithMaxValue,
    LEFT(_xlpm._risksWithMaxValue,FIND(CHAR(1),SUBSTITUTE(_xlpm._risksWithMaxValue,",",CHAR(1),$H32))))),
IF(_xlpm._maxRiskValue="","",
  _xlpm._lineMainSeparator&amp;
  INDEX(Definitions!$AE:$AE,MATCH(_xlpm._maxRiskValue,Definitions!$AF:$AF,0))&amp;CHAR(10)&amp;
  _xlpm._lineMainSeparator&amp;
  RemoveDelimiter(GetValues(_xlpm._shortenedList,Risks!$A:$B," ",CHAR(10)&amp;_xlpm._lineMainSeparator,TRUE),CHAR(10)&amp;_xlpm._lineMainSeparator))))</f>
        <v/>
      </c>
      <c r="AS32" s="11" t="str" cm="1">
        <f t="array" aca="1" ref="AS32" ca="1">IF(NOT($O32),"",
_xlfn.LET(
_xlpm._lineMainSeparator,REPT(_xlfn.UNICHAR(9552),63)&amp;CHAR(10),
_xlpm._potentialASID,$Y32,
_xlpm._risk,IFERROR(SimpleLookup(_xlpm._potentialASID,Mitigation!$A:$N),""),
_xlpm._attackPaths,IFERROR(SimpleLookup(_xlpm._potentialASID,Mitigation!$A:$M),""),
IF(_xlpm._risk="","",
_xlpm._lineMainSeparator&amp;
_xlpm._risk&amp;CHAR(10)&amp;
_xlpm._lineMainSeparator&amp;
_xlpm._attackPaths)))</f>
        <v/>
      </c>
      <c r="AT32" s="11" t="str" cm="1">
        <f t="array" aca="1" ref="AT32" ca="1">InverseLookup($A32,Countermeasures!$AA$2,Countermeasures!$A$2,1,Helper!$B$4,",")</f>
        <v/>
      </c>
    </row>
    <row r="33" spans="1:47" x14ac:dyDescent="0.25">
      <c r="A33" s="106" t="str">
        <f ca="1">_xlfn.LET(
_xlpm._isAssumption,$M33,
_xlpm._row,$N33,
_xlpm._numActiveAssumptions,Helper!$B$8,
_xlpm._numActiveCountermeasures,Helper!$B$9,
_xlpm._numAdditionalAssumptions,Helper!$B$10,
_xlpm._numAdditionalCountermeasures,Helper!$B$11,
IF(_xlpm._isAssumption,
IF(_xlpm._row&gt;_xlpm._numActiveAssumptions,
$Y33&amp;"-A"&amp;$T33,
INDEX(Assumptions!A:A,MATCH(_xlpm._row,Assumptions!$AC:$AC,0))),
IF(_xlpm._row&gt;_xlpm._numActiveCountermeasures+_xlpm._numAdditionalCountermeasures,"",
IF(_xlpm._row&gt;_xlpm._numActiveCountermeasures,
$Y33&amp;"-C"&amp;$T33,
INDEX(Countermeasures!$A:$A,MATCH(_xlpm._row,Countermeasures!$AE:$AE,0))))))</f>
        <v/>
      </c>
      <c r="B33" s="106" t="str" cm="1">
        <f t="array" aca="1" ref="B33" ca="1">IF($A33="","",
_xlfn.LET(
_xlpm._isAssumption,$M33,
_xlpm._isAdditionalElement,$O33,
IF(_xlpm._isAdditionalElement,
IF(_xlpm._isAssumption,
ParseElementsFromComment($X33,Definitions!$AR$4,Definitions!$AS$4,Definitions!$AR$6,$T33),
ParseElementsFromComment($X33,Definitions!$AR$5,Definitions!$AS$5,Definitions!$AR$6,$T33)),
_xlfn.LET(_xlpm._value,IF($A33="","",IF($M33,SimpleLookup($A33,Assumptions!$A:$B),SimpleLookup($A33,Countermeasures!$A:$B))),IF(_xlpm._value="","",_xlpm._value)))))</f>
        <v/>
      </c>
      <c r="C33" s="106" t="str" cm="1">
        <f t="array" aca="1" ref="C33" ca="1">IF($A33="","",IF($M33,IFERROR(SimpleLookup($A33,Assumptions!$A:$E),""),Definitions!$AO$4))</f>
        <v/>
      </c>
      <c r="D33" s="103" t="str">
        <f t="shared" ca="1" si="2"/>
        <v/>
      </c>
      <c r="E33" s="107"/>
      <c r="F33" s="108" t="str">
        <f t="shared" ca="1" si="3"/>
        <v/>
      </c>
      <c r="G33" s="102" t="str" cm="1">
        <f t="array" aca="1" ref="G33" ca="1">_xlfn.LET(_xlpm._val,IFERROR(SimpleLookup($A33,Countermeasures!$A:$S),IFERROR(SimpleLookup($A33,Assumptions!$A:$S),"")),IF(_xlpm._val="","",_xlpm._val))</f>
        <v/>
      </c>
      <c r="H33" s="109" t="str">
        <f>""</f>
        <v/>
      </c>
      <c r="I33" s="102" t="str">
        <f t="shared" ca="1" si="4"/>
        <v/>
      </c>
      <c r="J33" s="102" t="str">
        <f t="shared" ca="1" si="5"/>
        <v/>
      </c>
      <c r="K33" s="106" t="str" cm="1">
        <f t="array" aca="1" ref="K33" ca="1">_xlfn.LET(_xlpm._value,IF($A33="","",IFERROR(IF($M33,SimpleLookup($A33,Assumptions!$A:$T),SimpleLookup($A33,Countermeasures!$A:$T)),"")),
IF(_xlpm._value="","",_xlpm._value))</f>
        <v/>
      </c>
      <c r="L33" s="9" cm="1">
        <f t="array" aca="1" ref="L33" ca="1">CreateID($L$17,$A33&lt;&gt;"")</f>
        <v>11</v>
      </c>
      <c r="M33" s="9" t="b">
        <f ca="1">_xlfn.LET(_xlpm._row,ROW()-ROW($N$17),
_xlpm._numActiveAssumptions,Helper!$B$8,
_xlpm._numAdditionalAssumptions,SUM(Table24['# Elements]),
_xlpm._row&lt;=_xlpm._numActiveAssumptions+_xlpm._numAdditionalAssumptions)</f>
        <v>0</v>
      </c>
      <c r="N33" s="9">
        <f ca="1">_xlfn.LET(_xlpm._row,ROW()-ROW($N$17),
_xlpm._numActiveAssumptions,Helper!$B$8,
_xlpm._numAdditionalAssumptions,Helper!$B$10,
_xlpm._isAssumption,$M33,
_xlpm._elementID,IF(_xlpm._isAssumption,_xlpm._row,_xlpm._row-_xlpm._numActiveAssumptions-_xlpm._numAdditionalAssumptions),
_xlpm._elementID)</f>
        <v>12</v>
      </c>
      <c r="O33"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33" s="11" cm="1">
        <f t="array" aca="1" ref="P33" ca="1">IF($O33,
IF(ROW()=ROW($P$17)+1,1,INDEX($P:$P,ROW()-1)+IF(INDEX($W:$W,ROW()-1),1,0)),
1)</f>
        <v>1</v>
      </c>
      <c r="Q33" s="11" t="str" cm="1">
        <f t="array" aca="1" ref="Q33" ca="1">IF($O33=TRUE,
_xlfn.LET(
_xlpm._isAssumption,$M33,
_xlpm._indexRange,IF(_xlpm._isAssumption,Table24['# Elements],Table25['# Elements]),
_xlpm._lookupRow,$Z33,
INDEX(_xlpm._indexRange,_xlpm._lookupRow)),
"")</f>
        <v/>
      </c>
      <c r="R33" s="11" t="str" cm="1">
        <f t="array" aca="1" ref="R33" ca="1">IF($Q33="","",_xlfn.LET(
_xlpm._prevRow,ROW()-1,
IF(OR(INDEX($Q:$Q,_xlpm._prevRow)&lt;&gt;$Q33,INDEX($P:$P,_xlpm._prevRow)&lt;&gt;$P33),
1,
INDEX($R:$R,_xlpm._prevRow)+IF(INDEX($V:$V,_xlpm._prevRow),1,0))))</f>
        <v/>
      </c>
      <c r="S33" s="11" t="str" cm="1">
        <f t="array" aca="1" ref="S33" ca="1">IF($R33="","",_xlfn.LET(
_xlpm._isAssumption,$M33,
_xlpm._sheetRow,$Z33,
_xlpm._sheetName,$AA33,
_xlpm._elementIDRange,IF(_xlpm._isAssumption,Table24[Element ID Column],Table25[Element ID Column]),
_xlpm._numberOfElementsRange,IF(_xlpm._isAssumption,Table24[Number of Elements Column],Table25[Number of Elements Column]),
SimpleLookup($R33,INDIRECT("'"&amp;_xlpm._sheetName&amp;"'!"&amp;INDEX(_xlpm._elementIDRange,_xlpm._sheetRow)&amp;":"&amp;INDEX(_xlpm._numberOfElementsRange,_xlpm._sheetRow)))))</f>
        <v/>
      </c>
      <c r="T33" s="11" t="str" cm="1">
        <f t="array" aca="1" ref="T33" ca="1">IF($R33="","",IF(OR(INDEX($R:$R,ROW()-1)&lt;&gt;$R33,INDEX($P:$P,ROW()-1)&lt;&gt;$P33),1,INDEX($T:$T,ROW()-1)+1))</f>
        <v/>
      </c>
      <c r="U33" s="11">
        <f t="shared" ca="1" si="6"/>
        <v>0</v>
      </c>
      <c r="V33" s="11" t="str">
        <f t="shared" ca="1" si="7"/>
        <v/>
      </c>
      <c r="W33" s="11" t="b">
        <f ca="1">_xlfn.LET(
_xlpm._isAssumption,$M33,
_xlpm._numberOfElementsRange,IF(_xlpm._isAssumption,Table24['# Elements],Table25['# Elements]),
_xlpm._sheetRow,$Z33,
IF($O33,AND($V33,$U33=$Q33),FALSE))</f>
        <v>0</v>
      </c>
      <c r="X33" s="11" t="str" cm="1">
        <f t="array" aca="1" ref="X33" ca="1">IF($O33,
_xlfn.LET(
_xlpm._elementID,$R33,
_xlpm._isAssumption,$M33,
_xlpm._sheetRow,$Z33,
_xlpm._sheetName,$AA33,
_xlpm._elementRow,$AB33,
_xlpm._resultColumnLetter,IF(_xlpm._isAssumption,INDEX(Table24[Comment Column],_xlpm._sheetRow),INDEX(Table25[Comment Column],_xlpm._sheetRow)),
INDEX(INDIRECT("'"&amp;_xlpm._sheetName&amp;"'!"&amp;_xlpm._resultColumnLetter&amp;":"&amp;_xlpm._resultColumnLetter),_xlpm._elementRow)),
"")</f>
        <v/>
      </c>
      <c r="Y33" s="11" t="str" cm="1">
        <f t="array" aca="1" ref="Y33" ca="1">IF($O33,
_xlfn.LET(
_xlpm._elementID,$R33,
_xlpm._isAssumption,$M33,
_xlpm._sheetRow,$Z33,
_xlpm._sheetName,$AA33,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33" s="11" t="str">
        <f ca="1">IF($O33=TRUE,
_xlfn.LET(
_xlpm._isAssumption,$M33,
_xlpm._searchRange,IF(_xlpm._isAssumption,Table24[Task Sheet Shadow ID],Table25[Task Sheet Shadow ID]),
MATCH($P33,_xlpm._searchRange,0)),
"")</f>
        <v/>
      </c>
      <c r="AA33" s="11" t="str" cm="1">
        <f t="array" aca="1" ref="AA33" ca="1">IF($O33,
_xlfn.LET(
_xlpm._isAssumption,$M33,
_xlpm._sheetRow,$Z33,
IF(_xlpm._isAssumption,INDEX(Table24[Sheet Name],_xlpm._sheetRow),INDEX(Table25[Sheet Name],_xlpm._sheetRow))),
"")</f>
        <v/>
      </c>
      <c r="AB33" s="11" t="str" cm="1">
        <f t="array" aca="1" ref="AB33" ca="1">IF($O33,
_xlfn.LET(
_xlpm._elementID,$R33,
_xlpm._isAssumption,$M33,
_xlpm._sheetRow,$Z33,
_xlpm._sheetName,$AA33,
_xlpm._elementIDColumnLetter,IF(_xlpm._isAssumption,INDEX(Table24[Element ID Column],_xlpm._sheetRow),INDEX(Table25[Element ID Column],_xlpm._sheetRow)),
MATCH(_xlpm._elementID,INDIRECT("'"&amp;_xlpm._sheetName&amp;"'!"&amp;_xlpm._elementIDColumnLetter&amp;":"&amp;_xlpm._elementIDColumnLetter),0)),
"")</f>
        <v/>
      </c>
      <c r="AC33" s="11" t="str" cm="1">
        <f t="array" aca="1" ref="AC33" ca="1">IF($A33="","",_xlfn.LET(
_xlpm._isAssumption,$M33,
_xlpm._isAdditionalElement,$O33,
_xlpm._sheetRow,$Z33,
_xlpm._sheetName,$AA33,
_xlpm._columnLetter,INDEX(IF(_xlpm._isAdditionalElement,Table24[Comment Column],Table25[Comment Column]),_xlpm._sheetRow),
_xlpm._sheetReference,IF(_xlpm._isAssumption,IF(_xlpm._isAdditionalElement,
CELL("address",INDEX(INDIRECT("'"&amp;_xlpm._sheetName&amp;"'!"&amp;_xlpm._columnLetter&amp;":"&amp;_xlpm._columnLetter),$AB33)),
CELL("address",INDEX(Assumptions!$A:$A,MATCH($A33,Assumptions!$A:$A,0),1))),
IF(_xlpm._isAdditionalElement,
CELL("address",INDEX(INDIRECT("'"&amp;_xlpm._sheetName&amp;"'!"&amp;_xlpm._columnLetter&amp;":"&amp;_xlpm._columnLetter),$AB33)),
CELL("address",INDEX(Countermeasures!$A:$A,MATCH($A33,Countermeasures!$A:$A,0),1)))),
_xlpm._start,FIND("]",_xlpm._sheetReference),
"'"&amp;SUBSTITUTE(SUBSTITUTE(RIGHT(_xlpm._sheetReference,LEN(_xlpm._sheetReference)-_xlpm._start),"'",""),"!","'!")))</f>
        <v/>
      </c>
      <c r="AD33" s="11" t="str" cm="1">
        <f t="array" aca="1" ref="AD33" ca="1">IF(NOT($O33),
_xlfn.LET(_xlpm._value,IF($A33="","",IF($M33,SimpleLookup($A33,Assumptions!$A:$AG),SimpleLookup($A33,Countermeasures!$A:$AJ))),
IF(_xlpm._value="","",_xlpm._value)),
"")</f>
        <v/>
      </c>
      <c r="AE33" s="11" t="str" cm="1">
        <f t="array" aca="1" ref="AE33" ca="1">LookupNames(InverseLookup($A33,Mitigation!$AD$2,Mitigation!$A$2,1,Helper!$B$5,","),'Attack Steps'!$A:$B)</f>
        <v/>
      </c>
      <c r="AF33" s="11" t="str" cm="1">
        <f t="array" aca="1" ref="AF33" ca="1">IF($O33,
_xlfn.LET(
_xlpm._in,$A33,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33" s="11" t="str" cm="1">
        <f t="array" aca="1" ref="AG33" ca="1">_xlfn.LET(
_xlpm._countermeasures,InverseLookup($A33,Countermeasures!$AC$2,Countermeasures!$A$2,1,Helper!$B$4,","),
LookupNames(_xlpm._countermeasures,Countermeasures!$A:$B))</f>
        <v/>
      </c>
      <c r="AH33" s="11" t="str" cm="1">
        <f t="array" aca="1" ref="AH33" ca="1">IF($E33="","",_xlfn.LET(
_xlpm._id,$E33,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33" s="11" t="str" cm="1">
        <f t="array" aca="1" ref="AI33" ca="1">IF(OR($A33="",$O33),"",_xlfn.LET(
_xlpm._answers,IF($M33,SimpleLookup($A33,Assumptions!$A:$F),SimpleLookup($A33,Countermeasures!$A:$D)),
IF(_xlpm._answers="*",IF($M33,SimpleLookup($A33,Assumptions!$A:$C),SimpleLookup($A33,Countermeasures!$A:$C)),"")))</f>
        <v/>
      </c>
      <c r="AJ33" s="11" t="str" cm="1">
        <f t="array" aca="1" ref="AJ33" ca="1">IF(NOT($O33),"",_xlfn.LET(
_xlpm._mappedInMitigation,IFERROR(VLOOKUP($Y33,'Attack Steps'!$A:$P,COLUMNS('Attack Steps'!$A:$P),FALSE),""),
CreateSearchString(_xlpm._mappedInMitigation)))</f>
        <v/>
      </c>
      <c r="AK33" s="11" t="b">
        <f ca="1">ROW()-ROW($AK$17)=Helper!$B$15</f>
        <v>0</v>
      </c>
      <c r="AL33" s="11" t="str">
        <f t="shared" ca="1" si="8"/>
        <v/>
      </c>
      <c r="AM33" s="11" cm="1">
        <f t="array" aca="1" ref="AM33" ca="1">CreateID($AM$17,$AL33&lt;&gt;"")</f>
        <v>0</v>
      </c>
      <c r="AN33" s="11" t="str" cm="1">
        <f t="array" aca="1" ref="AN33" ca="1">IF($O33,"",
_xlfn.LET(
_xlpm._this,SanitizeInput($A33)&amp;AT33,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33" s="11" t="str" cm="1">
        <f t="array" aca="1" ref="AO33" ca="1">IF($O33,"",_xlfn.LET(
_xlpm._listOfRisksAndLevels,SanitizeInput($AN33),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_xlpm._shortenedList,IF($H33="",_xlpm._risksWithMaxValue,
  IF(LEN(_xlpm._risksWithMaxValue)-LEN(SUBSTITUTE(_xlpm._risksWithMaxValue,",",""))&lt;=$H33,_xlpm._risksWithMaxValue,
    LEFT(_xlpm._risksWithMaxValue,FIND(CHAR(1),SUBSTITUTE(_xlpm._risksWithMaxValue,",",CHAR(1),$H33))))),
IF(_xlpm._maxRiskValue="","",
  _xlpm._lineMainSeparator&amp;
  INDEX(Definitions!$AE:$AE,MATCH(_xlpm._maxRiskValue,Definitions!$AF:$AF,0))&amp;CHAR(10)&amp;
  _xlpm._lineMainSeparator&amp;
  RemoveDelimiter(GetValues(_xlpm._shortenedList,Risks!$A:$B," ",CHAR(10)&amp;_xlpm._lineMainSeparator,TRUE),CHAR(10)&amp;_xlpm._lineMainSeparator))))</f>
        <v/>
      </c>
      <c r="AP33" s="11" t="str" cm="1">
        <f t="array" aca="1" ref="AP33" ca="1">IF($O33,"",_xlfn.LET(
_xlpm._lineMainSeparator,REPT(_xlfn.UNICHAR(9552),63)&amp;CHAR(10),
_xlpm._affectedRisks,InverseLookupList(SanitizeInput($A33)&amp;$AT33,Risks!$AX$2,Risks!$A$2,Helper!$B$1,","),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_xlpm._shortenedList,IF($H33="",_xlpm._risksWithMaxValue,
  IF(LEN(_xlpm._risksWithMaxValue)-LEN(SUBSTITUTE(_xlpm._risksWithMaxValue,",",""))&lt;=$H33,_xlpm._risksWithMaxValue,
    LEFT(_xlpm._risksWithMaxValue,FIND(CHAR(1),SUBSTITUTE(_xlpm._risksWithMaxValue,",",CHAR(1),$H33))))),
IF(_xlpm._maxRiskValue="","",
  _xlpm._lineMainSeparator&amp;
  INDEX(Definitions!$AE:$AE,MATCH(_xlpm._maxRiskValue,Definitions!$AF:$AF,0))&amp;CHAR(10)&amp;
  _xlpm._lineMainSeparator&amp;
  RemoveDelimiter(GetValues(_xlpm._shortenedList,Risks!$A:$B," ",CHAR(10)&amp;_xlpm._lineMainSeparator,TRUE),CHAR(10)&amp;_xlpm._lineMainSeparator))))</f>
        <v/>
      </c>
      <c r="AQ33" s="11" t="str" cm="1">
        <f t="array" aca="1" ref="AQ33" ca="1">IF(NOT($O33),"",
_xlfn.LET(
_xlpm._potentialASID,$Y33,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_xlpm._commentsFiltered,SUBSTITUTE(GetValues(_xlpm._attackSteps,Mitigation!$A:$O,"","",FALSE),$X33,""),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33" s="11" t="str" cm="1">
        <f t="array" aca="1" ref="AR33" ca="1">IF(NOT($O33),"",_xlfn.LET(
_xlpm._listOfRisksAndLevels,SanitizeInput($AQ33),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_xlpm._shortenedList,IF($H33="",_xlpm._risksWithMaxValue,
  IF(LEN(_xlpm._risksWithMaxValue)-LEN(SUBSTITUTE(_xlpm._risksWithMaxValue,",",""))&lt;=$H33,_xlpm._risksWithMaxValue,
    LEFT(_xlpm._risksWithMaxValue,FIND(CHAR(1),SUBSTITUTE(_xlpm._risksWithMaxValue,",",CHAR(1),$H33))))),
IF(_xlpm._maxRiskValue="","",
  _xlpm._lineMainSeparator&amp;
  INDEX(Definitions!$AE:$AE,MATCH(_xlpm._maxRiskValue,Definitions!$AF:$AF,0))&amp;CHAR(10)&amp;
  _xlpm._lineMainSeparator&amp;
  RemoveDelimiter(GetValues(_xlpm._shortenedList,Risks!$A:$B," ",CHAR(10)&amp;_xlpm._lineMainSeparator,TRUE),CHAR(10)&amp;_xlpm._lineMainSeparator))))</f>
        <v/>
      </c>
      <c r="AS33" s="11" t="str" cm="1">
        <f t="array" aca="1" ref="AS33" ca="1">IF(NOT($O33),"",
_xlfn.LET(
_xlpm._lineMainSeparator,REPT(_xlfn.UNICHAR(9552),63)&amp;CHAR(10),
_xlpm._potentialASID,$Y33,
_xlpm._risk,IFERROR(SimpleLookup(_xlpm._potentialASID,Mitigation!$A:$N),""),
_xlpm._attackPaths,IFERROR(SimpleLookup(_xlpm._potentialASID,Mitigation!$A:$M),""),
IF(_xlpm._risk="","",
_xlpm._lineMainSeparator&amp;
_xlpm._risk&amp;CHAR(10)&amp;
_xlpm._lineMainSeparator&amp;
_xlpm._attackPaths)))</f>
        <v/>
      </c>
      <c r="AT33" s="11" t="str" cm="1">
        <f t="array" aca="1" ref="AT33" ca="1">InverseLookup($A33,Countermeasures!$AA$2,Countermeasures!$A$2,1,Helper!$B$4,",")</f>
        <v/>
      </c>
    </row>
    <row r="34" spans="1:47" x14ac:dyDescent="0.25">
      <c r="A34" s="106" t="str">
        <f ca="1">_xlfn.LET(
_xlpm._isAssumption,$M34,
_xlpm._row,$N34,
_xlpm._numActiveAssumptions,Helper!$B$8,
_xlpm._numActiveCountermeasures,Helper!$B$9,
_xlpm._numAdditionalAssumptions,Helper!$B$10,
_xlpm._numAdditionalCountermeasures,Helper!$B$11,
IF(_xlpm._isAssumption,
IF(_xlpm._row&gt;_xlpm._numActiveAssumptions,
$Y34&amp;"-A"&amp;$T34,
INDEX(Assumptions!A:A,MATCH(_xlpm._row,Assumptions!$AC:$AC,0))),
IF(_xlpm._row&gt;_xlpm._numActiveCountermeasures+_xlpm._numAdditionalCountermeasures,"",
IF(_xlpm._row&gt;_xlpm._numActiveCountermeasures,
$Y34&amp;"-C"&amp;$T34,
INDEX(Countermeasures!$A:$A,MATCH(_xlpm._row,Countermeasures!$AE:$AE,0))))))</f>
        <v/>
      </c>
      <c r="B34" s="106" t="str" cm="1">
        <f t="array" aca="1" ref="B34" ca="1">IF($A34="","",
_xlfn.LET(
_xlpm._isAssumption,$M34,
_xlpm._isAdditionalElement,$O34,
IF(_xlpm._isAdditionalElement,
IF(_xlpm._isAssumption,
ParseElementsFromComment($X34,Definitions!$AR$4,Definitions!$AS$4,Definitions!$AR$6,$T34),
ParseElementsFromComment($X34,Definitions!$AR$5,Definitions!$AS$5,Definitions!$AR$6,$T34)),
_xlfn.LET(_xlpm._value,IF($A34="","",IF($M34,SimpleLookup($A34,Assumptions!$A:$B),SimpleLookup($A34,Countermeasures!$A:$B))),IF(_xlpm._value="","",_xlpm._value)))))</f>
        <v/>
      </c>
      <c r="C34" s="106" t="str" cm="1">
        <f t="array" aca="1" ref="C34" ca="1">IF($A34="","",IF($M34,IFERROR(SimpleLookup($A34,Assumptions!$A:$E),""),Definitions!$AO$4))</f>
        <v/>
      </c>
      <c r="D34" s="103" t="str">
        <f t="shared" ca="1" si="2"/>
        <v/>
      </c>
      <c r="E34" s="107"/>
      <c r="F34" s="108" t="str">
        <f t="shared" ca="1" si="3"/>
        <v/>
      </c>
      <c r="G34" s="102" t="str" cm="1">
        <f t="array" aca="1" ref="G34" ca="1">_xlfn.LET(_xlpm._val,IFERROR(SimpleLookup($A34,Countermeasures!$A:$S),IFERROR(SimpleLookup($A34,Assumptions!$A:$S),"")),IF(_xlpm._val="","",_xlpm._val))</f>
        <v/>
      </c>
      <c r="H34" s="109" t="str">
        <f>""</f>
        <v/>
      </c>
      <c r="I34" s="102" t="str">
        <f t="shared" ca="1" si="4"/>
        <v/>
      </c>
      <c r="J34" s="102" t="str">
        <f t="shared" ca="1" si="5"/>
        <v/>
      </c>
      <c r="K34" s="106" t="str" cm="1">
        <f t="array" aca="1" ref="K34" ca="1">_xlfn.LET(_xlpm._value,IF($A34="","",IFERROR(IF($M34,SimpleLookup($A34,Assumptions!$A:$T),SimpleLookup($A34,Countermeasures!$A:$T)),"")),
IF(_xlpm._value="","",_xlpm._value))</f>
        <v/>
      </c>
      <c r="L34" s="9" cm="1">
        <f t="array" aca="1" ref="L34" ca="1">CreateID($L$17,$A34&lt;&gt;"")</f>
        <v>11</v>
      </c>
      <c r="M34" s="9" t="b">
        <f ca="1">_xlfn.LET(_xlpm._row,ROW()-ROW($N$17),
_xlpm._numActiveAssumptions,Helper!$B$8,
_xlpm._numAdditionalAssumptions,SUM(Table24['# Elements]),
_xlpm._row&lt;=_xlpm._numActiveAssumptions+_xlpm._numAdditionalAssumptions)</f>
        <v>0</v>
      </c>
      <c r="N34" s="9">
        <f ca="1">_xlfn.LET(_xlpm._row,ROW()-ROW($N$17),
_xlpm._numActiveAssumptions,Helper!$B$8,
_xlpm._numAdditionalAssumptions,Helper!$B$10,
_xlpm._isAssumption,$M34,
_xlpm._elementID,IF(_xlpm._isAssumption,_xlpm._row,_xlpm._row-_xlpm._numActiveAssumptions-_xlpm._numAdditionalAssumptions),
_xlpm._elementID)</f>
        <v>13</v>
      </c>
      <c r="O34"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34" s="11" cm="1">
        <f t="array" aca="1" ref="P34" ca="1">IF($O34,
IF(ROW()=ROW($P$17)+1,1,INDEX($P:$P,ROW()-1)+IF(INDEX($W:$W,ROW()-1),1,0)),
1)</f>
        <v>1</v>
      </c>
      <c r="Q34" s="11" t="str" cm="1">
        <f t="array" aca="1" ref="Q34" ca="1">IF($O34=TRUE,
_xlfn.LET(
_xlpm._isAssumption,$M34,
_xlpm._indexRange,IF(_xlpm._isAssumption,Table24['# Elements],Table25['# Elements]),
_xlpm._lookupRow,$Z34,
INDEX(_xlpm._indexRange,_xlpm._lookupRow)),
"")</f>
        <v/>
      </c>
      <c r="R34" s="11" t="str" cm="1">
        <f t="array" aca="1" ref="R34" ca="1">IF($Q34="","",_xlfn.LET(
_xlpm._prevRow,ROW()-1,
IF(OR(INDEX($Q:$Q,_xlpm._prevRow)&lt;&gt;$Q34,INDEX($P:$P,_xlpm._prevRow)&lt;&gt;$P34),
1,
INDEX($R:$R,_xlpm._prevRow)+IF(INDEX($V:$V,_xlpm._prevRow),1,0))))</f>
        <v/>
      </c>
      <c r="S34" s="11" t="str" cm="1">
        <f t="array" aca="1" ref="S34" ca="1">IF($R34="","",_xlfn.LET(
_xlpm._isAssumption,$M34,
_xlpm._sheetRow,$Z34,
_xlpm._sheetName,$AA34,
_xlpm._elementIDRange,IF(_xlpm._isAssumption,Table24[Element ID Column],Table25[Element ID Column]),
_xlpm._numberOfElementsRange,IF(_xlpm._isAssumption,Table24[Number of Elements Column],Table25[Number of Elements Column]),
SimpleLookup($R34,INDIRECT("'"&amp;_xlpm._sheetName&amp;"'!"&amp;INDEX(_xlpm._elementIDRange,_xlpm._sheetRow)&amp;":"&amp;INDEX(_xlpm._numberOfElementsRange,_xlpm._sheetRow)))))</f>
        <v/>
      </c>
      <c r="T34" s="11" t="str" cm="1">
        <f t="array" aca="1" ref="T34" ca="1">IF($R34="","",IF(OR(INDEX($R:$R,ROW()-1)&lt;&gt;$R34,INDEX($P:$P,ROW()-1)&lt;&gt;$P34),1,INDEX($T:$T,ROW()-1)+1))</f>
        <v/>
      </c>
      <c r="U34" s="11">
        <f t="shared" ca="1" si="6"/>
        <v>0</v>
      </c>
      <c r="V34" s="11" t="str">
        <f t="shared" ca="1" si="7"/>
        <v/>
      </c>
      <c r="W34" s="11" t="b">
        <f ca="1">_xlfn.LET(
_xlpm._isAssumption,$M34,
_xlpm._numberOfElementsRange,IF(_xlpm._isAssumption,Table24['# Elements],Table25['# Elements]),
_xlpm._sheetRow,$Z34,
IF($O34,AND($V34,$U34=$Q34),FALSE))</f>
        <v>0</v>
      </c>
      <c r="X34" s="11" t="str" cm="1">
        <f t="array" aca="1" ref="X34" ca="1">IF($O34,
_xlfn.LET(
_xlpm._elementID,$R34,
_xlpm._isAssumption,$M34,
_xlpm._sheetRow,$Z34,
_xlpm._sheetName,$AA34,
_xlpm._elementRow,$AB34,
_xlpm._resultColumnLetter,IF(_xlpm._isAssumption,INDEX(Table24[Comment Column],_xlpm._sheetRow),INDEX(Table25[Comment Column],_xlpm._sheetRow)),
INDEX(INDIRECT("'"&amp;_xlpm._sheetName&amp;"'!"&amp;_xlpm._resultColumnLetter&amp;":"&amp;_xlpm._resultColumnLetter),_xlpm._elementRow)),
"")</f>
        <v/>
      </c>
      <c r="Y34" s="11" t="str" cm="1">
        <f t="array" aca="1" ref="Y34" ca="1">IF($O34,
_xlfn.LET(
_xlpm._elementID,$R34,
_xlpm._isAssumption,$M34,
_xlpm._sheetRow,$Z34,
_xlpm._sheetName,$AA34,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34" s="11" t="str">
        <f ca="1">IF($O34=TRUE,
_xlfn.LET(
_xlpm._isAssumption,$M34,
_xlpm._searchRange,IF(_xlpm._isAssumption,Table24[Task Sheet Shadow ID],Table25[Task Sheet Shadow ID]),
MATCH($P34,_xlpm._searchRange,0)),
"")</f>
        <v/>
      </c>
      <c r="AA34" s="11" t="str" cm="1">
        <f t="array" aca="1" ref="AA34" ca="1">IF($O34,
_xlfn.LET(
_xlpm._isAssumption,$M34,
_xlpm._sheetRow,$Z34,
IF(_xlpm._isAssumption,INDEX(Table24[Sheet Name],_xlpm._sheetRow),INDEX(Table25[Sheet Name],_xlpm._sheetRow))),
"")</f>
        <v/>
      </c>
      <c r="AB34" s="11" t="str" cm="1">
        <f t="array" aca="1" ref="AB34" ca="1">IF($O34,
_xlfn.LET(
_xlpm._elementID,$R34,
_xlpm._isAssumption,$M34,
_xlpm._sheetRow,$Z34,
_xlpm._sheetName,$AA34,
_xlpm._elementIDColumnLetter,IF(_xlpm._isAssumption,INDEX(Table24[Element ID Column],_xlpm._sheetRow),INDEX(Table25[Element ID Column],_xlpm._sheetRow)),
MATCH(_xlpm._elementID,INDIRECT("'"&amp;_xlpm._sheetName&amp;"'!"&amp;_xlpm._elementIDColumnLetter&amp;":"&amp;_xlpm._elementIDColumnLetter),0)),
"")</f>
        <v/>
      </c>
      <c r="AC34" s="11" t="str" cm="1">
        <f t="array" aca="1" ref="AC34" ca="1">IF($A34="","",_xlfn.LET(
_xlpm._isAssumption,$M34,
_xlpm._isAdditionalElement,$O34,
_xlpm._sheetRow,$Z34,
_xlpm._sheetName,$AA34,
_xlpm._columnLetter,INDEX(IF(_xlpm._isAdditionalElement,Table24[Comment Column],Table25[Comment Column]),_xlpm._sheetRow),
_xlpm._sheetReference,IF(_xlpm._isAssumption,IF(_xlpm._isAdditionalElement,
CELL("address",INDEX(INDIRECT("'"&amp;_xlpm._sheetName&amp;"'!"&amp;_xlpm._columnLetter&amp;":"&amp;_xlpm._columnLetter),$AB34)),
CELL("address",INDEX(Assumptions!$A:$A,MATCH($A34,Assumptions!$A:$A,0),1))),
IF(_xlpm._isAdditionalElement,
CELL("address",INDEX(INDIRECT("'"&amp;_xlpm._sheetName&amp;"'!"&amp;_xlpm._columnLetter&amp;":"&amp;_xlpm._columnLetter),$AB34)),
CELL("address",INDEX(Countermeasures!$A:$A,MATCH($A34,Countermeasures!$A:$A,0),1)))),
_xlpm._start,FIND("]",_xlpm._sheetReference),
"'"&amp;SUBSTITUTE(SUBSTITUTE(RIGHT(_xlpm._sheetReference,LEN(_xlpm._sheetReference)-_xlpm._start),"'",""),"!","'!")))</f>
        <v/>
      </c>
      <c r="AD34" s="11" t="str" cm="1">
        <f t="array" aca="1" ref="AD34" ca="1">IF(NOT($O34),
_xlfn.LET(_xlpm._value,IF($A34="","",IF($M34,SimpleLookup($A34,Assumptions!$A:$AG),SimpleLookup($A34,Countermeasures!$A:$AJ))),
IF(_xlpm._value="","",_xlpm._value)),
"")</f>
        <v/>
      </c>
      <c r="AE34" s="11" t="str" cm="1">
        <f t="array" aca="1" ref="AE34" ca="1">LookupNames(InverseLookup($A34,Mitigation!$AD$2,Mitigation!$A$2,1,Helper!$B$5,","),'Attack Steps'!$A:$B)</f>
        <v/>
      </c>
      <c r="AF34" s="11" t="str" cm="1">
        <f t="array" aca="1" ref="AF34" ca="1">IF($O34,
_xlfn.LET(
_xlpm._in,$A34,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34" s="11" t="str" cm="1">
        <f t="array" aca="1" ref="AG34" ca="1">_xlfn.LET(
_xlpm._countermeasures,InverseLookup($A34,Countermeasures!$AC$2,Countermeasures!$A$2,1,Helper!$B$4,","),
LookupNames(_xlpm._countermeasures,Countermeasures!$A:$B))</f>
        <v/>
      </c>
      <c r="AH34" s="11" t="str" cm="1">
        <f t="array" aca="1" ref="AH34" ca="1">IF($E34="","",_xlfn.LET(
_xlpm._id,$E34,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34" s="11" t="str" cm="1">
        <f t="array" aca="1" ref="AI34" ca="1">IF(OR($A34="",$O34),"",_xlfn.LET(
_xlpm._answers,IF($M34,SimpleLookup($A34,Assumptions!$A:$F),SimpleLookup($A34,Countermeasures!$A:$D)),
IF(_xlpm._answers="*",IF($M34,SimpleLookup($A34,Assumptions!$A:$C),SimpleLookup($A34,Countermeasures!$A:$C)),"")))</f>
        <v/>
      </c>
      <c r="AJ34" s="11" t="str" cm="1">
        <f t="array" aca="1" ref="AJ34" ca="1">IF(NOT($O34),"",_xlfn.LET(
_xlpm._mappedInMitigation,IFERROR(VLOOKUP($Y34,'Attack Steps'!$A:$P,COLUMNS('Attack Steps'!$A:$P),FALSE),""),
CreateSearchString(_xlpm._mappedInMitigation)))</f>
        <v/>
      </c>
      <c r="AK34" s="11" t="b">
        <f ca="1">ROW()-ROW($AK$17)=Helper!$B$15</f>
        <v>0</v>
      </c>
      <c r="AL34" s="11" t="str">
        <f t="shared" ca="1" si="8"/>
        <v/>
      </c>
      <c r="AM34" s="11" cm="1">
        <f t="array" aca="1" ref="AM34" ca="1">CreateID($AM$17,$AL34&lt;&gt;"")</f>
        <v>0</v>
      </c>
      <c r="AN34" s="11" t="str" cm="1">
        <f t="array" aca="1" ref="AN34" ca="1">IF($O34,"",
_xlfn.LET(
_xlpm._this,SanitizeInput($A34)&amp;AT34,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34" s="11" t="str" cm="1">
        <f t="array" aca="1" ref="AO34" ca="1">IF($O34,"",_xlfn.LET(
_xlpm._listOfRisksAndLevels,SanitizeInput($AN34),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_xlpm._shortenedList,IF($H34="",_xlpm._risksWithMaxValue,
  IF(LEN(_xlpm._risksWithMaxValue)-LEN(SUBSTITUTE(_xlpm._risksWithMaxValue,",",""))&lt;=$H34,_xlpm._risksWithMaxValue,
    LEFT(_xlpm._risksWithMaxValue,FIND(CHAR(1),SUBSTITUTE(_xlpm._risksWithMaxValue,",",CHAR(1),$H34))))),
IF(_xlpm._maxRiskValue="","",
  _xlpm._lineMainSeparator&amp;
  INDEX(Definitions!$AE:$AE,MATCH(_xlpm._maxRiskValue,Definitions!$AF:$AF,0))&amp;CHAR(10)&amp;
  _xlpm._lineMainSeparator&amp;
  RemoveDelimiter(GetValues(_xlpm._shortenedList,Risks!$A:$B," ",CHAR(10)&amp;_xlpm._lineMainSeparator,TRUE),CHAR(10)&amp;_xlpm._lineMainSeparator))))</f>
        <v/>
      </c>
      <c r="AP34" s="11" t="str" cm="1">
        <f t="array" aca="1" ref="AP34" ca="1">IF($O34,"",_xlfn.LET(
_xlpm._lineMainSeparator,REPT(_xlfn.UNICHAR(9552),63)&amp;CHAR(10),
_xlpm._affectedRisks,InverseLookupList(SanitizeInput($A34)&amp;$AT34,Risks!$AX$2,Risks!$A$2,Helper!$B$1,","),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_xlpm._shortenedList,IF($H34="",_xlpm._risksWithMaxValue,
  IF(LEN(_xlpm._risksWithMaxValue)-LEN(SUBSTITUTE(_xlpm._risksWithMaxValue,",",""))&lt;=$H34,_xlpm._risksWithMaxValue,
    LEFT(_xlpm._risksWithMaxValue,FIND(CHAR(1),SUBSTITUTE(_xlpm._risksWithMaxValue,",",CHAR(1),$H34))))),
IF(_xlpm._maxRiskValue="","",
  _xlpm._lineMainSeparator&amp;
  INDEX(Definitions!$AE:$AE,MATCH(_xlpm._maxRiskValue,Definitions!$AF:$AF,0))&amp;CHAR(10)&amp;
  _xlpm._lineMainSeparator&amp;
  RemoveDelimiter(GetValues(_xlpm._shortenedList,Risks!$A:$B," ",CHAR(10)&amp;_xlpm._lineMainSeparator,TRUE),CHAR(10)&amp;_xlpm._lineMainSeparator))))</f>
        <v/>
      </c>
      <c r="AQ34" s="11" t="str" cm="1">
        <f t="array" aca="1" ref="AQ34" ca="1">IF(NOT($O34),"",
_xlfn.LET(
_xlpm._potentialASID,$Y34,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_xlpm._commentsFiltered,SUBSTITUTE(GetValues(_xlpm._attackSteps,Mitigation!$A:$O,"","",FALSE),$X34,""),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34" s="11" t="str" cm="1">
        <f t="array" aca="1" ref="AR34" ca="1">IF(NOT($O34),"",_xlfn.LET(
_xlpm._listOfRisksAndLevels,SanitizeInput($AQ34),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_xlpm._shortenedList,IF($H34="",_xlpm._risksWithMaxValue,
  IF(LEN(_xlpm._risksWithMaxValue)-LEN(SUBSTITUTE(_xlpm._risksWithMaxValue,",",""))&lt;=$H34,_xlpm._risksWithMaxValue,
    LEFT(_xlpm._risksWithMaxValue,FIND(CHAR(1),SUBSTITUTE(_xlpm._risksWithMaxValue,",",CHAR(1),$H34))))),
IF(_xlpm._maxRiskValue="","",
  _xlpm._lineMainSeparator&amp;
  INDEX(Definitions!$AE:$AE,MATCH(_xlpm._maxRiskValue,Definitions!$AF:$AF,0))&amp;CHAR(10)&amp;
  _xlpm._lineMainSeparator&amp;
  RemoveDelimiter(GetValues(_xlpm._shortenedList,Risks!$A:$B," ",CHAR(10)&amp;_xlpm._lineMainSeparator,TRUE),CHAR(10)&amp;_xlpm._lineMainSeparator))))</f>
        <v/>
      </c>
      <c r="AS34" s="11" t="str" cm="1">
        <f t="array" aca="1" ref="AS34" ca="1">IF(NOT($O34),"",
_xlfn.LET(
_xlpm._lineMainSeparator,REPT(_xlfn.UNICHAR(9552),63)&amp;CHAR(10),
_xlpm._potentialASID,$Y34,
_xlpm._risk,IFERROR(SimpleLookup(_xlpm._potentialASID,Mitigation!$A:$N),""),
_xlpm._attackPaths,IFERROR(SimpleLookup(_xlpm._potentialASID,Mitigation!$A:$M),""),
IF(_xlpm._risk="","",
_xlpm._lineMainSeparator&amp;
_xlpm._risk&amp;CHAR(10)&amp;
_xlpm._lineMainSeparator&amp;
_xlpm._attackPaths)))</f>
        <v/>
      </c>
      <c r="AT34" s="11" t="str" cm="1">
        <f t="array" aca="1" ref="AT34" ca="1">InverseLookup($A34,Countermeasures!$AA$2,Countermeasures!$A$2,1,Helper!$B$4,",")</f>
        <v/>
      </c>
    </row>
    <row r="35" spans="1:47" x14ac:dyDescent="0.25">
      <c r="A35" s="106" t="str">
        <f ca="1">_xlfn.LET(
_xlpm._isAssumption,$M35,
_xlpm._row,$N35,
_xlpm._numActiveAssumptions,Helper!$B$8,
_xlpm._numActiveCountermeasures,Helper!$B$9,
_xlpm._numAdditionalAssumptions,Helper!$B$10,
_xlpm._numAdditionalCountermeasures,Helper!$B$11,
IF(_xlpm._isAssumption,
IF(_xlpm._row&gt;_xlpm._numActiveAssumptions,
$Y35&amp;"-A"&amp;$T35,
INDEX(Assumptions!A:A,MATCH(_xlpm._row,Assumptions!$AC:$AC,0))),
IF(_xlpm._row&gt;_xlpm._numActiveCountermeasures+_xlpm._numAdditionalCountermeasures,"",
IF(_xlpm._row&gt;_xlpm._numActiveCountermeasures,
$Y35&amp;"-C"&amp;$T35,
INDEX(Countermeasures!$A:$A,MATCH(_xlpm._row,Countermeasures!$AE:$AE,0))))))</f>
        <v/>
      </c>
      <c r="B35" s="106" t="str" cm="1">
        <f t="array" aca="1" ref="B35" ca="1">IF($A35="","",
_xlfn.LET(
_xlpm._isAssumption,$M35,
_xlpm._isAdditionalElement,$O35,
IF(_xlpm._isAdditionalElement,
IF(_xlpm._isAssumption,
ParseElementsFromComment($X35,Definitions!$AR$4,Definitions!$AS$4,Definitions!$AR$6,$T35),
ParseElementsFromComment($X35,Definitions!$AR$5,Definitions!$AS$5,Definitions!$AR$6,$T35)),
_xlfn.LET(_xlpm._value,IF($A35="","",IF($M35,SimpleLookup($A35,Assumptions!$A:$B),SimpleLookup($A35,Countermeasures!$A:$B))),IF(_xlpm._value="","",_xlpm._value)))))</f>
        <v/>
      </c>
      <c r="C35" s="106" t="str" cm="1">
        <f t="array" aca="1" ref="C35" ca="1">IF($A35="","",IF($M35,IFERROR(SimpleLookup($A35,Assumptions!$A:$E),""),Definitions!$AO$4))</f>
        <v/>
      </c>
      <c r="D35" s="103" t="str">
        <f t="shared" ca="1" si="2"/>
        <v/>
      </c>
      <c r="E35" s="107"/>
      <c r="F35" s="108" t="str">
        <f t="shared" ca="1" si="3"/>
        <v/>
      </c>
      <c r="G35" s="102" t="str" cm="1">
        <f t="array" aca="1" ref="G35" ca="1">_xlfn.LET(_xlpm._val,IFERROR(SimpleLookup($A35,Countermeasures!$A:$S),IFERROR(SimpleLookup($A35,Assumptions!$A:$S),"")),IF(_xlpm._val="","",_xlpm._val))</f>
        <v/>
      </c>
      <c r="H35" s="109" t="str">
        <f>""</f>
        <v/>
      </c>
      <c r="I35" s="102" t="str">
        <f t="shared" ca="1" si="4"/>
        <v/>
      </c>
      <c r="J35" s="102" t="str">
        <f t="shared" ca="1" si="5"/>
        <v/>
      </c>
      <c r="K35" s="106" t="str" cm="1">
        <f t="array" aca="1" ref="K35" ca="1">_xlfn.LET(_xlpm._value,IF($A35="","",IFERROR(IF($M35,SimpleLookup($A35,Assumptions!$A:$T),SimpleLookup($A35,Countermeasures!$A:$T)),"")),
IF(_xlpm._value="","",_xlpm._value))</f>
        <v/>
      </c>
      <c r="L35" s="9" cm="1">
        <f t="array" aca="1" ref="L35" ca="1">CreateID($L$17,$A35&lt;&gt;"")</f>
        <v>11</v>
      </c>
      <c r="M35" s="9" t="b">
        <f ca="1">_xlfn.LET(_xlpm._row,ROW()-ROW($N$17),
_xlpm._numActiveAssumptions,Helper!$B$8,
_xlpm._numAdditionalAssumptions,SUM(Table24['# Elements]),
_xlpm._row&lt;=_xlpm._numActiveAssumptions+_xlpm._numAdditionalAssumptions)</f>
        <v>0</v>
      </c>
      <c r="N35" s="9">
        <f ca="1">_xlfn.LET(_xlpm._row,ROW()-ROW($N$17),
_xlpm._numActiveAssumptions,Helper!$B$8,
_xlpm._numAdditionalAssumptions,Helper!$B$10,
_xlpm._isAssumption,$M35,
_xlpm._elementID,IF(_xlpm._isAssumption,_xlpm._row,_xlpm._row-_xlpm._numActiveAssumptions-_xlpm._numAdditionalAssumptions),
_xlpm._elementID)</f>
        <v>14</v>
      </c>
      <c r="O35"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35" s="11" cm="1">
        <f t="array" aca="1" ref="P35" ca="1">IF($O35,
IF(ROW()=ROW($P$17)+1,1,INDEX($P:$P,ROW()-1)+IF(INDEX($W:$W,ROW()-1),1,0)),
1)</f>
        <v>1</v>
      </c>
      <c r="Q35" s="11" t="str" cm="1">
        <f t="array" aca="1" ref="Q35" ca="1">IF($O35=TRUE,
_xlfn.LET(
_xlpm._isAssumption,$M35,
_xlpm._indexRange,IF(_xlpm._isAssumption,Table24['# Elements],Table25['# Elements]),
_xlpm._lookupRow,$Z35,
INDEX(_xlpm._indexRange,_xlpm._lookupRow)),
"")</f>
        <v/>
      </c>
      <c r="R35" s="11" t="str" cm="1">
        <f t="array" aca="1" ref="R35" ca="1">IF($Q35="","",_xlfn.LET(
_xlpm._prevRow,ROW()-1,
IF(OR(INDEX($Q:$Q,_xlpm._prevRow)&lt;&gt;$Q35,INDEX($P:$P,_xlpm._prevRow)&lt;&gt;$P35),
1,
INDEX($R:$R,_xlpm._prevRow)+IF(INDEX($V:$V,_xlpm._prevRow),1,0))))</f>
        <v/>
      </c>
      <c r="S35" s="11" t="str" cm="1">
        <f t="array" aca="1" ref="S35" ca="1">IF($R35="","",_xlfn.LET(
_xlpm._isAssumption,$M35,
_xlpm._sheetRow,$Z35,
_xlpm._sheetName,$AA35,
_xlpm._elementIDRange,IF(_xlpm._isAssumption,Table24[Element ID Column],Table25[Element ID Column]),
_xlpm._numberOfElementsRange,IF(_xlpm._isAssumption,Table24[Number of Elements Column],Table25[Number of Elements Column]),
SimpleLookup($R35,INDIRECT("'"&amp;_xlpm._sheetName&amp;"'!"&amp;INDEX(_xlpm._elementIDRange,_xlpm._sheetRow)&amp;":"&amp;INDEX(_xlpm._numberOfElementsRange,_xlpm._sheetRow)))))</f>
        <v/>
      </c>
      <c r="T35" s="11" t="str" cm="1">
        <f t="array" aca="1" ref="T35" ca="1">IF($R35="","",IF(OR(INDEX($R:$R,ROW()-1)&lt;&gt;$R35,INDEX($P:$P,ROW()-1)&lt;&gt;$P35),1,INDEX($T:$T,ROW()-1)+1))</f>
        <v/>
      </c>
      <c r="U35" s="11">
        <f t="shared" ca="1" si="6"/>
        <v>0</v>
      </c>
      <c r="V35" s="11" t="str">
        <f t="shared" ca="1" si="7"/>
        <v/>
      </c>
      <c r="W35" s="11" t="b">
        <f ca="1">_xlfn.LET(
_xlpm._isAssumption,$M35,
_xlpm._numberOfElementsRange,IF(_xlpm._isAssumption,Table24['# Elements],Table25['# Elements]),
_xlpm._sheetRow,$Z35,
IF($O35,AND($V35,$U35=$Q35),FALSE))</f>
        <v>0</v>
      </c>
      <c r="X35" s="11" t="str" cm="1">
        <f t="array" aca="1" ref="X35" ca="1">IF($O35,
_xlfn.LET(
_xlpm._elementID,$R35,
_xlpm._isAssumption,$M35,
_xlpm._sheetRow,$Z35,
_xlpm._sheetName,$AA35,
_xlpm._elementRow,$AB35,
_xlpm._resultColumnLetter,IF(_xlpm._isAssumption,INDEX(Table24[Comment Column],_xlpm._sheetRow),INDEX(Table25[Comment Column],_xlpm._sheetRow)),
INDEX(INDIRECT("'"&amp;_xlpm._sheetName&amp;"'!"&amp;_xlpm._resultColumnLetter&amp;":"&amp;_xlpm._resultColumnLetter),_xlpm._elementRow)),
"")</f>
        <v/>
      </c>
      <c r="Y35" s="11" t="str" cm="1">
        <f t="array" aca="1" ref="Y35" ca="1">IF($O35,
_xlfn.LET(
_xlpm._elementID,$R35,
_xlpm._isAssumption,$M35,
_xlpm._sheetRow,$Z35,
_xlpm._sheetName,$AA35,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35" s="11" t="str">
        <f ca="1">IF($O35=TRUE,
_xlfn.LET(
_xlpm._isAssumption,$M35,
_xlpm._searchRange,IF(_xlpm._isAssumption,Table24[Task Sheet Shadow ID],Table25[Task Sheet Shadow ID]),
MATCH($P35,_xlpm._searchRange,0)),
"")</f>
        <v/>
      </c>
      <c r="AA35" s="11" t="str" cm="1">
        <f t="array" aca="1" ref="AA35" ca="1">IF($O35,
_xlfn.LET(
_xlpm._isAssumption,$M35,
_xlpm._sheetRow,$Z35,
IF(_xlpm._isAssumption,INDEX(Table24[Sheet Name],_xlpm._sheetRow),INDEX(Table25[Sheet Name],_xlpm._sheetRow))),
"")</f>
        <v/>
      </c>
      <c r="AB35" s="11" t="str" cm="1">
        <f t="array" aca="1" ref="AB35" ca="1">IF($O35,
_xlfn.LET(
_xlpm._elementID,$R35,
_xlpm._isAssumption,$M35,
_xlpm._sheetRow,$Z35,
_xlpm._sheetName,$AA35,
_xlpm._elementIDColumnLetter,IF(_xlpm._isAssumption,INDEX(Table24[Element ID Column],_xlpm._sheetRow),INDEX(Table25[Element ID Column],_xlpm._sheetRow)),
MATCH(_xlpm._elementID,INDIRECT("'"&amp;_xlpm._sheetName&amp;"'!"&amp;_xlpm._elementIDColumnLetter&amp;":"&amp;_xlpm._elementIDColumnLetter),0)),
"")</f>
        <v/>
      </c>
      <c r="AC35" s="11" t="str" cm="1">
        <f t="array" aca="1" ref="AC35" ca="1">IF($A35="","",_xlfn.LET(
_xlpm._isAssumption,$M35,
_xlpm._isAdditionalElement,$O35,
_xlpm._sheetRow,$Z35,
_xlpm._sheetName,$AA35,
_xlpm._columnLetter,INDEX(IF(_xlpm._isAdditionalElement,Table24[Comment Column],Table25[Comment Column]),_xlpm._sheetRow),
_xlpm._sheetReference,IF(_xlpm._isAssumption,IF(_xlpm._isAdditionalElement,
CELL("address",INDEX(INDIRECT("'"&amp;_xlpm._sheetName&amp;"'!"&amp;_xlpm._columnLetter&amp;":"&amp;_xlpm._columnLetter),$AB35)),
CELL("address",INDEX(Assumptions!$A:$A,MATCH($A35,Assumptions!$A:$A,0),1))),
IF(_xlpm._isAdditionalElement,
CELL("address",INDEX(INDIRECT("'"&amp;_xlpm._sheetName&amp;"'!"&amp;_xlpm._columnLetter&amp;":"&amp;_xlpm._columnLetter),$AB35)),
CELL("address",INDEX(Countermeasures!$A:$A,MATCH($A35,Countermeasures!$A:$A,0),1)))),
_xlpm._start,FIND("]",_xlpm._sheetReference),
"'"&amp;SUBSTITUTE(SUBSTITUTE(RIGHT(_xlpm._sheetReference,LEN(_xlpm._sheetReference)-_xlpm._start),"'",""),"!","'!")))</f>
        <v/>
      </c>
      <c r="AD35" s="11" t="str" cm="1">
        <f t="array" aca="1" ref="AD35" ca="1">IF(NOT($O35),
_xlfn.LET(_xlpm._value,IF($A35="","",IF($M35,SimpleLookup($A35,Assumptions!$A:$AG),SimpleLookup($A35,Countermeasures!$A:$AJ))),
IF(_xlpm._value="","",_xlpm._value)),
"")</f>
        <v/>
      </c>
      <c r="AE35" s="11" t="str" cm="1">
        <f t="array" aca="1" ref="AE35" ca="1">LookupNames(InverseLookup($A35,Mitigation!$AD$2,Mitigation!$A$2,1,Helper!$B$5,","),'Attack Steps'!$A:$B)</f>
        <v/>
      </c>
      <c r="AF35" s="11" t="str" cm="1">
        <f t="array" aca="1" ref="AF35" ca="1">IF($O35,
_xlfn.LET(
_xlpm._in,$A35,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35" s="11" t="str" cm="1">
        <f t="array" aca="1" ref="AG35" ca="1">_xlfn.LET(
_xlpm._countermeasures,InverseLookup($A35,Countermeasures!$AC$2,Countermeasures!$A$2,1,Helper!$B$4,","),
LookupNames(_xlpm._countermeasures,Countermeasures!$A:$B))</f>
        <v/>
      </c>
      <c r="AH35" s="11" t="str" cm="1">
        <f t="array" aca="1" ref="AH35" ca="1">IF($E35="","",_xlfn.LET(
_xlpm._id,$E35,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35" s="11" t="str" cm="1">
        <f t="array" aca="1" ref="AI35" ca="1">IF(OR($A35="",$O35),"",_xlfn.LET(
_xlpm._answers,IF($M35,SimpleLookup($A35,Assumptions!$A:$F),SimpleLookup($A35,Countermeasures!$A:$D)),
IF(_xlpm._answers="*",IF($M35,SimpleLookup($A35,Assumptions!$A:$C),SimpleLookup($A35,Countermeasures!$A:$C)),"")))</f>
        <v/>
      </c>
      <c r="AJ35" s="11" t="str" cm="1">
        <f t="array" aca="1" ref="AJ35" ca="1">IF(NOT($O35),"",_xlfn.LET(
_xlpm._mappedInMitigation,IFERROR(VLOOKUP($Y35,'Attack Steps'!$A:$P,COLUMNS('Attack Steps'!$A:$P),FALSE),""),
CreateSearchString(_xlpm._mappedInMitigation)))</f>
        <v/>
      </c>
      <c r="AK35" s="11" t="b">
        <f ca="1">ROW()-ROW($AK$17)=Helper!$B$15</f>
        <v>0</v>
      </c>
      <c r="AL35" s="11" t="str">
        <f t="shared" ca="1" si="8"/>
        <v/>
      </c>
      <c r="AM35" s="11" cm="1">
        <f t="array" aca="1" ref="AM35" ca="1">CreateID($AM$17,$AL35&lt;&gt;"")</f>
        <v>0</v>
      </c>
      <c r="AN35" s="11" t="str" cm="1">
        <f t="array" aca="1" ref="AN35" ca="1">IF($O35,"",
_xlfn.LET(
_xlpm._this,SanitizeInput($A35)&amp;AT35,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35" s="11" t="str" cm="1">
        <f t="array" aca="1" ref="AO35" ca="1">IF($O35,"",_xlfn.LET(
_xlpm._listOfRisksAndLevels,SanitizeInput($AN35),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_xlpm._shortenedList,IF($H35="",_xlpm._risksWithMaxValue,
  IF(LEN(_xlpm._risksWithMaxValue)-LEN(SUBSTITUTE(_xlpm._risksWithMaxValue,",",""))&lt;=$H35,_xlpm._risksWithMaxValue,
    LEFT(_xlpm._risksWithMaxValue,FIND(CHAR(1),SUBSTITUTE(_xlpm._risksWithMaxValue,",",CHAR(1),$H35))))),
IF(_xlpm._maxRiskValue="","",
  _xlpm._lineMainSeparator&amp;
  INDEX(Definitions!$AE:$AE,MATCH(_xlpm._maxRiskValue,Definitions!$AF:$AF,0))&amp;CHAR(10)&amp;
  _xlpm._lineMainSeparator&amp;
  RemoveDelimiter(GetValues(_xlpm._shortenedList,Risks!$A:$B," ",CHAR(10)&amp;_xlpm._lineMainSeparator,TRUE),CHAR(10)&amp;_xlpm._lineMainSeparator))))</f>
        <v/>
      </c>
      <c r="AP35" s="11" t="str" cm="1">
        <f t="array" aca="1" ref="AP35" ca="1">IF($O35,"",_xlfn.LET(
_xlpm._lineMainSeparator,REPT(_xlfn.UNICHAR(9552),63)&amp;CHAR(10),
_xlpm._affectedRisks,InverseLookupList(SanitizeInput($A35)&amp;$AT35,Risks!$AX$2,Risks!$A$2,Helper!$B$1,","),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_xlpm._shortenedList,IF($H35="",_xlpm._risksWithMaxValue,
  IF(LEN(_xlpm._risksWithMaxValue)-LEN(SUBSTITUTE(_xlpm._risksWithMaxValue,",",""))&lt;=$H35,_xlpm._risksWithMaxValue,
    LEFT(_xlpm._risksWithMaxValue,FIND(CHAR(1),SUBSTITUTE(_xlpm._risksWithMaxValue,",",CHAR(1),$H35))))),
IF(_xlpm._maxRiskValue="","",
  _xlpm._lineMainSeparator&amp;
  INDEX(Definitions!$AE:$AE,MATCH(_xlpm._maxRiskValue,Definitions!$AF:$AF,0))&amp;CHAR(10)&amp;
  _xlpm._lineMainSeparator&amp;
  RemoveDelimiter(GetValues(_xlpm._shortenedList,Risks!$A:$B," ",CHAR(10)&amp;_xlpm._lineMainSeparator,TRUE),CHAR(10)&amp;_xlpm._lineMainSeparator))))</f>
        <v/>
      </c>
      <c r="AQ35" s="11" t="str" cm="1">
        <f t="array" aca="1" ref="AQ35" ca="1">IF(NOT($O35),"",
_xlfn.LET(
_xlpm._potentialASID,$Y35,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_xlpm._commentsFiltered,SUBSTITUTE(GetValues(_xlpm._attackSteps,Mitigation!$A:$O,"","",FALSE),$X35,""),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35" s="11" t="str" cm="1">
        <f t="array" aca="1" ref="AR35" ca="1">IF(NOT($O35),"",_xlfn.LET(
_xlpm._listOfRisksAndLevels,SanitizeInput($AQ35),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_xlpm._shortenedList,IF($H35="",_xlpm._risksWithMaxValue,
  IF(LEN(_xlpm._risksWithMaxValue)-LEN(SUBSTITUTE(_xlpm._risksWithMaxValue,",",""))&lt;=$H35,_xlpm._risksWithMaxValue,
    LEFT(_xlpm._risksWithMaxValue,FIND(CHAR(1),SUBSTITUTE(_xlpm._risksWithMaxValue,",",CHAR(1),$H35))))),
IF(_xlpm._maxRiskValue="","",
  _xlpm._lineMainSeparator&amp;
  INDEX(Definitions!$AE:$AE,MATCH(_xlpm._maxRiskValue,Definitions!$AF:$AF,0))&amp;CHAR(10)&amp;
  _xlpm._lineMainSeparator&amp;
  RemoveDelimiter(GetValues(_xlpm._shortenedList,Risks!$A:$B," ",CHAR(10)&amp;_xlpm._lineMainSeparator,TRUE),CHAR(10)&amp;_xlpm._lineMainSeparator))))</f>
        <v/>
      </c>
      <c r="AS35" s="11" t="str" cm="1">
        <f t="array" aca="1" ref="AS35" ca="1">IF(NOT($O35),"",
_xlfn.LET(
_xlpm._lineMainSeparator,REPT(_xlfn.UNICHAR(9552),63)&amp;CHAR(10),
_xlpm._potentialASID,$Y35,
_xlpm._risk,IFERROR(SimpleLookup(_xlpm._potentialASID,Mitigation!$A:$N),""),
_xlpm._attackPaths,IFERROR(SimpleLookup(_xlpm._potentialASID,Mitigation!$A:$M),""),
IF(_xlpm._risk="","",
_xlpm._lineMainSeparator&amp;
_xlpm._risk&amp;CHAR(10)&amp;
_xlpm._lineMainSeparator&amp;
_xlpm._attackPaths)))</f>
        <v/>
      </c>
      <c r="AT35" s="11" t="str" cm="1">
        <f t="array" aca="1" ref="AT35" ca="1">InverseLookup($A35,Countermeasures!$AA$2,Countermeasures!$A$2,1,Helper!$B$4,",")</f>
        <v/>
      </c>
    </row>
    <row r="36" spans="1:47" x14ac:dyDescent="0.25">
      <c r="A36" s="106" t="str">
        <f ca="1">_xlfn.LET(
_xlpm._isAssumption,$M36,
_xlpm._row,$N36,
_xlpm._numActiveAssumptions,Helper!$B$8,
_xlpm._numActiveCountermeasures,Helper!$B$9,
_xlpm._numAdditionalAssumptions,Helper!$B$10,
_xlpm._numAdditionalCountermeasures,Helper!$B$11,
IF(_xlpm._isAssumption,
IF(_xlpm._row&gt;_xlpm._numActiveAssumptions,
$Y36&amp;"-A"&amp;$T36,
INDEX(Assumptions!A:A,MATCH(_xlpm._row,Assumptions!$AC:$AC,0))),
IF(_xlpm._row&gt;_xlpm._numActiveCountermeasures+_xlpm._numAdditionalCountermeasures,"",
IF(_xlpm._row&gt;_xlpm._numActiveCountermeasures,
$Y36&amp;"-C"&amp;$T36,
INDEX(Countermeasures!$A:$A,MATCH(_xlpm._row,Countermeasures!$AE:$AE,0))))))</f>
        <v/>
      </c>
      <c r="B36" s="106" t="str" cm="1">
        <f t="array" aca="1" ref="B36" ca="1">IF($A36="","",
_xlfn.LET(
_xlpm._isAssumption,$M36,
_xlpm._isAdditionalElement,$O36,
IF(_xlpm._isAdditionalElement,
IF(_xlpm._isAssumption,
ParseElementsFromComment($X36,Definitions!$AR$4,Definitions!$AS$4,Definitions!$AR$6,$T36),
ParseElementsFromComment($X36,Definitions!$AR$5,Definitions!$AS$5,Definitions!$AR$6,$T36)),
_xlfn.LET(_xlpm._value,IF($A36="","",IF($M36,SimpleLookup($A36,Assumptions!$A:$B),SimpleLookup($A36,Countermeasures!$A:$B))),IF(_xlpm._value="","",_xlpm._value)))))</f>
        <v/>
      </c>
      <c r="C36" s="106" t="str" cm="1">
        <f t="array" aca="1" ref="C36" ca="1">IF($A36="","",IF($M36,IFERROR(SimpleLookup($A36,Assumptions!$A:$E),""),Definitions!$AO$4))</f>
        <v/>
      </c>
      <c r="D36" s="103" t="str">
        <f t="shared" ca="1" si="2"/>
        <v/>
      </c>
      <c r="E36" s="107"/>
      <c r="F36" s="108" t="str">
        <f t="shared" ca="1" si="3"/>
        <v/>
      </c>
      <c r="G36" s="102" t="str" cm="1">
        <f t="array" aca="1" ref="G36" ca="1">_xlfn.LET(_xlpm._val,IFERROR(SimpleLookup($A36,Countermeasures!$A:$S),IFERROR(SimpleLookup($A36,Assumptions!$A:$S),"")),IF(_xlpm._val="","",_xlpm._val))</f>
        <v/>
      </c>
      <c r="H36" s="109" t="str">
        <f>""</f>
        <v/>
      </c>
      <c r="I36" s="102" t="str">
        <f t="shared" ca="1" si="4"/>
        <v/>
      </c>
      <c r="J36" s="102" t="str">
        <f t="shared" ca="1" si="5"/>
        <v/>
      </c>
      <c r="K36" s="106" t="str" cm="1">
        <f t="array" aca="1" ref="K36" ca="1">_xlfn.LET(_xlpm._value,IF($A36="","",IFERROR(IF($M36,SimpleLookup($A36,Assumptions!$A:$T),SimpleLookup($A36,Countermeasures!$A:$T)),"")),
IF(_xlpm._value="","",_xlpm._value))</f>
        <v/>
      </c>
      <c r="L36" s="9" cm="1">
        <f t="array" aca="1" ref="L36" ca="1">CreateID($L$17,$A36&lt;&gt;"")</f>
        <v>11</v>
      </c>
      <c r="M36" s="9" t="b">
        <f ca="1">_xlfn.LET(_xlpm._row,ROW()-ROW($N$17),
_xlpm._numActiveAssumptions,Helper!$B$8,
_xlpm._numAdditionalAssumptions,SUM(Table24['# Elements]),
_xlpm._row&lt;=_xlpm._numActiveAssumptions+_xlpm._numAdditionalAssumptions)</f>
        <v>0</v>
      </c>
      <c r="N36" s="9">
        <f ca="1">_xlfn.LET(_xlpm._row,ROW()-ROW($N$17),
_xlpm._numActiveAssumptions,Helper!$B$8,
_xlpm._numAdditionalAssumptions,Helper!$B$10,
_xlpm._isAssumption,$M36,
_xlpm._elementID,IF(_xlpm._isAssumption,_xlpm._row,_xlpm._row-_xlpm._numActiveAssumptions-_xlpm._numAdditionalAssumptions),
_xlpm._elementID)</f>
        <v>15</v>
      </c>
      <c r="O36"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36" s="11" cm="1">
        <f t="array" aca="1" ref="P36" ca="1">IF($O36,
IF(ROW()=ROW($P$17)+1,1,INDEX($P:$P,ROW()-1)+IF(INDEX($W:$W,ROW()-1),1,0)),
1)</f>
        <v>1</v>
      </c>
      <c r="Q36" s="11" t="str" cm="1">
        <f t="array" aca="1" ref="Q36" ca="1">IF($O36=TRUE,
_xlfn.LET(
_xlpm._isAssumption,$M36,
_xlpm._indexRange,IF(_xlpm._isAssumption,Table24['# Elements],Table25['# Elements]),
_xlpm._lookupRow,$Z36,
INDEX(_xlpm._indexRange,_xlpm._lookupRow)),
"")</f>
        <v/>
      </c>
      <c r="R36" s="11" t="str" cm="1">
        <f t="array" aca="1" ref="R36" ca="1">IF($Q36="","",_xlfn.LET(
_xlpm._prevRow,ROW()-1,
IF(OR(INDEX($Q:$Q,_xlpm._prevRow)&lt;&gt;$Q36,INDEX($P:$P,_xlpm._prevRow)&lt;&gt;$P36),
1,
INDEX($R:$R,_xlpm._prevRow)+IF(INDEX($V:$V,_xlpm._prevRow),1,0))))</f>
        <v/>
      </c>
      <c r="S36" s="11" t="str" cm="1">
        <f t="array" aca="1" ref="S36" ca="1">IF($R36="","",_xlfn.LET(
_xlpm._isAssumption,$M36,
_xlpm._sheetRow,$Z36,
_xlpm._sheetName,$AA36,
_xlpm._elementIDRange,IF(_xlpm._isAssumption,Table24[Element ID Column],Table25[Element ID Column]),
_xlpm._numberOfElementsRange,IF(_xlpm._isAssumption,Table24[Number of Elements Column],Table25[Number of Elements Column]),
SimpleLookup($R36,INDIRECT("'"&amp;_xlpm._sheetName&amp;"'!"&amp;INDEX(_xlpm._elementIDRange,_xlpm._sheetRow)&amp;":"&amp;INDEX(_xlpm._numberOfElementsRange,_xlpm._sheetRow)))))</f>
        <v/>
      </c>
      <c r="T36" s="11" t="str" cm="1">
        <f t="array" aca="1" ref="T36" ca="1">IF($R36="","",IF(OR(INDEX($R:$R,ROW()-1)&lt;&gt;$R36,INDEX($P:$P,ROW()-1)&lt;&gt;$P36),1,INDEX($T:$T,ROW()-1)+1))</f>
        <v/>
      </c>
      <c r="U36" s="11">
        <f t="shared" ca="1" si="6"/>
        <v>0</v>
      </c>
      <c r="V36" s="11" t="str">
        <f t="shared" ca="1" si="7"/>
        <v/>
      </c>
      <c r="W36" s="11" t="b">
        <f ca="1">_xlfn.LET(
_xlpm._isAssumption,$M36,
_xlpm._numberOfElementsRange,IF(_xlpm._isAssumption,Table24['# Elements],Table25['# Elements]),
_xlpm._sheetRow,$Z36,
IF($O36,AND($V36,$U36=$Q36),FALSE))</f>
        <v>0</v>
      </c>
      <c r="X36" s="11" t="str" cm="1">
        <f t="array" aca="1" ref="X36" ca="1">IF($O36,
_xlfn.LET(
_xlpm._elementID,$R36,
_xlpm._isAssumption,$M36,
_xlpm._sheetRow,$Z36,
_xlpm._sheetName,$AA36,
_xlpm._elementRow,$AB36,
_xlpm._resultColumnLetter,IF(_xlpm._isAssumption,INDEX(Table24[Comment Column],_xlpm._sheetRow),INDEX(Table25[Comment Column],_xlpm._sheetRow)),
INDEX(INDIRECT("'"&amp;_xlpm._sheetName&amp;"'!"&amp;_xlpm._resultColumnLetter&amp;":"&amp;_xlpm._resultColumnLetter),_xlpm._elementRow)),
"")</f>
        <v/>
      </c>
      <c r="Y36" s="11" t="str" cm="1">
        <f t="array" aca="1" ref="Y36" ca="1">IF($O36,
_xlfn.LET(
_xlpm._elementID,$R36,
_xlpm._isAssumption,$M36,
_xlpm._sheetRow,$Z36,
_xlpm._sheetName,$AA36,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36" s="11" t="str">
        <f ca="1">IF($O36=TRUE,
_xlfn.LET(
_xlpm._isAssumption,$M36,
_xlpm._searchRange,IF(_xlpm._isAssumption,Table24[Task Sheet Shadow ID],Table25[Task Sheet Shadow ID]),
MATCH($P36,_xlpm._searchRange,0)),
"")</f>
        <v/>
      </c>
      <c r="AA36" s="11" t="str" cm="1">
        <f t="array" aca="1" ref="AA36" ca="1">IF($O36,
_xlfn.LET(
_xlpm._isAssumption,$M36,
_xlpm._sheetRow,$Z36,
IF(_xlpm._isAssumption,INDEX(Table24[Sheet Name],_xlpm._sheetRow),INDEX(Table25[Sheet Name],_xlpm._sheetRow))),
"")</f>
        <v/>
      </c>
      <c r="AB36" s="11" t="str" cm="1">
        <f t="array" aca="1" ref="AB36" ca="1">IF($O36,
_xlfn.LET(
_xlpm._elementID,$R36,
_xlpm._isAssumption,$M36,
_xlpm._sheetRow,$Z36,
_xlpm._sheetName,$AA36,
_xlpm._elementIDColumnLetter,IF(_xlpm._isAssumption,INDEX(Table24[Element ID Column],_xlpm._sheetRow),INDEX(Table25[Element ID Column],_xlpm._sheetRow)),
MATCH(_xlpm._elementID,INDIRECT("'"&amp;_xlpm._sheetName&amp;"'!"&amp;_xlpm._elementIDColumnLetter&amp;":"&amp;_xlpm._elementIDColumnLetter),0)),
"")</f>
        <v/>
      </c>
      <c r="AC36" s="11" t="str" cm="1">
        <f t="array" aca="1" ref="AC36" ca="1">IF($A36="","",_xlfn.LET(
_xlpm._isAssumption,$M36,
_xlpm._isAdditionalElement,$O36,
_xlpm._sheetRow,$Z36,
_xlpm._sheetName,$AA36,
_xlpm._columnLetter,INDEX(IF(_xlpm._isAdditionalElement,Table24[Comment Column],Table25[Comment Column]),_xlpm._sheetRow),
_xlpm._sheetReference,IF(_xlpm._isAssumption,IF(_xlpm._isAdditionalElement,
CELL("address",INDEX(INDIRECT("'"&amp;_xlpm._sheetName&amp;"'!"&amp;_xlpm._columnLetter&amp;":"&amp;_xlpm._columnLetter),$AB36)),
CELL("address",INDEX(Assumptions!$A:$A,MATCH($A36,Assumptions!$A:$A,0),1))),
IF(_xlpm._isAdditionalElement,
CELL("address",INDEX(INDIRECT("'"&amp;_xlpm._sheetName&amp;"'!"&amp;_xlpm._columnLetter&amp;":"&amp;_xlpm._columnLetter),$AB36)),
CELL("address",INDEX(Countermeasures!$A:$A,MATCH($A36,Countermeasures!$A:$A,0),1)))),
_xlpm._start,FIND("]",_xlpm._sheetReference),
"'"&amp;SUBSTITUTE(SUBSTITUTE(RIGHT(_xlpm._sheetReference,LEN(_xlpm._sheetReference)-_xlpm._start),"'",""),"!","'!")))</f>
        <v/>
      </c>
      <c r="AD36" s="11" t="str" cm="1">
        <f t="array" aca="1" ref="AD36" ca="1">IF(NOT($O36),
_xlfn.LET(_xlpm._value,IF($A36="","",IF($M36,SimpleLookup($A36,Assumptions!$A:$AG),SimpleLookup($A36,Countermeasures!$A:$AJ))),
IF(_xlpm._value="","",_xlpm._value)),
"")</f>
        <v/>
      </c>
      <c r="AE36" s="11" t="str" cm="1">
        <f t="array" aca="1" ref="AE36" ca="1">LookupNames(InverseLookup($A36,Mitigation!$AD$2,Mitigation!$A$2,1,Helper!$B$5,","),'Attack Steps'!$A:$B)</f>
        <v/>
      </c>
      <c r="AF36" s="11" t="str" cm="1">
        <f t="array" aca="1" ref="AF36" ca="1">IF($O36,
_xlfn.LET(
_xlpm._in,$A36,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36" s="11" t="str" cm="1">
        <f t="array" aca="1" ref="AG36" ca="1">_xlfn.LET(
_xlpm._countermeasures,InverseLookup($A36,Countermeasures!$AC$2,Countermeasures!$A$2,1,Helper!$B$4,","),
LookupNames(_xlpm._countermeasures,Countermeasures!$A:$B))</f>
        <v/>
      </c>
      <c r="AH36" s="11" t="str" cm="1">
        <f t="array" aca="1" ref="AH36" ca="1">IF($E36="","",_xlfn.LET(
_xlpm._id,$E36,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36" s="11" t="str" cm="1">
        <f t="array" aca="1" ref="AI36" ca="1">IF(OR($A36="",$O36),"",_xlfn.LET(
_xlpm._answers,IF($M36,SimpleLookup($A36,Assumptions!$A:$F),SimpleLookup($A36,Countermeasures!$A:$D)),
IF(_xlpm._answers="*",IF($M36,SimpleLookup($A36,Assumptions!$A:$C),SimpleLookup($A36,Countermeasures!$A:$C)),"")))</f>
        <v/>
      </c>
      <c r="AJ36" s="11" t="str" cm="1">
        <f t="array" aca="1" ref="AJ36" ca="1">IF(NOT($O36),"",_xlfn.LET(
_xlpm._mappedInMitigation,IFERROR(VLOOKUP($Y36,'Attack Steps'!$A:$P,COLUMNS('Attack Steps'!$A:$P),FALSE),""),
CreateSearchString(_xlpm._mappedInMitigation)))</f>
        <v/>
      </c>
      <c r="AK36" s="11" t="b">
        <f ca="1">ROW()-ROW($AK$17)=Helper!$B$15</f>
        <v>0</v>
      </c>
      <c r="AL36" s="11" t="str">
        <f t="shared" ca="1" si="8"/>
        <v/>
      </c>
      <c r="AM36" s="11" cm="1">
        <f t="array" aca="1" ref="AM36" ca="1">CreateID($AM$17,$AL36&lt;&gt;"")</f>
        <v>0</v>
      </c>
      <c r="AN36" s="11" t="str" cm="1">
        <f t="array" aca="1" ref="AN36" ca="1">IF($O36,"",
_xlfn.LET(
_xlpm._this,SanitizeInput($A36)&amp;AT36,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36" s="11" t="str" cm="1">
        <f t="array" aca="1" ref="AO36" ca="1">IF($O36,"",_xlfn.LET(
_xlpm._listOfRisksAndLevels,SanitizeInput($AN36),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_xlpm._shortenedList,IF($H36="",_xlpm._risksWithMaxValue,
  IF(LEN(_xlpm._risksWithMaxValue)-LEN(SUBSTITUTE(_xlpm._risksWithMaxValue,",",""))&lt;=$H36,_xlpm._risksWithMaxValue,
    LEFT(_xlpm._risksWithMaxValue,FIND(CHAR(1),SUBSTITUTE(_xlpm._risksWithMaxValue,",",CHAR(1),$H36))))),
IF(_xlpm._maxRiskValue="","",
  _xlpm._lineMainSeparator&amp;
  INDEX(Definitions!$AE:$AE,MATCH(_xlpm._maxRiskValue,Definitions!$AF:$AF,0))&amp;CHAR(10)&amp;
  _xlpm._lineMainSeparator&amp;
  RemoveDelimiter(GetValues(_xlpm._shortenedList,Risks!$A:$B," ",CHAR(10)&amp;_xlpm._lineMainSeparator,TRUE),CHAR(10)&amp;_xlpm._lineMainSeparator))))</f>
        <v/>
      </c>
      <c r="AP36" s="11" t="str" cm="1">
        <f t="array" aca="1" ref="AP36" ca="1">IF($O36,"",_xlfn.LET(
_xlpm._lineMainSeparator,REPT(_xlfn.UNICHAR(9552),63)&amp;CHAR(10),
_xlpm._affectedRisks,InverseLookupList(SanitizeInput($A36)&amp;$AT36,Risks!$AX$2,Risks!$A$2,Helper!$B$1,","),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_xlpm._shortenedList,IF($H36="",_xlpm._risksWithMaxValue,
  IF(LEN(_xlpm._risksWithMaxValue)-LEN(SUBSTITUTE(_xlpm._risksWithMaxValue,",",""))&lt;=$H36,_xlpm._risksWithMaxValue,
    LEFT(_xlpm._risksWithMaxValue,FIND(CHAR(1),SUBSTITUTE(_xlpm._risksWithMaxValue,",",CHAR(1),$H36))))),
IF(_xlpm._maxRiskValue="","",
  _xlpm._lineMainSeparator&amp;
  INDEX(Definitions!$AE:$AE,MATCH(_xlpm._maxRiskValue,Definitions!$AF:$AF,0))&amp;CHAR(10)&amp;
  _xlpm._lineMainSeparator&amp;
  RemoveDelimiter(GetValues(_xlpm._shortenedList,Risks!$A:$B," ",CHAR(10)&amp;_xlpm._lineMainSeparator,TRUE),CHAR(10)&amp;_xlpm._lineMainSeparator))))</f>
        <v/>
      </c>
      <c r="AQ36" s="11" t="str" cm="1">
        <f t="array" aca="1" ref="AQ36" ca="1">IF(NOT($O36),"",
_xlfn.LET(
_xlpm._potentialASID,$Y36,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_xlpm._commentsFiltered,SUBSTITUTE(GetValues(_xlpm._attackSteps,Mitigation!$A:$O,"","",FALSE),$X36,""),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36" s="11" t="str" cm="1">
        <f t="array" aca="1" ref="AR36" ca="1">IF(NOT($O36),"",_xlfn.LET(
_xlpm._listOfRisksAndLevels,SanitizeInput($AQ36),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_xlpm._shortenedList,IF($H36="",_xlpm._risksWithMaxValue,
  IF(LEN(_xlpm._risksWithMaxValue)-LEN(SUBSTITUTE(_xlpm._risksWithMaxValue,",",""))&lt;=$H36,_xlpm._risksWithMaxValue,
    LEFT(_xlpm._risksWithMaxValue,FIND(CHAR(1),SUBSTITUTE(_xlpm._risksWithMaxValue,",",CHAR(1),$H36))))),
IF(_xlpm._maxRiskValue="","",
  _xlpm._lineMainSeparator&amp;
  INDEX(Definitions!$AE:$AE,MATCH(_xlpm._maxRiskValue,Definitions!$AF:$AF,0))&amp;CHAR(10)&amp;
  _xlpm._lineMainSeparator&amp;
  RemoveDelimiter(GetValues(_xlpm._shortenedList,Risks!$A:$B," ",CHAR(10)&amp;_xlpm._lineMainSeparator,TRUE),CHAR(10)&amp;_xlpm._lineMainSeparator))))</f>
        <v/>
      </c>
      <c r="AS36" s="11" t="str" cm="1">
        <f t="array" aca="1" ref="AS36" ca="1">IF(NOT($O36),"",
_xlfn.LET(
_xlpm._lineMainSeparator,REPT(_xlfn.UNICHAR(9552),63)&amp;CHAR(10),
_xlpm._potentialASID,$Y36,
_xlpm._risk,IFERROR(SimpleLookup(_xlpm._potentialASID,Mitigation!$A:$N),""),
_xlpm._attackPaths,IFERROR(SimpleLookup(_xlpm._potentialASID,Mitigation!$A:$M),""),
IF(_xlpm._risk="","",
_xlpm._lineMainSeparator&amp;
_xlpm._risk&amp;CHAR(10)&amp;
_xlpm._lineMainSeparator&amp;
_xlpm._attackPaths)))</f>
        <v/>
      </c>
      <c r="AT36" s="11" t="str" cm="1">
        <f t="array" aca="1" ref="AT36" ca="1">InverseLookup($A36,Countermeasures!$AA$2,Countermeasures!$A$2,1,Helper!$B$4,",")</f>
        <v/>
      </c>
    </row>
    <row r="37" spans="1:47" x14ac:dyDescent="0.25">
      <c r="A37" s="106" t="str">
        <f ca="1">_xlfn.LET(
_xlpm._isAssumption,$M37,
_xlpm._row,$N37,
_xlpm._numActiveAssumptions,Helper!$B$8,
_xlpm._numActiveCountermeasures,Helper!$B$9,
_xlpm._numAdditionalAssumptions,Helper!$B$10,
_xlpm._numAdditionalCountermeasures,Helper!$B$11,
IF(_xlpm._isAssumption,
IF(_xlpm._row&gt;_xlpm._numActiveAssumptions,
$Y37&amp;"-A"&amp;$T37,
INDEX(Assumptions!A:A,MATCH(_xlpm._row,Assumptions!$AC:$AC,0))),
IF(_xlpm._row&gt;_xlpm._numActiveCountermeasures+_xlpm._numAdditionalCountermeasures,"",
IF(_xlpm._row&gt;_xlpm._numActiveCountermeasures,
$Y37&amp;"-C"&amp;$T37,
INDEX(Countermeasures!$A:$A,MATCH(_xlpm._row,Countermeasures!$AE:$AE,0))))))</f>
        <v/>
      </c>
      <c r="B37" s="106" t="str" cm="1">
        <f t="array" aca="1" ref="B37" ca="1">IF($A37="","",
_xlfn.LET(
_xlpm._isAssumption,$M37,
_xlpm._isAdditionalElement,$O37,
IF(_xlpm._isAdditionalElement,
IF(_xlpm._isAssumption,
ParseElementsFromComment($X37,Definitions!$AR$4,Definitions!$AS$4,Definitions!$AR$6,$T37),
ParseElementsFromComment($X37,Definitions!$AR$5,Definitions!$AS$5,Definitions!$AR$6,$T37)),
_xlfn.LET(_xlpm._value,IF($A37="","",IF($M37,SimpleLookup($A37,Assumptions!$A:$B),SimpleLookup($A37,Countermeasures!$A:$B))),IF(_xlpm._value="","",_xlpm._value)))))</f>
        <v/>
      </c>
      <c r="C37" s="106" t="str" cm="1">
        <f t="array" aca="1" ref="C37" ca="1">IF($A37="","",IF($M37,IFERROR(SimpleLookup($A37,Assumptions!$A:$E),""),Definitions!$AO$4))</f>
        <v/>
      </c>
      <c r="D37" s="103" t="str">
        <f t="shared" ca="1" si="2"/>
        <v/>
      </c>
      <c r="E37" s="107"/>
      <c r="F37" s="108" t="str">
        <f t="shared" ca="1" si="3"/>
        <v/>
      </c>
      <c r="G37" s="102" t="str" cm="1">
        <f t="array" aca="1" ref="G37" ca="1">_xlfn.LET(_xlpm._val,IFERROR(SimpleLookup($A37,Countermeasures!$A:$S),IFERROR(SimpleLookup($A37,Assumptions!$A:$S),"")),IF(_xlpm._val="","",_xlpm._val))</f>
        <v/>
      </c>
      <c r="H37" s="109" t="str">
        <f>""</f>
        <v/>
      </c>
      <c r="I37" s="102" t="str">
        <f t="shared" ca="1" si="4"/>
        <v/>
      </c>
      <c r="J37" s="102" t="str">
        <f t="shared" ca="1" si="5"/>
        <v/>
      </c>
      <c r="K37" s="106" t="str" cm="1">
        <f t="array" aca="1" ref="K37" ca="1">_xlfn.LET(_xlpm._value,IF($A37="","",IFERROR(IF($M37,SimpleLookup($A37,Assumptions!$A:$T),SimpleLookup($A37,Countermeasures!$A:$T)),"")),
IF(_xlpm._value="","",_xlpm._value))</f>
        <v/>
      </c>
      <c r="L37" s="9" cm="1">
        <f t="array" aca="1" ref="L37" ca="1">CreateID($L$17,$A37&lt;&gt;"")</f>
        <v>11</v>
      </c>
      <c r="M37" s="9" t="b">
        <f ca="1">_xlfn.LET(_xlpm._row,ROW()-ROW($N$17),
_xlpm._numActiveAssumptions,Helper!$B$8,
_xlpm._numAdditionalAssumptions,SUM(Table24['# Elements]),
_xlpm._row&lt;=_xlpm._numActiveAssumptions+_xlpm._numAdditionalAssumptions)</f>
        <v>0</v>
      </c>
      <c r="N37" s="9">
        <f ca="1">_xlfn.LET(_xlpm._row,ROW()-ROW($N$17),
_xlpm._numActiveAssumptions,Helper!$B$8,
_xlpm._numAdditionalAssumptions,Helper!$B$10,
_xlpm._isAssumption,$M37,
_xlpm._elementID,IF(_xlpm._isAssumption,_xlpm._row,_xlpm._row-_xlpm._numActiveAssumptions-_xlpm._numAdditionalAssumptions),
_xlpm._elementID)</f>
        <v>16</v>
      </c>
      <c r="O37"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37" s="11" cm="1">
        <f t="array" aca="1" ref="P37" ca="1">IF($O37,
IF(ROW()=ROW($P$17)+1,1,INDEX($P:$P,ROW()-1)+IF(INDEX($W:$W,ROW()-1),1,0)),
1)</f>
        <v>1</v>
      </c>
      <c r="Q37" s="11" t="str" cm="1">
        <f t="array" aca="1" ref="Q37" ca="1">IF($O37=TRUE,
_xlfn.LET(
_xlpm._isAssumption,$M37,
_xlpm._indexRange,IF(_xlpm._isAssumption,Table24['# Elements],Table25['# Elements]),
_xlpm._lookupRow,$Z37,
INDEX(_xlpm._indexRange,_xlpm._lookupRow)),
"")</f>
        <v/>
      </c>
      <c r="R37" s="11" t="str" cm="1">
        <f t="array" aca="1" ref="R37" ca="1">IF($Q37="","",_xlfn.LET(
_xlpm._prevRow,ROW()-1,
IF(OR(INDEX($Q:$Q,_xlpm._prevRow)&lt;&gt;$Q37,INDEX($P:$P,_xlpm._prevRow)&lt;&gt;$P37),
1,
INDEX($R:$R,_xlpm._prevRow)+IF(INDEX($V:$V,_xlpm._prevRow),1,0))))</f>
        <v/>
      </c>
      <c r="S37" s="11" t="str" cm="1">
        <f t="array" aca="1" ref="S37" ca="1">IF($R37="","",_xlfn.LET(
_xlpm._isAssumption,$M37,
_xlpm._sheetRow,$Z37,
_xlpm._sheetName,$AA37,
_xlpm._elementIDRange,IF(_xlpm._isAssumption,Table24[Element ID Column],Table25[Element ID Column]),
_xlpm._numberOfElementsRange,IF(_xlpm._isAssumption,Table24[Number of Elements Column],Table25[Number of Elements Column]),
SimpleLookup($R37,INDIRECT("'"&amp;_xlpm._sheetName&amp;"'!"&amp;INDEX(_xlpm._elementIDRange,_xlpm._sheetRow)&amp;":"&amp;INDEX(_xlpm._numberOfElementsRange,_xlpm._sheetRow)))))</f>
        <v/>
      </c>
      <c r="T37" s="11" t="str" cm="1">
        <f t="array" aca="1" ref="T37" ca="1">IF($R37="","",IF(OR(INDEX($R:$R,ROW()-1)&lt;&gt;$R37,INDEX($P:$P,ROW()-1)&lt;&gt;$P37),1,INDEX($T:$T,ROW()-1)+1))</f>
        <v/>
      </c>
      <c r="U37" s="11">
        <f t="shared" ca="1" si="6"/>
        <v>0</v>
      </c>
      <c r="V37" s="11" t="str">
        <f t="shared" ca="1" si="7"/>
        <v/>
      </c>
      <c r="W37" s="11" t="b">
        <f ca="1">_xlfn.LET(
_xlpm._isAssumption,$M37,
_xlpm._numberOfElementsRange,IF(_xlpm._isAssumption,Table24['# Elements],Table25['# Elements]),
_xlpm._sheetRow,$Z37,
IF($O37,AND($V37,$U37=$Q37),FALSE))</f>
        <v>0</v>
      </c>
      <c r="X37" s="11" t="str" cm="1">
        <f t="array" aca="1" ref="X37" ca="1">IF($O37,
_xlfn.LET(
_xlpm._elementID,$R37,
_xlpm._isAssumption,$M37,
_xlpm._sheetRow,$Z37,
_xlpm._sheetName,$AA37,
_xlpm._elementRow,$AB37,
_xlpm._resultColumnLetter,IF(_xlpm._isAssumption,INDEX(Table24[Comment Column],_xlpm._sheetRow),INDEX(Table25[Comment Column],_xlpm._sheetRow)),
INDEX(INDIRECT("'"&amp;_xlpm._sheetName&amp;"'!"&amp;_xlpm._resultColumnLetter&amp;":"&amp;_xlpm._resultColumnLetter),_xlpm._elementRow)),
"")</f>
        <v/>
      </c>
      <c r="Y37" s="11" t="str" cm="1">
        <f t="array" aca="1" ref="Y37" ca="1">IF($O37,
_xlfn.LET(
_xlpm._elementID,$R37,
_xlpm._isAssumption,$M37,
_xlpm._sheetRow,$Z37,
_xlpm._sheetName,$AA37,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37" s="11" t="str">
        <f ca="1">IF($O37=TRUE,
_xlfn.LET(
_xlpm._isAssumption,$M37,
_xlpm._searchRange,IF(_xlpm._isAssumption,Table24[Task Sheet Shadow ID],Table25[Task Sheet Shadow ID]),
MATCH($P37,_xlpm._searchRange,0)),
"")</f>
        <v/>
      </c>
      <c r="AA37" s="11" t="str" cm="1">
        <f t="array" aca="1" ref="AA37" ca="1">IF($O37,
_xlfn.LET(
_xlpm._isAssumption,$M37,
_xlpm._sheetRow,$Z37,
IF(_xlpm._isAssumption,INDEX(Table24[Sheet Name],_xlpm._sheetRow),INDEX(Table25[Sheet Name],_xlpm._sheetRow))),
"")</f>
        <v/>
      </c>
      <c r="AB37" s="11" t="str" cm="1">
        <f t="array" aca="1" ref="AB37" ca="1">IF($O37,
_xlfn.LET(
_xlpm._elementID,$R37,
_xlpm._isAssumption,$M37,
_xlpm._sheetRow,$Z37,
_xlpm._sheetName,$AA37,
_xlpm._elementIDColumnLetter,IF(_xlpm._isAssumption,INDEX(Table24[Element ID Column],_xlpm._sheetRow),INDEX(Table25[Element ID Column],_xlpm._sheetRow)),
MATCH(_xlpm._elementID,INDIRECT("'"&amp;_xlpm._sheetName&amp;"'!"&amp;_xlpm._elementIDColumnLetter&amp;":"&amp;_xlpm._elementIDColumnLetter),0)),
"")</f>
        <v/>
      </c>
      <c r="AC37" s="11" t="str" cm="1">
        <f t="array" aca="1" ref="AC37" ca="1">IF($A37="","",_xlfn.LET(
_xlpm._isAssumption,$M37,
_xlpm._isAdditionalElement,$O37,
_xlpm._sheetRow,$Z37,
_xlpm._sheetName,$AA37,
_xlpm._columnLetter,INDEX(IF(_xlpm._isAdditionalElement,Table24[Comment Column],Table25[Comment Column]),_xlpm._sheetRow),
_xlpm._sheetReference,IF(_xlpm._isAssumption,IF(_xlpm._isAdditionalElement,
CELL("address",INDEX(INDIRECT("'"&amp;_xlpm._sheetName&amp;"'!"&amp;_xlpm._columnLetter&amp;":"&amp;_xlpm._columnLetter),$AB37)),
CELL("address",INDEX(Assumptions!$A:$A,MATCH($A37,Assumptions!$A:$A,0),1))),
IF(_xlpm._isAdditionalElement,
CELL("address",INDEX(INDIRECT("'"&amp;_xlpm._sheetName&amp;"'!"&amp;_xlpm._columnLetter&amp;":"&amp;_xlpm._columnLetter),$AB37)),
CELL("address",INDEX(Countermeasures!$A:$A,MATCH($A37,Countermeasures!$A:$A,0),1)))),
_xlpm._start,FIND("]",_xlpm._sheetReference),
"'"&amp;SUBSTITUTE(SUBSTITUTE(RIGHT(_xlpm._sheetReference,LEN(_xlpm._sheetReference)-_xlpm._start),"'",""),"!","'!")))</f>
        <v/>
      </c>
      <c r="AD37" s="11" t="str" cm="1">
        <f t="array" aca="1" ref="AD37" ca="1">IF(NOT($O37),
_xlfn.LET(_xlpm._value,IF($A37="","",IF($M37,SimpleLookup($A37,Assumptions!$A:$AG),SimpleLookup($A37,Countermeasures!$A:$AJ))),
IF(_xlpm._value="","",_xlpm._value)),
"")</f>
        <v/>
      </c>
      <c r="AE37" s="11" t="str" cm="1">
        <f t="array" aca="1" ref="AE37" ca="1">LookupNames(InverseLookup($A37,Mitigation!$AD$2,Mitigation!$A$2,1,Helper!$B$5,","),'Attack Steps'!$A:$B)</f>
        <v/>
      </c>
      <c r="AF37" s="11" t="str" cm="1">
        <f t="array" aca="1" ref="AF37" ca="1">IF($O37,
_xlfn.LET(
_xlpm._in,$A37,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37" s="11" t="str" cm="1">
        <f t="array" aca="1" ref="AG37" ca="1">_xlfn.LET(
_xlpm._countermeasures,InverseLookup($A37,Countermeasures!$AC$2,Countermeasures!$A$2,1,Helper!$B$4,","),
LookupNames(_xlpm._countermeasures,Countermeasures!$A:$B))</f>
        <v/>
      </c>
      <c r="AH37" s="11" t="str" cm="1">
        <f t="array" aca="1" ref="AH37" ca="1">IF($E37="","",_xlfn.LET(
_xlpm._id,$E37,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37" s="11" t="str" cm="1">
        <f t="array" aca="1" ref="AI37" ca="1">IF(OR($A37="",$O37),"",_xlfn.LET(
_xlpm._answers,IF($M37,SimpleLookup($A37,Assumptions!$A:$F),SimpleLookup($A37,Countermeasures!$A:$D)),
IF(_xlpm._answers="*",IF($M37,SimpleLookup($A37,Assumptions!$A:$C),SimpleLookup($A37,Countermeasures!$A:$C)),"")))</f>
        <v/>
      </c>
      <c r="AJ37" s="11" t="str" cm="1">
        <f t="array" aca="1" ref="AJ37" ca="1">IF(NOT($O37),"",_xlfn.LET(
_xlpm._mappedInMitigation,IFERROR(VLOOKUP($Y37,'Attack Steps'!$A:$P,COLUMNS('Attack Steps'!$A:$P),FALSE),""),
CreateSearchString(_xlpm._mappedInMitigation)))</f>
        <v/>
      </c>
      <c r="AK37" s="11" t="b">
        <f ca="1">ROW()-ROW($AK$17)=Helper!$B$15</f>
        <v>0</v>
      </c>
      <c r="AL37" s="11" t="str">
        <f t="shared" ca="1" si="8"/>
        <v/>
      </c>
      <c r="AM37" s="11" cm="1">
        <f t="array" aca="1" ref="AM37" ca="1">CreateID($AM$17,$AL37&lt;&gt;"")</f>
        <v>0</v>
      </c>
      <c r="AN37" s="11" t="str" cm="1">
        <f t="array" aca="1" ref="AN37" ca="1">IF($O37,"",
_xlfn.LET(
_xlpm._this,SanitizeInput($A37)&amp;AT37,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37" s="11" t="str" cm="1">
        <f t="array" aca="1" ref="AO37" ca="1">IF($O37,"",_xlfn.LET(
_xlpm._listOfRisksAndLevels,SanitizeInput($AN37),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_xlpm._shortenedList,IF($H37="",_xlpm._risksWithMaxValue,
  IF(LEN(_xlpm._risksWithMaxValue)-LEN(SUBSTITUTE(_xlpm._risksWithMaxValue,",",""))&lt;=$H37,_xlpm._risksWithMaxValue,
    LEFT(_xlpm._risksWithMaxValue,FIND(CHAR(1),SUBSTITUTE(_xlpm._risksWithMaxValue,",",CHAR(1),$H37))))),
IF(_xlpm._maxRiskValue="","",
  _xlpm._lineMainSeparator&amp;
  INDEX(Definitions!$AE:$AE,MATCH(_xlpm._maxRiskValue,Definitions!$AF:$AF,0))&amp;CHAR(10)&amp;
  _xlpm._lineMainSeparator&amp;
  RemoveDelimiter(GetValues(_xlpm._shortenedList,Risks!$A:$B," ",CHAR(10)&amp;_xlpm._lineMainSeparator,TRUE),CHAR(10)&amp;_xlpm._lineMainSeparator))))</f>
        <v/>
      </c>
      <c r="AP37" s="11" t="str" cm="1">
        <f t="array" aca="1" ref="AP37" ca="1">IF($O37,"",_xlfn.LET(
_xlpm._lineMainSeparator,REPT(_xlfn.UNICHAR(9552),63)&amp;CHAR(10),
_xlpm._affectedRisks,InverseLookupList(SanitizeInput($A37)&amp;$AT37,Risks!$AX$2,Risks!$A$2,Helper!$B$1,","),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_xlpm._shortenedList,IF($H37="",_xlpm._risksWithMaxValue,
  IF(LEN(_xlpm._risksWithMaxValue)-LEN(SUBSTITUTE(_xlpm._risksWithMaxValue,",",""))&lt;=$H37,_xlpm._risksWithMaxValue,
    LEFT(_xlpm._risksWithMaxValue,FIND(CHAR(1),SUBSTITUTE(_xlpm._risksWithMaxValue,",",CHAR(1),$H37))))),
IF(_xlpm._maxRiskValue="","",
  _xlpm._lineMainSeparator&amp;
  INDEX(Definitions!$AE:$AE,MATCH(_xlpm._maxRiskValue,Definitions!$AF:$AF,0))&amp;CHAR(10)&amp;
  _xlpm._lineMainSeparator&amp;
  RemoveDelimiter(GetValues(_xlpm._shortenedList,Risks!$A:$B," ",CHAR(10)&amp;_xlpm._lineMainSeparator,TRUE),CHAR(10)&amp;_xlpm._lineMainSeparator))))</f>
        <v/>
      </c>
      <c r="AQ37" s="11" t="str" cm="1">
        <f t="array" aca="1" ref="AQ37" ca="1">IF(NOT($O37),"",
_xlfn.LET(
_xlpm._potentialASID,$Y37,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_xlpm._commentsFiltered,SUBSTITUTE(GetValues(_xlpm._attackSteps,Mitigation!$A:$O,"","",FALSE),$X37,""),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37" s="11" t="str" cm="1">
        <f t="array" aca="1" ref="AR37" ca="1">IF(NOT($O37),"",_xlfn.LET(
_xlpm._listOfRisksAndLevels,SanitizeInput($AQ37),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_xlpm._shortenedList,IF($H37="",_xlpm._risksWithMaxValue,
  IF(LEN(_xlpm._risksWithMaxValue)-LEN(SUBSTITUTE(_xlpm._risksWithMaxValue,",",""))&lt;=$H37,_xlpm._risksWithMaxValue,
    LEFT(_xlpm._risksWithMaxValue,FIND(CHAR(1),SUBSTITUTE(_xlpm._risksWithMaxValue,",",CHAR(1),$H37))))),
IF(_xlpm._maxRiskValue="","",
  _xlpm._lineMainSeparator&amp;
  INDEX(Definitions!$AE:$AE,MATCH(_xlpm._maxRiskValue,Definitions!$AF:$AF,0))&amp;CHAR(10)&amp;
  _xlpm._lineMainSeparator&amp;
  RemoveDelimiter(GetValues(_xlpm._shortenedList,Risks!$A:$B," ",CHAR(10)&amp;_xlpm._lineMainSeparator,TRUE),CHAR(10)&amp;_xlpm._lineMainSeparator))))</f>
        <v/>
      </c>
      <c r="AS37" s="11" t="str" cm="1">
        <f t="array" aca="1" ref="AS37" ca="1">IF(NOT($O37),"",
_xlfn.LET(
_xlpm._lineMainSeparator,REPT(_xlfn.UNICHAR(9552),63)&amp;CHAR(10),
_xlpm._potentialASID,$Y37,
_xlpm._risk,IFERROR(SimpleLookup(_xlpm._potentialASID,Mitigation!$A:$N),""),
_xlpm._attackPaths,IFERROR(SimpleLookup(_xlpm._potentialASID,Mitigation!$A:$M),""),
IF(_xlpm._risk="","",
_xlpm._lineMainSeparator&amp;
_xlpm._risk&amp;CHAR(10)&amp;
_xlpm._lineMainSeparator&amp;
_xlpm._attackPaths)))</f>
        <v/>
      </c>
      <c r="AT37" s="11" t="str" cm="1">
        <f t="array" aca="1" ref="AT37" ca="1">InverseLookup($A37,Countermeasures!$AA$2,Countermeasures!$A$2,1,Helper!$B$4,",")</f>
        <v/>
      </c>
    </row>
    <row r="38" spans="1:47" x14ac:dyDescent="0.25">
      <c r="A38" s="106" t="str">
        <f ca="1">_xlfn.LET(
_xlpm._isAssumption,$M38,
_xlpm._row,$N38,
_xlpm._numActiveAssumptions,Helper!$B$8,
_xlpm._numActiveCountermeasures,Helper!$B$9,
_xlpm._numAdditionalAssumptions,Helper!$B$10,
_xlpm._numAdditionalCountermeasures,Helper!$B$11,
IF(_xlpm._isAssumption,
IF(_xlpm._row&gt;_xlpm._numActiveAssumptions,
$Y38&amp;"-A"&amp;$T38,
INDEX(Assumptions!A:A,MATCH(_xlpm._row,Assumptions!$AC:$AC,0))),
IF(_xlpm._row&gt;_xlpm._numActiveCountermeasures+_xlpm._numAdditionalCountermeasures,"",
IF(_xlpm._row&gt;_xlpm._numActiveCountermeasures,
$Y38&amp;"-C"&amp;$T38,
INDEX(Countermeasures!$A:$A,MATCH(_xlpm._row,Countermeasures!$AE:$AE,0))))))</f>
        <v/>
      </c>
      <c r="B38" s="106" t="str" cm="1">
        <f t="array" aca="1" ref="B38" ca="1">IF($A38="","",
_xlfn.LET(
_xlpm._isAssumption,$M38,
_xlpm._isAdditionalElement,$O38,
IF(_xlpm._isAdditionalElement,
IF(_xlpm._isAssumption,
ParseElementsFromComment($X38,Definitions!$AR$4,Definitions!$AS$4,Definitions!$AR$6,$T38),
ParseElementsFromComment($X38,Definitions!$AR$5,Definitions!$AS$5,Definitions!$AR$6,$T38)),
_xlfn.LET(_xlpm._value,IF($A38="","",IF($M38,SimpleLookup($A38,Assumptions!$A:$B),SimpleLookup($A38,Countermeasures!$A:$B))),IF(_xlpm._value="","",_xlpm._value)))))</f>
        <v/>
      </c>
      <c r="C38" s="106" t="str" cm="1">
        <f t="array" aca="1" ref="C38" ca="1">IF($A38="","",IF($M38,IFERROR(SimpleLookup($A38,Assumptions!$A:$E),""),Definitions!$AO$4))</f>
        <v/>
      </c>
      <c r="D38" s="103" t="str">
        <f t="shared" ca="1" si="2"/>
        <v/>
      </c>
      <c r="E38" s="107"/>
      <c r="F38" s="108" t="str">
        <f t="shared" ca="1" si="3"/>
        <v/>
      </c>
      <c r="G38" s="103" t="str" cm="1">
        <f t="array" aca="1" ref="G38" ca="1">_xlfn.LET(_xlpm._val,IFERROR(SimpleLookup($A38,Countermeasures!$A:$S),IFERROR(SimpleLookup($A38,Assumptions!$A:$S),"")),IF(_xlpm._val="","",_xlpm._val))</f>
        <v/>
      </c>
      <c r="H38" s="110" t="str">
        <f>""</f>
        <v/>
      </c>
      <c r="I38" s="103" t="str">
        <f t="shared" ca="1" si="4"/>
        <v/>
      </c>
      <c r="J38" s="103" t="str">
        <f t="shared" ca="1" si="5"/>
        <v/>
      </c>
      <c r="K38" s="106" t="str" cm="1">
        <f t="array" aca="1" ref="K38" ca="1">_xlfn.LET(_xlpm._value,IF($A38="","",IFERROR(IF($M38,SimpleLookup($A38,Assumptions!$A:$T),SimpleLookup($A38,Countermeasures!$A:$T)),"")),
IF(_xlpm._value="","",_xlpm._value))</f>
        <v/>
      </c>
      <c r="L38" s="9" cm="1">
        <f t="array" aca="1" ref="L38" ca="1">CreateID($L$17,$A38&lt;&gt;"")</f>
        <v>11</v>
      </c>
      <c r="M38" s="9" t="b">
        <f ca="1">_xlfn.LET(_xlpm._row,ROW()-ROW($N$17),
_xlpm._numActiveAssumptions,Helper!$B$8,
_xlpm._numAdditionalAssumptions,SUM(Table24['# Elements]),
_xlpm._row&lt;=_xlpm._numActiveAssumptions+_xlpm._numAdditionalAssumptions)</f>
        <v>0</v>
      </c>
      <c r="N38" s="9">
        <f ca="1">_xlfn.LET(_xlpm._row,ROW()-ROW($N$17),
_xlpm._numActiveAssumptions,Helper!$B$8,
_xlpm._numAdditionalAssumptions,Helper!$B$10,
_xlpm._isAssumption,$M38,
_xlpm._elementID,IF(_xlpm._isAssumption,_xlpm._row,_xlpm._row-_xlpm._numActiveAssumptions-_xlpm._numAdditionalAssumptions),
_xlpm._elementID)</f>
        <v>17</v>
      </c>
      <c r="O38"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38" s="11" cm="1">
        <f t="array" aca="1" ref="P38" ca="1">IF($O38,
IF(ROW()=ROW($P$17)+1,1,INDEX($P:$P,ROW()-1)+IF(INDEX($W:$W,ROW()-1),1,0)),
1)</f>
        <v>1</v>
      </c>
      <c r="Q38" s="11" t="str" cm="1">
        <f t="array" aca="1" ref="Q38" ca="1">IF($O38=TRUE,
_xlfn.LET(
_xlpm._isAssumption,$M38,
_xlpm._indexRange,IF(_xlpm._isAssumption,Table24['# Elements],Table25['# Elements]),
_xlpm._lookupRow,$Z38,
INDEX(_xlpm._indexRange,_xlpm._lookupRow)),
"")</f>
        <v/>
      </c>
      <c r="R38" s="11" t="str" cm="1">
        <f t="array" aca="1" ref="R38" ca="1">IF($Q38="","",_xlfn.LET(
_xlpm._prevRow,ROW()-1,
IF(OR(INDEX($Q:$Q,_xlpm._prevRow)&lt;&gt;$Q38,INDEX($P:$P,_xlpm._prevRow)&lt;&gt;$P38),
1,
INDEX($R:$R,_xlpm._prevRow)+IF(INDEX($V:$V,_xlpm._prevRow),1,0))))</f>
        <v/>
      </c>
      <c r="S38" s="11" t="str" cm="1">
        <f t="array" aca="1" ref="S38" ca="1">IF($R38="","",_xlfn.LET(
_xlpm._isAssumption,$M38,
_xlpm._sheetRow,$Z38,
_xlpm._sheetName,$AA38,
_xlpm._elementIDRange,IF(_xlpm._isAssumption,Table24[Element ID Column],Table25[Element ID Column]),
_xlpm._numberOfElementsRange,IF(_xlpm._isAssumption,Table24[Number of Elements Column],Table25[Number of Elements Column]),
SimpleLookup($R38,INDIRECT("'"&amp;_xlpm._sheetName&amp;"'!"&amp;INDEX(_xlpm._elementIDRange,_xlpm._sheetRow)&amp;":"&amp;INDEX(_xlpm._numberOfElementsRange,_xlpm._sheetRow)))))</f>
        <v/>
      </c>
      <c r="T38" s="11" t="str" cm="1">
        <f t="array" aca="1" ref="T38" ca="1">IF($R38="","",IF(OR(INDEX($R:$R,ROW()-1)&lt;&gt;$R38,INDEX($P:$P,ROW()-1)&lt;&gt;$P38),1,INDEX($T:$T,ROW()-1)+1))</f>
        <v/>
      </c>
      <c r="U38" s="11">
        <f t="shared" ca="1" si="6"/>
        <v>0</v>
      </c>
      <c r="V38" s="11" t="str">
        <f t="shared" ca="1" si="7"/>
        <v/>
      </c>
      <c r="W38" s="11" t="b">
        <f ca="1">_xlfn.LET(
_xlpm._isAssumption,$M38,
_xlpm._numberOfElementsRange,IF(_xlpm._isAssumption,Table24['# Elements],Table25['# Elements]),
_xlpm._sheetRow,$Z38,
IF($O38,AND($V38,$U38=$Q38),FALSE))</f>
        <v>0</v>
      </c>
      <c r="X38" s="11" t="str" cm="1">
        <f t="array" aca="1" ref="X38" ca="1">IF($O38,
_xlfn.LET(
_xlpm._elementID,$R38,
_xlpm._isAssumption,$M38,
_xlpm._sheetRow,$Z38,
_xlpm._sheetName,$AA38,
_xlpm._elementRow,$AB38,
_xlpm._resultColumnLetter,IF(_xlpm._isAssumption,INDEX(Table24[Comment Column],_xlpm._sheetRow),INDEX(Table25[Comment Column],_xlpm._sheetRow)),
INDEX(INDIRECT("'"&amp;_xlpm._sheetName&amp;"'!"&amp;_xlpm._resultColumnLetter&amp;":"&amp;_xlpm._resultColumnLetter),_xlpm._elementRow)),
"")</f>
        <v/>
      </c>
      <c r="Y38" s="11" t="str" cm="1">
        <f t="array" aca="1" ref="Y38" ca="1">IF($O38,
_xlfn.LET(
_xlpm._elementID,$R38,
_xlpm._isAssumption,$M38,
_xlpm._sheetRow,$Z38,
_xlpm._sheetName,$AA38,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38" s="11" t="str">
        <f ca="1">IF($O38=TRUE,
_xlfn.LET(
_xlpm._isAssumption,$M38,
_xlpm._searchRange,IF(_xlpm._isAssumption,Table24[Task Sheet Shadow ID],Table25[Task Sheet Shadow ID]),
MATCH($P38,_xlpm._searchRange,0)),
"")</f>
        <v/>
      </c>
      <c r="AA38" s="11" t="str" cm="1">
        <f t="array" aca="1" ref="AA38" ca="1">IF($O38,
_xlfn.LET(
_xlpm._isAssumption,$M38,
_xlpm._sheetRow,$Z38,
IF(_xlpm._isAssumption,INDEX(Table24[Sheet Name],_xlpm._sheetRow),INDEX(Table25[Sheet Name],_xlpm._sheetRow))),
"")</f>
        <v/>
      </c>
      <c r="AB38" s="11" t="str" cm="1">
        <f t="array" aca="1" ref="AB38" ca="1">IF($O38,
_xlfn.LET(
_xlpm._elementID,$R38,
_xlpm._isAssumption,$M38,
_xlpm._sheetRow,$Z38,
_xlpm._sheetName,$AA38,
_xlpm._elementIDColumnLetter,IF(_xlpm._isAssumption,INDEX(Table24[Element ID Column],_xlpm._sheetRow),INDEX(Table25[Element ID Column],_xlpm._sheetRow)),
MATCH(_xlpm._elementID,INDIRECT("'"&amp;_xlpm._sheetName&amp;"'!"&amp;_xlpm._elementIDColumnLetter&amp;":"&amp;_xlpm._elementIDColumnLetter),0)),
"")</f>
        <v/>
      </c>
      <c r="AC38" s="11" t="str" cm="1">
        <f t="array" aca="1" ref="AC38" ca="1">IF($A38="","",_xlfn.LET(
_xlpm._isAssumption,$M38,
_xlpm._isAdditionalElement,$O38,
_xlpm._sheetRow,$Z38,
_xlpm._sheetName,$AA38,
_xlpm._columnLetter,INDEX(IF(_xlpm._isAdditionalElement,Table24[Comment Column],Table25[Comment Column]),_xlpm._sheetRow),
_xlpm._sheetReference,IF(_xlpm._isAssumption,IF(_xlpm._isAdditionalElement,
CELL("address",INDEX(INDIRECT("'"&amp;_xlpm._sheetName&amp;"'!"&amp;_xlpm._columnLetter&amp;":"&amp;_xlpm._columnLetter),$AB38)),
CELL("address",INDEX(Assumptions!$A:$A,MATCH($A38,Assumptions!$A:$A,0),1))),
IF(_xlpm._isAdditionalElement,
CELL("address",INDEX(INDIRECT("'"&amp;_xlpm._sheetName&amp;"'!"&amp;_xlpm._columnLetter&amp;":"&amp;_xlpm._columnLetter),$AB38)),
CELL("address",INDEX(Countermeasures!$A:$A,MATCH($A38,Countermeasures!$A:$A,0),1)))),
_xlpm._start,FIND("]",_xlpm._sheetReference),
"'"&amp;SUBSTITUTE(SUBSTITUTE(RIGHT(_xlpm._sheetReference,LEN(_xlpm._sheetReference)-_xlpm._start),"'",""),"!","'!")))</f>
        <v/>
      </c>
      <c r="AD38" s="11" t="str" cm="1">
        <f t="array" aca="1" ref="AD38" ca="1">IF(NOT($O38),
_xlfn.LET(_xlpm._value,IF($A38="","",IF($M38,SimpleLookup($A38,Assumptions!$A:$AG),SimpleLookup($A38,Countermeasures!$A:$AJ))),
IF(_xlpm._value="","",_xlpm._value)),
"")</f>
        <v/>
      </c>
      <c r="AE38" s="11" t="str" cm="1">
        <f t="array" aca="1" ref="AE38" ca="1">LookupNames(InverseLookup($A38,Mitigation!$AD$2,Mitigation!$A$2,1,Helper!$B$5,","),'Attack Steps'!$A:$B)</f>
        <v/>
      </c>
      <c r="AF38" s="11" t="str" cm="1">
        <f t="array" aca="1" ref="AF38" ca="1">IF($O38,
_xlfn.LET(
_xlpm._in,$A38,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38" s="11" t="str" cm="1">
        <f t="array" aca="1" ref="AG38" ca="1">_xlfn.LET(
_xlpm._countermeasures,InverseLookup($A38,Countermeasures!$AC$2,Countermeasures!$A$2,1,Helper!$B$4,","),
LookupNames(_xlpm._countermeasures,Countermeasures!$A:$B))</f>
        <v/>
      </c>
      <c r="AH38" s="11" t="str" cm="1">
        <f t="array" aca="1" ref="AH38" ca="1">IF($E38="","",_xlfn.LET(
_xlpm._id,$E38,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38" s="11" t="str" cm="1">
        <f t="array" aca="1" ref="AI38" ca="1">IF(OR($A38="",$O38),"",_xlfn.LET(
_xlpm._answers,IF($M38,SimpleLookup($A38,Assumptions!$A:$F),SimpleLookup($A38,Countermeasures!$A:$D)),
IF(_xlpm._answers="*",IF($M38,SimpleLookup($A38,Assumptions!$A:$C),SimpleLookup($A38,Countermeasures!$A:$C)),"")))</f>
        <v/>
      </c>
      <c r="AJ38" s="11" t="str" cm="1">
        <f t="array" aca="1" ref="AJ38" ca="1">IF(NOT($O38),"",_xlfn.LET(
_xlpm._mappedInMitigation,IFERROR(VLOOKUP($Y38,'Attack Steps'!$A:$P,COLUMNS('Attack Steps'!$A:$P),FALSE),""),
CreateSearchString(_xlpm._mappedInMitigation)))</f>
        <v/>
      </c>
      <c r="AK38" s="11" t="b">
        <f ca="1">ROW()-ROW($AK$17)=Helper!$B$15</f>
        <v>0</v>
      </c>
      <c r="AL38" s="11" t="str">
        <f t="shared" ca="1" si="8"/>
        <v/>
      </c>
      <c r="AM38" s="11" cm="1">
        <f t="array" aca="1" ref="AM38" ca="1">CreateID($AM$17,$AL38&lt;&gt;"")</f>
        <v>0</v>
      </c>
      <c r="AN38" s="11" t="str" cm="1">
        <f t="array" aca="1" ref="AN38" ca="1">IF($O38,"",
_xlfn.LET(
_xlpm._this,SanitizeInput($A38)&amp;AT38,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38" s="11" t="str" cm="1">
        <f t="array" aca="1" ref="AO38" ca="1">IF($O38,"",_xlfn.LET(
_xlpm._listOfRisksAndLevels,SanitizeInput($AN38),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_xlpm._shortenedList,IF($H38="",_xlpm._risksWithMaxValue,
  IF(LEN(_xlpm._risksWithMaxValue)-LEN(SUBSTITUTE(_xlpm._risksWithMaxValue,",",""))&lt;=$H38,_xlpm._risksWithMaxValue,
    LEFT(_xlpm._risksWithMaxValue,FIND(CHAR(1),SUBSTITUTE(_xlpm._risksWithMaxValue,",",CHAR(1),$H38))))),
IF(_xlpm._maxRiskValue="","",
  _xlpm._lineMainSeparator&amp;
  INDEX(Definitions!$AE:$AE,MATCH(_xlpm._maxRiskValue,Definitions!$AF:$AF,0))&amp;CHAR(10)&amp;
  _xlpm._lineMainSeparator&amp;
  RemoveDelimiter(GetValues(_xlpm._shortenedList,Risks!$A:$B," ",CHAR(10)&amp;_xlpm._lineMainSeparator,TRUE),CHAR(10)&amp;_xlpm._lineMainSeparator))))</f>
        <v/>
      </c>
      <c r="AP38" s="11" t="str" cm="1">
        <f t="array" aca="1" ref="AP38" ca="1">IF($O38,"",_xlfn.LET(
_xlpm._lineMainSeparator,REPT(_xlfn.UNICHAR(9552),63)&amp;CHAR(10),
_xlpm._affectedRisks,InverseLookupList(SanitizeInput($A38)&amp;$AT38,Risks!$AX$2,Risks!$A$2,Helper!$B$1,","),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_xlpm._shortenedList,IF($H38="",_xlpm._risksWithMaxValue,
  IF(LEN(_xlpm._risksWithMaxValue)-LEN(SUBSTITUTE(_xlpm._risksWithMaxValue,",",""))&lt;=$H38,_xlpm._risksWithMaxValue,
    LEFT(_xlpm._risksWithMaxValue,FIND(CHAR(1),SUBSTITUTE(_xlpm._risksWithMaxValue,",",CHAR(1),$H38))))),
IF(_xlpm._maxRiskValue="","",
  _xlpm._lineMainSeparator&amp;
  INDEX(Definitions!$AE:$AE,MATCH(_xlpm._maxRiskValue,Definitions!$AF:$AF,0))&amp;CHAR(10)&amp;
  _xlpm._lineMainSeparator&amp;
  RemoveDelimiter(GetValues(_xlpm._shortenedList,Risks!$A:$B," ",CHAR(10)&amp;_xlpm._lineMainSeparator,TRUE),CHAR(10)&amp;_xlpm._lineMainSeparator))))</f>
        <v/>
      </c>
      <c r="AQ38" s="11" t="str" cm="1">
        <f t="array" aca="1" ref="AQ38" ca="1">IF(NOT($O38),"",
_xlfn.LET(
_xlpm._potentialASID,$Y38,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_xlpm._commentsFiltered,SUBSTITUTE(GetValues(_xlpm._attackSteps,Mitigation!$A:$O,"","",FALSE),$X38,""),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38" s="11" t="str" cm="1">
        <f t="array" aca="1" ref="AR38" ca="1">IF(NOT($O38),"",_xlfn.LET(
_xlpm._listOfRisksAndLevels,SanitizeInput($AQ38),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_xlpm._shortenedList,IF($H38="",_xlpm._risksWithMaxValue,
  IF(LEN(_xlpm._risksWithMaxValue)-LEN(SUBSTITUTE(_xlpm._risksWithMaxValue,",",""))&lt;=$H38,_xlpm._risksWithMaxValue,
    LEFT(_xlpm._risksWithMaxValue,FIND(CHAR(1),SUBSTITUTE(_xlpm._risksWithMaxValue,",",CHAR(1),$H38))))),
IF(_xlpm._maxRiskValue="","",
  _xlpm._lineMainSeparator&amp;
  INDEX(Definitions!$AE:$AE,MATCH(_xlpm._maxRiskValue,Definitions!$AF:$AF,0))&amp;CHAR(10)&amp;
  _xlpm._lineMainSeparator&amp;
  RemoveDelimiter(GetValues(_xlpm._shortenedList,Risks!$A:$B," ",CHAR(10)&amp;_xlpm._lineMainSeparator,TRUE),CHAR(10)&amp;_xlpm._lineMainSeparator))))</f>
        <v/>
      </c>
      <c r="AS38" s="11" t="str" cm="1">
        <f t="array" aca="1" ref="AS38" ca="1">IF(NOT($O38),"",
_xlfn.LET(
_xlpm._lineMainSeparator,REPT(_xlfn.UNICHAR(9552),63)&amp;CHAR(10),
_xlpm._potentialASID,$Y38,
_xlpm._risk,IFERROR(SimpleLookup(_xlpm._potentialASID,Mitigation!$A:$N),""),
_xlpm._attackPaths,IFERROR(SimpleLookup(_xlpm._potentialASID,Mitigation!$A:$M),""),
IF(_xlpm._risk="","",
_xlpm._lineMainSeparator&amp;
_xlpm._risk&amp;CHAR(10)&amp;
_xlpm._lineMainSeparator&amp;
_xlpm._attackPaths)))</f>
        <v/>
      </c>
      <c r="AT38" s="11" t="str" cm="1">
        <f t="array" aca="1" ref="AT38" ca="1">InverseLookup($A38,Countermeasures!$AA$2,Countermeasures!$A$2,1,Helper!$B$4,",")</f>
        <v/>
      </c>
    </row>
    <row r="39" spans="1:47" x14ac:dyDescent="0.25">
      <c r="A39" s="106" t="str">
        <f ca="1">_xlfn.LET(
_xlpm._isAssumption,$M39,
_xlpm._row,$N39,
_xlpm._numActiveAssumptions,Helper!$B$8,
_xlpm._numActiveCountermeasures,Helper!$B$9,
_xlpm._numAdditionalAssumptions,Helper!$B$10,
_xlpm._numAdditionalCountermeasures,Helper!$B$11,
IF(_xlpm._isAssumption,
IF(_xlpm._row&gt;_xlpm._numActiveAssumptions,
$Y39&amp;"-A"&amp;$T39,
INDEX(Assumptions!A:A,MATCH(_xlpm._row,Assumptions!$AC:$AC,0))),
IF(_xlpm._row&gt;_xlpm._numActiveCountermeasures+_xlpm._numAdditionalCountermeasures,"",
IF(_xlpm._row&gt;_xlpm._numActiveCountermeasures,
$Y39&amp;"-C"&amp;$T39,
INDEX(Countermeasures!$A:$A,MATCH(_xlpm._row,Countermeasures!$AE:$AE,0))))))</f>
        <v/>
      </c>
      <c r="B39" s="106" t="str" cm="1">
        <f t="array" aca="1" ref="B39" ca="1">IF($A39="","",
_xlfn.LET(
_xlpm._isAssumption,$M39,
_xlpm._isAdditionalElement,$O39,
IF(_xlpm._isAdditionalElement,
IF(_xlpm._isAssumption,
ParseElementsFromComment($X39,Definitions!$AR$4,Definitions!$AS$4,Definitions!$AR$6,$T39),
ParseElementsFromComment($X39,Definitions!$AR$5,Definitions!$AS$5,Definitions!$AR$6,$T39)),
_xlfn.LET(_xlpm._value,IF($A39="","",IF($M39,SimpleLookup($A39,Assumptions!$A:$B),SimpleLookup($A39,Countermeasures!$A:$B))),IF(_xlpm._value="","",_xlpm._value)))))</f>
        <v/>
      </c>
      <c r="C39" s="106" t="str" cm="1">
        <f t="array" aca="1" ref="C39" ca="1">IF($A39="","",IF($M39,IFERROR(SimpleLookup($A39,Assumptions!$A:$E),""),Definitions!$AO$4))</f>
        <v/>
      </c>
      <c r="D39" s="103" t="str">
        <f t="shared" ca="1" si="2"/>
        <v/>
      </c>
      <c r="E39" s="107"/>
      <c r="F39" s="108" t="str">
        <f t="shared" ca="1" si="3"/>
        <v/>
      </c>
      <c r="G39" s="102" t="str" cm="1">
        <f t="array" aca="1" ref="G39" ca="1">_xlfn.LET(_xlpm._val,IFERROR(SimpleLookup($A39,Countermeasures!$A:$S),IFERROR(SimpleLookup($A39,Assumptions!$A:$S),"")),IF(_xlpm._val="","",_xlpm._val))</f>
        <v/>
      </c>
      <c r="H39" s="109" t="str">
        <f>""</f>
        <v/>
      </c>
      <c r="I39" s="102" t="str">
        <f t="shared" ca="1" si="4"/>
        <v/>
      </c>
      <c r="J39" s="102" t="str">
        <f t="shared" ca="1" si="5"/>
        <v/>
      </c>
      <c r="K39" s="106" t="str" cm="1">
        <f t="array" aca="1" ref="K39" ca="1">_xlfn.LET(_xlpm._value,IF($A39="","",IFERROR(IF($M39,SimpleLookup($A39,Assumptions!$A:$T),SimpleLookup($A39,Countermeasures!$A:$T)),"")),
IF(_xlpm._value="","",_xlpm._value))</f>
        <v/>
      </c>
      <c r="L39" s="9" cm="1">
        <f t="array" aca="1" ref="L39" ca="1">CreateID($L$17,$A39&lt;&gt;"")</f>
        <v>11</v>
      </c>
      <c r="M39" s="9" t="b">
        <f ca="1">_xlfn.LET(_xlpm._row,ROW()-ROW($N$17),
_xlpm._numActiveAssumptions,Helper!$B$8,
_xlpm._numAdditionalAssumptions,SUM(Table24['# Elements]),
_xlpm._row&lt;=_xlpm._numActiveAssumptions+_xlpm._numAdditionalAssumptions)</f>
        <v>0</v>
      </c>
      <c r="N39" s="9">
        <f ca="1">_xlfn.LET(_xlpm._row,ROW()-ROW($N$17),
_xlpm._numActiveAssumptions,Helper!$B$8,
_xlpm._numAdditionalAssumptions,Helper!$B$10,
_xlpm._isAssumption,$M39,
_xlpm._elementID,IF(_xlpm._isAssumption,_xlpm._row,_xlpm._row-_xlpm._numActiveAssumptions-_xlpm._numAdditionalAssumptions),
_xlpm._elementID)</f>
        <v>18</v>
      </c>
      <c r="O39"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39" s="11" cm="1">
        <f t="array" aca="1" ref="P39" ca="1">IF($O39,
IF(ROW()=ROW($P$17)+1,1,INDEX($P:$P,ROW()-1)+IF(INDEX($W:$W,ROW()-1),1,0)),
1)</f>
        <v>1</v>
      </c>
      <c r="Q39" s="11" t="str" cm="1">
        <f t="array" aca="1" ref="Q39" ca="1">IF($O39=TRUE,
_xlfn.LET(
_xlpm._isAssumption,$M39,
_xlpm._indexRange,IF(_xlpm._isAssumption,Table24['# Elements],Table25['# Elements]),
_xlpm._lookupRow,$Z39,
INDEX(_xlpm._indexRange,_xlpm._lookupRow)),
"")</f>
        <v/>
      </c>
      <c r="R39" s="11" t="str" cm="1">
        <f t="array" aca="1" ref="R39" ca="1">IF($Q39="","",_xlfn.LET(
_xlpm._prevRow,ROW()-1,
IF(OR(INDEX($Q:$Q,_xlpm._prevRow)&lt;&gt;$Q39,INDEX($P:$P,_xlpm._prevRow)&lt;&gt;$P39),
1,
INDEX($R:$R,_xlpm._prevRow)+IF(INDEX($V:$V,_xlpm._prevRow),1,0))))</f>
        <v/>
      </c>
      <c r="S39" s="11" t="str" cm="1">
        <f t="array" aca="1" ref="S39" ca="1">IF($R39="","",_xlfn.LET(
_xlpm._isAssumption,$M39,
_xlpm._sheetRow,$Z39,
_xlpm._sheetName,$AA39,
_xlpm._elementIDRange,IF(_xlpm._isAssumption,Table24[Element ID Column],Table25[Element ID Column]),
_xlpm._numberOfElementsRange,IF(_xlpm._isAssumption,Table24[Number of Elements Column],Table25[Number of Elements Column]),
SimpleLookup($R39,INDIRECT("'"&amp;_xlpm._sheetName&amp;"'!"&amp;INDEX(_xlpm._elementIDRange,_xlpm._sheetRow)&amp;":"&amp;INDEX(_xlpm._numberOfElementsRange,_xlpm._sheetRow)))))</f>
        <v/>
      </c>
      <c r="T39" s="11" t="str" cm="1">
        <f t="array" aca="1" ref="T39" ca="1">IF($R39="","",IF(OR(INDEX($R:$R,ROW()-1)&lt;&gt;$R39,INDEX($P:$P,ROW()-1)&lt;&gt;$P39),1,INDEX($T:$T,ROW()-1)+1))</f>
        <v/>
      </c>
      <c r="U39" s="11">
        <f t="shared" ca="1" si="6"/>
        <v>0</v>
      </c>
      <c r="V39" s="11" t="str">
        <f t="shared" ca="1" si="7"/>
        <v/>
      </c>
      <c r="W39" s="11" t="b">
        <f ca="1">_xlfn.LET(
_xlpm._isAssumption,$M39,
_xlpm._numberOfElementsRange,IF(_xlpm._isAssumption,Table24['# Elements],Table25['# Elements]),
_xlpm._sheetRow,$Z39,
IF($O39,AND($V39,$U39=$Q39),FALSE))</f>
        <v>0</v>
      </c>
      <c r="X39" s="11" t="str" cm="1">
        <f t="array" aca="1" ref="X39" ca="1">IF($O39,
_xlfn.LET(
_xlpm._elementID,$R39,
_xlpm._isAssumption,$M39,
_xlpm._sheetRow,$Z39,
_xlpm._sheetName,$AA39,
_xlpm._elementRow,$AB39,
_xlpm._resultColumnLetter,IF(_xlpm._isAssumption,INDEX(Table24[Comment Column],_xlpm._sheetRow),INDEX(Table25[Comment Column],_xlpm._sheetRow)),
INDEX(INDIRECT("'"&amp;_xlpm._sheetName&amp;"'!"&amp;_xlpm._resultColumnLetter&amp;":"&amp;_xlpm._resultColumnLetter),_xlpm._elementRow)),
"")</f>
        <v/>
      </c>
      <c r="Y39" s="11" t="str" cm="1">
        <f t="array" aca="1" ref="Y39" ca="1">IF($O39,
_xlfn.LET(
_xlpm._elementID,$R39,
_xlpm._isAssumption,$M39,
_xlpm._sheetRow,$Z39,
_xlpm._sheetName,$AA39,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39" s="11" t="str">
        <f ca="1">IF($O39=TRUE,
_xlfn.LET(
_xlpm._isAssumption,$M39,
_xlpm._searchRange,IF(_xlpm._isAssumption,Table24[Task Sheet Shadow ID],Table25[Task Sheet Shadow ID]),
MATCH($P39,_xlpm._searchRange,0)),
"")</f>
        <v/>
      </c>
      <c r="AA39" s="11" t="str" cm="1">
        <f t="array" aca="1" ref="AA39" ca="1">IF($O39,
_xlfn.LET(
_xlpm._isAssumption,$M39,
_xlpm._sheetRow,$Z39,
IF(_xlpm._isAssumption,INDEX(Table24[Sheet Name],_xlpm._sheetRow),INDEX(Table25[Sheet Name],_xlpm._sheetRow))),
"")</f>
        <v/>
      </c>
      <c r="AB39" s="11" t="str" cm="1">
        <f t="array" aca="1" ref="AB39" ca="1">IF($O39,
_xlfn.LET(
_xlpm._elementID,$R39,
_xlpm._isAssumption,$M39,
_xlpm._sheetRow,$Z39,
_xlpm._sheetName,$AA39,
_xlpm._elementIDColumnLetter,IF(_xlpm._isAssumption,INDEX(Table24[Element ID Column],_xlpm._sheetRow),INDEX(Table25[Element ID Column],_xlpm._sheetRow)),
MATCH(_xlpm._elementID,INDIRECT("'"&amp;_xlpm._sheetName&amp;"'!"&amp;_xlpm._elementIDColumnLetter&amp;":"&amp;_xlpm._elementIDColumnLetter),0)),
"")</f>
        <v/>
      </c>
      <c r="AC39" s="11" t="str" cm="1">
        <f t="array" aca="1" ref="AC39" ca="1">IF($A39="","",_xlfn.LET(
_xlpm._isAssumption,$M39,
_xlpm._isAdditionalElement,$O39,
_xlpm._sheetRow,$Z39,
_xlpm._sheetName,$AA39,
_xlpm._columnLetter,INDEX(IF(_xlpm._isAdditionalElement,Table24[Comment Column],Table25[Comment Column]),_xlpm._sheetRow),
_xlpm._sheetReference,IF(_xlpm._isAssumption,IF(_xlpm._isAdditionalElement,
CELL("address",INDEX(INDIRECT("'"&amp;_xlpm._sheetName&amp;"'!"&amp;_xlpm._columnLetter&amp;":"&amp;_xlpm._columnLetter),$AB39)),
CELL("address",INDEX(Assumptions!$A:$A,MATCH($A39,Assumptions!$A:$A,0),1))),
IF(_xlpm._isAdditionalElement,
CELL("address",INDEX(INDIRECT("'"&amp;_xlpm._sheetName&amp;"'!"&amp;_xlpm._columnLetter&amp;":"&amp;_xlpm._columnLetter),$AB39)),
CELL("address",INDEX(Countermeasures!$A:$A,MATCH($A39,Countermeasures!$A:$A,0),1)))),
_xlpm._start,FIND("]",_xlpm._sheetReference),
"'"&amp;SUBSTITUTE(SUBSTITUTE(RIGHT(_xlpm._sheetReference,LEN(_xlpm._sheetReference)-_xlpm._start),"'",""),"!","'!")))</f>
        <v/>
      </c>
      <c r="AD39" s="11" t="str" cm="1">
        <f t="array" aca="1" ref="AD39" ca="1">IF(NOT($O39),
_xlfn.LET(_xlpm._value,IF($A39="","",IF($M39,SimpleLookup($A39,Assumptions!$A:$AG),SimpleLookup($A39,Countermeasures!$A:$AJ))),
IF(_xlpm._value="","",_xlpm._value)),
"")</f>
        <v/>
      </c>
      <c r="AE39" s="11" t="str" cm="1">
        <f t="array" aca="1" ref="AE39" ca="1">LookupNames(InverseLookup($A39,Mitigation!$AD$2,Mitigation!$A$2,1,Helper!$B$5,","),'Attack Steps'!$A:$B)</f>
        <v/>
      </c>
      <c r="AF39" s="11" t="str" cm="1">
        <f t="array" aca="1" ref="AF39" ca="1">IF($O39,
_xlfn.LET(
_xlpm._in,$A39,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39" s="11" t="str" cm="1">
        <f t="array" aca="1" ref="AG39" ca="1">_xlfn.LET(
_xlpm._countermeasures,InverseLookup($A39,Countermeasures!$AC$2,Countermeasures!$A$2,1,Helper!$B$4,","),
LookupNames(_xlpm._countermeasures,Countermeasures!$A:$B))</f>
        <v/>
      </c>
      <c r="AH39" s="11" t="str" cm="1">
        <f t="array" aca="1" ref="AH39" ca="1">IF($E39="","",_xlfn.LET(
_xlpm._id,$E39,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39" s="11" t="str" cm="1">
        <f t="array" aca="1" ref="AI39" ca="1">IF(OR($A39="",$O39),"",_xlfn.LET(
_xlpm._answers,IF($M39,SimpleLookup($A39,Assumptions!$A:$F),SimpleLookup($A39,Countermeasures!$A:$D)),
IF(_xlpm._answers="*",IF($M39,SimpleLookup($A39,Assumptions!$A:$C),SimpleLookup($A39,Countermeasures!$A:$C)),"")))</f>
        <v/>
      </c>
      <c r="AJ39" s="11" t="str" cm="1">
        <f t="array" aca="1" ref="AJ39" ca="1">IF(NOT($O39),"",_xlfn.LET(
_xlpm._mappedInMitigation,IFERROR(VLOOKUP($Y39,'Attack Steps'!$A:$P,COLUMNS('Attack Steps'!$A:$P),FALSE),""),
CreateSearchString(_xlpm._mappedInMitigation)))</f>
        <v/>
      </c>
      <c r="AK39" s="11" t="b">
        <f ca="1">ROW()-ROW($AK$17)=Helper!$B$15</f>
        <v>0</v>
      </c>
      <c r="AL39" s="11" t="str">
        <f t="shared" ca="1" si="8"/>
        <v/>
      </c>
      <c r="AM39" s="11" cm="1">
        <f t="array" aca="1" ref="AM39" ca="1">CreateID($AM$17,$AL39&lt;&gt;"")</f>
        <v>0</v>
      </c>
      <c r="AN39" s="11" t="str" cm="1">
        <f t="array" aca="1" ref="AN39" ca="1">IF($O39,"",
_xlfn.LET(
_xlpm._this,SanitizeInput($A39)&amp;AT39,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39" s="11" t="str" cm="1">
        <f t="array" aca="1" ref="AO39" ca="1">IF($O39,"",_xlfn.LET(
_xlpm._listOfRisksAndLevels,SanitizeInput($AN39),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_xlpm._shortenedList,IF($H39="",_xlpm._risksWithMaxValue,
  IF(LEN(_xlpm._risksWithMaxValue)-LEN(SUBSTITUTE(_xlpm._risksWithMaxValue,",",""))&lt;=$H39,_xlpm._risksWithMaxValue,
    LEFT(_xlpm._risksWithMaxValue,FIND(CHAR(1),SUBSTITUTE(_xlpm._risksWithMaxValue,",",CHAR(1),$H39))))),
IF(_xlpm._maxRiskValue="","",
  _xlpm._lineMainSeparator&amp;
  INDEX(Definitions!$AE:$AE,MATCH(_xlpm._maxRiskValue,Definitions!$AF:$AF,0))&amp;CHAR(10)&amp;
  _xlpm._lineMainSeparator&amp;
  RemoveDelimiter(GetValues(_xlpm._shortenedList,Risks!$A:$B," ",CHAR(10)&amp;_xlpm._lineMainSeparator,TRUE),CHAR(10)&amp;_xlpm._lineMainSeparator))))</f>
        <v/>
      </c>
      <c r="AP39" s="11" t="str" cm="1">
        <f t="array" aca="1" ref="AP39" ca="1">IF($O39,"",_xlfn.LET(
_xlpm._lineMainSeparator,REPT(_xlfn.UNICHAR(9552),63)&amp;CHAR(10),
_xlpm._affectedRisks,InverseLookupList(SanitizeInput($A39)&amp;$AT39,Risks!$AX$2,Risks!$A$2,Helper!$B$1,","),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_xlpm._shortenedList,IF($H39="",_xlpm._risksWithMaxValue,
  IF(LEN(_xlpm._risksWithMaxValue)-LEN(SUBSTITUTE(_xlpm._risksWithMaxValue,",",""))&lt;=$H39,_xlpm._risksWithMaxValue,
    LEFT(_xlpm._risksWithMaxValue,FIND(CHAR(1),SUBSTITUTE(_xlpm._risksWithMaxValue,",",CHAR(1),$H39))))),
IF(_xlpm._maxRiskValue="","",
  _xlpm._lineMainSeparator&amp;
  INDEX(Definitions!$AE:$AE,MATCH(_xlpm._maxRiskValue,Definitions!$AF:$AF,0))&amp;CHAR(10)&amp;
  _xlpm._lineMainSeparator&amp;
  RemoveDelimiter(GetValues(_xlpm._shortenedList,Risks!$A:$B," ",CHAR(10)&amp;_xlpm._lineMainSeparator,TRUE),CHAR(10)&amp;_xlpm._lineMainSeparator))))</f>
        <v/>
      </c>
      <c r="AQ39" s="11" t="str" cm="1">
        <f t="array" aca="1" ref="AQ39" ca="1">IF(NOT($O39),"",
_xlfn.LET(
_xlpm._potentialASID,$Y39,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_xlpm._commentsFiltered,SUBSTITUTE(GetValues(_xlpm._attackSteps,Mitigation!$A:$O,"","",FALSE),$X39,""),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39" s="11" t="str" cm="1">
        <f t="array" aca="1" ref="AR39" ca="1">IF(NOT($O39),"",_xlfn.LET(
_xlpm._listOfRisksAndLevels,SanitizeInput($AQ39),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_xlpm._shortenedList,IF($H39="",_xlpm._risksWithMaxValue,
  IF(LEN(_xlpm._risksWithMaxValue)-LEN(SUBSTITUTE(_xlpm._risksWithMaxValue,",",""))&lt;=$H39,_xlpm._risksWithMaxValue,
    LEFT(_xlpm._risksWithMaxValue,FIND(CHAR(1),SUBSTITUTE(_xlpm._risksWithMaxValue,",",CHAR(1),$H39))))),
IF(_xlpm._maxRiskValue="","",
  _xlpm._lineMainSeparator&amp;
  INDEX(Definitions!$AE:$AE,MATCH(_xlpm._maxRiskValue,Definitions!$AF:$AF,0))&amp;CHAR(10)&amp;
  _xlpm._lineMainSeparator&amp;
  RemoveDelimiter(GetValues(_xlpm._shortenedList,Risks!$A:$B," ",CHAR(10)&amp;_xlpm._lineMainSeparator,TRUE),CHAR(10)&amp;_xlpm._lineMainSeparator))))</f>
        <v/>
      </c>
      <c r="AS39" s="11" t="str" cm="1">
        <f t="array" aca="1" ref="AS39" ca="1">IF(NOT($O39),"",
_xlfn.LET(
_xlpm._lineMainSeparator,REPT(_xlfn.UNICHAR(9552),63)&amp;CHAR(10),
_xlpm._potentialASID,$Y39,
_xlpm._risk,IFERROR(SimpleLookup(_xlpm._potentialASID,Mitigation!$A:$N),""),
_xlpm._attackPaths,IFERROR(SimpleLookup(_xlpm._potentialASID,Mitigation!$A:$M),""),
IF(_xlpm._risk="","",
_xlpm._lineMainSeparator&amp;
_xlpm._risk&amp;CHAR(10)&amp;
_xlpm._lineMainSeparator&amp;
_xlpm._attackPaths)))</f>
        <v/>
      </c>
      <c r="AT39" s="11" t="str" cm="1">
        <f t="array" aca="1" ref="AT39" ca="1">InverseLookup($A39,Countermeasures!$AA$2,Countermeasures!$A$2,1,Helper!$B$4,",")</f>
        <v/>
      </c>
    </row>
    <row r="40" spans="1:47" x14ac:dyDescent="0.25">
      <c r="A40" s="106" t="str">
        <f ca="1">_xlfn.LET(
_xlpm._isAssumption,$M40,
_xlpm._row,$N40,
_xlpm._numActiveAssumptions,Helper!$B$8,
_xlpm._numActiveCountermeasures,Helper!$B$9,
_xlpm._numAdditionalAssumptions,Helper!$B$10,
_xlpm._numAdditionalCountermeasures,Helper!$B$11,
IF(_xlpm._isAssumption,
IF(_xlpm._row&gt;_xlpm._numActiveAssumptions,
$Y40&amp;"-A"&amp;$T40,
INDEX(Assumptions!A:A,MATCH(_xlpm._row,Assumptions!$AC:$AC,0))),
IF(_xlpm._row&gt;_xlpm._numActiveCountermeasures+_xlpm._numAdditionalCountermeasures,"",
IF(_xlpm._row&gt;_xlpm._numActiveCountermeasures,
$Y40&amp;"-C"&amp;$T40,
INDEX(Countermeasures!$A:$A,MATCH(_xlpm._row,Countermeasures!$AE:$AE,0))))))</f>
        <v/>
      </c>
      <c r="B40" s="106" t="str" cm="1">
        <f t="array" aca="1" ref="B40" ca="1">IF($A40="","",
_xlfn.LET(
_xlpm._isAssumption,$M40,
_xlpm._isAdditionalElement,$O40,
IF(_xlpm._isAdditionalElement,
IF(_xlpm._isAssumption,
ParseElementsFromComment($X40,Definitions!$AR$4,Definitions!$AS$4,Definitions!$AR$6,$T40),
ParseElementsFromComment($X40,Definitions!$AR$5,Definitions!$AS$5,Definitions!$AR$6,$T40)),
_xlfn.LET(_xlpm._value,IF($A40="","",IF($M40,SimpleLookup($A40,Assumptions!$A:$B),SimpleLookup($A40,Countermeasures!$A:$B))),IF(_xlpm._value="","",_xlpm._value)))))</f>
        <v/>
      </c>
      <c r="C40" s="106" t="str" cm="1">
        <f t="array" aca="1" ref="C40" ca="1">IF($A40="","",IF($M40,IFERROR(SimpleLookup($A40,Assumptions!$A:$E),""),Definitions!$AO$4))</f>
        <v/>
      </c>
      <c r="D40" s="103" t="str">
        <f t="shared" ca="1" si="2"/>
        <v/>
      </c>
      <c r="E40" s="107"/>
      <c r="F40" s="108" t="str">
        <f t="shared" ca="1" si="3"/>
        <v/>
      </c>
      <c r="G40" s="102" t="str" cm="1">
        <f t="array" aca="1" ref="G40" ca="1">_xlfn.LET(_xlpm._val,IFERROR(SimpleLookup($A40,Countermeasures!$A:$S),IFERROR(SimpleLookup($A40,Assumptions!$A:$S),"")),IF(_xlpm._val="","",_xlpm._val))</f>
        <v/>
      </c>
      <c r="H40" s="109" t="str">
        <f>""</f>
        <v/>
      </c>
      <c r="I40" s="102" t="str">
        <f t="shared" ca="1" si="4"/>
        <v/>
      </c>
      <c r="J40" s="102" t="str">
        <f t="shared" ca="1" si="5"/>
        <v/>
      </c>
      <c r="K40" s="106" t="str" cm="1">
        <f t="array" aca="1" ref="K40" ca="1">_xlfn.LET(_xlpm._value,IF($A40="","",IFERROR(IF($M40,SimpleLookup($A40,Assumptions!$A:$T),SimpleLookup($A40,Countermeasures!$A:$T)),"")),
IF(_xlpm._value="","",_xlpm._value))</f>
        <v/>
      </c>
      <c r="L40" s="9" cm="1">
        <f t="array" aca="1" ref="L40" ca="1">CreateID($L$17,$A40&lt;&gt;"")</f>
        <v>11</v>
      </c>
      <c r="M40" s="9" t="b">
        <f ca="1">_xlfn.LET(_xlpm._row,ROW()-ROW($N$17),
_xlpm._numActiveAssumptions,Helper!$B$8,
_xlpm._numAdditionalAssumptions,SUM(Table24['# Elements]),
_xlpm._row&lt;=_xlpm._numActiveAssumptions+_xlpm._numAdditionalAssumptions)</f>
        <v>0</v>
      </c>
      <c r="N40" s="9">
        <f ca="1">_xlfn.LET(_xlpm._row,ROW()-ROW($N$17),
_xlpm._numActiveAssumptions,Helper!$B$8,
_xlpm._numAdditionalAssumptions,Helper!$B$10,
_xlpm._isAssumption,$M40,
_xlpm._elementID,IF(_xlpm._isAssumption,_xlpm._row,_xlpm._row-_xlpm._numActiveAssumptions-_xlpm._numAdditionalAssumptions),
_xlpm._elementID)</f>
        <v>19</v>
      </c>
      <c r="O40"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40" s="11" cm="1">
        <f t="array" aca="1" ref="P40" ca="1">IF($O40,
IF(ROW()=ROW($P$17)+1,1,INDEX($P:$P,ROW()-1)+IF(INDEX($W:$W,ROW()-1),1,0)),
1)</f>
        <v>1</v>
      </c>
      <c r="Q40" s="11" t="str" cm="1">
        <f t="array" aca="1" ref="Q40" ca="1">IF($O40=TRUE,
_xlfn.LET(
_xlpm._isAssumption,$M40,
_xlpm._indexRange,IF(_xlpm._isAssumption,Table24['# Elements],Table25['# Elements]),
_xlpm._lookupRow,$Z40,
INDEX(_xlpm._indexRange,_xlpm._lookupRow)),
"")</f>
        <v/>
      </c>
      <c r="R40" s="11" t="str" cm="1">
        <f t="array" aca="1" ref="R40" ca="1">IF($Q40="","",_xlfn.LET(
_xlpm._prevRow,ROW()-1,
IF(OR(INDEX($Q:$Q,_xlpm._prevRow)&lt;&gt;$Q40,INDEX($P:$P,_xlpm._prevRow)&lt;&gt;$P40),
1,
INDEX($R:$R,_xlpm._prevRow)+IF(INDEX($V:$V,_xlpm._prevRow),1,0))))</f>
        <v/>
      </c>
      <c r="S40" s="11" t="str" cm="1">
        <f t="array" aca="1" ref="S40" ca="1">IF($R40="","",_xlfn.LET(
_xlpm._isAssumption,$M40,
_xlpm._sheetRow,$Z40,
_xlpm._sheetName,$AA40,
_xlpm._elementIDRange,IF(_xlpm._isAssumption,Table24[Element ID Column],Table25[Element ID Column]),
_xlpm._numberOfElementsRange,IF(_xlpm._isAssumption,Table24[Number of Elements Column],Table25[Number of Elements Column]),
SimpleLookup($R40,INDIRECT("'"&amp;_xlpm._sheetName&amp;"'!"&amp;INDEX(_xlpm._elementIDRange,_xlpm._sheetRow)&amp;":"&amp;INDEX(_xlpm._numberOfElementsRange,_xlpm._sheetRow)))))</f>
        <v/>
      </c>
      <c r="T40" s="11" t="str" cm="1">
        <f t="array" aca="1" ref="T40" ca="1">IF($R40="","",IF(OR(INDEX($R:$R,ROW()-1)&lt;&gt;$R40,INDEX($P:$P,ROW()-1)&lt;&gt;$P40),1,INDEX($T:$T,ROW()-1)+1))</f>
        <v/>
      </c>
      <c r="U40" s="11">
        <f t="shared" ca="1" si="6"/>
        <v>0</v>
      </c>
      <c r="V40" s="11" t="str">
        <f t="shared" ca="1" si="7"/>
        <v/>
      </c>
      <c r="W40" s="11" t="b">
        <f ca="1">_xlfn.LET(
_xlpm._isAssumption,$M40,
_xlpm._numberOfElementsRange,IF(_xlpm._isAssumption,Table24['# Elements],Table25['# Elements]),
_xlpm._sheetRow,$Z40,
IF($O40,AND($V40,$U40=$Q40),FALSE))</f>
        <v>0</v>
      </c>
      <c r="X40" s="11" t="str" cm="1">
        <f t="array" aca="1" ref="X40" ca="1">IF($O40,
_xlfn.LET(
_xlpm._elementID,$R40,
_xlpm._isAssumption,$M40,
_xlpm._sheetRow,$Z40,
_xlpm._sheetName,$AA40,
_xlpm._elementRow,$AB40,
_xlpm._resultColumnLetter,IF(_xlpm._isAssumption,INDEX(Table24[Comment Column],_xlpm._sheetRow),INDEX(Table25[Comment Column],_xlpm._sheetRow)),
INDEX(INDIRECT("'"&amp;_xlpm._sheetName&amp;"'!"&amp;_xlpm._resultColumnLetter&amp;":"&amp;_xlpm._resultColumnLetter),_xlpm._elementRow)),
"")</f>
        <v/>
      </c>
      <c r="Y40" s="11" t="str" cm="1">
        <f t="array" aca="1" ref="Y40" ca="1">IF($O40,
_xlfn.LET(
_xlpm._elementID,$R40,
_xlpm._isAssumption,$M40,
_xlpm._sheetRow,$Z40,
_xlpm._sheetName,$AA40,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40" s="11" t="str">
        <f ca="1">IF($O40=TRUE,
_xlfn.LET(
_xlpm._isAssumption,$M40,
_xlpm._searchRange,IF(_xlpm._isAssumption,Table24[Task Sheet Shadow ID],Table25[Task Sheet Shadow ID]),
MATCH($P40,_xlpm._searchRange,0)),
"")</f>
        <v/>
      </c>
      <c r="AA40" s="11" t="str" cm="1">
        <f t="array" aca="1" ref="AA40" ca="1">IF($O40,
_xlfn.LET(
_xlpm._isAssumption,$M40,
_xlpm._sheetRow,$Z40,
IF(_xlpm._isAssumption,INDEX(Table24[Sheet Name],_xlpm._sheetRow),INDEX(Table25[Sheet Name],_xlpm._sheetRow))),
"")</f>
        <v/>
      </c>
      <c r="AB40" s="11" t="str" cm="1">
        <f t="array" aca="1" ref="AB40" ca="1">IF($O40,
_xlfn.LET(
_xlpm._elementID,$R40,
_xlpm._isAssumption,$M40,
_xlpm._sheetRow,$Z40,
_xlpm._sheetName,$AA40,
_xlpm._elementIDColumnLetter,IF(_xlpm._isAssumption,INDEX(Table24[Element ID Column],_xlpm._sheetRow),INDEX(Table25[Element ID Column],_xlpm._sheetRow)),
MATCH(_xlpm._elementID,INDIRECT("'"&amp;_xlpm._sheetName&amp;"'!"&amp;_xlpm._elementIDColumnLetter&amp;":"&amp;_xlpm._elementIDColumnLetter),0)),
"")</f>
        <v/>
      </c>
      <c r="AC40" s="11" t="str" cm="1">
        <f t="array" aca="1" ref="AC40" ca="1">IF($A40="","",_xlfn.LET(
_xlpm._isAssumption,$M40,
_xlpm._isAdditionalElement,$O40,
_xlpm._sheetRow,$Z40,
_xlpm._sheetName,$AA40,
_xlpm._columnLetter,INDEX(IF(_xlpm._isAdditionalElement,Table24[Comment Column],Table25[Comment Column]),_xlpm._sheetRow),
_xlpm._sheetReference,IF(_xlpm._isAssumption,IF(_xlpm._isAdditionalElement,
CELL("address",INDEX(INDIRECT("'"&amp;_xlpm._sheetName&amp;"'!"&amp;_xlpm._columnLetter&amp;":"&amp;_xlpm._columnLetter),$AB40)),
CELL("address",INDEX(Assumptions!$A:$A,MATCH($A40,Assumptions!$A:$A,0),1))),
IF(_xlpm._isAdditionalElement,
CELL("address",INDEX(INDIRECT("'"&amp;_xlpm._sheetName&amp;"'!"&amp;_xlpm._columnLetter&amp;":"&amp;_xlpm._columnLetter),$AB40)),
CELL("address",INDEX(Countermeasures!$A:$A,MATCH($A40,Countermeasures!$A:$A,0),1)))),
_xlpm._start,FIND("]",_xlpm._sheetReference),
"'"&amp;SUBSTITUTE(SUBSTITUTE(RIGHT(_xlpm._sheetReference,LEN(_xlpm._sheetReference)-_xlpm._start),"'",""),"!","'!")))</f>
        <v/>
      </c>
      <c r="AD40" s="11" t="str" cm="1">
        <f t="array" aca="1" ref="AD40" ca="1">IF(NOT($O40),
_xlfn.LET(_xlpm._value,IF($A40="","",IF($M40,SimpleLookup($A40,Assumptions!$A:$AG),SimpleLookup($A40,Countermeasures!$A:$AJ))),
IF(_xlpm._value="","",_xlpm._value)),
"")</f>
        <v/>
      </c>
      <c r="AE40" s="11" t="str" cm="1">
        <f t="array" aca="1" ref="AE40" ca="1">LookupNames(InverseLookup($A40,Mitigation!$AD$2,Mitigation!$A$2,1,Helper!$B$5,","),'Attack Steps'!$A:$B)</f>
        <v/>
      </c>
      <c r="AF40" s="11" t="str" cm="1">
        <f t="array" aca="1" ref="AF40" ca="1">IF($O40,
_xlfn.LET(
_xlpm._in,$A40,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40" s="11" t="str" cm="1">
        <f t="array" aca="1" ref="AG40" ca="1">_xlfn.LET(
_xlpm._countermeasures,InverseLookup($A40,Countermeasures!$AC$2,Countermeasures!$A$2,1,Helper!$B$4,","),
LookupNames(_xlpm._countermeasures,Countermeasures!$A:$B))</f>
        <v/>
      </c>
      <c r="AH40" s="11" t="str" cm="1">
        <f t="array" aca="1" ref="AH40" ca="1">IF($E40="","",_xlfn.LET(
_xlpm._id,$E40,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40" s="11" t="str" cm="1">
        <f t="array" aca="1" ref="AI40" ca="1">IF(OR($A40="",$O40),"",_xlfn.LET(
_xlpm._answers,IF($M40,SimpleLookup($A40,Assumptions!$A:$F),SimpleLookup($A40,Countermeasures!$A:$D)),
IF(_xlpm._answers="*",IF($M40,SimpleLookup($A40,Assumptions!$A:$C),SimpleLookup($A40,Countermeasures!$A:$C)),"")))</f>
        <v/>
      </c>
      <c r="AJ40" s="11" t="str" cm="1">
        <f t="array" aca="1" ref="AJ40" ca="1">IF(NOT($O40),"",_xlfn.LET(
_xlpm._mappedInMitigation,IFERROR(VLOOKUP($Y40,'Attack Steps'!$A:$P,COLUMNS('Attack Steps'!$A:$P),FALSE),""),
CreateSearchString(_xlpm._mappedInMitigation)))</f>
        <v/>
      </c>
      <c r="AK40" s="11" t="b">
        <f ca="1">ROW()-ROW($AK$17)=Helper!$B$15</f>
        <v>0</v>
      </c>
      <c r="AL40" s="11" t="str">
        <f t="shared" ca="1" si="8"/>
        <v/>
      </c>
      <c r="AM40" s="11" cm="1">
        <f t="array" aca="1" ref="AM40" ca="1">CreateID($AM$17,$AL40&lt;&gt;"")</f>
        <v>0</v>
      </c>
      <c r="AN40" s="11" t="str" cm="1">
        <f t="array" aca="1" ref="AN40" ca="1">IF($O40,"",
_xlfn.LET(
_xlpm._this,SanitizeInput($A40)&amp;AT40,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40" s="11" t="str" cm="1">
        <f t="array" aca="1" ref="AO40" ca="1">IF($O40,"",_xlfn.LET(
_xlpm._listOfRisksAndLevels,SanitizeInput($AN40),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_xlpm._shortenedList,IF($H40="",_xlpm._risksWithMaxValue,
  IF(LEN(_xlpm._risksWithMaxValue)-LEN(SUBSTITUTE(_xlpm._risksWithMaxValue,",",""))&lt;=$H40,_xlpm._risksWithMaxValue,
    LEFT(_xlpm._risksWithMaxValue,FIND(CHAR(1),SUBSTITUTE(_xlpm._risksWithMaxValue,",",CHAR(1),$H40))))),
IF(_xlpm._maxRiskValue="","",
  _xlpm._lineMainSeparator&amp;
  INDEX(Definitions!$AE:$AE,MATCH(_xlpm._maxRiskValue,Definitions!$AF:$AF,0))&amp;CHAR(10)&amp;
  _xlpm._lineMainSeparator&amp;
  RemoveDelimiter(GetValues(_xlpm._shortenedList,Risks!$A:$B," ",CHAR(10)&amp;_xlpm._lineMainSeparator,TRUE),CHAR(10)&amp;_xlpm._lineMainSeparator))))</f>
        <v/>
      </c>
      <c r="AP40" s="11" t="str" cm="1">
        <f t="array" aca="1" ref="AP40" ca="1">IF($O40,"",_xlfn.LET(
_xlpm._lineMainSeparator,REPT(_xlfn.UNICHAR(9552),63)&amp;CHAR(10),
_xlpm._affectedRisks,InverseLookupList(SanitizeInput($A40)&amp;$AT40,Risks!$AX$2,Risks!$A$2,Helper!$B$1,","),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_xlpm._shortenedList,IF($H40="",_xlpm._risksWithMaxValue,
  IF(LEN(_xlpm._risksWithMaxValue)-LEN(SUBSTITUTE(_xlpm._risksWithMaxValue,",",""))&lt;=$H40,_xlpm._risksWithMaxValue,
    LEFT(_xlpm._risksWithMaxValue,FIND(CHAR(1),SUBSTITUTE(_xlpm._risksWithMaxValue,",",CHAR(1),$H40))))),
IF(_xlpm._maxRiskValue="","",
  _xlpm._lineMainSeparator&amp;
  INDEX(Definitions!$AE:$AE,MATCH(_xlpm._maxRiskValue,Definitions!$AF:$AF,0))&amp;CHAR(10)&amp;
  _xlpm._lineMainSeparator&amp;
  RemoveDelimiter(GetValues(_xlpm._shortenedList,Risks!$A:$B," ",CHAR(10)&amp;_xlpm._lineMainSeparator,TRUE),CHAR(10)&amp;_xlpm._lineMainSeparator))))</f>
        <v/>
      </c>
      <c r="AQ40" s="11" t="str" cm="1">
        <f t="array" aca="1" ref="AQ40" ca="1">IF(NOT($O40),"",
_xlfn.LET(
_xlpm._potentialASID,$Y40,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_xlpm._commentsFiltered,SUBSTITUTE(GetValues(_xlpm._attackSteps,Mitigation!$A:$O,"","",FALSE),$X40,""),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40" s="11" t="str" cm="1">
        <f t="array" aca="1" ref="AR40" ca="1">IF(NOT($O40),"",_xlfn.LET(
_xlpm._listOfRisksAndLevels,SanitizeInput($AQ40),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_xlpm._shortenedList,IF($H40="",_xlpm._risksWithMaxValue,
  IF(LEN(_xlpm._risksWithMaxValue)-LEN(SUBSTITUTE(_xlpm._risksWithMaxValue,",",""))&lt;=$H40,_xlpm._risksWithMaxValue,
    LEFT(_xlpm._risksWithMaxValue,FIND(CHAR(1),SUBSTITUTE(_xlpm._risksWithMaxValue,",",CHAR(1),$H40))))),
IF(_xlpm._maxRiskValue="","",
  _xlpm._lineMainSeparator&amp;
  INDEX(Definitions!$AE:$AE,MATCH(_xlpm._maxRiskValue,Definitions!$AF:$AF,0))&amp;CHAR(10)&amp;
  _xlpm._lineMainSeparator&amp;
  RemoveDelimiter(GetValues(_xlpm._shortenedList,Risks!$A:$B," ",CHAR(10)&amp;_xlpm._lineMainSeparator,TRUE),CHAR(10)&amp;_xlpm._lineMainSeparator))))</f>
        <v/>
      </c>
      <c r="AS40" s="11" t="str" cm="1">
        <f t="array" aca="1" ref="AS40" ca="1">IF(NOT($O40),"",
_xlfn.LET(
_xlpm._lineMainSeparator,REPT(_xlfn.UNICHAR(9552),63)&amp;CHAR(10),
_xlpm._potentialASID,$Y40,
_xlpm._risk,IFERROR(SimpleLookup(_xlpm._potentialASID,Mitigation!$A:$N),""),
_xlpm._attackPaths,IFERROR(SimpleLookup(_xlpm._potentialASID,Mitigation!$A:$M),""),
IF(_xlpm._risk="","",
_xlpm._lineMainSeparator&amp;
_xlpm._risk&amp;CHAR(10)&amp;
_xlpm._lineMainSeparator&amp;
_xlpm._attackPaths)))</f>
        <v/>
      </c>
      <c r="AT40" s="11" t="str" cm="1">
        <f t="array" aca="1" ref="AT40" ca="1">InverseLookup($A40,Countermeasures!$AA$2,Countermeasures!$A$2,1,Helper!$B$4,",")</f>
        <v/>
      </c>
    </row>
    <row r="41" spans="1:47" x14ac:dyDescent="0.25">
      <c r="A41" s="106" t="str">
        <f ca="1">_xlfn.LET(
_xlpm._isAssumption,$M41,
_xlpm._row,$N41,
_xlpm._numActiveAssumptions,Helper!$B$8,
_xlpm._numActiveCountermeasures,Helper!$B$9,
_xlpm._numAdditionalAssumptions,Helper!$B$10,
_xlpm._numAdditionalCountermeasures,Helper!$B$11,
IF(_xlpm._isAssumption,
IF(_xlpm._row&gt;_xlpm._numActiveAssumptions,
$Y41&amp;"-A"&amp;$T41,
INDEX(Assumptions!A:A,MATCH(_xlpm._row,Assumptions!$AC:$AC,0))),
IF(_xlpm._row&gt;_xlpm._numActiveCountermeasures+_xlpm._numAdditionalCountermeasures,"",
IF(_xlpm._row&gt;_xlpm._numActiveCountermeasures,
$Y41&amp;"-C"&amp;$T41,
INDEX(Countermeasures!$A:$A,MATCH(_xlpm._row,Countermeasures!$AE:$AE,0))))))</f>
        <v/>
      </c>
      <c r="B41" s="106" t="str" cm="1">
        <f t="array" aca="1" ref="B41" ca="1">IF($A41="","",
_xlfn.LET(
_xlpm._isAssumption,$M41,
_xlpm._isAdditionalElement,$O41,
IF(_xlpm._isAdditionalElement,
IF(_xlpm._isAssumption,
ParseElementsFromComment($X41,Definitions!$AR$4,Definitions!$AS$4,Definitions!$AR$6,$T41),
ParseElementsFromComment($X41,Definitions!$AR$5,Definitions!$AS$5,Definitions!$AR$6,$T41)),
_xlfn.LET(_xlpm._value,IF($A41="","",IF($M41,SimpleLookup($A41,Assumptions!$A:$B),SimpleLookup($A41,Countermeasures!$A:$B))),IF(_xlpm._value="","",_xlpm._value)))))</f>
        <v/>
      </c>
      <c r="C41" s="106" t="str" cm="1">
        <f t="array" aca="1" ref="C41" ca="1">IF($A41="","",IF($M41,IFERROR(SimpleLookup($A41,Assumptions!$A:$E),""),Definitions!$AO$4))</f>
        <v/>
      </c>
      <c r="D41" s="103" t="str">
        <f t="shared" ca="1" si="2"/>
        <v/>
      </c>
      <c r="E41" s="107"/>
      <c r="F41" s="108" t="str">
        <f t="shared" ca="1" si="3"/>
        <v/>
      </c>
      <c r="G41" s="102" t="str" cm="1">
        <f t="array" aca="1" ref="G41" ca="1">_xlfn.LET(_xlpm._val,IFERROR(SimpleLookup($A41,Countermeasures!$A:$S),IFERROR(SimpleLookup($A41,Assumptions!$A:$S),"")),IF(_xlpm._val="","",_xlpm._val))</f>
        <v/>
      </c>
      <c r="H41" s="109" t="str">
        <f>""</f>
        <v/>
      </c>
      <c r="I41" s="102" t="str">
        <f t="shared" ca="1" si="4"/>
        <v/>
      </c>
      <c r="J41" s="102" t="str">
        <f t="shared" ca="1" si="5"/>
        <v/>
      </c>
      <c r="K41" s="106" t="str" cm="1">
        <f t="array" aca="1" ref="K41" ca="1">_xlfn.LET(_xlpm._value,IF($A41="","",IFERROR(IF($M41,SimpleLookup($A41,Assumptions!$A:$T),SimpleLookup($A41,Countermeasures!$A:$T)),"")),
IF(_xlpm._value="","",_xlpm._value))</f>
        <v/>
      </c>
      <c r="L41" s="9" cm="1">
        <f t="array" aca="1" ref="L41" ca="1">CreateID($L$17,$A41&lt;&gt;"")</f>
        <v>11</v>
      </c>
      <c r="M41" s="9" t="b">
        <f ca="1">_xlfn.LET(_xlpm._row,ROW()-ROW($N$17),
_xlpm._numActiveAssumptions,Helper!$B$8,
_xlpm._numAdditionalAssumptions,SUM(Table24['# Elements]),
_xlpm._row&lt;=_xlpm._numActiveAssumptions+_xlpm._numAdditionalAssumptions)</f>
        <v>0</v>
      </c>
      <c r="N41" s="9">
        <f ca="1">_xlfn.LET(_xlpm._row,ROW()-ROW($N$17),
_xlpm._numActiveAssumptions,Helper!$B$8,
_xlpm._numAdditionalAssumptions,Helper!$B$10,
_xlpm._isAssumption,$M41,
_xlpm._elementID,IF(_xlpm._isAssumption,_xlpm._row,_xlpm._row-_xlpm._numActiveAssumptions-_xlpm._numAdditionalAssumptions),
_xlpm._elementID)</f>
        <v>20</v>
      </c>
      <c r="O41"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41" s="11" cm="1">
        <f t="array" aca="1" ref="P41" ca="1">IF($O41,
IF(ROW()=ROW($P$17)+1,1,INDEX($P:$P,ROW()-1)+IF(INDEX($W:$W,ROW()-1),1,0)),
1)</f>
        <v>1</v>
      </c>
      <c r="Q41" s="11" t="str" cm="1">
        <f t="array" aca="1" ref="Q41" ca="1">IF($O41=TRUE,
_xlfn.LET(
_xlpm._isAssumption,$M41,
_xlpm._indexRange,IF(_xlpm._isAssumption,Table24['# Elements],Table25['# Elements]),
_xlpm._lookupRow,$Z41,
INDEX(_xlpm._indexRange,_xlpm._lookupRow)),
"")</f>
        <v/>
      </c>
      <c r="R41" s="11" t="str" cm="1">
        <f t="array" aca="1" ref="R41" ca="1">IF($Q41="","",_xlfn.LET(
_xlpm._prevRow,ROW()-1,
IF(OR(INDEX($Q:$Q,_xlpm._prevRow)&lt;&gt;$Q41,INDEX($P:$P,_xlpm._prevRow)&lt;&gt;$P41),
1,
INDEX($R:$R,_xlpm._prevRow)+IF(INDEX($V:$V,_xlpm._prevRow),1,0))))</f>
        <v/>
      </c>
      <c r="S41" s="11" t="str" cm="1">
        <f t="array" aca="1" ref="S41" ca="1">IF($R41="","",_xlfn.LET(
_xlpm._isAssumption,$M41,
_xlpm._sheetRow,$Z41,
_xlpm._sheetName,$AA41,
_xlpm._elementIDRange,IF(_xlpm._isAssumption,Table24[Element ID Column],Table25[Element ID Column]),
_xlpm._numberOfElementsRange,IF(_xlpm._isAssumption,Table24[Number of Elements Column],Table25[Number of Elements Column]),
SimpleLookup($R41,INDIRECT("'"&amp;_xlpm._sheetName&amp;"'!"&amp;INDEX(_xlpm._elementIDRange,_xlpm._sheetRow)&amp;":"&amp;INDEX(_xlpm._numberOfElementsRange,_xlpm._sheetRow)))))</f>
        <v/>
      </c>
      <c r="T41" s="11" t="str" cm="1">
        <f t="array" aca="1" ref="T41" ca="1">IF($R41="","",IF(OR(INDEX($R:$R,ROW()-1)&lt;&gt;$R41,INDEX($P:$P,ROW()-1)&lt;&gt;$P41),1,INDEX($T:$T,ROW()-1)+1))</f>
        <v/>
      </c>
      <c r="U41" s="11">
        <f t="shared" ca="1" si="6"/>
        <v>0</v>
      </c>
      <c r="V41" s="11" t="str">
        <f t="shared" ca="1" si="7"/>
        <v/>
      </c>
      <c r="W41" s="11" t="b">
        <f ca="1">_xlfn.LET(
_xlpm._isAssumption,$M41,
_xlpm._numberOfElementsRange,IF(_xlpm._isAssumption,Table24['# Elements],Table25['# Elements]),
_xlpm._sheetRow,$Z41,
IF($O41,AND($V41,$U41=$Q41),FALSE))</f>
        <v>0</v>
      </c>
      <c r="X41" s="11" t="str" cm="1">
        <f t="array" aca="1" ref="X41" ca="1">IF($O41,
_xlfn.LET(
_xlpm._elementID,$R41,
_xlpm._isAssumption,$M41,
_xlpm._sheetRow,$Z41,
_xlpm._sheetName,$AA41,
_xlpm._elementRow,$AB41,
_xlpm._resultColumnLetter,IF(_xlpm._isAssumption,INDEX(Table24[Comment Column],_xlpm._sheetRow),INDEX(Table25[Comment Column],_xlpm._sheetRow)),
INDEX(INDIRECT("'"&amp;_xlpm._sheetName&amp;"'!"&amp;_xlpm._resultColumnLetter&amp;":"&amp;_xlpm._resultColumnLetter),_xlpm._elementRow)),
"")</f>
        <v/>
      </c>
      <c r="Y41" s="11" t="str" cm="1">
        <f t="array" aca="1" ref="Y41" ca="1">IF($O41,
_xlfn.LET(
_xlpm._elementID,$R41,
_xlpm._isAssumption,$M41,
_xlpm._sheetRow,$Z41,
_xlpm._sheetName,$AA41,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41" s="11" t="str">
        <f ca="1">IF($O41=TRUE,
_xlfn.LET(
_xlpm._isAssumption,$M41,
_xlpm._searchRange,IF(_xlpm._isAssumption,Table24[Task Sheet Shadow ID],Table25[Task Sheet Shadow ID]),
MATCH($P41,_xlpm._searchRange,0)),
"")</f>
        <v/>
      </c>
      <c r="AA41" s="11" t="str" cm="1">
        <f t="array" aca="1" ref="AA41" ca="1">IF($O41,
_xlfn.LET(
_xlpm._isAssumption,$M41,
_xlpm._sheetRow,$Z41,
IF(_xlpm._isAssumption,INDEX(Table24[Sheet Name],_xlpm._sheetRow),INDEX(Table25[Sheet Name],_xlpm._sheetRow))),
"")</f>
        <v/>
      </c>
      <c r="AB41" s="11" t="str" cm="1">
        <f t="array" aca="1" ref="AB41" ca="1">IF($O41,
_xlfn.LET(
_xlpm._elementID,$R41,
_xlpm._isAssumption,$M41,
_xlpm._sheetRow,$Z41,
_xlpm._sheetName,$AA41,
_xlpm._elementIDColumnLetter,IF(_xlpm._isAssumption,INDEX(Table24[Element ID Column],_xlpm._sheetRow),INDEX(Table25[Element ID Column],_xlpm._sheetRow)),
MATCH(_xlpm._elementID,INDIRECT("'"&amp;_xlpm._sheetName&amp;"'!"&amp;_xlpm._elementIDColumnLetter&amp;":"&amp;_xlpm._elementIDColumnLetter),0)),
"")</f>
        <v/>
      </c>
      <c r="AC41" s="11" t="str" cm="1">
        <f t="array" aca="1" ref="AC41" ca="1">IF($A41="","",_xlfn.LET(
_xlpm._isAssumption,$M41,
_xlpm._isAdditionalElement,$O41,
_xlpm._sheetRow,$Z41,
_xlpm._sheetName,$AA41,
_xlpm._columnLetter,INDEX(IF(_xlpm._isAdditionalElement,Table24[Comment Column],Table25[Comment Column]),_xlpm._sheetRow),
_xlpm._sheetReference,IF(_xlpm._isAssumption,IF(_xlpm._isAdditionalElement,
CELL("address",INDEX(INDIRECT("'"&amp;_xlpm._sheetName&amp;"'!"&amp;_xlpm._columnLetter&amp;":"&amp;_xlpm._columnLetter),$AB41)),
CELL("address",INDEX(Assumptions!$A:$A,MATCH($A41,Assumptions!$A:$A,0),1))),
IF(_xlpm._isAdditionalElement,
CELL("address",INDEX(INDIRECT("'"&amp;_xlpm._sheetName&amp;"'!"&amp;_xlpm._columnLetter&amp;":"&amp;_xlpm._columnLetter),$AB41)),
CELL("address",INDEX(Countermeasures!$A:$A,MATCH($A41,Countermeasures!$A:$A,0),1)))),
_xlpm._start,FIND("]",_xlpm._sheetReference),
"'"&amp;SUBSTITUTE(SUBSTITUTE(RIGHT(_xlpm._sheetReference,LEN(_xlpm._sheetReference)-_xlpm._start),"'",""),"!","'!")))</f>
        <v/>
      </c>
      <c r="AD41" s="11" t="str" cm="1">
        <f t="array" aca="1" ref="AD41" ca="1">IF(NOT($O41),
_xlfn.LET(_xlpm._value,IF($A41="","",IF($M41,SimpleLookup($A41,Assumptions!$A:$AG),SimpleLookup($A41,Countermeasures!$A:$AJ))),
IF(_xlpm._value="","",_xlpm._value)),
"")</f>
        <v/>
      </c>
      <c r="AE41" s="11" t="str" cm="1">
        <f t="array" aca="1" ref="AE41" ca="1">LookupNames(InverseLookup($A41,Mitigation!$AD$2,Mitigation!$A$2,1,Helper!$B$5,","),'Attack Steps'!$A:$B)</f>
        <v/>
      </c>
      <c r="AF41" s="11" t="str" cm="1">
        <f t="array" aca="1" ref="AF41" ca="1">IF($O41,
_xlfn.LET(
_xlpm._in,$A41,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41" s="11" t="str" cm="1">
        <f t="array" aca="1" ref="AG41" ca="1">_xlfn.LET(
_xlpm._countermeasures,InverseLookup($A41,Countermeasures!$AC$2,Countermeasures!$A$2,1,Helper!$B$4,","),
LookupNames(_xlpm._countermeasures,Countermeasures!$A:$B))</f>
        <v/>
      </c>
      <c r="AH41" s="11" t="str" cm="1">
        <f t="array" aca="1" ref="AH41" ca="1">IF($E41="","",_xlfn.LET(
_xlpm._id,$E41,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41" s="11" t="str" cm="1">
        <f t="array" aca="1" ref="AI41" ca="1">IF(OR($A41="",$O41),"",_xlfn.LET(
_xlpm._answers,IF($M41,SimpleLookup($A41,Assumptions!$A:$F),SimpleLookup($A41,Countermeasures!$A:$D)),
IF(_xlpm._answers="*",IF($M41,SimpleLookup($A41,Assumptions!$A:$C),SimpleLookup($A41,Countermeasures!$A:$C)),"")))</f>
        <v/>
      </c>
      <c r="AJ41" s="11" t="str" cm="1">
        <f t="array" aca="1" ref="AJ41" ca="1">IF(NOT($O41),"",_xlfn.LET(
_xlpm._mappedInMitigation,IFERROR(VLOOKUP($Y41,'Attack Steps'!$A:$P,COLUMNS('Attack Steps'!$A:$P),FALSE),""),
CreateSearchString(_xlpm._mappedInMitigation)))</f>
        <v/>
      </c>
      <c r="AK41" s="11" t="b">
        <f ca="1">ROW()-ROW($AK$17)=Helper!$B$15</f>
        <v>0</v>
      </c>
      <c r="AL41" s="11" t="str">
        <f t="shared" ca="1" si="8"/>
        <v/>
      </c>
      <c r="AM41" s="11" cm="1">
        <f t="array" aca="1" ref="AM41" ca="1">CreateID($AM$17,$AL41&lt;&gt;"")</f>
        <v>0</v>
      </c>
      <c r="AN41" s="11" t="str" cm="1">
        <f t="array" aca="1" ref="AN41" ca="1">IF($O41,"",
_xlfn.LET(
_xlpm._this,SanitizeInput($A41)&amp;AT41,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41" s="11" t="str" cm="1">
        <f t="array" aca="1" ref="AO41" ca="1">IF($O41,"",_xlfn.LET(
_xlpm._listOfRisksAndLevels,SanitizeInput($AN41),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_xlpm._shortenedList,IF($H41="",_xlpm._risksWithMaxValue,
  IF(LEN(_xlpm._risksWithMaxValue)-LEN(SUBSTITUTE(_xlpm._risksWithMaxValue,",",""))&lt;=$H41,_xlpm._risksWithMaxValue,
    LEFT(_xlpm._risksWithMaxValue,FIND(CHAR(1),SUBSTITUTE(_xlpm._risksWithMaxValue,",",CHAR(1),$H41))))),
IF(_xlpm._maxRiskValue="","",
  _xlpm._lineMainSeparator&amp;
  INDEX(Definitions!$AE:$AE,MATCH(_xlpm._maxRiskValue,Definitions!$AF:$AF,0))&amp;CHAR(10)&amp;
  _xlpm._lineMainSeparator&amp;
  RemoveDelimiter(GetValues(_xlpm._shortenedList,Risks!$A:$B," ",CHAR(10)&amp;_xlpm._lineMainSeparator,TRUE),CHAR(10)&amp;_xlpm._lineMainSeparator))))</f>
        <v/>
      </c>
      <c r="AP41" s="11" t="str" cm="1">
        <f t="array" aca="1" ref="AP41" ca="1">IF($O41,"",_xlfn.LET(
_xlpm._lineMainSeparator,REPT(_xlfn.UNICHAR(9552),63)&amp;CHAR(10),
_xlpm._affectedRisks,InverseLookupList(SanitizeInput($A41)&amp;$AT41,Risks!$AX$2,Risks!$A$2,Helper!$B$1,","),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_xlpm._shortenedList,IF($H41="",_xlpm._risksWithMaxValue,
  IF(LEN(_xlpm._risksWithMaxValue)-LEN(SUBSTITUTE(_xlpm._risksWithMaxValue,",",""))&lt;=$H41,_xlpm._risksWithMaxValue,
    LEFT(_xlpm._risksWithMaxValue,FIND(CHAR(1),SUBSTITUTE(_xlpm._risksWithMaxValue,",",CHAR(1),$H41))))),
IF(_xlpm._maxRiskValue="","",
  _xlpm._lineMainSeparator&amp;
  INDEX(Definitions!$AE:$AE,MATCH(_xlpm._maxRiskValue,Definitions!$AF:$AF,0))&amp;CHAR(10)&amp;
  _xlpm._lineMainSeparator&amp;
  RemoveDelimiter(GetValues(_xlpm._shortenedList,Risks!$A:$B," ",CHAR(10)&amp;_xlpm._lineMainSeparator,TRUE),CHAR(10)&amp;_xlpm._lineMainSeparator))))</f>
        <v/>
      </c>
      <c r="AQ41" s="11" t="str" cm="1">
        <f t="array" aca="1" ref="AQ41" ca="1">IF(NOT($O41),"",
_xlfn.LET(
_xlpm._potentialASID,$Y41,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_xlpm._commentsFiltered,SUBSTITUTE(GetValues(_xlpm._attackSteps,Mitigation!$A:$O,"","",FALSE),$X41,""),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41" s="11" t="str" cm="1">
        <f t="array" aca="1" ref="AR41" ca="1">IF(NOT($O41),"",_xlfn.LET(
_xlpm._listOfRisksAndLevels,SanitizeInput($AQ41),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_xlpm._shortenedList,IF($H41="",_xlpm._risksWithMaxValue,
  IF(LEN(_xlpm._risksWithMaxValue)-LEN(SUBSTITUTE(_xlpm._risksWithMaxValue,",",""))&lt;=$H41,_xlpm._risksWithMaxValue,
    LEFT(_xlpm._risksWithMaxValue,FIND(CHAR(1),SUBSTITUTE(_xlpm._risksWithMaxValue,",",CHAR(1),$H41))))),
IF(_xlpm._maxRiskValue="","",
  _xlpm._lineMainSeparator&amp;
  INDEX(Definitions!$AE:$AE,MATCH(_xlpm._maxRiskValue,Definitions!$AF:$AF,0))&amp;CHAR(10)&amp;
  _xlpm._lineMainSeparator&amp;
  RemoveDelimiter(GetValues(_xlpm._shortenedList,Risks!$A:$B," ",CHAR(10)&amp;_xlpm._lineMainSeparator,TRUE),CHAR(10)&amp;_xlpm._lineMainSeparator))))</f>
        <v/>
      </c>
      <c r="AS41" s="11" t="str" cm="1">
        <f t="array" aca="1" ref="AS41" ca="1">IF(NOT($O41),"",
_xlfn.LET(
_xlpm._lineMainSeparator,REPT(_xlfn.UNICHAR(9552),63)&amp;CHAR(10),
_xlpm._potentialASID,$Y41,
_xlpm._risk,IFERROR(SimpleLookup(_xlpm._potentialASID,Mitigation!$A:$N),""),
_xlpm._attackPaths,IFERROR(SimpleLookup(_xlpm._potentialASID,Mitigation!$A:$M),""),
IF(_xlpm._risk="","",
_xlpm._lineMainSeparator&amp;
_xlpm._risk&amp;CHAR(10)&amp;
_xlpm._lineMainSeparator&amp;
_xlpm._attackPaths)))</f>
        <v/>
      </c>
      <c r="AT41" s="11" t="str" cm="1">
        <f t="array" aca="1" ref="AT41" ca="1">InverseLookup($A41,Countermeasures!$AA$2,Countermeasures!$A$2,1,Helper!$B$4,",")</f>
        <v/>
      </c>
    </row>
    <row r="42" spans="1:47" x14ac:dyDescent="0.25">
      <c r="A42" s="106" t="str">
        <f ca="1">_xlfn.LET(
_xlpm._isAssumption,$M42,
_xlpm._row,$N42,
_xlpm._numActiveAssumptions,Helper!$B$8,
_xlpm._numActiveCountermeasures,Helper!$B$9,
_xlpm._numAdditionalAssumptions,Helper!$B$10,
_xlpm._numAdditionalCountermeasures,Helper!$B$11,
IF(_xlpm._isAssumption,
IF(_xlpm._row&gt;_xlpm._numActiveAssumptions,
$Y42&amp;"-A"&amp;$T42,
INDEX(Assumptions!A:A,MATCH(_xlpm._row,Assumptions!$AC:$AC,0))),
IF(_xlpm._row&gt;_xlpm._numActiveCountermeasures+_xlpm._numAdditionalCountermeasures,"",
IF(_xlpm._row&gt;_xlpm._numActiveCountermeasures,
$Y42&amp;"-C"&amp;$T42,
INDEX(Countermeasures!$A:$A,MATCH(_xlpm._row,Countermeasures!$AE:$AE,0))))))</f>
        <v/>
      </c>
      <c r="B42" s="106" t="str" cm="1">
        <f t="array" aca="1" ref="B42" ca="1">IF($A42="","",
_xlfn.LET(
_xlpm._isAssumption,$M42,
_xlpm._isAdditionalElement,$O42,
IF(_xlpm._isAdditionalElement,
IF(_xlpm._isAssumption,
ParseElementsFromComment($X42,Definitions!$AR$4,Definitions!$AS$4,Definitions!$AR$6,$T42),
ParseElementsFromComment($X42,Definitions!$AR$5,Definitions!$AS$5,Definitions!$AR$6,$T42)),
_xlfn.LET(_xlpm._value,IF($A42="","",IF($M42,SimpleLookup($A42,Assumptions!$A:$B),SimpleLookup($A42,Countermeasures!$A:$B))),IF(_xlpm._value="","",_xlpm._value)))))</f>
        <v/>
      </c>
      <c r="C42" s="106" t="str" cm="1">
        <f t="array" aca="1" ref="C42" ca="1">IF($A42="","",IF($M42,IFERROR(SimpleLookup($A42,Assumptions!$A:$E),""),Definitions!$AO$4))</f>
        <v/>
      </c>
      <c r="D42" s="103" t="str">
        <f t="shared" ca="1" si="2"/>
        <v/>
      </c>
      <c r="E42" s="107"/>
      <c r="F42" s="108" t="str">
        <f t="shared" ca="1" si="3"/>
        <v/>
      </c>
      <c r="G42" s="102" t="str" cm="1">
        <f t="array" aca="1" ref="G42" ca="1">_xlfn.LET(_xlpm._val,IFERROR(SimpleLookup($A42,Countermeasures!$A:$S),IFERROR(SimpleLookup($A42,Assumptions!$A:$S),"")),IF(_xlpm._val="","",_xlpm._val))</f>
        <v/>
      </c>
      <c r="H42" s="109" t="str">
        <f>""</f>
        <v/>
      </c>
      <c r="I42" s="102" t="str">
        <f t="shared" ca="1" si="4"/>
        <v/>
      </c>
      <c r="J42" s="102" t="str">
        <f t="shared" ca="1" si="5"/>
        <v/>
      </c>
      <c r="K42" s="106" t="str" cm="1">
        <f t="array" aca="1" ref="K42" ca="1">_xlfn.LET(_xlpm._value,IF($A42="","",IFERROR(IF($M42,SimpleLookup($A42,Assumptions!$A:$T),SimpleLookup($A42,Countermeasures!$A:$T)),"")),
IF(_xlpm._value="","",_xlpm._value))</f>
        <v/>
      </c>
      <c r="L42" s="9" cm="1">
        <f t="array" aca="1" ref="L42" ca="1">CreateID($L$17,$A42&lt;&gt;"")</f>
        <v>11</v>
      </c>
      <c r="M42" s="9" t="b">
        <f ca="1">_xlfn.LET(_xlpm._row,ROW()-ROW($N$17),
_xlpm._numActiveAssumptions,Helper!$B$8,
_xlpm._numAdditionalAssumptions,SUM(Table24['# Elements]),
_xlpm._row&lt;=_xlpm._numActiveAssumptions+_xlpm._numAdditionalAssumptions)</f>
        <v>0</v>
      </c>
      <c r="N42" s="9">
        <f ca="1">_xlfn.LET(_xlpm._row,ROW()-ROW($N$17),
_xlpm._numActiveAssumptions,Helper!$B$8,
_xlpm._numAdditionalAssumptions,Helper!$B$10,
_xlpm._isAssumption,$M42,
_xlpm._elementID,IF(_xlpm._isAssumption,_xlpm._row,_xlpm._row-_xlpm._numActiveAssumptions-_xlpm._numAdditionalAssumptions),
_xlpm._elementID)</f>
        <v>21</v>
      </c>
      <c r="O42"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42" s="11" cm="1">
        <f t="array" aca="1" ref="P42" ca="1">IF($O42,
IF(ROW()=ROW($P$17)+1,1,INDEX($P:$P,ROW()-1)+IF(INDEX($W:$W,ROW()-1),1,0)),
1)</f>
        <v>1</v>
      </c>
      <c r="Q42" s="11" t="str" cm="1">
        <f t="array" aca="1" ref="Q42" ca="1">IF($O42=TRUE,
_xlfn.LET(
_xlpm._isAssumption,$M42,
_xlpm._indexRange,IF(_xlpm._isAssumption,Table24['# Elements],Table25['# Elements]),
_xlpm._lookupRow,$Z42,
INDEX(_xlpm._indexRange,_xlpm._lookupRow)),
"")</f>
        <v/>
      </c>
      <c r="R42" s="11" t="str" cm="1">
        <f t="array" aca="1" ref="R42" ca="1">IF($Q42="","",_xlfn.LET(
_xlpm._prevRow,ROW()-1,
IF(OR(INDEX($Q:$Q,_xlpm._prevRow)&lt;&gt;$Q42,INDEX($P:$P,_xlpm._prevRow)&lt;&gt;$P42),
1,
INDEX($R:$R,_xlpm._prevRow)+IF(INDEX($V:$V,_xlpm._prevRow),1,0))))</f>
        <v/>
      </c>
      <c r="S42" s="11" t="str" cm="1">
        <f t="array" aca="1" ref="S42" ca="1">IF($R42="","",_xlfn.LET(
_xlpm._isAssumption,$M42,
_xlpm._sheetRow,$Z42,
_xlpm._sheetName,$AA42,
_xlpm._elementIDRange,IF(_xlpm._isAssumption,Table24[Element ID Column],Table25[Element ID Column]),
_xlpm._numberOfElementsRange,IF(_xlpm._isAssumption,Table24[Number of Elements Column],Table25[Number of Elements Column]),
SimpleLookup($R42,INDIRECT("'"&amp;_xlpm._sheetName&amp;"'!"&amp;INDEX(_xlpm._elementIDRange,_xlpm._sheetRow)&amp;":"&amp;INDEX(_xlpm._numberOfElementsRange,_xlpm._sheetRow)))))</f>
        <v/>
      </c>
      <c r="T42" s="11" t="str" cm="1">
        <f t="array" aca="1" ref="T42" ca="1">IF($R42="","",IF(OR(INDEX($R:$R,ROW()-1)&lt;&gt;$R42,INDEX($P:$P,ROW()-1)&lt;&gt;$P42),1,INDEX($T:$T,ROW()-1)+1))</f>
        <v/>
      </c>
      <c r="U42" s="11">
        <f t="shared" ca="1" si="6"/>
        <v>0</v>
      </c>
      <c r="V42" s="11" t="str">
        <f t="shared" ca="1" si="7"/>
        <v/>
      </c>
      <c r="W42" s="11" t="b">
        <f ca="1">_xlfn.LET(
_xlpm._isAssumption,$M42,
_xlpm._numberOfElementsRange,IF(_xlpm._isAssumption,Table24['# Elements],Table25['# Elements]),
_xlpm._sheetRow,$Z42,
IF($O42,AND($V42,$U42=$Q42),FALSE))</f>
        <v>0</v>
      </c>
      <c r="X42" s="11" t="str" cm="1">
        <f t="array" aca="1" ref="X42" ca="1">IF($O42,
_xlfn.LET(
_xlpm._elementID,$R42,
_xlpm._isAssumption,$M42,
_xlpm._sheetRow,$Z42,
_xlpm._sheetName,$AA42,
_xlpm._elementRow,$AB42,
_xlpm._resultColumnLetter,IF(_xlpm._isAssumption,INDEX(Table24[Comment Column],_xlpm._sheetRow),INDEX(Table25[Comment Column],_xlpm._sheetRow)),
INDEX(INDIRECT("'"&amp;_xlpm._sheetName&amp;"'!"&amp;_xlpm._resultColumnLetter&amp;":"&amp;_xlpm._resultColumnLetter),_xlpm._elementRow)),
"")</f>
        <v/>
      </c>
      <c r="Y42" s="11" t="str" cm="1">
        <f t="array" aca="1" ref="Y42" ca="1">IF($O42,
_xlfn.LET(
_xlpm._elementID,$R42,
_xlpm._isAssumption,$M42,
_xlpm._sheetRow,$Z42,
_xlpm._sheetName,$AA42,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42" s="11" t="str">
        <f ca="1">IF($O42=TRUE,
_xlfn.LET(
_xlpm._isAssumption,$M42,
_xlpm._searchRange,IF(_xlpm._isAssumption,Table24[Task Sheet Shadow ID],Table25[Task Sheet Shadow ID]),
MATCH($P42,_xlpm._searchRange,0)),
"")</f>
        <v/>
      </c>
      <c r="AA42" s="11" t="str" cm="1">
        <f t="array" aca="1" ref="AA42" ca="1">IF($O42,
_xlfn.LET(
_xlpm._isAssumption,$M42,
_xlpm._sheetRow,$Z42,
IF(_xlpm._isAssumption,INDEX(Table24[Sheet Name],_xlpm._sheetRow),INDEX(Table25[Sheet Name],_xlpm._sheetRow))),
"")</f>
        <v/>
      </c>
      <c r="AB42" s="11" t="str" cm="1">
        <f t="array" aca="1" ref="AB42" ca="1">IF($O42,
_xlfn.LET(
_xlpm._elementID,$R42,
_xlpm._isAssumption,$M42,
_xlpm._sheetRow,$Z42,
_xlpm._sheetName,$AA42,
_xlpm._elementIDColumnLetter,IF(_xlpm._isAssumption,INDEX(Table24[Element ID Column],_xlpm._sheetRow),INDEX(Table25[Element ID Column],_xlpm._sheetRow)),
MATCH(_xlpm._elementID,INDIRECT("'"&amp;_xlpm._sheetName&amp;"'!"&amp;_xlpm._elementIDColumnLetter&amp;":"&amp;_xlpm._elementIDColumnLetter),0)),
"")</f>
        <v/>
      </c>
      <c r="AC42" s="11" t="str" cm="1">
        <f t="array" aca="1" ref="AC42" ca="1">IF($A42="","",_xlfn.LET(
_xlpm._isAssumption,$M42,
_xlpm._isAdditionalElement,$O42,
_xlpm._sheetRow,$Z42,
_xlpm._sheetName,$AA42,
_xlpm._columnLetter,INDEX(IF(_xlpm._isAdditionalElement,Table24[Comment Column],Table25[Comment Column]),_xlpm._sheetRow),
_xlpm._sheetReference,IF(_xlpm._isAssumption,IF(_xlpm._isAdditionalElement,
CELL("address",INDEX(INDIRECT("'"&amp;_xlpm._sheetName&amp;"'!"&amp;_xlpm._columnLetter&amp;":"&amp;_xlpm._columnLetter),$AB42)),
CELL("address",INDEX(Assumptions!$A:$A,MATCH($A42,Assumptions!$A:$A,0),1))),
IF(_xlpm._isAdditionalElement,
CELL("address",INDEX(INDIRECT("'"&amp;_xlpm._sheetName&amp;"'!"&amp;_xlpm._columnLetter&amp;":"&amp;_xlpm._columnLetter),$AB42)),
CELL("address",INDEX(Countermeasures!$A:$A,MATCH($A42,Countermeasures!$A:$A,0),1)))),
_xlpm._start,FIND("]",_xlpm._sheetReference),
"'"&amp;SUBSTITUTE(SUBSTITUTE(RIGHT(_xlpm._sheetReference,LEN(_xlpm._sheetReference)-_xlpm._start),"'",""),"!","'!")))</f>
        <v/>
      </c>
      <c r="AD42" s="11" t="str" cm="1">
        <f t="array" aca="1" ref="AD42" ca="1">IF(NOT($O42),
_xlfn.LET(_xlpm._value,IF($A42="","",IF($M42,SimpleLookup($A42,Assumptions!$A:$AG),SimpleLookup($A42,Countermeasures!$A:$AJ))),
IF(_xlpm._value="","",_xlpm._value)),
"")</f>
        <v/>
      </c>
      <c r="AE42" s="11" t="str" cm="1">
        <f t="array" aca="1" ref="AE42" ca="1">LookupNames(InverseLookup($A42,Mitigation!$AD$2,Mitigation!$A$2,1,Helper!$B$5,","),'Attack Steps'!$A:$B)</f>
        <v/>
      </c>
      <c r="AF42" s="11" t="str" cm="1">
        <f t="array" aca="1" ref="AF42" ca="1">IF($O42,
_xlfn.LET(
_xlpm._in,$A42,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42" s="11" t="str" cm="1">
        <f t="array" aca="1" ref="AG42" ca="1">_xlfn.LET(
_xlpm._countermeasures,InverseLookup($A42,Countermeasures!$AC$2,Countermeasures!$A$2,1,Helper!$B$4,","),
LookupNames(_xlpm._countermeasures,Countermeasures!$A:$B))</f>
        <v/>
      </c>
      <c r="AH42" s="11" t="str" cm="1">
        <f t="array" aca="1" ref="AH42" ca="1">IF($E42="","",_xlfn.LET(
_xlpm._id,$E42,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42" s="11" t="str" cm="1">
        <f t="array" aca="1" ref="AI42" ca="1">IF(OR($A42="",$O42),"",_xlfn.LET(
_xlpm._answers,IF($M42,SimpleLookup($A42,Assumptions!$A:$F),SimpleLookup($A42,Countermeasures!$A:$D)),
IF(_xlpm._answers="*",IF($M42,SimpleLookup($A42,Assumptions!$A:$C),SimpleLookup($A42,Countermeasures!$A:$C)),"")))</f>
        <v/>
      </c>
      <c r="AJ42" s="11" t="str" cm="1">
        <f t="array" aca="1" ref="AJ42" ca="1">IF(NOT($O42),"",_xlfn.LET(
_xlpm._mappedInMitigation,IFERROR(VLOOKUP($Y42,'Attack Steps'!$A:$P,COLUMNS('Attack Steps'!$A:$P),FALSE),""),
CreateSearchString(_xlpm._mappedInMitigation)))</f>
        <v/>
      </c>
      <c r="AK42" s="11" t="b">
        <f ca="1">ROW()-ROW($AK$17)=Helper!$B$15</f>
        <v>0</v>
      </c>
      <c r="AL42" s="11" t="str">
        <f t="shared" ca="1" si="8"/>
        <v/>
      </c>
      <c r="AM42" s="11" cm="1">
        <f t="array" aca="1" ref="AM42" ca="1">CreateID($AM$17,$AL42&lt;&gt;"")</f>
        <v>0</v>
      </c>
      <c r="AN42" s="11" t="str" cm="1">
        <f t="array" aca="1" ref="AN42" ca="1">IF($O42,"",
_xlfn.LET(
_xlpm._this,SanitizeInput($A42)&amp;AT42,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42" s="11" t="str" cm="1">
        <f t="array" aca="1" ref="AO42" ca="1">IF($O42,"",_xlfn.LET(
_xlpm._listOfRisksAndLevels,SanitizeInput($AN42),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_xlpm._shortenedList,IF($H42="",_xlpm._risksWithMaxValue,
  IF(LEN(_xlpm._risksWithMaxValue)-LEN(SUBSTITUTE(_xlpm._risksWithMaxValue,",",""))&lt;=$H42,_xlpm._risksWithMaxValue,
    LEFT(_xlpm._risksWithMaxValue,FIND(CHAR(1),SUBSTITUTE(_xlpm._risksWithMaxValue,",",CHAR(1),$H42))))),
IF(_xlpm._maxRiskValue="","",
  _xlpm._lineMainSeparator&amp;
  INDEX(Definitions!$AE:$AE,MATCH(_xlpm._maxRiskValue,Definitions!$AF:$AF,0))&amp;CHAR(10)&amp;
  _xlpm._lineMainSeparator&amp;
  RemoveDelimiter(GetValues(_xlpm._shortenedList,Risks!$A:$B," ",CHAR(10)&amp;_xlpm._lineMainSeparator,TRUE),CHAR(10)&amp;_xlpm._lineMainSeparator))))</f>
        <v/>
      </c>
      <c r="AP42" s="11" t="str" cm="1">
        <f t="array" aca="1" ref="AP42" ca="1">IF($O42,"",_xlfn.LET(
_xlpm._lineMainSeparator,REPT(_xlfn.UNICHAR(9552),63)&amp;CHAR(10),
_xlpm._affectedRisks,InverseLookupList(SanitizeInput($A42)&amp;$AT42,Risks!$AX$2,Risks!$A$2,Helper!$B$1,","),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_xlpm._shortenedList,IF($H42="",_xlpm._risksWithMaxValue,
  IF(LEN(_xlpm._risksWithMaxValue)-LEN(SUBSTITUTE(_xlpm._risksWithMaxValue,",",""))&lt;=$H42,_xlpm._risksWithMaxValue,
    LEFT(_xlpm._risksWithMaxValue,FIND(CHAR(1),SUBSTITUTE(_xlpm._risksWithMaxValue,",",CHAR(1),$H42))))),
IF(_xlpm._maxRiskValue="","",
  _xlpm._lineMainSeparator&amp;
  INDEX(Definitions!$AE:$AE,MATCH(_xlpm._maxRiskValue,Definitions!$AF:$AF,0))&amp;CHAR(10)&amp;
  _xlpm._lineMainSeparator&amp;
  RemoveDelimiter(GetValues(_xlpm._shortenedList,Risks!$A:$B," ",CHAR(10)&amp;_xlpm._lineMainSeparator,TRUE),CHAR(10)&amp;_xlpm._lineMainSeparator))))</f>
        <v/>
      </c>
      <c r="AQ42" s="11" t="str" cm="1">
        <f t="array" aca="1" ref="AQ42" ca="1">IF(NOT($O42),"",
_xlfn.LET(
_xlpm._potentialASID,$Y42,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_xlpm._commentsFiltered,SUBSTITUTE(GetValues(_xlpm._attackSteps,Mitigation!$A:$O,"","",FALSE),$X42,""),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42" s="11" t="str" cm="1">
        <f t="array" aca="1" ref="AR42" ca="1">IF(NOT($O42),"",_xlfn.LET(
_xlpm._listOfRisksAndLevels,SanitizeInput($AQ42),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_xlpm._shortenedList,IF($H42="",_xlpm._risksWithMaxValue,
  IF(LEN(_xlpm._risksWithMaxValue)-LEN(SUBSTITUTE(_xlpm._risksWithMaxValue,",",""))&lt;=$H42,_xlpm._risksWithMaxValue,
    LEFT(_xlpm._risksWithMaxValue,FIND(CHAR(1),SUBSTITUTE(_xlpm._risksWithMaxValue,",",CHAR(1),$H42))))),
IF(_xlpm._maxRiskValue="","",
  _xlpm._lineMainSeparator&amp;
  INDEX(Definitions!$AE:$AE,MATCH(_xlpm._maxRiskValue,Definitions!$AF:$AF,0))&amp;CHAR(10)&amp;
  _xlpm._lineMainSeparator&amp;
  RemoveDelimiter(GetValues(_xlpm._shortenedList,Risks!$A:$B," ",CHAR(10)&amp;_xlpm._lineMainSeparator,TRUE),CHAR(10)&amp;_xlpm._lineMainSeparator))))</f>
        <v/>
      </c>
      <c r="AS42" s="11" t="str" cm="1">
        <f t="array" aca="1" ref="AS42" ca="1">IF(NOT($O42),"",
_xlfn.LET(
_xlpm._lineMainSeparator,REPT(_xlfn.UNICHAR(9552),63)&amp;CHAR(10),
_xlpm._potentialASID,$Y42,
_xlpm._risk,IFERROR(SimpleLookup(_xlpm._potentialASID,Mitigation!$A:$N),""),
_xlpm._attackPaths,IFERROR(SimpleLookup(_xlpm._potentialASID,Mitigation!$A:$M),""),
IF(_xlpm._risk="","",
_xlpm._lineMainSeparator&amp;
_xlpm._risk&amp;CHAR(10)&amp;
_xlpm._lineMainSeparator&amp;
_xlpm._attackPaths)))</f>
        <v/>
      </c>
      <c r="AT42" s="11" t="str" cm="1">
        <f t="array" aca="1" ref="AT42" ca="1">InverseLookup($A42,Countermeasures!$AA$2,Countermeasures!$A$2,1,Helper!$B$4,",")</f>
        <v/>
      </c>
    </row>
    <row r="43" spans="1:47" x14ac:dyDescent="0.25">
      <c r="A43" s="106" t="str">
        <f ca="1">_xlfn.LET(
_xlpm._isAssumption,$M43,
_xlpm._row,$N43,
_xlpm._numActiveAssumptions,Helper!$B$8,
_xlpm._numActiveCountermeasures,Helper!$B$9,
_xlpm._numAdditionalAssumptions,Helper!$B$10,
_xlpm._numAdditionalCountermeasures,Helper!$B$11,
IF(_xlpm._isAssumption,
IF(_xlpm._row&gt;_xlpm._numActiveAssumptions,
$Y43&amp;"-A"&amp;$T43,
INDEX(Assumptions!A:A,MATCH(_xlpm._row,Assumptions!$AC:$AC,0))),
IF(_xlpm._row&gt;_xlpm._numActiveCountermeasures+_xlpm._numAdditionalCountermeasures,"",
IF(_xlpm._row&gt;_xlpm._numActiveCountermeasures,
$Y43&amp;"-C"&amp;$T43,
INDEX(Countermeasures!$A:$A,MATCH(_xlpm._row,Countermeasures!$AE:$AE,0))))))</f>
        <v/>
      </c>
      <c r="B43" s="106" t="str" cm="1">
        <f t="array" aca="1" ref="B43" ca="1">IF($A43="","",
_xlfn.LET(
_xlpm._isAssumption,$M43,
_xlpm._isAdditionalElement,$O43,
IF(_xlpm._isAdditionalElement,
IF(_xlpm._isAssumption,
ParseElementsFromComment($X43,Definitions!$AR$4,Definitions!$AS$4,Definitions!$AR$6,$T43),
ParseElementsFromComment($X43,Definitions!$AR$5,Definitions!$AS$5,Definitions!$AR$6,$T43)),
_xlfn.LET(_xlpm._value,IF($A43="","",IF($M43,SimpleLookup($A43,Assumptions!$A:$B),SimpleLookup($A43,Countermeasures!$A:$B))),IF(_xlpm._value="","",_xlpm._value)))))</f>
        <v/>
      </c>
      <c r="C43" s="106" t="str" cm="1">
        <f t="array" aca="1" ref="C43" ca="1">IF($A43="","",IF($M43,IFERROR(SimpleLookup($A43,Assumptions!$A:$E),""),Definitions!$AO$4))</f>
        <v/>
      </c>
      <c r="D43" s="103" t="str">
        <f t="shared" ca="1" si="2"/>
        <v/>
      </c>
      <c r="E43" s="107"/>
      <c r="F43" s="108" t="str">
        <f t="shared" ca="1" si="3"/>
        <v/>
      </c>
      <c r="G43" s="102" t="str" cm="1">
        <f t="array" aca="1" ref="G43" ca="1">_xlfn.LET(_xlpm._val,IFERROR(SimpleLookup($A43,Countermeasures!$A:$S),IFERROR(SimpleLookup($A43,Assumptions!$A:$S),"")),IF(_xlpm._val="","",_xlpm._val))</f>
        <v/>
      </c>
      <c r="H43" s="109" t="str">
        <f>""</f>
        <v/>
      </c>
      <c r="I43" s="102" t="str">
        <f t="shared" ca="1" si="4"/>
        <v/>
      </c>
      <c r="J43" s="102" t="str">
        <f t="shared" ca="1" si="5"/>
        <v/>
      </c>
      <c r="K43" s="106" t="str" cm="1">
        <f t="array" aca="1" ref="K43" ca="1">_xlfn.LET(_xlpm._value,IF($A43="","",IFERROR(IF($M43,SimpleLookup($A43,Assumptions!$A:$T),SimpleLookup($A43,Countermeasures!$A:$T)),"")),
IF(_xlpm._value="","",_xlpm._value))</f>
        <v/>
      </c>
      <c r="L43" s="9" cm="1">
        <f t="array" aca="1" ref="L43" ca="1">CreateID($L$17,$A43&lt;&gt;"")</f>
        <v>11</v>
      </c>
      <c r="M43" s="9" t="b">
        <f ca="1">_xlfn.LET(_xlpm._row,ROW()-ROW($N$17),
_xlpm._numActiveAssumptions,Helper!$B$8,
_xlpm._numAdditionalAssumptions,SUM(Table24['# Elements]),
_xlpm._row&lt;=_xlpm._numActiveAssumptions+_xlpm._numAdditionalAssumptions)</f>
        <v>0</v>
      </c>
      <c r="N43" s="9">
        <f ca="1">_xlfn.LET(_xlpm._row,ROW()-ROW($N$17),
_xlpm._numActiveAssumptions,Helper!$B$8,
_xlpm._numAdditionalAssumptions,Helper!$B$10,
_xlpm._isAssumption,$M43,
_xlpm._elementID,IF(_xlpm._isAssumption,_xlpm._row,_xlpm._row-_xlpm._numActiveAssumptions-_xlpm._numAdditionalAssumptions),
_xlpm._elementID)</f>
        <v>22</v>
      </c>
      <c r="O43"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43" s="11" cm="1">
        <f t="array" aca="1" ref="P43" ca="1">IF($O43,
IF(ROW()=ROW($P$17)+1,1,INDEX($P:$P,ROW()-1)+IF(INDEX($W:$W,ROW()-1),1,0)),
1)</f>
        <v>1</v>
      </c>
      <c r="Q43" s="11" t="str" cm="1">
        <f t="array" aca="1" ref="Q43" ca="1">IF($O43=TRUE,
_xlfn.LET(
_xlpm._isAssumption,$M43,
_xlpm._indexRange,IF(_xlpm._isAssumption,Table24['# Elements],Table25['# Elements]),
_xlpm._lookupRow,$Z43,
INDEX(_xlpm._indexRange,_xlpm._lookupRow)),
"")</f>
        <v/>
      </c>
      <c r="R43" s="11" t="str" cm="1">
        <f t="array" aca="1" ref="R43" ca="1">IF($Q43="","",_xlfn.LET(
_xlpm._prevRow,ROW()-1,
IF(OR(INDEX($Q:$Q,_xlpm._prevRow)&lt;&gt;$Q43,INDEX($P:$P,_xlpm._prevRow)&lt;&gt;$P43),
1,
INDEX($R:$R,_xlpm._prevRow)+IF(INDEX($V:$V,_xlpm._prevRow),1,0))))</f>
        <v/>
      </c>
      <c r="S43" s="11" t="str" cm="1">
        <f t="array" aca="1" ref="S43" ca="1">IF($R43="","",_xlfn.LET(
_xlpm._isAssumption,$M43,
_xlpm._sheetRow,$Z43,
_xlpm._sheetName,$AA43,
_xlpm._elementIDRange,IF(_xlpm._isAssumption,Table24[Element ID Column],Table25[Element ID Column]),
_xlpm._numberOfElementsRange,IF(_xlpm._isAssumption,Table24[Number of Elements Column],Table25[Number of Elements Column]),
SimpleLookup($R43,INDIRECT("'"&amp;_xlpm._sheetName&amp;"'!"&amp;INDEX(_xlpm._elementIDRange,_xlpm._sheetRow)&amp;":"&amp;INDEX(_xlpm._numberOfElementsRange,_xlpm._sheetRow)))))</f>
        <v/>
      </c>
      <c r="T43" s="11" t="str" cm="1">
        <f t="array" aca="1" ref="T43" ca="1">IF($R43="","",IF(OR(INDEX($R:$R,ROW()-1)&lt;&gt;$R43,INDEX($P:$P,ROW()-1)&lt;&gt;$P43),1,INDEX($T:$T,ROW()-1)+1))</f>
        <v/>
      </c>
      <c r="U43" s="11">
        <f t="shared" ca="1" si="6"/>
        <v>0</v>
      </c>
      <c r="V43" s="11" t="str">
        <f t="shared" ca="1" si="7"/>
        <v/>
      </c>
      <c r="W43" s="11" t="b">
        <f ca="1">_xlfn.LET(
_xlpm._isAssumption,$M43,
_xlpm._numberOfElementsRange,IF(_xlpm._isAssumption,Table24['# Elements],Table25['# Elements]),
_xlpm._sheetRow,$Z43,
IF($O43,AND($V43,$U43=$Q43),FALSE))</f>
        <v>0</v>
      </c>
      <c r="X43" s="11" t="str" cm="1">
        <f t="array" aca="1" ref="X43" ca="1">IF($O43,
_xlfn.LET(
_xlpm._elementID,$R43,
_xlpm._isAssumption,$M43,
_xlpm._sheetRow,$Z43,
_xlpm._sheetName,$AA43,
_xlpm._elementRow,$AB43,
_xlpm._resultColumnLetter,IF(_xlpm._isAssumption,INDEX(Table24[Comment Column],_xlpm._sheetRow),INDEX(Table25[Comment Column],_xlpm._sheetRow)),
INDEX(INDIRECT("'"&amp;_xlpm._sheetName&amp;"'!"&amp;_xlpm._resultColumnLetter&amp;":"&amp;_xlpm._resultColumnLetter),_xlpm._elementRow)),
"")</f>
        <v/>
      </c>
      <c r="Y43" s="11" t="str" cm="1">
        <f t="array" aca="1" ref="Y43" ca="1">IF($O43,
_xlfn.LET(
_xlpm._elementID,$R43,
_xlpm._isAssumption,$M43,
_xlpm._sheetRow,$Z43,
_xlpm._sheetName,$AA43,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43" s="11" t="str">
        <f ca="1">IF($O43=TRUE,
_xlfn.LET(
_xlpm._isAssumption,$M43,
_xlpm._searchRange,IF(_xlpm._isAssumption,Table24[Task Sheet Shadow ID],Table25[Task Sheet Shadow ID]),
MATCH($P43,_xlpm._searchRange,0)),
"")</f>
        <v/>
      </c>
      <c r="AA43" s="11" t="str" cm="1">
        <f t="array" aca="1" ref="AA43" ca="1">IF($O43,
_xlfn.LET(
_xlpm._isAssumption,$M43,
_xlpm._sheetRow,$Z43,
IF(_xlpm._isAssumption,INDEX(Table24[Sheet Name],_xlpm._sheetRow),INDEX(Table25[Sheet Name],_xlpm._sheetRow))),
"")</f>
        <v/>
      </c>
      <c r="AB43" s="11" t="str" cm="1">
        <f t="array" aca="1" ref="AB43" ca="1">IF($O43,
_xlfn.LET(
_xlpm._elementID,$R43,
_xlpm._isAssumption,$M43,
_xlpm._sheetRow,$Z43,
_xlpm._sheetName,$AA43,
_xlpm._elementIDColumnLetter,IF(_xlpm._isAssumption,INDEX(Table24[Element ID Column],_xlpm._sheetRow),INDEX(Table25[Element ID Column],_xlpm._sheetRow)),
MATCH(_xlpm._elementID,INDIRECT("'"&amp;_xlpm._sheetName&amp;"'!"&amp;_xlpm._elementIDColumnLetter&amp;":"&amp;_xlpm._elementIDColumnLetter),0)),
"")</f>
        <v/>
      </c>
      <c r="AC43" s="11" t="str" cm="1">
        <f t="array" aca="1" ref="AC43" ca="1">IF($A43="","",_xlfn.LET(
_xlpm._isAssumption,$M43,
_xlpm._isAdditionalElement,$O43,
_xlpm._sheetRow,$Z43,
_xlpm._sheetName,$AA43,
_xlpm._columnLetter,INDEX(IF(_xlpm._isAdditionalElement,Table24[Comment Column],Table25[Comment Column]),_xlpm._sheetRow),
_xlpm._sheetReference,IF(_xlpm._isAssumption,IF(_xlpm._isAdditionalElement,
CELL("address",INDEX(INDIRECT("'"&amp;_xlpm._sheetName&amp;"'!"&amp;_xlpm._columnLetter&amp;":"&amp;_xlpm._columnLetter),$AB43)),
CELL("address",INDEX(Assumptions!$A:$A,MATCH($A43,Assumptions!$A:$A,0),1))),
IF(_xlpm._isAdditionalElement,
CELL("address",INDEX(INDIRECT("'"&amp;_xlpm._sheetName&amp;"'!"&amp;_xlpm._columnLetter&amp;":"&amp;_xlpm._columnLetter),$AB43)),
CELL("address",INDEX(Countermeasures!$A:$A,MATCH($A43,Countermeasures!$A:$A,0),1)))),
_xlpm._start,FIND("]",_xlpm._sheetReference),
"'"&amp;SUBSTITUTE(SUBSTITUTE(RIGHT(_xlpm._sheetReference,LEN(_xlpm._sheetReference)-_xlpm._start),"'",""),"!","'!")))</f>
        <v/>
      </c>
      <c r="AD43" s="11" t="str" cm="1">
        <f t="array" aca="1" ref="AD43" ca="1">IF(NOT($O43),
_xlfn.LET(_xlpm._value,IF($A43="","",IF($M43,SimpleLookup($A43,Assumptions!$A:$AG),SimpleLookup($A43,Countermeasures!$A:$AJ))),
IF(_xlpm._value="","",_xlpm._value)),
"")</f>
        <v/>
      </c>
      <c r="AE43" s="11" t="str" cm="1">
        <f t="array" aca="1" ref="AE43" ca="1">LookupNames(InverseLookup($A43,Mitigation!$AD$2,Mitigation!$A$2,1,Helper!$B$5,","),'Attack Steps'!$A:$B)</f>
        <v/>
      </c>
      <c r="AF43" s="11" t="str" cm="1">
        <f t="array" aca="1" ref="AF43" ca="1">IF($O43,
_xlfn.LET(
_xlpm._in,$A43,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43" s="11" t="str" cm="1">
        <f t="array" aca="1" ref="AG43" ca="1">_xlfn.LET(
_xlpm._countermeasures,InverseLookup($A43,Countermeasures!$AC$2,Countermeasures!$A$2,1,Helper!$B$4,","),
LookupNames(_xlpm._countermeasures,Countermeasures!$A:$B))</f>
        <v/>
      </c>
      <c r="AH43" s="11" t="str" cm="1">
        <f t="array" aca="1" ref="AH43" ca="1">IF($E43="","",_xlfn.LET(
_xlpm._id,$E43,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43" s="11" t="str" cm="1">
        <f t="array" aca="1" ref="AI43" ca="1">IF(OR($A43="",$O43),"",_xlfn.LET(
_xlpm._answers,IF($M43,SimpleLookup($A43,Assumptions!$A:$F),SimpleLookup($A43,Countermeasures!$A:$D)),
IF(_xlpm._answers="*",IF($M43,SimpleLookup($A43,Assumptions!$A:$C),SimpleLookup($A43,Countermeasures!$A:$C)),"")))</f>
        <v/>
      </c>
      <c r="AJ43" s="11" t="str" cm="1">
        <f t="array" aca="1" ref="AJ43" ca="1">IF(NOT($O43),"",_xlfn.LET(
_xlpm._mappedInMitigation,IFERROR(VLOOKUP($Y43,'Attack Steps'!$A:$P,COLUMNS('Attack Steps'!$A:$P),FALSE),""),
CreateSearchString(_xlpm._mappedInMitigation)))</f>
        <v/>
      </c>
      <c r="AK43" s="11" t="b">
        <f ca="1">ROW()-ROW($AK$17)=Helper!$B$15</f>
        <v>0</v>
      </c>
      <c r="AL43" s="11" t="str">
        <f t="shared" ca="1" si="8"/>
        <v/>
      </c>
      <c r="AM43" s="11" cm="1">
        <f t="array" aca="1" ref="AM43" ca="1">CreateID($AM$17,$AL43&lt;&gt;"")</f>
        <v>0</v>
      </c>
      <c r="AN43" s="11" t="str" cm="1">
        <f t="array" aca="1" ref="AN43" ca="1">IF($O43,"",
_xlfn.LET(
_xlpm._this,SanitizeInput($A43)&amp;AT43,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43" s="11" t="str" cm="1">
        <f t="array" aca="1" ref="AO43" ca="1">IF($O43,"",_xlfn.LET(
_xlpm._listOfRisksAndLevels,SanitizeInput($AN43),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_xlpm._shortenedList,IF($H43="",_xlpm._risksWithMaxValue,
  IF(LEN(_xlpm._risksWithMaxValue)-LEN(SUBSTITUTE(_xlpm._risksWithMaxValue,",",""))&lt;=$H43,_xlpm._risksWithMaxValue,
    LEFT(_xlpm._risksWithMaxValue,FIND(CHAR(1),SUBSTITUTE(_xlpm._risksWithMaxValue,",",CHAR(1),$H43))))),
IF(_xlpm._maxRiskValue="","",
  _xlpm._lineMainSeparator&amp;
  INDEX(Definitions!$AE:$AE,MATCH(_xlpm._maxRiskValue,Definitions!$AF:$AF,0))&amp;CHAR(10)&amp;
  _xlpm._lineMainSeparator&amp;
  RemoveDelimiter(GetValues(_xlpm._shortenedList,Risks!$A:$B," ",CHAR(10)&amp;_xlpm._lineMainSeparator,TRUE),CHAR(10)&amp;_xlpm._lineMainSeparator))))</f>
        <v/>
      </c>
      <c r="AP43" s="11" t="str" cm="1">
        <f t="array" aca="1" ref="AP43" ca="1">IF($O43,"",_xlfn.LET(
_xlpm._lineMainSeparator,REPT(_xlfn.UNICHAR(9552),63)&amp;CHAR(10),
_xlpm._affectedRisks,InverseLookupList(SanitizeInput($A43)&amp;$AT43,Risks!$AX$2,Risks!$A$2,Helper!$B$1,","),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_xlpm._shortenedList,IF($H43="",_xlpm._risksWithMaxValue,
  IF(LEN(_xlpm._risksWithMaxValue)-LEN(SUBSTITUTE(_xlpm._risksWithMaxValue,",",""))&lt;=$H43,_xlpm._risksWithMaxValue,
    LEFT(_xlpm._risksWithMaxValue,FIND(CHAR(1),SUBSTITUTE(_xlpm._risksWithMaxValue,",",CHAR(1),$H43))))),
IF(_xlpm._maxRiskValue="","",
  _xlpm._lineMainSeparator&amp;
  INDEX(Definitions!$AE:$AE,MATCH(_xlpm._maxRiskValue,Definitions!$AF:$AF,0))&amp;CHAR(10)&amp;
  _xlpm._lineMainSeparator&amp;
  RemoveDelimiter(GetValues(_xlpm._shortenedList,Risks!$A:$B," ",CHAR(10)&amp;_xlpm._lineMainSeparator,TRUE),CHAR(10)&amp;_xlpm._lineMainSeparator))))</f>
        <v/>
      </c>
      <c r="AQ43" s="11" t="str" cm="1">
        <f t="array" aca="1" ref="AQ43" ca="1">IF(NOT($O43),"",
_xlfn.LET(
_xlpm._potentialASID,$Y43,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_xlpm._commentsFiltered,SUBSTITUTE(GetValues(_xlpm._attackSteps,Mitigation!$A:$O,"","",FALSE),$X43,""),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43" s="11" t="str" cm="1">
        <f t="array" aca="1" ref="AR43" ca="1">IF(NOT($O43),"",_xlfn.LET(
_xlpm._listOfRisksAndLevels,SanitizeInput($AQ43),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_xlpm._shortenedList,IF($H43="",_xlpm._risksWithMaxValue,
  IF(LEN(_xlpm._risksWithMaxValue)-LEN(SUBSTITUTE(_xlpm._risksWithMaxValue,",",""))&lt;=$H43,_xlpm._risksWithMaxValue,
    LEFT(_xlpm._risksWithMaxValue,FIND(CHAR(1),SUBSTITUTE(_xlpm._risksWithMaxValue,",",CHAR(1),$H43))))),
IF(_xlpm._maxRiskValue="","",
  _xlpm._lineMainSeparator&amp;
  INDEX(Definitions!$AE:$AE,MATCH(_xlpm._maxRiskValue,Definitions!$AF:$AF,0))&amp;CHAR(10)&amp;
  _xlpm._lineMainSeparator&amp;
  RemoveDelimiter(GetValues(_xlpm._shortenedList,Risks!$A:$B," ",CHAR(10)&amp;_xlpm._lineMainSeparator,TRUE),CHAR(10)&amp;_xlpm._lineMainSeparator))))</f>
        <v/>
      </c>
      <c r="AS43" s="11" t="str" cm="1">
        <f t="array" aca="1" ref="AS43" ca="1">IF(NOT($O43),"",
_xlfn.LET(
_xlpm._lineMainSeparator,REPT(_xlfn.UNICHAR(9552),63)&amp;CHAR(10),
_xlpm._potentialASID,$Y43,
_xlpm._risk,IFERROR(SimpleLookup(_xlpm._potentialASID,Mitigation!$A:$N),""),
_xlpm._attackPaths,IFERROR(SimpleLookup(_xlpm._potentialASID,Mitigation!$A:$M),""),
IF(_xlpm._risk="","",
_xlpm._lineMainSeparator&amp;
_xlpm._risk&amp;CHAR(10)&amp;
_xlpm._lineMainSeparator&amp;
_xlpm._attackPaths)))</f>
        <v/>
      </c>
      <c r="AT43" s="11" t="str" cm="1">
        <f t="array" aca="1" ref="AT43" ca="1">InverseLookup($A43,Countermeasures!$AA$2,Countermeasures!$A$2,1,Helper!$B$4,",")</f>
        <v/>
      </c>
    </row>
    <row r="44" spans="1:47" x14ac:dyDescent="0.25">
      <c r="A44" s="106" t="str">
        <f ca="1">_xlfn.LET(
_xlpm._isAssumption,$M44,
_xlpm._row,$N44,
_xlpm._numActiveAssumptions,Helper!$B$8,
_xlpm._numActiveCountermeasures,Helper!$B$9,
_xlpm._numAdditionalAssumptions,Helper!$B$10,
_xlpm._numAdditionalCountermeasures,Helper!$B$11,
IF(_xlpm._isAssumption,
IF(_xlpm._row&gt;_xlpm._numActiveAssumptions,
$Y44&amp;"-A"&amp;$T44,
INDEX(Assumptions!A:A,MATCH(_xlpm._row,Assumptions!$AC:$AC,0))),
IF(_xlpm._row&gt;_xlpm._numActiveCountermeasures+_xlpm._numAdditionalCountermeasures,"",
IF(_xlpm._row&gt;_xlpm._numActiveCountermeasures,
$Y44&amp;"-C"&amp;$T44,
INDEX(Countermeasures!$A:$A,MATCH(_xlpm._row,Countermeasures!$AE:$AE,0))))))</f>
        <v/>
      </c>
      <c r="B44" s="106" t="str" cm="1">
        <f t="array" aca="1" ref="B44" ca="1">IF($A44="","",
_xlfn.LET(
_xlpm._isAssumption,$M44,
_xlpm._isAdditionalElement,$O44,
IF(_xlpm._isAdditionalElement,
IF(_xlpm._isAssumption,
ParseElementsFromComment($X44,Definitions!$AR$4,Definitions!$AS$4,Definitions!$AR$6,$T44),
ParseElementsFromComment($X44,Definitions!$AR$5,Definitions!$AS$5,Definitions!$AR$6,$T44)),
_xlfn.LET(_xlpm._value,IF($A44="","",IF($M44,SimpleLookup($A44,Assumptions!$A:$B),SimpleLookup($A44,Countermeasures!$A:$B))),IF(_xlpm._value="","",_xlpm._value)))))</f>
        <v/>
      </c>
      <c r="C44" s="106" t="str" cm="1">
        <f t="array" aca="1" ref="C44" ca="1">IF($A44="","",IF($M44,IFERROR(SimpleLookup($A44,Assumptions!$A:$E),""),Definitions!$AO$4))</f>
        <v/>
      </c>
      <c r="D44" s="103" t="str">
        <f t="shared" ca="1" si="2"/>
        <v/>
      </c>
      <c r="E44" s="107"/>
      <c r="F44" s="108" t="str">
        <f t="shared" ca="1" si="3"/>
        <v/>
      </c>
      <c r="G44" s="102" t="str" cm="1">
        <f t="array" aca="1" ref="G44" ca="1">_xlfn.LET(_xlpm._val,IFERROR(SimpleLookup($A44,Countermeasures!$A:$S),IFERROR(SimpleLookup($A44,Assumptions!$A:$S),"")),IF(_xlpm._val="","",_xlpm._val))</f>
        <v/>
      </c>
      <c r="H44" s="109" t="str">
        <f>""</f>
        <v/>
      </c>
      <c r="I44" s="102" t="str">
        <f t="shared" ca="1" si="4"/>
        <v/>
      </c>
      <c r="J44" s="102" t="str">
        <f t="shared" ca="1" si="5"/>
        <v/>
      </c>
      <c r="K44" s="106" t="str" cm="1">
        <f t="array" aca="1" ref="K44" ca="1">_xlfn.LET(_xlpm._value,IF($A44="","",IFERROR(IF($M44,SimpleLookup($A44,Assumptions!$A:$T),SimpleLookup($A44,Countermeasures!$A:$T)),"")),
IF(_xlpm._value="","",_xlpm._value))</f>
        <v/>
      </c>
      <c r="L44" s="9" cm="1">
        <f t="array" aca="1" ref="L44" ca="1">CreateID($L$17,$A44&lt;&gt;"")</f>
        <v>11</v>
      </c>
      <c r="M44" s="9" t="b">
        <f ca="1">_xlfn.LET(_xlpm._row,ROW()-ROW($N$17),
_xlpm._numActiveAssumptions,Helper!$B$8,
_xlpm._numAdditionalAssumptions,SUM(Table24['# Elements]),
_xlpm._row&lt;=_xlpm._numActiveAssumptions+_xlpm._numAdditionalAssumptions)</f>
        <v>0</v>
      </c>
      <c r="N44" s="9">
        <f ca="1">_xlfn.LET(_xlpm._row,ROW()-ROW($N$17),
_xlpm._numActiveAssumptions,Helper!$B$8,
_xlpm._numAdditionalAssumptions,Helper!$B$10,
_xlpm._isAssumption,$M44,
_xlpm._elementID,IF(_xlpm._isAssumption,_xlpm._row,_xlpm._row-_xlpm._numActiveAssumptions-_xlpm._numAdditionalAssumptions),
_xlpm._elementID)</f>
        <v>23</v>
      </c>
      <c r="O44"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44" s="11" cm="1">
        <f t="array" aca="1" ref="P44" ca="1">IF($O44,
IF(ROW()=ROW($P$17)+1,1,INDEX($P:$P,ROW()-1)+IF(INDEX($W:$W,ROW()-1),1,0)),
1)</f>
        <v>1</v>
      </c>
      <c r="Q44" s="11" t="str" cm="1">
        <f t="array" aca="1" ref="Q44" ca="1">IF($O44=TRUE,
_xlfn.LET(
_xlpm._isAssumption,$M44,
_xlpm._indexRange,IF(_xlpm._isAssumption,Table24['# Elements],Table25['# Elements]),
_xlpm._lookupRow,$Z44,
INDEX(_xlpm._indexRange,_xlpm._lookupRow)),
"")</f>
        <v/>
      </c>
      <c r="R44" s="11" t="str" cm="1">
        <f t="array" aca="1" ref="R44" ca="1">IF($Q44="","",_xlfn.LET(
_xlpm._prevRow,ROW()-1,
IF(OR(INDEX($Q:$Q,_xlpm._prevRow)&lt;&gt;$Q44,INDEX($P:$P,_xlpm._prevRow)&lt;&gt;$P44),
1,
INDEX($R:$R,_xlpm._prevRow)+IF(INDEX($V:$V,_xlpm._prevRow),1,0))))</f>
        <v/>
      </c>
      <c r="S44" s="11" t="str" cm="1">
        <f t="array" aca="1" ref="S44" ca="1">IF($R44="","",_xlfn.LET(
_xlpm._isAssumption,$M44,
_xlpm._sheetRow,$Z44,
_xlpm._sheetName,$AA44,
_xlpm._elementIDRange,IF(_xlpm._isAssumption,Table24[Element ID Column],Table25[Element ID Column]),
_xlpm._numberOfElementsRange,IF(_xlpm._isAssumption,Table24[Number of Elements Column],Table25[Number of Elements Column]),
SimpleLookup($R44,INDIRECT("'"&amp;_xlpm._sheetName&amp;"'!"&amp;INDEX(_xlpm._elementIDRange,_xlpm._sheetRow)&amp;":"&amp;INDEX(_xlpm._numberOfElementsRange,_xlpm._sheetRow)))))</f>
        <v/>
      </c>
      <c r="T44" s="11" t="str" cm="1">
        <f t="array" aca="1" ref="T44" ca="1">IF($R44="","",IF(OR(INDEX($R:$R,ROW()-1)&lt;&gt;$R44,INDEX($P:$P,ROW()-1)&lt;&gt;$P44),1,INDEX($T:$T,ROW()-1)+1))</f>
        <v/>
      </c>
      <c r="U44" s="11">
        <f t="shared" ca="1" si="6"/>
        <v>0</v>
      </c>
      <c r="V44" s="11" t="str">
        <f t="shared" ca="1" si="7"/>
        <v/>
      </c>
      <c r="W44" s="11" t="b">
        <f ca="1">_xlfn.LET(
_xlpm._isAssumption,$M44,
_xlpm._numberOfElementsRange,IF(_xlpm._isAssumption,Table24['# Elements],Table25['# Elements]),
_xlpm._sheetRow,$Z44,
IF($O44,AND($V44,$U44=$Q44),FALSE))</f>
        <v>0</v>
      </c>
      <c r="X44" s="11" t="str" cm="1">
        <f t="array" aca="1" ref="X44" ca="1">IF($O44,
_xlfn.LET(
_xlpm._elementID,$R44,
_xlpm._isAssumption,$M44,
_xlpm._sheetRow,$Z44,
_xlpm._sheetName,$AA44,
_xlpm._elementRow,$AB44,
_xlpm._resultColumnLetter,IF(_xlpm._isAssumption,INDEX(Table24[Comment Column],_xlpm._sheetRow),INDEX(Table25[Comment Column],_xlpm._sheetRow)),
INDEX(INDIRECT("'"&amp;_xlpm._sheetName&amp;"'!"&amp;_xlpm._resultColumnLetter&amp;":"&amp;_xlpm._resultColumnLetter),_xlpm._elementRow)),
"")</f>
        <v/>
      </c>
      <c r="Y44" s="11" t="str" cm="1">
        <f t="array" aca="1" ref="Y44" ca="1">IF($O44,
_xlfn.LET(
_xlpm._elementID,$R44,
_xlpm._isAssumption,$M44,
_xlpm._sheetRow,$Z44,
_xlpm._sheetName,$AA44,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44" s="11" t="str">
        <f ca="1">IF($O44=TRUE,
_xlfn.LET(
_xlpm._isAssumption,$M44,
_xlpm._searchRange,IF(_xlpm._isAssumption,Table24[Task Sheet Shadow ID],Table25[Task Sheet Shadow ID]),
MATCH($P44,_xlpm._searchRange,0)),
"")</f>
        <v/>
      </c>
      <c r="AA44" s="11" t="str" cm="1">
        <f t="array" aca="1" ref="AA44" ca="1">IF($O44,
_xlfn.LET(
_xlpm._isAssumption,$M44,
_xlpm._sheetRow,$Z44,
IF(_xlpm._isAssumption,INDEX(Table24[Sheet Name],_xlpm._sheetRow),INDEX(Table25[Sheet Name],_xlpm._sheetRow))),
"")</f>
        <v/>
      </c>
      <c r="AB44" s="11" t="str" cm="1">
        <f t="array" aca="1" ref="AB44" ca="1">IF($O44,
_xlfn.LET(
_xlpm._elementID,$R44,
_xlpm._isAssumption,$M44,
_xlpm._sheetRow,$Z44,
_xlpm._sheetName,$AA44,
_xlpm._elementIDColumnLetter,IF(_xlpm._isAssumption,INDEX(Table24[Element ID Column],_xlpm._sheetRow),INDEX(Table25[Element ID Column],_xlpm._sheetRow)),
MATCH(_xlpm._elementID,INDIRECT("'"&amp;_xlpm._sheetName&amp;"'!"&amp;_xlpm._elementIDColumnLetter&amp;":"&amp;_xlpm._elementIDColumnLetter),0)),
"")</f>
        <v/>
      </c>
      <c r="AC44" s="11" t="str" cm="1">
        <f t="array" aca="1" ref="AC44" ca="1">IF($A44="","",_xlfn.LET(
_xlpm._isAssumption,$M44,
_xlpm._isAdditionalElement,$O44,
_xlpm._sheetRow,$Z44,
_xlpm._sheetName,$AA44,
_xlpm._columnLetter,INDEX(IF(_xlpm._isAdditionalElement,Table24[Comment Column],Table25[Comment Column]),_xlpm._sheetRow),
_xlpm._sheetReference,IF(_xlpm._isAssumption,IF(_xlpm._isAdditionalElement,
CELL("address",INDEX(INDIRECT("'"&amp;_xlpm._sheetName&amp;"'!"&amp;_xlpm._columnLetter&amp;":"&amp;_xlpm._columnLetter),$AB44)),
CELL("address",INDEX(Assumptions!$A:$A,MATCH($A44,Assumptions!$A:$A,0),1))),
IF(_xlpm._isAdditionalElement,
CELL("address",INDEX(INDIRECT("'"&amp;_xlpm._sheetName&amp;"'!"&amp;_xlpm._columnLetter&amp;":"&amp;_xlpm._columnLetter),$AB44)),
CELL("address",INDEX(Countermeasures!$A:$A,MATCH($A44,Countermeasures!$A:$A,0),1)))),
_xlpm._start,FIND("]",_xlpm._sheetReference),
"'"&amp;SUBSTITUTE(SUBSTITUTE(RIGHT(_xlpm._sheetReference,LEN(_xlpm._sheetReference)-_xlpm._start),"'",""),"!","'!")))</f>
        <v/>
      </c>
      <c r="AD44" s="11" t="str" cm="1">
        <f t="array" aca="1" ref="AD44" ca="1">IF(NOT($O44),
_xlfn.LET(_xlpm._value,IF($A44="","",IF($M44,SimpleLookup($A44,Assumptions!$A:$AG),SimpleLookup($A44,Countermeasures!$A:$AJ))),
IF(_xlpm._value="","",_xlpm._value)),
"")</f>
        <v/>
      </c>
      <c r="AE44" s="11" t="str" cm="1">
        <f t="array" aca="1" ref="AE44" ca="1">LookupNames(InverseLookup($A44,Mitigation!$AD$2,Mitigation!$A$2,1,Helper!$B$5,","),'Attack Steps'!$A:$B)</f>
        <v/>
      </c>
      <c r="AF44" s="11" t="str" cm="1">
        <f t="array" aca="1" ref="AF44" ca="1">IF($O44,
_xlfn.LET(
_xlpm._in,$A44,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44" s="11" t="str" cm="1">
        <f t="array" aca="1" ref="AG44" ca="1">_xlfn.LET(
_xlpm._countermeasures,InverseLookup($A44,Countermeasures!$AC$2,Countermeasures!$A$2,1,Helper!$B$4,","),
LookupNames(_xlpm._countermeasures,Countermeasures!$A:$B))</f>
        <v/>
      </c>
      <c r="AH44" s="11" t="str" cm="1">
        <f t="array" aca="1" ref="AH44" ca="1">IF($E44="","",_xlfn.LET(
_xlpm._id,$E44,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44" s="11" t="str" cm="1">
        <f t="array" aca="1" ref="AI44" ca="1">IF(OR($A44="",$O44),"",_xlfn.LET(
_xlpm._answers,IF($M44,SimpleLookup($A44,Assumptions!$A:$F),SimpleLookup($A44,Countermeasures!$A:$D)),
IF(_xlpm._answers="*",IF($M44,SimpleLookup($A44,Assumptions!$A:$C),SimpleLookup($A44,Countermeasures!$A:$C)),"")))</f>
        <v/>
      </c>
      <c r="AJ44" s="11" t="str" cm="1">
        <f t="array" aca="1" ref="AJ44" ca="1">IF(NOT($O44),"",_xlfn.LET(
_xlpm._mappedInMitigation,IFERROR(VLOOKUP($Y44,'Attack Steps'!$A:$P,COLUMNS('Attack Steps'!$A:$P),FALSE),""),
CreateSearchString(_xlpm._mappedInMitigation)))</f>
        <v/>
      </c>
      <c r="AK44" s="11" t="b">
        <f ca="1">ROW()-ROW($AK$17)=Helper!$B$15</f>
        <v>0</v>
      </c>
      <c r="AL44" s="11" t="str">
        <f t="shared" ca="1" si="8"/>
        <v/>
      </c>
      <c r="AM44" s="11" cm="1">
        <f t="array" aca="1" ref="AM44" ca="1">CreateID($AM$17,$AL44&lt;&gt;"")</f>
        <v>0</v>
      </c>
      <c r="AN44" s="11" t="str" cm="1">
        <f t="array" aca="1" ref="AN44" ca="1">IF($O44,"",
_xlfn.LET(
_xlpm._this,SanitizeInput($A44)&amp;AT44,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44" s="11" t="str" cm="1">
        <f t="array" aca="1" ref="AO44" ca="1">IF($O44,"",_xlfn.LET(
_xlpm._listOfRisksAndLevels,SanitizeInput($AN44),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_xlpm._shortenedList,IF($H44="",_xlpm._risksWithMaxValue,
  IF(LEN(_xlpm._risksWithMaxValue)-LEN(SUBSTITUTE(_xlpm._risksWithMaxValue,",",""))&lt;=$H44,_xlpm._risksWithMaxValue,
    LEFT(_xlpm._risksWithMaxValue,FIND(CHAR(1),SUBSTITUTE(_xlpm._risksWithMaxValue,",",CHAR(1),$H44))))),
IF(_xlpm._maxRiskValue="","",
  _xlpm._lineMainSeparator&amp;
  INDEX(Definitions!$AE:$AE,MATCH(_xlpm._maxRiskValue,Definitions!$AF:$AF,0))&amp;CHAR(10)&amp;
  _xlpm._lineMainSeparator&amp;
  RemoveDelimiter(GetValues(_xlpm._shortenedList,Risks!$A:$B," ",CHAR(10)&amp;_xlpm._lineMainSeparator,TRUE),CHAR(10)&amp;_xlpm._lineMainSeparator))))</f>
        <v/>
      </c>
      <c r="AP44" s="11" t="str" cm="1">
        <f t="array" aca="1" ref="AP44" ca="1">IF($O44,"",_xlfn.LET(
_xlpm._lineMainSeparator,REPT(_xlfn.UNICHAR(9552),63)&amp;CHAR(10),
_xlpm._affectedRisks,InverseLookupList(SanitizeInput($A44)&amp;$AT44,Risks!$AX$2,Risks!$A$2,Helper!$B$1,","),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_xlpm._shortenedList,IF($H44="",_xlpm._risksWithMaxValue,
  IF(LEN(_xlpm._risksWithMaxValue)-LEN(SUBSTITUTE(_xlpm._risksWithMaxValue,",",""))&lt;=$H44,_xlpm._risksWithMaxValue,
    LEFT(_xlpm._risksWithMaxValue,FIND(CHAR(1),SUBSTITUTE(_xlpm._risksWithMaxValue,",",CHAR(1),$H44))))),
IF(_xlpm._maxRiskValue="","",
  _xlpm._lineMainSeparator&amp;
  INDEX(Definitions!$AE:$AE,MATCH(_xlpm._maxRiskValue,Definitions!$AF:$AF,0))&amp;CHAR(10)&amp;
  _xlpm._lineMainSeparator&amp;
  RemoveDelimiter(GetValues(_xlpm._shortenedList,Risks!$A:$B," ",CHAR(10)&amp;_xlpm._lineMainSeparator,TRUE),CHAR(10)&amp;_xlpm._lineMainSeparator))))</f>
        <v/>
      </c>
      <c r="AQ44" s="11" t="str" cm="1">
        <f t="array" aca="1" ref="AQ44" ca="1">IF(NOT($O44),"",
_xlfn.LET(
_xlpm._potentialASID,$Y44,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_xlpm._commentsFiltered,SUBSTITUTE(GetValues(_xlpm._attackSteps,Mitigation!$A:$O,"","",FALSE),$X44,""),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44" s="11" t="str" cm="1">
        <f t="array" aca="1" ref="AR44" ca="1">IF(NOT($O44),"",_xlfn.LET(
_xlpm._listOfRisksAndLevels,SanitizeInput($AQ44),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_xlpm._shortenedList,IF($H44="",_xlpm._risksWithMaxValue,
  IF(LEN(_xlpm._risksWithMaxValue)-LEN(SUBSTITUTE(_xlpm._risksWithMaxValue,",",""))&lt;=$H44,_xlpm._risksWithMaxValue,
    LEFT(_xlpm._risksWithMaxValue,FIND(CHAR(1),SUBSTITUTE(_xlpm._risksWithMaxValue,",",CHAR(1),$H44))))),
IF(_xlpm._maxRiskValue="","",
  _xlpm._lineMainSeparator&amp;
  INDEX(Definitions!$AE:$AE,MATCH(_xlpm._maxRiskValue,Definitions!$AF:$AF,0))&amp;CHAR(10)&amp;
  _xlpm._lineMainSeparator&amp;
  RemoveDelimiter(GetValues(_xlpm._shortenedList,Risks!$A:$B," ",CHAR(10)&amp;_xlpm._lineMainSeparator,TRUE),CHAR(10)&amp;_xlpm._lineMainSeparator))))</f>
        <v/>
      </c>
      <c r="AS44" s="11" t="str" cm="1">
        <f t="array" aca="1" ref="AS44" ca="1">IF(NOT($O44),"",
_xlfn.LET(
_xlpm._lineMainSeparator,REPT(_xlfn.UNICHAR(9552),63)&amp;CHAR(10),
_xlpm._potentialASID,$Y44,
_xlpm._risk,IFERROR(SimpleLookup(_xlpm._potentialASID,Mitigation!$A:$N),""),
_xlpm._attackPaths,IFERROR(SimpleLookup(_xlpm._potentialASID,Mitigation!$A:$M),""),
IF(_xlpm._risk="","",
_xlpm._lineMainSeparator&amp;
_xlpm._risk&amp;CHAR(10)&amp;
_xlpm._lineMainSeparator&amp;
_xlpm._attackPaths)))</f>
        <v/>
      </c>
      <c r="AT44" s="11" t="str" cm="1">
        <f t="array" aca="1" ref="AT44" ca="1">InverseLookup($A44,Countermeasures!$AA$2,Countermeasures!$A$2,1,Helper!$B$4,",")</f>
        <v/>
      </c>
    </row>
    <row r="45" spans="1:47" x14ac:dyDescent="0.25">
      <c r="A45" s="106" t="str">
        <f ca="1">_xlfn.LET(
_xlpm._isAssumption,$M45,
_xlpm._row,$N45,
_xlpm._numActiveAssumptions,Helper!$B$8,
_xlpm._numActiveCountermeasures,Helper!$B$9,
_xlpm._numAdditionalAssumptions,Helper!$B$10,
_xlpm._numAdditionalCountermeasures,Helper!$B$11,
IF(_xlpm._isAssumption,
IF(_xlpm._row&gt;_xlpm._numActiveAssumptions,
$Y45&amp;"-A"&amp;$T45,
INDEX(Assumptions!A:A,MATCH(_xlpm._row,Assumptions!$AC:$AC,0))),
IF(_xlpm._row&gt;_xlpm._numActiveCountermeasures+_xlpm._numAdditionalCountermeasures,"",
IF(_xlpm._row&gt;_xlpm._numActiveCountermeasures,
$Y45&amp;"-C"&amp;$T45,
INDEX(Countermeasures!$A:$A,MATCH(_xlpm._row,Countermeasures!$AE:$AE,0))))))</f>
        <v/>
      </c>
      <c r="B45" s="106" t="str" cm="1">
        <f t="array" aca="1" ref="B45" ca="1">IF($A45="","",
_xlfn.LET(
_xlpm._isAssumption,$M45,
_xlpm._isAdditionalElement,$O45,
IF(_xlpm._isAdditionalElement,
IF(_xlpm._isAssumption,
ParseElementsFromComment($X45,Definitions!$AR$4,Definitions!$AS$4,Definitions!$AR$6,$T45),
ParseElementsFromComment($X45,Definitions!$AR$5,Definitions!$AS$5,Definitions!$AR$6,$T45)),
_xlfn.LET(_xlpm._value,IF($A45="","",IF($M45,SimpleLookup($A45,Assumptions!$A:$B),SimpleLookup($A45,Countermeasures!$A:$B))),IF(_xlpm._value="","",_xlpm._value)))))</f>
        <v/>
      </c>
      <c r="C45" s="106" t="str" cm="1">
        <f t="array" aca="1" ref="C45" ca="1">IF($A45="","",IF($M45,IFERROR(SimpleLookup($A45,Assumptions!$A:$E),""),Definitions!$AO$4))</f>
        <v/>
      </c>
      <c r="D45" s="103" t="str">
        <f t="shared" ca="1" si="2"/>
        <v/>
      </c>
      <c r="E45" s="107"/>
      <c r="F45" s="108" t="str">
        <f t="shared" ca="1" si="3"/>
        <v/>
      </c>
      <c r="G45" s="102" t="str" cm="1">
        <f t="array" aca="1" ref="G45" ca="1">_xlfn.LET(_xlpm._val,IFERROR(SimpleLookup($A45,Countermeasures!$A:$S),IFERROR(SimpleLookup($A45,Assumptions!$A:$S),"")),IF(_xlpm._val="","",_xlpm._val))</f>
        <v/>
      </c>
      <c r="H45" s="109" t="str">
        <f>""</f>
        <v/>
      </c>
      <c r="I45" s="102" t="str">
        <f t="shared" ca="1" si="4"/>
        <v/>
      </c>
      <c r="J45" s="102" t="str">
        <f t="shared" ca="1" si="5"/>
        <v/>
      </c>
      <c r="K45" s="106" t="str" cm="1">
        <f t="array" aca="1" ref="K45" ca="1">_xlfn.LET(_xlpm._value,IF($A45="","",IFERROR(IF($M45,SimpleLookup($A45,Assumptions!$A:$T),SimpleLookup($A45,Countermeasures!$A:$T)),"")),
IF(_xlpm._value="","",_xlpm._value))</f>
        <v/>
      </c>
      <c r="L45" s="9" cm="1">
        <f t="array" aca="1" ref="L45" ca="1">CreateID($L$17,$A45&lt;&gt;"")</f>
        <v>11</v>
      </c>
      <c r="M45" s="9" t="b">
        <f ca="1">_xlfn.LET(_xlpm._row,ROW()-ROW($N$17),
_xlpm._numActiveAssumptions,Helper!$B$8,
_xlpm._numAdditionalAssumptions,SUM(Table24['# Elements]),
_xlpm._row&lt;=_xlpm._numActiveAssumptions+_xlpm._numAdditionalAssumptions)</f>
        <v>0</v>
      </c>
      <c r="N45" s="9">
        <f ca="1">_xlfn.LET(_xlpm._row,ROW()-ROW($N$17),
_xlpm._numActiveAssumptions,Helper!$B$8,
_xlpm._numAdditionalAssumptions,Helper!$B$10,
_xlpm._isAssumption,$M45,
_xlpm._elementID,IF(_xlpm._isAssumption,_xlpm._row,_xlpm._row-_xlpm._numActiveAssumptions-_xlpm._numAdditionalAssumptions),
_xlpm._elementID)</f>
        <v>24</v>
      </c>
      <c r="O45"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45" s="11" cm="1">
        <f t="array" aca="1" ref="P45" ca="1">IF($O45,
IF(ROW()=ROW($P$17)+1,1,INDEX($P:$P,ROW()-1)+IF(INDEX($W:$W,ROW()-1),1,0)),
1)</f>
        <v>1</v>
      </c>
      <c r="Q45" s="11" t="str" cm="1">
        <f t="array" aca="1" ref="Q45" ca="1">IF($O45=TRUE,
_xlfn.LET(
_xlpm._isAssumption,$M45,
_xlpm._indexRange,IF(_xlpm._isAssumption,Table24['# Elements],Table25['# Elements]),
_xlpm._lookupRow,$Z45,
INDEX(_xlpm._indexRange,_xlpm._lookupRow)),
"")</f>
        <v/>
      </c>
      <c r="R45" s="11" t="str" cm="1">
        <f t="array" aca="1" ref="R45" ca="1">IF($Q45="","",_xlfn.LET(
_xlpm._prevRow,ROW()-1,
IF(OR(INDEX($Q:$Q,_xlpm._prevRow)&lt;&gt;$Q45,INDEX($P:$P,_xlpm._prevRow)&lt;&gt;$P45),
1,
INDEX($R:$R,_xlpm._prevRow)+IF(INDEX($V:$V,_xlpm._prevRow),1,0))))</f>
        <v/>
      </c>
      <c r="S45" s="11" t="str" cm="1">
        <f t="array" aca="1" ref="S45" ca="1">IF($R45="","",_xlfn.LET(
_xlpm._isAssumption,$M45,
_xlpm._sheetRow,$Z45,
_xlpm._sheetName,$AA45,
_xlpm._elementIDRange,IF(_xlpm._isAssumption,Table24[Element ID Column],Table25[Element ID Column]),
_xlpm._numberOfElementsRange,IF(_xlpm._isAssumption,Table24[Number of Elements Column],Table25[Number of Elements Column]),
SimpleLookup($R45,INDIRECT("'"&amp;_xlpm._sheetName&amp;"'!"&amp;INDEX(_xlpm._elementIDRange,_xlpm._sheetRow)&amp;":"&amp;INDEX(_xlpm._numberOfElementsRange,_xlpm._sheetRow)))))</f>
        <v/>
      </c>
      <c r="T45" s="11" t="str" cm="1">
        <f t="array" aca="1" ref="T45" ca="1">IF($R45="","",IF(OR(INDEX($R:$R,ROW()-1)&lt;&gt;$R45,INDEX($P:$P,ROW()-1)&lt;&gt;$P45),1,INDEX($T:$T,ROW()-1)+1))</f>
        <v/>
      </c>
      <c r="U45" s="11">
        <f t="shared" ca="1" si="6"/>
        <v>0</v>
      </c>
      <c r="V45" s="11" t="str">
        <f t="shared" ca="1" si="7"/>
        <v/>
      </c>
      <c r="W45" s="11" t="b">
        <f ca="1">_xlfn.LET(
_xlpm._isAssumption,$M45,
_xlpm._numberOfElementsRange,IF(_xlpm._isAssumption,Table24['# Elements],Table25['# Elements]),
_xlpm._sheetRow,$Z45,
IF($O45,AND($V45,$U45=$Q45),FALSE))</f>
        <v>0</v>
      </c>
      <c r="X45" s="11" t="str" cm="1">
        <f t="array" aca="1" ref="X45" ca="1">IF($O45,
_xlfn.LET(
_xlpm._elementID,$R45,
_xlpm._isAssumption,$M45,
_xlpm._sheetRow,$Z45,
_xlpm._sheetName,$AA45,
_xlpm._elementRow,$AB45,
_xlpm._resultColumnLetter,IF(_xlpm._isAssumption,INDEX(Table24[Comment Column],_xlpm._sheetRow),INDEX(Table25[Comment Column],_xlpm._sheetRow)),
INDEX(INDIRECT("'"&amp;_xlpm._sheetName&amp;"'!"&amp;_xlpm._resultColumnLetter&amp;":"&amp;_xlpm._resultColumnLetter),_xlpm._elementRow)),
"")</f>
        <v/>
      </c>
      <c r="Y45" s="11" t="str" cm="1">
        <f t="array" aca="1" ref="Y45" ca="1">IF($O45,
_xlfn.LET(
_xlpm._elementID,$R45,
_xlpm._isAssumption,$M45,
_xlpm._sheetRow,$Z45,
_xlpm._sheetName,$AA45,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45" s="11" t="str">
        <f ca="1">IF($O45=TRUE,
_xlfn.LET(
_xlpm._isAssumption,$M45,
_xlpm._searchRange,IF(_xlpm._isAssumption,Table24[Task Sheet Shadow ID],Table25[Task Sheet Shadow ID]),
MATCH($P45,_xlpm._searchRange,0)),
"")</f>
        <v/>
      </c>
      <c r="AA45" s="11" t="str" cm="1">
        <f t="array" aca="1" ref="AA45" ca="1">IF($O45,
_xlfn.LET(
_xlpm._isAssumption,$M45,
_xlpm._sheetRow,$Z45,
IF(_xlpm._isAssumption,INDEX(Table24[Sheet Name],_xlpm._sheetRow),INDEX(Table25[Sheet Name],_xlpm._sheetRow))),
"")</f>
        <v/>
      </c>
      <c r="AB45" s="11" t="str" cm="1">
        <f t="array" aca="1" ref="AB45" ca="1">IF($O45,
_xlfn.LET(
_xlpm._elementID,$R45,
_xlpm._isAssumption,$M45,
_xlpm._sheetRow,$Z45,
_xlpm._sheetName,$AA45,
_xlpm._elementIDColumnLetter,IF(_xlpm._isAssumption,INDEX(Table24[Element ID Column],_xlpm._sheetRow),INDEX(Table25[Element ID Column],_xlpm._sheetRow)),
MATCH(_xlpm._elementID,INDIRECT("'"&amp;_xlpm._sheetName&amp;"'!"&amp;_xlpm._elementIDColumnLetter&amp;":"&amp;_xlpm._elementIDColumnLetter),0)),
"")</f>
        <v/>
      </c>
      <c r="AC45" s="11" t="str" cm="1">
        <f t="array" aca="1" ref="AC45" ca="1">IF($A45="","",_xlfn.LET(
_xlpm._isAssumption,$M45,
_xlpm._isAdditionalElement,$O45,
_xlpm._sheetRow,$Z45,
_xlpm._sheetName,$AA45,
_xlpm._columnLetter,INDEX(IF(_xlpm._isAdditionalElement,Table24[Comment Column],Table25[Comment Column]),_xlpm._sheetRow),
_xlpm._sheetReference,IF(_xlpm._isAssumption,IF(_xlpm._isAdditionalElement,
CELL("address",INDEX(INDIRECT("'"&amp;_xlpm._sheetName&amp;"'!"&amp;_xlpm._columnLetter&amp;":"&amp;_xlpm._columnLetter),$AB45)),
CELL("address",INDEX(Assumptions!$A:$A,MATCH($A45,Assumptions!$A:$A,0),1))),
IF(_xlpm._isAdditionalElement,
CELL("address",INDEX(INDIRECT("'"&amp;_xlpm._sheetName&amp;"'!"&amp;_xlpm._columnLetter&amp;":"&amp;_xlpm._columnLetter),$AB45)),
CELL("address",INDEX(Countermeasures!$A:$A,MATCH($A45,Countermeasures!$A:$A,0),1)))),
_xlpm._start,FIND("]",_xlpm._sheetReference),
"'"&amp;SUBSTITUTE(SUBSTITUTE(RIGHT(_xlpm._sheetReference,LEN(_xlpm._sheetReference)-_xlpm._start),"'",""),"!","'!")))</f>
        <v/>
      </c>
      <c r="AD45" s="11" t="str" cm="1">
        <f t="array" aca="1" ref="AD45" ca="1">IF(NOT($O45),
_xlfn.LET(_xlpm._value,IF($A45="","",IF($M45,SimpleLookup($A45,Assumptions!$A:$AG),SimpleLookup($A45,Countermeasures!$A:$AJ))),
IF(_xlpm._value="","",_xlpm._value)),
"")</f>
        <v/>
      </c>
      <c r="AE45" s="11" t="str" cm="1">
        <f t="array" aca="1" ref="AE45" ca="1">LookupNames(InverseLookup($A45,Mitigation!$AD$2,Mitigation!$A$2,1,Helper!$B$5,","),'Attack Steps'!$A:$B)</f>
        <v/>
      </c>
      <c r="AF45" s="11" t="str" cm="1">
        <f t="array" aca="1" ref="AF45" ca="1">IF($O45,
_xlfn.LET(
_xlpm._in,$A45,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45" s="11" t="str" cm="1">
        <f t="array" aca="1" ref="AG45" ca="1">_xlfn.LET(
_xlpm._countermeasures,InverseLookup($A45,Countermeasures!$AC$2,Countermeasures!$A$2,1,Helper!$B$4,","),
LookupNames(_xlpm._countermeasures,Countermeasures!$A:$B))</f>
        <v/>
      </c>
      <c r="AH45" s="11" t="str" cm="1">
        <f t="array" aca="1" ref="AH45" ca="1">IF($E45="","",_xlfn.LET(
_xlpm._id,$E45,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45" s="11" t="str" cm="1">
        <f t="array" aca="1" ref="AI45" ca="1">IF(OR($A45="",$O45),"",_xlfn.LET(
_xlpm._answers,IF($M45,SimpleLookup($A45,Assumptions!$A:$F),SimpleLookup($A45,Countermeasures!$A:$D)),
IF(_xlpm._answers="*",IF($M45,SimpleLookup($A45,Assumptions!$A:$C),SimpleLookup($A45,Countermeasures!$A:$C)),"")))</f>
        <v/>
      </c>
      <c r="AJ45" s="11" t="str" cm="1">
        <f t="array" aca="1" ref="AJ45" ca="1">IF(NOT($O45),"",_xlfn.LET(
_xlpm._mappedInMitigation,IFERROR(VLOOKUP($Y45,'Attack Steps'!$A:$P,COLUMNS('Attack Steps'!$A:$P),FALSE),""),
CreateSearchString(_xlpm._mappedInMitigation)))</f>
        <v/>
      </c>
      <c r="AK45" s="11" t="b">
        <f ca="1">ROW()-ROW($AK$17)=Helper!$B$15</f>
        <v>0</v>
      </c>
      <c r="AL45" s="11" t="str">
        <f t="shared" ca="1" si="8"/>
        <v/>
      </c>
      <c r="AM45" s="11" cm="1">
        <f t="array" aca="1" ref="AM45" ca="1">CreateID($AM$17,$AL45&lt;&gt;"")</f>
        <v>0</v>
      </c>
      <c r="AN45" s="11" t="str" cm="1">
        <f t="array" aca="1" ref="AN45" ca="1">IF($O45,"",
_xlfn.LET(
_xlpm._this,SanitizeInput($A45)&amp;AT45,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45" s="11" t="str" cm="1">
        <f t="array" aca="1" ref="AO45" ca="1">IF($O45,"",_xlfn.LET(
_xlpm._listOfRisksAndLevels,SanitizeInput($AN45),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_xlpm._shortenedList,IF($H45="",_xlpm._risksWithMaxValue,
  IF(LEN(_xlpm._risksWithMaxValue)-LEN(SUBSTITUTE(_xlpm._risksWithMaxValue,",",""))&lt;=$H45,_xlpm._risksWithMaxValue,
    LEFT(_xlpm._risksWithMaxValue,FIND(CHAR(1),SUBSTITUTE(_xlpm._risksWithMaxValue,",",CHAR(1),$H45))))),
IF(_xlpm._maxRiskValue="","",
  _xlpm._lineMainSeparator&amp;
  INDEX(Definitions!$AE:$AE,MATCH(_xlpm._maxRiskValue,Definitions!$AF:$AF,0))&amp;CHAR(10)&amp;
  _xlpm._lineMainSeparator&amp;
  RemoveDelimiter(GetValues(_xlpm._shortenedList,Risks!$A:$B," ",CHAR(10)&amp;_xlpm._lineMainSeparator,TRUE),CHAR(10)&amp;_xlpm._lineMainSeparator))))</f>
        <v/>
      </c>
      <c r="AP45" s="11" t="str" cm="1">
        <f t="array" aca="1" ref="AP45" ca="1">IF($O45,"",_xlfn.LET(
_xlpm._lineMainSeparator,REPT(_xlfn.UNICHAR(9552),63)&amp;CHAR(10),
_xlpm._affectedRisks,InverseLookupList(SanitizeInput($A45)&amp;$AT45,Risks!$AX$2,Risks!$A$2,Helper!$B$1,","),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_xlpm._shortenedList,IF($H45="",_xlpm._risksWithMaxValue,
  IF(LEN(_xlpm._risksWithMaxValue)-LEN(SUBSTITUTE(_xlpm._risksWithMaxValue,",",""))&lt;=$H45,_xlpm._risksWithMaxValue,
    LEFT(_xlpm._risksWithMaxValue,FIND(CHAR(1),SUBSTITUTE(_xlpm._risksWithMaxValue,",",CHAR(1),$H45))))),
IF(_xlpm._maxRiskValue="","",
  _xlpm._lineMainSeparator&amp;
  INDEX(Definitions!$AE:$AE,MATCH(_xlpm._maxRiskValue,Definitions!$AF:$AF,0))&amp;CHAR(10)&amp;
  _xlpm._lineMainSeparator&amp;
  RemoveDelimiter(GetValues(_xlpm._shortenedList,Risks!$A:$B," ",CHAR(10)&amp;_xlpm._lineMainSeparator,TRUE),CHAR(10)&amp;_xlpm._lineMainSeparator))))</f>
        <v/>
      </c>
      <c r="AQ45" s="11" t="str" cm="1">
        <f t="array" aca="1" ref="AQ45" ca="1">IF(NOT($O45),"",
_xlfn.LET(
_xlpm._potentialASID,$Y45,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_xlpm._commentsFiltered,SUBSTITUTE(GetValues(_xlpm._attackSteps,Mitigation!$A:$O,"","",FALSE),$X45,""),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45" s="11" t="str" cm="1">
        <f t="array" aca="1" ref="AR45" ca="1">IF(NOT($O45),"",_xlfn.LET(
_xlpm._listOfRisksAndLevels,SanitizeInput($AQ45),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_xlpm._shortenedList,IF($H45="",_xlpm._risksWithMaxValue,
  IF(LEN(_xlpm._risksWithMaxValue)-LEN(SUBSTITUTE(_xlpm._risksWithMaxValue,",",""))&lt;=$H45,_xlpm._risksWithMaxValue,
    LEFT(_xlpm._risksWithMaxValue,FIND(CHAR(1),SUBSTITUTE(_xlpm._risksWithMaxValue,",",CHAR(1),$H45))))),
IF(_xlpm._maxRiskValue="","",
  _xlpm._lineMainSeparator&amp;
  INDEX(Definitions!$AE:$AE,MATCH(_xlpm._maxRiskValue,Definitions!$AF:$AF,0))&amp;CHAR(10)&amp;
  _xlpm._lineMainSeparator&amp;
  RemoveDelimiter(GetValues(_xlpm._shortenedList,Risks!$A:$B," ",CHAR(10)&amp;_xlpm._lineMainSeparator,TRUE),CHAR(10)&amp;_xlpm._lineMainSeparator))))</f>
        <v/>
      </c>
      <c r="AS45" s="11" t="str" cm="1">
        <f t="array" aca="1" ref="AS45" ca="1">IF(NOT($O45),"",
_xlfn.LET(
_xlpm._lineMainSeparator,REPT(_xlfn.UNICHAR(9552),63)&amp;CHAR(10),
_xlpm._potentialASID,$Y45,
_xlpm._risk,IFERROR(SimpleLookup(_xlpm._potentialASID,Mitigation!$A:$N),""),
_xlpm._attackPaths,IFERROR(SimpleLookup(_xlpm._potentialASID,Mitigation!$A:$M),""),
IF(_xlpm._risk="","",
_xlpm._lineMainSeparator&amp;
_xlpm._risk&amp;CHAR(10)&amp;
_xlpm._lineMainSeparator&amp;
_xlpm._attackPaths)))</f>
        <v/>
      </c>
      <c r="AT45" s="11" t="str" cm="1">
        <f t="array" aca="1" ref="AT45" ca="1">InverseLookup($A45,Countermeasures!$AA$2,Countermeasures!$A$2,1,Helper!$B$4,",")</f>
        <v/>
      </c>
      <c r="AU45" s="2" t="str" cm="1">
        <f t="array" aca="1" ref="AU45" ca="1">IF($O45,"",
_xlfn.LET(
_xlpm._this,SanitizeInput($A45)&amp;AT45,
_xlpm._affectedRisks,InverseLookupList(_xlpm._this,Risks!$AX$2,Risks!$A$2,Helper!$B$1,","),
OperateOnList(_xlpm._affectedRisks,
_xlfn.LAMBDA(_xlpm._riskID,_xlfn.LET(
  _xlpm._as,SimpleLookup(_xlpm._riskID,Risks!$A:$K),
  _xlpm._ds,SimpleLookup(_xlpm._riskID,Risks!$A:$M),
  _xlpm._otherMitigations,RemoveFirstElement(_xlpm._this&amp;SimpleLookup(_xlpm._riskID,Risks!$A:$AA)),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row>
    <row r="46" spans="1:47" x14ac:dyDescent="0.25">
      <c r="A46" s="106" t="str">
        <f ca="1">_xlfn.LET(
_xlpm._isAssumption,$M46,
_xlpm._row,$N46,
_xlpm._numActiveAssumptions,Helper!$B$8,
_xlpm._numActiveCountermeasures,Helper!$B$9,
_xlpm._numAdditionalAssumptions,Helper!$B$10,
_xlpm._numAdditionalCountermeasures,Helper!$B$11,
IF(_xlpm._isAssumption,
IF(_xlpm._row&gt;_xlpm._numActiveAssumptions,
$Y46&amp;"-A"&amp;$T46,
INDEX(Assumptions!A:A,MATCH(_xlpm._row,Assumptions!$AC:$AC,0))),
IF(_xlpm._row&gt;_xlpm._numActiveCountermeasures+_xlpm._numAdditionalCountermeasures,"",
IF(_xlpm._row&gt;_xlpm._numActiveCountermeasures,
$Y46&amp;"-C"&amp;$T46,
INDEX(Countermeasures!$A:$A,MATCH(_xlpm._row,Countermeasures!$AE:$AE,0))))))</f>
        <v/>
      </c>
      <c r="B46" s="106" t="str" cm="1">
        <f t="array" aca="1" ref="B46" ca="1">IF($A46="","",
_xlfn.LET(
_xlpm._isAssumption,$M46,
_xlpm._isAdditionalElement,$O46,
IF(_xlpm._isAdditionalElement,
IF(_xlpm._isAssumption,
ParseElementsFromComment($X46,Definitions!$AR$4,Definitions!$AS$4,Definitions!$AR$6,$T46),
ParseElementsFromComment($X46,Definitions!$AR$5,Definitions!$AS$5,Definitions!$AR$6,$T46)),
_xlfn.LET(_xlpm._value,IF($A46="","",IF($M46,SimpleLookup($A46,Assumptions!$A:$B),SimpleLookup($A46,Countermeasures!$A:$B))),IF(_xlpm._value="","",_xlpm._value)))))</f>
        <v/>
      </c>
      <c r="C46" s="106" t="str" cm="1">
        <f t="array" aca="1" ref="C46" ca="1">IF($A46="","",IF($M46,IFERROR(SimpleLookup($A46,Assumptions!$A:$E),""),Definitions!$AO$4))</f>
        <v/>
      </c>
      <c r="D46" s="103" t="str">
        <f t="shared" ca="1" si="2"/>
        <v/>
      </c>
      <c r="E46" s="107"/>
      <c r="F46" s="108" t="str">
        <f t="shared" ca="1" si="3"/>
        <v/>
      </c>
      <c r="G46" s="102" t="str" cm="1">
        <f t="array" aca="1" ref="G46" ca="1">_xlfn.LET(_xlpm._val,IFERROR(SimpleLookup($A46,Countermeasures!$A:$S),IFERROR(SimpleLookup($A46,Assumptions!$A:$S),"")),IF(_xlpm._val="","",_xlpm._val))</f>
        <v/>
      </c>
      <c r="H46" s="109" t="str">
        <f>""</f>
        <v/>
      </c>
      <c r="I46" s="102" t="str">
        <f t="shared" ca="1" si="4"/>
        <v/>
      </c>
      <c r="J46" s="102" t="str">
        <f t="shared" ca="1" si="5"/>
        <v/>
      </c>
      <c r="K46" s="106" t="str" cm="1">
        <f t="array" aca="1" ref="K46" ca="1">_xlfn.LET(_xlpm._value,IF($A46="","",IFERROR(IF($M46,SimpleLookup($A46,Assumptions!$A:$T),SimpleLookup($A46,Countermeasures!$A:$T)),"")),
IF(_xlpm._value="","",_xlpm._value))</f>
        <v/>
      </c>
      <c r="L46" s="9" cm="1">
        <f t="array" aca="1" ref="L46" ca="1">CreateID($L$17,$A46&lt;&gt;"")</f>
        <v>11</v>
      </c>
      <c r="M46" s="9" t="b">
        <f ca="1">_xlfn.LET(_xlpm._row,ROW()-ROW($N$17),
_xlpm._numActiveAssumptions,Helper!$B$8,
_xlpm._numAdditionalAssumptions,SUM(Table24['# Elements]),
_xlpm._row&lt;=_xlpm._numActiveAssumptions+_xlpm._numAdditionalAssumptions)</f>
        <v>0</v>
      </c>
      <c r="N46" s="9">
        <f ca="1">_xlfn.LET(_xlpm._row,ROW()-ROW($N$17),
_xlpm._numActiveAssumptions,Helper!$B$8,
_xlpm._numAdditionalAssumptions,Helper!$B$10,
_xlpm._isAssumption,$M46,
_xlpm._elementID,IF(_xlpm._isAssumption,_xlpm._row,_xlpm._row-_xlpm._numActiveAssumptions-_xlpm._numAdditionalAssumptions),
_xlpm._elementID)</f>
        <v>25</v>
      </c>
      <c r="O46"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46" s="11" cm="1">
        <f t="array" aca="1" ref="P46" ca="1">IF($O46,
IF(ROW()=ROW($P$17)+1,1,INDEX($P:$P,ROW()-1)+IF(INDEX($W:$W,ROW()-1),1,0)),
1)</f>
        <v>1</v>
      </c>
      <c r="Q46" s="11" t="str" cm="1">
        <f t="array" aca="1" ref="Q46" ca="1">IF($O46=TRUE,
_xlfn.LET(
_xlpm._isAssumption,$M46,
_xlpm._indexRange,IF(_xlpm._isAssumption,Table24['# Elements],Table25['# Elements]),
_xlpm._lookupRow,$Z46,
INDEX(_xlpm._indexRange,_xlpm._lookupRow)),
"")</f>
        <v/>
      </c>
      <c r="R46" s="11" t="str" cm="1">
        <f t="array" aca="1" ref="R46" ca="1">IF($Q46="","",_xlfn.LET(
_xlpm._prevRow,ROW()-1,
IF(OR(INDEX($Q:$Q,_xlpm._prevRow)&lt;&gt;$Q46,INDEX($P:$P,_xlpm._prevRow)&lt;&gt;$P46),
1,
INDEX($R:$R,_xlpm._prevRow)+IF(INDEX($V:$V,_xlpm._prevRow),1,0))))</f>
        <v/>
      </c>
      <c r="S46" s="11" t="str" cm="1">
        <f t="array" aca="1" ref="S46" ca="1">IF($R46="","",_xlfn.LET(
_xlpm._isAssumption,$M46,
_xlpm._sheetRow,$Z46,
_xlpm._sheetName,$AA46,
_xlpm._elementIDRange,IF(_xlpm._isAssumption,Table24[Element ID Column],Table25[Element ID Column]),
_xlpm._numberOfElementsRange,IF(_xlpm._isAssumption,Table24[Number of Elements Column],Table25[Number of Elements Column]),
SimpleLookup($R46,INDIRECT("'"&amp;_xlpm._sheetName&amp;"'!"&amp;INDEX(_xlpm._elementIDRange,_xlpm._sheetRow)&amp;":"&amp;INDEX(_xlpm._numberOfElementsRange,_xlpm._sheetRow)))))</f>
        <v/>
      </c>
      <c r="T46" s="11" t="str" cm="1">
        <f t="array" aca="1" ref="T46" ca="1">IF($R46="","",IF(OR(INDEX($R:$R,ROW()-1)&lt;&gt;$R46,INDEX($P:$P,ROW()-1)&lt;&gt;$P46),1,INDEX($T:$T,ROW()-1)+1))</f>
        <v/>
      </c>
      <c r="U46" s="11">
        <f t="shared" ca="1" si="6"/>
        <v>0</v>
      </c>
      <c r="V46" s="11" t="str">
        <f t="shared" ca="1" si="7"/>
        <v/>
      </c>
      <c r="W46" s="11" t="b">
        <f ca="1">_xlfn.LET(
_xlpm._isAssumption,$M46,
_xlpm._numberOfElementsRange,IF(_xlpm._isAssumption,Table24['# Elements],Table25['# Elements]),
_xlpm._sheetRow,$Z46,
IF($O46,AND($V46,$U46=$Q46),FALSE))</f>
        <v>0</v>
      </c>
      <c r="X46" s="11" t="str" cm="1">
        <f t="array" aca="1" ref="X46" ca="1">IF($O46,
_xlfn.LET(
_xlpm._elementID,$R46,
_xlpm._isAssumption,$M46,
_xlpm._sheetRow,$Z46,
_xlpm._sheetName,$AA46,
_xlpm._elementRow,$AB46,
_xlpm._resultColumnLetter,IF(_xlpm._isAssumption,INDEX(Table24[Comment Column],_xlpm._sheetRow),INDEX(Table25[Comment Column],_xlpm._sheetRow)),
INDEX(INDIRECT("'"&amp;_xlpm._sheetName&amp;"'!"&amp;_xlpm._resultColumnLetter&amp;":"&amp;_xlpm._resultColumnLetter),_xlpm._elementRow)),
"")</f>
        <v/>
      </c>
      <c r="Y46" s="11" t="str" cm="1">
        <f t="array" aca="1" ref="Y46" ca="1">IF($O46,
_xlfn.LET(
_xlpm._elementID,$R46,
_xlpm._isAssumption,$M46,
_xlpm._sheetRow,$Z46,
_xlpm._sheetName,$AA46,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46" s="11" t="str">
        <f ca="1">IF($O46=TRUE,
_xlfn.LET(
_xlpm._isAssumption,$M46,
_xlpm._searchRange,IF(_xlpm._isAssumption,Table24[Task Sheet Shadow ID],Table25[Task Sheet Shadow ID]),
MATCH($P46,_xlpm._searchRange,0)),
"")</f>
        <v/>
      </c>
      <c r="AA46" s="11" t="str" cm="1">
        <f t="array" aca="1" ref="AA46" ca="1">IF($O46,
_xlfn.LET(
_xlpm._isAssumption,$M46,
_xlpm._sheetRow,$Z46,
IF(_xlpm._isAssumption,INDEX(Table24[Sheet Name],_xlpm._sheetRow),INDEX(Table25[Sheet Name],_xlpm._sheetRow))),
"")</f>
        <v/>
      </c>
      <c r="AB46" s="11" t="str" cm="1">
        <f t="array" aca="1" ref="AB46" ca="1">IF($O46,
_xlfn.LET(
_xlpm._elementID,$R46,
_xlpm._isAssumption,$M46,
_xlpm._sheetRow,$Z46,
_xlpm._sheetName,$AA46,
_xlpm._elementIDColumnLetter,IF(_xlpm._isAssumption,INDEX(Table24[Element ID Column],_xlpm._sheetRow),INDEX(Table25[Element ID Column],_xlpm._sheetRow)),
MATCH(_xlpm._elementID,INDIRECT("'"&amp;_xlpm._sheetName&amp;"'!"&amp;_xlpm._elementIDColumnLetter&amp;":"&amp;_xlpm._elementIDColumnLetter),0)),
"")</f>
        <v/>
      </c>
      <c r="AC46" s="11" t="str" cm="1">
        <f t="array" aca="1" ref="AC46" ca="1">IF($A46="","",_xlfn.LET(
_xlpm._isAssumption,$M46,
_xlpm._isAdditionalElement,$O46,
_xlpm._sheetRow,$Z46,
_xlpm._sheetName,$AA46,
_xlpm._columnLetter,INDEX(IF(_xlpm._isAdditionalElement,Table24[Comment Column],Table25[Comment Column]),_xlpm._sheetRow),
_xlpm._sheetReference,IF(_xlpm._isAssumption,IF(_xlpm._isAdditionalElement,
CELL("address",INDEX(INDIRECT("'"&amp;_xlpm._sheetName&amp;"'!"&amp;_xlpm._columnLetter&amp;":"&amp;_xlpm._columnLetter),$AB46)),
CELL("address",INDEX(Assumptions!$A:$A,MATCH($A46,Assumptions!$A:$A,0),1))),
IF(_xlpm._isAdditionalElement,
CELL("address",INDEX(INDIRECT("'"&amp;_xlpm._sheetName&amp;"'!"&amp;_xlpm._columnLetter&amp;":"&amp;_xlpm._columnLetter),$AB46)),
CELL("address",INDEX(Countermeasures!$A:$A,MATCH($A46,Countermeasures!$A:$A,0),1)))),
_xlpm._start,FIND("]",_xlpm._sheetReference),
"'"&amp;SUBSTITUTE(SUBSTITUTE(RIGHT(_xlpm._sheetReference,LEN(_xlpm._sheetReference)-_xlpm._start),"'",""),"!","'!")))</f>
        <v/>
      </c>
      <c r="AD46" s="11" t="str" cm="1">
        <f t="array" aca="1" ref="AD46" ca="1">IF(NOT($O46),
_xlfn.LET(_xlpm._value,IF($A46="","",IF($M46,SimpleLookup($A46,Assumptions!$A:$AG),SimpleLookup($A46,Countermeasures!$A:$AJ))),
IF(_xlpm._value="","",_xlpm._value)),
"")</f>
        <v/>
      </c>
      <c r="AE46" s="11" t="str" cm="1">
        <f t="array" aca="1" ref="AE46" ca="1">LookupNames(InverseLookup($A46,Mitigation!$AD$2,Mitigation!$A$2,1,Helper!$B$5,","),'Attack Steps'!$A:$B)</f>
        <v/>
      </c>
      <c r="AF46" s="11" t="str" cm="1">
        <f t="array" aca="1" ref="AF46" ca="1">IF($O46,
_xlfn.LET(
_xlpm._in,$A46,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46" s="11" t="str" cm="1">
        <f t="array" aca="1" ref="AG46" ca="1">_xlfn.LET(
_xlpm._countermeasures,InverseLookup($A46,Countermeasures!$AC$2,Countermeasures!$A$2,1,Helper!$B$4,","),
LookupNames(_xlpm._countermeasures,Countermeasures!$A:$B))</f>
        <v/>
      </c>
      <c r="AH46" s="11" t="str" cm="1">
        <f t="array" aca="1" ref="AH46" ca="1">IF($E46="","",_xlfn.LET(
_xlpm._id,$E46,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46" s="11" t="str" cm="1">
        <f t="array" aca="1" ref="AI46" ca="1">IF(OR($A46="",$O46),"",_xlfn.LET(
_xlpm._answers,IF($M46,SimpleLookup($A46,Assumptions!$A:$F),SimpleLookup($A46,Countermeasures!$A:$D)),
IF(_xlpm._answers="*",IF($M46,SimpleLookup($A46,Assumptions!$A:$C),SimpleLookup($A46,Countermeasures!$A:$C)),"")))</f>
        <v/>
      </c>
      <c r="AJ46" s="11" t="str" cm="1">
        <f t="array" aca="1" ref="AJ46" ca="1">IF(NOT($O46),"",_xlfn.LET(
_xlpm._mappedInMitigation,IFERROR(VLOOKUP($Y46,'Attack Steps'!$A:$P,COLUMNS('Attack Steps'!$A:$P),FALSE),""),
CreateSearchString(_xlpm._mappedInMitigation)))</f>
        <v/>
      </c>
      <c r="AK46" s="11" t="b">
        <f ca="1">ROW()-ROW($AK$17)=Helper!$B$15</f>
        <v>0</v>
      </c>
      <c r="AL46" s="11" t="str">
        <f t="shared" ca="1" si="8"/>
        <v/>
      </c>
      <c r="AM46" s="11" cm="1">
        <f t="array" aca="1" ref="AM46" ca="1">CreateID($AM$17,$AL46&lt;&gt;"")</f>
        <v>0</v>
      </c>
      <c r="AN46" s="11" t="str" cm="1">
        <f t="array" aca="1" ref="AN46" ca="1">IF($O46,"",
_xlfn.LET(
_xlpm._this,SanitizeInput($A46)&amp;AT46,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46" s="11" t="str" cm="1">
        <f t="array" aca="1" ref="AO46" ca="1">IF($O46,"",_xlfn.LET(
_xlpm._listOfRisksAndLevels,SanitizeInput($AN46),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_xlpm._shortenedList,IF($H46="",_xlpm._risksWithMaxValue,
  IF(LEN(_xlpm._risksWithMaxValue)-LEN(SUBSTITUTE(_xlpm._risksWithMaxValue,",",""))&lt;=$H46,_xlpm._risksWithMaxValue,
    LEFT(_xlpm._risksWithMaxValue,FIND(CHAR(1),SUBSTITUTE(_xlpm._risksWithMaxValue,",",CHAR(1),$H46))))),
IF(_xlpm._maxRiskValue="","",
  _xlpm._lineMainSeparator&amp;
  INDEX(Definitions!$AE:$AE,MATCH(_xlpm._maxRiskValue,Definitions!$AF:$AF,0))&amp;CHAR(10)&amp;
  _xlpm._lineMainSeparator&amp;
  RemoveDelimiter(GetValues(_xlpm._shortenedList,Risks!$A:$B," ",CHAR(10)&amp;_xlpm._lineMainSeparator,TRUE),CHAR(10)&amp;_xlpm._lineMainSeparator))))</f>
        <v/>
      </c>
      <c r="AP46" s="11" t="str" cm="1">
        <f t="array" aca="1" ref="AP46" ca="1">IF($O46,"",_xlfn.LET(
_xlpm._lineMainSeparator,REPT(_xlfn.UNICHAR(9552),63)&amp;CHAR(10),
_xlpm._affectedRisks,InverseLookupList(SanitizeInput($A46)&amp;$AT46,Risks!$AX$2,Risks!$A$2,Helper!$B$1,","),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_xlpm._shortenedList,IF($H46="",_xlpm._risksWithMaxValue,
  IF(LEN(_xlpm._risksWithMaxValue)-LEN(SUBSTITUTE(_xlpm._risksWithMaxValue,",",""))&lt;=$H46,_xlpm._risksWithMaxValue,
    LEFT(_xlpm._risksWithMaxValue,FIND(CHAR(1),SUBSTITUTE(_xlpm._risksWithMaxValue,",",CHAR(1),$H46))))),
IF(_xlpm._maxRiskValue="","",
  _xlpm._lineMainSeparator&amp;
  INDEX(Definitions!$AE:$AE,MATCH(_xlpm._maxRiskValue,Definitions!$AF:$AF,0))&amp;CHAR(10)&amp;
  _xlpm._lineMainSeparator&amp;
  RemoveDelimiter(GetValues(_xlpm._shortenedList,Risks!$A:$B," ",CHAR(10)&amp;_xlpm._lineMainSeparator,TRUE),CHAR(10)&amp;_xlpm._lineMainSeparator))))</f>
        <v/>
      </c>
      <c r="AQ46" s="11" t="str" cm="1">
        <f t="array" aca="1" ref="AQ46" ca="1">IF(NOT($O46),"",
_xlfn.LET(
_xlpm._potentialASID,$Y46,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_xlpm._commentsFiltered,SUBSTITUTE(GetValues(_xlpm._attackSteps,Mitigation!$A:$O,"","",FALSE),$X46,""),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46" s="11" t="str" cm="1">
        <f t="array" aca="1" ref="AR46" ca="1">IF(NOT($O46),"",_xlfn.LET(
_xlpm._listOfRisksAndLevels,SanitizeInput($AQ46),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_xlpm._shortenedList,IF($H46="",_xlpm._risksWithMaxValue,
  IF(LEN(_xlpm._risksWithMaxValue)-LEN(SUBSTITUTE(_xlpm._risksWithMaxValue,",",""))&lt;=$H46,_xlpm._risksWithMaxValue,
    LEFT(_xlpm._risksWithMaxValue,FIND(CHAR(1),SUBSTITUTE(_xlpm._risksWithMaxValue,",",CHAR(1),$H46))))),
IF(_xlpm._maxRiskValue="","",
  _xlpm._lineMainSeparator&amp;
  INDEX(Definitions!$AE:$AE,MATCH(_xlpm._maxRiskValue,Definitions!$AF:$AF,0))&amp;CHAR(10)&amp;
  _xlpm._lineMainSeparator&amp;
  RemoveDelimiter(GetValues(_xlpm._shortenedList,Risks!$A:$B," ",CHAR(10)&amp;_xlpm._lineMainSeparator,TRUE),CHAR(10)&amp;_xlpm._lineMainSeparator))))</f>
        <v/>
      </c>
      <c r="AS46" s="11" t="str" cm="1">
        <f t="array" aca="1" ref="AS46" ca="1">IF(NOT($O46),"",
_xlfn.LET(
_xlpm._lineMainSeparator,REPT(_xlfn.UNICHAR(9552),63)&amp;CHAR(10),
_xlpm._potentialASID,$Y46,
_xlpm._risk,IFERROR(SimpleLookup(_xlpm._potentialASID,Mitigation!$A:$N),""),
_xlpm._attackPaths,IFERROR(SimpleLookup(_xlpm._potentialASID,Mitigation!$A:$M),""),
IF(_xlpm._risk="","",
_xlpm._lineMainSeparator&amp;
_xlpm._risk&amp;CHAR(10)&amp;
_xlpm._lineMainSeparator&amp;
_xlpm._attackPaths)))</f>
        <v/>
      </c>
      <c r="AT46" s="11" t="str" cm="1">
        <f t="array" aca="1" ref="AT46" ca="1">InverseLookup($A46,Countermeasures!$AA$2,Countermeasures!$A$2,1,Helper!$B$4,",")</f>
        <v/>
      </c>
    </row>
    <row r="47" spans="1:47" x14ac:dyDescent="0.25">
      <c r="A47" s="106" t="str">
        <f ca="1">_xlfn.LET(
_xlpm._isAssumption,$M47,
_xlpm._row,$N47,
_xlpm._numActiveAssumptions,Helper!$B$8,
_xlpm._numActiveCountermeasures,Helper!$B$9,
_xlpm._numAdditionalAssumptions,Helper!$B$10,
_xlpm._numAdditionalCountermeasures,Helper!$B$11,
IF(_xlpm._isAssumption,
IF(_xlpm._row&gt;_xlpm._numActiveAssumptions,
$Y47&amp;"-A"&amp;$T47,
INDEX(Assumptions!A:A,MATCH(_xlpm._row,Assumptions!$AC:$AC,0))),
IF(_xlpm._row&gt;_xlpm._numActiveCountermeasures+_xlpm._numAdditionalCountermeasures,"",
IF(_xlpm._row&gt;_xlpm._numActiveCountermeasures,
$Y47&amp;"-C"&amp;$T47,
INDEX(Countermeasures!$A:$A,MATCH(_xlpm._row,Countermeasures!$AE:$AE,0))))))</f>
        <v/>
      </c>
      <c r="B47" s="106" t="str" cm="1">
        <f t="array" aca="1" ref="B47" ca="1">IF($A47="","",
_xlfn.LET(
_xlpm._isAssumption,$M47,
_xlpm._isAdditionalElement,$O47,
IF(_xlpm._isAdditionalElement,
IF(_xlpm._isAssumption,
ParseElementsFromComment($X47,Definitions!$AR$4,Definitions!$AS$4,Definitions!$AR$6,$T47),
ParseElementsFromComment($X47,Definitions!$AR$5,Definitions!$AS$5,Definitions!$AR$6,$T47)),
_xlfn.LET(_xlpm._value,IF($A47="","",IF($M47,SimpleLookup($A47,Assumptions!$A:$B),SimpleLookup($A47,Countermeasures!$A:$B))),IF(_xlpm._value="","",_xlpm._value)))))</f>
        <v/>
      </c>
      <c r="C47" s="106" t="str" cm="1">
        <f t="array" aca="1" ref="C47" ca="1">IF($A47="","",IF($M47,IFERROR(SimpleLookup($A47,Assumptions!$A:$E),""),Definitions!$AO$4))</f>
        <v/>
      </c>
      <c r="D47" s="103" t="str">
        <f t="shared" ca="1" si="2"/>
        <v/>
      </c>
      <c r="E47" s="107"/>
      <c r="F47" s="108" t="str">
        <f t="shared" ca="1" si="3"/>
        <v/>
      </c>
      <c r="G47" s="102" t="str" cm="1">
        <f t="array" aca="1" ref="G47" ca="1">_xlfn.LET(_xlpm._val,IFERROR(SimpleLookup($A47,Countermeasures!$A:$S),IFERROR(SimpleLookup($A47,Assumptions!$A:$S),"")),IF(_xlpm._val="","",_xlpm._val))</f>
        <v/>
      </c>
      <c r="H47" s="109" t="str">
        <f>""</f>
        <v/>
      </c>
      <c r="I47" s="102" t="str">
        <f t="shared" ca="1" si="4"/>
        <v/>
      </c>
      <c r="J47" s="102" t="str">
        <f t="shared" ca="1" si="5"/>
        <v/>
      </c>
      <c r="K47" s="106" t="str" cm="1">
        <f t="array" aca="1" ref="K47" ca="1">_xlfn.LET(_xlpm._value,IF($A47="","",IFERROR(IF($M47,SimpleLookup($A47,Assumptions!$A:$T),SimpleLookup($A47,Countermeasures!$A:$T)),"")),
IF(_xlpm._value="","",_xlpm._value))</f>
        <v/>
      </c>
      <c r="L47" s="9" cm="1">
        <f t="array" aca="1" ref="L47" ca="1">CreateID($L$17,$A47&lt;&gt;"")</f>
        <v>11</v>
      </c>
      <c r="M47" s="9" t="b">
        <f ca="1">_xlfn.LET(_xlpm._row,ROW()-ROW($N$17),
_xlpm._numActiveAssumptions,Helper!$B$8,
_xlpm._numAdditionalAssumptions,SUM(Table24['# Elements]),
_xlpm._row&lt;=_xlpm._numActiveAssumptions+_xlpm._numAdditionalAssumptions)</f>
        <v>0</v>
      </c>
      <c r="N47" s="9">
        <f ca="1">_xlfn.LET(_xlpm._row,ROW()-ROW($N$17),
_xlpm._numActiveAssumptions,Helper!$B$8,
_xlpm._numAdditionalAssumptions,Helper!$B$10,
_xlpm._isAssumption,$M47,
_xlpm._elementID,IF(_xlpm._isAssumption,_xlpm._row,_xlpm._row-_xlpm._numActiveAssumptions-_xlpm._numAdditionalAssumptions),
_xlpm._elementID)</f>
        <v>26</v>
      </c>
      <c r="O47"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47" s="11" cm="1">
        <f t="array" aca="1" ref="P47" ca="1">IF($O47,
IF(ROW()=ROW($P$17)+1,1,INDEX($P:$P,ROW()-1)+IF(INDEX($W:$W,ROW()-1),1,0)),
1)</f>
        <v>1</v>
      </c>
      <c r="Q47" s="11" t="str" cm="1">
        <f t="array" aca="1" ref="Q47" ca="1">IF($O47=TRUE,
_xlfn.LET(
_xlpm._isAssumption,$M47,
_xlpm._indexRange,IF(_xlpm._isAssumption,Table24['# Elements],Table25['# Elements]),
_xlpm._lookupRow,$Z47,
INDEX(_xlpm._indexRange,_xlpm._lookupRow)),
"")</f>
        <v/>
      </c>
      <c r="R47" s="11" t="str" cm="1">
        <f t="array" aca="1" ref="R47" ca="1">IF($Q47="","",_xlfn.LET(
_xlpm._prevRow,ROW()-1,
IF(OR(INDEX($Q:$Q,_xlpm._prevRow)&lt;&gt;$Q47,INDEX($P:$P,_xlpm._prevRow)&lt;&gt;$P47),
1,
INDEX($R:$R,_xlpm._prevRow)+IF(INDEX($V:$V,_xlpm._prevRow),1,0))))</f>
        <v/>
      </c>
      <c r="S47" s="11" t="str" cm="1">
        <f t="array" aca="1" ref="S47" ca="1">IF($R47="","",_xlfn.LET(
_xlpm._isAssumption,$M47,
_xlpm._sheetRow,$Z47,
_xlpm._sheetName,$AA47,
_xlpm._elementIDRange,IF(_xlpm._isAssumption,Table24[Element ID Column],Table25[Element ID Column]),
_xlpm._numberOfElementsRange,IF(_xlpm._isAssumption,Table24[Number of Elements Column],Table25[Number of Elements Column]),
SimpleLookup($R47,INDIRECT("'"&amp;_xlpm._sheetName&amp;"'!"&amp;INDEX(_xlpm._elementIDRange,_xlpm._sheetRow)&amp;":"&amp;INDEX(_xlpm._numberOfElementsRange,_xlpm._sheetRow)))))</f>
        <v/>
      </c>
      <c r="T47" s="11" t="str" cm="1">
        <f t="array" aca="1" ref="T47" ca="1">IF($R47="","",IF(OR(INDEX($R:$R,ROW()-1)&lt;&gt;$R47,INDEX($P:$P,ROW()-1)&lt;&gt;$P47),1,INDEX($T:$T,ROW()-1)+1))</f>
        <v/>
      </c>
      <c r="U47" s="11">
        <f t="shared" ca="1" si="6"/>
        <v>0</v>
      </c>
      <c r="V47" s="11" t="str">
        <f t="shared" ca="1" si="7"/>
        <v/>
      </c>
      <c r="W47" s="11" t="b">
        <f ca="1">_xlfn.LET(
_xlpm._isAssumption,$M47,
_xlpm._numberOfElementsRange,IF(_xlpm._isAssumption,Table24['# Elements],Table25['# Elements]),
_xlpm._sheetRow,$Z47,
IF($O47,AND($V47,$U47=$Q47),FALSE))</f>
        <v>0</v>
      </c>
      <c r="X47" s="11" t="str" cm="1">
        <f t="array" aca="1" ref="X47" ca="1">IF($O47,
_xlfn.LET(
_xlpm._elementID,$R47,
_xlpm._isAssumption,$M47,
_xlpm._sheetRow,$Z47,
_xlpm._sheetName,$AA47,
_xlpm._elementRow,$AB47,
_xlpm._resultColumnLetter,IF(_xlpm._isAssumption,INDEX(Table24[Comment Column],_xlpm._sheetRow),INDEX(Table25[Comment Column],_xlpm._sheetRow)),
INDEX(INDIRECT("'"&amp;_xlpm._sheetName&amp;"'!"&amp;_xlpm._resultColumnLetter&amp;":"&amp;_xlpm._resultColumnLetter),_xlpm._elementRow)),
"")</f>
        <v/>
      </c>
      <c r="Y47" s="11" t="str" cm="1">
        <f t="array" aca="1" ref="Y47" ca="1">IF($O47,
_xlfn.LET(
_xlpm._elementID,$R47,
_xlpm._isAssumption,$M47,
_xlpm._sheetRow,$Z47,
_xlpm._sheetName,$AA47,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47" s="11" t="str">
        <f ca="1">IF($O47=TRUE,
_xlfn.LET(
_xlpm._isAssumption,$M47,
_xlpm._searchRange,IF(_xlpm._isAssumption,Table24[Task Sheet Shadow ID],Table25[Task Sheet Shadow ID]),
MATCH($P47,_xlpm._searchRange,0)),
"")</f>
        <v/>
      </c>
      <c r="AA47" s="11" t="str" cm="1">
        <f t="array" aca="1" ref="AA47" ca="1">IF($O47,
_xlfn.LET(
_xlpm._isAssumption,$M47,
_xlpm._sheetRow,$Z47,
IF(_xlpm._isAssumption,INDEX(Table24[Sheet Name],_xlpm._sheetRow),INDEX(Table25[Sheet Name],_xlpm._sheetRow))),
"")</f>
        <v/>
      </c>
      <c r="AB47" s="11" t="str" cm="1">
        <f t="array" aca="1" ref="AB47" ca="1">IF($O47,
_xlfn.LET(
_xlpm._elementID,$R47,
_xlpm._isAssumption,$M47,
_xlpm._sheetRow,$Z47,
_xlpm._sheetName,$AA47,
_xlpm._elementIDColumnLetter,IF(_xlpm._isAssumption,INDEX(Table24[Element ID Column],_xlpm._sheetRow),INDEX(Table25[Element ID Column],_xlpm._sheetRow)),
MATCH(_xlpm._elementID,INDIRECT("'"&amp;_xlpm._sheetName&amp;"'!"&amp;_xlpm._elementIDColumnLetter&amp;":"&amp;_xlpm._elementIDColumnLetter),0)),
"")</f>
        <v/>
      </c>
      <c r="AC47" s="11" t="str" cm="1">
        <f t="array" aca="1" ref="AC47" ca="1">IF($A47="","",_xlfn.LET(
_xlpm._isAssumption,$M47,
_xlpm._isAdditionalElement,$O47,
_xlpm._sheetRow,$Z47,
_xlpm._sheetName,$AA47,
_xlpm._columnLetter,INDEX(IF(_xlpm._isAdditionalElement,Table24[Comment Column],Table25[Comment Column]),_xlpm._sheetRow),
_xlpm._sheetReference,IF(_xlpm._isAssumption,IF(_xlpm._isAdditionalElement,
CELL("address",INDEX(INDIRECT("'"&amp;_xlpm._sheetName&amp;"'!"&amp;_xlpm._columnLetter&amp;":"&amp;_xlpm._columnLetter),$AB47)),
CELL("address",INDEX(Assumptions!$A:$A,MATCH($A47,Assumptions!$A:$A,0),1))),
IF(_xlpm._isAdditionalElement,
CELL("address",INDEX(INDIRECT("'"&amp;_xlpm._sheetName&amp;"'!"&amp;_xlpm._columnLetter&amp;":"&amp;_xlpm._columnLetter),$AB47)),
CELL("address",INDEX(Countermeasures!$A:$A,MATCH($A47,Countermeasures!$A:$A,0),1)))),
_xlpm._start,FIND("]",_xlpm._sheetReference),
"'"&amp;SUBSTITUTE(SUBSTITUTE(RIGHT(_xlpm._sheetReference,LEN(_xlpm._sheetReference)-_xlpm._start),"'",""),"!","'!")))</f>
        <v/>
      </c>
      <c r="AD47" s="11" t="str" cm="1">
        <f t="array" aca="1" ref="AD47" ca="1">IF(NOT($O47),
_xlfn.LET(_xlpm._value,IF($A47="","",IF($M47,SimpleLookup($A47,Assumptions!$A:$AG),SimpleLookup($A47,Countermeasures!$A:$AJ))),
IF(_xlpm._value="","",_xlpm._value)),
"")</f>
        <v/>
      </c>
      <c r="AE47" s="11" t="str" cm="1">
        <f t="array" aca="1" ref="AE47" ca="1">LookupNames(InverseLookup($A47,Mitigation!$AD$2,Mitigation!$A$2,1,Helper!$B$5,","),'Attack Steps'!$A:$B)</f>
        <v/>
      </c>
      <c r="AF47" s="11" t="str" cm="1">
        <f t="array" aca="1" ref="AF47" ca="1">IF($O47,
_xlfn.LET(
_xlpm._in,$A47,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47" s="11" t="str" cm="1">
        <f t="array" aca="1" ref="AG47" ca="1">_xlfn.LET(
_xlpm._countermeasures,InverseLookup($A47,Countermeasures!$AC$2,Countermeasures!$A$2,1,Helper!$B$4,","),
LookupNames(_xlpm._countermeasures,Countermeasures!$A:$B))</f>
        <v/>
      </c>
      <c r="AH47" s="11" t="str" cm="1">
        <f t="array" aca="1" ref="AH47" ca="1">IF($E47="","",_xlfn.LET(
_xlpm._id,$E47,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47" s="11" t="str" cm="1">
        <f t="array" aca="1" ref="AI47" ca="1">IF(OR($A47="",$O47),"",_xlfn.LET(
_xlpm._answers,IF($M47,SimpleLookup($A47,Assumptions!$A:$F),SimpleLookup($A47,Countermeasures!$A:$D)),
IF(_xlpm._answers="*",IF($M47,SimpleLookup($A47,Assumptions!$A:$C),SimpleLookup($A47,Countermeasures!$A:$C)),"")))</f>
        <v/>
      </c>
      <c r="AJ47" s="11" t="str" cm="1">
        <f t="array" aca="1" ref="AJ47" ca="1">IF(NOT($O47),"",_xlfn.LET(
_xlpm._mappedInMitigation,IFERROR(VLOOKUP($Y47,'Attack Steps'!$A:$P,COLUMNS('Attack Steps'!$A:$P),FALSE),""),
CreateSearchString(_xlpm._mappedInMitigation)))</f>
        <v/>
      </c>
      <c r="AK47" s="11" t="b">
        <f ca="1">ROW()-ROW($AK$17)=Helper!$B$15</f>
        <v>0</v>
      </c>
      <c r="AL47" s="11" t="str">
        <f t="shared" ca="1" si="8"/>
        <v/>
      </c>
      <c r="AM47" s="11" cm="1">
        <f t="array" aca="1" ref="AM47" ca="1">CreateID($AM$17,$AL47&lt;&gt;"")</f>
        <v>0</v>
      </c>
      <c r="AN47" s="11" t="str" cm="1">
        <f t="array" aca="1" ref="AN47" ca="1">IF($O47,"",
_xlfn.LET(
_xlpm._this,SanitizeInput($A47)&amp;AT47,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47" s="11" t="str" cm="1">
        <f t="array" aca="1" ref="AO47" ca="1">IF($O47,"",_xlfn.LET(
_xlpm._listOfRisksAndLevels,SanitizeInput($AN47),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_xlpm._shortenedList,IF($H47="",_xlpm._risksWithMaxValue,
  IF(LEN(_xlpm._risksWithMaxValue)-LEN(SUBSTITUTE(_xlpm._risksWithMaxValue,",",""))&lt;=$H47,_xlpm._risksWithMaxValue,
    LEFT(_xlpm._risksWithMaxValue,FIND(CHAR(1),SUBSTITUTE(_xlpm._risksWithMaxValue,",",CHAR(1),$H47))))),
IF(_xlpm._maxRiskValue="","",
  _xlpm._lineMainSeparator&amp;
  INDEX(Definitions!$AE:$AE,MATCH(_xlpm._maxRiskValue,Definitions!$AF:$AF,0))&amp;CHAR(10)&amp;
  _xlpm._lineMainSeparator&amp;
  RemoveDelimiter(GetValues(_xlpm._shortenedList,Risks!$A:$B," ",CHAR(10)&amp;_xlpm._lineMainSeparator,TRUE),CHAR(10)&amp;_xlpm._lineMainSeparator))))</f>
        <v/>
      </c>
      <c r="AP47" s="11" t="str" cm="1">
        <f t="array" aca="1" ref="AP47" ca="1">IF($O47,"",_xlfn.LET(
_xlpm._lineMainSeparator,REPT(_xlfn.UNICHAR(9552),63)&amp;CHAR(10),
_xlpm._affectedRisks,InverseLookupList(SanitizeInput($A47)&amp;$AT47,Risks!$AX$2,Risks!$A$2,Helper!$B$1,","),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_xlpm._shortenedList,IF($H47="",_xlpm._risksWithMaxValue,
  IF(LEN(_xlpm._risksWithMaxValue)-LEN(SUBSTITUTE(_xlpm._risksWithMaxValue,",",""))&lt;=$H47,_xlpm._risksWithMaxValue,
    LEFT(_xlpm._risksWithMaxValue,FIND(CHAR(1),SUBSTITUTE(_xlpm._risksWithMaxValue,",",CHAR(1),$H47))))),
IF(_xlpm._maxRiskValue="","",
  _xlpm._lineMainSeparator&amp;
  INDEX(Definitions!$AE:$AE,MATCH(_xlpm._maxRiskValue,Definitions!$AF:$AF,0))&amp;CHAR(10)&amp;
  _xlpm._lineMainSeparator&amp;
  RemoveDelimiter(GetValues(_xlpm._shortenedList,Risks!$A:$B," ",CHAR(10)&amp;_xlpm._lineMainSeparator,TRUE),CHAR(10)&amp;_xlpm._lineMainSeparator))))</f>
        <v/>
      </c>
      <c r="AQ47" s="11" t="str" cm="1">
        <f t="array" aca="1" ref="AQ47" ca="1">IF(NOT($O47),"",
_xlfn.LET(
_xlpm._potentialASID,$Y47,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_xlpm._commentsFiltered,SUBSTITUTE(GetValues(_xlpm._attackSteps,Mitigation!$A:$O,"","",FALSE),$X47,""),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47" s="11" t="str" cm="1">
        <f t="array" aca="1" ref="AR47" ca="1">IF(NOT($O47),"",_xlfn.LET(
_xlpm._listOfRisksAndLevels,SanitizeInput($AQ47),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_xlpm._shortenedList,IF($H47="",_xlpm._risksWithMaxValue,
  IF(LEN(_xlpm._risksWithMaxValue)-LEN(SUBSTITUTE(_xlpm._risksWithMaxValue,",",""))&lt;=$H47,_xlpm._risksWithMaxValue,
    LEFT(_xlpm._risksWithMaxValue,FIND(CHAR(1),SUBSTITUTE(_xlpm._risksWithMaxValue,",",CHAR(1),$H47))))),
IF(_xlpm._maxRiskValue="","",
  _xlpm._lineMainSeparator&amp;
  INDEX(Definitions!$AE:$AE,MATCH(_xlpm._maxRiskValue,Definitions!$AF:$AF,0))&amp;CHAR(10)&amp;
  _xlpm._lineMainSeparator&amp;
  RemoveDelimiter(GetValues(_xlpm._shortenedList,Risks!$A:$B," ",CHAR(10)&amp;_xlpm._lineMainSeparator,TRUE),CHAR(10)&amp;_xlpm._lineMainSeparator))))</f>
        <v/>
      </c>
      <c r="AS47" s="11" t="str" cm="1">
        <f t="array" aca="1" ref="AS47" ca="1">IF(NOT($O47),"",
_xlfn.LET(
_xlpm._lineMainSeparator,REPT(_xlfn.UNICHAR(9552),63)&amp;CHAR(10),
_xlpm._potentialASID,$Y47,
_xlpm._risk,IFERROR(SimpleLookup(_xlpm._potentialASID,Mitigation!$A:$N),""),
_xlpm._attackPaths,IFERROR(SimpleLookup(_xlpm._potentialASID,Mitigation!$A:$M),""),
IF(_xlpm._risk="","",
_xlpm._lineMainSeparator&amp;
_xlpm._risk&amp;CHAR(10)&amp;
_xlpm._lineMainSeparator&amp;
_xlpm._attackPaths)))</f>
        <v/>
      </c>
      <c r="AT47" s="11" t="str" cm="1">
        <f t="array" aca="1" ref="AT47" ca="1">InverseLookup($A47,Countermeasures!$AA$2,Countermeasures!$A$2,1,Helper!$B$4,",")</f>
        <v/>
      </c>
    </row>
    <row r="48" spans="1:47" x14ac:dyDescent="0.25">
      <c r="A48" s="106" t="str">
        <f ca="1">_xlfn.LET(
_xlpm._isAssumption,$M48,
_xlpm._row,$N48,
_xlpm._numActiveAssumptions,Helper!$B$8,
_xlpm._numActiveCountermeasures,Helper!$B$9,
_xlpm._numAdditionalAssumptions,Helper!$B$10,
_xlpm._numAdditionalCountermeasures,Helper!$B$11,
IF(_xlpm._isAssumption,
IF(_xlpm._row&gt;_xlpm._numActiveAssumptions,
$Y48&amp;"-A"&amp;$T48,
INDEX(Assumptions!A:A,MATCH(_xlpm._row,Assumptions!$AC:$AC,0))),
IF(_xlpm._row&gt;_xlpm._numActiveCountermeasures+_xlpm._numAdditionalCountermeasures,"",
IF(_xlpm._row&gt;_xlpm._numActiveCountermeasures,
$Y48&amp;"-C"&amp;$T48,
INDEX(Countermeasures!$A:$A,MATCH(_xlpm._row,Countermeasures!$AE:$AE,0))))))</f>
        <v/>
      </c>
      <c r="B48" s="106" t="str" cm="1">
        <f t="array" aca="1" ref="B48" ca="1">IF($A48="","",
_xlfn.LET(
_xlpm._isAssumption,$M48,
_xlpm._isAdditionalElement,$O48,
IF(_xlpm._isAdditionalElement,
IF(_xlpm._isAssumption,
ParseElementsFromComment($X48,Definitions!$AR$4,Definitions!$AS$4,Definitions!$AR$6,$T48),
ParseElementsFromComment($X48,Definitions!$AR$5,Definitions!$AS$5,Definitions!$AR$6,$T48)),
_xlfn.LET(_xlpm._value,IF($A48="","",IF($M48,SimpleLookup($A48,Assumptions!$A:$B),SimpleLookup($A48,Countermeasures!$A:$B))),IF(_xlpm._value="","",_xlpm._value)))))</f>
        <v/>
      </c>
      <c r="C48" s="106" t="str" cm="1">
        <f t="array" aca="1" ref="C48" ca="1">IF($A48="","",IF($M48,IFERROR(SimpleLookup($A48,Assumptions!$A:$E),""),Definitions!$AO$4))</f>
        <v/>
      </c>
      <c r="D48" s="103" t="str">
        <f t="shared" ca="1" si="2"/>
        <v/>
      </c>
      <c r="E48" s="107"/>
      <c r="F48" s="108" t="str">
        <f t="shared" ca="1" si="3"/>
        <v/>
      </c>
      <c r="G48" s="102" t="str" cm="1">
        <f t="array" aca="1" ref="G48" ca="1">_xlfn.LET(_xlpm._val,IFERROR(SimpleLookup($A48,Countermeasures!$A:$S),IFERROR(SimpleLookup($A48,Assumptions!$A:$S),"")),IF(_xlpm._val="","",_xlpm._val))</f>
        <v/>
      </c>
      <c r="H48" s="109" t="str">
        <f>""</f>
        <v/>
      </c>
      <c r="I48" s="102" t="str">
        <f t="shared" ca="1" si="4"/>
        <v/>
      </c>
      <c r="J48" s="102" t="str">
        <f t="shared" ca="1" si="5"/>
        <v/>
      </c>
      <c r="K48" s="106" t="str" cm="1">
        <f t="array" aca="1" ref="K48" ca="1">_xlfn.LET(_xlpm._value,IF($A48="","",IFERROR(IF($M48,SimpleLookup($A48,Assumptions!$A:$T),SimpleLookup($A48,Countermeasures!$A:$T)),"")),
IF(_xlpm._value="","",_xlpm._value))</f>
        <v/>
      </c>
      <c r="L48" s="9" cm="1">
        <f t="array" aca="1" ref="L48" ca="1">CreateID($L$17,$A48&lt;&gt;"")</f>
        <v>11</v>
      </c>
      <c r="M48" s="9" t="b">
        <f ca="1">_xlfn.LET(_xlpm._row,ROW()-ROW($N$17),
_xlpm._numActiveAssumptions,Helper!$B$8,
_xlpm._numAdditionalAssumptions,SUM(Table24['# Elements]),
_xlpm._row&lt;=_xlpm._numActiveAssumptions+_xlpm._numAdditionalAssumptions)</f>
        <v>0</v>
      </c>
      <c r="N48" s="9">
        <f ca="1">_xlfn.LET(_xlpm._row,ROW()-ROW($N$17),
_xlpm._numActiveAssumptions,Helper!$B$8,
_xlpm._numAdditionalAssumptions,Helper!$B$10,
_xlpm._isAssumption,$M48,
_xlpm._elementID,IF(_xlpm._isAssumption,_xlpm._row,_xlpm._row-_xlpm._numActiveAssumptions-_xlpm._numAdditionalAssumptions),
_xlpm._elementID)</f>
        <v>27</v>
      </c>
      <c r="O48"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48" s="11" cm="1">
        <f t="array" aca="1" ref="P48" ca="1">IF($O48,
IF(ROW()=ROW($P$17)+1,1,INDEX($P:$P,ROW()-1)+IF(INDEX($W:$W,ROW()-1),1,0)),
1)</f>
        <v>1</v>
      </c>
      <c r="Q48" s="11" t="str" cm="1">
        <f t="array" aca="1" ref="Q48" ca="1">IF($O48=TRUE,
_xlfn.LET(
_xlpm._isAssumption,$M48,
_xlpm._indexRange,IF(_xlpm._isAssumption,Table24['# Elements],Table25['# Elements]),
_xlpm._lookupRow,$Z48,
INDEX(_xlpm._indexRange,_xlpm._lookupRow)),
"")</f>
        <v/>
      </c>
      <c r="R48" s="11" t="str" cm="1">
        <f t="array" aca="1" ref="R48" ca="1">IF($Q48="","",_xlfn.LET(
_xlpm._prevRow,ROW()-1,
IF(OR(INDEX($Q:$Q,_xlpm._prevRow)&lt;&gt;$Q48,INDEX($P:$P,_xlpm._prevRow)&lt;&gt;$P48),
1,
INDEX($R:$R,_xlpm._prevRow)+IF(INDEX($V:$V,_xlpm._prevRow),1,0))))</f>
        <v/>
      </c>
      <c r="S48" s="11" t="str" cm="1">
        <f t="array" aca="1" ref="S48" ca="1">IF($R48="","",_xlfn.LET(
_xlpm._isAssumption,$M48,
_xlpm._sheetRow,$Z48,
_xlpm._sheetName,$AA48,
_xlpm._elementIDRange,IF(_xlpm._isAssumption,Table24[Element ID Column],Table25[Element ID Column]),
_xlpm._numberOfElementsRange,IF(_xlpm._isAssumption,Table24[Number of Elements Column],Table25[Number of Elements Column]),
SimpleLookup($R48,INDIRECT("'"&amp;_xlpm._sheetName&amp;"'!"&amp;INDEX(_xlpm._elementIDRange,_xlpm._sheetRow)&amp;":"&amp;INDEX(_xlpm._numberOfElementsRange,_xlpm._sheetRow)))))</f>
        <v/>
      </c>
      <c r="T48" s="11" t="str" cm="1">
        <f t="array" aca="1" ref="T48" ca="1">IF($R48="","",IF(OR(INDEX($R:$R,ROW()-1)&lt;&gt;$R48,INDEX($P:$P,ROW()-1)&lt;&gt;$P48),1,INDEX($T:$T,ROW()-1)+1))</f>
        <v/>
      </c>
      <c r="U48" s="11">
        <f t="shared" ca="1" si="6"/>
        <v>0</v>
      </c>
      <c r="V48" s="11" t="str">
        <f t="shared" ca="1" si="7"/>
        <v/>
      </c>
      <c r="W48" s="11" t="b">
        <f ca="1">_xlfn.LET(
_xlpm._isAssumption,$M48,
_xlpm._numberOfElementsRange,IF(_xlpm._isAssumption,Table24['# Elements],Table25['# Elements]),
_xlpm._sheetRow,$Z48,
IF($O48,AND($V48,$U48=$Q48),FALSE))</f>
        <v>0</v>
      </c>
      <c r="X48" s="11" t="str" cm="1">
        <f t="array" aca="1" ref="X48" ca="1">IF($O48,
_xlfn.LET(
_xlpm._elementID,$R48,
_xlpm._isAssumption,$M48,
_xlpm._sheetRow,$Z48,
_xlpm._sheetName,$AA48,
_xlpm._elementRow,$AB48,
_xlpm._resultColumnLetter,IF(_xlpm._isAssumption,INDEX(Table24[Comment Column],_xlpm._sheetRow),INDEX(Table25[Comment Column],_xlpm._sheetRow)),
INDEX(INDIRECT("'"&amp;_xlpm._sheetName&amp;"'!"&amp;_xlpm._resultColumnLetter&amp;":"&amp;_xlpm._resultColumnLetter),_xlpm._elementRow)),
"")</f>
        <v/>
      </c>
      <c r="Y48" s="11" t="str" cm="1">
        <f t="array" aca="1" ref="Y48" ca="1">IF($O48,
_xlfn.LET(
_xlpm._elementID,$R48,
_xlpm._isAssumption,$M48,
_xlpm._sheetRow,$Z48,
_xlpm._sheetName,$AA48,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48" s="11" t="str">
        <f ca="1">IF($O48=TRUE,
_xlfn.LET(
_xlpm._isAssumption,$M48,
_xlpm._searchRange,IF(_xlpm._isAssumption,Table24[Task Sheet Shadow ID],Table25[Task Sheet Shadow ID]),
MATCH($P48,_xlpm._searchRange,0)),
"")</f>
        <v/>
      </c>
      <c r="AA48" s="11" t="str" cm="1">
        <f t="array" aca="1" ref="AA48" ca="1">IF($O48,
_xlfn.LET(
_xlpm._isAssumption,$M48,
_xlpm._sheetRow,$Z48,
IF(_xlpm._isAssumption,INDEX(Table24[Sheet Name],_xlpm._sheetRow),INDEX(Table25[Sheet Name],_xlpm._sheetRow))),
"")</f>
        <v/>
      </c>
      <c r="AB48" s="11" t="str" cm="1">
        <f t="array" aca="1" ref="AB48" ca="1">IF($O48,
_xlfn.LET(
_xlpm._elementID,$R48,
_xlpm._isAssumption,$M48,
_xlpm._sheetRow,$Z48,
_xlpm._sheetName,$AA48,
_xlpm._elementIDColumnLetter,IF(_xlpm._isAssumption,INDEX(Table24[Element ID Column],_xlpm._sheetRow),INDEX(Table25[Element ID Column],_xlpm._sheetRow)),
MATCH(_xlpm._elementID,INDIRECT("'"&amp;_xlpm._sheetName&amp;"'!"&amp;_xlpm._elementIDColumnLetter&amp;":"&amp;_xlpm._elementIDColumnLetter),0)),
"")</f>
        <v/>
      </c>
      <c r="AC48" s="11" t="str" cm="1">
        <f t="array" aca="1" ref="AC48" ca="1">IF($A48="","",_xlfn.LET(
_xlpm._isAssumption,$M48,
_xlpm._isAdditionalElement,$O48,
_xlpm._sheetRow,$Z48,
_xlpm._sheetName,$AA48,
_xlpm._columnLetter,INDEX(IF(_xlpm._isAdditionalElement,Table24[Comment Column],Table25[Comment Column]),_xlpm._sheetRow),
_xlpm._sheetReference,IF(_xlpm._isAssumption,IF(_xlpm._isAdditionalElement,
CELL("address",INDEX(INDIRECT("'"&amp;_xlpm._sheetName&amp;"'!"&amp;_xlpm._columnLetter&amp;":"&amp;_xlpm._columnLetter),$AB48)),
CELL("address",INDEX(Assumptions!$A:$A,MATCH($A48,Assumptions!$A:$A,0),1))),
IF(_xlpm._isAdditionalElement,
CELL("address",INDEX(INDIRECT("'"&amp;_xlpm._sheetName&amp;"'!"&amp;_xlpm._columnLetter&amp;":"&amp;_xlpm._columnLetter),$AB48)),
CELL("address",INDEX(Countermeasures!$A:$A,MATCH($A48,Countermeasures!$A:$A,0),1)))),
_xlpm._start,FIND("]",_xlpm._sheetReference),
"'"&amp;SUBSTITUTE(SUBSTITUTE(RIGHT(_xlpm._sheetReference,LEN(_xlpm._sheetReference)-_xlpm._start),"'",""),"!","'!")))</f>
        <v/>
      </c>
      <c r="AD48" s="11" t="str" cm="1">
        <f t="array" aca="1" ref="AD48" ca="1">IF(NOT($O48),
_xlfn.LET(_xlpm._value,IF($A48="","",IF($M48,SimpleLookup($A48,Assumptions!$A:$AG),SimpleLookup($A48,Countermeasures!$A:$AJ))),
IF(_xlpm._value="","",_xlpm._value)),
"")</f>
        <v/>
      </c>
      <c r="AE48" s="11" t="str" cm="1">
        <f t="array" aca="1" ref="AE48" ca="1">LookupNames(InverseLookup($A48,Mitigation!$AD$2,Mitigation!$A$2,1,Helper!$B$5,","),'Attack Steps'!$A:$B)</f>
        <v/>
      </c>
      <c r="AF48" s="11" t="str" cm="1">
        <f t="array" aca="1" ref="AF48" ca="1">IF($O48,
_xlfn.LET(
_xlpm._in,$A48,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48" s="11" t="str" cm="1">
        <f t="array" aca="1" ref="AG48" ca="1">_xlfn.LET(
_xlpm._countermeasures,InverseLookup($A48,Countermeasures!$AC$2,Countermeasures!$A$2,1,Helper!$B$4,","),
LookupNames(_xlpm._countermeasures,Countermeasures!$A:$B))</f>
        <v/>
      </c>
      <c r="AH48" s="11" t="str" cm="1">
        <f t="array" aca="1" ref="AH48" ca="1">IF($E48="","",_xlfn.LET(
_xlpm._id,$E48,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48" s="11" t="str" cm="1">
        <f t="array" aca="1" ref="AI48" ca="1">IF(OR($A48="",$O48),"",_xlfn.LET(
_xlpm._answers,IF($M48,SimpleLookup($A48,Assumptions!$A:$F),SimpleLookup($A48,Countermeasures!$A:$D)),
IF(_xlpm._answers="*",IF($M48,SimpleLookup($A48,Assumptions!$A:$C),SimpleLookup($A48,Countermeasures!$A:$C)),"")))</f>
        <v/>
      </c>
      <c r="AJ48" s="11" t="str" cm="1">
        <f t="array" aca="1" ref="AJ48" ca="1">IF(NOT($O48),"",_xlfn.LET(
_xlpm._mappedInMitigation,IFERROR(VLOOKUP($Y48,'Attack Steps'!$A:$P,COLUMNS('Attack Steps'!$A:$P),FALSE),""),
CreateSearchString(_xlpm._mappedInMitigation)))</f>
        <v/>
      </c>
      <c r="AK48" s="11" t="b">
        <f ca="1">ROW()-ROW($AK$17)=Helper!$B$15</f>
        <v>0</v>
      </c>
      <c r="AL48" s="11" t="str">
        <f t="shared" ca="1" si="8"/>
        <v/>
      </c>
      <c r="AM48" s="11" cm="1">
        <f t="array" aca="1" ref="AM48" ca="1">CreateID($AM$17,$AL48&lt;&gt;"")</f>
        <v>0</v>
      </c>
      <c r="AN48" s="11" t="str" cm="1">
        <f t="array" aca="1" ref="AN48" ca="1">IF($O48,"",
_xlfn.LET(
_xlpm._this,SanitizeInput($A48)&amp;AT48,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48" s="11" t="str" cm="1">
        <f t="array" aca="1" ref="AO48" ca="1">IF($O48,"",_xlfn.LET(
_xlpm._listOfRisksAndLevels,SanitizeInput($AN48),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_xlpm._shortenedList,IF($H48="",_xlpm._risksWithMaxValue,
  IF(LEN(_xlpm._risksWithMaxValue)-LEN(SUBSTITUTE(_xlpm._risksWithMaxValue,",",""))&lt;=$H48,_xlpm._risksWithMaxValue,
    LEFT(_xlpm._risksWithMaxValue,FIND(CHAR(1),SUBSTITUTE(_xlpm._risksWithMaxValue,",",CHAR(1),$H48))))),
IF(_xlpm._maxRiskValue="","",
  _xlpm._lineMainSeparator&amp;
  INDEX(Definitions!$AE:$AE,MATCH(_xlpm._maxRiskValue,Definitions!$AF:$AF,0))&amp;CHAR(10)&amp;
  _xlpm._lineMainSeparator&amp;
  RemoveDelimiter(GetValues(_xlpm._shortenedList,Risks!$A:$B," ",CHAR(10)&amp;_xlpm._lineMainSeparator,TRUE),CHAR(10)&amp;_xlpm._lineMainSeparator))))</f>
        <v/>
      </c>
      <c r="AP48" s="11" t="str" cm="1">
        <f t="array" aca="1" ref="AP48" ca="1">IF($O48,"",_xlfn.LET(
_xlpm._lineMainSeparator,REPT(_xlfn.UNICHAR(9552),63)&amp;CHAR(10),
_xlpm._affectedRisks,InverseLookupList(SanitizeInput($A48)&amp;$AT48,Risks!$AX$2,Risks!$A$2,Helper!$B$1,","),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_xlpm._shortenedList,IF($H48="",_xlpm._risksWithMaxValue,
  IF(LEN(_xlpm._risksWithMaxValue)-LEN(SUBSTITUTE(_xlpm._risksWithMaxValue,",",""))&lt;=$H48,_xlpm._risksWithMaxValue,
    LEFT(_xlpm._risksWithMaxValue,FIND(CHAR(1),SUBSTITUTE(_xlpm._risksWithMaxValue,",",CHAR(1),$H48))))),
IF(_xlpm._maxRiskValue="","",
  _xlpm._lineMainSeparator&amp;
  INDEX(Definitions!$AE:$AE,MATCH(_xlpm._maxRiskValue,Definitions!$AF:$AF,0))&amp;CHAR(10)&amp;
  _xlpm._lineMainSeparator&amp;
  RemoveDelimiter(GetValues(_xlpm._shortenedList,Risks!$A:$B," ",CHAR(10)&amp;_xlpm._lineMainSeparator,TRUE),CHAR(10)&amp;_xlpm._lineMainSeparator))))</f>
        <v/>
      </c>
      <c r="AQ48" s="11" t="str" cm="1">
        <f t="array" aca="1" ref="AQ48" ca="1">IF(NOT($O48),"",
_xlfn.LET(
_xlpm._potentialASID,$Y48,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_xlpm._commentsFiltered,SUBSTITUTE(GetValues(_xlpm._attackSteps,Mitigation!$A:$O,"","",FALSE),$X48,""),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48" s="11" t="str" cm="1">
        <f t="array" aca="1" ref="AR48" ca="1">IF(NOT($O48),"",_xlfn.LET(
_xlpm._listOfRisksAndLevels,SanitizeInput($AQ48),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_xlpm._shortenedList,IF($H48="",_xlpm._risksWithMaxValue,
  IF(LEN(_xlpm._risksWithMaxValue)-LEN(SUBSTITUTE(_xlpm._risksWithMaxValue,",",""))&lt;=$H48,_xlpm._risksWithMaxValue,
    LEFT(_xlpm._risksWithMaxValue,FIND(CHAR(1),SUBSTITUTE(_xlpm._risksWithMaxValue,",",CHAR(1),$H48))))),
IF(_xlpm._maxRiskValue="","",
  _xlpm._lineMainSeparator&amp;
  INDEX(Definitions!$AE:$AE,MATCH(_xlpm._maxRiskValue,Definitions!$AF:$AF,0))&amp;CHAR(10)&amp;
  _xlpm._lineMainSeparator&amp;
  RemoveDelimiter(GetValues(_xlpm._shortenedList,Risks!$A:$B," ",CHAR(10)&amp;_xlpm._lineMainSeparator,TRUE),CHAR(10)&amp;_xlpm._lineMainSeparator))))</f>
        <v/>
      </c>
      <c r="AS48" s="11" t="str" cm="1">
        <f t="array" aca="1" ref="AS48" ca="1">IF(NOT($O48),"",
_xlfn.LET(
_xlpm._lineMainSeparator,REPT(_xlfn.UNICHAR(9552),63)&amp;CHAR(10),
_xlpm._potentialASID,$Y48,
_xlpm._risk,IFERROR(SimpleLookup(_xlpm._potentialASID,Mitigation!$A:$N),""),
_xlpm._attackPaths,IFERROR(SimpleLookup(_xlpm._potentialASID,Mitigation!$A:$M),""),
IF(_xlpm._risk="","",
_xlpm._lineMainSeparator&amp;
_xlpm._risk&amp;CHAR(10)&amp;
_xlpm._lineMainSeparator&amp;
_xlpm._attackPaths)))</f>
        <v/>
      </c>
      <c r="AT48" s="11" t="str" cm="1">
        <f t="array" aca="1" ref="AT48" ca="1">InverseLookup($A48,Countermeasures!$AA$2,Countermeasures!$A$2,1,Helper!$B$4,",")</f>
        <v/>
      </c>
    </row>
    <row r="49" spans="1:46" x14ac:dyDescent="0.25">
      <c r="A49" s="106" t="str">
        <f ca="1">_xlfn.LET(
_xlpm._isAssumption,$M49,
_xlpm._row,$N49,
_xlpm._numActiveAssumptions,Helper!$B$8,
_xlpm._numActiveCountermeasures,Helper!$B$9,
_xlpm._numAdditionalAssumptions,Helper!$B$10,
_xlpm._numAdditionalCountermeasures,Helper!$B$11,
IF(_xlpm._isAssumption,
IF(_xlpm._row&gt;_xlpm._numActiveAssumptions,
$Y49&amp;"-A"&amp;$T49,
INDEX(Assumptions!A:A,MATCH(_xlpm._row,Assumptions!$AC:$AC,0))),
IF(_xlpm._row&gt;_xlpm._numActiveCountermeasures+_xlpm._numAdditionalCountermeasures,"",
IF(_xlpm._row&gt;_xlpm._numActiveCountermeasures,
$Y49&amp;"-C"&amp;$T49,
INDEX(Countermeasures!$A:$A,MATCH(_xlpm._row,Countermeasures!$AE:$AE,0))))))</f>
        <v/>
      </c>
      <c r="B49" s="106" t="str" cm="1">
        <f t="array" aca="1" ref="B49" ca="1">IF($A49="","",
_xlfn.LET(
_xlpm._isAssumption,$M49,
_xlpm._isAdditionalElement,$O49,
IF(_xlpm._isAdditionalElement,
IF(_xlpm._isAssumption,
ParseElementsFromComment($X49,Definitions!$AR$4,Definitions!$AS$4,Definitions!$AR$6,$T49),
ParseElementsFromComment($X49,Definitions!$AR$5,Definitions!$AS$5,Definitions!$AR$6,$T49)),
_xlfn.LET(_xlpm._value,IF($A49="","",IF($M49,SimpleLookup($A49,Assumptions!$A:$B),SimpleLookup($A49,Countermeasures!$A:$B))),IF(_xlpm._value="","",_xlpm._value)))))</f>
        <v/>
      </c>
      <c r="C49" s="106" t="str" cm="1">
        <f t="array" aca="1" ref="C49" ca="1">IF($A49="","",IF($M49,IFERROR(SimpleLookup($A49,Assumptions!$A:$E),""),Definitions!$AO$4))</f>
        <v/>
      </c>
      <c r="D49" s="103" t="str">
        <f t="shared" ca="1" si="2"/>
        <v/>
      </c>
      <c r="E49" s="107"/>
      <c r="F49" s="108" t="str">
        <f t="shared" ca="1" si="3"/>
        <v/>
      </c>
      <c r="G49" s="102" t="str" cm="1">
        <f t="array" aca="1" ref="G49" ca="1">_xlfn.LET(_xlpm._val,IFERROR(SimpleLookup($A49,Countermeasures!$A:$S),IFERROR(SimpleLookup($A49,Assumptions!$A:$S),"")),IF(_xlpm._val="","",_xlpm._val))</f>
        <v/>
      </c>
      <c r="H49" s="109" t="str">
        <f>""</f>
        <v/>
      </c>
      <c r="I49" s="102" t="str">
        <f t="shared" ca="1" si="4"/>
        <v/>
      </c>
      <c r="J49" s="102" t="str">
        <f t="shared" ca="1" si="5"/>
        <v/>
      </c>
      <c r="K49" s="106" t="str" cm="1">
        <f t="array" aca="1" ref="K49" ca="1">_xlfn.LET(_xlpm._value,IF($A49="","",IFERROR(IF($M49,SimpleLookup($A49,Assumptions!$A:$T),SimpleLookup($A49,Countermeasures!$A:$T)),"")),
IF(_xlpm._value="","",_xlpm._value))</f>
        <v/>
      </c>
      <c r="L49" s="9" cm="1">
        <f t="array" aca="1" ref="L49" ca="1">CreateID($L$17,$A49&lt;&gt;"")</f>
        <v>11</v>
      </c>
      <c r="M49" s="9" t="b">
        <f ca="1">_xlfn.LET(_xlpm._row,ROW()-ROW($N$17),
_xlpm._numActiveAssumptions,Helper!$B$8,
_xlpm._numAdditionalAssumptions,SUM(Table24['# Elements]),
_xlpm._row&lt;=_xlpm._numActiveAssumptions+_xlpm._numAdditionalAssumptions)</f>
        <v>0</v>
      </c>
      <c r="N49" s="9">
        <f ca="1">_xlfn.LET(_xlpm._row,ROW()-ROW($N$17),
_xlpm._numActiveAssumptions,Helper!$B$8,
_xlpm._numAdditionalAssumptions,Helper!$B$10,
_xlpm._isAssumption,$M49,
_xlpm._elementID,IF(_xlpm._isAssumption,_xlpm._row,_xlpm._row-_xlpm._numActiveAssumptions-_xlpm._numAdditionalAssumptions),
_xlpm._elementID)</f>
        <v>28</v>
      </c>
      <c r="O49"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49" s="11" cm="1">
        <f t="array" aca="1" ref="P49" ca="1">IF($O49,
IF(ROW()=ROW($P$17)+1,1,INDEX($P:$P,ROW()-1)+IF(INDEX($W:$W,ROW()-1),1,0)),
1)</f>
        <v>1</v>
      </c>
      <c r="Q49" s="11" t="str" cm="1">
        <f t="array" aca="1" ref="Q49" ca="1">IF($O49=TRUE,
_xlfn.LET(
_xlpm._isAssumption,$M49,
_xlpm._indexRange,IF(_xlpm._isAssumption,Table24['# Elements],Table25['# Elements]),
_xlpm._lookupRow,$Z49,
INDEX(_xlpm._indexRange,_xlpm._lookupRow)),
"")</f>
        <v/>
      </c>
      <c r="R49" s="11" t="str" cm="1">
        <f t="array" aca="1" ref="R49" ca="1">IF($Q49="","",_xlfn.LET(
_xlpm._prevRow,ROW()-1,
IF(OR(INDEX($Q:$Q,_xlpm._prevRow)&lt;&gt;$Q49,INDEX($P:$P,_xlpm._prevRow)&lt;&gt;$P49),
1,
INDEX($R:$R,_xlpm._prevRow)+IF(INDEX($V:$V,_xlpm._prevRow),1,0))))</f>
        <v/>
      </c>
      <c r="S49" s="11" t="str" cm="1">
        <f t="array" aca="1" ref="S49" ca="1">IF($R49="","",_xlfn.LET(
_xlpm._isAssumption,$M49,
_xlpm._sheetRow,$Z49,
_xlpm._sheetName,$AA49,
_xlpm._elementIDRange,IF(_xlpm._isAssumption,Table24[Element ID Column],Table25[Element ID Column]),
_xlpm._numberOfElementsRange,IF(_xlpm._isAssumption,Table24[Number of Elements Column],Table25[Number of Elements Column]),
SimpleLookup($R49,INDIRECT("'"&amp;_xlpm._sheetName&amp;"'!"&amp;INDEX(_xlpm._elementIDRange,_xlpm._sheetRow)&amp;":"&amp;INDEX(_xlpm._numberOfElementsRange,_xlpm._sheetRow)))))</f>
        <v/>
      </c>
      <c r="T49" s="11" t="str" cm="1">
        <f t="array" aca="1" ref="T49" ca="1">IF($R49="","",IF(OR(INDEX($R:$R,ROW()-1)&lt;&gt;$R49,INDEX($P:$P,ROW()-1)&lt;&gt;$P49),1,INDEX($T:$T,ROW()-1)+1))</f>
        <v/>
      </c>
      <c r="U49" s="11">
        <f t="shared" ca="1" si="6"/>
        <v>0</v>
      </c>
      <c r="V49" s="11" t="str">
        <f t="shared" ca="1" si="7"/>
        <v/>
      </c>
      <c r="W49" s="11" t="b">
        <f ca="1">_xlfn.LET(
_xlpm._isAssumption,$M49,
_xlpm._numberOfElementsRange,IF(_xlpm._isAssumption,Table24['# Elements],Table25['# Elements]),
_xlpm._sheetRow,$Z49,
IF($O49,AND($V49,$U49=$Q49),FALSE))</f>
        <v>0</v>
      </c>
      <c r="X49" s="11" t="str" cm="1">
        <f t="array" aca="1" ref="X49" ca="1">IF($O49,
_xlfn.LET(
_xlpm._elementID,$R49,
_xlpm._isAssumption,$M49,
_xlpm._sheetRow,$Z49,
_xlpm._sheetName,$AA49,
_xlpm._elementRow,$AB49,
_xlpm._resultColumnLetter,IF(_xlpm._isAssumption,INDEX(Table24[Comment Column],_xlpm._sheetRow),INDEX(Table25[Comment Column],_xlpm._sheetRow)),
INDEX(INDIRECT("'"&amp;_xlpm._sheetName&amp;"'!"&amp;_xlpm._resultColumnLetter&amp;":"&amp;_xlpm._resultColumnLetter),_xlpm._elementRow)),
"")</f>
        <v/>
      </c>
      <c r="Y49" s="11" t="str" cm="1">
        <f t="array" aca="1" ref="Y49" ca="1">IF($O49,
_xlfn.LET(
_xlpm._elementID,$R49,
_xlpm._isAssumption,$M49,
_xlpm._sheetRow,$Z49,
_xlpm._sheetName,$AA49,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49" s="11" t="str">
        <f ca="1">IF($O49=TRUE,
_xlfn.LET(
_xlpm._isAssumption,$M49,
_xlpm._searchRange,IF(_xlpm._isAssumption,Table24[Task Sheet Shadow ID],Table25[Task Sheet Shadow ID]),
MATCH($P49,_xlpm._searchRange,0)),
"")</f>
        <v/>
      </c>
      <c r="AA49" s="11" t="str" cm="1">
        <f t="array" aca="1" ref="AA49" ca="1">IF($O49,
_xlfn.LET(
_xlpm._isAssumption,$M49,
_xlpm._sheetRow,$Z49,
IF(_xlpm._isAssumption,INDEX(Table24[Sheet Name],_xlpm._sheetRow),INDEX(Table25[Sheet Name],_xlpm._sheetRow))),
"")</f>
        <v/>
      </c>
      <c r="AB49" s="11" t="str" cm="1">
        <f t="array" aca="1" ref="AB49" ca="1">IF($O49,
_xlfn.LET(
_xlpm._elementID,$R49,
_xlpm._isAssumption,$M49,
_xlpm._sheetRow,$Z49,
_xlpm._sheetName,$AA49,
_xlpm._elementIDColumnLetter,IF(_xlpm._isAssumption,INDEX(Table24[Element ID Column],_xlpm._sheetRow),INDEX(Table25[Element ID Column],_xlpm._sheetRow)),
MATCH(_xlpm._elementID,INDIRECT("'"&amp;_xlpm._sheetName&amp;"'!"&amp;_xlpm._elementIDColumnLetter&amp;":"&amp;_xlpm._elementIDColumnLetter),0)),
"")</f>
        <v/>
      </c>
      <c r="AC49" s="11" t="str" cm="1">
        <f t="array" aca="1" ref="AC49" ca="1">IF($A49="","",_xlfn.LET(
_xlpm._isAssumption,$M49,
_xlpm._isAdditionalElement,$O49,
_xlpm._sheetRow,$Z49,
_xlpm._sheetName,$AA49,
_xlpm._columnLetter,INDEX(IF(_xlpm._isAdditionalElement,Table24[Comment Column],Table25[Comment Column]),_xlpm._sheetRow),
_xlpm._sheetReference,IF(_xlpm._isAssumption,IF(_xlpm._isAdditionalElement,
CELL("address",INDEX(INDIRECT("'"&amp;_xlpm._sheetName&amp;"'!"&amp;_xlpm._columnLetter&amp;":"&amp;_xlpm._columnLetter),$AB49)),
CELL("address",INDEX(Assumptions!$A:$A,MATCH($A49,Assumptions!$A:$A,0),1))),
IF(_xlpm._isAdditionalElement,
CELL("address",INDEX(INDIRECT("'"&amp;_xlpm._sheetName&amp;"'!"&amp;_xlpm._columnLetter&amp;":"&amp;_xlpm._columnLetter),$AB49)),
CELL("address",INDEX(Countermeasures!$A:$A,MATCH($A49,Countermeasures!$A:$A,0),1)))),
_xlpm._start,FIND("]",_xlpm._sheetReference),
"'"&amp;SUBSTITUTE(SUBSTITUTE(RIGHT(_xlpm._sheetReference,LEN(_xlpm._sheetReference)-_xlpm._start),"'",""),"!","'!")))</f>
        <v/>
      </c>
      <c r="AD49" s="11" t="str" cm="1">
        <f t="array" aca="1" ref="AD49" ca="1">IF(NOT($O49),
_xlfn.LET(_xlpm._value,IF($A49="","",IF($M49,SimpleLookup($A49,Assumptions!$A:$AG),SimpleLookup($A49,Countermeasures!$A:$AJ))),
IF(_xlpm._value="","",_xlpm._value)),
"")</f>
        <v/>
      </c>
      <c r="AE49" s="11" t="str" cm="1">
        <f t="array" aca="1" ref="AE49" ca="1">LookupNames(InverseLookup($A49,Mitigation!$AD$2,Mitigation!$A$2,1,Helper!$B$5,","),'Attack Steps'!$A:$B)</f>
        <v/>
      </c>
      <c r="AF49" s="11" t="str" cm="1">
        <f t="array" aca="1" ref="AF49" ca="1">IF($O49,
_xlfn.LET(
_xlpm._in,$A49,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49" s="11" t="str" cm="1">
        <f t="array" aca="1" ref="AG49" ca="1">_xlfn.LET(
_xlpm._countermeasures,InverseLookup($A49,Countermeasures!$AC$2,Countermeasures!$A$2,1,Helper!$B$4,","),
LookupNames(_xlpm._countermeasures,Countermeasures!$A:$B))</f>
        <v/>
      </c>
      <c r="AH49" s="11" t="str" cm="1">
        <f t="array" aca="1" ref="AH49" ca="1">IF($E49="","",_xlfn.LET(
_xlpm._id,$E49,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49" s="11" t="str" cm="1">
        <f t="array" aca="1" ref="AI49" ca="1">IF(OR($A49="",$O49),"",_xlfn.LET(
_xlpm._answers,IF($M49,SimpleLookup($A49,Assumptions!$A:$F),SimpleLookup($A49,Countermeasures!$A:$D)),
IF(_xlpm._answers="*",IF($M49,SimpleLookup($A49,Assumptions!$A:$C),SimpleLookup($A49,Countermeasures!$A:$C)),"")))</f>
        <v/>
      </c>
      <c r="AJ49" s="11" t="str" cm="1">
        <f t="array" aca="1" ref="AJ49" ca="1">IF(NOT($O49),"",_xlfn.LET(
_xlpm._mappedInMitigation,IFERROR(VLOOKUP($Y49,'Attack Steps'!$A:$P,COLUMNS('Attack Steps'!$A:$P),FALSE),""),
CreateSearchString(_xlpm._mappedInMitigation)))</f>
        <v/>
      </c>
      <c r="AK49" s="11" t="b">
        <f ca="1">ROW()-ROW($AK$17)=Helper!$B$15</f>
        <v>0</v>
      </c>
      <c r="AL49" s="11" t="str">
        <f t="shared" ca="1" si="8"/>
        <v/>
      </c>
      <c r="AM49" s="11" cm="1">
        <f t="array" aca="1" ref="AM49" ca="1">CreateID($AM$17,$AL49&lt;&gt;"")</f>
        <v>0</v>
      </c>
      <c r="AN49" s="11" t="str" cm="1">
        <f t="array" aca="1" ref="AN49" ca="1">IF($O49,"",
_xlfn.LET(
_xlpm._this,SanitizeInput($A49)&amp;AT49,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49" s="11" t="str" cm="1">
        <f t="array" aca="1" ref="AO49" ca="1">IF($O49,"",_xlfn.LET(
_xlpm._listOfRisksAndLevels,SanitizeInput($AN49),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_xlpm._shortenedList,IF($H49="",_xlpm._risksWithMaxValue,
  IF(LEN(_xlpm._risksWithMaxValue)-LEN(SUBSTITUTE(_xlpm._risksWithMaxValue,",",""))&lt;=$H49,_xlpm._risksWithMaxValue,
    LEFT(_xlpm._risksWithMaxValue,FIND(CHAR(1),SUBSTITUTE(_xlpm._risksWithMaxValue,",",CHAR(1),$H49))))),
IF(_xlpm._maxRiskValue="","",
  _xlpm._lineMainSeparator&amp;
  INDEX(Definitions!$AE:$AE,MATCH(_xlpm._maxRiskValue,Definitions!$AF:$AF,0))&amp;CHAR(10)&amp;
  _xlpm._lineMainSeparator&amp;
  RemoveDelimiter(GetValues(_xlpm._shortenedList,Risks!$A:$B," ",CHAR(10)&amp;_xlpm._lineMainSeparator,TRUE),CHAR(10)&amp;_xlpm._lineMainSeparator))))</f>
        <v/>
      </c>
      <c r="AP49" s="11" t="str" cm="1">
        <f t="array" aca="1" ref="AP49" ca="1">IF($O49,"",_xlfn.LET(
_xlpm._lineMainSeparator,REPT(_xlfn.UNICHAR(9552),63)&amp;CHAR(10),
_xlpm._affectedRisks,InverseLookupList(SanitizeInput($A49)&amp;$AT49,Risks!$AX$2,Risks!$A$2,Helper!$B$1,","),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_xlpm._shortenedList,IF($H49="",_xlpm._risksWithMaxValue,
  IF(LEN(_xlpm._risksWithMaxValue)-LEN(SUBSTITUTE(_xlpm._risksWithMaxValue,",",""))&lt;=$H49,_xlpm._risksWithMaxValue,
    LEFT(_xlpm._risksWithMaxValue,FIND(CHAR(1),SUBSTITUTE(_xlpm._risksWithMaxValue,",",CHAR(1),$H49))))),
IF(_xlpm._maxRiskValue="","",
  _xlpm._lineMainSeparator&amp;
  INDEX(Definitions!$AE:$AE,MATCH(_xlpm._maxRiskValue,Definitions!$AF:$AF,0))&amp;CHAR(10)&amp;
  _xlpm._lineMainSeparator&amp;
  RemoveDelimiter(GetValues(_xlpm._shortenedList,Risks!$A:$B," ",CHAR(10)&amp;_xlpm._lineMainSeparator,TRUE),CHAR(10)&amp;_xlpm._lineMainSeparator))))</f>
        <v/>
      </c>
      <c r="AQ49" s="11" t="str" cm="1">
        <f t="array" aca="1" ref="AQ49" ca="1">IF(NOT($O49),"",
_xlfn.LET(
_xlpm._potentialASID,$Y49,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_xlpm._commentsFiltered,SUBSTITUTE(GetValues(_xlpm._attackSteps,Mitigation!$A:$O,"","",FALSE),$X49,""),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49" s="11" t="str" cm="1">
        <f t="array" aca="1" ref="AR49" ca="1">IF(NOT($O49),"",_xlfn.LET(
_xlpm._listOfRisksAndLevels,SanitizeInput($AQ49),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_xlpm._shortenedList,IF($H49="",_xlpm._risksWithMaxValue,
  IF(LEN(_xlpm._risksWithMaxValue)-LEN(SUBSTITUTE(_xlpm._risksWithMaxValue,",",""))&lt;=$H49,_xlpm._risksWithMaxValue,
    LEFT(_xlpm._risksWithMaxValue,FIND(CHAR(1),SUBSTITUTE(_xlpm._risksWithMaxValue,",",CHAR(1),$H49))))),
IF(_xlpm._maxRiskValue="","",
  _xlpm._lineMainSeparator&amp;
  INDEX(Definitions!$AE:$AE,MATCH(_xlpm._maxRiskValue,Definitions!$AF:$AF,0))&amp;CHAR(10)&amp;
  _xlpm._lineMainSeparator&amp;
  RemoveDelimiter(GetValues(_xlpm._shortenedList,Risks!$A:$B," ",CHAR(10)&amp;_xlpm._lineMainSeparator,TRUE),CHAR(10)&amp;_xlpm._lineMainSeparator))))</f>
        <v/>
      </c>
      <c r="AS49" s="11" t="str" cm="1">
        <f t="array" aca="1" ref="AS49" ca="1">IF(NOT($O49),"",
_xlfn.LET(
_xlpm._lineMainSeparator,REPT(_xlfn.UNICHAR(9552),63)&amp;CHAR(10),
_xlpm._potentialASID,$Y49,
_xlpm._risk,IFERROR(SimpleLookup(_xlpm._potentialASID,Mitigation!$A:$N),""),
_xlpm._attackPaths,IFERROR(SimpleLookup(_xlpm._potentialASID,Mitigation!$A:$M),""),
IF(_xlpm._risk="","",
_xlpm._lineMainSeparator&amp;
_xlpm._risk&amp;CHAR(10)&amp;
_xlpm._lineMainSeparator&amp;
_xlpm._attackPaths)))</f>
        <v/>
      </c>
      <c r="AT49" s="11" t="str" cm="1">
        <f t="array" aca="1" ref="AT49" ca="1">InverseLookup($A49,Countermeasures!$AA$2,Countermeasures!$A$2,1,Helper!$B$4,",")</f>
        <v/>
      </c>
    </row>
    <row r="50" spans="1:46" x14ac:dyDescent="0.25">
      <c r="A50" s="106" t="str">
        <f ca="1">_xlfn.LET(
_xlpm._isAssumption,$M50,
_xlpm._row,$N50,
_xlpm._numActiveAssumptions,Helper!$B$8,
_xlpm._numActiveCountermeasures,Helper!$B$9,
_xlpm._numAdditionalAssumptions,Helper!$B$10,
_xlpm._numAdditionalCountermeasures,Helper!$B$11,
IF(_xlpm._isAssumption,
IF(_xlpm._row&gt;_xlpm._numActiveAssumptions,
$Y50&amp;"-A"&amp;$T50,
INDEX(Assumptions!A:A,MATCH(_xlpm._row,Assumptions!$AC:$AC,0))),
IF(_xlpm._row&gt;_xlpm._numActiveCountermeasures+_xlpm._numAdditionalCountermeasures,"",
IF(_xlpm._row&gt;_xlpm._numActiveCountermeasures,
$Y50&amp;"-C"&amp;$T50,
INDEX(Countermeasures!$A:$A,MATCH(_xlpm._row,Countermeasures!$AE:$AE,0))))))</f>
        <v/>
      </c>
      <c r="B50" s="106" t="str" cm="1">
        <f t="array" aca="1" ref="B50" ca="1">IF($A50="","",
_xlfn.LET(
_xlpm._isAssumption,$M50,
_xlpm._isAdditionalElement,$O50,
IF(_xlpm._isAdditionalElement,
IF(_xlpm._isAssumption,
ParseElementsFromComment($X50,Definitions!$AR$4,Definitions!$AS$4,Definitions!$AR$6,$T50),
ParseElementsFromComment($X50,Definitions!$AR$5,Definitions!$AS$5,Definitions!$AR$6,$T50)),
_xlfn.LET(_xlpm._value,IF($A50="","",IF($M50,SimpleLookup($A50,Assumptions!$A:$B),SimpleLookup($A50,Countermeasures!$A:$B))),IF(_xlpm._value="","",_xlpm._value)))))</f>
        <v/>
      </c>
      <c r="C50" s="106" t="str" cm="1">
        <f t="array" aca="1" ref="C50" ca="1">IF($A50="","",IF($M50,IFERROR(SimpleLookup($A50,Assumptions!$A:$E),""),Definitions!$AO$4))</f>
        <v/>
      </c>
      <c r="D50" s="103" t="str">
        <f t="shared" ref="D50:D81" ca="1" si="9">_xlfn.LET(
_xlpm._dividerTop,REPT(_xlfn.UNICHAR(9552),63)&amp;CHAR(10),
_xlpm._dividerHeader,CHAR(10)&amp;REPT(CHAR(150),81)&amp;CHAR(10),
_xlpm._relatedQuestions,IF($AD50="","",_xlpm._dividerTop&amp;"Comments of related questions / answers:"&amp;_xlpm._dividerHeader&amp;$AD50),
_xlpm._assignedToAttackSteps,IF($AE50="","",_xlpm._dividerTop&amp;"Assigned to attack steps:"&amp;_xlpm._dividerHeader&amp;$AE50),
_xlpm._definedInContextOfElement,IF($AF50="","",_xlpm._dividerTop&amp;"Defined in the context of:"&amp;_xlpm._dividerHeader&amp;$AF50),
_xlpm._dependantCountermeasures,IF($AG50="","",_xlpm._dividerTop&amp;"Dependency of countermeasures:"&amp;_xlpm._dividerHeader&amp;$AG50),
_xlpm._defaultElementText,IF($AI50="","",_xlpm._dividerTop&amp;"Default "&amp;IF($M50,"assumption","countermeasure")&amp;":"&amp;_xlpm._dividerHeader&amp;$AI50),
_xlpm._relatedQuestions&amp;
IF(AND(_xlpm._relatedQuestions&lt;&gt;"",_xlpm._assignedToAttackSteps&lt;&gt;""),CHAR(10),"")&amp;_xlpm._assignedToAttackSteps&amp;
IF(AND(OR(_xlpm._relatedQuestions&lt;&gt;"",_xlpm._assignedToAttackSteps&lt;&gt;""),_xlpm._definedInContextOfElement&lt;&gt;""),CHAR(10),"")&amp;_xlpm._definedInContextOfElement&amp;
IF(AND(OR(_xlpm._relatedQuestions&lt;&gt;"",_xlpm._assignedToAttackSteps&lt;&gt;"",_xlpm._definedInContextOfElement&lt;&gt;""),_xlpm._dependantCountermeasures&lt;&gt;""),CHAR(10),"")&amp;_xlpm._dependantCountermeasures&amp;
IF(AND(OR(_xlpm._relatedQuestions&lt;&gt;"",_xlpm._assignedToAttackSteps&lt;&gt;"",_xlpm._definedInContextOfElement&lt;&gt;"",_xlpm._dependantCountermeasures&lt;&gt;""),_xlpm._defaultElementText&lt;&gt;""),CHAR(10),"")&amp;_xlpm._defaultElementText)</f>
        <v/>
      </c>
      <c r="E50" s="107"/>
      <c r="F50" s="108" t="str">
        <f t="shared" ref="F50:F81" ca="1" si="10">IF(AND($E50&lt;&gt;"",$AH50=""),"Error: Unknown ID: "&amp;$E50,
IF($A50="","",HYPERLINK("#"&amp;IF($AH50="",$AC50,$AH50),"click me")))</f>
        <v/>
      </c>
      <c r="G50" s="102" t="str" cm="1">
        <f t="array" aca="1" ref="G50" ca="1">_xlfn.LET(_xlpm._val,IFERROR(SimpleLookup($A50,Countermeasures!$A:$S),IFERROR(SimpleLookup($A50,Assumptions!$A:$S),"")),IF(_xlpm._val="","",_xlpm._val))</f>
        <v/>
      </c>
      <c r="H50" s="109" t="str">
        <f>""</f>
        <v/>
      </c>
      <c r="I50" s="102" t="str">
        <f t="shared" ref="I50:I81" ca="1" si="11">IF($O50,$AR50,$AO50)</f>
        <v/>
      </c>
      <c r="J50" s="102" t="str">
        <f t="shared" ref="J50:J81" ca="1" si="12">IF($O50,$AS50,$AP50)</f>
        <v/>
      </c>
      <c r="K50" s="106" t="str" cm="1">
        <f t="array" aca="1" ref="K50" ca="1">_xlfn.LET(_xlpm._value,IF($A50="","",IFERROR(IF($M50,SimpleLookup($A50,Assumptions!$A:$T),SimpleLookup($A50,Countermeasures!$A:$T)),"")),
IF(_xlpm._value="","",_xlpm._value))</f>
        <v/>
      </c>
      <c r="L50" s="9" cm="1">
        <f t="array" aca="1" ref="L50" ca="1">CreateID($L$17,$A50&lt;&gt;"")</f>
        <v>11</v>
      </c>
      <c r="M50" s="9" t="b">
        <f ca="1">_xlfn.LET(_xlpm._row,ROW()-ROW($N$17),
_xlpm._numActiveAssumptions,Helper!$B$8,
_xlpm._numAdditionalAssumptions,SUM(Table24['# Elements]),
_xlpm._row&lt;=_xlpm._numActiveAssumptions+_xlpm._numAdditionalAssumptions)</f>
        <v>0</v>
      </c>
      <c r="N50" s="9">
        <f ca="1">_xlfn.LET(_xlpm._row,ROW()-ROW($N$17),
_xlpm._numActiveAssumptions,Helper!$B$8,
_xlpm._numAdditionalAssumptions,Helper!$B$10,
_xlpm._isAssumption,$M50,
_xlpm._elementID,IF(_xlpm._isAssumption,_xlpm._row,_xlpm._row-_xlpm._numActiveAssumptions-_xlpm._numAdditionalAssumptions),
_xlpm._elementID)</f>
        <v>29</v>
      </c>
      <c r="O50"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50" s="11" cm="1">
        <f t="array" aca="1" ref="P50" ca="1">IF($O50,
IF(ROW()=ROW($P$17)+1,1,INDEX($P:$P,ROW()-1)+IF(INDEX($W:$W,ROW()-1),1,0)),
1)</f>
        <v>1</v>
      </c>
      <c r="Q50" s="11" t="str" cm="1">
        <f t="array" aca="1" ref="Q50" ca="1">IF($O50=TRUE,
_xlfn.LET(
_xlpm._isAssumption,$M50,
_xlpm._indexRange,IF(_xlpm._isAssumption,Table24['# Elements],Table25['# Elements]),
_xlpm._lookupRow,$Z50,
INDEX(_xlpm._indexRange,_xlpm._lookupRow)),
"")</f>
        <v/>
      </c>
      <c r="R50" s="11" t="str" cm="1">
        <f t="array" aca="1" ref="R50" ca="1">IF($Q50="","",_xlfn.LET(
_xlpm._prevRow,ROW()-1,
IF(OR(INDEX($Q:$Q,_xlpm._prevRow)&lt;&gt;$Q50,INDEX($P:$P,_xlpm._prevRow)&lt;&gt;$P50),
1,
INDEX($R:$R,_xlpm._prevRow)+IF(INDEX($V:$V,_xlpm._prevRow),1,0))))</f>
        <v/>
      </c>
      <c r="S50" s="11" t="str" cm="1">
        <f t="array" aca="1" ref="S50" ca="1">IF($R50="","",_xlfn.LET(
_xlpm._isAssumption,$M50,
_xlpm._sheetRow,$Z50,
_xlpm._sheetName,$AA50,
_xlpm._elementIDRange,IF(_xlpm._isAssumption,Table24[Element ID Column],Table25[Element ID Column]),
_xlpm._numberOfElementsRange,IF(_xlpm._isAssumption,Table24[Number of Elements Column],Table25[Number of Elements Column]),
SimpleLookup($R50,INDIRECT("'"&amp;_xlpm._sheetName&amp;"'!"&amp;INDEX(_xlpm._elementIDRange,_xlpm._sheetRow)&amp;":"&amp;INDEX(_xlpm._numberOfElementsRange,_xlpm._sheetRow)))))</f>
        <v/>
      </c>
      <c r="T50" s="11" t="str" cm="1">
        <f t="array" aca="1" ref="T50" ca="1">IF($R50="","",IF(OR(INDEX($R:$R,ROW()-1)&lt;&gt;$R50,INDEX($P:$P,ROW()-1)&lt;&gt;$P50),1,INDEX($T:$T,ROW()-1)+1))</f>
        <v/>
      </c>
      <c r="U50" s="11">
        <f t="shared" ref="U50:U81" ca="1" si="13">COUNTIFS(
OFFSET($O$17,1,0,ROW()-ROW($O$17),1),TRUE,
OFFSET($P$17,1,0,ROW()-ROW($P$17),1),$P50,
OFFSET($M$17,1,0,ROW()-ROW($M$17),1),$M50)</f>
        <v>0</v>
      </c>
      <c r="V50" s="11" t="str">
        <f t="shared" ref="V50:V81" ca="1" si="14">IF($O50,$S50=$T50,"")</f>
        <v/>
      </c>
      <c r="W50" s="11" t="b">
        <f ca="1">_xlfn.LET(
_xlpm._isAssumption,$M50,
_xlpm._numberOfElementsRange,IF(_xlpm._isAssumption,Table24['# Elements],Table25['# Elements]),
_xlpm._sheetRow,$Z50,
IF($O50,AND($V50,$U50=$Q50),FALSE))</f>
        <v>0</v>
      </c>
      <c r="X50" s="11" t="str" cm="1">
        <f t="array" aca="1" ref="X50" ca="1">IF($O50,
_xlfn.LET(
_xlpm._elementID,$R50,
_xlpm._isAssumption,$M50,
_xlpm._sheetRow,$Z50,
_xlpm._sheetName,$AA50,
_xlpm._elementRow,$AB50,
_xlpm._resultColumnLetter,IF(_xlpm._isAssumption,INDEX(Table24[Comment Column],_xlpm._sheetRow),INDEX(Table25[Comment Column],_xlpm._sheetRow)),
INDEX(INDIRECT("'"&amp;_xlpm._sheetName&amp;"'!"&amp;_xlpm._resultColumnLetter&amp;":"&amp;_xlpm._resultColumnLetter),_xlpm._elementRow)),
"")</f>
        <v/>
      </c>
      <c r="Y50" s="11" t="str" cm="1">
        <f t="array" aca="1" ref="Y50" ca="1">IF($O50,
_xlfn.LET(
_xlpm._elementID,$R50,
_xlpm._isAssumption,$M50,
_xlpm._sheetRow,$Z50,
_xlpm._sheetName,$AA50,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50" s="11" t="str">
        <f ca="1">IF($O50=TRUE,
_xlfn.LET(
_xlpm._isAssumption,$M50,
_xlpm._searchRange,IF(_xlpm._isAssumption,Table24[Task Sheet Shadow ID],Table25[Task Sheet Shadow ID]),
MATCH($P50,_xlpm._searchRange,0)),
"")</f>
        <v/>
      </c>
      <c r="AA50" s="11" t="str" cm="1">
        <f t="array" aca="1" ref="AA50" ca="1">IF($O50,
_xlfn.LET(
_xlpm._isAssumption,$M50,
_xlpm._sheetRow,$Z50,
IF(_xlpm._isAssumption,INDEX(Table24[Sheet Name],_xlpm._sheetRow),INDEX(Table25[Sheet Name],_xlpm._sheetRow))),
"")</f>
        <v/>
      </c>
      <c r="AB50" s="11" t="str" cm="1">
        <f t="array" aca="1" ref="AB50" ca="1">IF($O50,
_xlfn.LET(
_xlpm._elementID,$R50,
_xlpm._isAssumption,$M50,
_xlpm._sheetRow,$Z50,
_xlpm._sheetName,$AA50,
_xlpm._elementIDColumnLetter,IF(_xlpm._isAssumption,INDEX(Table24[Element ID Column],_xlpm._sheetRow),INDEX(Table25[Element ID Column],_xlpm._sheetRow)),
MATCH(_xlpm._elementID,INDIRECT("'"&amp;_xlpm._sheetName&amp;"'!"&amp;_xlpm._elementIDColumnLetter&amp;":"&amp;_xlpm._elementIDColumnLetter),0)),
"")</f>
        <v/>
      </c>
      <c r="AC50" s="11" t="str" cm="1">
        <f t="array" aca="1" ref="AC50" ca="1">IF($A50="","",_xlfn.LET(
_xlpm._isAssumption,$M50,
_xlpm._isAdditionalElement,$O50,
_xlpm._sheetRow,$Z50,
_xlpm._sheetName,$AA50,
_xlpm._columnLetter,INDEX(IF(_xlpm._isAdditionalElement,Table24[Comment Column],Table25[Comment Column]),_xlpm._sheetRow),
_xlpm._sheetReference,IF(_xlpm._isAssumption,IF(_xlpm._isAdditionalElement,
CELL("address",INDEX(INDIRECT("'"&amp;_xlpm._sheetName&amp;"'!"&amp;_xlpm._columnLetter&amp;":"&amp;_xlpm._columnLetter),$AB50)),
CELL("address",INDEX(Assumptions!$A:$A,MATCH($A50,Assumptions!$A:$A,0),1))),
IF(_xlpm._isAdditionalElement,
CELL("address",INDEX(INDIRECT("'"&amp;_xlpm._sheetName&amp;"'!"&amp;_xlpm._columnLetter&amp;":"&amp;_xlpm._columnLetter),$AB50)),
CELL("address",INDEX(Countermeasures!$A:$A,MATCH($A50,Countermeasures!$A:$A,0),1)))),
_xlpm._start,FIND("]",_xlpm._sheetReference),
"'"&amp;SUBSTITUTE(SUBSTITUTE(RIGHT(_xlpm._sheetReference,LEN(_xlpm._sheetReference)-_xlpm._start),"'",""),"!","'!")))</f>
        <v/>
      </c>
      <c r="AD50" s="11" t="str" cm="1">
        <f t="array" aca="1" ref="AD50" ca="1">IF(NOT($O50),
_xlfn.LET(_xlpm._value,IF($A50="","",IF($M50,SimpleLookup($A50,Assumptions!$A:$AG),SimpleLookup($A50,Countermeasures!$A:$AJ))),
IF(_xlpm._value="","",_xlpm._value)),
"")</f>
        <v/>
      </c>
      <c r="AE50" s="11" t="str" cm="1">
        <f t="array" aca="1" ref="AE50" ca="1">LookupNames(InverseLookup($A50,Mitigation!$AD$2,Mitigation!$A$2,1,Helper!$B$5,","),'Attack Steps'!$A:$B)</f>
        <v/>
      </c>
      <c r="AF50" s="11" t="str" cm="1">
        <f t="array" aca="1" ref="AF50" ca="1">IF($O50,
_xlfn.LET(
_xlpm._in,$A50,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50" s="11" t="str" cm="1">
        <f t="array" aca="1" ref="AG50" ca="1">_xlfn.LET(
_xlpm._countermeasures,InverseLookup($A50,Countermeasures!$AC$2,Countermeasures!$A$2,1,Helper!$B$4,","),
LookupNames(_xlpm._countermeasures,Countermeasures!$A:$B))</f>
        <v/>
      </c>
      <c r="AH50" s="11" t="str" cm="1">
        <f t="array" aca="1" ref="AH50" ca="1">IF($E50="","",_xlfn.LET(
_xlpm._id,$E50,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50" s="11" t="str" cm="1">
        <f t="array" aca="1" ref="AI50" ca="1">IF(OR($A50="",$O50),"",_xlfn.LET(
_xlpm._answers,IF($M50,SimpleLookup($A50,Assumptions!$A:$F),SimpleLookup($A50,Countermeasures!$A:$D)),
IF(_xlpm._answers="*",IF($M50,SimpleLookup($A50,Assumptions!$A:$C),SimpleLookup($A50,Countermeasures!$A:$C)),"")))</f>
        <v/>
      </c>
      <c r="AJ50" s="11" t="str" cm="1">
        <f t="array" aca="1" ref="AJ50" ca="1">IF(NOT($O50),"",_xlfn.LET(
_xlpm._mappedInMitigation,IFERROR(VLOOKUP($Y50,'Attack Steps'!$A:$P,COLUMNS('Attack Steps'!$A:$P),FALSE),""),
CreateSearchString(_xlpm._mappedInMitigation)))</f>
        <v/>
      </c>
      <c r="AK50" s="11" t="b">
        <f ca="1">ROW()-ROW($AK$17)=Helper!$B$15</f>
        <v>0</v>
      </c>
      <c r="AL50" s="11" t="str">
        <f t="shared" ref="AL50:AL81" ca="1" si="15">IF(IFERROR(MATCH(TRUE,$AK:$AK,0)&gt;0,FALSE),"",IF(OFFSET($AK50,1,0)="","Please enlarge the table!",""))</f>
        <v/>
      </c>
      <c r="AM50" s="11" cm="1">
        <f t="array" aca="1" ref="AM50" ca="1">CreateID($AM$17,$AL50&lt;&gt;"")</f>
        <v>0</v>
      </c>
      <c r="AN50" s="11" t="str" cm="1">
        <f t="array" aca="1" ref="AN50" ca="1">IF($O50,"",
_xlfn.LET(
_xlpm._this,SanitizeInput($A50)&amp;AT50,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50" s="11" t="str" cm="1">
        <f t="array" aca="1" ref="AO50" ca="1">IF($O50,"",_xlfn.LET(
_xlpm._listOfRisksAndLevels,SanitizeInput($AN50),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_xlpm._shortenedList,IF($H50="",_xlpm._risksWithMaxValue,
  IF(LEN(_xlpm._risksWithMaxValue)-LEN(SUBSTITUTE(_xlpm._risksWithMaxValue,",",""))&lt;=$H50,_xlpm._risksWithMaxValue,
    LEFT(_xlpm._risksWithMaxValue,FIND(CHAR(1),SUBSTITUTE(_xlpm._risksWithMaxValue,",",CHAR(1),$H50))))),
IF(_xlpm._maxRiskValue="","",
  _xlpm._lineMainSeparator&amp;
  INDEX(Definitions!$AE:$AE,MATCH(_xlpm._maxRiskValue,Definitions!$AF:$AF,0))&amp;CHAR(10)&amp;
  _xlpm._lineMainSeparator&amp;
  RemoveDelimiter(GetValues(_xlpm._shortenedList,Risks!$A:$B," ",CHAR(10)&amp;_xlpm._lineMainSeparator,TRUE),CHAR(10)&amp;_xlpm._lineMainSeparator))))</f>
        <v/>
      </c>
      <c r="AP50" s="11" t="str" cm="1">
        <f t="array" aca="1" ref="AP50" ca="1">IF($O50,"",_xlfn.LET(
_xlpm._lineMainSeparator,REPT(_xlfn.UNICHAR(9552),63)&amp;CHAR(10),
_xlpm._affectedRisks,InverseLookupList(SanitizeInput($A50)&amp;$AT50,Risks!$AX$2,Risks!$A$2,Helper!$B$1,","),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_xlpm._shortenedList,IF($H50="",_xlpm._risksWithMaxValue,
  IF(LEN(_xlpm._risksWithMaxValue)-LEN(SUBSTITUTE(_xlpm._risksWithMaxValue,",",""))&lt;=$H50,_xlpm._risksWithMaxValue,
    LEFT(_xlpm._risksWithMaxValue,FIND(CHAR(1),SUBSTITUTE(_xlpm._risksWithMaxValue,",",CHAR(1),$H50))))),
IF(_xlpm._maxRiskValue="","",
  _xlpm._lineMainSeparator&amp;
  INDEX(Definitions!$AE:$AE,MATCH(_xlpm._maxRiskValue,Definitions!$AF:$AF,0))&amp;CHAR(10)&amp;
  _xlpm._lineMainSeparator&amp;
  RemoveDelimiter(GetValues(_xlpm._shortenedList,Risks!$A:$B," ",CHAR(10)&amp;_xlpm._lineMainSeparator,TRUE),CHAR(10)&amp;_xlpm._lineMainSeparator))))</f>
        <v/>
      </c>
      <c r="AQ50" s="11" t="str" cm="1">
        <f t="array" aca="1" ref="AQ50" ca="1">IF(NOT($O50),"",
_xlfn.LET(
_xlpm._potentialASID,$Y50,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_xlpm._commentsFiltered,SUBSTITUTE(GetValues(_xlpm._attackSteps,Mitigation!$A:$O,"","",FALSE),$X50,""),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50" s="11" t="str" cm="1">
        <f t="array" aca="1" ref="AR50" ca="1">IF(NOT($O50),"",_xlfn.LET(
_xlpm._listOfRisksAndLevels,SanitizeInput($AQ50),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_xlpm._shortenedList,IF($H50="",_xlpm._risksWithMaxValue,
  IF(LEN(_xlpm._risksWithMaxValue)-LEN(SUBSTITUTE(_xlpm._risksWithMaxValue,",",""))&lt;=$H50,_xlpm._risksWithMaxValue,
    LEFT(_xlpm._risksWithMaxValue,FIND(CHAR(1),SUBSTITUTE(_xlpm._risksWithMaxValue,",",CHAR(1),$H50))))),
IF(_xlpm._maxRiskValue="","",
  _xlpm._lineMainSeparator&amp;
  INDEX(Definitions!$AE:$AE,MATCH(_xlpm._maxRiskValue,Definitions!$AF:$AF,0))&amp;CHAR(10)&amp;
  _xlpm._lineMainSeparator&amp;
  RemoveDelimiter(GetValues(_xlpm._shortenedList,Risks!$A:$B," ",CHAR(10)&amp;_xlpm._lineMainSeparator,TRUE),CHAR(10)&amp;_xlpm._lineMainSeparator))))</f>
        <v/>
      </c>
      <c r="AS50" s="11" t="str" cm="1">
        <f t="array" aca="1" ref="AS50" ca="1">IF(NOT($O50),"",
_xlfn.LET(
_xlpm._lineMainSeparator,REPT(_xlfn.UNICHAR(9552),63)&amp;CHAR(10),
_xlpm._potentialASID,$Y50,
_xlpm._risk,IFERROR(SimpleLookup(_xlpm._potentialASID,Mitigation!$A:$N),""),
_xlpm._attackPaths,IFERROR(SimpleLookup(_xlpm._potentialASID,Mitigation!$A:$M),""),
IF(_xlpm._risk="","",
_xlpm._lineMainSeparator&amp;
_xlpm._risk&amp;CHAR(10)&amp;
_xlpm._lineMainSeparator&amp;
_xlpm._attackPaths)))</f>
        <v/>
      </c>
      <c r="AT50" s="11" t="str" cm="1">
        <f t="array" aca="1" ref="AT50" ca="1">InverseLookup($A50,Countermeasures!$AA$2,Countermeasures!$A$2,1,Helper!$B$4,",")</f>
        <v/>
      </c>
    </row>
    <row r="51" spans="1:46" x14ac:dyDescent="0.25">
      <c r="A51" s="106" t="str">
        <f ca="1">_xlfn.LET(
_xlpm._isAssumption,$M51,
_xlpm._row,$N51,
_xlpm._numActiveAssumptions,Helper!$B$8,
_xlpm._numActiveCountermeasures,Helper!$B$9,
_xlpm._numAdditionalAssumptions,Helper!$B$10,
_xlpm._numAdditionalCountermeasures,Helper!$B$11,
IF(_xlpm._isAssumption,
IF(_xlpm._row&gt;_xlpm._numActiveAssumptions,
$Y51&amp;"-A"&amp;$T51,
INDEX(Assumptions!A:A,MATCH(_xlpm._row,Assumptions!$AC:$AC,0))),
IF(_xlpm._row&gt;_xlpm._numActiveCountermeasures+_xlpm._numAdditionalCountermeasures,"",
IF(_xlpm._row&gt;_xlpm._numActiveCountermeasures,
$Y51&amp;"-C"&amp;$T51,
INDEX(Countermeasures!$A:$A,MATCH(_xlpm._row,Countermeasures!$AE:$AE,0))))))</f>
        <v/>
      </c>
      <c r="B51" s="106" t="str" cm="1">
        <f t="array" aca="1" ref="B51" ca="1">IF($A51="","",
_xlfn.LET(
_xlpm._isAssumption,$M51,
_xlpm._isAdditionalElement,$O51,
IF(_xlpm._isAdditionalElement,
IF(_xlpm._isAssumption,
ParseElementsFromComment($X51,Definitions!$AR$4,Definitions!$AS$4,Definitions!$AR$6,$T51),
ParseElementsFromComment($X51,Definitions!$AR$5,Definitions!$AS$5,Definitions!$AR$6,$T51)),
_xlfn.LET(_xlpm._value,IF($A51="","",IF($M51,SimpleLookup($A51,Assumptions!$A:$B),SimpleLookup($A51,Countermeasures!$A:$B))),IF(_xlpm._value="","",_xlpm._value)))))</f>
        <v/>
      </c>
      <c r="C51" s="106" t="str" cm="1">
        <f t="array" aca="1" ref="C51" ca="1">IF($A51="","",IF($M51,IFERROR(SimpleLookup($A51,Assumptions!$A:$E),""),Definitions!$AO$4))</f>
        <v/>
      </c>
      <c r="D51" s="103" t="str">
        <f t="shared" ca="1" si="9"/>
        <v/>
      </c>
      <c r="E51" s="107"/>
      <c r="F51" s="108" t="str">
        <f t="shared" ca="1" si="10"/>
        <v/>
      </c>
      <c r="G51" s="102" t="str" cm="1">
        <f t="array" aca="1" ref="G51" ca="1">_xlfn.LET(_xlpm._val,IFERROR(SimpleLookup($A51,Countermeasures!$A:$S),IFERROR(SimpleLookup($A51,Assumptions!$A:$S),"")),IF(_xlpm._val="","",_xlpm._val))</f>
        <v/>
      </c>
      <c r="H51" s="109" t="str">
        <f>""</f>
        <v/>
      </c>
      <c r="I51" s="102" t="str">
        <f t="shared" ca="1" si="11"/>
        <v/>
      </c>
      <c r="J51" s="102" t="str">
        <f t="shared" ca="1" si="12"/>
        <v/>
      </c>
      <c r="K51" s="106" t="str" cm="1">
        <f t="array" aca="1" ref="K51" ca="1">_xlfn.LET(_xlpm._value,IF($A51="","",IFERROR(IF($M51,SimpleLookup($A51,Assumptions!$A:$T),SimpleLookup($A51,Countermeasures!$A:$T)),"")),
IF(_xlpm._value="","",_xlpm._value))</f>
        <v/>
      </c>
      <c r="L51" s="9" cm="1">
        <f t="array" aca="1" ref="L51" ca="1">CreateID($L$17,$A51&lt;&gt;"")</f>
        <v>11</v>
      </c>
      <c r="M51" s="9" t="b">
        <f ca="1">_xlfn.LET(_xlpm._row,ROW()-ROW($N$17),
_xlpm._numActiveAssumptions,Helper!$B$8,
_xlpm._numAdditionalAssumptions,SUM(Table24['# Elements]),
_xlpm._row&lt;=_xlpm._numActiveAssumptions+_xlpm._numAdditionalAssumptions)</f>
        <v>0</v>
      </c>
      <c r="N51" s="9">
        <f ca="1">_xlfn.LET(_xlpm._row,ROW()-ROW($N$17),
_xlpm._numActiveAssumptions,Helper!$B$8,
_xlpm._numAdditionalAssumptions,Helper!$B$10,
_xlpm._isAssumption,$M51,
_xlpm._elementID,IF(_xlpm._isAssumption,_xlpm._row,_xlpm._row-_xlpm._numActiveAssumptions-_xlpm._numAdditionalAssumptions),
_xlpm._elementID)</f>
        <v>30</v>
      </c>
      <c r="O51"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51" s="11" cm="1">
        <f t="array" aca="1" ref="P51" ca="1">IF($O51,
IF(ROW()=ROW($P$17)+1,1,INDEX($P:$P,ROW()-1)+IF(INDEX($W:$W,ROW()-1),1,0)),
1)</f>
        <v>1</v>
      </c>
      <c r="Q51" s="11" t="str" cm="1">
        <f t="array" aca="1" ref="Q51" ca="1">IF($O51=TRUE,
_xlfn.LET(
_xlpm._isAssumption,$M51,
_xlpm._indexRange,IF(_xlpm._isAssumption,Table24['# Elements],Table25['# Elements]),
_xlpm._lookupRow,$Z51,
INDEX(_xlpm._indexRange,_xlpm._lookupRow)),
"")</f>
        <v/>
      </c>
      <c r="R51" s="11" t="str" cm="1">
        <f t="array" aca="1" ref="R51" ca="1">IF($Q51="","",_xlfn.LET(
_xlpm._prevRow,ROW()-1,
IF(OR(INDEX($Q:$Q,_xlpm._prevRow)&lt;&gt;$Q51,INDEX($P:$P,_xlpm._prevRow)&lt;&gt;$P51),
1,
INDEX($R:$R,_xlpm._prevRow)+IF(INDEX($V:$V,_xlpm._prevRow),1,0))))</f>
        <v/>
      </c>
      <c r="S51" s="11" t="str" cm="1">
        <f t="array" aca="1" ref="S51" ca="1">IF($R51="","",_xlfn.LET(
_xlpm._isAssumption,$M51,
_xlpm._sheetRow,$Z51,
_xlpm._sheetName,$AA51,
_xlpm._elementIDRange,IF(_xlpm._isAssumption,Table24[Element ID Column],Table25[Element ID Column]),
_xlpm._numberOfElementsRange,IF(_xlpm._isAssumption,Table24[Number of Elements Column],Table25[Number of Elements Column]),
SimpleLookup($R51,INDIRECT("'"&amp;_xlpm._sheetName&amp;"'!"&amp;INDEX(_xlpm._elementIDRange,_xlpm._sheetRow)&amp;":"&amp;INDEX(_xlpm._numberOfElementsRange,_xlpm._sheetRow)))))</f>
        <v/>
      </c>
      <c r="T51" s="11" t="str" cm="1">
        <f t="array" aca="1" ref="T51" ca="1">IF($R51="","",IF(OR(INDEX($R:$R,ROW()-1)&lt;&gt;$R51,INDEX($P:$P,ROW()-1)&lt;&gt;$P51),1,INDEX($T:$T,ROW()-1)+1))</f>
        <v/>
      </c>
      <c r="U51" s="11">
        <f t="shared" ca="1" si="13"/>
        <v>0</v>
      </c>
      <c r="V51" s="11" t="str">
        <f t="shared" ca="1" si="14"/>
        <v/>
      </c>
      <c r="W51" s="11" t="b">
        <f ca="1">_xlfn.LET(
_xlpm._isAssumption,$M51,
_xlpm._numberOfElementsRange,IF(_xlpm._isAssumption,Table24['# Elements],Table25['# Elements]),
_xlpm._sheetRow,$Z51,
IF($O51,AND($V51,$U51=$Q51),FALSE))</f>
        <v>0</v>
      </c>
      <c r="X51" s="11" t="str" cm="1">
        <f t="array" aca="1" ref="X51" ca="1">IF($O51,
_xlfn.LET(
_xlpm._elementID,$R51,
_xlpm._isAssumption,$M51,
_xlpm._sheetRow,$Z51,
_xlpm._sheetName,$AA51,
_xlpm._elementRow,$AB51,
_xlpm._resultColumnLetter,IF(_xlpm._isAssumption,INDEX(Table24[Comment Column],_xlpm._sheetRow),INDEX(Table25[Comment Column],_xlpm._sheetRow)),
INDEX(INDIRECT("'"&amp;_xlpm._sheetName&amp;"'!"&amp;_xlpm._resultColumnLetter&amp;":"&amp;_xlpm._resultColumnLetter),_xlpm._elementRow)),
"")</f>
        <v/>
      </c>
      <c r="Y51" s="11" t="str" cm="1">
        <f t="array" aca="1" ref="Y51" ca="1">IF($O51,
_xlfn.LET(
_xlpm._elementID,$R51,
_xlpm._isAssumption,$M51,
_xlpm._sheetRow,$Z51,
_xlpm._sheetName,$AA51,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51" s="11" t="str">
        <f ca="1">IF($O51=TRUE,
_xlfn.LET(
_xlpm._isAssumption,$M51,
_xlpm._searchRange,IF(_xlpm._isAssumption,Table24[Task Sheet Shadow ID],Table25[Task Sheet Shadow ID]),
MATCH($P51,_xlpm._searchRange,0)),
"")</f>
        <v/>
      </c>
      <c r="AA51" s="11" t="str" cm="1">
        <f t="array" aca="1" ref="AA51" ca="1">IF($O51,
_xlfn.LET(
_xlpm._isAssumption,$M51,
_xlpm._sheetRow,$Z51,
IF(_xlpm._isAssumption,INDEX(Table24[Sheet Name],_xlpm._sheetRow),INDEX(Table25[Sheet Name],_xlpm._sheetRow))),
"")</f>
        <v/>
      </c>
      <c r="AB51" s="11" t="str" cm="1">
        <f t="array" aca="1" ref="AB51" ca="1">IF($O51,
_xlfn.LET(
_xlpm._elementID,$R51,
_xlpm._isAssumption,$M51,
_xlpm._sheetRow,$Z51,
_xlpm._sheetName,$AA51,
_xlpm._elementIDColumnLetter,IF(_xlpm._isAssumption,INDEX(Table24[Element ID Column],_xlpm._sheetRow),INDEX(Table25[Element ID Column],_xlpm._sheetRow)),
MATCH(_xlpm._elementID,INDIRECT("'"&amp;_xlpm._sheetName&amp;"'!"&amp;_xlpm._elementIDColumnLetter&amp;":"&amp;_xlpm._elementIDColumnLetter),0)),
"")</f>
        <v/>
      </c>
      <c r="AC51" s="11" t="str" cm="1">
        <f t="array" aca="1" ref="AC51" ca="1">IF($A51="","",_xlfn.LET(
_xlpm._isAssumption,$M51,
_xlpm._isAdditionalElement,$O51,
_xlpm._sheetRow,$Z51,
_xlpm._sheetName,$AA51,
_xlpm._columnLetter,INDEX(IF(_xlpm._isAdditionalElement,Table24[Comment Column],Table25[Comment Column]),_xlpm._sheetRow),
_xlpm._sheetReference,IF(_xlpm._isAssumption,IF(_xlpm._isAdditionalElement,
CELL("address",INDEX(INDIRECT("'"&amp;_xlpm._sheetName&amp;"'!"&amp;_xlpm._columnLetter&amp;":"&amp;_xlpm._columnLetter),$AB51)),
CELL("address",INDEX(Assumptions!$A:$A,MATCH($A51,Assumptions!$A:$A,0),1))),
IF(_xlpm._isAdditionalElement,
CELL("address",INDEX(INDIRECT("'"&amp;_xlpm._sheetName&amp;"'!"&amp;_xlpm._columnLetter&amp;":"&amp;_xlpm._columnLetter),$AB51)),
CELL("address",INDEX(Countermeasures!$A:$A,MATCH($A51,Countermeasures!$A:$A,0),1)))),
_xlpm._start,FIND("]",_xlpm._sheetReference),
"'"&amp;SUBSTITUTE(SUBSTITUTE(RIGHT(_xlpm._sheetReference,LEN(_xlpm._sheetReference)-_xlpm._start),"'",""),"!","'!")))</f>
        <v/>
      </c>
      <c r="AD51" s="11" t="str" cm="1">
        <f t="array" aca="1" ref="AD51" ca="1">IF(NOT($O51),
_xlfn.LET(_xlpm._value,IF($A51="","",IF($M51,SimpleLookup($A51,Assumptions!$A:$AG),SimpleLookup($A51,Countermeasures!$A:$AJ))),
IF(_xlpm._value="","",_xlpm._value)),
"")</f>
        <v/>
      </c>
      <c r="AE51" s="11" t="str" cm="1">
        <f t="array" aca="1" ref="AE51" ca="1">LookupNames(InverseLookup($A51,Mitigation!$AD$2,Mitigation!$A$2,1,Helper!$B$5,","),'Attack Steps'!$A:$B)</f>
        <v/>
      </c>
      <c r="AF51" s="11" t="str" cm="1">
        <f t="array" aca="1" ref="AF51" ca="1">IF($O51,
_xlfn.LET(
_xlpm._in,$A51,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51" s="11" t="str" cm="1">
        <f t="array" aca="1" ref="AG51" ca="1">_xlfn.LET(
_xlpm._countermeasures,InverseLookup($A51,Countermeasures!$AC$2,Countermeasures!$A$2,1,Helper!$B$4,","),
LookupNames(_xlpm._countermeasures,Countermeasures!$A:$B))</f>
        <v/>
      </c>
      <c r="AH51" s="11" t="str" cm="1">
        <f t="array" aca="1" ref="AH51" ca="1">IF($E51="","",_xlfn.LET(
_xlpm._id,$E51,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51" s="11" t="str" cm="1">
        <f t="array" aca="1" ref="AI51" ca="1">IF(OR($A51="",$O51),"",_xlfn.LET(
_xlpm._answers,IF($M51,SimpleLookup($A51,Assumptions!$A:$F),SimpleLookup($A51,Countermeasures!$A:$D)),
IF(_xlpm._answers="*",IF($M51,SimpleLookup($A51,Assumptions!$A:$C),SimpleLookup($A51,Countermeasures!$A:$C)),"")))</f>
        <v/>
      </c>
      <c r="AJ51" s="11" t="str" cm="1">
        <f t="array" aca="1" ref="AJ51" ca="1">IF(NOT($O51),"",_xlfn.LET(
_xlpm._mappedInMitigation,IFERROR(VLOOKUP($Y51,'Attack Steps'!$A:$P,COLUMNS('Attack Steps'!$A:$P),FALSE),""),
CreateSearchString(_xlpm._mappedInMitigation)))</f>
        <v/>
      </c>
      <c r="AK51" s="11" t="b">
        <f ca="1">ROW()-ROW($AK$17)=Helper!$B$15</f>
        <v>0</v>
      </c>
      <c r="AL51" s="11" t="str">
        <f t="shared" ca="1" si="15"/>
        <v/>
      </c>
      <c r="AM51" s="11" cm="1">
        <f t="array" aca="1" ref="AM51" ca="1">CreateID($AM$17,$AL51&lt;&gt;"")</f>
        <v>0</v>
      </c>
      <c r="AN51" s="11" t="str" cm="1">
        <f t="array" aca="1" ref="AN51" ca="1">IF($O51,"",
_xlfn.LET(
_xlpm._this,SanitizeInput($A51)&amp;AT51,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51" s="11" t="str" cm="1">
        <f t="array" aca="1" ref="AO51" ca="1">IF($O51,"",_xlfn.LET(
_xlpm._listOfRisksAndLevels,SanitizeInput($AN51),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_xlpm._shortenedList,IF($H51="",_xlpm._risksWithMaxValue,
  IF(LEN(_xlpm._risksWithMaxValue)-LEN(SUBSTITUTE(_xlpm._risksWithMaxValue,",",""))&lt;=$H51,_xlpm._risksWithMaxValue,
    LEFT(_xlpm._risksWithMaxValue,FIND(CHAR(1),SUBSTITUTE(_xlpm._risksWithMaxValue,",",CHAR(1),$H51))))),
IF(_xlpm._maxRiskValue="","",
  _xlpm._lineMainSeparator&amp;
  INDEX(Definitions!$AE:$AE,MATCH(_xlpm._maxRiskValue,Definitions!$AF:$AF,0))&amp;CHAR(10)&amp;
  _xlpm._lineMainSeparator&amp;
  RemoveDelimiter(GetValues(_xlpm._shortenedList,Risks!$A:$B," ",CHAR(10)&amp;_xlpm._lineMainSeparator,TRUE),CHAR(10)&amp;_xlpm._lineMainSeparator))))</f>
        <v/>
      </c>
      <c r="AP51" s="11" t="str" cm="1">
        <f t="array" aca="1" ref="AP51" ca="1">IF($O51,"",_xlfn.LET(
_xlpm._lineMainSeparator,REPT(_xlfn.UNICHAR(9552),63)&amp;CHAR(10),
_xlpm._affectedRisks,InverseLookupList(SanitizeInput($A51)&amp;$AT51,Risks!$AX$2,Risks!$A$2,Helper!$B$1,","),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_xlpm._shortenedList,IF($H51="",_xlpm._risksWithMaxValue,
  IF(LEN(_xlpm._risksWithMaxValue)-LEN(SUBSTITUTE(_xlpm._risksWithMaxValue,",",""))&lt;=$H51,_xlpm._risksWithMaxValue,
    LEFT(_xlpm._risksWithMaxValue,FIND(CHAR(1),SUBSTITUTE(_xlpm._risksWithMaxValue,",",CHAR(1),$H51))))),
IF(_xlpm._maxRiskValue="","",
  _xlpm._lineMainSeparator&amp;
  INDEX(Definitions!$AE:$AE,MATCH(_xlpm._maxRiskValue,Definitions!$AF:$AF,0))&amp;CHAR(10)&amp;
  _xlpm._lineMainSeparator&amp;
  RemoveDelimiter(GetValues(_xlpm._shortenedList,Risks!$A:$B," ",CHAR(10)&amp;_xlpm._lineMainSeparator,TRUE),CHAR(10)&amp;_xlpm._lineMainSeparator))))</f>
        <v/>
      </c>
      <c r="AQ51" s="11" t="str" cm="1">
        <f t="array" aca="1" ref="AQ51" ca="1">IF(NOT($O51),"",
_xlfn.LET(
_xlpm._potentialASID,$Y51,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_xlpm._commentsFiltered,SUBSTITUTE(GetValues(_xlpm._attackSteps,Mitigation!$A:$O,"","",FALSE),$X51,""),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51" s="11" t="str" cm="1">
        <f t="array" aca="1" ref="AR51" ca="1">IF(NOT($O51),"",_xlfn.LET(
_xlpm._listOfRisksAndLevels,SanitizeInput($AQ51),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_xlpm._shortenedList,IF($H51="",_xlpm._risksWithMaxValue,
  IF(LEN(_xlpm._risksWithMaxValue)-LEN(SUBSTITUTE(_xlpm._risksWithMaxValue,",",""))&lt;=$H51,_xlpm._risksWithMaxValue,
    LEFT(_xlpm._risksWithMaxValue,FIND(CHAR(1),SUBSTITUTE(_xlpm._risksWithMaxValue,",",CHAR(1),$H51))))),
IF(_xlpm._maxRiskValue="","",
  _xlpm._lineMainSeparator&amp;
  INDEX(Definitions!$AE:$AE,MATCH(_xlpm._maxRiskValue,Definitions!$AF:$AF,0))&amp;CHAR(10)&amp;
  _xlpm._lineMainSeparator&amp;
  RemoveDelimiter(GetValues(_xlpm._shortenedList,Risks!$A:$B," ",CHAR(10)&amp;_xlpm._lineMainSeparator,TRUE),CHAR(10)&amp;_xlpm._lineMainSeparator))))</f>
        <v/>
      </c>
      <c r="AS51" s="11" t="str" cm="1">
        <f t="array" aca="1" ref="AS51" ca="1">IF(NOT($O51),"",
_xlfn.LET(
_xlpm._lineMainSeparator,REPT(_xlfn.UNICHAR(9552),63)&amp;CHAR(10),
_xlpm._potentialASID,$Y51,
_xlpm._risk,IFERROR(SimpleLookup(_xlpm._potentialASID,Mitigation!$A:$N),""),
_xlpm._attackPaths,IFERROR(SimpleLookup(_xlpm._potentialASID,Mitigation!$A:$M),""),
IF(_xlpm._risk="","",
_xlpm._lineMainSeparator&amp;
_xlpm._risk&amp;CHAR(10)&amp;
_xlpm._lineMainSeparator&amp;
_xlpm._attackPaths)))</f>
        <v/>
      </c>
      <c r="AT51" s="11" t="str" cm="1">
        <f t="array" aca="1" ref="AT51" ca="1">InverseLookup($A51,Countermeasures!$AA$2,Countermeasures!$A$2,1,Helper!$B$4,",")</f>
        <v/>
      </c>
    </row>
    <row r="52" spans="1:46" x14ac:dyDescent="0.25">
      <c r="A52" s="106" t="str">
        <f ca="1">_xlfn.LET(
_xlpm._isAssumption,$M52,
_xlpm._row,$N52,
_xlpm._numActiveAssumptions,Helper!$B$8,
_xlpm._numActiveCountermeasures,Helper!$B$9,
_xlpm._numAdditionalAssumptions,Helper!$B$10,
_xlpm._numAdditionalCountermeasures,Helper!$B$11,
IF(_xlpm._isAssumption,
IF(_xlpm._row&gt;_xlpm._numActiveAssumptions,
$Y52&amp;"-A"&amp;$T52,
INDEX(Assumptions!A:A,MATCH(_xlpm._row,Assumptions!$AC:$AC,0))),
IF(_xlpm._row&gt;_xlpm._numActiveCountermeasures+_xlpm._numAdditionalCountermeasures,"",
IF(_xlpm._row&gt;_xlpm._numActiveCountermeasures,
$Y52&amp;"-C"&amp;$T52,
INDEX(Countermeasures!$A:$A,MATCH(_xlpm._row,Countermeasures!$AE:$AE,0))))))</f>
        <v/>
      </c>
      <c r="B52" s="106" t="str" cm="1">
        <f t="array" aca="1" ref="B52" ca="1">IF($A52="","",
_xlfn.LET(
_xlpm._isAssumption,$M52,
_xlpm._isAdditionalElement,$O52,
IF(_xlpm._isAdditionalElement,
IF(_xlpm._isAssumption,
ParseElementsFromComment($X52,Definitions!$AR$4,Definitions!$AS$4,Definitions!$AR$6,$T52),
ParseElementsFromComment($X52,Definitions!$AR$5,Definitions!$AS$5,Definitions!$AR$6,$T52)),
_xlfn.LET(_xlpm._value,IF($A52="","",IF($M52,SimpleLookup($A52,Assumptions!$A:$B),SimpleLookup($A52,Countermeasures!$A:$B))),IF(_xlpm._value="","",_xlpm._value)))))</f>
        <v/>
      </c>
      <c r="C52" s="106" t="str" cm="1">
        <f t="array" aca="1" ref="C52" ca="1">IF($A52="","",IF($M52,IFERROR(SimpleLookup($A52,Assumptions!$A:$E),""),Definitions!$AO$4))</f>
        <v/>
      </c>
      <c r="D52" s="103" t="str">
        <f t="shared" ca="1" si="9"/>
        <v/>
      </c>
      <c r="E52" s="107"/>
      <c r="F52" s="108" t="str">
        <f t="shared" ca="1" si="10"/>
        <v/>
      </c>
      <c r="G52" s="102" t="str" cm="1">
        <f t="array" aca="1" ref="G52" ca="1">_xlfn.LET(_xlpm._val,IFERROR(SimpleLookup($A52,Countermeasures!$A:$S),IFERROR(SimpleLookup($A52,Assumptions!$A:$S),"")),IF(_xlpm._val="","",_xlpm._val))</f>
        <v/>
      </c>
      <c r="H52" s="109" t="str">
        <f>""</f>
        <v/>
      </c>
      <c r="I52" s="102" t="str">
        <f t="shared" ca="1" si="11"/>
        <v/>
      </c>
      <c r="J52" s="102" t="str">
        <f t="shared" ca="1" si="12"/>
        <v/>
      </c>
      <c r="K52" s="106" t="str" cm="1">
        <f t="array" aca="1" ref="K52" ca="1">_xlfn.LET(_xlpm._value,IF($A52="","",IFERROR(IF($M52,SimpleLookup($A52,Assumptions!$A:$T),SimpleLookup($A52,Countermeasures!$A:$T)),"")),
IF(_xlpm._value="","",_xlpm._value))</f>
        <v/>
      </c>
      <c r="L52" s="9" cm="1">
        <f t="array" aca="1" ref="L52" ca="1">CreateID($L$17,$A52&lt;&gt;"")</f>
        <v>11</v>
      </c>
      <c r="M52" s="9" t="b">
        <f ca="1">_xlfn.LET(_xlpm._row,ROW()-ROW($N$17),
_xlpm._numActiveAssumptions,Helper!$B$8,
_xlpm._numAdditionalAssumptions,SUM(Table24['# Elements]),
_xlpm._row&lt;=_xlpm._numActiveAssumptions+_xlpm._numAdditionalAssumptions)</f>
        <v>0</v>
      </c>
      <c r="N52" s="9">
        <f ca="1">_xlfn.LET(_xlpm._row,ROW()-ROW($N$17),
_xlpm._numActiveAssumptions,Helper!$B$8,
_xlpm._numAdditionalAssumptions,Helper!$B$10,
_xlpm._isAssumption,$M52,
_xlpm._elementID,IF(_xlpm._isAssumption,_xlpm._row,_xlpm._row-_xlpm._numActiveAssumptions-_xlpm._numAdditionalAssumptions),
_xlpm._elementID)</f>
        <v>31</v>
      </c>
      <c r="O52"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52" s="11" cm="1">
        <f t="array" aca="1" ref="P52" ca="1">IF($O52,
IF(ROW()=ROW($P$17)+1,1,INDEX($P:$P,ROW()-1)+IF(INDEX($W:$W,ROW()-1),1,0)),
1)</f>
        <v>1</v>
      </c>
      <c r="Q52" s="11" t="str" cm="1">
        <f t="array" aca="1" ref="Q52" ca="1">IF($O52=TRUE,
_xlfn.LET(
_xlpm._isAssumption,$M52,
_xlpm._indexRange,IF(_xlpm._isAssumption,Table24['# Elements],Table25['# Elements]),
_xlpm._lookupRow,$Z52,
INDEX(_xlpm._indexRange,_xlpm._lookupRow)),
"")</f>
        <v/>
      </c>
      <c r="R52" s="11" t="str" cm="1">
        <f t="array" aca="1" ref="R52" ca="1">IF($Q52="","",_xlfn.LET(
_xlpm._prevRow,ROW()-1,
IF(OR(INDEX($Q:$Q,_xlpm._prevRow)&lt;&gt;$Q52,INDEX($P:$P,_xlpm._prevRow)&lt;&gt;$P52),
1,
INDEX($R:$R,_xlpm._prevRow)+IF(INDEX($V:$V,_xlpm._prevRow),1,0))))</f>
        <v/>
      </c>
      <c r="S52" s="11" t="str" cm="1">
        <f t="array" aca="1" ref="S52" ca="1">IF($R52="","",_xlfn.LET(
_xlpm._isAssumption,$M52,
_xlpm._sheetRow,$Z52,
_xlpm._sheetName,$AA52,
_xlpm._elementIDRange,IF(_xlpm._isAssumption,Table24[Element ID Column],Table25[Element ID Column]),
_xlpm._numberOfElementsRange,IF(_xlpm._isAssumption,Table24[Number of Elements Column],Table25[Number of Elements Column]),
SimpleLookup($R52,INDIRECT("'"&amp;_xlpm._sheetName&amp;"'!"&amp;INDEX(_xlpm._elementIDRange,_xlpm._sheetRow)&amp;":"&amp;INDEX(_xlpm._numberOfElementsRange,_xlpm._sheetRow)))))</f>
        <v/>
      </c>
      <c r="T52" s="11" t="str" cm="1">
        <f t="array" aca="1" ref="T52" ca="1">IF($R52="","",IF(OR(INDEX($R:$R,ROW()-1)&lt;&gt;$R52,INDEX($P:$P,ROW()-1)&lt;&gt;$P52),1,INDEX($T:$T,ROW()-1)+1))</f>
        <v/>
      </c>
      <c r="U52" s="11">
        <f t="shared" ca="1" si="13"/>
        <v>0</v>
      </c>
      <c r="V52" s="11" t="str">
        <f t="shared" ca="1" si="14"/>
        <v/>
      </c>
      <c r="W52" s="11" t="b">
        <f ca="1">_xlfn.LET(
_xlpm._isAssumption,$M52,
_xlpm._numberOfElementsRange,IF(_xlpm._isAssumption,Table24['# Elements],Table25['# Elements]),
_xlpm._sheetRow,$Z52,
IF($O52,AND($V52,$U52=$Q52),FALSE))</f>
        <v>0</v>
      </c>
      <c r="X52" s="11" t="str" cm="1">
        <f t="array" aca="1" ref="X52" ca="1">IF($O52,
_xlfn.LET(
_xlpm._elementID,$R52,
_xlpm._isAssumption,$M52,
_xlpm._sheetRow,$Z52,
_xlpm._sheetName,$AA52,
_xlpm._elementRow,$AB52,
_xlpm._resultColumnLetter,IF(_xlpm._isAssumption,INDEX(Table24[Comment Column],_xlpm._sheetRow),INDEX(Table25[Comment Column],_xlpm._sheetRow)),
INDEX(INDIRECT("'"&amp;_xlpm._sheetName&amp;"'!"&amp;_xlpm._resultColumnLetter&amp;":"&amp;_xlpm._resultColumnLetter),_xlpm._elementRow)),
"")</f>
        <v/>
      </c>
      <c r="Y52" s="11" t="str" cm="1">
        <f t="array" aca="1" ref="Y52" ca="1">IF($O52,
_xlfn.LET(
_xlpm._elementID,$R52,
_xlpm._isAssumption,$M52,
_xlpm._sheetRow,$Z52,
_xlpm._sheetName,$AA52,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52" s="11" t="str">
        <f ca="1">IF($O52=TRUE,
_xlfn.LET(
_xlpm._isAssumption,$M52,
_xlpm._searchRange,IF(_xlpm._isAssumption,Table24[Task Sheet Shadow ID],Table25[Task Sheet Shadow ID]),
MATCH($P52,_xlpm._searchRange,0)),
"")</f>
        <v/>
      </c>
      <c r="AA52" s="11" t="str" cm="1">
        <f t="array" aca="1" ref="AA52" ca="1">IF($O52,
_xlfn.LET(
_xlpm._isAssumption,$M52,
_xlpm._sheetRow,$Z52,
IF(_xlpm._isAssumption,INDEX(Table24[Sheet Name],_xlpm._sheetRow),INDEX(Table25[Sheet Name],_xlpm._sheetRow))),
"")</f>
        <v/>
      </c>
      <c r="AB52" s="11" t="str" cm="1">
        <f t="array" aca="1" ref="AB52" ca="1">IF($O52,
_xlfn.LET(
_xlpm._elementID,$R52,
_xlpm._isAssumption,$M52,
_xlpm._sheetRow,$Z52,
_xlpm._sheetName,$AA52,
_xlpm._elementIDColumnLetter,IF(_xlpm._isAssumption,INDEX(Table24[Element ID Column],_xlpm._sheetRow),INDEX(Table25[Element ID Column],_xlpm._sheetRow)),
MATCH(_xlpm._elementID,INDIRECT("'"&amp;_xlpm._sheetName&amp;"'!"&amp;_xlpm._elementIDColumnLetter&amp;":"&amp;_xlpm._elementIDColumnLetter),0)),
"")</f>
        <v/>
      </c>
      <c r="AC52" s="11" t="str" cm="1">
        <f t="array" aca="1" ref="AC52" ca="1">IF($A52="","",_xlfn.LET(
_xlpm._isAssumption,$M52,
_xlpm._isAdditionalElement,$O52,
_xlpm._sheetRow,$Z52,
_xlpm._sheetName,$AA52,
_xlpm._columnLetter,INDEX(IF(_xlpm._isAdditionalElement,Table24[Comment Column],Table25[Comment Column]),_xlpm._sheetRow),
_xlpm._sheetReference,IF(_xlpm._isAssumption,IF(_xlpm._isAdditionalElement,
CELL("address",INDEX(INDIRECT("'"&amp;_xlpm._sheetName&amp;"'!"&amp;_xlpm._columnLetter&amp;":"&amp;_xlpm._columnLetter),$AB52)),
CELL("address",INDEX(Assumptions!$A:$A,MATCH($A52,Assumptions!$A:$A,0),1))),
IF(_xlpm._isAdditionalElement,
CELL("address",INDEX(INDIRECT("'"&amp;_xlpm._sheetName&amp;"'!"&amp;_xlpm._columnLetter&amp;":"&amp;_xlpm._columnLetter),$AB52)),
CELL("address",INDEX(Countermeasures!$A:$A,MATCH($A52,Countermeasures!$A:$A,0),1)))),
_xlpm._start,FIND("]",_xlpm._sheetReference),
"'"&amp;SUBSTITUTE(SUBSTITUTE(RIGHT(_xlpm._sheetReference,LEN(_xlpm._sheetReference)-_xlpm._start),"'",""),"!","'!")))</f>
        <v/>
      </c>
      <c r="AD52" s="11" t="str" cm="1">
        <f t="array" aca="1" ref="AD52" ca="1">IF(NOT($O52),
_xlfn.LET(_xlpm._value,IF($A52="","",IF($M52,SimpleLookup($A52,Assumptions!$A:$AG),SimpleLookup($A52,Countermeasures!$A:$AJ))),
IF(_xlpm._value="","",_xlpm._value)),
"")</f>
        <v/>
      </c>
      <c r="AE52" s="11" t="str" cm="1">
        <f t="array" aca="1" ref="AE52" ca="1">LookupNames(InverseLookup($A52,Mitigation!$AD$2,Mitigation!$A$2,1,Helper!$B$5,","),'Attack Steps'!$A:$B)</f>
        <v/>
      </c>
      <c r="AF52" s="11" t="str" cm="1">
        <f t="array" aca="1" ref="AF52" ca="1">IF($O52,
_xlfn.LET(
_xlpm._in,$A52,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52" s="11" t="str" cm="1">
        <f t="array" aca="1" ref="AG52" ca="1">_xlfn.LET(
_xlpm._countermeasures,InverseLookup($A52,Countermeasures!$AC$2,Countermeasures!$A$2,1,Helper!$B$4,","),
LookupNames(_xlpm._countermeasures,Countermeasures!$A:$B))</f>
        <v/>
      </c>
      <c r="AH52" s="11" t="str" cm="1">
        <f t="array" aca="1" ref="AH52" ca="1">IF($E52="","",_xlfn.LET(
_xlpm._id,$E52,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52" s="11" t="str" cm="1">
        <f t="array" aca="1" ref="AI52" ca="1">IF(OR($A52="",$O52),"",_xlfn.LET(
_xlpm._answers,IF($M52,SimpleLookup($A52,Assumptions!$A:$F),SimpleLookup($A52,Countermeasures!$A:$D)),
IF(_xlpm._answers="*",IF($M52,SimpleLookup($A52,Assumptions!$A:$C),SimpleLookup($A52,Countermeasures!$A:$C)),"")))</f>
        <v/>
      </c>
      <c r="AJ52" s="11" t="str" cm="1">
        <f t="array" aca="1" ref="AJ52" ca="1">IF(NOT($O52),"",_xlfn.LET(
_xlpm._mappedInMitigation,IFERROR(VLOOKUP($Y52,'Attack Steps'!$A:$P,COLUMNS('Attack Steps'!$A:$P),FALSE),""),
CreateSearchString(_xlpm._mappedInMitigation)))</f>
        <v/>
      </c>
      <c r="AK52" s="11" t="b">
        <f ca="1">ROW()-ROW($AK$17)=Helper!$B$15</f>
        <v>0</v>
      </c>
      <c r="AL52" s="11" t="str">
        <f t="shared" ca="1" si="15"/>
        <v/>
      </c>
      <c r="AM52" s="11" cm="1">
        <f t="array" aca="1" ref="AM52" ca="1">CreateID($AM$17,$AL52&lt;&gt;"")</f>
        <v>0</v>
      </c>
      <c r="AN52" s="11" t="str" cm="1">
        <f t="array" aca="1" ref="AN52" ca="1">IF($O52,"",
_xlfn.LET(
_xlpm._this,SanitizeInput($A52)&amp;AT52,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52" s="11" t="str" cm="1">
        <f t="array" aca="1" ref="AO52" ca="1">IF($O52,"",_xlfn.LET(
_xlpm._listOfRisksAndLevels,SanitizeInput($AN52),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_xlpm._shortenedList,IF($H52="",_xlpm._risksWithMaxValue,
  IF(LEN(_xlpm._risksWithMaxValue)-LEN(SUBSTITUTE(_xlpm._risksWithMaxValue,",",""))&lt;=$H52,_xlpm._risksWithMaxValue,
    LEFT(_xlpm._risksWithMaxValue,FIND(CHAR(1),SUBSTITUTE(_xlpm._risksWithMaxValue,",",CHAR(1),$H52))))),
IF(_xlpm._maxRiskValue="","",
  _xlpm._lineMainSeparator&amp;
  INDEX(Definitions!$AE:$AE,MATCH(_xlpm._maxRiskValue,Definitions!$AF:$AF,0))&amp;CHAR(10)&amp;
  _xlpm._lineMainSeparator&amp;
  RemoveDelimiter(GetValues(_xlpm._shortenedList,Risks!$A:$B," ",CHAR(10)&amp;_xlpm._lineMainSeparator,TRUE),CHAR(10)&amp;_xlpm._lineMainSeparator))))</f>
        <v/>
      </c>
      <c r="AP52" s="11" t="str" cm="1">
        <f t="array" aca="1" ref="AP52" ca="1">IF($O52,"",_xlfn.LET(
_xlpm._lineMainSeparator,REPT(_xlfn.UNICHAR(9552),63)&amp;CHAR(10),
_xlpm._affectedRisks,InverseLookupList(SanitizeInput($A52)&amp;$AT52,Risks!$AX$2,Risks!$A$2,Helper!$B$1,","),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_xlpm._shortenedList,IF($H52="",_xlpm._risksWithMaxValue,
  IF(LEN(_xlpm._risksWithMaxValue)-LEN(SUBSTITUTE(_xlpm._risksWithMaxValue,",",""))&lt;=$H52,_xlpm._risksWithMaxValue,
    LEFT(_xlpm._risksWithMaxValue,FIND(CHAR(1),SUBSTITUTE(_xlpm._risksWithMaxValue,",",CHAR(1),$H52))))),
IF(_xlpm._maxRiskValue="","",
  _xlpm._lineMainSeparator&amp;
  INDEX(Definitions!$AE:$AE,MATCH(_xlpm._maxRiskValue,Definitions!$AF:$AF,0))&amp;CHAR(10)&amp;
  _xlpm._lineMainSeparator&amp;
  RemoveDelimiter(GetValues(_xlpm._shortenedList,Risks!$A:$B," ",CHAR(10)&amp;_xlpm._lineMainSeparator,TRUE),CHAR(10)&amp;_xlpm._lineMainSeparator))))</f>
        <v/>
      </c>
      <c r="AQ52" s="11" t="str" cm="1">
        <f t="array" aca="1" ref="AQ52" ca="1">IF(NOT($O52),"",
_xlfn.LET(
_xlpm._potentialASID,$Y52,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_xlpm._commentsFiltered,SUBSTITUTE(GetValues(_xlpm._attackSteps,Mitigation!$A:$O,"","",FALSE),$X52,""),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52" s="11" t="str" cm="1">
        <f t="array" aca="1" ref="AR52" ca="1">IF(NOT($O52),"",_xlfn.LET(
_xlpm._listOfRisksAndLevels,SanitizeInput($AQ52),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_xlpm._shortenedList,IF($H52="",_xlpm._risksWithMaxValue,
  IF(LEN(_xlpm._risksWithMaxValue)-LEN(SUBSTITUTE(_xlpm._risksWithMaxValue,",",""))&lt;=$H52,_xlpm._risksWithMaxValue,
    LEFT(_xlpm._risksWithMaxValue,FIND(CHAR(1),SUBSTITUTE(_xlpm._risksWithMaxValue,",",CHAR(1),$H52))))),
IF(_xlpm._maxRiskValue="","",
  _xlpm._lineMainSeparator&amp;
  INDEX(Definitions!$AE:$AE,MATCH(_xlpm._maxRiskValue,Definitions!$AF:$AF,0))&amp;CHAR(10)&amp;
  _xlpm._lineMainSeparator&amp;
  RemoveDelimiter(GetValues(_xlpm._shortenedList,Risks!$A:$B," ",CHAR(10)&amp;_xlpm._lineMainSeparator,TRUE),CHAR(10)&amp;_xlpm._lineMainSeparator))))</f>
        <v/>
      </c>
      <c r="AS52" s="11" t="str" cm="1">
        <f t="array" aca="1" ref="AS52" ca="1">IF(NOT($O52),"",
_xlfn.LET(
_xlpm._lineMainSeparator,REPT(_xlfn.UNICHAR(9552),63)&amp;CHAR(10),
_xlpm._potentialASID,$Y52,
_xlpm._risk,IFERROR(SimpleLookup(_xlpm._potentialASID,Mitigation!$A:$N),""),
_xlpm._attackPaths,IFERROR(SimpleLookup(_xlpm._potentialASID,Mitigation!$A:$M),""),
IF(_xlpm._risk="","",
_xlpm._lineMainSeparator&amp;
_xlpm._risk&amp;CHAR(10)&amp;
_xlpm._lineMainSeparator&amp;
_xlpm._attackPaths)))</f>
        <v/>
      </c>
      <c r="AT52" s="11" t="str" cm="1">
        <f t="array" aca="1" ref="AT52" ca="1">InverseLookup($A52,Countermeasures!$AA$2,Countermeasures!$A$2,1,Helper!$B$4,",")</f>
        <v/>
      </c>
    </row>
    <row r="53" spans="1:46" x14ac:dyDescent="0.25">
      <c r="A53" s="106" t="str">
        <f ca="1">_xlfn.LET(
_xlpm._isAssumption,$M53,
_xlpm._row,$N53,
_xlpm._numActiveAssumptions,Helper!$B$8,
_xlpm._numActiveCountermeasures,Helper!$B$9,
_xlpm._numAdditionalAssumptions,Helper!$B$10,
_xlpm._numAdditionalCountermeasures,Helper!$B$11,
IF(_xlpm._isAssumption,
IF(_xlpm._row&gt;_xlpm._numActiveAssumptions,
$Y53&amp;"-A"&amp;$T53,
INDEX(Assumptions!A:A,MATCH(_xlpm._row,Assumptions!$AC:$AC,0))),
IF(_xlpm._row&gt;_xlpm._numActiveCountermeasures+_xlpm._numAdditionalCountermeasures,"",
IF(_xlpm._row&gt;_xlpm._numActiveCountermeasures,
$Y53&amp;"-C"&amp;$T53,
INDEX(Countermeasures!$A:$A,MATCH(_xlpm._row,Countermeasures!$AE:$AE,0))))))</f>
        <v/>
      </c>
      <c r="B53" s="106" t="str" cm="1">
        <f t="array" aca="1" ref="B53" ca="1">IF($A53="","",
_xlfn.LET(
_xlpm._isAssumption,$M53,
_xlpm._isAdditionalElement,$O53,
IF(_xlpm._isAdditionalElement,
IF(_xlpm._isAssumption,
ParseElementsFromComment($X53,Definitions!$AR$4,Definitions!$AS$4,Definitions!$AR$6,$T53),
ParseElementsFromComment($X53,Definitions!$AR$5,Definitions!$AS$5,Definitions!$AR$6,$T53)),
_xlfn.LET(_xlpm._value,IF($A53="","",IF($M53,SimpleLookup($A53,Assumptions!$A:$B),SimpleLookup($A53,Countermeasures!$A:$B))),IF(_xlpm._value="","",_xlpm._value)))))</f>
        <v/>
      </c>
      <c r="C53" s="106" t="str" cm="1">
        <f t="array" aca="1" ref="C53" ca="1">IF($A53="","",IF($M53,IFERROR(SimpleLookup($A53,Assumptions!$A:$E),""),Definitions!$AO$4))</f>
        <v/>
      </c>
      <c r="D53" s="103" t="str">
        <f t="shared" ca="1" si="9"/>
        <v/>
      </c>
      <c r="E53" s="107"/>
      <c r="F53" s="108" t="str">
        <f t="shared" ca="1" si="10"/>
        <v/>
      </c>
      <c r="G53" s="102" t="str" cm="1">
        <f t="array" aca="1" ref="G53" ca="1">_xlfn.LET(_xlpm._val,IFERROR(SimpleLookup($A53,Countermeasures!$A:$S),IFERROR(SimpleLookup($A53,Assumptions!$A:$S),"")),IF(_xlpm._val="","",_xlpm._val))</f>
        <v/>
      </c>
      <c r="H53" s="109" t="str">
        <f>""</f>
        <v/>
      </c>
      <c r="I53" s="102" t="str">
        <f t="shared" ca="1" si="11"/>
        <v/>
      </c>
      <c r="J53" s="102" t="str">
        <f t="shared" ca="1" si="12"/>
        <v/>
      </c>
      <c r="K53" s="106" t="str" cm="1">
        <f t="array" aca="1" ref="K53" ca="1">_xlfn.LET(_xlpm._value,IF($A53="","",IFERROR(IF($M53,SimpleLookup($A53,Assumptions!$A:$T),SimpleLookup($A53,Countermeasures!$A:$T)),"")),
IF(_xlpm._value="","",_xlpm._value))</f>
        <v/>
      </c>
      <c r="L53" s="9" cm="1">
        <f t="array" aca="1" ref="L53" ca="1">CreateID($L$17,$A53&lt;&gt;"")</f>
        <v>11</v>
      </c>
      <c r="M53" s="9" t="b">
        <f ca="1">_xlfn.LET(_xlpm._row,ROW()-ROW($N$17),
_xlpm._numActiveAssumptions,Helper!$B$8,
_xlpm._numAdditionalAssumptions,SUM(Table24['# Elements]),
_xlpm._row&lt;=_xlpm._numActiveAssumptions+_xlpm._numAdditionalAssumptions)</f>
        <v>0</v>
      </c>
      <c r="N53" s="9">
        <f ca="1">_xlfn.LET(_xlpm._row,ROW()-ROW($N$17),
_xlpm._numActiveAssumptions,Helper!$B$8,
_xlpm._numAdditionalAssumptions,Helper!$B$10,
_xlpm._isAssumption,$M53,
_xlpm._elementID,IF(_xlpm._isAssumption,_xlpm._row,_xlpm._row-_xlpm._numActiveAssumptions-_xlpm._numAdditionalAssumptions),
_xlpm._elementID)</f>
        <v>32</v>
      </c>
      <c r="O53"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53" s="11" cm="1">
        <f t="array" aca="1" ref="P53" ca="1">IF($O53,
IF(ROW()=ROW($P$17)+1,1,INDEX($P:$P,ROW()-1)+IF(INDEX($W:$W,ROW()-1),1,0)),
1)</f>
        <v>1</v>
      </c>
      <c r="Q53" s="11" t="str" cm="1">
        <f t="array" aca="1" ref="Q53" ca="1">IF($O53=TRUE,
_xlfn.LET(
_xlpm._isAssumption,$M53,
_xlpm._indexRange,IF(_xlpm._isAssumption,Table24['# Elements],Table25['# Elements]),
_xlpm._lookupRow,$Z53,
INDEX(_xlpm._indexRange,_xlpm._lookupRow)),
"")</f>
        <v/>
      </c>
      <c r="R53" s="11" t="str" cm="1">
        <f t="array" aca="1" ref="R53" ca="1">IF($Q53="","",_xlfn.LET(
_xlpm._prevRow,ROW()-1,
IF(OR(INDEX($Q:$Q,_xlpm._prevRow)&lt;&gt;$Q53,INDEX($P:$P,_xlpm._prevRow)&lt;&gt;$P53),
1,
INDEX($R:$R,_xlpm._prevRow)+IF(INDEX($V:$V,_xlpm._prevRow),1,0))))</f>
        <v/>
      </c>
      <c r="S53" s="11" t="str" cm="1">
        <f t="array" aca="1" ref="S53" ca="1">IF($R53="","",_xlfn.LET(
_xlpm._isAssumption,$M53,
_xlpm._sheetRow,$Z53,
_xlpm._sheetName,$AA53,
_xlpm._elementIDRange,IF(_xlpm._isAssumption,Table24[Element ID Column],Table25[Element ID Column]),
_xlpm._numberOfElementsRange,IF(_xlpm._isAssumption,Table24[Number of Elements Column],Table25[Number of Elements Column]),
SimpleLookup($R53,INDIRECT("'"&amp;_xlpm._sheetName&amp;"'!"&amp;INDEX(_xlpm._elementIDRange,_xlpm._sheetRow)&amp;":"&amp;INDEX(_xlpm._numberOfElementsRange,_xlpm._sheetRow)))))</f>
        <v/>
      </c>
      <c r="T53" s="11" t="str" cm="1">
        <f t="array" aca="1" ref="T53" ca="1">IF($R53="","",IF(OR(INDEX($R:$R,ROW()-1)&lt;&gt;$R53,INDEX($P:$P,ROW()-1)&lt;&gt;$P53),1,INDEX($T:$T,ROW()-1)+1))</f>
        <v/>
      </c>
      <c r="U53" s="11">
        <f t="shared" ca="1" si="13"/>
        <v>0</v>
      </c>
      <c r="V53" s="11" t="str">
        <f t="shared" ca="1" si="14"/>
        <v/>
      </c>
      <c r="W53" s="11" t="b">
        <f ca="1">_xlfn.LET(
_xlpm._isAssumption,$M53,
_xlpm._numberOfElementsRange,IF(_xlpm._isAssumption,Table24['# Elements],Table25['# Elements]),
_xlpm._sheetRow,$Z53,
IF($O53,AND($V53,$U53=$Q53),FALSE))</f>
        <v>0</v>
      </c>
      <c r="X53" s="11" t="str" cm="1">
        <f t="array" aca="1" ref="X53" ca="1">IF($O53,
_xlfn.LET(
_xlpm._elementID,$R53,
_xlpm._isAssumption,$M53,
_xlpm._sheetRow,$Z53,
_xlpm._sheetName,$AA53,
_xlpm._elementRow,$AB53,
_xlpm._resultColumnLetter,IF(_xlpm._isAssumption,INDEX(Table24[Comment Column],_xlpm._sheetRow),INDEX(Table25[Comment Column],_xlpm._sheetRow)),
INDEX(INDIRECT("'"&amp;_xlpm._sheetName&amp;"'!"&amp;_xlpm._resultColumnLetter&amp;":"&amp;_xlpm._resultColumnLetter),_xlpm._elementRow)),
"")</f>
        <v/>
      </c>
      <c r="Y53" s="11" t="str" cm="1">
        <f t="array" aca="1" ref="Y53" ca="1">IF($O53,
_xlfn.LET(
_xlpm._elementID,$R53,
_xlpm._isAssumption,$M53,
_xlpm._sheetRow,$Z53,
_xlpm._sheetName,$AA53,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53" s="11" t="str">
        <f ca="1">IF($O53=TRUE,
_xlfn.LET(
_xlpm._isAssumption,$M53,
_xlpm._searchRange,IF(_xlpm._isAssumption,Table24[Task Sheet Shadow ID],Table25[Task Sheet Shadow ID]),
MATCH($P53,_xlpm._searchRange,0)),
"")</f>
        <v/>
      </c>
      <c r="AA53" s="11" t="str" cm="1">
        <f t="array" aca="1" ref="AA53" ca="1">IF($O53,
_xlfn.LET(
_xlpm._isAssumption,$M53,
_xlpm._sheetRow,$Z53,
IF(_xlpm._isAssumption,INDEX(Table24[Sheet Name],_xlpm._sheetRow),INDEX(Table25[Sheet Name],_xlpm._sheetRow))),
"")</f>
        <v/>
      </c>
      <c r="AB53" s="11" t="str" cm="1">
        <f t="array" aca="1" ref="AB53" ca="1">IF($O53,
_xlfn.LET(
_xlpm._elementID,$R53,
_xlpm._isAssumption,$M53,
_xlpm._sheetRow,$Z53,
_xlpm._sheetName,$AA53,
_xlpm._elementIDColumnLetter,IF(_xlpm._isAssumption,INDEX(Table24[Element ID Column],_xlpm._sheetRow),INDEX(Table25[Element ID Column],_xlpm._sheetRow)),
MATCH(_xlpm._elementID,INDIRECT("'"&amp;_xlpm._sheetName&amp;"'!"&amp;_xlpm._elementIDColumnLetter&amp;":"&amp;_xlpm._elementIDColumnLetter),0)),
"")</f>
        <v/>
      </c>
      <c r="AC53" s="11" t="str" cm="1">
        <f t="array" aca="1" ref="AC53" ca="1">IF($A53="","",_xlfn.LET(
_xlpm._isAssumption,$M53,
_xlpm._isAdditionalElement,$O53,
_xlpm._sheetRow,$Z53,
_xlpm._sheetName,$AA53,
_xlpm._columnLetter,INDEX(IF(_xlpm._isAdditionalElement,Table24[Comment Column],Table25[Comment Column]),_xlpm._sheetRow),
_xlpm._sheetReference,IF(_xlpm._isAssumption,IF(_xlpm._isAdditionalElement,
CELL("address",INDEX(INDIRECT("'"&amp;_xlpm._sheetName&amp;"'!"&amp;_xlpm._columnLetter&amp;":"&amp;_xlpm._columnLetter),$AB53)),
CELL("address",INDEX(Assumptions!$A:$A,MATCH($A53,Assumptions!$A:$A,0),1))),
IF(_xlpm._isAdditionalElement,
CELL("address",INDEX(INDIRECT("'"&amp;_xlpm._sheetName&amp;"'!"&amp;_xlpm._columnLetter&amp;":"&amp;_xlpm._columnLetter),$AB53)),
CELL("address",INDEX(Countermeasures!$A:$A,MATCH($A53,Countermeasures!$A:$A,0),1)))),
_xlpm._start,FIND("]",_xlpm._sheetReference),
"'"&amp;SUBSTITUTE(SUBSTITUTE(RIGHT(_xlpm._sheetReference,LEN(_xlpm._sheetReference)-_xlpm._start),"'",""),"!","'!")))</f>
        <v/>
      </c>
      <c r="AD53" s="11" t="str" cm="1">
        <f t="array" aca="1" ref="AD53" ca="1">IF(NOT($O53),
_xlfn.LET(_xlpm._value,IF($A53="","",IF($M53,SimpleLookup($A53,Assumptions!$A:$AG),SimpleLookup($A53,Countermeasures!$A:$AJ))),
IF(_xlpm._value="","",_xlpm._value)),
"")</f>
        <v/>
      </c>
      <c r="AE53" s="11" t="str" cm="1">
        <f t="array" aca="1" ref="AE53" ca="1">LookupNames(InverseLookup($A53,Mitigation!$AD$2,Mitigation!$A$2,1,Helper!$B$5,","),'Attack Steps'!$A:$B)</f>
        <v/>
      </c>
      <c r="AF53" s="11" t="str" cm="1">
        <f t="array" aca="1" ref="AF53" ca="1">IF($O53,
_xlfn.LET(
_xlpm._in,$A53,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53" s="11" t="str" cm="1">
        <f t="array" aca="1" ref="AG53" ca="1">_xlfn.LET(
_xlpm._countermeasures,InverseLookup($A53,Countermeasures!$AC$2,Countermeasures!$A$2,1,Helper!$B$4,","),
LookupNames(_xlpm._countermeasures,Countermeasures!$A:$B))</f>
        <v/>
      </c>
      <c r="AH53" s="11" t="str" cm="1">
        <f t="array" aca="1" ref="AH53" ca="1">IF($E53="","",_xlfn.LET(
_xlpm._id,$E53,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53" s="11" t="str" cm="1">
        <f t="array" aca="1" ref="AI53" ca="1">IF(OR($A53="",$O53),"",_xlfn.LET(
_xlpm._answers,IF($M53,SimpleLookup($A53,Assumptions!$A:$F),SimpleLookup($A53,Countermeasures!$A:$D)),
IF(_xlpm._answers="*",IF($M53,SimpleLookup($A53,Assumptions!$A:$C),SimpleLookup($A53,Countermeasures!$A:$C)),"")))</f>
        <v/>
      </c>
      <c r="AJ53" s="11" t="str" cm="1">
        <f t="array" aca="1" ref="AJ53" ca="1">IF(NOT($O53),"",_xlfn.LET(
_xlpm._mappedInMitigation,IFERROR(VLOOKUP($Y53,'Attack Steps'!$A:$P,COLUMNS('Attack Steps'!$A:$P),FALSE),""),
CreateSearchString(_xlpm._mappedInMitigation)))</f>
        <v/>
      </c>
      <c r="AK53" s="11" t="b">
        <f ca="1">ROW()-ROW($AK$17)=Helper!$B$15</f>
        <v>0</v>
      </c>
      <c r="AL53" s="11" t="str">
        <f t="shared" ca="1" si="15"/>
        <v/>
      </c>
      <c r="AM53" s="11" cm="1">
        <f t="array" aca="1" ref="AM53" ca="1">CreateID($AM$17,$AL53&lt;&gt;"")</f>
        <v>0</v>
      </c>
      <c r="AN53" s="11" t="str" cm="1">
        <f t="array" aca="1" ref="AN53" ca="1">IF($O53,"",
_xlfn.LET(
_xlpm._this,SanitizeInput($A53)&amp;AT53,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53" s="11" t="str" cm="1">
        <f t="array" aca="1" ref="AO53" ca="1">IF($O53,"",_xlfn.LET(
_xlpm._listOfRisksAndLevels,SanitizeInput($AN53),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_xlpm._shortenedList,IF($H53="",_xlpm._risksWithMaxValue,
  IF(LEN(_xlpm._risksWithMaxValue)-LEN(SUBSTITUTE(_xlpm._risksWithMaxValue,",",""))&lt;=$H53,_xlpm._risksWithMaxValue,
    LEFT(_xlpm._risksWithMaxValue,FIND(CHAR(1),SUBSTITUTE(_xlpm._risksWithMaxValue,",",CHAR(1),$H53))))),
IF(_xlpm._maxRiskValue="","",
  _xlpm._lineMainSeparator&amp;
  INDEX(Definitions!$AE:$AE,MATCH(_xlpm._maxRiskValue,Definitions!$AF:$AF,0))&amp;CHAR(10)&amp;
  _xlpm._lineMainSeparator&amp;
  RemoveDelimiter(GetValues(_xlpm._shortenedList,Risks!$A:$B," ",CHAR(10)&amp;_xlpm._lineMainSeparator,TRUE),CHAR(10)&amp;_xlpm._lineMainSeparator))))</f>
        <v/>
      </c>
      <c r="AP53" s="11" t="str" cm="1">
        <f t="array" aca="1" ref="AP53" ca="1">IF($O53,"",_xlfn.LET(
_xlpm._lineMainSeparator,REPT(_xlfn.UNICHAR(9552),63)&amp;CHAR(10),
_xlpm._affectedRisks,InverseLookupList(SanitizeInput($A53)&amp;$AT53,Risks!$AX$2,Risks!$A$2,Helper!$B$1,","),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_xlpm._shortenedList,IF($H53="",_xlpm._risksWithMaxValue,
  IF(LEN(_xlpm._risksWithMaxValue)-LEN(SUBSTITUTE(_xlpm._risksWithMaxValue,",",""))&lt;=$H53,_xlpm._risksWithMaxValue,
    LEFT(_xlpm._risksWithMaxValue,FIND(CHAR(1),SUBSTITUTE(_xlpm._risksWithMaxValue,",",CHAR(1),$H53))))),
IF(_xlpm._maxRiskValue="","",
  _xlpm._lineMainSeparator&amp;
  INDEX(Definitions!$AE:$AE,MATCH(_xlpm._maxRiskValue,Definitions!$AF:$AF,0))&amp;CHAR(10)&amp;
  _xlpm._lineMainSeparator&amp;
  RemoveDelimiter(GetValues(_xlpm._shortenedList,Risks!$A:$B," ",CHAR(10)&amp;_xlpm._lineMainSeparator,TRUE),CHAR(10)&amp;_xlpm._lineMainSeparator))))</f>
        <v/>
      </c>
      <c r="AQ53" s="11" t="str" cm="1">
        <f t="array" aca="1" ref="AQ53" ca="1">IF(NOT($O53),"",
_xlfn.LET(
_xlpm._potentialASID,$Y53,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_xlpm._commentsFiltered,SUBSTITUTE(GetValues(_xlpm._attackSteps,Mitigation!$A:$O,"","",FALSE),$X53,""),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53" s="11" t="str" cm="1">
        <f t="array" aca="1" ref="AR53" ca="1">IF(NOT($O53),"",_xlfn.LET(
_xlpm._listOfRisksAndLevels,SanitizeInput($AQ53),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_xlpm._shortenedList,IF($H53="",_xlpm._risksWithMaxValue,
  IF(LEN(_xlpm._risksWithMaxValue)-LEN(SUBSTITUTE(_xlpm._risksWithMaxValue,",",""))&lt;=$H53,_xlpm._risksWithMaxValue,
    LEFT(_xlpm._risksWithMaxValue,FIND(CHAR(1),SUBSTITUTE(_xlpm._risksWithMaxValue,",",CHAR(1),$H53))))),
IF(_xlpm._maxRiskValue="","",
  _xlpm._lineMainSeparator&amp;
  INDEX(Definitions!$AE:$AE,MATCH(_xlpm._maxRiskValue,Definitions!$AF:$AF,0))&amp;CHAR(10)&amp;
  _xlpm._lineMainSeparator&amp;
  RemoveDelimiter(GetValues(_xlpm._shortenedList,Risks!$A:$B," ",CHAR(10)&amp;_xlpm._lineMainSeparator,TRUE),CHAR(10)&amp;_xlpm._lineMainSeparator))))</f>
        <v/>
      </c>
      <c r="AS53" s="11" t="str" cm="1">
        <f t="array" aca="1" ref="AS53" ca="1">IF(NOT($O53),"",
_xlfn.LET(
_xlpm._lineMainSeparator,REPT(_xlfn.UNICHAR(9552),63)&amp;CHAR(10),
_xlpm._potentialASID,$Y53,
_xlpm._risk,IFERROR(SimpleLookup(_xlpm._potentialASID,Mitigation!$A:$N),""),
_xlpm._attackPaths,IFERROR(SimpleLookup(_xlpm._potentialASID,Mitigation!$A:$M),""),
IF(_xlpm._risk="","",
_xlpm._lineMainSeparator&amp;
_xlpm._risk&amp;CHAR(10)&amp;
_xlpm._lineMainSeparator&amp;
_xlpm._attackPaths)))</f>
        <v/>
      </c>
      <c r="AT53" s="11" t="str" cm="1">
        <f t="array" aca="1" ref="AT53" ca="1">InverseLookup($A53,Countermeasures!$AA$2,Countermeasures!$A$2,1,Helper!$B$4,",")</f>
        <v/>
      </c>
    </row>
    <row r="54" spans="1:46" x14ac:dyDescent="0.25">
      <c r="A54" s="106" t="str">
        <f ca="1">_xlfn.LET(
_xlpm._isAssumption,$M54,
_xlpm._row,$N54,
_xlpm._numActiveAssumptions,Helper!$B$8,
_xlpm._numActiveCountermeasures,Helper!$B$9,
_xlpm._numAdditionalAssumptions,Helper!$B$10,
_xlpm._numAdditionalCountermeasures,Helper!$B$11,
IF(_xlpm._isAssumption,
IF(_xlpm._row&gt;_xlpm._numActiveAssumptions,
$Y54&amp;"-A"&amp;$T54,
INDEX(Assumptions!A:A,MATCH(_xlpm._row,Assumptions!$AC:$AC,0))),
IF(_xlpm._row&gt;_xlpm._numActiveCountermeasures+_xlpm._numAdditionalCountermeasures,"",
IF(_xlpm._row&gt;_xlpm._numActiveCountermeasures,
$Y54&amp;"-C"&amp;$T54,
INDEX(Countermeasures!$A:$A,MATCH(_xlpm._row,Countermeasures!$AE:$AE,0))))))</f>
        <v/>
      </c>
      <c r="B54" s="106" t="str" cm="1">
        <f t="array" aca="1" ref="B54" ca="1">IF($A54="","",
_xlfn.LET(
_xlpm._isAssumption,$M54,
_xlpm._isAdditionalElement,$O54,
IF(_xlpm._isAdditionalElement,
IF(_xlpm._isAssumption,
ParseElementsFromComment($X54,Definitions!$AR$4,Definitions!$AS$4,Definitions!$AR$6,$T54),
ParseElementsFromComment($X54,Definitions!$AR$5,Definitions!$AS$5,Definitions!$AR$6,$T54)),
_xlfn.LET(_xlpm._value,IF($A54="","",IF($M54,SimpleLookup($A54,Assumptions!$A:$B),SimpleLookup($A54,Countermeasures!$A:$B))),IF(_xlpm._value="","",_xlpm._value)))))</f>
        <v/>
      </c>
      <c r="C54" s="106" t="str" cm="1">
        <f t="array" aca="1" ref="C54" ca="1">IF($A54="","",IF($M54,IFERROR(SimpleLookup($A54,Assumptions!$A:$E),""),Definitions!$AO$4))</f>
        <v/>
      </c>
      <c r="D54" s="103" t="str">
        <f t="shared" ca="1" si="9"/>
        <v/>
      </c>
      <c r="E54" s="107"/>
      <c r="F54" s="108" t="str">
        <f t="shared" ca="1" si="10"/>
        <v/>
      </c>
      <c r="G54" s="102" t="str" cm="1">
        <f t="array" aca="1" ref="G54" ca="1">_xlfn.LET(_xlpm._val,IFERROR(SimpleLookup($A54,Countermeasures!$A:$S),IFERROR(SimpleLookup($A54,Assumptions!$A:$S),"")),IF(_xlpm._val="","",_xlpm._val))</f>
        <v/>
      </c>
      <c r="H54" s="109" t="str">
        <f>""</f>
        <v/>
      </c>
      <c r="I54" s="102" t="str">
        <f t="shared" ca="1" si="11"/>
        <v/>
      </c>
      <c r="J54" s="102" t="str">
        <f t="shared" ca="1" si="12"/>
        <v/>
      </c>
      <c r="K54" s="106" t="str" cm="1">
        <f t="array" aca="1" ref="K54" ca="1">_xlfn.LET(_xlpm._value,IF($A54="","",IFERROR(IF($M54,SimpleLookup($A54,Assumptions!$A:$T),SimpleLookup($A54,Countermeasures!$A:$T)),"")),
IF(_xlpm._value="","",_xlpm._value))</f>
        <v/>
      </c>
      <c r="L54" s="9" cm="1">
        <f t="array" aca="1" ref="L54" ca="1">CreateID($L$17,$A54&lt;&gt;"")</f>
        <v>11</v>
      </c>
      <c r="M54" s="9" t="b">
        <f ca="1">_xlfn.LET(_xlpm._row,ROW()-ROW($N$17),
_xlpm._numActiveAssumptions,Helper!$B$8,
_xlpm._numAdditionalAssumptions,SUM(Table24['# Elements]),
_xlpm._row&lt;=_xlpm._numActiveAssumptions+_xlpm._numAdditionalAssumptions)</f>
        <v>0</v>
      </c>
      <c r="N54" s="9">
        <f ca="1">_xlfn.LET(_xlpm._row,ROW()-ROW($N$17),
_xlpm._numActiveAssumptions,Helper!$B$8,
_xlpm._numAdditionalAssumptions,Helper!$B$10,
_xlpm._isAssumption,$M54,
_xlpm._elementID,IF(_xlpm._isAssumption,_xlpm._row,_xlpm._row-_xlpm._numActiveAssumptions-_xlpm._numAdditionalAssumptions),
_xlpm._elementID)</f>
        <v>33</v>
      </c>
      <c r="O54"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54" s="11" cm="1">
        <f t="array" aca="1" ref="P54" ca="1">IF($O54,
IF(ROW()=ROW($P$17)+1,1,INDEX($P:$P,ROW()-1)+IF(INDEX($W:$W,ROW()-1),1,0)),
1)</f>
        <v>1</v>
      </c>
      <c r="Q54" s="11" t="str" cm="1">
        <f t="array" aca="1" ref="Q54" ca="1">IF($O54=TRUE,
_xlfn.LET(
_xlpm._isAssumption,$M54,
_xlpm._indexRange,IF(_xlpm._isAssumption,Table24['# Elements],Table25['# Elements]),
_xlpm._lookupRow,$Z54,
INDEX(_xlpm._indexRange,_xlpm._lookupRow)),
"")</f>
        <v/>
      </c>
      <c r="R54" s="11" t="str" cm="1">
        <f t="array" aca="1" ref="R54" ca="1">IF($Q54="","",_xlfn.LET(
_xlpm._prevRow,ROW()-1,
IF(OR(INDEX($Q:$Q,_xlpm._prevRow)&lt;&gt;$Q54,INDEX($P:$P,_xlpm._prevRow)&lt;&gt;$P54),
1,
INDEX($R:$R,_xlpm._prevRow)+IF(INDEX($V:$V,_xlpm._prevRow),1,0))))</f>
        <v/>
      </c>
      <c r="S54" s="11" t="str" cm="1">
        <f t="array" aca="1" ref="S54" ca="1">IF($R54="","",_xlfn.LET(
_xlpm._isAssumption,$M54,
_xlpm._sheetRow,$Z54,
_xlpm._sheetName,$AA54,
_xlpm._elementIDRange,IF(_xlpm._isAssumption,Table24[Element ID Column],Table25[Element ID Column]),
_xlpm._numberOfElementsRange,IF(_xlpm._isAssumption,Table24[Number of Elements Column],Table25[Number of Elements Column]),
SimpleLookup($R54,INDIRECT("'"&amp;_xlpm._sheetName&amp;"'!"&amp;INDEX(_xlpm._elementIDRange,_xlpm._sheetRow)&amp;":"&amp;INDEX(_xlpm._numberOfElementsRange,_xlpm._sheetRow)))))</f>
        <v/>
      </c>
      <c r="T54" s="11" t="str" cm="1">
        <f t="array" aca="1" ref="T54" ca="1">IF($R54="","",IF(OR(INDEX($R:$R,ROW()-1)&lt;&gt;$R54,INDEX($P:$P,ROW()-1)&lt;&gt;$P54),1,INDEX($T:$T,ROW()-1)+1))</f>
        <v/>
      </c>
      <c r="U54" s="11">
        <f t="shared" ca="1" si="13"/>
        <v>0</v>
      </c>
      <c r="V54" s="11" t="str">
        <f t="shared" ca="1" si="14"/>
        <v/>
      </c>
      <c r="W54" s="11" t="b">
        <f ca="1">_xlfn.LET(
_xlpm._isAssumption,$M54,
_xlpm._numberOfElementsRange,IF(_xlpm._isAssumption,Table24['# Elements],Table25['# Elements]),
_xlpm._sheetRow,$Z54,
IF($O54,AND($V54,$U54=$Q54),FALSE))</f>
        <v>0</v>
      </c>
      <c r="X54" s="11" t="str" cm="1">
        <f t="array" aca="1" ref="X54" ca="1">IF($O54,
_xlfn.LET(
_xlpm._elementID,$R54,
_xlpm._isAssumption,$M54,
_xlpm._sheetRow,$Z54,
_xlpm._sheetName,$AA54,
_xlpm._elementRow,$AB54,
_xlpm._resultColumnLetter,IF(_xlpm._isAssumption,INDEX(Table24[Comment Column],_xlpm._sheetRow),INDEX(Table25[Comment Column],_xlpm._sheetRow)),
INDEX(INDIRECT("'"&amp;_xlpm._sheetName&amp;"'!"&amp;_xlpm._resultColumnLetter&amp;":"&amp;_xlpm._resultColumnLetter),_xlpm._elementRow)),
"")</f>
        <v/>
      </c>
      <c r="Y54" s="11" t="str" cm="1">
        <f t="array" aca="1" ref="Y54" ca="1">IF($O54,
_xlfn.LET(
_xlpm._elementID,$R54,
_xlpm._isAssumption,$M54,
_xlpm._sheetRow,$Z54,
_xlpm._sheetName,$AA54,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54" s="11" t="str">
        <f ca="1">IF($O54=TRUE,
_xlfn.LET(
_xlpm._isAssumption,$M54,
_xlpm._searchRange,IF(_xlpm._isAssumption,Table24[Task Sheet Shadow ID],Table25[Task Sheet Shadow ID]),
MATCH($P54,_xlpm._searchRange,0)),
"")</f>
        <v/>
      </c>
      <c r="AA54" s="11" t="str" cm="1">
        <f t="array" aca="1" ref="AA54" ca="1">IF($O54,
_xlfn.LET(
_xlpm._isAssumption,$M54,
_xlpm._sheetRow,$Z54,
IF(_xlpm._isAssumption,INDEX(Table24[Sheet Name],_xlpm._sheetRow),INDEX(Table25[Sheet Name],_xlpm._sheetRow))),
"")</f>
        <v/>
      </c>
      <c r="AB54" s="11" t="str" cm="1">
        <f t="array" aca="1" ref="AB54" ca="1">IF($O54,
_xlfn.LET(
_xlpm._elementID,$R54,
_xlpm._isAssumption,$M54,
_xlpm._sheetRow,$Z54,
_xlpm._sheetName,$AA54,
_xlpm._elementIDColumnLetter,IF(_xlpm._isAssumption,INDEX(Table24[Element ID Column],_xlpm._sheetRow),INDEX(Table25[Element ID Column],_xlpm._sheetRow)),
MATCH(_xlpm._elementID,INDIRECT("'"&amp;_xlpm._sheetName&amp;"'!"&amp;_xlpm._elementIDColumnLetter&amp;":"&amp;_xlpm._elementIDColumnLetter),0)),
"")</f>
        <v/>
      </c>
      <c r="AC54" s="11" t="str" cm="1">
        <f t="array" aca="1" ref="AC54" ca="1">IF($A54="","",_xlfn.LET(
_xlpm._isAssumption,$M54,
_xlpm._isAdditionalElement,$O54,
_xlpm._sheetRow,$Z54,
_xlpm._sheetName,$AA54,
_xlpm._columnLetter,INDEX(IF(_xlpm._isAdditionalElement,Table24[Comment Column],Table25[Comment Column]),_xlpm._sheetRow),
_xlpm._sheetReference,IF(_xlpm._isAssumption,IF(_xlpm._isAdditionalElement,
CELL("address",INDEX(INDIRECT("'"&amp;_xlpm._sheetName&amp;"'!"&amp;_xlpm._columnLetter&amp;":"&amp;_xlpm._columnLetter),$AB54)),
CELL("address",INDEX(Assumptions!$A:$A,MATCH($A54,Assumptions!$A:$A,0),1))),
IF(_xlpm._isAdditionalElement,
CELL("address",INDEX(INDIRECT("'"&amp;_xlpm._sheetName&amp;"'!"&amp;_xlpm._columnLetter&amp;":"&amp;_xlpm._columnLetter),$AB54)),
CELL("address",INDEX(Countermeasures!$A:$A,MATCH($A54,Countermeasures!$A:$A,0),1)))),
_xlpm._start,FIND("]",_xlpm._sheetReference),
"'"&amp;SUBSTITUTE(SUBSTITUTE(RIGHT(_xlpm._sheetReference,LEN(_xlpm._sheetReference)-_xlpm._start),"'",""),"!","'!")))</f>
        <v/>
      </c>
      <c r="AD54" s="11" t="str" cm="1">
        <f t="array" aca="1" ref="AD54" ca="1">IF(NOT($O54),
_xlfn.LET(_xlpm._value,IF($A54="","",IF($M54,SimpleLookup($A54,Assumptions!$A:$AG),SimpleLookup($A54,Countermeasures!$A:$AJ))),
IF(_xlpm._value="","",_xlpm._value)),
"")</f>
        <v/>
      </c>
      <c r="AE54" s="11" t="str" cm="1">
        <f t="array" aca="1" ref="AE54" ca="1">LookupNames(InverseLookup($A54,Mitigation!$AD$2,Mitigation!$A$2,1,Helper!$B$5,","),'Attack Steps'!$A:$B)</f>
        <v/>
      </c>
      <c r="AF54" s="11" t="str" cm="1">
        <f t="array" aca="1" ref="AF54" ca="1">IF($O54,
_xlfn.LET(
_xlpm._in,$A54,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54" s="11" t="str" cm="1">
        <f t="array" aca="1" ref="AG54" ca="1">_xlfn.LET(
_xlpm._countermeasures,InverseLookup($A54,Countermeasures!$AC$2,Countermeasures!$A$2,1,Helper!$B$4,","),
LookupNames(_xlpm._countermeasures,Countermeasures!$A:$B))</f>
        <v/>
      </c>
      <c r="AH54" s="11" t="str" cm="1">
        <f t="array" aca="1" ref="AH54" ca="1">IF($E54="","",_xlfn.LET(
_xlpm._id,$E54,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54" s="11" t="str" cm="1">
        <f t="array" aca="1" ref="AI54" ca="1">IF(OR($A54="",$O54),"",_xlfn.LET(
_xlpm._answers,IF($M54,SimpleLookup($A54,Assumptions!$A:$F),SimpleLookup($A54,Countermeasures!$A:$D)),
IF(_xlpm._answers="*",IF($M54,SimpleLookup($A54,Assumptions!$A:$C),SimpleLookup($A54,Countermeasures!$A:$C)),"")))</f>
        <v/>
      </c>
      <c r="AJ54" s="11" t="str" cm="1">
        <f t="array" aca="1" ref="AJ54" ca="1">IF(NOT($O54),"",_xlfn.LET(
_xlpm._mappedInMitigation,IFERROR(VLOOKUP($Y54,'Attack Steps'!$A:$P,COLUMNS('Attack Steps'!$A:$P),FALSE),""),
CreateSearchString(_xlpm._mappedInMitigation)))</f>
        <v/>
      </c>
      <c r="AK54" s="11" t="b">
        <f ca="1">ROW()-ROW($AK$17)=Helper!$B$15</f>
        <v>0</v>
      </c>
      <c r="AL54" s="11" t="str">
        <f t="shared" ca="1" si="15"/>
        <v/>
      </c>
      <c r="AM54" s="11" cm="1">
        <f t="array" aca="1" ref="AM54" ca="1">CreateID($AM$17,$AL54&lt;&gt;"")</f>
        <v>0</v>
      </c>
      <c r="AN54" s="11" t="str" cm="1">
        <f t="array" aca="1" ref="AN54" ca="1">IF($O54,"",
_xlfn.LET(
_xlpm._this,SanitizeInput($A54)&amp;AT54,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54" s="11" t="str" cm="1">
        <f t="array" aca="1" ref="AO54" ca="1">IF($O54,"",_xlfn.LET(
_xlpm._listOfRisksAndLevels,SanitizeInput($AN54),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_xlpm._shortenedList,IF($H54="",_xlpm._risksWithMaxValue,
  IF(LEN(_xlpm._risksWithMaxValue)-LEN(SUBSTITUTE(_xlpm._risksWithMaxValue,",",""))&lt;=$H54,_xlpm._risksWithMaxValue,
    LEFT(_xlpm._risksWithMaxValue,FIND(CHAR(1),SUBSTITUTE(_xlpm._risksWithMaxValue,",",CHAR(1),$H54))))),
IF(_xlpm._maxRiskValue="","",
  _xlpm._lineMainSeparator&amp;
  INDEX(Definitions!$AE:$AE,MATCH(_xlpm._maxRiskValue,Definitions!$AF:$AF,0))&amp;CHAR(10)&amp;
  _xlpm._lineMainSeparator&amp;
  RemoveDelimiter(GetValues(_xlpm._shortenedList,Risks!$A:$B," ",CHAR(10)&amp;_xlpm._lineMainSeparator,TRUE),CHAR(10)&amp;_xlpm._lineMainSeparator))))</f>
        <v/>
      </c>
      <c r="AP54" s="11" t="str" cm="1">
        <f t="array" aca="1" ref="AP54" ca="1">IF($O54,"",_xlfn.LET(
_xlpm._lineMainSeparator,REPT(_xlfn.UNICHAR(9552),63)&amp;CHAR(10),
_xlpm._affectedRisks,InverseLookupList(SanitizeInput($A54)&amp;$AT54,Risks!$AX$2,Risks!$A$2,Helper!$B$1,","),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_xlpm._shortenedList,IF($H54="",_xlpm._risksWithMaxValue,
  IF(LEN(_xlpm._risksWithMaxValue)-LEN(SUBSTITUTE(_xlpm._risksWithMaxValue,",",""))&lt;=$H54,_xlpm._risksWithMaxValue,
    LEFT(_xlpm._risksWithMaxValue,FIND(CHAR(1),SUBSTITUTE(_xlpm._risksWithMaxValue,",",CHAR(1),$H54))))),
IF(_xlpm._maxRiskValue="","",
  _xlpm._lineMainSeparator&amp;
  INDEX(Definitions!$AE:$AE,MATCH(_xlpm._maxRiskValue,Definitions!$AF:$AF,0))&amp;CHAR(10)&amp;
  _xlpm._lineMainSeparator&amp;
  RemoveDelimiter(GetValues(_xlpm._shortenedList,Risks!$A:$B," ",CHAR(10)&amp;_xlpm._lineMainSeparator,TRUE),CHAR(10)&amp;_xlpm._lineMainSeparator))))</f>
        <v/>
      </c>
      <c r="AQ54" s="11" t="str" cm="1">
        <f t="array" aca="1" ref="AQ54" ca="1">IF(NOT($O54),"",
_xlfn.LET(
_xlpm._potentialASID,$Y54,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_xlpm._commentsFiltered,SUBSTITUTE(GetValues(_xlpm._attackSteps,Mitigation!$A:$O,"","",FALSE),$X54,""),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54" s="11" t="str" cm="1">
        <f t="array" aca="1" ref="AR54" ca="1">IF(NOT($O54),"",_xlfn.LET(
_xlpm._listOfRisksAndLevels,SanitizeInput($AQ54),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_xlpm._shortenedList,IF($H54="",_xlpm._risksWithMaxValue,
  IF(LEN(_xlpm._risksWithMaxValue)-LEN(SUBSTITUTE(_xlpm._risksWithMaxValue,",",""))&lt;=$H54,_xlpm._risksWithMaxValue,
    LEFT(_xlpm._risksWithMaxValue,FIND(CHAR(1),SUBSTITUTE(_xlpm._risksWithMaxValue,",",CHAR(1),$H54))))),
IF(_xlpm._maxRiskValue="","",
  _xlpm._lineMainSeparator&amp;
  INDEX(Definitions!$AE:$AE,MATCH(_xlpm._maxRiskValue,Definitions!$AF:$AF,0))&amp;CHAR(10)&amp;
  _xlpm._lineMainSeparator&amp;
  RemoveDelimiter(GetValues(_xlpm._shortenedList,Risks!$A:$B," ",CHAR(10)&amp;_xlpm._lineMainSeparator,TRUE),CHAR(10)&amp;_xlpm._lineMainSeparator))))</f>
        <v/>
      </c>
      <c r="AS54" s="11" t="str" cm="1">
        <f t="array" aca="1" ref="AS54" ca="1">IF(NOT($O54),"",
_xlfn.LET(
_xlpm._lineMainSeparator,REPT(_xlfn.UNICHAR(9552),63)&amp;CHAR(10),
_xlpm._potentialASID,$Y54,
_xlpm._risk,IFERROR(SimpleLookup(_xlpm._potentialASID,Mitigation!$A:$N),""),
_xlpm._attackPaths,IFERROR(SimpleLookup(_xlpm._potentialASID,Mitigation!$A:$M),""),
IF(_xlpm._risk="","",
_xlpm._lineMainSeparator&amp;
_xlpm._risk&amp;CHAR(10)&amp;
_xlpm._lineMainSeparator&amp;
_xlpm._attackPaths)))</f>
        <v/>
      </c>
      <c r="AT54" s="11" t="str" cm="1">
        <f t="array" aca="1" ref="AT54" ca="1">InverseLookup($A54,Countermeasures!$AA$2,Countermeasures!$A$2,1,Helper!$B$4,",")</f>
        <v/>
      </c>
    </row>
    <row r="55" spans="1:46" x14ac:dyDescent="0.25">
      <c r="A55" s="106" t="str">
        <f ca="1">_xlfn.LET(
_xlpm._isAssumption,$M55,
_xlpm._row,$N55,
_xlpm._numActiveAssumptions,Helper!$B$8,
_xlpm._numActiveCountermeasures,Helper!$B$9,
_xlpm._numAdditionalAssumptions,Helper!$B$10,
_xlpm._numAdditionalCountermeasures,Helper!$B$11,
IF(_xlpm._isAssumption,
IF(_xlpm._row&gt;_xlpm._numActiveAssumptions,
$Y55&amp;"-A"&amp;$T55,
INDEX(Assumptions!A:A,MATCH(_xlpm._row,Assumptions!$AC:$AC,0))),
IF(_xlpm._row&gt;_xlpm._numActiveCountermeasures+_xlpm._numAdditionalCountermeasures,"",
IF(_xlpm._row&gt;_xlpm._numActiveCountermeasures,
$Y55&amp;"-C"&amp;$T55,
INDEX(Countermeasures!$A:$A,MATCH(_xlpm._row,Countermeasures!$AE:$AE,0))))))</f>
        <v/>
      </c>
      <c r="B55" s="106" t="str" cm="1">
        <f t="array" aca="1" ref="B55" ca="1">IF($A55="","",
_xlfn.LET(
_xlpm._isAssumption,$M55,
_xlpm._isAdditionalElement,$O55,
IF(_xlpm._isAdditionalElement,
IF(_xlpm._isAssumption,
ParseElementsFromComment($X55,Definitions!$AR$4,Definitions!$AS$4,Definitions!$AR$6,$T55),
ParseElementsFromComment($X55,Definitions!$AR$5,Definitions!$AS$5,Definitions!$AR$6,$T55)),
_xlfn.LET(_xlpm._value,IF($A55="","",IF($M55,SimpleLookup($A55,Assumptions!$A:$B),SimpleLookup($A55,Countermeasures!$A:$B))),IF(_xlpm._value="","",_xlpm._value)))))</f>
        <v/>
      </c>
      <c r="C55" s="106" t="str" cm="1">
        <f t="array" aca="1" ref="C55" ca="1">IF($A55="","",IF($M55,IFERROR(SimpleLookup($A55,Assumptions!$A:$E),""),Definitions!$AO$4))</f>
        <v/>
      </c>
      <c r="D55" s="103" t="str">
        <f t="shared" ca="1" si="9"/>
        <v/>
      </c>
      <c r="E55" s="107"/>
      <c r="F55" s="108" t="str">
        <f t="shared" ca="1" si="10"/>
        <v/>
      </c>
      <c r="G55" s="102" t="str" cm="1">
        <f t="array" aca="1" ref="G55" ca="1">_xlfn.LET(_xlpm._val,IFERROR(SimpleLookup($A55,Countermeasures!$A:$S),IFERROR(SimpleLookup($A55,Assumptions!$A:$S),"")),IF(_xlpm._val="","",_xlpm._val))</f>
        <v/>
      </c>
      <c r="H55" s="109" t="str">
        <f>""</f>
        <v/>
      </c>
      <c r="I55" s="102" t="str">
        <f t="shared" ca="1" si="11"/>
        <v/>
      </c>
      <c r="J55" s="102" t="str">
        <f t="shared" ca="1" si="12"/>
        <v/>
      </c>
      <c r="K55" s="106" t="str" cm="1">
        <f t="array" aca="1" ref="K55" ca="1">_xlfn.LET(_xlpm._value,IF($A55="","",IFERROR(IF($M55,SimpleLookup($A55,Assumptions!$A:$T),SimpleLookup($A55,Countermeasures!$A:$T)),"")),
IF(_xlpm._value="","",_xlpm._value))</f>
        <v/>
      </c>
      <c r="L55" s="9" cm="1">
        <f t="array" aca="1" ref="L55" ca="1">CreateID($L$17,$A55&lt;&gt;"")</f>
        <v>11</v>
      </c>
      <c r="M55" s="9" t="b">
        <f ca="1">_xlfn.LET(_xlpm._row,ROW()-ROW($N$17),
_xlpm._numActiveAssumptions,Helper!$B$8,
_xlpm._numAdditionalAssumptions,SUM(Table24['# Elements]),
_xlpm._row&lt;=_xlpm._numActiveAssumptions+_xlpm._numAdditionalAssumptions)</f>
        <v>0</v>
      </c>
      <c r="N55" s="9">
        <f ca="1">_xlfn.LET(_xlpm._row,ROW()-ROW($N$17),
_xlpm._numActiveAssumptions,Helper!$B$8,
_xlpm._numAdditionalAssumptions,Helper!$B$10,
_xlpm._isAssumption,$M55,
_xlpm._elementID,IF(_xlpm._isAssumption,_xlpm._row,_xlpm._row-_xlpm._numActiveAssumptions-_xlpm._numAdditionalAssumptions),
_xlpm._elementID)</f>
        <v>34</v>
      </c>
      <c r="O55"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55" s="11" cm="1">
        <f t="array" aca="1" ref="P55" ca="1">IF($O55,
IF(ROW()=ROW($P$17)+1,1,INDEX($P:$P,ROW()-1)+IF(INDEX($W:$W,ROW()-1),1,0)),
1)</f>
        <v>1</v>
      </c>
      <c r="Q55" s="11" t="str" cm="1">
        <f t="array" aca="1" ref="Q55" ca="1">IF($O55=TRUE,
_xlfn.LET(
_xlpm._isAssumption,$M55,
_xlpm._indexRange,IF(_xlpm._isAssumption,Table24['# Elements],Table25['# Elements]),
_xlpm._lookupRow,$Z55,
INDEX(_xlpm._indexRange,_xlpm._lookupRow)),
"")</f>
        <v/>
      </c>
      <c r="R55" s="11" t="str" cm="1">
        <f t="array" aca="1" ref="R55" ca="1">IF($Q55="","",_xlfn.LET(
_xlpm._prevRow,ROW()-1,
IF(OR(INDEX($Q:$Q,_xlpm._prevRow)&lt;&gt;$Q55,INDEX($P:$P,_xlpm._prevRow)&lt;&gt;$P55),
1,
INDEX($R:$R,_xlpm._prevRow)+IF(INDEX($V:$V,_xlpm._prevRow),1,0))))</f>
        <v/>
      </c>
      <c r="S55" s="11" t="str" cm="1">
        <f t="array" aca="1" ref="S55" ca="1">IF($R55="","",_xlfn.LET(
_xlpm._isAssumption,$M55,
_xlpm._sheetRow,$Z55,
_xlpm._sheetName,$AA55,
_xlpm._elementIDRange,IF(_xlpm._isAssumption,Table24[Element ID Column],Table25[Element ID Column]),
_xlpm._numberOfElementsRange,IF(_xlpm._isAssumption,Table24[Number of Elements Column],Table25[Number of Elements Column]),
SimpleLookup($R55,INDIRECT("'"&amp;_xlpm._sheetName&amp;"'!"&amp;INDEX(_xlpm._elementIDRange,_xlpm._sheetRow)&amp;":"&amp;INDEX(_xlpm._numberOfElementsRange,_xlpm._sheetRow)))))</f>
        <v/>
      </c>
      <c r="T55" s="11" t="str" cm="1">
        <f t="array" aca="1" ref="T55" ca="1">IF($R55="","",IF(OR(INDEX($R:$R,ROW()-1)&lt;&gt;$R55,INDEX($P:$P,ROW()-1)&lt;&gt;$P55),1,INDEX($T:$T,ROW()-1)+1))</f>
        <v/>
      </c>
      <c r="U55" s="11">
        <f t="shared" ca="1" si="13"/>
        <v>0</v>
      </c>
      <c r="V55" s="11" t="str">
        <f t="shared" ca="1" si="14"/>
        <v/>
      </c>
      <c r="W55" s="11" t="b">
        <f ca="1">_xlfn.LET(
_xlpm._isAssumption,$M55,
_xlpm._numberOfElementsRange,IF(_xlpm._isAssumption,Table24['# Elements],Table25['# Elements]),
_xlpm._sheetRow,$Z55,
IF($O55,AND($V55,$U55=$Q55),FALSE))</f>
        <v>0</v>
      </c>
      <c r="X55" s="11" t="str" cm="1">
        <f t="array" aca="1" ref="X55" ca="1">IF($O55,
_xlfn.LET(
_xlpm._elementID,$R55,
_xlpm._isAssumption,$M55,
_xlpm._sheetRow,$Z55,
_xlpm._sheetName,$AA55,
_xlpm._elementRow,$AB55,
_xlpm._resultColumnLetter,IF(_xlpm._isAssumption,INDEX(Table24[Comment Column],_xlpm._sheetRow),INDEX(Table25[Comment Column],_xlpm._sheetRow)),
INDEX(INDIRECT("'"&amp;_xlpm._sheetName&amp;"'!"&amp;_xlpm._resultColumnLetter&amp;":"&amp;_xlpm._resultColumnLetter),_xlpm._elementRow)),
"")</f>
        <v/>
      </c>
      <c r="Y55" s="11" t="str" cm="1">
        <f t="array" aca="1" ref="Y55" ca="1">IF($O55,
_xlfn.LET(
_xlpm._elementID,$R55,
_xlpm._isAssumption,$M55,
_xlpm._sheetRow,$Z55,
_xlpm._sheetName,$AA55,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55" s="11" t="str">
        <f ca="1">IF($O55=TRUE,
_xlfn.LET(
_xlpm._isAssumption,$M55,
_xlpm._searchRange,IF(_xlpm._isAssumption,Table24[Task Sheet Shadow ID],Table25[Task Sheet Shadow ID]),
MATCH($P55,_xlpm._searchRange,0)),
"")</f>
        <v/>
      </c>
      <c r="AA55" s="11" t="str" cm="1">
        <f t="array" aca="1" ref="AA55" ca="1">IF($O55,
_xlfn.LET(
_xlpm._isAssumption,$M55,
_xlpm._sheetRow,$Z55,
IF(_xlpm._isAssumption,INDEX(Table24[Sheet Name],_xlpm._sheetRow),INDEX(Table25[Sheet Name],_xlpm._sheetRow))),
"")</f>
        <v/>
      </c>
      <c r="AB55" s="11" t="str" cm="1">
        <f t="array" aca="1" ref="AB55" ca="1">IF($O55,
_xlfn.LET(
_xlpm._elementID,$R55,
_xlpm._isAssumption,$M55,
_xlpm._sheetRow,$Z55,
_xlpm._sheetName,$AA55,
_xlpm._elementIDColumnLetter,IF(_xlpm._isAssumption,INDEX(Table24[Element ID Column],_xlpm._sheetRow),INDEX(Table25[Element ID Column],_xlpm._sheetRow)),
MATCH(_xlpm._elementID,INDIRECT("'"&amp;_xlpm._sheetName&amp;"'!"&amp;_xlpm._elementIDColumnLetter&amp;":"&amp;_xlpm._elementIDColumnLetter),0)),
"")</f>
        <v/>
      </c>
      <c r="AC55" s="11" t="str" cm="1">
        <f t="array" aca="1" ref="AC55" ca="1">IF($A55="","",_xlfn.LET(
_xlpm._isAssumption,$M55,
_xlpm._isAdditionalElement,$O55,
_xlpm._sheetRow,$Z55,
_xlpm._sheetName,$AA55,
_xlpm._columnLetter,INDEX(IF(_xlpm._isAdditionalElement,Table24[Comment Column],Table25[Comment Column]),_xlpm._sheetRow),
_xlpm._sheetReference,IF(_xlpm._isAssumption,IF(_xlpm._isAdditionalElement,
CELL("address",INDEX(INDIRECT("'"&amp;_xlpm._sheetName&amp;"'!"&amp;_xlpm._columnLetter&amp;":"&amp;_xlpm._columnLetter),$AB55)),
CELL("address",INDEX(Assumptions!$A:$A,MATCH($A55,Assumptions!$A:$A,0),1))),
IF(_xlpm._isAdditionalElement,
CELL("address",INDEX(INDIRECT("'"&amp;_xlpm._sheetName&amp;"'!"&amp;_xlpm._columnLetter&amp;":"&amp;_xlpm._columnLetter),$AB55)),
CELL("address",INDEX(Countermeasures!$A:$A,MATCH($A55,Countermeasures!$A:$A,0),1)))),
_xlpm._start,FIND("]",_xlpm._sheetReference),
"'"&amp;SUBSTITUTE(SUBSTITUTE(RIGHT(_xlpm._sheetReference,LEN(_xlpm._sheetReference)-_xlpm._start),"'",""),"!","'!")))</f>
        <v/>
      </c>
      <c r="AD55" s="11" t="str" cm="1">
        <f t="array" aca="1" ref="AD55" ca="1">IF(NOT($O55),
_xlfn.LET(_xlpm._value,IF($A55="","",IF($M55,SimpleLookup($A55,Assumptions!$A:$AG),SimpleLookup($A55,Countermeasures!$A:$AJ))),
IF(_xlpm._value="","",_xlpm._value)),
"")</f>
        <v/>
      </c>
      <c r="AE55" s="11" t="str" cm="1">
        <f t="array" aca="1" ref="AE55" ca="1">LookupNames(InverseLookup($A55,Mitigation!$AD$2,Mitigation!$A$2,1,Helper!$B$5,","),'Attack Steps'!$A:$B)</f>
        <v/>
      </c>
      <c r="AF55" s="11" t="str" cm="1">
        <f t="array" aca="1" ref="AF55" ca="1">IF($O55,
_xlfn.LET(
_xlpm._in,$A55,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55" s="11" t="str" cm="1">
        <f t="array" aca="1" ref="AG55" ca="1">_xlfn.LET(
_xlpm._countermeasures,InverseLookup($A55,Countermeasures!$AC$2,Countermeasures!$A$2,1,Helper!$B$4,","),
LookupNames(_xlpm._countermeasures,Countermeasures!$A:$B))</f>
        <v/>
      </c>
      <c r="AH55" s="11" t="str" cm="1">
        <f t="array" aca="1" ref="AH55" ca="1">IF($E55="","",_xlfn.LET(
_xlpm._id,$E55,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55" s="11" t="str" cm="1">
        <f t="array" aca="1" ref="AI55" ca="1">IF(OR($A55="",$O55),"",_xlfn.LET(
_xlpm._answers,IF($M55,SimpleLookup($A55,Assumptions!$A:$F),SimpleLookup($A55,Countermeasures!$A:$D)),
IF(_xlpm._answers="*",IF($M55,SimpleLookup($A55,Assumptions!$A:$C),SimpleLookup($A55,Countermeasures!$A:$C)),"")))</f>
        <v/>
      </c>
      <c r="AJ55" s="11" t="str" cm="1">
        <f t="array" aca="1" ref="AJ55" ca="1">IF(NOT($O55),"",_xlfn.LET(
_xlpm._mappedInMitigation,IFERROR(VLOOKUP($Y55,'Attack Steps'!$A:$P,COLUMNS('Attack Steps'!$A:$P),FALSE),""),
CreateSearchString(_xlpm._mappedInMitigation)))</f>
        <v/>
      </c>
      <c r="AK55" s="11" t="b">
        <f ca="1">ROW()-ROW($AK$17)=Helper!$B$15</f>
        <v>0</v>
      </c>
      <c r="AL55" s="11" t="str">
        <f t="shared" ca="1" si="15"/>
        <v/>
      </c>
      <c r="AM55" s="11" cm="1">
        <f t="array" aca="1" ref="AM55" ca="1">CreateID($AM$17,$AL55&lt;&gt;"")</f>
        <v>0</v>
      </c>
      <c r="AN55" s="11" t="str" cm="1">
        <f t="array" aca="1" ref="AN55" ca="1">IF($O55,"",
_xlfn.LET(
_xlpm._this,SanitizeInput($A55)&amp;AT55,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55" s="11" t="str" cm="1">
        <f t="array" aca="1" ref="AO55" ca="1">IF($O55,"",_xlfn.LET(
_xlpm._listOfRisksAndLevels,SanitizeInput($AN55),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_xlpm._shortenedList,IF($H55="",_xlpm._risksWithMaxValue,
  IF(LEN(_xlpm._risksWithMaxValue)-LEN(SUBSTITUTE(_xlpm._risksWithMaxValue,",",""))&lt;=$H55,_xlpm._risksWithMaxValue,
    LEFT(_xlpm._risksWithMaxValue,FIND(CHAR(1),SUBSTITUTE(_xlpm._risksWithMaxValue,",",CHAR(1),$H55))))),
IF(_xlpm._maxRiskValue="","",
  _xlpm._lineMainSeparator&amp;
  INDEX(Definitions!$AE:$AE,MATCH(_xlpm._maxRiskValue,Definitions!$AF:$AF,0))&amp;CHAR(10)&amp;
  _xlpm._lineMainSeparator&amp;
  RemoveDelimiter(GetValues(_xlpm._shortenedList,Risks!$A:$B," ",CHAR(10)&amp;_xlpm._lineMainSeparator,TRUE),CHAR(10)&amp;_xlpm._lineMainSeparator))))</f>
        <v/>
      </c>
      <c r="AP55" s="11" t="str" cm="1">
        <f t="array" aca="1" ref="AP55" ca="1">IF($O55,"",_xlfn.LET(
_xlpm._lineMainSeparator,REPT(_xlfn.UNICHAR(9552),63)&amp;CHAR(10),
_xlpm._affectedRisks,InverseLookupList(SanitizeInput($A55)&amp;$AT55,Risks!$AX$2,Risks!$A$2,Helper!$B$1,","),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_xlpm._shortenedList,IF($H55="",_xlpm._risksWithMaxValue,
  IF(LEN(_xlpm._risksWithMaxValue)-LEN(SUBSTITUTE(_xlpm._risksWithMaxValue,",",""))&lt;=$H55,_xlpm._risksWithMaxValue,
    LEFT(_xlpm._risksWithMaxValue,FIND(CHAR(1),SUBSTITUTE(_xlpm._risksWithMaxValue,",",CHAR(1),$H55))))),
IF(_xlpm._maxRiskValue="","",
  _xlpm._lineMainSeparator&amp;
  INDEX(Definitions!$AE:$AE,MATCH(_xlpm._maxRiskValue,Definitions!$AF:$AF,0))&amp;CHAR(10)&amp;
  _xlpm._lineMainSeparator&amp;
  RemoveDelimiter(GetValues(_xlpm._shortenedList,Risks!$A:$B," ",CHAR(10)&amp;_xlpm._lineMainSeparator,TRUE),CHAR(10)&amp;_xlpm._lineMainSeparator))))</f>
        <v/>
      </c>
      <c r="AQ55" s="11" t="str" cm="1">
        <f t="array" aca="1" ref="AQ55" ca="1">IF(NOT($O55),"",
_xlfn.LET(
_xlpm._potentialASID,$Y55,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_xlpm._commentsFiltered,SUBSTITUTE(GetValues(_xlpm._attackSteps,Mitigation!$A:$O,"","",FALSE),$X55,""),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55" s="11" t="str" cm="1">
        <f t="array" aca="1" ref="AR55" ca="1">IF(NOT($O55),"",_xlfn.LET(
_xlpm._listOfRisksAndLevels,SanitizeInput($AQ55),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_xlpm._shortenedList,IF($H55="",_xlpm._risksWithMaxValue,
  IF(LEN(_xlpm._risksWithMaxValue)-LEN(SUBSTITUTE(_xlpm._risksWithMaxValue,",",""))&lt;=$H55,_xlpm._risksWithMaxValue,
    LEFT(_xlpm._risksWithMaxValue,FIND(CHAR(1),SUBSTITUTE(_xlpm._risksWithMaxValue,",",CHAR(1),$H55))))),
IF(_xlpm._maxRiskValue="","",
  _xlpm._lineMainSeparator&amp;
  INDEX(Definitions!$AE:$AE,MATCH(_xlpm._maxRiskValue,Definitions!$AF:$AF,0))&amp;CHAR(10)&amp;
  _xlpm._lineMainSeparator&amp;
  RemoveDelimiter(GetValues(_xlpm._shortenedList,Risks!$A:$B," ",CHAR(10)&amp;_xlpm._lineMainSeparator,TRUE),CHAR(10)&amp;_xlpm._lineMainSeparator))))</f>
        <v/>
      </c>
      <c r="AS55" s="11" t="str" cm="1">
        <f t="array" aca="1" ref="AS55" ca="1">IF(NOT($O55),"",
_xlfn.LET(
_xlpm._lineMainSeparator,REPT(_xlfn.UNICHAR(9552),63)&amp;CHAR(10),
_xlpm._potentialASID,$Y55,
_xlpm._risk,IFERROR(SimpleLookup(_xlpm._potentialASID,Mitigation!$A:$N),""),
_xlpm._attackPaths,IFERROR(SimpleLookup(_xlpm._potentialASID,Mitigation!$A:$M),""),
IF(_xlpm._risk="","",
_xlpm._lineMainSeparator&amp;
_xlpm._risk&amp;CHAR(10)&amp;
_xlpm._lineMainSeparator&amp;
_xlpm._attackPaths)))</f>
        <v/>
      </c>
      <c r="AT55" s="11" t="str" cm="1">
        <f t="array" aca="1" ref="AT55" ca="1">InverseLookup($A55,Countermeasures!$AA$2,Countermeasures!$A$2,1,Helper!$B$4,",")</f>
        <v/>
      </c>
    </row>
    <row r="56" spans="1:46" x14ac:dyDescent="0.25">
      <c r="A56" s="106" t="str">
        <f ca="1">_xlfn.LET(
_xlpm._isAssumption,$M56,
_xlpm._row,$N56,
_xlpm._numActiveAssumptions,Helper!$B$8,
_xlpm._numActiveCountermeasures,Helper!$B$9,
_xlpm._numAdditionalAssumptions,Helper!$B$10,
_xlpm._numAdditionalCountermeasures,Helper!$B$11,
IF(_xlpm._isAssumption,
IF(_xlpm._row&gt;_xlpm._numActiveAssumptions,
$Y56&amp;"-A"&amp;$T56,
INDEX(Assumptions!A:A,MATCH(_xlpm._row,Assumptions!$AC:$AC,0))),
IF(_xlpm._row&gt;_xlpm._numActiveCountermeasures+_xlpm._numAdditionalCountermeasures,"",
IF(_xlpm._row&gt;_xlpm._numActiveCountermeasures,
$Y56&amp;"-C"&amp;$T56,
INDEX(Countermeasures!$A:$A,MATCH(_xlpm._row,Countermeasures!$AE:$AE,0))))))</f>
        <v/>
      </c>
      <c r="B56" s="106" t="str" cm="1">
        <f t="array" aca="1" ref="B56" ca="1">IF($A56="","",
_xlfn.LET(
_xlpm._isAssumption,$M56,
_xlpm._isAdditionalElement,$O56,
IF(_xlpm._isAdditionalElement,
IF(_xlpm._isAssumption,
ParseElementsFromComment($X56,Definitions!$AR$4,Definitions!$AS$4,Definitions!$AR$6,$T56),
ParseElementsFromComment($X56,Definitions!$AR$5,Definitions!$AS$5,Definitions!$AR$6,$T56)),
_xlfn.LET(_xlpm._value,IF($A56="","",IF($M56,SimpleLookup($A56,Assumptions!$A:$B),SimpleLookup($A56,Countermeasures!$A:$B))),IF(_xlpm._value="","",_xlpm._value)))))</f>
        <v/>
      </c>
      <c r="C56" s="106" t="str" cm="1">
        <f t="array" aca="1" ref="C56" ca="1">IF($A56="","",IF($M56,IFERROR(SimpleLookup($A56,Assumptions!$A:$E),""),Definitions!$AO$4))</f>
        <v/>
      </c>
      <c r="D56" s="103" t="str">
        <f t="shared" ca="1" si="9"/>
        <v/>
      </c>
      <c r="E56" s="107"/>
      <c r="F56" s="108" t="str">
        <f t="shared" ca="1" si="10"/>
        <v/>
      </c>
      <c r="G56" s="102" t="str" cm="1">
        <f t="array" aca="1" ref="G56" ca="1">_xlfn.LET(_xlpm._val,IFERROR(SimpleLookup($A56,Countermeasures!$A:$S),IFERROR(SimpleLookup($A56,Assumptions!$A:$S),"")),IF(_xlpm._val="","",_xlpm._val))</f>
        <v/>
      </c>
      <c r="H56" s="109" t="str">
        <f>""</f>
        <v/>
      </c>
      <c r="I56" s="102" t="str">
        <f t="shared" ca="1" si="11"/>
        <v/>
      </c>
      <c r="J56" s="102" t="str">
        <f t="shared" ca="1" si="12"/>
        <v/>
      </c>
      <c r="K56" s="106" t="str" cm="1">
        <f t="array" aca="1" ref="K56" ca="1">_xlfn.LET(_xlpm._value,IF($A56="","",IFERROR(IF($M56,SimpleLookup($A56,Assumptions!$A:$T),SimpleLookup($A56,Countermeasures!$A:$T)),"")),
IF(_xlpm._value="","",_xlpm._value))</f>
        <v/>
      </c>
      <c r="L56" s="9" cm="1">
        <f t="array" aca="1" ref="L56" ca="1">CreateID($L$17,$A56&lt;&gt;"")</f>
        <v>11</v>
      </c>
      <c r="M56" s="9" t="b">
        <f ca="1">_xlfn.LET(_xlpm._row,ROW()-ROW($N$17),
_xlpm._numActiveAssumptions,Helper!$B$8,
_xlpm._numAdditionalAssumptions,SUM(Table24['# Elements]),
_xlpm._row&lt;=_xlpm._numActiveAssumptions+_xlpm._numAdditionalAssumptions)</f>
        <v>0</v>
      </c>
      <c r="N56" s="9">
        <f ca="1">_xlfn.LET(_xlpm._row,ROW()-ROW($N$17),
_xlpm._numActiveAssumptions,Helper!$B$8,
_xlpm._numAdditionalAssumptions,Helper!$B$10,
_xlpm._isAssumption,$M56,
_xlpm._elementID,IF(_xlpm._isAssumption,_xlpm._row,_xlpm._row-_xlpm._numActiveAssumptions-_xlpm._numAdditionalAssumptions),
_xlpm._elementID)</f>
        <v>35</v>
      </c>
      <c r="O56"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56" s="11" cm="1">
        <f t="array" aca="1" ref="P56" ca="1">IF($O56,
IF(ROW()=ROW($P$17)+1,1,INDEX($P:$P,ROW()-1)+IF(INDEX($W:$W,ROW()-1),1,0)),
1)</f>
        <v>1</v>
      </c>
      <c r="Q56" s="11" t="str" cm="1">
        <f t="array" aca="1" ref="Q56" ca="1">IF($O56=TRUE,
_xlfn.LET(
_xlpm._isAssumption,$M56,
_xlpm._indexRange,IF(_xlpm._isAssumption,Table24['# Elements],Table25['# Elements]),
_xlpm._lookupRow,$Z56,
INDEX(_xlpm._indexRange,_xlpm._lookupRow)),
"")</f>
        <v/>
      </c>
      <c r="R56" s="11" t="str" cm="1">
        <f t="array" aca="1" ref="R56" ca="1">IF($Q56="","",_xlfn.LET(
_xlpm._prevRow,ROW()-1,
IF(OR(INDEX($Q:$Q,_xlpm._prevRow)&lt;&gt;$Q56,INDEX($P:$P,_xlpm._prevRow)&lt;&gt;$P56),
1,
INDEX($R:$R,_xlpm._prevRow)+IF(INDEX($V:$V,_xlpm._prevRow),1,0))))</f>
        <v/>
      </c>
      <c r="S56" s="11" t="str" cm="1">
        <f t="array" aca="1" ref="S56" ca="1">IF($R56="","",_xlfn.LET(
_xlpm._isAssumption,$M56,
_xlpm._sheetRow,$Z56,
_xlpm._sheetName,$AA56,
_xlpm._elementIDRange,IF(_xlpm._isAssumption,Table24[Element ID Column],Table25[Element ID Column]),
_xlpm._numberOfElementsRange,IF(_xlpm._isAssumption,Table24[Number of Elements Column],Table25[Number of Elements Column]),
SimpleLookup($R56,INDIRECT("'"&amp;_xlpm._sheetName&amp;"'!"&amp;INDEX(_xlpm._elementIDRange,_xlpm._sheetRow)&amp;":"&amp;INDEX(_xlpm._numberOfElementsRange,_xlpm._sheetRow)))))</f>
        <v/>
      </c>
      <c r="T56" s="11" t="str" cm="1">
        <f t="array" aca="1" ref="T56" ca="1">IF($R56="","",IF(OR(INDEX($R:$R,ROW()-1)&lt;&gt;$R56,INDEX($P:$P,ROW()-1)&lt;&gt;$P56),1,INDEX($T:$T,ROW()-1)+1))</f>
        <v/>
      </c>
      <c r="U56" s="11">
        <f t="shared" ca="1" si="13"/>
        <v>0</v>
      </c>
      <c r="V56" s="11" t="str">
        <f t="shared" ca="1" si="14"/>
        <v/>
      </c>
      <c r="W56" s="11" t="b">
        <f ca="1">_xlfn.LET(
_xlpm._isAssumption,$M56,
_xlpm._numberOfElementsRange,IF(_xlpm._isAssumption,Table24['# Elements],Table25['# Elements]),
_xlpm._sheetRow,$Z56,
IF($O56,AND($V56,$U56=$Q56),FALSE))</f>
        <v>0</v>
      </c>
      <c r="X56" s="11" t="str" cm="1">
        <f t="array" aca="1" ref="X56" ca="1">IF($O56,
_xlfn.LET(
_xlpm._elementID,$R56,
_xlpm._isAssumption,$M56,
_xlpm._sheetRow,$Z56,
_xlpm._sheetName,$AA56,
_xlpm._elementRow,$AB56,
_xlpm._resultColumnLetter,IF(_xlpm._isAssumption,INDEX(Table24[Comment Column],_xlpm._sheetRow),INDEX(Table25[Comment Column],_xlpm._sheetRow)),
INDEX(INDIRECT("'"&amp;_xlpm._sheetName&amp;"'!"&amp;_xlpm._resultColumnLetter&amp;":"&amp;_xlpm._resultColumnLetter),_xlpm._elementRow)),
"")</f>
        <v/>
      </c>
      <c r="Y56" s="11" t="str" cm="1">
        <f t="array" aca="1" ref="Y56" ca="1">IF($O56,
_xlfn.LET(
_xlpm._elementID,$R56,
_xlpm._isAssumption,$M56,
_xlpm._sheetRow,$Z56,
_xlpm._sheetName,$AA56,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56" s="11" t="str">
        <f ca="1">IF($O56=TRUE,
_xlfn.LET(
_xlpm._isAssumption,$M56,
_xlpm._searchRange,IF(_xlpm._isAssumption,Table24[Task Sheet Shadow ID],Table25[Task Sheet Shadow ID]),
MATCH($P56,_xlpm._searchRange,0)),
"")</f>
        <v/>
      </c>
      <c r="AA56" s="11" t="str" cm="1">
        <f t="array" aca="1" ref="AA56" ca="1">IF($O56,
_xlfn.LET(
_xlpm._isAssumption,$M56,
_xlpm._sheetRow,$Z56,
IF(_xlpm._isAssumption,INDEX(Table24[Sheet Name],_xlpm._sheetRow),INDEX(Table25[Sheet Name],_xlpm._sheetRow))),
"")</f>
        <v/>
      </c>
      <c r="AB56" s="11" t="str" cm="1">
        <f t="array" aca="1" ref="AB56" ca="1">IF($O56,
_xlfn.LET(
_xlpm._elementID,$R56,
_xlpm._isAssumption,$M56,
_xlpm._sheetRow,$Z56,
_xlpm._sheetName,$AA56,
_xlpm._elementIDColumnLetter,IF(_xlpm._isAssumption,INDEX(Table24[Element ID Column],_xlpm._sheetRow),INDEX(Table25[Element ID Column],_xlpm._sheetRow)),
MATCH(_xlpm._elementID,INDIRECT("'"&amp;_xlpm._sheetName&amp;"'!"&amp;_xlpm._elementIDColumnLetter&amp;":"&amp;_xlpm._elementIDColumnLetter),0)),
"")</f>
        <v/>
      </c>
      <c r="AC56" s="11" t="str" cm="1">
        <f t="array" aca="1" ref="AC56" ca="1">IF($A56="","",_xlfn.LET(
_xlpm._isAssumption,$M56,
_xlpm._isAdditionalElement,$O56,
_xlpm._sheetRow,$Z56,
_xlpm._sheetName,$AA56,
_xlpm._columnLetter,INDEX(IF(_xlpm._isAdditionalElement,Table24[Comment Column],Table25[Comment Column]),_xlpm._sheetRow),
_xlpm._sheetReference,IF(_xlpm._isAssumption,IF(_xlpm._isAdditionalElement,
CELL("address",INDEX(INDIRECT("'"&amp;_xlpm._sheetName&amp;"'!"&amp;_xlpm._columnLetter&amp;":"&amp;_xlpm._columnLetter),$AB56)),
CELL("address",INDEX(Assumptions!$A:$A,MATCH($A56,Assumptions!$A:$A,0),1))),
IF(_xlpm._isAdditionalElement,
CELL("address",INDEX(INDIRECT("'"&amp;_xlpm._sheetName&amp;"'!"&amp;_xlpm._columnLetter&amp;":"&amp;_xlpm._columnLetter),$AB56)),
CELL("address",INDEX(Countermeasures!$A:$A,MATCH($A56,Countermeasures!$A:$A,0),1)))),
_xlpm._start,FIND("]",_xlpm._sheetReference),
"'"&amp;SUBSTITUTE(SUBSTITUTE(RIGHT(_xlpm._sheetReference,LEN(_xlpm._sheetReference)-_xlpm._start),"'",""),"!","'!")))</f>
        <v/>
      </c>
      <c r="AD56" s="11" t="str" cm="1">
        <f t="array" aca="1" ref="AD56" ca="1">IF(NOT($O56),
_xlfn.LET(_xlpm._value,IF($A56="","",IF($M56,SimpleLookup($A56,Assumptions!$A:$AG),SimpleLookup($A56,Countermeasures!$A:$AJ))),
IF(_xlpm._value="","",_xlpm._value)),
"")</f>
        <v/>
      </c>
      <c r="AE56" s="11" t="str" cm="1">
        <f t="array" aca="1" ref="AE56" ca="1">LookupNames(InverseLookup($A56,Mitigation!$AD$2,Mitigation!$A$2,1,Helper!$B$5,","),'Attack Steps'!$A:$B)</f>
        <v/>
      </c>
      <c r="AF56" s="11" t="str" cm="1">
        <f t="array" aca="1" ref="AF56" ca="1">IF($O56,
_xlfn.LET(
_xlpm._in,$A56,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56" s="11" t="str" cm="1">
        <f t="array" aca="1" ref="AG56" ca="1">_xlfn.LET(
_xlpm._countermeasures,InverseLookup($A56,Countermeasures!$AC$2,Countermeasures!$A$2,1,Helper!$B$4,","),
LookupNames(_xlpm._countermeasures,Countermeasures!$A:$B))</f>
        <v/>
      </c>
      <c r="AH56" s="11" t="str" cm="1">
        <f t="array" aca="1" ref="AH56" ca="1">IF($E56="","",_xlfn.LET(
_xlpm._id,$E56,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56" s="11" t="str" cm="1">
        <f t="array" aca="1" ref="AI56" ca="1">IF(OR($A56="",$O56),"",_xlfn.LET(
_xlpm._answers,IF($M56,SimpleLookup($A56,Assumptions!$A:$F),SimpleLookup($A56,Countermeasures!$A:$D)),
IF(_xlpm._answers="*",IF($M56,SimpleLookup($A56,Assumptions!$A:$C),SimpleLookup($A56,Countermeasures!$A:$C)),"")))</f>
        <v/>
      </c>
      <c r="AJ56" s="11" t="str" cm="1">
        <f t="array" aca="1" ref="AJ56" ca="1">IF(NOT($O56),"",_xlfn.LET(
_xlpm._mappedInMitigation,IFERROR(VLOOKUP($Y56,'Attack Steps'!$A:$P,COLUMNS('Attack Steps'!$A:$P),FALSE),""),
CreateSearchString(_xlpm._mappedInMitigation)))</f>
        <v/>
      </c>
      <c r="AK56" s="11" t="b">
        <f ca="1">ROW()-ROW($AK$17)=Helper!$B$15</f>
        <v>0</v>
      </c>
      <c r="AL56" s="11" t="str">
        <f t="shared" ca="1" si="15"/>
        <v/>
      </c>
      <c r="AM56" s="11" cm="1">
        <f t="array" aca="1" ref="AM56" ca="1">CreateID($AM$17,$AL56&lt;&gt;"")</f>
        <v>0</v>
      </c>
      <c r="AN56" s="11" t="str" cm="1">
        <f t="array" aca="1" ref="AN56" ca="1">IF($O56,"",
_xlfn.LET(
_xlpm._this,SanitizeInput($A56)&amp;AT56,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56" s="11" t="str" cm="1">
        <f t="array" aca="1" ref="AO56" ca="1">IF($O56,"",_xlfn.LET(
_xlpm._listOfRisksAndLevels,SanitizeInput($AN56),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_xlpm._shortenedList,IF($H56="",_xlpm._risksWithMaxValue,
  IF(LEN(_xlpm._risksWithMaxValue)-LEN(SUBSTITUTE(_xlpm._risksWithMaxValue,",",""))&lt;=$H56,_xlpm._risksWithMaxValue,
    LEFT(_xlpm._risksWithMaxValue,FIND(CHAR(1),SUBSTITUTE(_xlpm._risksWithMaxValue,",",CHAR(1),$H56))))),
IF(_xlpm._maxRiskValue="","",
  _xlpm._lineMainSeparator&amp;
  INDEX(Definitions!$AE:$AE,MATCH(_xlpm._maxRiskValue,Definitions!$AF:$AF,0))&amp;CHAR(10)&amp;
  _xlpm._lineMainSeparator&amp;
  RemoveDelimiter(GetValues(_xlpm._shortenedList,Risks!$A:$B," ",CHAR(10)&amp;_xlpm._lineMainSeparator,TRUE),CHAR(10)&amp;_xlpm._lineMainSeparator))))</f>
        <v/>
      </c>
      <c r="AP56" s="11" t="str" cm="1">
        <f t="array" aca="1" ref="AP56" ca="1">IF($O56,"",_xlfn.LET(
_xlpm._lineMainSeparator,REPT(_xlfn.UNICHAR(9552),63)&amp;CHAR(10),
_xlpm._affectedRisks,InverseLookupList(SanitizeInput($A56)&amp;$AT56,Risks!$AX$2,Risks!$A$2,Helper!$B$1,","),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_xlpm._shortenedList,IF($H56="",_xlpm._risksWithMaxValue,
  IF(LEN(_xlpm._risksWithMaxValue)-LEN(SUBSTITUTE(_xlpm._risksWithMaxValue,",",""))&lt;=$H56,_xlpm._risksWithMaxValue,
    LEFT(_xlpm._risksWithMaxValue,FIND(CHAR(1),SUBSTITUTE(_xlpm._risksWithMaxValue,",",CHAR(1),$H56))))),
IF(_xlpm._maxRiskValue="","",
  _xlpm._lineMainSeparator&amp;
  INDEX(Definitions!$AE:$AE,MATCH(_xlpm._maxRiskValue,Definitions!$AF:$AF,0))&amp;CHAR(10)&amp;
  _xlpm._lineMainSeparator&amp;
  RemoveDelimiter(GetValues(_xlpm._shortenedList,Risks!$A:$B," ",CHAR(10)&amp;_xlpm._lineMainSeparator,TRUE),CHAR(10)&amp;_xlpm._lineMainSeparator))))</f>
        <v/>
      </c>
      <c r="AQ56" s="11" t="str" cm="1">
        <f t="array" aca="1" ref="AQ56" ca="1">IF(NOT($O56),"",
_xlfn.LET(
_xlpm._potentialASID,$Y56,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_xlpm._commentsFiltered,SUBSTITUTE(GetValues(_xlpm._attackSteps,Mitigation!$A:$O,"","",FALSE),$X56,""),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56" s="11" t="str" cm="1">
        <f t="array" aca="1" ref="AR56" ca="1">IF(NOT($O56),"",_xlfn.LET(
_xlpm._listOfRisksAndLevels,SanitizeInput($AQ56),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_xlpm._shortenedList,IF($H56="",_xlpm._risksWithMaxValue,
  IF(LEN(_xlpm._risksWithMaxValue)-LEN(SUBSTITUTE(_xlpm._risksWithMaxValue,",",""))&lt;=$H56,_xlpm._risksWithMaxValue,
    LEFT(_xlpm._risksWithMaxValue,FIND(CHAR(1),SUBSTITUTE(_xlpm._risksWithMaxValue,",",CHAR(1),$H56))))),
IF(_xlpm._maxRiskValue="","",
  _xlpm._lineMainSeparator&amp;
  INDEX(Definitions!$AE:$AE,MATCH(_xlpm._maxRiskValue,Definitions!$AF:$AF,0))&amp;CHAR(10)&amp;
  _xlpm._lineMainSeparator&amp;
  RemoveDelimiter(GetValues(_xlpm._shortenedList,Risks!$A:$B," ",CHAR(10)&amp;_xlpm._lineMainSeparator,TRUE),CHAR(10)&amp;_xlpm._lineMainSeparator))))</f>
        <v/>
      </c>
      <c r="AS56" s="11" t="str" cm="1">
        <f t="array" aca="1" ref="AS56" ca="1">IF(NOT($O56),"",
_xlfn.LET(
_xlpm._lineMainSeparator,REPT(_xlfn.UNICHAR(9552),63)&amp;CHAR(10),
_xlpm._potentialASID,$Y56,
_xlpm._risk,IFERROR(SimpleLookup(_xlpm._potentialASID,Mitigation!$A:$N),""),
_xlpm._attackPaths,IFERROR(SimpleLookup(_xlpm._potentialASID,Mitigation!$A:$M),""),
IF(_xlpm._risk="","",
_xlpm._lineMainSeparator&amp;
_xlpm._risk&amp;CHAR(10)&amp;
_xlpm._lineMainSeparator&amp;
_xlpm._attackPaths)))</f>
        <v/>
      </c>
      <c r="AT56" s="11" t="str" cm="1">
        <f t="array" aca="1" ref="AT56" ca="1">InverseLookup($A56,Countermeasures!$AA$2,Countermeasures!$A$2,1,Helper!$B$4,",")</f>
        <v/>
      </c>
    </row>
    <row r="57" spans="1:46" x14ac:dyDescent="0.25">
      <c r="A57" s="106" t="str">
        <f ca="1">_xlfn.LET(
_xlpm._isAssumption,$M57,
_xlpm._row,$N57,
_xlpm._numActiveAssumptions,Helper!$B$8,
_xlpm._numActiveCountermeasures,Helper!$B$9,
_xlpm._numAdditionalAssumptions,Helper!$B$10,
_xlpm._numAdditionalCountermeasures,Helper!$B$11,
IF(_xlpm._isAssumption,
IF(_xlpm._row&gt;_xlpm._numActiveAssumptions,
$Y57&amp;"-A"&amp;$T57,
INDEX(Assumptions!A:A,MATCH(_xlpm._row,Assumptions!$AC:$AC,0))),
IF(_xlpm._row&gt;_xlpm._numActiveCountermeasures+_xlpm._numAdditionalCountermeasures,"",
IF(_xlpm._row&gt;_xlpm._numActiveCountermeasures,
$Y57&amp;"-C"&amp;$T57,
INDEX(Countermeasures!$A:$A,MATCH(_xlpm._row,Countermeasures!$AE:$AE,0))))))</f>
        <v/>
      </c>
      <c r="B57" s="106" t="str" cm="1">
        <f t="array" aca="1" ref="B57" ca="1">IF($A57="","",
_xlfn.LET(
_xlpm._isAssumption,$M57,
_xlpm._isAdditionalElement,$O57,
IF(_xlpm._isAdditionalElement,
IF(_xlpm._isAssumption,
ParseElementsFromComment($X57,Definitions!$AR$4,Definitions!$AS$4,Definitions!$AR$6,$T57),
ParseElementsFromComment($X57,Definitions!$AR$5,Definitions!$AS$5,Definitions!$AR$6,$T57)),
_xlfn.LET(_xlpm._value,IF($A57="","",IF($M57,SimpleLookup($A57,Assumptions!$A:$B),SimpleLookup($A57,Countermeasures!$A:$B))),IF(_xlpm._value="","",_xlpm._value)))))</f>
        <v/>
      </c>
      <c r="C57" s="106" t="str" cm="1">
        <f t="array" aca="1" ref="C57" ca="1">IF($A57="","",IF($M57,IFERROR(SimpleLookup($A57,Assumptions!$A:$E),""),Definitions!$AO$4))</f>
        <v/>
      </c>
      <c r="D57" s="103" t="str">
        <f t="shared" ca="1" si="9"/>
        <v/>
      </c>
      <c r="E57" s="107"/>
      <c r="F57" s="108" t="str">
        <f t="shared" ca="1" si="10"/>
        <v/>
      </c>
      <c r="G57" s="102" t="str" cm="1">
        <f t="array" aca="1" ref="G57" ca="1">_xlfn.LET(_xlpm._val,IFERROR(SimpleLookup($A57,Countermeasures!$A:$S),IFERROR(SimpleLookup($A57,Assumptions!$A:$S),"")),IF(_xlpm._val="","",_xlpm._val))</f>
        <v/>
      </c>
      <c r="H57" s="109" t="str">
        <f>""</f>
        <v/>
      </c>
      <c r="I57" s="102" t="str">
        <f t="shared" ca="1" si="11"/>
        <v/>
      </c>
      <c r="J57" s="102" t="str">
        <f t="shared" ca="1" si="12"/>
        <v/>
      </c>
      <c r="K57" s="106" t="str" cm="1">
        <f t="array" aca="1" ref="K57" ca="1">_xlfn.LET(_xlpm._value,IF($A57="","",IFERROR(IF($M57,SimpleLookup($A57,Assumptions!$A:$T),SimpleLookup($A57,Countermeasures!$A:$T)),"")),
IF(_xlpm._value="","",_xlpm._value))</f>
        <v/>
      </c>
      <c r="L57" s="9" cm="1">
        <f t="array" aca="1" ref="L57" ca="1">CreateID($L$17,$A57&lt;&gt;"")</f>
        <v>11</v>
      </c>
      <c r="M57" s="9" t="b">
        <f ca="1">_xlfn.LET(_xlpm._row,ROW()-ROW($N$17),
_xlpm._numActiveAssumptions,Helper!$B$8,
_xlpm._numAdditionalAssumptions,SUM(Table24['# Elements]),
_xlpm._row&lt;=_xlpm._numActiveAssumptions+_xlpm._numAdditionalAssumptions)</f>
        <v>0</v>
      </c>
      <c r="N57" s="9">
        <f ca="1">_xlfn.LET(_xlpm._row,ROW()-ROW($N$17),
_xlpm._numActiveAssumptions,Helper!$B$8,
_xlpm._numAdditionalAssumptions,Helper!$B$10,
_xlpm._isAssumption,$M57,
_xlpm._elementID,IF(_xlpm._isAssumption,_xlpm._row,_xlpm._row-_xlpm._numActiveAssumptions-_xlpm._numAdditionalAssumptions),
_xlpm._elementID)</f>
        <v>36</v>
      </c>
      <c r="O57"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57" s="11" cm="1">
        <f t="array" aca="1" ref="P57" ca="1">IF($O57,
IF(ROW()=ROW($P$17)+1,1,INDEX($P:$P,ROW()-1)+IF(INDEX($W:$W,ROW()-1),1,0)),
1)</f>
        <v>1</v>
      </c>
      <c r="Q57" s="11" t="str" cm="1">
        <f t="array" aca="1" ref="Q57" ca="1">IF($O57=TRUE,
_xlfn.LET(
_xlpm._isAssumption,$M57,
_xlpm._indexRange,IF(_xlpm._isAssumption,Table24['# Elements],Table25['# Elements]),
_xlpm._lookupRow,$Z57,
INDEX(_xlpm._indexRange,_xlpm._lookupRow)),
"")</f>
        <v/>
      </c>
      <c r="R57" s="11" t="str" cm="1">
        <f t="array" aca="1" ref="R57" ca="1">IF($Q57="","",_xlfn.LET(
_xlpm._prevRow,ROW()-1,
IF(OR(INDEX($Q:$Q,_xlpm._prevRow)&lt;&gt;$Q57,INDEX($P:$P,_xlpm._prevRow)&lt;&gt;$P57),
1,
INDEX($R:$R,_xlpm._prevRow)+IF(INDEX($V:$V,_xlpm._prevRow),1,0))))</f>
        <v/>
      </c>
      <c r="S57" s="11" t="str" cm="1">
        <f t="array" aca="1" ref="S57" ca="1">IF($R57="","",_xlfn.LET(
_xlpm._isAssumption,$M57,
_xlpm._sheetRow,$Z57,
_xlpm._sheetName,$AA57,
_xlpm._elementIDRange,IF(_xlpm._isAssumption,Table24[Element ID Column],Table25[Element ID Column]),
_xlpm._numberOfElementsRange,IF(_xlpm._isAssumption,Table24[Number of Elements Column],Table25[Number of Elements Column]),
SimpleLookup($R57,INDIRECT("'"&amp;_xlpm._sheetName&amp;"'!"&amp;INDEX(_xlpm._elementIDRange,_xlpm._sheetRow)&amp;":"&amp;INDEX(_xlpm._numberOfElementsRange,_xlpm._sheetRow)))))</f>
        <v/>
      </c>
      <c r="T57" s="11" t="str" cm="1">
        <f t="array" aca="1" ref="T57" ca="1">IF($R57="","",IF(OR(INDEX($R:$R,ROW()-1)&lt;&gt;$R57,INDEX($P:$P,ROW()-1)&lt;&gt;$P57),1,INDEX($T:$T,ROW()-1)+1))</f>
        <v/>
      </c>
      <c r="U57" s="11">
        <f t="shared" ca="1" si="13"/>
        <v>0</v>
      </c>
      <c r="V57" s="11" t="str">
        <f t="shared" ca="1" si="14"/>
        <v/>
      </c>
      <c r="W57" s="11" t="b">
        <f ca="1">_xlfn.LET(
_xlpm._isAssumption,$M57,
_xlpm._numberOfElementsRange,IF(_xlpm._isAssumption,Table24['# Elements],Table25['# Elements]),
_xlpm._sheetRow,$Z57,
IF($O57,AND($V57,$U57=$Q57),FALSE))</f>
        <v>0</v>
      </c>
      <c r="X57" s="11" t="str" cm="1">
        <f t="array" aca="1" ref="X57" ca="1">IF($O57,
_xlfn.LET(
_xlpm._elementID,$R57,
_xlpm._isAssumption,$M57,
_xlpm._sheetRow,$Z57,
_xlpm._sheetName,$AA57,
_xlpm._elementRow,$AB57,
_xlpm._resultColumnLetter,IF(_xlpm._isAssumption,INDEX(Table24[Comment Column],_xlpm._sheetRow),INDEX(Table25[Comment Column],_xlpm._sheetRow)),
INDEX(INDIRECT("'"&amp;_xlpm._sheetName&amp;"'!"&amp;_xlpm._resultColumnLetter&amp;":"&amp;_xlpm._resultColumnLetter),_xlpm._elementRow)),
"")</f>
        <v/>
      </c>
      <c r="Y57" s="11" t="str" cm="1">
        <f t="array" aca="1" ref="Y57" ca="1">IF($O57,
_xlfn.LET(
_xlpm._elementID,$R57,
_xlpm._isAssumption,$M57,
_xlpm._sheetRow,$Z57,
_xlpm._sheetName,$AA57,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57" s="11" t="str">
        <f ca="1">IF($O57=TRUE,
_xlfn.LET(
_xlpm._isAssumption,$M57,
_xlpm._searchRange,IF(_xlpm._isAssumption,Table24[Task Sheet Shadow ID],Table25[Task Sheet Shadow ID]),
MATCH($P57,_xlpm._searchRange,0)),
"")</f>
        <v/>
      </c>
      <c r="AA57" s="11" t="str" cm="1">
        <f t="array" aca="1" ref="AA57" ca="1">IF($O57,
_xlfn.LET(
_xlpm._isAssumption,$M57,
_xlpm._sheetRow,$Z57,
IF(_xlpm._isAssumption,INDEX(Table24[Sheet Name],_xlpm._sheetRow),INDEX(Table25[Sheet Name],_xlpm._sheetRow))),
"")</f>
        <v/>
      </c>
      <c r="AB57" s="11" t="str" cm="1">
        <f t="array" aca="1" ref="AB57" ca="1">IF($O57,
_xlfn.LET(
_xlpm._elementID,$R57,
_xlpm._isAssumption,$M57,
_xlpm._sheetRow,$Z57,
_xlpm._sheetName,$AA57,
_xlpm._elementIDColumnLetter,IF(_xlpm._isAssumption,INDEX(Table24[Element ID Column],_xlpm._sheetRow),INDEX(Table25[Element ID Column],_xlpm._sheetRow)),
MATCH(_xlpm._elementID,INDIRECT("'"&amp;_xlpm._sheetName&amp;"'!"&amp;_xlpm._elementIDColumnLetter&amp;":"&amp;_xlpm._elementIDColumnLetter),0)),
"")</f>
        <v/>
      </c>
      <c r="AC57" s="11" t="str" cm="1">
        <f t="array" aca="1" ref="AC57" ca="1">IF($A57="","",_xlfn.LET(
_xlpm._isAssumption,$M57,
_xlpm._isAdditionalElement,$O57,
_xlpm._sheetRow,$Z57,
_xlpm._sheetName,$AA57,
_xlpm._columnLetter,INDEX(IF(_xlpm._isAdditionalElement,Table24[Comment Column],Table25[Comment Column]),_xlpm._sheetRow),
_xlpm._sheetReference,IF(_xlpm._isAssumption,IF(_xlpm._isAdditionalElement,
CELL("address",INDEX(INDIRECT("'"&amp;_xlpm._sheetName&amp;"'!"&amp;_xlpm._columnLetter&amp;":"&amp;_xlpm._columnLetter),$AB57)),
CELL("address",INDEX(Assumptions!$A:$A,MATCH($A57,Assumptions!$A:$A,0),1))),
IF(_xlpm._isAdditionalElement,
CELL("address",INDEX(INDIRECT("'"&amp;_xlpm._sheetName&amp;"'!"&amp;_xlpm._columnLetter&amp;":"&amp;_xlpm._columnLetter),$AB57)),
CELL("address",INDEX(Countermeasures!$A:$A,MATCH($A57,Countermeasures!$A:$A,0),1)))),
_xlpm._start,FIND("]",_xlpm._sheetReference),
"'"&amp;SUBSTITUTE(SUBSTITUTE(RIGHT(_xlpm._sheetReference,LEN(_xlpm._sheetReference)-_xlpm._start),"'",""),"!","'!")))</f>
        <v/>
      </c>
      <c r="AD57" s="11" t="str" cm="1">
        <f t="array" aca="1" ref="AD57" ca="1">IF(NOT($O57),
_xlfn.LET(_xlpm._value,IF($A57="","",IF($M57,SimpleLookup($A57,Assumptions!$A:$AG),SimpleLookup($A57,Countermeasures!$A:$AJ))),
IF(_xlpm._value="","",_xlpm._value)),
"")</f>
        <v/>
      </c>
      <c r="AE57" s="11" t="str" cm="1">
        <f t="array" aca="1" ref="AE57" ca="1">LookupNames(InverseLookup($A57,Mitigation!$AD$2,Mitigation!$A$2,1,Helper!$B$5,","),'Attack Steps'!$A:$B)</f>
        <v/>
      </c>
      <c r="AF57" s="11" t="str" cm="1">
        <f t="array" aca="1" ref="AF57" ca="1">IF($O57,
_xlfn.LET(
_xlpm._in,$A57,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57" s="11" t="str" cm="1">
        <f t="array" aca="1" ref="AG57" ca="1">_xlfn.LET(
_xlpm._countermeasures,InverseLookup($A57,Countermeasures!$AC$2,Countermeasures!$A$2,1,Helper!$B$4,","),
LookupNames(_xlpm._countermeasures,Countermeasures!$A:$B))</f>
        <v/>
      </c>
      <c r="AH57" s="11" t="str" cm="1">
        <f t="array" aca="1" ref="AH57" ca="1">IF($E57="","",_xlfn.LET(
_xlpm._id,$E57,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57" s="11" t="str" cm="1">
        <f t="array" aca="1" ref="AI57" ca="1">IF(OR($A57="",$O57),"",_xlfn.LET(
_xlpm._answers,IF($M57,SimpleLookup($A57,Assumptions!$A:$F),SimpleLookup($A57,Countermeasures!$A:$D)),
IF(_xlpm._answers="*",IF($M57,SimpleLookup($A57,Assumptions!$A:$C),SimpleLookup($A57,Countermeasures!$A:$C)),"")))</f>
        <v/>
      </c>
      <c r="AJ57" s="11" t="str" cm="1">
        <f t="array" aca="1" ref="AJ57" ca="1">IF(NOT($O57),"",_xlfn.LET(
_xlpm._mappedInMitigation,IFERROR(VLOOKUP($Y57,'Attack Steps'!$A:$P,COLUMNS('Attack Steps'!$A:$P),FALSE),""),
CreateSearchString(_xlpm._mappedInMitigation)))</f>
        <v/>
      </c>
      <c r="AK57" s="11" t="b">
        <f ca="1">ROW()-ROW($AK$17)=Helper!$B$15</f>
        <v>0</v>
      </c>
      <c r="AL57" s="11" t="str">
        <f t="shared" ca="1" si="15"/>
        <v/>
      </c>
      <c r="AM57" s="11" cm="1">
        <f t="array" aca="1" ref="AM57" ca="1">CreateID($AM$17,$AL57&lt;&gt;"")</f>
        <v>0</v>
      </c>
      <c r="AN57" s="11" t="str" cm="1">
        <f t="array" aca="1" ref="AN57" ca="1">IF($O57,"",
_xlfn.LET(
_xlpm._this,SanitizeInput($A57)&amp;AT57,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57" s="11" t="str" cm="1">
        <f t="array" aca="1" ref="AO57" ca="1">IF($O57,"",_xlfn.LET(
_xlpm._listOfRisksAndLevels,SanitizeInput($AN57),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_xlpm._shortenedList,IF($H57="",_xlpm._risksWithMaxValue,
  IF(LEN(_xlpm._risksWithMaxValue)-LEN(SUBSTITUTE(_xlpm._risksWithMaxValue,",",""))&lt;=$H57,_xlpm._risksWithMaxValue,
    LEFT(_xlpm._risksWithMaxValue,FIND(CHAR(1),SUBSTITUTE(_xlpm._risksWithMaxValue,",",CHAR(1),$H57))))),
IF(_xlpm._maxRiskValue="","",
  _xlpm._lineMainSeparator&amp;
  INDEX(Definitions!$AE:$AE,MATCH(_xlpm._maxRiskValue,Definitions!$AF:$AF,0))&amp;CHAR(10)&amp;
  _xlpm._lineMainSeparator&amp;
  RemoveDelimiter(GetValues(_xlpm._shortenedList,Risks!$A:$B," ",CHAR(10)&amp;_xlpm._lineMainSeparator,TRUE),CHAR(10)&amp;_xlpm._lineMainSeparator))))</f>
        <v/>
      </c>
      <c r="AP57" s="11" t="str" cm="1">
        <f t="array" aca="1" ref="AP57" ca="1">IF($O57,"",_xlfn.LET(
_xlpm._lineMainSeparator,REPT(_xlfn.UNICHAR(9552),63)&amp;CHAR(10),
_xlpm._affectedRisks,InverseLookupList(SanitizeInput($A57)&amp;$AT57,Risks!$AX$2,Risks!$A$2,Helper!$B$1,","),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_xlpm._shortenedList,IF($H57="",_xlpm._risksWithMaxValue,
  IF(LEN(_xlpm._risksWithMaxValue)-LEN(SUBSTITUTE(_xlpm._risksWithMaxValue,",",""))&lt;=$H57,_xlpm._risksWithMaxValue,
    LEFT(_xlpm._risksWithMaxValue,FIND(CHAR(1),SUBSTITUTE(_xlpm._risksWithMaxValue,",",CHAR(1),$H57))))),
IF(_xlpm._maxRiskValue="","",
  _xlpm._lineMainSeparator&amp;
  INDEX(Definitions!$AE:$AE,MATCH(_xlpm._maxRiskValue,Definitions!$AF:$AF,0))&amp;CHAR(10)&amp;
  _xlpm._lineMainSeparator&amp;
  RemoveDelimiter(GetValues(_xlpm._shortenedList,Risks!$A:$B," ",CHAR(10)&amp;_xlpm._lineMainSeparator,TRUE),CHAR(10)&amp;_xlpm._lineMainSeparator))))</f>
        <v/>
      </c>
      <c r="AQ57" s="11" t="str" cm="1">
        <f t="array" aca="1" ref="AQ57" ca="1">IF(NOT($O57),"",
_xlfn.LET(
_xlpm._potentialASID,$Y57,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_xlpm._commentsFiltered,SUBSTITUTE(GetValues(_xlpm._attackSteps,Mitigation!$A:$O,"","",FALSE),$X57,""),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57" s="11" t="str" cm="1">
        <f t="array" aca="1" ref="AR57" ca="1">IF(NOT($O57),"",_xlfn.LET(
_xlpm._listOfRisksAndLevels,SanitizeInput($AQ57),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_xlpm._shortenedList,IF($H57="",_xlpm._risksWithMaxValue,
  IF(LEN(_xlpm._risksWithMaxValue)-LEN(SUBSTITUTE(_xlpm._risksWithMaxValue,",",""))&lt;=$H57,_xlpm._risksWithMaxValue,
    LEFT(_xlpm._risksWithMaxValue,FIND(CHAR(1),SUBSTITUTE(_xlpm._risksWithMaxValue,",",CHAR(1),$H57))))),
IF(_xlpm._maxRiskValue="","",
  _xlpm._lineMainSeparator&amp;
  INDEX(Definitions!$AE:$AE,MATCH(_xlpm._maxRiskValue,Definitions!$AF:$AF,0))&amp;CHAR(10)&amp;
  _xlpm._lineMainSeparator&amp;
  RemoveDelimiter(GetValues(_xlpm._shortenedList,Risks!$A:$B," ",CHAR(10)&amp;_xlpm._lineMainSeparator,TRUE),CHAR(10)&amp;_xlpm._lineMainSeparator))))</f>
        <v/>
      </c>
      <c r="AS57" s="11" t="str" cm="1">
        <f t="array" aca="1" ref="AS57" ca="1">IF(NOT($O57),"",
_xlfn.LET(
_xlpm._lineMainSeparator,REPT(_xlfn.UNICHAR(9552),63)&amp;CHAR(10),
_xlpm._potentialASID,$Y57,
_xlpm._risk,IFERROR(SimpleLookup(_xlpm._potentialASID,Mitigation!$A:$N),""),
_xlpm._attackPaths,IFERROR(SimpleLookup(_xlpm._potentialASID,Mitigation!$A:$M),""),
IF(_xlpm._risk="","",
_xlpm._lineMainSeparator&amp;
_xlpm._risk&amp;CHAR(10)&amp;
_xlpm._lineMainSeparator&amp;
_xlpm._attackPaths)))</f>
        <v/>
      </c>
      <c r="AT57" s="11" t="str" cm="1">
        <f t="array" aca="1" ref="AT57" ca="1">InverseLookup($A57,Countermeasures!$AA$2,Countermeasures!$A$2,1,Helper!$B$4,",")</f>
        <v/>
      </c>
    </row>
    <row r="58" spans="1:46" x14ac:dyDescent="0.25">
      <c r="A58" s="106" t="str">
        <f ca="1">_xlfn.LET(
_xlpm._isAssumption,$M58,
_xlpm._row,$N58,
_xlpm._numActiveAssumptions,Helper!$B$8,
_xlpm._numActiveCountermeasures,Helper!$B$9,
_xlpm._numAdditionalAssumptions,Helper!$B$10,
_xlpm._numAdditionalCountermeasures,Helper!$B$11,
IF(_xlpm._isAssumption,
IF(_xlpm._row&gt;_xlpm._numActiveAssumptions,
$Y58&amp;"-A"&amp;$T58,
INDEX(Assumptions!A:A,MATCH(_xlpm._row,Assumptions!$AC:$AC,0))),
IF(_xlpm._row&gt;_xlpm._numActiveCountermeasures+_xlpm._numAdditionalCountermeasures,"",
IF(_xlpm._row&gt;_xlpm._numActiveCountermeasures,
$Y58&amp;"-C"&amp;$T58,
INDEX(Countermeasures!$A:$A,MATCH(_xlpm._row,Countermeasures!$AE:$AE,0))))))</f>
        <v/>
      </c>
      <c r="B58" s="106" t="str" cm="1">
        <f t="array" aca="1" ref="B58" ca="1">IF($A58="","",
_xlfn.LET(
_xlpm._isAssumption,$M58,
_xlpm._isAdditionalElement,$O58,
IF(_xlpm._isAdditionalElement,
IF(_xlpm._isAssumption,
ParseElementsFromComment($X58,Definitions!$AR$4,Definitions!$AS$4,Definitions!$AR$6,$T58),
ParseElementsFromComment($X58,Definitions!$AR$5,Definitions!$AS$5,Definitions!$AR$6,$T58)),
_xlfn.LET(_xlpm._value,IF($A58="","",IF($M58,SimpleLookup($A58,Assumptions!$A:$B),SimpleLookup($A58,Countermeasures!$A:$B))),IF(_xlpm._value="","",_xlpm._value)))))</f>
        <v/>
      </c>
      <c r="C58" s="106" t="str" cm="1">
        <f t="array" aca="1" ref="C58" ca="1">IF($A58="","",IF($M58,IFERROR(SimpleLookup($A58,Assumptions!$A:$E),""),Definitions!$AO$4))</f>
        <v/>
      </c>
      <c r="D58" s="103" t="str">
        <f t="shared" ca="1" si="9"/>
        <v/>
      </c>
      <c r="E58" s="107"/>
      <c r="F58" s="108" t="str">
        <f t="shared" ca="1" si="10"/>
        <v/>
      </c>
      <c r="G58" s="102" t="str" cm="1">
        <f t="array" aca="1" ref="G58" ca="1">_xlfn.LET(_xlpm._val,IFERROR(SimpleLookup($A58,Countermeasures!$A:$S),IFERROR(SimpleLookup($A58,Assumptions!$A:$S),"")),IF(_xlpm._val="","",_xlpm._val))</f>
        <v/>
      </c>
      <c r="H58" s="109" t="str">
        <f>""</f>
        <v/>
      </c>
      <c r="I58" s="102" t="str">
        <f t="shared" ca="1" si="11"/>
        <v/>
      </c>
      <c r="J58" s="102" t="str">
        <f t="shared" ca="1" si="12"/>
        <v/>
      </c>
      <c r="K58" s="106" t="str" cm="1">
        <f t="array" aca="1" ref="K58" ca="1">_xlfn.LET(_xlpm._value,IF($A58="","",IFERROR(IF($M58,SimpleLookup($A58,Assumptions!$A:$T),SimpleLookup($A58,Countermeasures!$A:$T)),"")),
IF(_xlpm._value="","",_xlpm._value))</f>
        <v/>
      </c>
      <c r="L58" s="9" cm="1">
        <f t="array" aca="1" ref="L58" ca="1">CreateID($L$17,$A58&lt;&gt;"")</f>
        <v>11</v>
      </c>
      <c r="M58" s="9" t="b">
        <f ca="1">_xlfn.LET(_xlpm._row,ROW()-ROW($N$17),
_xlpm._numActiveAssumptions,Helper!$B$8,
_xlpm._numAdditionalAssumptions,SUM(Table24['# Elements]),
_xlpm._row&lt;=_xlpm._numActiveAssumptions+_xlpm._numAdditionalAssumptions)</f>
        <v>0</v>
      </c>
      <c r="N58" s="9">
        <f ca="1">_xlfn.LET(_xlpm._row,ROW()-ROW($N$17),
_xlpm._numActiveAssumptions,Helper!$B$8,
_xlpm._numAdditionalAssumptions,Helper!$B$10,
_xlpm._isAssumption,$M58,
_xlpm._elementID,IF(_xlpm._isAssumption,_xlpm._row,_xlpm._row-_xlpm._numActiveAssumptions-_xlpm._numAdditionalAssumptions),
_xlpm._elementID)</f>
        <v>37</v>
      </c>
      <c r="O58"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58" s="11" cm="1">
        <f t="array" aca="1" ref="P58" ca="1">IF($O58,
IF(ROW()=ROW($P$17)+1,1,INDEX($P:$P,ROW()-1)+IF(INDEX($W:$W,ROW()-1),1,0)),
1)</f>
        <v>1</v>
      </c>
      <c r="Q58" s="11" t="str" cm="1">
        <f t="array" aca="1" ref="Q58" ca="1">IF($O58=TRUE,
_xlfn.LET(
_xlpm._isAssumption,$M58,
_xlpm._indexRange,IF(_xlpm._isAssumption,Table24['# Elements],Table25['# Elements]),
_xlpm._lookupRow,$Z58,
INDEX(_xlpm._indexRange,_xlpm._lookupRow)),
"")</f>
        <v/>
      </c>
      <c r="R58" s="11" t="str" cm="1">
        <f t="array" aca="1" ref="R58" ca="1">IF($Q58="","",_xlfn.LET(
_xlpm._prevRow,ROW()-1,
IF(OR(INDEX($Q:$Q,_xlpm._prevRow)&lt;&gt;$Q58,INDEX($P:$P,_xlpm._prevRow)&lt;&gt;$P58),
1,
INDEX($R:$R,_xlpm._prevRow)+IF(INDEX($V:$V,_xlpm._prevRow),1,0))))</f>
        <v/>
      </c>
      <c r="S58" s="11" t="str" cm="1">
        <f t="array" aca="1" ref="S58" ca="1">IF($R58="","",_xlfn.LET(
_xlpm._isAssumption,$M58,
_xlpm._sheetRow,$Z58,
_xlpm._sheetName,$AA58,
_xlpm._elementIDRange,IF(_xlpm._isAssumption,Table24[Element ID Column],Table25[Element ID Column]),
_xlpm._numberOfElementsRange,IF(_xlpm._isAssumption,Table24[Number of Elements Column],Table25[Number of Elements Column]),
SimpleLookup($R58,INDIRECT("'"&amp;_xlpm._sheetName&amp;"'!"&amp;INDEX(_xlpm._elementIDRange,_xlpm._sheetRow)&amp;":"&amp;INDEX(_xlpm._numberOfElementsRange,_xlpm._sheetRow)))))</f>
        <v/>
      </c>
      <c r="T58" s="11" t="str" cm="1">
        <f t="array" aca="1" ref="T58" ca="1">IF($R58="","",IF(OR(INDEX($R:$R,ROW()-1)&lt;&gt;$R58,INDEX($P:$P,ROW()-1)&lt;&gt;$P58),1,INDEX($T:$T,ROW()-1)+1))</f>
        <v/>
      </c>
      <c r="U58" s="11">
        <f t="shared" ca="1" si="13"/>
        <v>0</v>
      </c>
      <c r="V58" s="11" t="str">
        <f t="shared" ca="1" si="14"/>
        <v/>
      </c>
      <c r="W58" s="11" t="b">
        <f ca="1">_xlfn.LET(
_xlpm._isAssumption,$M58,
_xlpm._numberOfElementsRange,IF(_xlpm._isAssumption,Table24['# Elements],Table25['# Elements]),
_xlpm._sheetRow,$Z58,
IF($O58,AND($V58,$U58=$Q58),FALSE))</f>
        <v>0</v>
      </c>
      <c r="X58" s="11" t="str" cm="1">
        <f t="array" aca="1" ref="X58" ca="1">IF($O58,
_xlfn.LET(
_xlpm._elementID,$R58,
_xlpm._isAssumption,$M58,
_xlpm._sheetRow,$Z58,
_xlpm._sheetName,$AA58,
_xlpm._elementRow,$AB58,
_xlpm._resultColumnLetter,IF(_xlpm._isAssumption,INDEX(Table24[Comment Column],_xlpm._sheetRow),INDEX(Table25[Comment Column],_xlpm._sheetRow)),
INDEX(INDIRECT("'"&amp;_xlpm._sheetName&amp;"'!"&amp;_xlpm._resultColumnLetter&amp;":"&amp;_xlpm._resultColumnLetter),_xlpm._elementRow)),
"")</f>
        <v/>
      </c>
      <c r="Y58" s="11" t="str" cm="1">
        <f t="array" aca="1" ref="Y58" ca="1">IF($O58,
_xlfn.LET(
_xlpm._elementID,$R58,
_xlpm._isAssumption,$M58,
_xlpm._sheetRow,$Z58,
_xlpm._sheetName,$AA58,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58" s="11" t="str">
        <f ca="1">IF($O58=TRUE,
_xlfn.LET(
_xlpm._isAssumption,$M58,
_xlpm._searchRange,IF(_xlpm._isAssumption,Table24[Task Sheet Shadow ID],Table25[Task Sheet Shadow ID]),
MATCH($P58,_xlpm._searchRange,0)),
"")</f>
        <v/>
      </c>
      <c r="AA58" s="11" t="str" cm="1">
        <f t="array" aca="1" ref="AA58" ca="1">IF($O58,
_xlfn.LET(
_xlpm._isAssumption,$M58,
_xlpm._sheetRow,$Z58,
IF(_xlpm._isAssumption,INDEX(Table24[Sheet Name],_xlpm._sheetRow),INDEX(Table25[Sheet Name],_xlpm._sheetRow))),
"")</f>
        <v/>
      </c>
      <c r="AB58" s="11" t="str" cm="1">
        <f t="array" aca="1" ref="AB58" ca="1">IF($O58,
_xlfn.LET(
_xlpm._elementID,$R58,
_xlpm._isAssumption,$M58,
_xlpm._sheetRow,$Z58,
_xlpm._sheetName,$AA58,
_xlpm._elementIDColumnLetter,IF(_xlpm._isAssumption,INDEX(Table24[Element ID Column],_xlpm._sheetRow),INDEX(Table25[Element ID Column],_xlpm._sheetRow)),
MATCH(_xlpm._elementID,INDIRECT("'"&amp;_xlpm._sheetName&amp;"'!"&amp;_xlpm._elementIDColumnLetter&amp;":"&amp;_xlpm._elementIDColumnLetter),0)),
"")</f>
        <v/>
      </c>
      <c r="AC58" s="11" t="str" cm="1">
        <f t="array" aca="1" ref="AC58" ca="1">IF($A58="","",_xlfn.LET(
_xlpm._isAssumption,$M58,
_xlpm._isAdditionalElement,$O58,
_xlpm._sheetRow,$Z58,
_xlpm._sheetName,$AA58,
_xlpm._columnLetter,INDEX(IF(_xlpm._isAdditionalElement,Table24[Comment Column],Table25[Comment Column]),_xlpm._sheetRow),
_xlpm._sheetReference,IF(_xlpm._isAssumption,IF(_xlpm._isAdditionalElement,
CELL("address",INDEX(INDIRECT("'"&amp;_xlpm._sheetName&amp;"'!"&amp;_xlpm._columnLetter&amp;":"&amp;_xlpm._columnLetter),$AB58)),
CELL("address",INDEX(Assumptions!$A:$A,MATCH($A58,Assumptions!$A:$A,0),1))),
IF(_xlpm._isAdditionalElement,
CELL("address",INDEX(INDIRECT("'"&amp;_xlpm._sheetName&amp;"'!"&amp;_xlpm._columnLetter&amp;":"&amp;_xlpm._columnLetter),$AB58)),
CELL("address",INDEX(Countermeasures!$A:$A,MATCH($A58,Countermeasures!$A:$A,0),1)))),
_xlpm._start,FIND("]",_xlpm._sheetReference),
"'"&amp;SUBSTITUTE(SUBSTITUTE(RIGHT(_xlpm._sheetReference,LEN(_xlpm._sheetReference)-_xlpm._start),"'",""),"!","'!")))</f>
        <v/>
      </c>
      <c r="AD58" s="11" t="str" cm="1">
        <f t="array" aca="1" ref="AD58" ca="1">IF(NOT($O58),
_xlfn.LET(_xlpm._value,IF($A58="","",IF($M58,SimpleLookup($A58,Assumptions!$A:$AG),SimpleLookup($A58,Countermeasures!$A:$AJ))),
IF(_xlpm._value="","",_xlpm._value)),
"")</f>
        <v/>
      </c>
      <c r="AE58" s="11" t="str" cm="1">
        <f t="array" aca="1" ref="AE58" ca="1">LookupNames(InverseLookup($A58,Mitigation!$AD$2,Mitigation!$A$2,1,Helper!$B$5,","),'Attack Steps'!$A:$B)</f>
        <v/>
      </c>
      <c r="AF58" s="11" t="str" cm="1">
        <f t="array" aca="1" ref="AF58" ca="1">IF($O58,
_xlfn.LET(
_xlpm._in,$A58,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58" s="11" t="str" cm="1">
        <f t="array" aca="1" ref="AG58" ca="1">_xlfn.LET(
_xlpm._countermeasures,InverseLookup($A58,Countermeasures!$AC$2,Countermeasures!$A$2,1,Helper!$B$4,","),
LookupNames(_xlpm._countermeasures,Countermeasures!$A:$B))</f>
        <v/>
      </c>
      <c r="AH58" s="11" t="str" cm="1">
        <f t="array" aca="1" ref="AH58" ca="1">IF($E58="","",_xlfn.LET(
_xlpm._id,$E58,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58" s="11" t="str" cm="1">
        <f t="array" aca="1" ref="AI58" ca="1">IF(OR($A58="",$O58),"",_xlfn.LET(
_xlpm._answers,IF($M58,SimpleLookup($A58,Assumptions!$A:$F),SimpleLookup($A58,Countermeasures!$A:$D)),
IF(_xlpm._answers="*",IF($M58,SimpleLookup($A58,Assumptions!$A:$C),SimpleLookup($A58,Countermeasures!$A:$C)),"")))</f>
        <v/>
      </c>
      <c r="AJ58" s="11" t="str" cm="1">
        <f t="array" aca="1" ref="AJ58" ca="1">IF(NOT($O58),"",_xlfn.LET(
_xlpm._mappedInMitigation,IFERROR(VLOOKUP($Y58,'Attack Steps'!$A:$P,COLUMNS('Attack Steps'!$A:$P),FALSE),""),
CreateSearchString(_xlpm._mappedInMitigation)))</f>
        <v/>
      </c>
      <c r="AK58" s="11" t="b">
        <f ca="1">ROW()-ROW($AK$17)=Helper!$B$15</f>
        <v>0</v>
      </c>
      <c r="AL58" s="11" t="str">
        <f t="shared" ca="1" si="15"/>
        <v/>
      </c>
      <c r="AM58" s="11" cm="1">
        <f t="array" aca="1" ref="AM58" ca="1">CreateID($AM$17,$AL58&lt;&gt;"")</f>
        <v>0</v>
      </c>
      <c r="AN58" s="11" t="str" cm="1">
        <f t="array" aca="1" ref="AN58" ca="1">IF($O58,"",
_xlfn.LET(
_xlpm._this,SanitizeInput($A58)&amp;AT58,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58" s="11" t="str" cm="1">
        <f t="array" aca="1" ref="AO58" ca="1">IF($O58,"",_xlfn.LET(
_xlpm._listOfRisksAndLevels,SanitizeInput($AN58),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_xlpm._shortenedList,IF($H58="",_xlpm._risksWithMaxValue,
  IF(LEN(_xlpm._risksWithMaxValue)-LEN(SUBSTITUTE(_xlpm._risksWithMaxValue,",",""))&lt;=$H58,_xlpm._risksWithMaxValue,
    LEFT(_xlpm._risksWithMaxValue,FIND(CHAR(1),SUBSTITUTE(_xlpm._risksWithMaxValue,",",CHAR(1),$H58))))),
IF(_xlpm._maxRiskValue="","",
  _xlpm._lineMainSeparator&amp;
  INDEX(Definitions!$AE:$AE,MATCH(_xlpm._maxRiskValue,Definitions!$AF:$AF,0))&amp;CHAR(10)&amp;
  _xlpm._lineMainSeparator&amp;
  RemoveDelimiter(GetValues(_xlpm._shortenedList,Risks!$A:$B," ",CHAR(10)&amp;_xlpm._lineMainSeparator,TRUE),CHAR(10)&amp;_xlpm._lineMainSeparator))))</f>
        <v/>
      </c>
      <c r="AP58" s="11" t="str" cm="1">
        <f t="array" aca="1" ref="AP58" ca="1">IF($O58,"",_xlfn.LET(
_xlpm._lineMainSeparator,REPT(_xlfn.UNICHAR(9552),63)&amp;CHAR(10),
_xlpm._affectedRisks,InverseLookupList(SanitizeInput($A58)&amp;$AT58,Risks!$AX$2,Risks!$A$2,Helper!$B$1,","),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_xlpm._shortenedList,IF($H58="",_xlpm._risksWithMaxValue,
  IF(LEN(_xlpm._risksWithMaxValue)-LEN(SUBSTITUTE(_xlpm._risksWithMaxValue,",",""))&lt;=$H58,_xlpm._risksWithMaxValue,
    LEFT(_xlpm._risksWithMaxValue,FIND(CHAR(1),SUBSTITUTE(_xlpm._risksWithMaxValue,",",CHAR(1),$H58))))),
IF(_xlpm._maxRiskValue="","",
  _xlpm._lineMainSeparator&amp;
  INDEX(Definitions!$AE:$AE,MATCH(_xlpm._maxRiskValue,Definitions!$AF:$AF,0))&amp;CHAR(10)&amp;
  _xlpm._lineMainSeparator&amp;
  RemoveDelimiter(GetValues(_xlpm._shortenedList,Risks!$A:$B," ",CHAR(10)&amp;_xlpm._lineMainSeparator,TRUE),CHAR(10)&amp;_xlpm._lineMainSeparator))))</f>
        <v/>
      </c>
      <c r="AQ58" s="11" t="str" cm="1">
        <f t="array" aca="1" ref="AQ58" ca="1">IF(NOT($O58),"",
_xlfn.LET(
_xlpm._potentialASID,$Y58,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_xlpm._commentsFiltered,SUBSTITUTE(GetValues(_xlpm._attackSteps,Mitigation!$A:$O,"","",FALSE),$X58,""),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58" s="11" t="str" cm="1">
        <f t="array" aca="1" ref="AR58" ca="1">IF(NOT($O58),"",_xlfn.LET(
_xlpm._listOfRisksAndLevels,SanitizeInput($AQ58),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_xlpm._shortenedList,IF($H58="",_xlpm._risksWithMaxValue,
  IF(LEN(_xlpm._risksWithMaxValue)-LEN(SUBSTITUTE(_xlpm._risksWithMaxValue,",",""))&lt;=$H58,_xlpm._risksWithMaxValue,
    LEFT(_xlpm._risksWithMaxValue,FIND(CHAR(1),SUBSTITUTE(_xlpm._risksWithMaxValue,",",CHAR(1),$H58))))),
IF(_xlpm._maxRiskValue="","",
  _xlpm._lineMainSeparator&amp;
  INDEX(Definitions!$AE:$AE,MATCH(_xlpm._maxRiskValue,Definitions!$AF:$AF,0))&amp;CHAR(10)&amp;
  _xlpm._lineMainSeparator&amp;
  RemoveDelimiter(GetValues(_xlpm._shortenedList,Risks!$A:$B," ",CHAR(10)&amp;_xlpm._lineMainSeparator,TRUE),CHAR(10)&amp;_xlpm._lineMainSeparator))))</f>
        <v/>
      </c>
      <c r="AS58" s="11" t="str" cm="1">
        <f t="array" aca="1" ref="AS58" ca="1">IF(NOT($O58),"",
_xlfn.LET(
_xlpm._lineMainSeparator,REPT(_xlfn.UNICHAR(9552),63)&amp;CHAR(10),
_xlpm._potentialASID,$Y58,
_xlpm._risk,IFERROR(SimpleLookup(_xlpm._potentialASID,Mitigation!$A:$N),""),
_xlpm._attackPaths,IFERROR(SimpleLookup(_xlpm._potentialASID,Mitigation!$A:$M),""),
IF(_xlpm._risk="","",
_xlpm._lineMainSeparator&amp;
_xlpm._risk&amp;CHAR(10)&amp;
_xlpm._lineMainSeparator&amp;
_xlpm._attackPaths)))</f>
        <v/>
      </c>
      <c r="AT58" s="11" t="str" cm="1">
        <f t="array" aca="1" ref="AT58" ca="1">InverseLookup($A58,Countermeasures!$AA$2,Countermeasures!$A$2,1,Helper!$B$4,",")</f>
        <v/>
      </c>
    </row>
    <row r="59" spans="1:46" x14ac:dyDescent="0.25">
      <c r="A59" s="106" t="str">
        <f ca="1">_xlfn.LET(
_xlpm._isAssumption,$M59,
_xlpm._row,$N59,
_xlpm._numActiveAssumptions,Helper!$B$8,
_xlpm._numActiveCountermeasures,Helper!$B$9,
_xlpm._numAdditionalAssumptions,Helper!$B$10,
_xlpm._numAdditionalCountermeasures,Helper!$B$11,
IF(_xlpm._isAssumption,
IF(_xlpm._row&gt;_xlpm._numActiveAssumptions,
$Y59&amp;"-A"&amp;$T59,
INDEX(Assumptions!A:A,MATCH(_xlpm._row,Assumptions!$AC:$AC,0))),
IF(_xlpm._row&gt;_xlpm._numActiveCountermeasures+_xlpm._numAdditionalCountermeasures,"",
IF(_xlpm._row&gt;_xlpm._numActiveCountermeasures,
$Y59&amp;"-C"&amp;$T59,
INDEX(Countermeasures!$A:$A,MATCH(_xlpm._row,Countermeasures!$AE:$AE,0))))))</f>
        <v/>
      </c>
      <c r="B59" s="106" t="str" cm="1">
        <f t="array" aca="1" ref="B59" ca="1">IF($A59="","",
_xlfn.LET(
_xlpm._isAssumption,$M59,
_xlpm._isAdditionalElement,$O59,
IF(_xlpm._isAdditionalElement,
IF(_xlpm._isAssumption,
ParseElementsFromComment($X59,Definitions!$AR$4,Definitions!$AS$4,Definitions!$AR$6,$T59),
ParseElementsFromComment($X59,Definitions!$AR$5,Definitions!$AS$5,Definitions!$AR$6,$T59)),
_xlfn.LET(_xlpm._value,IF($A59="","",IF($M59,SimpleLookup($A59,Assumptions!$A:$B),SimpleLookup($A59,Countermeasures!$A:$B))),IF(_xlpm._value="","",_xlpm._value)))))</f>
        <v/>
      </c>
      <c r="C59" s="106" t="str" cm="1">
        <f t="array" aca="1" ref="C59" ca="1">IF($A59="","",IF($M59,IFERROR(SimpleLookup($A59,Assumptions!$A:$E),""),Definitions!$AO$4))</f>
        <v/>
      </c>
      <c r="D59" s="103" t="str">
        <f t="shared" ca="1" si="9"/>
        <v/>
      </c>
      <c r="E59" s="107"/>
      <c r="F59" s="108" t="str">
        <f t="shared" ca="1" si="10"/>
        <v/>
      </c>
      <c r="G59" s="102" t="str" cm="1">
        <f t="array" aca="1" ref="G59" ca="1">_xlfn.LET(_xlpm._val,IFERROR(SimpleLookup($A59,Countermeasures!$A:$S),IFERROR(SimpleLookup($A59,Assumptions!$A:$S),"")),IF(_xlpm._val="","",_xlpm._val))</f>
        <v/>
      </c>
      <c r="H59" s="109" t="str">
        <f>""</f>
        <v/>
      </c>
      <c r="I59" s="102" t="str">
        <f t="shared" ca="1" si="11"/>
        <v/>
      </c>
      <c r="J59" s="102" t="str">
        <f t="shared" ca="1" si="12"/>
        <v/>
      </c>
      <c r="K59" s="106" t="str" cm="1">
        <f t="array" aca="1" ref="K59" ca="1">_xlfn.LET(_xlpm._value,IF($A59="","",IFERROR(IF($M59,SimpleLookup($A59,Assumptions!$A:$T),SimpleLookup($A59,Countermeasures!$A:$T)),"")),
IF(_xlpm._value="","",_xlpm._value))</f>
        <v/>
      </c>
      <c r="L59" s="9" cm="1">
        <f t="array" aca="1" ref="L59" ca="1">CreateID($L$17,$A59&lt;&gt;"")</f>
        <v>11</v>
      </c>
      <c r="M59" s="9" t="b">
        <f ca="1">_xlfn.LET(_xlpm._row,ROW()-ROW($N$17),
_xlpm._numActiveAssumptions,Helper!$B$8,
_xlpm._numAdditionalAssumptions,SUM(Table24['# Elements]),
_xlpm._row&lt;=_xlpm._numActiveAssumptions+_xlpm._numAdditionalAssumptions)</f>
        <v>0</v>
      </c>
      <c r="N59" s="9">
        <f ca="1">_xlfn.LET(_xlpm._row,ROW()-ROW($N$17),
_xlpm._numActiveAssumptions,Helper!$B$8,
_xlpm._numAdditionalAssumptions,Helper!$B$10,
_xlpm._isAssumption,$M59,
_xlpm._elementID,IF(_xlpm._isAssumption,_xlpm._row,_xlpm._row-_xlpm._numActiveAssumptions-_xlpm._numAdditionalAssumptions),
_xlpm._elementID)</f>
        <v>38</v>
      </c>
      <c r="O59"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59" s="11" cm="1">
        <f t="array" aca="1" ref="P59" ca="1">IF($O59,
IF(ROW()=ROW($P$17)+1,1,INDEX($P:$P,ROW()-1)+IF(INDEX($W:$W,ROW()-1),1,0)),
1)</f>
        <v>1</v>
      </c>
      <c r="Q59" s="11" t="str" cm="1">
        <f t="array" aca="1" ref="Q59" ca="1">IF($O59=TRUE,
_xlfn.LET(
_xlpm._isAssumption,$M59,
_xlpm._indexRange,IF(_xlpm._isAssumption,Table24['# Elements],Table25['# Elements]),
_xlpm._lookupRow,$Z59,
INDEX(_xlpm._indexRange,_xlpm._lookupRow)),
"")</f>
        <v/>
      </c>
      <c r="R59" s="11" t="str" cm="1">
        <f t="array" aca="1" ref="R59" ca="1">IF($Q59="","",_xlfn.LET(
_xlpm._prevRow,ROW()-1,
IF(OR(INDEX($Q:$Q,_xlpm._prevRow)&lt;&gt;$Q59,INDEX($P:$P,_xlpm._prevRow)&lt;&gt;$P59),
1,
INDEX($R:$R,_xlpm._prevRow)+IF(INDEX($V:$V,_xlpm._prevRow),1,0))))</f>
        <v/>
      </c>
      <c r="S59" s="11" t="str" cm="1">
        <f t="array" aca="1" ref="S59" ca="1">IF($R59="","",_xlfn.LET(
_xlpm._isAssumption,$M59,
_xlpm._sheetRow,$Z59,
_xlpm._sheetName,$AA59,
_xlpm._elementIDRange,IF(_xlpm._isAssumption,Table24[Element ID Column],Table25[Element ID Column]),
_xlpm._numberOfElementsRange,IF(_xlpm._isAssumption,Table24[Number of Elements Column],Table25[Number of Elements Column]),
SimpleLookup($R59,INDIRECT("'"&amp;_xlpm._sheetName&amp;"'!"&amp;INDEX(_xlpm._elementIDRange,_xlpm._sheetRow)&amp;":"&amp;INDEX(_xlpm._numberOfElementsRange,_xlpm._sheetRow)))))</f>
        <v/>
      </c>
      <c r="T59" s="11" t="str" cm="1">
        <f t="array" aca="1" ref="T59" ca="1">IF($R59="","",IF(OR(INDEX($R:$R,ROW()-1)&lt;&gt;$R59,INDEX($P:$P,ROW()-1)&lt;&gt;$P59),1,INDEX($T:$T,ROW()-1)+1))</f>
        <v/>
      </c>
      <c r="U59" s="11">
        <f t="shared" ca="1" si="13"/>
        <v>0</v>
      </c>
      <c r="V59" s="11" t="str">
        <f t="shared" ca="1" si="14"/>
        <v/>
      </c>
      <c r="W59" s="11" t="b">
        <f ca="1">_xlfn.LET(
_xlpm._isAssumption,$M59,
_xlpm._numberOfElementsRange,IF(_xlpm._isAssumption,Table24['# Elements],Table25['# Elements]),
_xlpm._sheetRow,$Z59,
IF($O59,AND($V59,$U59=$Q59),FALSE))</f>
        <v>0</v>
      </c>
      <c r="X59" s="11" t="str" cm="1">
        <f t="array" aca="1" ref="X59" ca="1">IF($O59,
_xlfn.LET(
_xlpm._elementID,$R59,
_xlpm._isAssumption,$M59,
_xlpm._sheetRow,$Z59,
_xlpm._sheetName,$AA59,
_xlpm._elementRow,$AB59,
_xlpm._resultColumnLetter,IF(_xlpm._isAssumption,INDEX(Table24[Comment Column],_xlpm._sheetRow),INDEX(Table25[Comment Column],_xlpm._sheetRow)),
INDEX(INDIRECT("'"&amp;_xlpm._sheetName&amp;"'!"&amp;_xlpm._resultColumnLetter&amp;":"&amp;_xlpm._resultColumnLetter),_xlpm._elementRow)),
"")</f>
        <v/>
      </c>
      <c r="Y59" s="11" t="str" cm="1">
        <f t="array" aca="1" ref="Y59" ca="1">IF($O59,
_xlfn.LET(
_xlpm._elementID,$R59,
_xlpm._isAssumption,$M59,
_xlpm._sheetRow,$Z59,
_xlpm._sheetName,$AA59,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59" s="11" t="str">
        <f ca="1">IF($O59=TRUE,
_xlfn.LET(
_xlpm._isAssumption,$M59,
_xlpm._searchRange,IF(_xlpm._isAssumption,Table24[Task Sheet Shadow ID],Table25[Task Sheet Shadow ID]),
MATCH($P59,_xlpm._searchRange,0)),
"")</f>
        <v/>
      </c>
      <c r="AA59" s="11" t="str" cm="1">
        <f t="array" aca="1" ref="AA59" ca="1">IF($O59,
_xlfn.LET(
_xlpm._isAssumption,$M59,
_xlpm._sheetRow,$Z59,
IF(_xlpm._isAssumption,INDEX(Table24[Sheet Name],_xlpm._sheetRow),INDEX(Table25[Sheet Name],_xlpm._sheetRow))),
"")</f>
        <v/>
      </c>
      <c r="AB59" s="11" t="str" cm="1">
        <f t="array" aca="1" ref="AB59" ca="1">IF($O59,
_xlfn.LET(
_xlpm._elementID,$R59,
_xlpm._isAssumption,$M59,
_xlpm._sheetRow,$Z59,
_xlpm._sheetName,$AA59,
_xlpm._elementIDColumnLetter,IF(_xlpm._isAssumption,INDEX(Table24[Element ID Column],_xlpm._sheetRow),INDEX(Table25[Element ID Column],_xlpm._sheetRow)),
MATCH(_xlpm._elementID,INDIRECT("'"&amp;_xlpm._sheetName&amp;"'!"&amp;_xlpm._elementIDColumnLetter&amp;":"&amp;_xlpm._elementIDColumnLetter),0)),
"")</f>
        <v/>
      </c>
      <c r="AC59" s="11" t="str" cm="1">
        <f t="array" aca="1" ref="AC59" ca="1">IF($A59="","",_xlfn.LET(
_xlpm._isAssumption,$M59,
_xlpm._isAdditionalElement,$O59,
_xlpm._sheetRow,$Z59,
_xlpm._sheetName,$AA59,
_xlpm._columnLetter,INDEX(IF(_xlpm._isAdditionalElement,Table24[Comment Column],Table25[Comment Column]),_xlpm._sheetRow),
_xlpm._sheetReference,IF(_xlpm._isAssumption,IF(_xlpm._isAdditionalElement,
CELL("address",INDEX(INDIRECT("'"&amp;_xlpm._sheetName&amp;"'!"&amp;_xlpm._columnLetter&amp;":"&amp;_xlpm._columnLetter),$AB59)),
CELL("address",INDEX(Assumptions!$A:$A,MATCH($A59,Assumptions!$A:$A,0),1))),
IF(_xlpm._isAdditionalElement,
CELL("address",INDEX(INDIRECT("'"&amp;_xlpm._sheetName&amp;"'!"&amp;_xlpm._columnLetter&amp;":"&amp;_xlpm._columnLetter),$AB59)),
CELL("address",INDEX(Countermeasures!$A:$A,MATCH($A59,Countermeasures!$A:$A,0),1)))),
_xlpm._start,FIND("]",_xlpm._sheetReference),
"'"&amp;SUBSTITUTE(SUBSTITUTE(RIGHT(_xlpm._sheetReference,LEN(_xlpm._sheetReference)-_xlpm._start),"'",""),"!","'!")))</f>
        <v/>
      </c>
      <c r="AD59" s="11" t="str" cm="1">
        <f t="array" aca="1" ref="AD59" ca="1">IF(NOT($O59),
_xlfn.LET(_xlpm._value,IF($A59="","",IF($M59,SimpleLookup($A59,Assumptions!$A:$AG),SimpleLookup($A59,Countermeasures!$A:$AJ))),
IF(_xlpm._value="","",_xlpm._value)),
"")</f>
        <v/>
      </c>
      <c r="AE59" s="11" t="str" cm="1">
        <f t="array" aca="1" ref="AE59" ca="1">LookupNames(InverseLookup($A59,Mitigation!$AD$2,Mitigation!$A$2,1,Helper!$B$5,","),'Attack Steps'!$A:$B)</f>
        <v/>
      </c>
      <c r="AF59" s="11" t="str" cm="1">
        <f t="array" aca="1" ref="AF59" ca="1">IF($O59,
_xlfn.LET(
_xlpm._in,$A59,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59" s="11" t="str" cm="1">
        <f t="array" aca="1" ref="AG59" ca="1">_xlfn.LET(
_xlpm._countermeasures,InverseLookup($A59,Countermeasures!$AC$2,Countermeasures!$A$2,1,Helper!$B$4,","),
LookupNames(_xlpm._countermeasures,Countermeasures!$A:$B))</f>
        <v/>
      </c>
      <c r="AH59" s="11" t="str" cm="1">
        <f t="array" aca="1" ref="AH59" ca="1">IF($E59="","",_xlfn.LET(
_xlpm._id,$E59,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59" s="11" t="str" cm="1">
        <f t="array" aca="1" ref="AI59" ca="1">IF(OR($A59="",$O59),"",_xlfn.LET(
_xlpm._answers,IF($M59,SimpleLookup($A59,Assumptions!$A:$F),SimpleLookup($A59,Countermeasures!$A:$D)),
IF(_xlpm._answers="*",IF($M59,SimpleLookup($A59,Assumptions!$A:$C),SimpleLookup($A59,Countermeasures!$A:$C)),"")))</f>
        <v/>
      </c>
      <c r="AJ59" s="11" t="str" cm="1">
        <f t="array" aca="1" ref="AJ59" ca="1">IF(NOT($O59),"",_xlfn.LET(
_xlpm._mappedInMitigation,IFERROR(VLOOKUP($Y59,'Attack Steps'!$A:$P,COLUMNS('Attack Steps'!$A:$P),FALSE),""),
CreateSearchString(_xlpm._mappedInMitigation)))</f>
        <v/>
      </c>
      <c r="AK59" s="11" t="b">
        <f ca="1">ROW()-ROW($AK$17)=Helper!$B$15</f>
        <v>0</v>
      </c>
      <c r="AL59" s="11" t="str">
        <f t="shared" ca="1" si="15"/>
        <v/>
      </c>
      <c r="AM59" s="11" cm="1">
        <f t="array" aca="1" ref="AM59" ca="1">CreateID($AM$17,$AL59&lt;&gt;"")</f>
        <v>0</v>
      </c>
      <c r="AN59" s="11" t="str" cm="1">
        <f t="array" aca="1" ref="AN59" ca="1">IF($O59,"",
_xlfn.LET(
_xlpm._this,SanitizeInput($A59)&amp;AT59,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59" s="11" t="str" cm="1">
        <f t="array" aca="1" ref="AO59" ca="1">IF($O59,"",_xlfn.LET(
_xlpm._listOfRisksAndLevels,SanitizeInput($AN59),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_xlpm._shortenedList,IF($H59="",_xlpm._risksWithMaxValue,
  IF(LEN(_xlpm._risksWithMaxValue)-LEN(SUBSTITUTE(_xlpm._risksWithMaxValue,",",""))&lt;=$H59,_xlpm._risksWithMaxValue,
    LEFT(_xlpm._risksWithMaxValue,FIND(CHAR(1),SUBSTITUTE(_xlpm._risksWithMaxValue,",",CHAR(1),$H59))))),
IF(_xlpm._maxRiskValue="","",
  _xlpm._lineMainSeparator&amp;
  INDEX(Definitions!$AE:$AE,MATCH(_xlpm._maxRiskValue,Definitions!$AF:$AF,0))&amp;CHAR(10)&amp;
  _xlpm._lineMainSeparator&amp;
  RemoveDelimiter(GetValues(_xlpm._shortenedList,Risks!$A:$B," ",CHAR(10)&amp;_xlpm._lineMainSeparator,TRUE),CHAR(10)&amp;_xlpm._lineMainSeparator))))</f>
        <v/>
      </c>
      <c r="AP59" s="11" t="str" cm="1">
        <f t="array" aca="1" ref="AP59" ca="1">IF($O59,"",_xlfn.LET(
_xlpm._lineMainSeparator,REPT(_xlfn.UNICHAR(9552),63)&amp;CHAR(10),
_xlpm._affectedRisks,InverseLookupList(SanitizeInput($A59)&amp;$AT59,Risks!$AX$2,Risks!$A$2,Helper!$B$1,","),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_xlpm._shortenedList,IF($H59="",_xlpm._risksWithMaxValue,
  IF(LEN(_xlpm._risksWithMaxValue)-LEN(SUBSTITUTE(_xlpm._risksWithMaxValue,",",""))&lt;=$H59,_xlpm._risksWithMaxValue,
    LEFT(_xlpm._risksWithMaxValue,FIND(CHAR(1),SUBSTITUTE(_xlpm._risksWithMaxValue,",",CHAR(1),$H59))))),
IF(_xlpm._maxRiskValue="","",
  _xlpm._lineMainSeparator&amp;
  INDEX(Definitions!$AE:$AE,MATCH(_xlpm._maxRiskValue,Definitions!$AF:$AF,0))&amp;CHAR(10)&amp;
  _xlpm._lineMainSeparator&amp;
  RemoveDelimiter(GetValues(_xlpm._shortenedList,Risks!$A:$B," ",CHAR(10)&amp;_xlpm._lineMainSeparator,TRUE),CHAR(10)&amp;_xlpm._lineMainSeparator))))</f>
        <v/>
      </c>
      <c r="AQ59" s="11" t="str" cm="1">
        <f t="array" aca="1" ref="AQ59" ca="1">IF(NOT($O59),"",
_xlfn.LET(
_xlpm._potentialASID,$Y59,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_xlpm._commentsFiltered,SUBSTITUTE(GetValues(_xlpm._attackSteps,Mitigation!$A:$O,"","",FALSE),$X59,""),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59" s="11" t="str" cm="1">
        <f t="array" aca="1" ref="AR59" ca="1">IF(NOT($O59),"",_xlfn.LET(
_xlpm._listOfRisksAndLevels,SanitizeInput($AQ59),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_xlpm._shortenedList,IF($H59="",_xlpm._risksWithMaxValue,
  IF(LEN(_xlpm._risksWithMaxValue)-LEN(SUBSTITUTE(_xlpm._risksWithMaxValue,",",""))&lt;=$H59,_xlpm._risksWithMaxValue,
    LEFT(_xlpm._risksWithMaxValue,FIND(CHAR(1),SUBSTITUTE(_xlpm._risksWithMaxValue,",",CHAR(1),$H59))))),
IF(_xlpm._maxRiskValue="","",
  _xlpm._lineMainSeparator&amp;
  INDEX(Definitions!$AE:$AE,MATCH(_xlpm._maxRiskValue,Definitions!$AF:$AF,0))&amp;CHAR(10)&amp;
  _xlpm._lineMainSeparator&amp;
  RemoveDelimiter(GetValues(_xlpm._shortenedList,Risks!$A:$B," ",CHAR(10)&amp;_xlpm._lineMainSeparator,TRUE),CHAR(10)&amp;_xlpm._lineMainSeparator))))</f>
        <v/>
      </c>
      <c r="AS59" s="11" t="str" cm="1">
        <f t="array" aca="1" ref="AS59" ca="1">IF(NOT($O59),"",
_xlfn.LET(
_xlpm._lineMainSeparator,REPT(_xlfn.UNICHAR(9552),63)&amp;CHAR(10),
_xlpm._potentialASID,$Y59,
_xlpm._risk,IFERROR(SimpleLookup(_xlpm._potentialASID,Mitigation!$A:$N),""),
_xlpm._attackPaths,IFERROR(SimpleLookup(_xlpm._potentialASID,Mitigation!$A:$M),""),
IF(_xlpm._risk="","",
_xlpm._lineMainSeparator&amp;
_xlpm._risk&amp;CHAR(10)&amp;
_xlpm._lineMainSeparator&amp;
_xlpm._attackPaths)))</f>
        <v/>
      </c>
      <c r="AT59" s="11" t="str" cm="1">
        <f t="array" aca="1" ref="AT59" ca="1">InverseLookup($A59,Countermeasures!$AA$2,Countermeasures!$A$2,1,Helper!$B$4,",")</f>
        <v/>
      </c>
    </row>
    <row r="60" spans="1:46" x14ac:dyDescent="0.25">
      <c r="A60" s="106" t="str">
        <f ca="1">_xlfn.LET(
_xlpm._isAssumption,$M60,
_xlpm._row,$N60,
_xlpm._numActiveAssumptions,Helper!$B$8,
_xlpm._numActiveCountermeasures,Helper!$B$9,
_xlpm._numAdditionalAssumptions,Helper!$B$10,
_xlpm._numAdditionalCountermeasures,Helper!$B$11,
IF(_xlpm._isAssumption,
IF(_xlpm._row&gt;_xlpm._numActiveAssumptions,
$Y60&amp;"-A"&amp;$T60,
INDEX(Assumptions!A:A,MATCH(_xlpm._row,Assumptions!$AC:$AC,0))),
IF(_xlpm._row&gt;_xlpm._numActiveCountermeasures+_xlpm._numAdditionalCountermeasures,"",
IF(_xlpm._row&gt;_xlpm._numActiveCountermeasures,
$Y60&amp;"-C"&amp;$T60,
INDEX(Countermeasures!$A:$A,MATCH(_xlpm._row,Countermeasures!$AE:$AE,0))))))</f>
        <v/>
      </c>
      <c r="B60" s="106" t="str" cm="1">
        <f t="array" aca="1" ref="B60" ca="1">IF($A60="","",
_xlfn.LET(
_xlpm._isAssumption,$M60,
_xlpm._isAdditionalElement,$O60,
IF(_xlpm._isAdditionalElement,
IF(_xlpm._isAssumption,
ParseElementsFromComment($X60,Definitions!$AR$4,Definitions!$AS$4,Definitions!$AR$6,$T60),
ParseElementsFromComment($X60,Definitions!$AR$5,Definitions!$AS$5,Definitions!$AR$6,$T60)),
_xlfn.LET(_xlpm._value,IF($A60="","",IF($M60,SimpleLookup($A60,Assumptions!$A:$B),SimpleLookup($A60,Countermeasures!$A:$B))),IF(_xlpm._value="","",_xlpm._value)))))</f>
        <v/>
      </c>
      <c r="C60" s="106" t="str" cm="1">
        <f t="array" aca="1" ref="C60" ca="1">IF($A60="","",IF($M60,IFERROR(SimpleLookup($A60,Assumptions!$A:$E),""),Definitions!$AO$4))</f>
        <v/>
      </c>
      <c r="D60" s="103" t="str">
        <f t="shared" ca="1" si="9"/>
        <v/>
      </c>
      <c r="E60" s="107"/>
      <c r="F60" s="108" t="str">
        <f t="shared" ca="1" si="10"/>
        <v/>
      </c>
      <c r="G60" s="102" t="str" cm="1">
        <f t="array" aca="1" ref="G60" ca="1">_xlfn.LET(_xlpm._val,IFERROR(SimpleLookup($A60,Countermeasures!$A:$S),IFERROR(SimpleLookup($A60,Assumptions!$A:$S),"")),IF(_xlpm._val="","",_xlpm._val))</f>
        <v/>
      </c>
      <c r="H60" s="109" t="str">
        <f>""</f>
        <v/>
      </c>
      <c r="I60" s="102" t="str">
        <f t="shared" ca="1" si="11"/>
        <v/>
      </c>
      <c r="J60" s="102" t="str">
        <f t="shared" ca="1" si="12"/>
        <v/>
      </c>
      <c r="K60" s="106" t="str" cm="1">
        <f t="array" aca="1" ref="K60" ca="1">_xlfn.LET(_xlpm._value,IF($A60="","",IFERROR(IF($M60,SimpleLookup($A60,Assumptions!$A:$T),SimpleLookup($A60,Countermeasures!$A:$T)),"")),
IF(_xlpm._value="","",_xlpm._value))</f>
        <v/>
      </c>
      <c r="L60" s="9" cm="1">
        <f t="array" aca="1" ref="L60" ca="1">CreateID($L$17,$A60&lt;&gt;"")</f>
        <v>11</v>
      </c>
      <c r="M60" s="9" t="b">
        <f ca="1">_xlfn.LET(_xlpm._row,ROW()-ROW($N$17),
_xlpm._numActiveAssumptions,Helper!$B$8,
_xlpm._numAdditionalAssumptions,SUM(Table24['# Elements]),
_xlpm._row&lt;=_xlpm._numActiveAssumptions+_xlpm._numAdditionalAssumptions)</f>
        <v>0</v>
      </c>
      <c r="N60" s="9">
        <f ca="1">_xlfn.LET(_xlpm._row,ROW()-ROW($N$17),
_xlpm._numActiveAssumptions,Helper!$B$8,
_xlpm._numAdditionalAssumptions,Helper!$B$10,
_xlpm._isAssumption,$M60,
_xlpm._elementID,IF(_xlpm._isAssumption,_xlpm._row,_xlpm._row-_xlpm._numActiveAssumptions-_xlpm._numAdditionalAssumptions),
_xlpm._elementID)</f>
        <v>39</v>
      </c>
      <c r="O60"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60" s="11" cm="1">
        <f t="array" aca="1" ref="P60" ca="1">IF($O60,
IF(ROW()=ROW($P$17)+1,1,INDEX($P:$P,ROW()-1)+IF(INDEX($W:$W,ROW()-1),1,0)),
1)</f>
        <v>1</v>
      </c>
      <c r="Q60" s="11" t="str" cm="1">
        <f t="array" aca="1" ref="Q60" ca="1">IF($O60=TRUE,
_xlfn.LET(
_xlpm._isAssumption,$M60,
_xlpm._indexRange,IF(_xlpm._isAssumption,Table24['# Elements],Table25['# Elements]),
_xlpm._lookupRow,$Z60,
INDEX(_xlpm._indexRange,_xlpm._lookupRow)),
"")</f>
        <v/>
      </c>
      <c r="R60" s="11" t="str" cm="1">
        <f t="array" aca="1" ref="R60" ca="1">IF($Q60="","",_xlfn.LET(
_xlpm._prevRow,ROW()-1,
IF(OR(INDEX($Q:$Q,_xlpm._prevRow)&lt;&gt;$Q60,INDEX($P:$P,_xlpm._prevRow)&lt;&gt;$P60),
1,
INDEX($R:$R,_xlpm._prevRow)+IF(INDEX($V:$V,_xlpm._prevRow),1,0))))</f>
        <v/>
      </c>
      <c r="S60" s="11" t="str" cm="1">
        <f t="array" aca="1" ref="S60" ca="1">IF($R60="","",_xlfn.LET(
_xlpm._isAssumption,$M60,
_xlpm._sheetRow,$Z60,
_xlpm._sheetName,$AA60,
_xlpm._elementIDRange,IF(_xlpm._isAssumption,Table24[Element ID Column],Table25[Element ID Column]),
_xlpm._numberOfElementsRange,IF(_xlpm._isAssumption,Table24[Number of Elements Column],Table25[Number of Elements Column]),
SimpleLookup($R60,INDIRECT("'"&amp;_xlpm._sheetName&amp;"'!"&amp;INDEX(_xlpm._elementIDRange,_xlpm._sheetRow)&amp;":"&amp;INDEX(_xlpm._numberOfElementsRange,_xlpm._sheetRow)))))</f>
        <v/>
      </c>
      <c r="T60" s="11" t="str" cm="1">
        <f t="array" aca="1" ref="T60" ca="1">IF($R60="","",IF(OR(INDEX($R:$R,ROW()-1)&lt;&gt;$R60,INDEX($P:$P,ROW()-1)&lt;&gt;$P60),1,INDEX($T:$T,ROW()-1)+1))</f>
        <v/>
      </c>
      <c r="U60" s="11">
        <f t="shared" ca="1" si="13"/>
        <v>0</v>
      </c>
      <c r="V60" s="11" t="str">
        <f t="shared" ca="1" si="14"/>
        <v/>
      </c>
      <c r="W60" s="11" t="b">
        <f ca="1">_xlfn.LET(
_xlpm._isAssumption,$M60,
_xlpm._numberOfElementsRange,IF(_xlpm._isAssumption,Table24['# Elements],Table25['# Elements]),
_xlpm._sheetRow,$Z60,
IF($O60,AND($V60,$U60=$Q60),FALSE))</f>
        <v>0</v>
      </c>
      <c r="X60" s="11" t="str" cm="1">
        <f t="array" aca="1" ref="X60" ca="1">IF($O60,
_xlfn.LET(
_xlpm._elementID,$R60,
_xlpm._isAssumption,$M60,
_xlpm._sheetRow,$Z60,
_xlpm._sheetName,$AA60,
_xlpm._elementRow,$AB60,
_xlpm._resultColumnLetter,IF(_xlpm._isAssumption,INDEX(Table24[Comment Column],_xlpm._sheetRow),INDEX(Table25[Comment Column],_xlpm._sheetRow)),
INDEX(INDIRECT("'"&amp;_xlpm._sheetName&amp;"'!"&amp;_xlpm._resultColumnLetter&amp;":"&amp;_xlpm._resultColumnLetter),_xlpm._elementRow)),
"")</f>
        <v/>
      </c>
      <c r="Y60" s="11" t="str" cm="1">
        <f t="array" aca="1" ref="Y60" ca="1">IF($O60,
_xlfn.LET(
_xlpm._elementID,$R60,
_xlpm._isAssumption,$M60,
_xlpm._sheetRow,$Z60,
_xlpm._sheetName,$AA60,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60" s="11" t="str">
        <f ca="1">IF($O60=TRUE,
_xlfn.LET(
_xlpm._isAssumption,$M60,
_xlpm._searchRange,IF(_xlpm._isAssumption,Table24[Task Sheet Shadow ID],Table25[Task Sheet Shadow ID]),
MATCH($P60,_xlpm._searchRange,0)),
"")</f>
        <v/>
      </c>
      <c r="AA60" s="11" t="str" cm="1">
        <f t="array" aca="1" ref="AA60" ca="1">IF($O60,
_xlfn.LET(
_xlpm._isAssumption,$M60,
_xlpm._sheetRow,$Z60,
IF(_xlpm._isAssumption,INDEX(Table24[Sheet Name],_xlpm._sheetRow),INDEX(Table25[Sheet Name],_xlpm._sheetRow))),
"")</f>
        <v/>
      </c>
      <c r="AB60" s="11" t="str" cm="1">
        <f t="array" aca="1" ref="AB60" ca="1">IF($O60,
_xlfn.LET(
_xlpm._elementID,$R60,
_xlpm._isAssumption,$M60,
_xlpm._sheetRow,$Z60,
_xlpm._sheetName,$AA60,
_xlpm._elementIDColumnLetter,IF(_xlpm._isAssumption,INDEX(Table24[Element ID Column],_xlpm._sheetRow),INDEX(Table25[Element ID Column],_xlpm._sheetRow)),
MATCH(_xlpm._elementID,INDIRECT("'"&amp;_xlpm._sheetName&amp;"'!"&amp;_xlpm._elementIDColumnLetter&amp;":"&amp;_xlpm._elementIDColumnLetter),0)),
"")</f>
        <v/>
      </c>
      <c r="AC60" s="11" t="str" cm="1">
        <f t="array" aca="1" ref="AC60" ca="1">IF($A60="","",_xlfn.LET(
_xlpm._isAssumption,$M60,
_xlpm._isAdditionalElement,$O60,
_xlpm._sheetRow,$Z60,
_xlpm._sheetName,$AA60,
_xlpm._columnLetter,INDEX(IF(_xlpm._isAdditionalElement,Table24[Comment Column],Table25[Comment Column]),_xlpm._sheetRow),
_xlpm._sheetReference,IF(_xlpm._isAssumption,IF(_xlpm._isAdditionalElement,
CELL("address",INDEX(INDIRECT("'"&amp;_xlpm._sheetName&amp;"'!"&amp;_xlpm._columnLetter&amp;":"&amp;_xlpm._columnLetter),$AB60)),
CELL("address",INDEX(Assumptions!$A:$A,MATCH($A60,Assumptions!$A:$A,0),1))),
IF(_xlpm._isAdditionalElement,
CELL("address",INDEX(INDIRECT("'"&amp;_xlpm._sheetName&amp;"'!"&amp;_xlpm._columnLetter&amp;":"&amp;_xlpm._columnLetter),$AB60)),
CELL("address",INDEX(Countermeasures!$A:$A,MATCH($A60,Countermeasures!$A:$A,0),1)))),
_xlpm._start,FIND("]",_xlpm._sheetReference),
"'"&amp;SUBSTITUTE(SUBSTITUTE(RIGHT(_xlpm._sheetReference,LEN(_xlpm._sheetReference)-_xlpm._start),"'",""),"!","'!")))</f>
        <v/>
      </c>
      <c r="AD60" s="11" t="str" cm="1">
        <f t="array" aca="1" ref="AD60" ca="1">IF(NOT($O60),
_xlfn.LET(_xlpm._value,IF($A60="","",IF($M60,SimpleLookup($A60,Assumptions!$A:$AG),SimpleLookup($A60,Countermeasures!$A:$AJ))),
IF(_xlpm._value="","",_xlpm._value)),
"")</f>
        <v/>
      </c>
      <c r="AE60" s="11" t="str" cm="1">
        <f t="array" aca="1" ref="AE60" ca="1">LookupNames(InverseLookup($A60,Mitigation!$AD$2,Mitigation!$A$2,1,Helper!$B$5,","),'Attack Steps'!$A:$B)</f>
        <v/>
      </c>
      <c r="AF60" s="11" t="str" cm="1">
        <f t="array" aca="1" ref="AF60" ca="1">IF($O60,
_xlfn.LET(
_xlpm._in,$A60,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60" s="11" t="str" cm="1">
        <f t="array" aca="1" ref="AG60" ca="1">_xlfn.LET(
_xlpm._countermeasures,InverseLookup($A60,Countermeasures!$AC$2,Countermeasures!$A$2,1,Helper!$B$4,","),
LookupNames(_xlpm._countermeasures,Countermeasures!$A:$B))</f>
        <v/>
      </c>
      <c r="AH60" s="11" t="str" cm="1">
        <f t="array" aca="1" ref="AH60" ca="1">IF($E60="","",_xlfn.LET(
_xlpm._id,$E60,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60" s="11" t="str" cm="1">
        <f t="array" aca="1" ref="AI60" ca="1">IF(OR($A60="",$O60),"",_xlfn.LET(
_xlpm._answers,IF($M60,SimpleLookup($A60,Assumptions!$A:$F),SimpleLookup($A60,Countermeasures!$A:$D)),
IF(_xlpm._answers="*",IF($M60,SimpleLookup($A60,Assumptions!$A:$C),SimpleLookup($A60,Countermeasures!$A:$C)),"")))</f>
        <v/>
      </c>
      <c r="AJ60" s="11" t="str" cm="1">
        <f t="array" aca="1" ref="AJ60" ca="1">IF(NOT($O60),"",_xlfn.LET(
_xlpm._mappedInMitigation,IFERROR(VLOOKUP($Y60,'Attack Steps'!$A:$P,COLUMNS('Attack Steps'!$A:$P),FALSE),""),
CreateSearchString(_xlpm._mappedInMitigation)))</f>
        <v/>
      </c>
      <c r="AK60" s="11" t="b">
        <f ca="1">ROW()-ROW($AK$17)=Helper!$B$15</f>
        <v>0</v>
      </c>
      <c r="AL60" s="11" t="str">
        <f t="shared" ca="1" si="15"/>
        <v/>
      </c>
      <c r="AM60" s="11" cm="1">
        <f t="array" aca="1" ref="AM60" ca="1">CreateID($AM$17,$AL60&lt;&gt;"")</f>
        <v>0</v>
      </c>
      <c r="AN60" s="11" t="str" cm="1">
        <f t="array" aca="1" ref="AN60" ca="1">IF($O60,"",
_xlfn.LET(
_xlpm._this,SanitizeInput($A60)&amp;AT60,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60" s="11" t="str" cm="1">
        <f t="array" aca="1" ref="AO60" ca="1">IF($O60,"",_xlfn.LET(
_xlpm._listOfRisksAndLevels,SanitizeInput($AN60),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_xlpm._shortenedList,IF($H60="",_xlpm._risksWithMaxValue,
  IF(LEN(_xlpm._risksWithMaxValue)-LEN(SUBSTITUTE(_xlpm._risksWithMaxValue,",",""))&lt;=$H60,_xlpm._risksWithMaxValue,
    LEFT(_xlpm._risksWithMaxValue,FIND(CHAR(1),SUBSTITUTE(_xlpm._risksWithMaxValue,",",CHAR(1),$H60))))),
IF(_xlpm._maxRiskValue="","",
  _xlpm._lineMainSeparator&amp;
  INDEX(Definitions!$AE:$AE,MATCH(_xlpm._maxRiskValue,Definitions!$AF:$AF,0))&amp;CHAR(10)&amp;
  _xlpm._lineMainSeparator&amp;
  RemoveDelimiter(GetValues(_xlpm._shortenedList,Risks!$A:$B," ",CHAR(10)&amp;_xlpm._lineMainSeparator,TRUE),CHAR(10)&amp;_xlpm._lineMainSeparator))))</f>
        <v/>
      </c>
      <c r="AP60" s="11" t="str" cm="1">
        <f t="array" aca="1" ref="AP60" ca="1">IF($O60,"",_xlfn.LET(
_xlpm._lineMainSeparator,REPT(_xlfn.UNICHAR(9552),63)&amp;CHAR(10),
_xlpm._affectedRisks,InverseLookupList(SanitizeInput($A60)&amp;$AT60,Risks!$AX$2,Risks!$A$2,Helper!$B$1,","),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_xlpm._shortenedList,IF($H60="",_xlpm._risksWithMaxValue,
  IF(LEN(_xlpm._risksWithMaxValue)-LEN(SUBSTITUTE(_xlpm._risksWithMaxValue,",",""))&lt;=$H60,_xlpm._risksWithMaxValue,
    LEFT(_xlpm._risksWithMaxValue,FIND(CHAR(1),SUBSTITUTE(_xlpm._risksWithMaxValue,",",CHAR(1),$H60))))),
IF(_xlpm._maxRiskValue="","",
  _xlpm._lineMainSeparator&amp;
  INDEX(Definitions!$AE:$AE,MATCH(_xlpm._maxRiskValue,Definitions!$AF:$AF,0))&amp;CHAR(10)&amp;
  _xlpm._lineMainSeparator&amp;
  RemoveDelimiter(GetValues(_xlpm._shortenedList,Risks!$A:$B," ",CHAR(10)&amp;_xlpm._lineMainSeparator,TRUE),CHAR(10)&amp;_xlpm._lineMainSeparator))))</f>
        <v/>
      </c>
      <c r="AQ60" s="11" t="str" cm="1">
        <f t="array" aca="1" ref="AQ60" ca="1">IF(NOT($O60),"",
_xlfn.LET(
_xlpm._potentialASID,$Y60,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_xlpm._commentsFiltered,SUBSTITUTE(GetValues(_xlpm._attackSteps,Mitigation!$A:$O,"","",FALSE),$X60,""),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60" s="11" t="str" cm="1">
        <f t="array" aca="1" ref="AR60" ca="1">IF(NOT($O60),"",_xlfn.LET(
_xlpm._listOfRisksAndLevels,SanitizeInput($AQ60),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_xlpm._shortenedList,IF($H60="",_xlpm._risksWithMaxValue,
  IF(LEN(_xlpm._risksWithMaxValue)-LEN(SUBSTITUTE(_xlpm._risksWithMaxValue,",",""))&lt;=$H60,_xlpm._risksWithMaxValue,
    LEFT(_xlpm._risksWithMaxValue,FIND(CHAR(1),SUBSTITUTE(_xlpm._risksWithMaxValue,",",CHAR(1),$H60))))),
IF(_xlpm._maxRiskValue="","",
  _xlpm._lineMainSeparator&amp;
  INDEX(Definitions!$AE:$AE,MATCH(_xlpm._maxRiskValue,Definitions!$AF:$AF,0))&amp;CHAR(10)&amp;
  _xlpm._lineMainSeparator&amp;
  RemoveDelimiter(GetValues(_xlpm._shortenedList,Risks!$A:$B," ",CHAR(10)&amp;_xlpm._lineMainSeparator,TRUE),CHAR(10)&amp;_xlpm._lineMainSeparator))))</f>
        <v/>
      </c>
      <c r="AS60" s="11" t="str" cm="1">
        <f t="array" aca="1" ref="AS60" ca="1">IF(NOT($O60),"",
_xlfn.LET(
_xlpm._lineMainSeparator,REPT(_xlfn.UNICHAR(9552),63)&amp;CHAR(10),
_xlpm._potentialASID,$Y60,
_xlpm._risk,IFERROR(SimpleLookup(_xlpm._potentialASID,Mitigation!$A:$N),""),
_xlpm._attackPaths,IFERROR(SimpleLookup(_xlpm._potentialASID,Mitigation!$A:$M),""),
IF(_xlpm._risk="","",
_xlpm._lineMainSeparator&amp;
_xlpm._risk&amp;CHAR(10)&amp;
_xlpm._lineMainSeparator&amp;
_xlpm._attackPaths)))</f>
        <v/>
      </c>
      <c r="AT60" s="11" t="str" cm="1">
        <f t="array" aca="1" ref="AT60" ca="1">InverseLookup($A60,Countermeasures!$AA$2,Countermeasures!$A$2,1,Helper!$B$4,",")</f>
        <v/>
      </c>
    </row>
    <row r="61" spans="1:46" x14ac:dyDescent="0.25">
      <c r="A61" s="106" t="str">
        <f ca="1">_xlfn.LET(
_xlpm._isAssumption,$M61,
_xlpm._row,$N61,
_xlpm._numActiveAssumptions,Helper!$B$8,
_xlpm._numActiveCountermeasures,Helper!$B$9,
_xlpm._numAdditionalAssumptions,Helper!$B$10,
_xlpm._numAdditionalCountermeasures,Helper!$B$11,
IF(_xlpm._isAssumption,
IF(_xlpm._row&gt;_xlpm._numActiveAssumptions,
$Y61&amp;"-A"&amp;$T61,
INDEX(Assumptions!A:A,MATCH(_xlpm._row,Assumptions!$AC:$AC,0))),
IF(_xlpm._row&gt;_xlpm._numActiveCountermeasures+_xlpm._numAdditionalCountermeasures,"",
IF(_xlpm._row&gt;_xlpm._numActiveCountermeasures,
$Y61&amp;"-C"&amp;$T61,
INDEX(Countermeasures!$A:$A,MATCH(_xlpm._row,Countermeasures!$AE:$AE,0))))))</f>
        <v/>
      </c>
      <c r="B61" s="106" t="str" cm="1">
        <f t="array" aca="1" ref="B61" ca="1">IF($A61="","",
_xlfn.LET(
_xlpm._isAssumption,$M61,
_xlpm._isAdditionalElement,$O61,
IF(_xlpm._isAdditionalElement,
IF(_xlpm._isAssumption,
ParseElementsFromComment($X61,Definitions!$AR$4,Definitions!$AS$4,Definitions!$AR$6,$T61),
ParseElementsFromComment($X61,Definitions!$AR$5,Definitions!$AS$5,Definitions!$AR$6,$T61)),
_xlfn.LET(_xlpm._value,IF($A61="","",IF($M61,SimpleLookup($A61,Assumptions!$A:$B),SimpleLookup($A61,Countermeasures!$A:$B))),IF(_xlpm._value="","",_xlpm._value)))))</f>
        <v/>
      </c>
      <c r="C61" s="106" t="str" cm="1">
        <f t="array" aca="1" ref="C61" ca="1">IF($A61="","",IF($M61,IFERROR(SimpleLookup($A61,Assumptions!$A:$E),""),Definitions!$AO$4))</f>
        <v/>
      </c>
      <c r="D61" s="103" t="str">
        <f t="shared" ca="1" si="9"/>
        <v/>
      </c>
      <c r="E61" s="107"/>
      <c r="F61" s="108" t="str">
        <f t="shared" ca="1" si="10"/>
        <v/>
      </c>
      <c r="G61" s="102" t="str" cm="1">
        <f t="array" aca="1" ref="G61" ca="1">_xlfn.LET(_xlpm._val,IFERROR(SimpleLookup($A61,Countermeasures!$A:$S),IFERROR(SimpleLookup($A61,Assumptions!$A:$S),"")),IF(_xlpm._val="","",_xlpm._val))</f>
        <v/>
      </c>
      <c r="H61" s="109" t="str">
        <f>""</f>
        <v/>
      </c>
      <c r="I61" s="102" t="str">
        <f t="shared" ca="1" si="11"/>
        <v/>
      </c>
      <c r="J61" s="102" t="str">
        <f t="shared" ca="1" si="12"/>
        <v/>
      </c>
      <c r="K61" s="106" t="str" cm="1">
        <f t="array" aca="1" ref="K61" ca="1">_xlfn.LET(_xlpm._value,IF($A61="","",IFERROR(IF($M61,SimpleLookup($A61,Assumptions!$A:$T),SimpleLookup($A61,Countermeasures!$A:$T)),"")),
IF(_xlpm._value="","",_xlpm._value))</f>
        <v/>
      </c>
      <c r="L61" s="9" cm="1">
        <f t="array" aca="1" ref="L61" ca="1">CreateID($L$17,$A61&lt;&gt;"")</f>
        <v>11</v>
      </c>
      <c r="M61" s="9" t="b">
        <f ca="1">_xlfn.LET(_xlpm._row,ROW()-ROW($N$17),
_xlpm._numActiveAssumptions,Helper!$B$8,
_xlpm._numAdditionalAssumptions,SUM(Table24['# Elements]),
_xlpm._row&lt;=_xlpm._numActiveAssumptions+_xlpm._numAdditionalAssumptions)</f>
        <v>0</v>
      </c>
      <c r="N61" s="9">
        <f ca="1">_xlfn.LET(_xlpm._row,ROW()-ROW($N$17),
_xlpm._numActiveAssumptions,Helper!$B$8,
_xlpm._numAdditionalAssumptions,Helper!$B$10,
_xlpm._isAssumption,$M61,
_xlpm._elementID,IF(_xlpm._isAssumption,_xlpm._row,_xlpm._row-_xlpm._numActiveAssumptions-_xlpm._numAdditionalAssumptions),
_xlpm._elementID)</f>
        <v>40</v>
      </c>
      <c r="O61"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61" s="11" cm="1">
        <f t="array" aca="1" ref="P61" ca="1">IF($O61,
IF(ROW()=ROW($P$17)+1,1,INDEX($P:$P,ROW()-1)+IF(INDEX($W:$W,ROW()-1),1,0)),
1)</f>
        <v>1</v>
      </c>
      <c r="Q61" s="11" t="str" cm="1">
        <f t="array" aca="1" ref="Q61" ca="1">IF($O61=TRUE,
_xlfn.LET(
_xlpm._isAssumption,$M61,
_xlpm._indexRange,IF(_xlpm._isAssumption,Table24['# Elements],Table25['# Elements]),
_xlpm._lookupRow,$Z61,
INDEX(_xlpm._indexRange,_xlpm._lookupRow)),
"")</f>
        <v/>
      </c>
      <c r="R61" s="11" t="str" cm="1">
        <f t="array" aca="1" ref="R61" ca="1">IF($Q61="","",_xlfn.LET(
_xlpm._prevRow,ROW()-1,
IF(OR(INDEX($Q:$Q,_xlpm._prevRow)&lt;&gt;$Q61,INDEX($P:$P,_xlpm._prevRow)&lt;&gt;$P61),
1,
INDEX($R:$R,_xlpm._prevRow)+IF(INDEX($V:$V,_xlpm._prevRow),1,0))))</f>
        <v/>
      </c>
      <c r="S61" s="11" t="str" cm="1">
        <f t="array" aca="1" ref="S61" ca="1">IF($R61="","",_xlfn.LET(
_xlpm._isAssumption,$M61,
_xlpm._sheetRow,$Z61,
_xlpm._sheetName,$AA61,
_xlpm._elementIDRange,IF(_xlpm._isAssumption,Table24[Element ID Column],Table25[Element ID Column]),
_xlpm._numberOfElementsRange,IF(_xlpm._isAssumption,Table24[Number of Elements Column],Table25[Number of Elements Column]),
SimpleLookup($R61,INDIRECT("'"&amp;_xlpm._sheetName&amp;"'!"&amp;INDEX(_xlpm._elementIDRange,_xlpm._sheetRow)&amp;":"&amp;INDEX(_xlpm._numberOfElementsRange,_xlpm._sheetRow)))))</f>
        <v/>
      </c>
      <c r="T61" s="11" t="str" cm="1">
        <f t="array" aca="1" ref="T61" ca="1">IF($R61="","",IF(OR(INDEX($R:$R,ROW()-1)&lt;&gt;$R61,INDEX($P:$P,ROW()-1)&lt;&gt;$P61),1,INDEX($T:$T,ROW()-1)+1))</f>
        <v/>
      </c>
      <c r="U61" s="11">
        <f t="shared" ca="1" si="13"/>
        <v>0</v>
      </c>
      <c r="V61" s="11" t="str">
        <f t="shared" ca="1" si="14"/>
        <v/>
      </c>
      <c r="W61" s="11" t="b">
        <f ca="1">_xlfn.LET(
_xlpm._isAssumption,$M61,
_xlpm._numberOfElementsRange,IF(_xlpm._isAssumption,Table24['# Elements],Table25['# Elements]),
_xlpm._sheetRow,$Z61,
IF($O61,AND($V61,$U61=$Q61),FALSE))</f>
        <v>0</v>
      </c>
      <c r="X61" s="11" t="str" cm="1">
        <f t="array" aca="1" ref="X61" ca="1">IF($O61,
_xlfn.LET(
_xlpm._elementID,$R61,
_xlpm._isAssumption,$M61,
_xlpm._sheetRow,$Z61,
_xlpm._sheetName,$AA61,
_xlpm._elementRow,$AB61,
_xlpm._resultColumnLetter,IF(_xlpm._isAssumption,INDEX(Table24[Comment Column],_xlpm._sheetRow),INDEX(Table25[Comment Column],_xlpm._sheetRow)),
INDEX(INDIRECT("'"&amp;_xlpm._sheetName&amp;"'!"&amp;_xlpm._resultColumnLetter&amp;":"&amp;_xlpm._resultColumnLetter),_xlpm._elementRow)),
"")</f>
        <v/>
      </c>
      <c r="Y61" s="11" t="str" cm="1">
        <f t="array" aca="1" ref="Y61" ca="1">IF($O61,
_xlfn.LET(
_xlpm._elementID,$R61,
_xlpm._isAssumption,$M61,
_xlpm._sheetRow,$Z61,
_xlpm._sheetName,$AA61,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61" s="11" t="str">
        <f ca="1">IF($O61=TRUE,
_xlfn.LET(
_xlpm._isAssumption,$M61,
_xlpm._searchRange,IF(_xlpm._isAssumption,Table24[Task Sheet Shadow ID],Table25[Task Sheet Shadow ID]),
MATCH($P61,_xlpm._searchRange,0)),
"")</f>
        <v/>
      </c>
      <c r="AA61" s="11" t="str" cm="1">
        <f t="array" aca="1" ref="AA61" ca="1">IF($O61,
_xlfn.LET(
_xlpm._isAssumption,$M61,
_xlpm._sheetRow,$Z61,
IF(_xlpm._isAssumption,INDEX(Table24[Sheet Name],_xlpm._sheetRow),INDEX(Table25[Sheet Name],_xlpm._sheetRow))),
"")</f>
        <v/>
      </c>
      <c r="AB61" s="11" t="str" cm="1">
        <f t="array" aca="1" ref="AB61" ca="1">IF($O61,
_xlfn.LET(
_xlpm._elementID,$R61,
_xlpm._isAssumption,$M61,
_xlpm._sheetRow,$Z61,
_xlpm._sheetName,$AA61,
_xlpm._elementIDColumnLetter,IF(_xlpm._isAssumption,INDEX(Table24[Element ID Column],_xlpm._sheetRow),INDEX(Table25[Element ID Column],_xlpm._sheetRow)),
MATCH(_xlpm._elementID,INDIRECT("'"&amp;_xlpm._sheetName&amp;"'!"&amp;_xlpm._elementIDColumnLetter&amp;":"&amp;_xlpm._elementIDColumnLetter),0)),
"")</f>
        <v/>
      </c>
      <c r="AC61" s="11" t="str" cm="1">
        <f t="array" aca="1" ref="AC61" ca="1">IF($A61="","",_xlfn.LET(
_xlpm._isAssumption,$M61,
_xlpm._isAdditionalElement,$O61,
_xlpm._sheetRow,$Z61,
_xlpm._sheetName,$AA61,
_xlpm._columnLetter,INDEX(IF(_xlpm._isAdditionalElement,Table24[Comment Column],Table25[Comment Column]),_xlpm._sheetRow),
_xlpm._sheetReference,IF(_xlpm._isAssumption,IF(_xlpm._isAdditionalElement,
CELL("address",INDEX(INDIRECT("'"&amp;_xlpm._sheetName&amp;"'!"&amp;_xlpm._columnLetter&amp;":"&amp;_xlpm._columnLetter),$AB61)),
CELL("address",INDEX(Assumptions!$A:$A,MATCH($A61,Assumptions!$A:$A,0),1))),
IF(_xlpm._isAdditionalElement,
CELL("address",INDEX(INDIRECT("'"&amp;_xlpm._sheetName&amp;"'!"&amp;_xlpm._columnLetter&amp;":"&amp;_xlpm._columnLetter),$AB61)),
CELL("address",INDEX(Countermeasures!$A:$A,MATCH($A61,Countermeasures!$A:$A,0),1)))),
_xlpm._start,FIND("]",_xlpm._sheetReference),
"'"&amp;SUBSTITUTE(SUBSTITUTE(RIGHT(_xlpm._sheetReference,LEN(_xlpm._sheetReference)-_xlpm._start),"'",""),"!","'!")))</f>
        <v/>
      </c>
      <c r="AD61" s="11" t="str" cm="1">
        <f t="array" aca="1" ref="AD61" ca="1">IF(NOT($O61),
_xlfn.LET(_xlpm._value,IF($A61="","",IF($M61,SimpleLookup($A61,Assumptions!$A:$AG),SimpleLookup($A61,Countermeasures!$A:$AJ))),
IF(_xlpm._value="","",_xlpm._value)),
"")</f>
        <v/>
      </c>
      <c r="AE61" s="11" t="str" cm="1">
        <f t="array" aca="1" ref="AE61" ca="1">LookupNames(InverseLookup($A61,Mitigation!$AD$2,Mitigation!$A$2,1,Helper!$B$5,","),'Attack Steps'!$A:$B)</f>
        <v/>
      </c>
      <c r="AF61" s="11" t="str" cm="1">
        <f t="array" aca="1" ref="AF61" ca="1">IF($O61,
_xlfn.LET(
_xlpm._in,$A61,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61" s="11" t="str" cm="1">
        <f t="array" aca="1" ref="AG61" ca="1">_xlfn.LET(
_xlpm._countermeasures,InverseLookup($A61,Countermeasures!$AC$2,Countermeasures!$A$2,1,Helper!$B$4,","),
LookupNames(_xlpm._countermeasures,Countermeasures!$A:$B))</f>
        <v/>
      </c>
      <c r="AH61" s="11" t="str" cm="1">
        <f t="array" aca="1" ref="AH61" ca="1">IF($E61="","",_xlfn.LET(
_xlpm._id,$E61,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61" s="11" t="str" cm="1">
        <f t="array" aca="1" ref="AI61" ca="1">IF(OR($A61="",$O61),"",_xlfn.LET(
_xlpm._answers,IF($M61,SimpleLookup($A61,Assumptions!$A:$F),SimpleLookup($A61,Countermeasures!$A:$D)),
IF(_xlpm._answers="*",IF($M61,SimpleLookup($A61,Assumptions!$A:$C),SimpleLookup($A61,Countermeasures!$A:$C)),"")))</f>
        <v/>
      </c>
      <c r="AJ61" s="11" t="str" cm="1">
        <f t="array" aca="1" ref="AJ61" ca="1">IF(NOT($O61),"",_xlfn.LET(
_xlpm._mappedInMitigation,IFERROR(VLOOKUP($Y61,'Attack Steps'!$A:$P,COLUMNS('Attack Steps'!$A:$P),FALSE),""),
CreateSearchString(_xlpm._mappedInMitigation)))</f>
        <v/>
      </c>
      <c r="AK61" s="11" t="b">
        <f ca="1">ROW()-ROW($AK$17)=Helper!$B$15</f>
        <v>0</v>
      </c>
      <c r="AL61" s="11" t="str">
        <f t="shared" ca="1" si="15"/>
        <v/>
      </c>
      <c r="AM61" s="11" cm="1">
        <f t="array" aca="1" ref="AM61" ca="1">CreateID($AM$17,$AL61&lt;&gt;"")</f>
        <v>0</v>
      </c>
      <c r="AN61" s="11" t="str" cm="1">
        <f t="array" aca="1" ref="AN61" ca="1">IF($O61,"",
_xlfn.LET(
_xlpm._this,SanitizeInput($A61)&amp;AT61,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61" s="11" t="str" cm="1">
        <f t="array" aca="1" ref="AO61" ca="1">IF($O61,"",_xlfn.LET(
_xlpm._listOfRisksAndLevels,SanitizeInput($AN61),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_xlpm._shortenedList,IF($H61="",_xlpm._risksWithMaxValue,
  IF(LEN(_xlpm._risksWithMaxValue)-LEN(SUBSTITUTE(_xlpm._risksWithMaxValue,",",""))&lt;=$H61,_xlpm._risksWithMaxValue,
    LEFT(_xlpm._risksWithMaxValue,FIND(CHAR(1),SUBSTITUTE(_xlpm._risksWithMaxValue,",",CHAR(1),$H61))))),
IF(_xlpm._maxRiskValue="","",
  _xlpm._lineMainSeparator&amp;
  INDEX(Definitions!$AE:$AE,MATCH(_xlpm._maxRiskValue,Definitions!$AF:$AF,0))&amp;CHAR(10)&amp;
  _xlpm._lineMainSeparator&amp;
  RemoveDelimiter(GetValues(_xlpm._shortenedList,Risks!$A:$B," ",CHAR(10)&amp;_xlpm._lineMainSeparator,TRUE),CHAR(10)&amp;_xlpm._lineMainSeparator))))</f>
        <v/>
      </c>
      <c r="AP61" s="11" t="str" cm="1">
        <f t="array" aca="1" ref="AP61" ca="1">IF($O61,"",_xlfn.LET(
_xlpm._lineMainSeparator,REPT(_xlfn.UNICHAR(9552),63)&amp;CHAR(10),
_xlpm._affectedRisks,InverseLookupList(SanitizeInput($A61)&amp;$AT61,Risks!$AX$2,Risks!$A$2,Helper!$B$1,","),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_xlpm._shortenedList,IF($H61="",_xlpm._risksWithMaxValue,
  IF(LEN(_xlpm._risksWithMaxValue)-LEN(SUBSTITUTE(_xlpm._risksWithMaxValue,",",""))&lt;=$H61,_xlpm._risksWithMaxValue,
    LEFT(_xlpm._risksWithMaxValue,FIND(CHAR(1),SUBSTITUTE(_xlpm._risksWithMaxValue,",",CHAR(1),$H61))))),
IF(_xlpm._maxRiskValue="","",
  _xlpm._lineMainSeparator&amp;
  INDEX(Definitions!$AE:$AE,MATCH(_xlpm._maxRiskValue,Definitions!$AF:$AF,0))&amp;CHAR(10)&amp;
  _xlpm._lineMainSeparator&amp;
  RemoveDelimiter(GetValues(_xlpm._shortenedList,Risks!$A:$B," ",CHAR(10)&amp;_xlpm._lineMainSeparator,TRUE),CHAR(10)&amp;_xlpm._lineMainSeparator))))</f>
        <v/>
      </c>
      <c r="AQ61" s="11" t="str" cm="1">
        <f t="array" aca="1" ref="AQ61" ca="1">IF(NOT($O61),"",
_xlfn.LET(
_xlpm._potentialASID,$Y61,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_xlpm._commentsFiltered,SUBSTITUTE(GetValues(_xlpm._attackSteps,Mitigation!$A:$O,"","",FALSE),$X61,""),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61" s="11" t="str" cm="1">
        <f t="array" aca="1" ref="AR61" ca="1">IF(NOT($O61),"",_xlfn.LET(
_xlpm._listOfRisksAndLevels,SanitizeInput($AQ61),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_xlpm._shortenedList,IF($H61="",_xlpm._risksWithMaxValue,
  IF(LEN(_xlpm._risksWithMaxValue)-LEN(SUBSTITUTE(_xlpm._risksWithMaxValue,",",""))&lt;=$H61,_xlpm._risksWithMaxValue,
    LEFT(_xlpm._risksWithMaxValue,FIND(CHAR(1),SUBSTITUTE(_xlpm._risksWithMaxValue,",",CHAR(1),$H61))))),
IF(_xlpm._maxRiskValue="","",
  _xlpm._lineMainSeparator&amp;
  INDEX(Definitions!$AE:$AE,MATCH(_xlpm._maxRiskValue,Definitions!$AF:$AF,0))&amp;CHAR(10)&amp;
  _xlpm._lineMainSeparator&amp;
  RemoveDelimiter(GetValues(_xlpm._shortenedList,Risks!$A:$B," ",CHAR(10)&amp;_xlpm._lineMainSeparator,TRUE),CHAR(10)&amp;_xlpm._lineMainSeparator))))</f>
        <v/>
      </c>
      <c r="AS61" s="11" t="str" cm="1">
        <f t="array" aca="1" ref="AS61" ca="1">IF(NOT($O61),"",
_xlfn.LET(
_xlpm._lineMainSeparator,REPT(_xlfn.UNICHAR(9552),63)&amp;CHAR(10),
_xlpm._potentialASID,$Y61,
_xlpm._risk,IFERROR(SimpleLookup(_xlpm._potentialASID,Mitigation!$A:$N),""),
_xlpm._attackPaths,IFERROR(SimpleLookup(_xlpm._potentialASID,Mitigation!$A:$M),""),
IF(_xlpm._risk="","",
_xlpm._lineMainSeparator&amp;
_xlpm._risk&amp;CHAR(10)&amp;
_xlpm._lineMainSeparator&amp;
_xlpm._attackPaths)))</f>
        <v/>
      </c>
      <c r="AT61" s="11" t="str" cm="1">
        <f t="array" aca="1" ref="AT61" ca="1">InverseLookup($A61,Countermeasures!$AA$2,Countermeasures!$A$2,1,Helper!$B$4,",")</f>
        <v/>
      </c>
    </row>
    <row r="62" spans="1:46" x14ac:dyDescent="0.25">
      <c r="A62" s="106" t="str">
        <f ca="1">_xlfn.LET(
_xlpm._isAssumption,$M62,
_xlpm._row,$N62,
_xlpm._numActiveAssumptions,Helper!$B$8,
_xlpm._numActiveCountermeasures,Helper!$B$9,
_xlpm._numAdditionalAssumptions,Helper!$B$10,
_xlpm._numAdditionalCountermeasures,Helper!$B$11,
IF(_xlpm._isAssumption,
IF(_xlpm._row&gt;_xlpm._numActiveAssumptions,
$Y62&amp;"-A"&amp;$T62,
INDEX(Assumptions!A:A,MATCH(_xlpm._row,Assumptions!$AC:$AC,0))),
IF(_xlpm._row&gt;_xlpm._numActiveCountermeasures+_xlpm._numAdditionalCountermeasures,"",
IF(_xlpm._row&gt;_xlpm._numActiveCountermeasures,
$Y62&amp;"-C"&amp;$T62,
INDEX(Countermeasures!$A:$A,MATCH(_xlpm._row,Countermeasures!$AE:$AE,0))))))</f>
        <v/>
      </c>
      <c r="B62" s="106" t="str" cm="1">
        <f t="array" aca="1" ref="B62" ca="1">IF($A62="","",
_xlfn.LET(
_xlpm._isAssumption,$M62,
_xlpm._isAdditionalElement,$O62,
IF(_xlpm._isAdditionalElement,
IF(_xlpm._isAssumption,
ParseElementsFromComment($X62,Definitions!$AR$4,Definitions!$AS$4,Definitions!$AR$6,$T62),
ParseElementsFromComment($X62,Definitions!$AR$5,Definitions!$AS$5,Definitions!$AR$6,$T62)),
_xlfn.LET(_xlpm._value,IF($A62="","",IF($M62,SimpleLookup($A62,Assumptions!$A:$B),SimpleLookup($A62,Countermeasures!$A:$B))),IF(_xlpm._value="","",_xlpm._value)))))</f>
        <v/>
      </c>
      <c r="C62" s="106" t="str" cm="1">
        <f t="array" aca="1" ref="C62" ca="1">IF($A62="","",IF($M62,IFERROR(SimpleLookup($A62,Assumptions!$A:$E),""),Definitions!$AO$4))</f>
        <v/>
      </c>
      <c r="D62" s="103" t="str">
        <f t="shared" ca="1" si="9"/>
        <v/>
      </c>
      <c r="E62" s="107"/>
      <c r="F62" s="108" t="str">
        <f t="shared" ca="1" si="10"/>
        <v/>
      </c>
      <c r="G62" s="102" t="str" cm="1">
        <f t="array" aca="1" ref="G62" ca="1">_xlfn.LET(_xlpm._val,IFERROR(SimpleLookup($A62,Countermeasures!$A:$S),IFERROR(SimpleLookup($A62,Assumptions!$A:$S),"")),IF(_xlpm._val="","",_xlpm._val))</f>
        <v/>
      </c>
      <c r="H62" s="109" t="str">
        <f>""</f>
        <v/>
      </c>
      <c r="I62" s="102" t="str">
        <f t="shared" ca="1" si="11"/>
        <v/>
      </c>
      <c r="J62" s="102" t="str">
        <f t="shared" ca="1" si="12"/>
        <v/>
      </c>
      <c r="K62" s="106" t="str" cm="1">
        <f t="array" aca="1" ref="K62" ca="1">_xlfn.LET(_xlpm._value,IF($A62="","",IFERROR(IF($M62,SimpleLookup($A62,Assumptions!$A:$T),SimpleLookup($A62,Countermeasures!$A:$T)),"")),
IF(_xlpm._value="","",_xlpm._value))</f>
        <v/>
      </c>
      <c r="L62" s="9" cm="1">
        <f t="array" aca="1" ref="L62" ca="1">CreateID($L$17,$A62&lt;&gt;"")</f>
        <v>11</v>
      </c>
      <c r="M62" s="9" t="b">
        <f ca="1">_xlfn.LET(_xlpm._row,ROW()-ROW($N$17),
_xlpm._numActiveAssumptions,Helper!$B$8,
_xlpm._numAdditionalAssumptions,SUM(Table24['# Elements]),
_xlpm._row&lt;=_xlpm._numActiveAssumptions+_xlpm._numAdditionalAssumptions)</f>
        <v>0</v>
      </c>
      <c r="N62" s="9">
        <f ca="1">_xlfn.LET(_xlpm._row,ROW()-ROW($N$17),
_xlpm._numActiveAssumptions,Helper!$B$8,
_xlpm._numAdditionalAssumptions,Helper!$B$10,
_xlpm._isAssumption,$M62,
_xlpm._elementID,IF(_xlpm._isAssumption,_xlpm._row,_xlpm._row-_xlpm._numActiveAssumptions-_xlpm._numAdditionalAssumptions),
_xlpm._elementID)</f>
        <v>41</v>
      </c>
      <c r="O62"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62" s="11" cm="1">
        <f t="array" aca="1" ref="P62" ca="1">IF($O62,
IF(ROW()=ROW($P$17)+1,1,INDEX($P:$P,ROW()-1)+IF(INDEX($W:$W,ROW()-1),1,0)),
1)</f>
        <v>1</v>
      </c>
      <c r="Q62" s="11" t="str" cm="1">
        <f t="array" aca="1" ref="Q62" ca="1">IF($O62=TRUE,
_xlfn.LET(
_xlpm._isAssumption,$M62,
_xlpm._indexRange,IF(_xlpm._isAssumption,Table24['# Elements],Table25['# Elements]),
_xlpm._lookupRow,$Z62,
INDEX(_xlpm._indexRange,_xlpm._lookupRow)),
"")</f>
        <v/>
      </c>
      <c r="R62" s="11" t="str" cm="1">
        <f t="array" aca="1" ref="R62" ca="1">IF($Q62="","",_xlfn.LET(
_xlpm._prevRow,ROW()-1,
IF(OR(INDEX($Q:$Q,_xlpm._prevRow)&lt;&gt;$Q62,INDEX($P:$P,_xlpm._prevRow)&lt;&gt;$P62),
1,
INDEX($R:$R,_xlpm._prevRow)+IF(INDEX($V:$V,_xlpm._prevRow),1,0))))</f>
        <v/>
      </c>
      <c r="S62" s="11" t="str" cm="1">
        <f t="array" aca="1" ref="S62" ca="1">IF($R62="","",_xlfn.LET(
_xlpm._isAssumption,$M62,
_xlpm._sheetRow,$Z62,
_xlpm._sheetName,$AA62,
_xlpm._elementIDRange,IF(_xlpm._isAssumption,Table24[Element ID Column],Table25[Element ID Column]),
_xlpm._numberOfElementsRange,IF(_xlpm._isAssumption,Table24[Number of Elements Column],Table25[Number of Elements Column]),
SimpleLookup($R62,INDIRECT("'"&amp;_xlpm._sheetName&amp;"'!"&amp;INDEX(_xlpm._elementIDRange,_xlpm._sheetRow)&amp;":"&amp;INDEX(_xlpm._numberOfElementsRange,_xlpm._sheetRow)))))</f>
        <v/>
      </c>
      <c r="T62" s="11" t="str" cm="1">
        <f t="array" aca="1" ref="T62" ca="1">IF($R62="","",IF(OR(INDEX($R:$R,ROW()-1)&lt;&gt;$R62,INDEX($P:$P,ROW()-1)&lt;&gt;$P62),1,INDEX($T:$T,ROW()-1)+1))</f>
        <v/>
      </c>
      <c r="U62" s="11">
        <f t="shared" ca="1" si="13"/>
        <v>0</v>
      </c>
      <c r="V62" s="11" t="str">
        <f t="shared" ca="1" si="14"/>
        <v/>
      </c>
      <c r="W62" s="11" t="b">
        <f ca="1">_xlfn.LET(
_xlpm._isAssumption,$M62,
_xlpm._numberOfElementsRange,IF(_xlpm._isAssumption,Table24['# Elements],Table25['# Elements]),
_xlpm._sheetRow,$Z62,
IF($O62,AND($V62,$U62=$Q62),FALSE))</f>
        <v>0</v>
      </c>
      <c r="X62" s="11" t="str" cm="1">
        <f t="array" aca="1" ref="X62" ca="1">IF($O62,
_xlfn.LET(
_xlpm._elementID,$R62,
_xlpm._isAssumption,$M62,
_xlpm._sheetRow,$Z62,
_xlpm._sheetName,$AA62,
_xlpm._elementRow,$AB62,
_xlpm._resultColumnLetter,IF(_xlpm._isAssumption,INDEX(Table24[Comment Column],_xlpm._sheetRow),INDEX(Table25[Comment Column],_xlpm._sheetRow)),
INDEX(INDIRECT("'"&amp;_xlpm._sheetName&amp;"'!"&amp;_xlpm._resultColumnLetter&amp;":"&amp;_xlpm._resultColumnLetter),_xlpm._elementRow)),
"")</f>
        <v/>
      </c>
      <c r="Y62" s="11" t="str" cm="1">
        <f t="array" aca="1" ref="Y62" ca="1">IF($O62,
_xlfn.LET(
_xlpm._elementID,$R62,
_xlpm._isAssumption,$M62,
_xlpm._sheetRow,$Z62,
_xlpm._sheetName,$AA62,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62" s="11" t="str">
        <f ca="1">IF($O62=TRUE,
_xlfn.LET(
_xlpm._isAssumption,$M62,
_xlpm._searchRange,IF(_xlpm._isAssumption,Table24[Task Sheet Shadow ID],Table25[Task Sheet Shadow ID]),
MATCH($P62,_xlpm._searchRange,0)),
"")</f>
        <v/>
      </c>
      <c r="AA62" s="11" t="str" cm="1">
        <f t="array" aca="1" ref="AA62" ca="1">IF($O62,
_xlfn.LET(
_xlpm._isAssumption,$M62,
_xlpm._sheetRow,$Z62,
IF(_xlpm._isAssumption,INDEX(Table24[Sheet Name],_xlpm._sheetRow),INDEX(Table25[Sheet Name],_xlpm._sheetRow))),
"")</f>
        <v/>
      </c>
      <c r="AB62" s="11" t="str" cm="1">
        <f t="array" aca="1" ref="AB62" ca="1">IF($O62,
_xlfn.LET(
_xlpm._elementID,$R62,
_xlpm._isAssumption,$M62,
_xlpm._sheetRow,$Z62,
_xlpm._sheetName,$AA62,
_xlpm._elementIDColumnLetter,IF(_xlpm._isAssumption,INDEX(Table24[Element ID Column],_xlpm._sheetRow),INDEX(Table25[Element ID Column],_xlpm._sheetRow)),
MATCH(_xlpm._elementID,INDIRECT("'"&amp;_xlpm._sheetName&amp;"'!"&amp;_xlpm._elementIDColumnLetter&amp;":"&amp;_xlpm._elementIDColumnLetter),0)),
"")</f>
        <v/>
      </c>
      <c r="AC62" s="11" t="str" cm="1">
        <f t="array" aca="1" ref="AC62" ca="1">IF($A62="","",_xlfn.LET(
_xlpm._isAssumption,$M62,
_xlpm._isAdditionalElement,$O62,
_xlpm._sheetRow,$Z62,
_xlpm._sheetName,$AA62,
_xlpm._columnLetter,INDEX(IF(_xlpm._isAdditionalElement,Table24[Comment Column],Table25[Comment Column]),_xlpm._sheetRow),
_xlpm._sheetReference,IF(_xlpm._isAssumption,IF(_xlpm._isAdditionalElement,
CELL("address",INDEX(INDIRECT("'"&amp;_xlpm._sheetName&amp;"'!"&amp;_xlpm._columnLetter&amp;":"&amp;_xlpm._columnLetter),$AB62)),
CELL("address",INDEX(Assumptions!$A:$A,MATCH($A62,Assumptions!$A:$A,0),1))),
IF(_xlpm._isAdditionalElement,
CELL("address",INDEX(INDIRECT("'"&amp;_xlpm._sheetName&amp;"'!"&amp;_xlpm._columnLetter&amp;":"&amp;_xlpm._columnLetter),$AB62)),
CELL("address",INDEX(Countermeasures!$A:$A,MATCH($A62,Countermeasures!$A:$A,0),1)))),
_xlpm._start,FIND("]",_xlpm._sheetReference),
"'"&amp;SUBSTITUTE(SUBSTITUTE(RIGHT(_xlpm._sheetReference,LEN(_xlpm._sheetReference)-_xlpm._start),"'",""),"!","'!")))</f>
        <v/>
      </c>
      <c r="AD62" s="11" t="str" cm="1">
        <f t="array" aca="1" ref="AD62" ca="1">IF(NOT($O62),
_xlfn.LET(_xlpm._value,IF($A62="","",IF($M62,SimpleLookup($A62,Assumptions!$A:$AG),SimpleLookup($A62,Countermeasures!$A:$AJ))),
IF(_xlpm._value="","",_xlpm._value)),
"")</f>
        <v/>
      </c>
      <c r="AE62" s="11" t="str" cm="1">
        <f t="array" aca="1" ref="AE62" ca="1">LookupNames(InverseLookup($A62,Mitigation!$AD$2,Mitigation!$A$2,1,Helper!$B$5,","),'Attack Steps'!$A:$B)</f>
        <v/>
      </c>
      <c r="AF62" s="11" t="str" cm="1">
        <f t="array" aca="1" ref="AF62" ca="1">IF($O62,
_xlfn.LET(
_xlpm._in,$A62,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62" s="11" t="str" cm="1">
        <f t="array" aca="1" ref="AG62" ca="1">_xlfn.LET(
_xlpm._countermeasures,InverseLookup($A62,Countermeasures!$AC$2,Countermeasures!$A$2,1,Helper!$B$4,","),
LookupNames(_xlpm._countermeasures,Countermeasures!$A:$B))</f>
        <v/>
      </c>
      <c r="AH62" s="11" t="str" cm="1">
        <f t="array" aca="1" ref="AH62" ca="1">IF($E62="","",_xlfn.LET(
_xlpm._id,$E62,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62" s="11" t="str" cm="1">
        <f t="array" aca="1" ref="AI62" ca="1">IF(OR($A62="",$O62),"",_xlfn.LET(
_xlpm._answers,IF($M62,SimpleLookup($A62,Assumptions!$A:$F),SimpleLookup($A62,Countermeasures!$A:$D)),
IF(_xlpm._answers="*",IF($M62,SimpleLookup($A62,Assumptions!$A:$C),SimpleLookup($A62,Countermeasures!$A:$C)),"")))</f>
        <v/>
      </c>
      <c r="AJ62" s="11" t="str" cm="1">
        <f t="array" aca="1" ref="AJ62" ca="1">IF(NOT($O62),"",_xlfn.LET(
_xlpm._mappedInMitigation,IFERROR(VLOOKUP($Y62,'Attack Steps'!$A:$P,COLUMNS('Attack Steps'!$A:$P),FALSE),""),
CreateSearchString(_xlpm._mappedInMitigation)))</f>
        <v/>
      </c>
      <c r="AK62" s="11" t="b">
        <f ca="1">ROW()-ROW($AK$17)=Helper!$B$15</f>
        <v>0</v>
      </c>
      <c r="AL62" s="11" t="str">
        <f t="shared" ca="1" si="15"/>
        <v/>
      </c>
      <c r="AM62" s="11" cm="1">
        <f t="array" aca="1" ref="AM62" ca="1">CreateID($AM$17,$AL62&lt;&gt;"")</f>
        <v>0</v>
      </c>
      <c r="AN62" s="11" t="str" cm="1">
        <f t="array" aca="1" ref="AN62" ca="1">IF($O62,"",
_xlfn.LET(
_xlpm._this,SanitizeInput($A62)&amp;AT62,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62" s="11" t="str" cm="1">
        <f t="array" aca="1" ref="AO62" ca="1">IF($O62,"",_xlfn.LET(
_xlpm._listOfRisksAndLevels,SanitizeInput($AN62),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_xlpm._shortenedList,IF($H62="",_xlpm._risksWithMaxValue,
  IF(LEN(_xlpm._risksWithMaxValue)-LEN(SUBSTITUTE(_xlpm._risksWithMaxValue,",",""))&lt;=$H62,_xlpm._risksWithMaxValue,
    LEFT(_xlpm._risksWithMaxValue,FIND(CHAR(1),SUBSTITUTE(_xlpm._risksWithMaxValue,",",CHAR(1),$H62))))),
IF(_xlpm._maxRiskValue="","",
  _xlpm._lineMainSeparator&amp;
  INDEX(Definitions!$AE:$AE,MATCH(_xlpm._maxRiskValue,Definitions!$AF:$AF,0))&amp;CHAR(10)&amp;
  _xlpm._lineMainSeparator&amp;
  RemoveDelimiter(GetValues(_xlpm._shortenedList,Risks!$A:$B," ",CHAR(10)&amp;_xlpm._lineMainSeparator,TRUE),CHAR(10)&amp;_xlpm._lineMainSeparator))))</f>
        <v/>
      </c>
      <c r="AP62" s="11" t="str" cm="1">
        <f t="array" aca="1" ref="AP62" ca="1">IF($O62,"",_xlfn.LET(
_xlpm._lineMainSeparator,REPT(_xlfn.UNICHAR(9552),63)&amp;CHAR(10),
_xlpm._affectedRisks,InverseLookupList(SanitizeInput($A62)&amp;$AT62,Risks!$AX$2,Risks!$A$2,Helper!$B$1,","),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_xlpm._shortenedList,IF($H62="",_xlpm._risksWithMaxValue,
  IF(LEN(_xlpm._risksWithMaxValue)-LEN(SUBSTITUTE(_xlpm._risksWithMaxValue,",",""))&lt;=$H62,_xlpm._risksWithMaxValue,
    LEFT(_xlpm._risksWithMaxValue,FIND(CHAR(1),SUBSTITUTE(_xlpm._risksWithMaxValue,",",CHAR(1),$H62))))),
IF(_xlpm._maxRiskValue="","",
  _xlpm._lineMainSeparator&amp;
  INDEX(Definitions!$AE:$AE,MATCH(_xlpm._maxRiskValue,Definitions!$AF:$AF,0))&amp;CHAR(10)&amp;
  _xlpm._lineMainSeparator&amp;
  RemoveDelimiter(GetValues(_xlpm._shortenedList,Risks!$A:$B," ",CHAR(10)&amp;_xlpm._lineMainSeparator,TRUE),CHAR(10)&amp;_xlpm._lineMainSeparator))))</f>
        <v/>
      </c>
      <c r="AQ62" s="11" t="str" cm="1">
        <f t="array" aca="1" ref="AQ62" ca="1">IF(NOT($O62),"",
_xlfn.LET(
_xlpm._potentialASID,$Y62,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_xlpm._commentsFiltered,SUBSTITUTE(GetValues(_xlpm._attackSteps,Mitigation!$A:$O,"","",FALSE),$X62,""),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62" s="11" t="str" cm="1">
        <f t="array" aca="1" ref="AR62" ca="1">IF(NOT($O62),"",_xlfn.LET(
_xlpm._listOfRisksAndLevels,SanitizeInput($AQ62),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_xlpm._shortenedList,IF($H62="",_xlpm._risksWithMaxValue,
  IF(LEN(_xlpm._risksWithMaxValue)-LEN(SUBSTITUTE(_xlpm._risksWithMaxValue,",",""))&lt;=$H62,_xlpm._risksWithMaxValue,
    LEFT(_xlpm._risksWithMaxValue,FIND(CHAR(1),SUBSTITUTE(_xlpm._risksWithMaxValue,",",CHAR(1),$H62))))),
IF(_xlpm._maxRiskValue="","",
  _xlpm._lineMainSeparator&amp;
  INDEX(Definitions!$AE:$AE,MATCH(_xlpm._maxRiskValue,Definitions!$AF:$AF,0))&amp;CHAR(10)&amp;
  _xlpm._lineMainSeparator&amp;
  RemoveDelimiter(GetValues(_xlpm._shortenedList,Risks!$A:$B," ",CHAR(10)&amp;_xlpm._lineMainSeparator,TRUE),CHAR(10)&amp;_xlpm._lineMainSeparator))))</f>
        <v/>
      </c>
      <c r="AS62" s="11" t="str" cm="1">
        <f t="array" aca="1" ref="AS62" ca="1">IF(NOT($O62),"",
_xlfn.LET(
_xlpm._lineMainSeparator,REPT(_xlfn.UNICHAR(9552),63)&amp;CHAR(10),
_xlpm._potentialASID,$Y62,
_xlpm._risk,IFERROR(SimpleLookup(_xlpm._potentialASID,Mitigation!$A:$N),""),
_xlpm._attackPaths,IFERROR(SimpleLookup(_xlpm._potentialASID,Mitigation!$A:$M),""),
IF(_xlpm._risk="","",
_xlpm._lineMainSeparator&amp;
_xlpm._risk&amp;CHAR(10)&amp;
_xlpm._lineMainSeparator&amp;
_xlpm._attackPaths)))</f>
        <v/>
      </c>
      <c r="AT62" s="11" t="str" cm="1">
        <f t="array" aca="1" ref="AT62" ca="1">InverseLookup($A62,Countermeasures!$AA$2,Countermeasures!$A$2,1,Helper!$B$4,",")</f>
        <v/>
      </c>
    </row>
    <row r="63" spans="1:46" x14ac:dyDescent="0.25">
      <c r="A63" s="106" t="str">
        <f ca="1">_xlfn.LET(
_xlpm._isAssumption,$M63,
_xlpm._row,$N63,
_xlpm._numActiveAssumptions,Helper!$B$8,
_xlpm._numActiveCountermeasures,Helper!$B$9,
_xlpm._numAdditionalAssumptions,Helper!$B$10,
_xlpm._numAdditionalCountermeasures,Helper!$B$11,
IF(_xlpm._isAssumption,
IF(_xlpm._row&gt;_xlpm._numActiveAssumptions,
$Y63&amp;"-A"&amp;$T63,
INDEX(Assumptions!A:A,MATCH(_xlpm._row,Assumptions!$AC:$AC,0))),
IF(_xlpm._row&gt;_xlpm._numActiveCountermeasures+_xlpm._numAdditionalCountermeasures,"",
IF(_xlpm._row&gt;_xlpm._numActiveCountermeasures,
$Y63&amp;"-C"&amp;$T63,
INDEX(Countermeasures!$A:$A,MATCH(_xlpm._row,Countermeasures!$AE:$AE,0))))))</f>
        <v/>
      </c>
      <c r="B63" s="106" t="str" cm="1">
        <f t="array" aca="1" ref="B63" ca="1">IF($A63="","",
_xlfn.LET(
_xlpm._isAssumption,$M63,
_xlpm._isAdditionalElement,$O63,
IF(_xlpm._isAdditionalElement,
IF(_xlpm._isAssumption,
ParseElementsFromComment($X63,Definitions!$AR$4,Definitions!$AS$4,Definitions!$AR$6,$T63),
ParseElementsFromComment($X63,Definitions!$AR$5,Definitions!$AS$5,Definitions!$AR$6,$T63)),
_xlfn.LET(_xlpm._value,IF($A63="","",IF($M63,SimpleLookup($A63,Assumptions!$A:$B),SimpleLookup($A63,Countermeasures!$A:$B))),IF(_xlpm._value="","",_xlpm._value)))))</f>
        <v/>
      </c>
      <c r="C63" s="106" t="str" cm="1">
        <f t="array" aca="1" ref="C63" ca="1">IF($A63="","",IF($M63,IFERROR(SimpleLookup($A63,Assumptions!$A:$E),""),Definitions!$AO$4))</f>
        <v/>
      </c>
      <c r="D63" s="103" t="str">
        <f t="shared" ca="1" si="9"/>
        <v/>
      </c>
      <c r="E63" s="107"/>
      <c r="F63" s="108" t="str">
        <f t="shared" ca="1" si="10"/>
        <v/>
      </c>
      <c r="G63" s="102" t="str" cm="1">
        <f t="array" aca="1" ref="G63" ca="1">_xlfn.LET(_xlpm._val,IFERROR(SimpleLookup($A63,Countermeasures!$A:$S),IFERROR(SimpleLookup($A63,Assumptions!$A:$S),"")),IF(_xlpm._val="","",_xlpm._val))</f>
        <v/>
      </c>
      <c r="H63" s="109" t="str">
        <f>""</f>
        <v/>
      </c>
      <c r="I63" s="102" t="str">
        <f t="shared" ca="1" si="11"/>
        <v/>
      </c>
      <c r="J63" s="102" t="str">
        <f t="shared" ca="1" si="12"/>
        <v/>
      </c>
      <c r="K63" s="106" t="str" cm="1">
        <f t="array" aca="1" ref="K63" ca="1">_xlfn.LET(_xlpm._value,IF($A63="","",IFERROR(IF($M63,SimpleLookup($A63,Assumptions!$A:$T),SimpleLookup($A63,Countermeasures!$A:$T)),"")),
IF(_xlpm._value="","",_xlpm._value))</f>
        <v/>
      </c>
      <c r="L63" s="9" cm="1">
        <f t="array" aca="1" ref="L63" ca="1">CreateID($L$17,$A63&lt;&gt;"")</f>
        <v>11</v>
      </c>
      <c r="M63" s="9" t="b">
        <f ca="1">_xlfn.LET(_xlpm._row,ROW()-ROW($N$17),
_xlpm._numActiveAssumptions,Helper!$B$8,
_xlpm._numAdditionalAssumptions,SUM(Table24['# Elements]),
_xlpm._row&lt;=_xlpm._numActiveAssumptions+_xlpm._numAdditionalAssumptions)</f>
        <v>0</v>
      </c>
      <c r="N63" s="9">
        <f ca="1">_xlfn.LET(_xlpm._row,ROW()-ROW($N$17),
_xlpm._numActiveAssumptions,Helper!$B$8,
_xlpm._numAdditionalAssumptions,Helper!$B$10,
_xlpm._isAssumption,$M63,
_xlpm._elementID,IF(_xlpm._isAssumption,_xlpm._row,_xlpm._row-_xlpm._numActiveAssumptions-_xlpm._numAdditionalAssumptions),
_xlpm._elementID)</f>
        <v>42</v>
      </c>
      <c r="O63"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63" s="11" cm="1">
        <f t="array" aca="1" ref="P63" ca="1">IF($O63,
IF(ROW()=ROW($P$17)+1,1,INDEX($P:$P,ROW()-1)+IF(INDEX($W:$W,ROW()-1),1,0)),
1)</f>
        <v>1</v>
      </c>
      <c r="Q63" s="11" t="str" cm="1">
        <f t="array" aca="1" ref="Q63" ca="1">IF($O63=TRUE,
_xlfn.LET(
_xlpm._isAssumption,$M63,
_xlpm._indexRange,IF(_xlpm._isAssumption,Table24['# Elements],Table25['# Elements]),
_xlpm._lookupRow,$Z63,
INDEX(_xlpm._indexRange,_xlpm._lookupRow)),
"")</f>
        <v/>
      </c>
      <c r="R63" s="11" t="str" cm="1">
        <f t="array" aca="1" ref="R63" ca="1">IF($Q63="","",_xlfn.LET(
_xlpm._prevRow,ROW()-1,
IF(OR(INDEX($Q:$Q,_xlpm._prevRow)&lt;&gt;$Q63,INDEX($P:$P,_xlpm._prevRow)&lt;&gt;$P63),
1,
INDEX($R:$R,_xlpm._prevRow)+IF(INDEX($V:$V,_xlpm._prevRow),1,0))))</f>
        <v/>
      </c>
      <c r="S63" s="11" t="str" cm="1">
        <f t="array" aca="1" ref="S63" ca="1">IF($R63="","",_xlfn.LET(
_xlpm._isAssumption,$M63,
_xlpm._sheetRow,$Z63,
_xlpm._sheetName,$AA63,
_xlpm._elementIDRange,IF(_xlpm._isAssumption,Table24[Element ID Column],Table25[Element ID Column]),
_xlpm._numberOfElementsRange,IF(_xlpm._isAssumption,Table24[Number of Elements Column],Table25[Number of Elements Column]),
SimpleLookup($R63,INDIRECT("'"&amp;_xlpm._sheetName&amp;"'!"&amp;INDEX(_xlpm._elementIDRange,_xlpm._sheetRow)&amp;":"&amp;INDEX(_xlpm._numberOfElementsRange,_xlpm._sheetRow)))))</f>
        <v/>
      </c>
      <c r="T63" s="11" t="str" cm="1">
        <f t="array" aca="1" ref="T63" ca="1">IF($R63="","",IF(OR(INDEX($R:$R,ROW()-1)&lt;&gt;$R63,INDEX($P:$P,ROW()-1)&lt;&gt;$P63),1,INDEX($T:$T,ROW()-1)+1))</f>
        <v/>
      </c>
      <c r="U63" s="11">
        <f t="shared" ca="1" si="13"/>
        <v>0</v>
      </c>
      <c r="V63" s="11" t="str">
        <f t="shared" ca="1" si="14"/>
        <v/>
      </c>
      <c r="W63" s="11" t="b">
        <f ca="1">_xlfn.LET(
_xlpm._isAssumption,$M63,
_xlpm._numberOfElementsRange,IF(_xlpm._isAssumption,Table24['# Elements],Table25['# Elements]),
_xlpm._sheetRow,$Z63,
IF($O63,AND($V63,$U63=$Q63),FALSE))</f>
        <v>0</v>
      </c>
      <c r="X63" s="11" t="str" cm="1">
        <f t="array" aca="1" ref="X63" ca="1">IF($O63,
_xlfn.LET(
_xlpm._elementID,$R63,
_xlpm._isAssumption,$M63,
_xlpm._sheetRow,$Z63,
_xlpm._sheetName,$AA63,
_xlpm._elementRow,$AB63,
_xlpm._resultColumnLetter,IF(_xlpm._isAssumption,INDEX(Table24[Comment Column],_xlpm._sheetRow),INDEX(Table25[Comment Column],_xlpm._sheetRow)),
INDEX(INDIRECT("'"&amp;_xlpm._sheetName&amp;"'!"&amp;_xlpm._resultColumnLetter&amp;":"&amp;_xlpm._resultColumnLetter),_xlpm._elementRow)),
"")</f>
        <v/>
      </c>
      <c r="Y63" s="11" t="str" cm="1">
        <f t="array" aca="1" ref="Y63" ca="1">IF($O63,
_xlfn.LET(
_xlpm._elementID,$R63,
_xlpm._isAssumption,$M63,
_xlpm._sheetRow,$Z63,
_xlpm._sheetName,$AA63,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63" s="11" t="str">
        <f ca="1">IF($O63=TRUE,
_xlfn.LET(
_xlpm._isAssumption,$M63,
_xlpm._searchRange,IF(_xlpm._isAssumption,Table24[Task Sheet Shadow ID],Table25[Task Sheet Shadow ID]),
MATCH($P63,_xlpm._searchRange,0)),
"")</f>
        <v/>
      </c>
      <c r="AA63" s="11" t="str" cm="1">
        <f t="array" aca="1" ref="AA63" ca="1">IF($O63,
_xlfn.LET(
_xlpm._isAssumption,$M63,
_xlpm._sheetRow,$Z63,
IF(_xlpm._isAssumption,INDEX(Table24[Sheet Name],_xlpm._sheetRow),INDEX(Table25[Sheet Name],_xlpm._sheetRow))),
"")</f>
        <v/>
      </c>
      <c r="AB63" s="11" t="str" cm="1">
        <f t="array" aca="1" ref="AB63" ca="1">IF($O63,
_xlfn.LET(
_xlpm._elementID,$R63,
_xlpm._isAssumption,$M63,
_xlpm._sheetRow,$Z63,
_xlpm._sheetName,$AA63,
_xlpm._elementIDColumnLetter,IF(_xlpm._isAssumption,INDEX(Table24[Element ID Column],_xlpm._sheetRow),INDEX(Table25[Element ID Column],_xlpm._sheetRow)),
MATCH(_xlpm._elementID,INDIRECT("'"&amp;_xlpm._sheetName&amp;"'!"&amp;_xlpm._elementIDColumnLetter&amp;":"&amp;_xlpm._elementIDColumnLetter),0)),
"")</f>
        <v/>
      </c>
      <c r="AC63" s="11" t="str" cm="1">
        <f t="array" aca="1" ref="AC63" ca="1">IF($A63="","",_xlfn.LET(
_xlpm._isAssumption,$M63,
_xlpm._isAdditionalElement,$O63,
_xlpm._sheetRow,$Z63,
_xlpm._sheetName,$AA63,
_xlpm._columnLetter,INDEX(IF(_xlpm._isAdditionalElement,Table24[Comment Column],Table25[Comment Column]),_xlpm._sheetRow),
_xlpm._sheetReference,IF(_xlpm._isAssumption,IF(_xlpm._isAdditionalElement,
CELL("address",INDEX(INDIRECT("'"&amp;_xlpm._sheetName&amp;"'!"&amp;_xlpm._columnLetter&amp;":"&amp;_xlpm._columnLetter),$AB63)),
CELL("address",INDEX(Assumptions!$A:$A,MATCH($A63,Assumptions!$A:$A,0),1))),
IF(_xlpm._isAdditionalElement,
CELL("address",INDEX(INDIRECT("'"&amp;_xlpm._sheetName&amp;"'!"&amp;_xlpm._columnLetter&amp;":"&amp;_xlpm._columnLetter),$AB63)),
CELL("address",INDEX(Countermeasures!$A:$A,MATCH($A63,Countermeasures!$A:$A,0),1)))),
_xlpm._start,FIND("]",_xlpm._sheetReference),
"'"&amp;SUBSTITUTE(SUBSTITUTE(RIGHT(_xlpm._sheetReference,LEN(_xlpm._sheetReference)-_xlpm._start),"'",""),"!","'!")))</f>
        <v/>
      </c>
      <c r="AD63" s="11" t="str" cm="1">
        <f t="array" aca="1" ref="AD63" ca="1">IF(NOT($O63),
_xlfn.LET(_xlpm._value,IF($A63="","",IF($M63,SimpleLookup($A63,Assumptions!$A:$AG),SimpleLookup($A63,Countermeasures!$A:$AJ))),
IF(_xlpm._value="","",_xlpm._value)),
"")</f>
        <v/>
      </c>
      <c r="AE63" s="11" t="str" cm="1">
        <f t="array" aca="1" ref="AE63" ca="1">LookupNames(InverseLookup($A63,Mitigation!$AD$2,Mitigation!$A$2,1,Helper!$B$5,","),'Attack Steps'!$A:$B)</f>
        <v/>
      </c>
      <c r="AF63" s="11" t="str" cm="1">
        <f t="array" aca="1" ref="AF63" ca="1">IF($O63,
_xlfn.LET(
_xlpm._in,$A63,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63" s="11" t="str" cm="1">
        <f t="array" aca="1" ref="AG63" ca="1">_xlfn.LET(
_xlpm._countermeasures,InverseLookup($A63,Countermeasures!$AC$2,Countermeasures!$A$2,1,Helper!$B$4,","),
LookupNames(_xlpm._countermeasures,Countermeasures!$A:$B))</f>
        <v/>
      </c>
      <c r="AH63" s="11" t="str" cm="1">
        <f t="array" aca="1" ref="AH63" ca="1">IF($E63="","",_xlfn.LET(
_xlpm._id,$E63,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63" s="11" t="str" cm="1">
        <f t="array" aca="1" ref="AI63" ca="1">IF(OR($A63="",$O63),"",_xlfn.LET(
_xlpm._answers,IF($M63,SimpleLookup($A63,Assumptions!$A:$F),SimpleLookup($A63,Countermeasures!$A:$D)),
IF(_xlpm._answers="*",IF($M63,SimpleLookup($A63,Assumptions!$A:$C),SimpleLookup($A63,Countermeasures!$A:$C)),"")))</f>
        <v/>
      </c>
      <c r="AJ63" s="11" t="str" cm="1">
        <f t="array" aca="1" ref="AJ63" ca="1">IF(NOT($O63),"",_xlfn.LET(
_xlpm._mappedInMitigation,IFERROR(VLOOKUP($Y63,'Attack Steps'!$A:$P,COLUMNS('Attack Steps'!$A:$P),FALSE),""),
CreateSearchString(_xlpm._mappedInMitigation)))</f>
        <v/>
      </c>
      <c r="AK63" s="11" t="b">
        <f ca="1">ROW()-ROW($AK$17)=Helper!$B$15</f>
        <v>0</v>
      </c>
      <c r="AL63" s="11" t="str">
        <f t="shared" ca="1" si="15"/>
        <v/>
      </c>
      <c r="AM63" s="11" cm="1">
        <f t="array" aca="1" ref="AM63" ca="1">CreateID($AM$17,$AL63&lt;&gt;"")</f>
        <v>0</v>
      </c>
      <c r="AN63" s="11" t="str" cm="1">
        <f t="array" aca="1" ref="AN63" ca="1">IF($O63,"",
_xlfn.LET(
_xlpm._this,SanitizeInput($A63)&amp;AT63,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63" s="11" t="str" cm="1">
        <f t="array" aca="1" ref="AO63" ca="1">IF($O63,"",_xlfn.LET(
_xlpm._listOfRisksAndLevels,SanitizeInput($AN63),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_xlpm._shortenedList,IF($H63="",_xlpm._risksWithMaxValue,
  IF(LEN(_xlpm._risksWithMaxValue)-LEN(SUBSTITUTE(_xlpm._risksWithMaxValue,",",""))&lt;=$H63,_xlpm._risksWithMaxValue,
    LEFT(_xlpm._risksWithMaxValue,FIND(CHAR(1),SUBSTITUTE(_xlpm._risksWithMaxValue,",",CHAR(1),$H63))))),
IF(_xlpm._maxRiskValue="","",
  _xlpm._lineMainSeparator&amp;
  INDEX(Definitions!$AE:$AE,MATCH(_xlpm._maxRiskValue,Definitions!$AF:$AF,0))&amp;CHAR(10)&amp;
  _xlpm._lineMainSeparator&amp;
  RemoveDelimiter(GetValues(_xlpm._shortenedList,Risks!$A:$B," ",CHAR(10)&amp;_xlpm._lineMainSeparator,TRUE),CHAR(10)&amp;_xlpm._lineMainSeparator))))</f>
        <v/>
      </c>
      <c r="AP63" s="11" t="str" cm="1">
        <f t="array" aca="1" ref="AP63" ca="1">IF($O63,"",_xlfn.LET(
_xlpm._lineMainSeparator,REPT(_xlfn.UNICHAR(9552),63)&amp;CHAR(10),
_xlpm._affectedRisks,InverseLookupList(SanitizeInput($A63)&amp;$AT63,Risks!$AX$2,Risks!$A$2,Helper!$B$1,","),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_xlpm._shortenedList,IF($H63="",_xlpm._risksWithMaxValue,
  IF(LEN(_xlpm._risksWithMaxValue)-LEN(SUBSTITUTE(_xlpm._risksWithMaxValue,",",""))&lt;=$H63,_xlpm._risksWithMaxValue,
    LEFT(_xlpm._risksWithMaxValue,FIND(CHAR(1),SUBSTITUTE(_xlpm._risksWithMaxValue,",",CHAR(1),$H63))))),
IF(_xlpm._maxRiskValue="","",
  _xlpm._lineMainSeparator&amp;
  INDEX(Definitions!$AE:$AE,MATCH(_xlpm._maxRiskValue,Definitions!$AF:$AF,0))&amp;CHAR(10)&amp;
  _xlpm._lineMainSeparator&amp;
  RemoveDelimiter(GetValues(_xlpm._shortenedList,Risks!$A:$B," ",CHAR(10)&amp;_xlpm._lineMainSeparator,TRUE),CHAR(10)&amp;_xlpm._lineMainSeparator))))</f>
        <v/>
      </c>
      <c r="AQ63" s="11" t="str" cm="1">
        <f t="array" aca="1" ref="AQ63" ca="1">IF(NOT($O63),"",
_xlfn.LET(
_xlpm._potentialASID,$Y63,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_xlpm._commentsFiltered,SUBSTITUTE(GetValues(_xlpm._attackSteps,Mitigation!$A:$O,"","",FALSE),$X63,""),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63" s="11" t="str" cm="1">
        <f t="array" aca="1" ref="AR63" ca="1">IF(NOT($O63),"",_xlfn.LET(
_xlpm._listOfRisksAndLevels,SanitizeInput($AQ63),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_xlpm._shortenedList,IF($H63="",_xlpm._risksWithMaxValue,
  IF(LEN(_xlpm._risksWithMaxValue)-LEN(SUBSTITUTE(_xlpm._risksWithMaxValue,",",""))&lt;=$H63,_xlpm._risksWithMaxValue,
    LEFT(_xlpm._risksWithMaxValue,FIND(CHAR(1),SUBSTITUTE(_xlpm._risksWithMaxValue,",",CHAR(1),$H63))))),
IF(_xlpm._maxRiskValue="","",
  _xlpm._lineMainSeparator&amp;
  INDEX(Definitions!$AE:$AE,MATCH(_xlpm._maxRiskValue,Definitions!$AF:$AF,0))&amp;CHAR(10)&amp;
  _xlpm._lineMainSeparator&amp;
  RemoveDelimiter(GetValues(_xlpm._shortenedList,Risks!$A:$B," ",CHAR(10)&amp;_xlpm._lineMainSeparator,TRUE),CHAR(10)&amp;_xlpm._lineMainSeparator))))</f>
        <v/>
      </c>
      <c r="AS63" s="11" t="str" cm="1">
        <f t="array" aca="1" ref="AS63" ca="1">IF(NOT($O63),"",
_xlfn.LET(
_xlpm._lineMainSeparator,REPT(_xlfn.UNICHAR(9552),63)&amp;CHAR(10),
_xlpm._potentialASID,$Y63,
_xlpm._risk,IFERROR(SimpleLookup(_xlpm._potentialASID,Mitigation!$A:$N),""),
_xlpm._attackPaths,IFERROR(SimpleLookup(_xlpm._potentialASID,Mitigation!$A:$M),""),
IF(_xlpm._risk="","",
_xlpm._lineMainSeparator&amp;
_xlpm._risk&amp;CHAR(10)&amp;
_xlpm._lineMainSeparator&amp;
_xlpm._attackPaths)))</f>
        <v/>
      </c>
      <c r="AT63" s="11" t="str" cm="1">
        <f t="array" aca="1" ref="AT63" ca="1">InverseLookup($A63,Countermeasures!$AA$2,Countermeasures!$A$2,1,Helper!$B$4,",")</f>
        <v/>
      </c>
    </row>
    <row r="64" spans="1:46" x14ac:dyDescent="0.25">
      <c r="A64" s="106" t="str">
        <f ca="1">_xlfn.LET(
_xlpm._isAssumption,$M64,
_xlpm._row,$N64,
_xlpm._numActiveAssumptions,Helper!$B$8,
_xlpm._numActiveCountermeasures,Helper!$B$9,
_xlpm._numAdditionalAssumptions,Helper!$B$10,
_xlpm._numAdditionalCountermeasures,Helper!$B$11,
IF(_xlpm._isAssumption,
IF(_xlpm._row&gt;_xlpm._numActiveAssumptions,
$Y64&amp;"-A"&amp;$T64,
INDEX(Assumptions!A:A,MATCH(_xlpm._row,Assumptions!$AC:$AC,0))),
IF(_xlpm._row&gt;_xlpm._numActiveCountermeasures+_xlpm._numAdditionalCountermeasures,"",
IF(_xlpm._row&gt;_xlpm._numActiveCountermeasures,
$Y64&amp;"-C"&amp;$T64,
INDEX(Countermeasures!$A:$A,MATCH(_xlpm._row,Countermeasures!$AE:$AE,0))))))</f>
        <v/>
      </c>
      <c r="B64" s="106" t="str" cm="1">
        <f t="array" aca="1" ref="B64" ca="1">IF($A64="","",
_xlfn.LET(
_xlpm._isAssumption,$M64,
_xlpm._isAdditionalElement,$O64,
IF(_xlpm._isAdditionalElement,
IF(_xlpm._isAssumption,
ParseElementsFromComment($X64,Definitions!$AR$4,Definitions!$AS$4,Definitions!$AR$6,$T64),
ParseElementsFromComment($X64,Definitions!$AR$5,Definitions!$AS$5,Definitions!$AR$6,$T64)),
_xlfn.LET(_xlpm._value,IF($A64="","",IF($M64,SimpleLookup($A64,Assumptions!$A:$B),SimpleLookup($A64,Countermeasures!$A:$B))),IF(_xlpm._value="","",_xlpm._value)))))</f>
        <v/>
      </c>
      <c r="C64" s="106" t="str" cm="1">
        <f t="array" aca="1" ref="C64" ca="1">IF($A64="","",IF($M64,IFERROR(SimpleLookup($A64,Assumptions!$A:$E),""),Definitions!$AO$4))</f>
        <v/>
      </c>
      <c r="D64" s="103" t="str">
        <f t="shared" ca="1" si="9"/>
        <v/>
      </c>
      <c r="E64" s="107"/>
      <c r="F64" s="108" t="str">
        <f t="shared" ca="1" si="10"/>
        <v/>
      </c>
      <c r="G64" s="102" t="str" cm="1">
        <f t="array" aca="1" ref="G64" ca="1">_xlfn.LET(_xlpm._val,IFERROR(SimpleLookup($A64,Countermeasures!$A:$S),IFERROR(SimpleLookup($A64,Assumptions!$A:$S),"")),IF(_xlpm._val="","",_xlpm._val))</f>
        <v/>
      </c>
      <c r="H64" s="109" t="str">
        <f>""</f>
        <v/>
      </c>
      <c r="I64" s="102" t="str">
        <f t="shared" ca="1" si="11"/>
        <v/>
      </c>
      <c r="J64" s="102" t="str">
        <f t="shared" ca="1" si="12"/>
        <v/>
      </c>
      <c r="K64" s="106" t="str" cm="1">
        <f t="array" aca="1" ref="K64" ca="1">_xlfn.LET(_xlpm._value,IF($A64="","",IFERROR(IF($M64,SimpleLookup($A64,Assumptions!$A:$T),SimpleLookup($A64,Countermeasures!$A:$T)),"")),
IF(_xlpm._value="","",_xlpm._value))</f>
        <v/>
      </c>
      <c r="L64" s="9" cm="1">
        <f t="array" aca="1" ref="L64" ca="1">CreateID($L$17,$A64&lt;&gt;"")</f>
        <v>11</v>
      </c>
      <c r="M64" s="9" t="b">
        <f ca="1">_xlfn.LET(_xlpm._row,ROW()-ROW($N$17),
_xlpm._numActiveAssumptions,Helper!$B$8,
_xlpm._numAdditionalAssumptions,SUM(Table24['# Elements]),
_xlpm._row&lt;=_xlpm._numActiveAssumptions+_xlpm._numAdditionalAssumptions)</f>
        <v>0</v>
      </c>
      <c r="N64" s="9">
        <f ca="1">_xlfn.LET(_xlpm._row,ROW()-ROW($N$17),
_xlpm._numActiveAssumptions,Helper!$B$8,
_xlpm._numAdditionalAssumptions,Helper!$B$10,
_xlpm._isAssumption,$M64,
_xlpm._elementID,IF(_xlpm._isAssumption,_xlpm._row,_xlpm._row-_xlpm._numActiveAssumptions-_xlpm._numAdditionalAssumptions),
_xlpm._elementID)</f>
        <v>43</v>
      </c>
      <c r="O64"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64" s="11" cm="1">
        <f t="array" aca="1" ref="P64" ca="1">IF($O64,
IF(ROW()=ROW($P$17)+1,1,INDEX($P:$P,ROW()-1)+IF(INDEX($W:$W,ROW()-1),1,0)),
1)</f>
        <v>1</v>
      </c>
      <c r="Q64" s="11" t="str" cm="1">
        <f t="array" aca="1" ref="Q64" ca="1">IF($O64=TRUE,
_xlfn.LET(
_xlpm._isAssumption,$M64,
_xlpm._indexRange,IF(_xlpm._isAssumption,Table24['# Elements],Table25['# Elements]),
_xlpm._lookupRow,$Z64,
INDEX(_xlpm._indexRange,_xlpm._lookupRow)),
"")</f>
        <v/>
      </c>
      <c r="R64" s="11" t="str" cm="1">
        <f t="array" aca="1" ref="R64" ca="1">IF($Q64="","",_xlfn.LET(
_xlpm._prevRow,ROW()-1,
IF(OR(INDEX($Q:$Q,_xlpm._prevRow)&lt;&gt;$Q64,INDEX($P:$P,_xlpm._prevRow)&lt;&gt;$P64),
1,
INDEX($R:$R,_xlpm._prevRow)+IF(INDEX($V:$V,_xlpm._prevRow),1,0))))</f>
        <v/>
      </c>
      <c r="S64" s="11" t="str" cm="1">
        <f t="array" aca="1" ref="S64" ca="1">IF($R64="","",_xlfn.LET(
_xlpm._isAssumption,$M64,
_xlpm._sheetRow,$Z64,
_xlpm._sheetName,$AA64,
_xlpm._elementIDRange,IF(_xlpm._isAssumption,Table24[Element ID Column],Table25[Element ID Column]),
_xlpm._numberOfElementsRange,IF(_xlpm._isAssumption,Table24[Number of Elements Column],Table25[Number of Elements Column]),
SimpleLookup($R64,INDIRECT("'"&amp;_xlpm._sheetName&amp;"'!"&amp;INDEX(_xlpm._elementIDRange,_xlpm._sheetRow)&amp;":"&amp;INDEX(_xlpm._numberOfElementsRange,_xlpm._sheetRow)))))</f>
        <v/>
      </c>
      <c r="T64" s="11" t="str" cm="1">
        <f t="array" aca="1" ref="T64" ca="1">IF($R64="","",IF(OR(INDEX($R:$R,ROW()-1)&lt;&gt;$R64,INDEX($P:$P,ROW()-1)&lt;&gt;$P64),1,INDEX($T:$T,ROW()-1)+1))</f>
        <v/>
      </c>
      <c r="U64" s="11">
        <f t="shared" ca="1" si="13"/>
        <v>0</v>
      </c>
      <c r="V64" s="11" t="str">
        <f t="shared" ca="1" si="14"/>
        <v/>
      </c>
      <c r="W64" s="11" t="b">
        <f ca="1">_xlfn.LET(
_xlpm._isAssumption,$M64,
_xlpm._numberOfElementsRange,IF(_xlpm._isAssumption,Table24['# Elements],Table25['# Elements]),
_xlpm._sheetRow,$Z64,
IF($O64,AND($V64,$U64=$Q64),FALSE))</f>
        <v>0</v>
      </c>
      <c r="X64" s="11" t="str" cm="1">
        <f t="array" aca="1" ref="X64" ca="1">IF($O64,
_xlfn.LET(
_xlpm._elementID,$R64,
_xlpm._isAssumption,$M64,
_xlpm._sheetRow,$Z64,
_xlpm._sheetName,$AA64,
_xlpm._elementRow,$AB64,
_xlpm._resultColumnLetter,IF(_xlpm._isAssumption,INDEX(Table24[Comment Column],_xlpm._sheetRow),INDEX(Table25[Comment Column],_xlpm._sheetRow)),
INDEX(INDIRECT("'"&amp;_xlpm._sheetName&amp;"'!"&amp;_xlpm._resultColumnLetter&amp;":"&amp;_xlpm._resultColumnLetter),_xlpm._elementRow)),
"")</f>
        <v/>
      </c>
      <c r="Y64" s="11" t="str" cm="1">
        <f t="array" aca="1" ref="Y64" ca="1">IF($O64,
_xlfn.LET(
_xlpm._elementID,$R64,
_xlpm._isAssumption,$M64,
_xlpm._sheetRow,$Z64,
_xlpm._sheetName,$AA64,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64" s="11" t="str">
        <f ca="1">IF($O64=TRUE,
_xlfn.LET(
_xlpm._isAssumption,$M64,
_xlpm._searchRange,IF(_xlpm._isAssumption,Table24[Task Sheet Shadow ID],Table25[Task Sheet Shadow ID]),
MATCH($P64,_xlpm._searchRange,0)),
"")</f>
        <v/>
      </c>
      <c r="AA64" s="11" t="str" cm="1">
        <f t="array" aca="1" ref="AA64" ca="1">IF($O64,
_xlfn.LET(
_xlpm._isAssumption,$M64,
_xlpm._sheetRow,$Z64,
IF(_xlpm._isAssumption,INDEX(Table24[Sheet Name],_xlpm._sheetRow),INDEX(Table25[Sheet Name],_xlpm._sheetRow))),
"")</f>
        <v/>
      </c>
      <c r="AB64" s="11" t="str" cm="1">
        <f t="array" aca="1" ref="AB64" ca="1">IF($O64,
_xlfn.LET(
_xlpm._elementID,$R64,
_xlpm._isAssumption,$M64,
_xlpm._sheetRow,$Z64,
_xlpm._sheetName,$AA64,
_xlpm._elementIDColumnLetter,IF(_xlpm._isAssumption,INDEX(Table24[Element ID Column],_xlpm._sheetRow),INDEX(Table25[Element ID Column],_xlpm._sheetRow)),
MATCH(_xlpm._elementID,INDIRECT("'"&amp;_xlpm._sheetName&amp;"'!"&amp;_xlpm._elementIDColumnLetter&amp;":"&amp;_xlpm._elementIDColumnLetter),0)),
"")</f>
        <v/>
      </c>
      <c r="AC64" s="11" t="str" cm="1">
        <f t="array" aca="1" ref="AC64" ca="1">IF($A64="","",_xlfn.LET(
_xlpm._isAssumption,$M64,
_xlpm._isAdditionalElement,$O64,
_xlpm._sheetRow,$Z64,
_xlpm._sheetName,$AA64,
_xlpm._columnLetter,INDEX(IF(_xlpm._isAdditionalElement,Table24[Comment Column],Table25[Comment Column]),_xlpm._sheetRow),
_xlpm._sheetReference,IF(_xlpm._isAssumption,IF(_xlpm._isAdditionalElement,
CELL("address",INDEX(INDIRECT("'"&amp;_xlpm._sheetName&amp;"'!"&amp;_xlpm._columnLetter&amp;":"&amp;_xlpm._columnLetter),$AB64)),
CELL("address",INDEX(Assumptions!$A:$A,MATCH($A64,Assumptions!$A:$A,0),1))),
IF(_xlpm._isAdditionalElement,
CELL("address",INDEX(INDIRECT("'"&amp;_xlpm._sheetName&amp;"'!"&amp;_xlpm._columnLetter&amp;":"&amp;_xlpm._columnLetter),$AB64)),
CELL("address",INDEX(Countermeasures!$A:$A,MATCH($A64,Countermeasures!$A:$A,0),1)))),
_xlpm._start,FIND("]",_xlpm._sheetReference),
"'"&amp;SUBSTITUTE(SUBSTITUTE(RIGHT(_xlpm._sheetReference,LEN(_xlpm._sheetReference)-_xlpm._start),"'",""),"!","'!")))</f>
        <v/>
      </c>
      <c r="AD64" s="11" t="str" cm="1">
        <f t="array" aca="1" ref="AD64" ca="1">IF(NOT($O64),
_xlfn.LET(_xlpm._value,IF($A64="","",IF($M64,SimpleLookup($A64,Assumptions!$A:$AG),SimpleLookup($A64,Countermeasures!$A:$AJ))),
IF(_xlpm._value="","",_xlpm._value)),
"")</f>
        <v/>
      </c>
      <c r="AE64" s="11" t="str" cm="1">
        <f t="array" aca="1" ref="AE64" ca="1">LookupNames(InverseLookup($A64,Mitigation!$AD$2,Mitigation!$A$2,1,Helper!$B$5,","),'Attack Steps'!$A:$B)</f>
        <v/>
      </c>
      <c r="AF64" s="11" t="str" cm="1">
        <f t="array" aca="1" ref="AF64" ca="1">IF($O64,
_xlfn.LET(
_xlpm._in,$A64,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64" s="11" t="str" cm="1">
        <f t="array" aca="1" ref="AG64" ca="1">_xlfn.LET(
_xlpm._countermeasures,InverseLookup($A64,Countermeasures!$AC$2,Countermeasures!$A$2,1,Helper!$B$4,","),
LookupNames(_xlpm._countermeasures,Countermeasures!$A:$B))</f>
        <v/>
      </c>
      <c r="AH64" s="11" t="str" cm="1">
        <f t="array" aca="1" ref="AH64" ca="1">IF($E64="","",_xlfn.LET(
_xlpm._id,$E64,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64" s="11" t="str" cm="1">
        <f t="array" aca="1" ref="AI64" ca="1">IF(OR($A64="",$O64),"",_xlfn.LET(
_xlpm._answers,IF($M64,SimpleLookup($A64,Assumptions!$A:$F),SimpleLookup($A64,Countermeasures!$A:$D)),
IF(_xlpm._answers="*",IF($M64,SimpleLookup($A64,Assumptions!$A:$C),SimpleLookup($A64,Countermeasures!$A:$C)),"")))</f>
        <v/>
      </c>
      <c r="AJ64" s="11" t="str" cm="1">
        <f t="array" aca="1" ref="AJ64" ca="1">IF(NOT($O64),"",_xlfn.LET(
_xlpm._mappedInMitigation,IFERROR(VLOOKUP($Y64,'Attack Steps'!$A:$P,COLUMNS('Attack Steps'!$A:$P),FALSE),""),
CreateSearchString(_xlpm._mappedInMitigation)))</f>
        <v/>
      </c>
      <c r="AK64" s="11" t="b">
        <f ca="1">ROW()-ROW($AK$17)=Helper!$B$15</f>
        <v>0</v>
      </c>
      <c r="AL64" s="11" t="str">
        <f t="shared" ca="1" si="15"/>
        <v/>
      </c>
      <c r="AM64" s="11" cm="1">
        <f t="array" aca="1" ref="AM64" ca="1">CreateID($AM$17,$AL64&lt;&gt;"")</f>
        <v>0</v>
      </c>
      <c r="AN64" s="11" t="str" cm="1">
        <f t="array" aca="1" ref="AN64" ca="1">IF($O64,"",
_xlfn.LET(
_xlpm._this,SanitizeInput($A64)&amp;AT64,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64" s="11" t="str" cm="1">
        <f t="array" aca="1" ref="AO64" ca="1">IF($O64,"",_xlfn.LET(
_xlpm._listOfRisksAndLevels,SanitizeInput($AN64),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_xlpm._shortenedList,IF($H64="",_xlpm._risksWithMaxValue,
  IF(LEN(_xlpm._risksWithMaxValue)-LEN(SUBSTITUTE(_xlpm._risksWithMaxValue,",",""))&lt;=$H64,_xlpm._risksWithMaxValue,
    LEFT(_xlpm._risksWithMaxValue,FIND(CHAR(1),SUBSTITUTE(_xlpm._risksWithMaxValue,",",CHAR(1),$H64))))),
IF(_xlpm._maxRiskValue="","",
  _xlpm._lineMainSeparator&amp;
  INDEX(Definitions!$AE:$AE,MATCH(_xlpm._maxRiskValue,Definitions!$AF:$AF,0))&amp;CHAR(10)&amp;
  _xlpm._lineMainSeparator&amp;
  RemoveDelimiter(GetValues(_xlpm._shortenedList,Risks!$A:$B," ",CHAR(10)&amp;_xlpm._lineMainSeparator,TRUE),CHAR(10)&amp;_xlpm._lineMainSeparator))))</f>
        <v/>
      </c>
      <c r="AP64" s="11" t="str" cm="1">
        <f t="array" aca="1" ref="AP64" ca="1">IF($O64,"",_xlfn.LET(
_xlpm._lineMainSeparator,REPT(_xlfn.UNICHAR(9552),63)&amp;CHAR(10),
_xlpm._affectedRisks,InverseLookupList(SanitizeInput($A64)&amp;$AT64,Risks!$AX$2,Risks!$A$2,Helper!$B$1,","),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_xlpm._shortenedList,IF($H64="",_xlpm._risksWithMaxValue,
  IF(LEN(_xlpm._risksWithMaxValue)-LEN(SUBSTITUTE(_xlpm._risksWithMaxValue,",",""))&lt;=$H64,_xlpm._risksWithMaxValue,
    LEFT(_xlpm._risksWithMaxValue,FIND(CHAR(1),SUBSTITUTE(_xlpm._risksWithMaxValue,",",CHAR(1),$H64))))),
IF(_xlpm._maxRiskValue="","",
  _xlpm._lineMainSeparator&amp;
  INDEX(Definitions!$AE:$AE,MATCH(_xlpm._maxRiskValue,Definitions!$AF:$AF,0))&amp;CHAR(10)&amp;
  _xlpm._lineMainSeparator&amp;
  RemoveDelimiter(GetValues(_xlpm._shortenedList,Risks!$A:$B," ",CHAR(10)&amp;_xlpm._lineMainSeparator,TRUE),CHAR(10)&amp;_xlpm._lineMainSeparator))))</f>
        <v/>
      </c>
      <c r="AQ64" s="11" t="str" cm="1">
        <f t="array" aca="1" ref="AQ64" ca="1">IF(NOT($O64),"",
_xlfn.LET(
_xlpm._potentialASID,$Y64,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_xlpm._commentsFiltered,SUBSTITUTE(GetValues(_xlpm._attackSteps,Mitigation!$A:$O,"","",FALSE),$X64,""),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64" s="11" t="str" cm="1">
        <f t="array" aca="1" ref="AR64" ca="1">IF(NOT($O64),"",_xlfn.LET(
_xlpm._listOfRisksAndLevels,SanitizeInput($AQ64),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_xlpm._shortenedList,IF($H64="",_xlpm._risksWithMaxValue,
  IF(LEN(_xlpm._risksWithMaxValue)-LEN(SUBSTITUTE(_xlpm._risksWithMaxValue,",",""))&lt;=$H64,_xlpm._risksWithMaxValue,
    LEFT(_xlpm._risksWithMaxValue,FIND(CHAR(1),SUBSTITUTE(_xlpm._risksWithMaxValue,",",CHAR(1),$H64))))),
IF(_xlpm._maxRiskValue="","",
  _xlpm._lineMainSeparator&amp;
  INDEX(Definitions!$AE:$AE,MATCH(_xlpm._maxRiskValue,Definitions!$AF:$AF,0))&amp;CHAR(10)&amp;
  _xlpm._lineMainSeparator&amp;
  RemoveDelimiter(GetValues(_xlpm._shortenedList,Risks!$A:$B," ",CHAR(10)&amp;_xlpm._lineMainSeparator,TRUE),CHAR(10)&amp;_xlpm._lineMainSeparator))))</f>
        <v/>
      </c>
      <c r="AS64" s="11" t="str" cm="1">
        <f t="array" aca="1" ref="AS64" ca="1">IF(NOT($O64),"",
_xlfn.LET(
_xlpm._lineMainSeparator,REPT(_xlfn.UNICHAR(9552),63)&amp;CHAR(10),
_xlpm._potentialASID,$Y64,
_xlpm._risk,IFERROR(SimpleLookup(_xlpm._potentialASID,Mitigation!$A:$N),""),
_xlpm._attackPaths,IFERROR(SimpleLookup(_xlpm._potentialASID,Mitigation!$A:$M),""),
IF(_xlpm._risk="","",
_xlpm._lineMainSeparator&amp;
_xlpm._risk&amp;CHAR(10)&amp;
_xlpm._lineMainSeparator&amp;
_xlpm._attackPaths)))</f>
        <v/>
      </c>
      <c r="AT64" s="11" t="str" cm="1">
        <f t="array" aca="1" ref="AT64" ca="1">InverseLookup($A64,Countermeasures!$AA$2,Countermeasures!$A$2,1,Helper!$B$4,",")</f>
        <v/>
      </c>
    </row>
    <row r="65" spans="1:46" x14ac:dyDescent="0.25">
      <c r="A65" s="106" t="str">
        <f ca="1">_xlfn.LET(
_xlpm._isAssumption,$M65,
_xlpm._row,$N65,
_xlpm._numActiveAssumptions,Helper!$B$8,
_xlpm._numActiveCountermeasures,Helper!$B$9,
_xlpm._numAdditionalAssumptions,Helper!$B$10,
_xlpm._numAdditionalCountermeasures,Helper!$B$11,
IF(_xlpm._isAssumption,
IF(_xlpm._row&gt;_xlpm._numActiveAssumptions,
$Y65&amp;"-A"&amp;$T65,
INDEX(Assumptions!A:A,MATCH(_xlpm._row,Assumptions!$AC:$AC,0))),
IF(_xlpm._row&gt;_xlpm._numActiveCountermeasures+_xlpm._numAdditionalCountermeasures,"",
IF(_xlpm._row&gt;_xlpm._numActiveCountermeasures,
$Y65&amp;"-C"&amp;$T65,
INDEX(Countermeasures!$A:$A,MATCH(_xlpm._row,Countermeasures!$AE:$AE,0))))))</f>
        <v/>
      </c>
      <c r="B65" s="106" t="str" cm="1">
        <f t="array" aca="1" ref="B65" ca="1">IF($A65="","",
_xlfn.LET(
_xlpm._isAssumption,$M65,
_xlpm._isAdditionalElement,$O65,
IF(_xlpm._isAdditionalElement,
IF(_xlpm._isAssumption,
ParseElementsFromComment($X65,Definitions!$AR$4,Definitions!$AS$4,Definitions!$AR$6,$T65),
ParseElementsFromComment($X65,Definitions!$AR$5,Definitions!$AS$5,Definitions!$AR$6,$T65)),
_xlfn.LET(_xlpm._value,IF($A65="","",IF($M65,SimpleLookup($A65,Assumptions!$A:$B),SimpleLookup($A65,Countermeasures!$A:$B))),IF(_xlpm._value="","",_xlpm._value)))))</f>
        <v/>
      </c>
      <c r="C65" s="106" t="str" cm="1">
        <f t="array" aca="1" ref="C65" ca="1">IF($A65="","",IF($M65,IFERROR(SimpleLookup($A65,Assumptions!$A:$E),""),Definitions!$AO$4))</f>
        <v/>
      </c>
      <c r="D65" s="103" t="str">
        <f t="shared" ca="1" si="9"/>
        <v/>
      </c>
      <c r="E65" s="107"/>
      <c r="F65" s="108" t="str">
        <f t="shared" ca="1" si="10"/>
        <v/>
      </c>
      <c r="G65" s="102" t="str" cm="1">
        <f t="array" aca="1" ref="G65" ca="1">_xlfn.LET(_xlpm._val,IFERROR(SimpleLookup($A65,Countermeasures!$A:$S),IFERROR(SimpleLookup($A65,Assumptions!$A:$S),"")),IF(_xlpm._val="","",_xlpm._val))</f>
        <v/>
      </c>
      <c r="H65" s="109" t="str">
        <f>""</f>
        <v/>
      </c>
      <c r="I65" s="102" t="str">
        <f t="shared" ca="1" si="11"/>
        <v/>
      </c>
      <c r="J65" s="102" t="str">
        <f t="shared" ca="1" si="12"/>
        <v/>
      </c>
      <c r="K65" s="106" t="str" cm="1">
        <f t="array" aca="1" ref="K65" ca="1">_xlfn.LET(_xlpm._value,IF($A65="","",IFERROR(IF($M65,SimpleLookup($A65,Assumptions!$A:$T),SimpleLookup($A65,Countermeasures!$A:$T)),"")),
IF(_xlpm._value="","",_xlpm._value))</f>
        <v/>
      </c>
      <c r="L65" s="9" cm="1">
        <f t="array" aca="1" ref="L65" ca="1">CreateID($L$17,$A65&lt;&gt;"")</f>
        <v>11</v>
      </c>
      <c r="M65" s="9" t="b">
        <f ca="1">_xlfn.LET(_xlpm._row,ROW()-ROW($N$17),
_xlpm._numActiveAssumptions,Helper!$B$8,
_xlpm._numAdditionalAssumptions,SUM(Table24['# Elements]),
_xlpm._row&lt;=_xlpm._numActiveAssumptions+_xlpm._numAdditionalAssumptions)</f>
        <v>0</v>
      </c>
      <c r="N65" s="9">
        <f ca="1">_xlfn.LET(_xlpm._row,ROW()-ROW($N$17),
_xlpm._numActiveAssumptions,Helper!$B$8,
_xlpm._numAdditionalAssumptions,Helper!$B$10,
_xlpm._isAssumption,$M65,
_xlpm._elementID,IF(_xlpm._isAssumption,_xlpm._row,_xlpm._row-_xlpm._numActiveAssumptions-_xlpm._numAdditionalAssumptions),
_xlpm._elementID)</f>
        <v>44</v>
      </c>
      <c r="O65"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65" s="11" cm="1">
        <f t="array" aca="1" ref="P65" ca="1">IF($O65,
IF(ROW()=ROW($P$17)+1,1,INDEX($P:$P,ROW()-1)+IF(INDEX($W:$W,ROW()-1),1,0)),
1)</f>
        <v>1</v>
      </c>
      <c r="Q65" s="11" t="str" cm="1">
        <f t="array" aca="1" ref="Q65" ca="1">IF($O65=TRUE,
_xlfn.LET(
_xlpm._isAssumption,$M65,
_xlpm._indexRange,IF(_xlpm._isAssumption,Table24['# Elements],Table25['# Elements]),
_xlpm._lookupRow,$Z65,
INDEX(_xlpm._indexRange,_xlpm._lookupRow)),
"")</f>
        <v/>
      </c>
      <c r="R65" s="11" t="str" cm="1">
        <f t="array" aca="1" ref="R65" ca="1">IF($Q65="","",_xlfn.LET(
_xlpm._prevRow,ROW()-1,
IF(OR(INDEX($Q:$Q,_xlpm._prevRow)&lt;&gt;$Q65,INDEX($P:$P,_xlpm._prevRow)&lt;&gt;$P65),
1,
INDEX($R:$R,_xlpm._prevRow)+IF(INDEX($V:$V,_xlpm._prevRow),1,0))))</f>
        <v/>
      </c>
      <c r="S65" s="11" t="str" cm="1">
        <f t="array" aca="1" ref="S65" ca="1">IF($R65="","",_xlfn.LET(
_xlpm._isAssumption,$M65,
_xlpm._sheetRow,$Z65,
_xlpm._sheetName,$AA65,
_xlpm._elementIDRange,IF(_xlpm._isAssumption,Table24[Element ID Column],Table25[Element ID Column]),
_xlpm._numberOfElementsRange,IF(_xlpm._isAssumption,Table24[Number of Elements Column],Table25[Number of Elements Column]),
SimpleLookup($R65,INDIRECT("'"&amp;_xlpm._sheetName&amp;"'!"&amp;INDEX(_xlpm._elementIDRange,_xlpm._sheetRow)&amp;":"&amp;INDEX(_xlpm._numberOfElementsRange,_xlpm._sheetRow)))))</f>
        <v/>
      </c>
      <c r="T65" s="11" t="str" cm="1">
        <f t="array" aca="1" ref="T65" ca="1">IF($R65="","",IF(OR(INDEX($R:$R,ROW()-1)&lt;&gt;$R65,INDEX($P:$P,ROW()-1)&lt;&gt;$P65),1,INDEX($T:$T,ROW()-1)+1))</f>
        <v/>
      </c>
      <c r="U65" s="11">
        <f t="shared" ca="1" si="13"/>
        <v>0</v>
      </c>
      <c r="V65" s="11" t="str">
        <f t="shared" ca="1" si="14"/>
        <v/>
      </c>
      <c r="W65" s="11" t="b">
        <f ca="1">_xlfn.LET(
_xlpm._isAssumption,$M65,
_xlpm._numberOfElementsRange,IF(_xlpm._isAssumption,Table24['# Elements],Table25['# Elements]),
_xlpm._sheetRow,$Z65,
IF($O65,AND($V65,$U65=$Q65),FALSE))</f>
        <v>0</v>
      </c>
      <c r="X65" s="11" t="str" cm="1">
        <f t="array" aca="1" ref="X65" ca="1">IF($O65,
_xlfn.LET(
_xlpm._elementID,$R65,
_xlpm._isAssumption,$M65,
_xlpm._sheetRow,$Z65,
_xlpm._sheetName,$AA65,
_xlpm._elementRow,$AB65,
_xlpm._resultColumnLetter,IF(_xlpm._isAssumption,INDEX(Table24[Comment Column],_xlpm._sheetRow),INDEX(Table25[Comment Column],_xlpm._sheetRow)),
INDEX(INDIRECT("'"&amp;_xlpm._sheetName&amp;"'!"&amp;_xlpm._resultColumnLetter&amp;":"&amp;_xlpm._resultColumnLetter),_xlpm._elementRow)),
"")</f>
        <v/>
      </c>
      <c r="Y65" s="11" t="str" cm="1">
        <f t="array" aca="1" ref="Y65" ca="1">IF($O65,
_xlfn.LET(
_xlpm._elementID,$R65,
_xlpm._isAssumption,$M65,
_xlpm._sheetRow,$Z65,
_xlpm._sheetName,$AA65,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65" s="11" t="str">
        <f ca="1">IF($O65=TRUE,
_xlfn.LET(
_xlpm._isAssumption,$M65,
_xlpm._searchRange,IF(_xlpm._isAssumption,Table24[Task Sheet Shadow ID],Table25[Task Sheet Shadow ID]),
MATCH($P65,_xlpm._searchRange,0)),
"")</f>
        <v/>
      </c>
      <c r="AA65" s="11" t="str" cm="1">
        <f t="array" aca="1" ref="AA65" ca="1">IF($O65,
_xlfn.LET(
_xlpm._isAssumption,$M65,
_xlpm._sheetRow,$Z65,
IF(_xlpm._isAssumption,INDEX(Table24[Sheet Name],_xlpm._sheetRow),INDEX(Table25[Sheet Name],_xlpm._sheetRow))),
"")</f>
        <v/>
      </c>
      <c r="AB65" s="11" t="str" cm="1">
        <f t="array" aca="1" ref="AB65" ca="1">IF($O65,
_xlfn.LET(
_xlpm._elementID,$R65,
_xlpm._isAssumption,$M65,
_xlpm._sheetRow,$Z65,
_xlpm._sheetName,$AA65,
_xlpm._elementIDColumnLetter,IF(_xlpm._isAssumption,INDEX(Table24[Element ID Column],_xlpm._sheetRow),INDEX(Table25[Element ID Column],_xlpm._sheetRow)),
MATCH(_xlpm._elementID,INDIRECT("'"&amp;_xlpm._sheetName&amp;"'!"&amp;_xlpm._elementIDColumnLetter&amp;":"&amp;_xlpm._elementIDColumnLetter),0)),
"")</f>
        <v/>
      </c>
      <c r="AC65" s="11" t="str" cm="1">
        <f t="array" aca="1" ref="AC65" ca="1">IF($A65="","",_xlfn.LET(
_xlpm._isAssumption,$M65,
_xlpm._isAdditionalElement,$O65,
_xlpm._sheetRow,$Z65,
_xlpm._sheetName,$AA65,
_xlpm._columnLetter,INDEX(IF(_xlpm._isAdditionalElement,Table24[Comment Column],Table25[Comment Column]),_xlpm._sheetRow),
_xlpm._sheetReference,IF(_xlpm._isAssumption,IF(_xlpm._isAdditionalElement,
CELL("address",INDEX(INDIRECT("'"&amp;_xlpm._sheetName&amp;"'!"&amp;_xlpm._columnLetter&amp;":"&amp;_xlpm._columnLetter),$AB65)),
CELL("address",INDEX(Assumptions!$A:$A,MATCH($A65,Assumptions!$A:$A,0),1))),
IF(_xlpm._isAdditionalElement,
CELL("address",INDEX(INDIRECT("'"&amp;_xlpm._sheetName&amp;"'!"&amp;_xlpm._columnLetter&amp;":"&amp;_xlpm._columnLetter),$AB65)),
CELL("address",INDEX(Countermeasures!$A:$A,MATCH($A65,Countermeasures!$A:$A,0),1)))),
_xlpm._start,FIND("]",_xlpm._sheetReference),
"'"&amp;SUBSTITUTE(SUBSTITUTE(RIGHT(_xlpm._sheetReference,LEN(_xlpm._sheetReference)-_xlpm._start),"'",""),"!","'!")))</f>
        <v/>
      </c>
      <c r="AD65" s="11" t="str" cm="1">
        <f t="array" aca="1" ref="AD65" ca="1">IF(NOT($O65),
_xlfn.LET(_xlpm._value,IF($A65="","",IF($M65,SimpleLookup($A65,Assumptions!$A:$AG),SimpleLookup($A65,Countermeasures!$A:$AJ))),
IF(_xlpm._value="","",_xlpm._value)),
"")</f>
        <v/>
      </c>
      <c r="AE65" s="11" t="str" cm="1">
        <f t="array" aca="1" ref="AE65" ca="1">LookupNames(InverseLookup($A65,Mitigation!$AD$2,Mitigation!$A$2,1,Helper!$B$5,","),'Attack Steps'!$A:$B)</f>
        <v/>
      </c>
      <c r="AF65" s="11" t="str" cm="1">
        <f t="array" aca="1" ref="AF65" ca="1">IF($O65,
_xlfn.LET(
_xlpm._in,$A65,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65" s="11" t="str" cm="1">
        <f t="array" aca="1" ref="AG65" ca="1">_xlfn.LET(
_xlpm._countermeasures,InverseLookup($A65,Countermeasures!$AC$2,Countermeasures!$A$2,1,Helper!$B$4,","),
LookupNames(_xlpm._countermeasures,Countermeasures!$A:$B))</f>
        <v/>
      </c>
      <c r="AH65" s="11" t="str" cm="1">
        <f t="array" aca="1" ref="AH65" ca="1">IF($E65="","",_xlfn.LET(
_xlpm._id,$E65,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65" s="11" t="str" cm="1">
        <f t="array" aca="1" ref="AI65" ca="1">IF(OR($A65="",$O65),"",_xlfn.LET(
_xlpm._answers,IF($M65,SimpleLookup($A65,Assumptions!$A:$F),SimpleLookup($A65,Countermeasures!$A:$D)),
IF(_xlpm._answers="*",IF($M65,SimpleLookup($A65,Assumptions!$A:$C),SimpleLookup($A65,Countermeasures!$A:$C)),"")))</f>
        <v/>
      </c>
      <c r="AJ65" s="11" t="str" cm="1">
        <f t="array" aca="1" ref="AJ65" ca="1">IF(NOT($O65),"",_xlfn.LET(
_xlpm._mappedInMitigation,IFERROR(VLOOKUP($Y65,'Attack Steps'!$A:$P,COLUMNS('Attack Steps'!$A:$P),FALSE),""),
CreateSearchString(_xlpm._mappedInMitigation)))</f>
        <v/>
      </c>
      <c r="AK65" s="11" t="b">
        <f ca="1">ROW()-ROW($AK$17)=Helper!$B$15</f>
        <v>0</v>
      </c>
      <c r="AL65" s="11" t="str">
        <f t="shared" ca="1" si="15"/>
        <v/>
      </c>
      <c r="AM65" s="11" cm="1">
        <f t="array" aca="1" ref="AM65" ca="1">CreateID($AM$17,$AL65&lt;&gt;"")</f>
        <v>0</v>
      </c>
      <c r="AN65" s="11" t="str" cm="1">
        <f t="array" aca="1" ref="AN65" ca="1">IF($O65,"",
_xlfn.LET(
_xlpm._this,SanitizeInput($A65)&amp;AT65,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65" s="11" t="str" cm="1">
        <f t="array" aca="1" ref="AO65" ca="1">IF($O65,"",_xlfn.LET(
_xlpm._listOfRisksAndLevels,SanitizeInput($AN65),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_xlpm._shortenedList,IF($H65="",_xlpm._risksWithMaxValue,
  IF(LEN(_xlpm._risksWithMaxValue)-LEN(SUBSTITUTE(_xlpm._risksWithMaxValue,",",""))&lt;=$H65,_xlpm._risksWithMaxValue,
    LEFT(_xlpm._risksWithMaxValue,FIND(CHAR(1),SUBSTITUTE(_xlpm._risksWithMaxValue,",",CHAR(1),$H65))))),
IF(_xlpm._maxRiskValue="","",
  _xlpm._lineMainSeparator&amp;
  INDEX(Definitions!$AE:$AE,MATCH(_xlpm._maxRiskValue,Definitions!$AF:$AF,0))&amp;CHAR(10)&amp;
  _xlpm._lineMainSeparator&amp;
  RemoveDelimiter(GetValues(_xlpm._shortenedList,Risks!$A:$B," ",CHAR(10)&amp;_xlpm._lineMainSeparator,TRUE),CHAR(10)&amp;_xlpm._lineMainSeparator))))</f>
        <v/>
      </c>
      <c r="AP65" s="11" t="str" cm="1">
        <f t="array" aca="1" ref="AP65" ca="1">IF($O65,"",_xlfn.LET(
_xlpm._lineMainSeparator,REPT(_xlfn.UNICHAR(9552),63)&amp;CHAR(10),
_xlpm._affectedRisks,InverseLookupList(SanitizeInput($A65)&amp;$AT65,Risks!$AX$2,Risks!$A$2,Helper!$B$1,","),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_xlpm._shortenedList,IF($H65="",_xlpm._risksWithMaxValue,
  IF(LEN(_xlpm._risksWithMaxValue)-LEN(SUBSTITUTE(_xlpm._risksWithMaxValue,",",""))&lt;=$H65,_xlpm._risksWithMaxValue,
    LEFT(_xlpm._risksWithMaxValue,FIND(CHAR(1),SUBSTITUTE(_xlpm._risksWithMaxValue,",",CHAR(1),$H65))))),
IF(_xlpm._maxRiskValue="","",
  _xlpm._lineMainSeparator&amp;
  INDEX(Definitions!$AE:$AE,MATCH(_xlpm._maxRiskValue,Definitions!$AF:$AF,0))&amp;CHAR(10)&amp;
  _xlpm._lineMainSeparator&amp;
  RemoveDelimiter(GetValues(_xlpm._shortenedList,Risks!$A:$B," ",CHAR(10)&amp;_xlpm._lineMainSeparator,TRUE),CHAR(10)&amp;_xlpm._lineMainSeparator))))</f>
        <v/>
      </c>
      <c r="AQ65" s="11" t="str" cm="1">
        <f t="array" aca="1" ref="AQ65" ca="1">IF(NOT($O65),"",
_xlfn.LET(
_xlpm._potentialASID,$Y65,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_xlpm._commentsFiltered,SUBSTITUTE(GetValues(_xlpm._attackSteps,Mitigation!$A:$O,"","",FALSE),$X65,""),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65" s="11" t="str" cm="1">
        <f t="array" aca="1" ref="AR65" ca="1">IF(NOT($O65),"",_xlfn.LET(
_xlpm._listOfRisksAndLevels,SanitizeInput($AQ65),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_xlpm._shortenedList,IF($H65="",_xlpm._risksWithMaxValue,
  IF(LEN(_xlpm._risksWithMaxValue)-LEN(SUBSTITUTE(_xlpm._risksWithMaxValue,",",""))&lt;=$H65,_xlpm._risksWithMaxValue,
    LEFT(_xlpm._risksWithMaxValue,FIND(CHAR(1),SUBSTITUTE(_xlpm._risksWithMaxValue,",",CHAR(1),$H65))))),
IF(_xlpm._maxRiskValue="","",
  _xlpm._lineMainSeparator&amp;
  INDEX(Definitions!$AE:$AE,MATCH(_xlpm._maxRiskValue,Definitions!$AF:$AF,0))&amp;CHAR(10)&amp;
  _xlpm._lineMainSeparator&amp;
  RemoveDelimiter(GetValues(_xlpm._shortenedList,Risks!$A:$B," ",CHAR(10)&amp;_xlpm._lineMainSeparator,TRUE),CHAR(10)&amp;_xlpm._lineMainSeparator))))</f>
        <v/>
      </c>
      <c r="AS65" s="11" t="str" cm="1">
        <f t="array" aca="1" ref="AS65" ca="1">IF(NOT($O65),"",
_xlfn.LET(
_xlpm._lineMainSeparator,REPT(_xlfn.UNICHAR(9552),63)&amp;CHAR(10),
_xlpm._potentialASID,$Y65,
_xlpm._risk,IFERROR(SimpleLookup(_xlpm._potentialASID,Mitigation!$A:$N),""),
_xlpm._attackPaths,IFERROR(SimpleLookup(_xlpm._potentialASID,Mitigation!$A:$M),""),
IF(_xlpm._risk="","",
_xlpm._lineMainSeparator&amp;
_xlpm._risk&amp;CHAR(10)&amp;
_xlpm._lineMainSeparator&amp;
_xlpm._attackPaths)))</f>
        <v/>
      </c>
      <c r="AT65" s="11" t="str" cm="1">
        <f t="array" aca="1" ref="AT65" ca="1">InverseLookup($A65,Countermeasures!$AA$2,Countermeasures!$A$2,1,Helper!$B$4,",")</f>
        <v/>
      </c>
    </row>
    <row r="66" spans="1:46" x14ac:dyDescent="0.25">
      <c r="A66" s="106" t="str">
        <f ca="1">_xlfn.LET(
_xlpm._isAssumption,$M66,
_xlpm._row,$N66,
_xlpm._numActiveAssumptions,Helper!$B$8,
_xlpm._numActiveCountermeasures,Helper!$B$9,
_xlpm._numAdditionalAssumptions,Helper!$B$10,
_xlpm._numAdditionalCountermeasures,Helper!$B$11,
IF(_xlpm._isAssumption,
IF(_xlpm._row&gt;_xlpm._numActiveAssumptions,
$Y66&amp;"-A"&amp;$T66,
INDEX(Assumptions!A:A,MATCH(_xlpm._row,Assumptions!$AC:$AC,0))),
IF(_xlpm._row&gt;_xlpm._numActiveCountermeasures+_xlpm._numAdditionalCountermeasures,"",
IF(_xlpm._row&gt;_xlpm._numActiveCountermeasures,
$Y66&amp;"-C"&amp;$T66,
INDEX(Countermeasures!$A:$A,MATCH(_xlpm._row,Countermeasures!$AE:$AE,0))))))</f>
        <v/>
      </c>
      <c r="B66" s="106" t="str" cm="1">
        <f t="array" aca="1" ref="B66" ca="1">IF($A66="","",
_xlfn.LET(
_xlpm._isAssumption,$M66,
_xlpm._isAdditionalElement,$O66,
IF(_xlpm._isAdditionalElement,
IF(_xlpm._isAssumption,
ParseElementsFromComment($X66,Definitions!$AR$4,Definitions!$AS$4,Definitions!$AR$6,$T66),
ParseElementsFromComment($X66,Definitions!$AR$5,Definitions!$AS$5,Definitions!$AR$6,$T66)),
_xlfn.LET(_xlpm._value,IF($A66="","",IF($M66,SimpleLookup($A66,Assumptions!$A:$B),SimpleLookup($A66,Countermeasures!$A:$B))),IF(_xlpm._value="","",_xlpm._value)))))</f>
        <v/>
      </c>
      <c r="C66" s="106" t="str" cm="1">
        <f t="array" aca="1" ref="C66" ca="1">IF($A66="","",IF($M66,IFERROR(SimpleLookup($A66,Assumptions!$A:$E),""),Definitions!$AO$4))</f>
        <v/>
      </c>
      <c r="D66" s="103" t="str">
        <f t="shared" ca="1" si="9"/>
        <v/>
      </c>
      <c r="E66" s="107"/>
      <c r="F66" s="108" t="str">
        <f t="shared" ca="1" si="10"/>
        <v/>
      </c>
      <c r="G66" s="102" t="str" cm="1">
        <f t="array" aca="1" ref="G66" ca="1">_xlfn.LET(_xlpm._val,IFERROR(SimpleLookup($A66,Countermeasures!$A:$S),IFERROR(SimpleLookup($A66,Assumptions!$A:$S),"")),IF(_xlpm._val="","",_xlpm._val))</f>
        <v/>
      </c>
      <c r="H66" s="109" t="str">
        <f>""</f>
        <v/>
      </c>
      <c r="I66" s="102" t="str">
        <f t="shared" ca="1" si="11"/>
        <v/>
      </c>
      <c r="J66" s="102" t="str">
        <f t="shared" ca="1" si="12"/>
        <v/>
      </c>
      <c r="K66" s="106" t="str" cm="1">
        <f t="array" aca="1" ref="K66" ca="1">_xlfn.LET(_xlpm._value,IF($A66="","",IFERROR(IF($M66,SimpleLookup($A66,Assumptions!$A:$T),SimpleLookup($A66,Countermeasures!$A:$T)),"")),
IF(_xlpm._value="","",_xlpm._value))</f>
        <v/>
      </c>
      <c r="L66" s="9" cm="1">
        <f t="array" aca="1" ref="L66" ca="1">CreateID($L$17,$A66&lt;&gt;"")</f>
        <v>11</v>
      </c>
      <c r="M66" s="9" t="b">
        <f ca="1">_xlfn.LET(_xlpm._row,ROW()-ROW($N$17),
_xlpm._numActiveAssumptions,Helper!$B$8,
_xlpm._numAdditionalAssumptions,SUM(Table24['# Elements]),
_xlpm._row&lt;=_xlpm._numActiveAssumptions+_xlpm._numAdditionalAssumptions)</f>
        <v>0</v>
      </c>
      <c r="N66" s="9">
        <f ca="1">_xlfn.LET(_xlpm._row,ROW()-ROW($N$17),
_xlpm._numActiveAssumptions,Helper!$B$8,
_xlpm._numAdditionalAssumptions,Helper!$B$10,
_xlpm._isAssumption,$M66,
_xlpm._elementID,IF(_xlpm._isAssumption,_xlpm._row,_xlpm._row-_xlpm._numActiveAssumptions-_xlpm._numAdditionalAssumptions),
_xlpm._elementID)</f>
        <v>45</v>
      </c>
      <c r="O66"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66" s="11" cm="1">
        <f t="array" aca="1" ref="P66" ca="1">IF($O66,
IF(ROW()=ROW($P$17)+1,1,INDEX($P:$P,ROW()-1)+IF(INDEX($W:$W,ROW()-1),1,0)),
1)</f>
        <v>1</v>
      </c>
      <c r="Q66" s="11" t="str" cm="1">
        <f t="array" aca="1" ref="Q66" ca="1">IF($O66=TRUE,
_xlfn.LET(
_xlpm._isAssumption,$M66,
_xlpm._indexRange,IF(_xlpm._isAssumption,Table24['# Elements],Table25['# Elements]),
_xlpm._lookupRow,$Z66,
INDEX(_xlpm._indexRange,_xlpm._lookupRow)),
"")</f>
        <v/>
      </c>
      <c r="R66" s="11" t="str" cm="1">
        <f t="array" aca="1" ref="R66" ca="1">IF($Q66="","",_xlfn.LET(
_xlpm._prevRow,ROW()-1,
IF(OR(INDEX($Q:$Q,_xlpm._prevRow)&lt;&gt;$Q66,INDEX($P:$P,_xlpm._prevRow)&lt;&gt;$P66),
1,
INDEX($R:$R,_xlpm._prevRow)+IF(INDEX($V:$V,_xlpm._prevRow),1,0))))</f>
        <v/>
      </c>
      <c r="S66" s="11" t="str" cm="1">
        <f t="array" aca="1" ref="S66" ca="1">IF($R66="","",_xlfn.LET(
_xlpm._isAssumption,$M66,
_xlpm._sheetRow,$Z66,
_xlpm._sheetName,$AA66,
_xlpm._elementIDRange,IF(_xlpm._isAssumption,Table24[Element ID Column],Table25[Element ID Column]),
_xlpm._numberOfElementsRange,IF(_xlpm._isAssumption,Table24[Number of Elements Column],Table25[Number of Elements Column]),
SimpleLookup($R66,INDIRECT("'"&amp;_xlpm._sheetName&amp;"'!"&amp;INDEX(_xlpm._elementIDRange,_xlpm._sheetRow)&amp;":"&amp;INDEX(_xlpm._numberOfElementsRange,_xlpm._sheetRow)))))</f>
        <v/>
      </c>
      <c r="T66" s="11" t="str" cm="1">
        <f t="array" aca="1" ref="T66" ca="1">IF($R66="","",IF(OR(INDEX($R:$R,ROW()-1)&lt;&gt;$R66,INDEX($P:$P,ROW()-1)&lt;&gt;$P66),1,INDEX($T:$T,ROW()-1)+1))</f>
        <v/>
      </c>
      <c r="U66" s="11">
        <f t="shared" ca="1" si="13"/>
        <v>0</v>
      </c>
      <c r="V66" s="11" t="str">
        <f t="shared" ca="1" si="14"/>
        <v/>
      </c>
      <c r="W66" s="11" t="b">
        <f ca="1">_xlfn.LET(
_xlpm._isAssumption,$M66,
_xlpm._numberOfElementsRange,IF(_xlpm._isAssumption,Table24['# Elements],Table25['# Elements]),
_xlpm._sheetRow,$Z66,
IF($O66,AND($V66,$U66=$Q66),FALSE))</f>
        <v>0</v>
      </c>
      <c r="X66" s="11" t="str" cm="1">
        <f t="array" aca="1" ref="X66" ca="1">IF($O66,
_xlfn.LET(
_xlpm._elementID,$R66,
_xlpm._isAssumption,$M66,
_xlpm._sheetRow,$Z66,
_xlpm._sheetName,$AA66,
_xlpm._elementRow,$AB66,
_xlpm._resultColumnLetter,IF(_xlpm._isAssumption,INDEX(Table24[Comment Column],_xlpm._sheetRow),INDEX(Table25[Comment Column],_xlpm._sheetRow)),
INDEX(INDIRECT("'"&amp;_xlpm._sheetName&amp;"'!"&amp;_xlpm._resultColumnLetter&amp;":"&amp;_xlpm._resultColumnLetter),_xlpm._elementRow)),
"")</f>
        <v/>
      </c>
      <c r="Y66" s="11" t="str" cm="1">
        <f t="array" aca="1" ref="Y66" ca="1">IF($O66,
_xlfn.LET(
_xlpm._elementID,$R66,
_xlpm._isAssumption,$M66,
_xlpm._sheetRow,$Z66,
_xlpm._sheetName,$AA66,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66" s="11" t="str">
        <f ca="1">IF($O66=TRUE,
_xlfn.LET(
_xlpm._isAssumption,$M66,
_xlpm._searchRange,IF(_xlpm._isAssumption,Table24[Task Sheet Shadow ID],Table25[Task Sheet Shadow ID]),
MATCH($P66,_xlpm._searchRange,0)),
"")</f>
        <v/>
      </c>
      <c r="AA66" s="11" t="str" cm="1">
        <f t="array" aca="1" ref="AA66" ca="1">IF($O66,
_xlfn.LET(
_xlpm._isAssumption,$M66,
_xlpm._sheetRow,$Z66,
IF(_xlpm._isAssumption,INDEX(Table24[Sheet Name],_xlpm._sheetRow),INDEX(Table25[Sheet Name],_xlpm._sheetRow))),
"")</f>
        <v/>
      </c>
      <c r="AB66" s="11" t="str" cm="1">
        <f t="array" aca="1" ref="AB66" ca="1">IF($O66,
_xlfn.LET(
_xlpm._elementID,$R66,
_xlpm._isAssumption,$M66,
_xlpm._sheetRow,$Z66,
_xlpm._sheetName,$AA66,
_xlpm._elementIDColumnLetter,IF(_xlpm._isAssumption,INDEX(Table24[Element ID Column],_xlpm._sheetRow),INDEX(Table25[Element ID Column],_xlpm._sheetRow)),
MATCH(_xlpm._elementID,INDIRECT("'"&amp;_xlpm._sheetName&amp;"'!"&amp;_xlpm._elementIDColumnLetter&amp;":"&amp;_xlpm._elementIDColumnLetter),0)),
"")</f>
        <v/>
      </c>
      <c r="AC66" s="11" t="str" cm="1">
        <f t="array" aca="1" ref="AC66" ca="1">IF($A66="","",_xlfn.LET(
_xlpm._isAssumption,$M66,
_xlpm._isAdditionalElement,$O66,
_xlpm._sheetRow,$Z66,
_xlpm._sheetName,$AA66,
_xlpm._columnLetter,INDEX(IF(_xlpm._isAdditionalElement,Table24[Comment Column],Table25[Comment Column]),_xlpm._sheetRow),
_xlpm._sheetReference,IF(_xlpm._isAssumption,IF(_xlpm._isAdditionalElement,
CELL("address",INDEX(INDIRECT("'"&amp;_xlpm._sheetName&amp;"'!"&amp;_xlpm._columnLetter&amp;":"&amp;_xlpm._columnLetter),$AB66)),
CELL("address",INDEX(Assumptions!$A:$A,MATCH($A66,Assumptions!$A:$A,0),1))),
IF(_xlpm._isAdditionalElement,
CELL("address",INDEX(INDIRECT("'"&amp;_xlpm._sheetName&amp;"'!"&amp;_xlpm._columnLetter&amp;":"&amp;_xlpm._columnLetter),$AB66)),
CELL("address",INDEX(Countermeasures!$A:$A,MATCH($A66,Countermeasures!$A:$A,0),1)))),
_xlpm._start,FIND("]",_xlpm._sheetReference),
"'"&amp;SUBSTITUTE(SUBSTITUTE(RIGHT(_xlpm._sheetReference,LEN(_xlpm._sheetReference)-_xlpm._start),"'",""),"!","'!")))</f>
        <v/>
      </c>
      <c r="AD66" s="11" t="str" cm="1">
        <f t="array" aca="1" ref="AD66" ca="1">IF(NOT($O66),
_xlfn.LET(_xlpm._value,IF($A66="","",IF($M66,SimpleLookup($A66,Assumptions!$A:$AG),SimpleLookup($A66,Countermeasures!$A:$AJ))),
IF(_xlpm._value="","",_xlpm._value)),
"")</f>
        <v/>
      </c>
      <c r="AE66" s="11" t="str" cm="1">
        <f t="array" aca="1" ref="AE66" ca="1">LookupNames(InverseLookup($A66,Mitigation!$AD$2,Mitigation!$A$2,1,Helper!$B$5,","),'Attack Steps'!$A:$B)</f>
        <v/>
      </c>
      <c r="AF66" s="11" t="str" cm="1">
        <f t="array" aca="1" ref="AF66" ca="1">IF($O66,
_xlfn.LET(
_xlpm._in,$A66,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66" s="11" t="str" cm="1">
        <f t="array" aca="1" ref="AG66" ca="1">_xlfn.LET(
_xlpm._countermeasures,InverseLookup($A66,Countermeasures!$AC$2,Countermeasures!$A$2,1,Helper!$B$4,","),
LookupNames(_xlpm._countermeasures,Countermeasures!$A:$B))</f>
        <v/>
      </c>
      <c r="AH66" s="11" t="str" cm="1">
        <f t="array" aca="1" ref="AH66" ca="1">IF($E66="","",_xlfn.LET(
_xlpm._id,$E66,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66" s="11" t="str" cm="1">
        <f t="array" aca="1" ref="AI66" ca="1">IF(OR($A66="",$O66),"",_xlfn.LET(
_xlpm._answers,IF($M66,SimpleLookup($A66,Assumptions!$A:$F),SimpleLookup($A66,Countermeasures!$A:$D)),
IF(_xlpm._answers="*",IF($M66,SimpleLookup($A66,Assumptions!$A:$C),SimpleLookup($A66,Countermeasures!$A:$C)),"")))</f>
        <v/>
      </c>
      <c r="AJ66" s="11" t="str" cm="1">
        <f t="array" aca="1" ref="AJ66" ca="1">IF(NOT($O66),"",_xlfn.LET(
_xlpm._mappedInMitigation,IFERROR(VLOOKUP($Y66,'Attack Steps'!$A:$P,COLUMNS('Attack Steps'!$A:$P),FALSE),""),
CreateSearchString(_xlpm._mappedInMitigation)))</f>
        <v/>
      </c>
      <c r="AK66" s="11" t="b">
        <f ca="1">ROW()-ROW($AK$17)=Helper!$B$15</f>
        <v>0</v>
      </c>
      <c r="AL66" s="11" t="str">
        <f t="shared" ca="1" si="15"/>
        <v/>
      </c>
      <c r="AM66" s="11" cm="1">
        <f t="array" aca="1" ref="AM66" ca="1">CreateID($AM$17,$AL66&lt;&gt;"")</f>
        <v>0</v>
      </c>
      <c r="AN66" s="11" t="str" cm="1">
        <f t="array" aca="1" ref="AN66" ca="1">IF($O66,"",
_xlfn.LET(
_xlpm._this,SanitizeInput($A66)&amp;AT66,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66" s="11" t="str" cm="1">
        <f t="array" aca="1" ref="AO66" ca="1">IF($O66,"",_xlfn.LET(
_xlpm._listOfRisksAndLevels,SanitizeInput($AN66),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_xlpm._shortenedList,IF($H66="",_xlpm._risksWithMaxValue,
  IF(LEN(_xlpm._risksWithMaxValue)-LEN(SUBSTITUTE(_xlpm._risksWithMaxValue,",",""))&lt;=$H66,_xlpm._risksWithMaxValue,
    LEFT(_xlpm._risksWithMaxValue,FIND(CHAR(1),SUBSTITUTE(_xlpm._risksWithMaxValue,",",CHAR(1),$H66))))),
IF(_xlpm._maxRiskValue="","",
  _xlpm._lineMainSeparator&amp;
  INDEX(Definitions!$AE:$AE,MATCH(_xlpm._maxRiskValue,Definitions!$AF:$AF,0))&amp;CHAR(10)&amp;
  _xlpm._lineMainSeparator&amp;
  RemoveDelimiter(GetValues(_xlpm._shortenedList,Risks!$A:$B," ",CHAR(10)&amp;_xlpm._lineMainSeparator,TRUE),CHAR(10)&amp;_xlpm._lineMainSeparator))))</f>
        <v/>
      </c>
      <c r="AP66" s="11" t="str" cm="1">
        <f t="array" aca="1" ref="AP66" ca="1">IF($O66,"",_xlfn.LET(
_xlpm._lineMainSeparator,REPT(_xlfn.UNICHAR(9552),63)&amp;CHAR(10),
_xlpm._affectedRisks,InverseLookupList(SanitizeInput($A66)&amp;$AT66,Risks!$AX$2,Risks!$A$2,Helper!$B$1,","),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_xlpm._shortenedList,IF($H66="",_xlpm._risksWithMaxValue,
  IF(LEN(_xlpm._risksWithMaxValue)-LEN(SUBSTITUTE(_xlpm._risksWithMaxValue,",",""))&lt;=$H66,_xlpm._risksWithMaxValue,
    LEFT(_xlpm._risksWithMaxValue,FIND(CHAR(1),SUBSTITUTE(_xlpm._risksWithMaxValue,",",CHAR(1),$H66))))),
IF(_xlpm._maxRiskValue="","",
  _xlpm._lineMainSeparator&amp;
  INDEX(Definitions!$AE:$AE,MATCH(_xlpm._maxRiskValue,Definitions!$AF:$AF,0))&amp;CHAR(10)&amp;
  _xlpm._lineMainSeparator&amp;
  RemoveDelimiter(GetValues(_xlpm._shortenedList,Risks!$A:$B," ",CHAR(10)&amp;_xlpm._lineMainSeparator,TRUE),CHAR(10)&amp;_xlpm._lineMainSeparator))))</f>
        <v/>
      </c>
      <c r="AQ66" s="11" t="str" cm="1">
        <f t="array" aca="1" ref="AQ66" ca="1">IF(NOT($O66),"",
_xlfn.LET(
_xlpm._potentialASID,$Y66,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_xlpm._commentsFiltered,SUBSTITUTE(GetValues(_xlpm._attackSteps,Mitigation!$A:$O,"","",FALSE),$X66,""),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66" s="11" t="str" cm="1">
        <f t="array" aca="1" ref="AR66" ca="1">IF(NOT($O66),"",_xlfn.LET(
_xlpm._listOfRisksAndLevels,SanitizeInput($AQ66),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_xlpm._shortenedList,IF($H66="",_xlpm._risksWithMaxValue,
  IF(LEN(_xlpm._risksWithMaxValue)-LEN(SUBSTITUTE(_xlpm._risksWithMaxValue,",",""))&lt;=$H66,_xlpm._risksWithMaxValue,
    LEFT(_xlpm._risksWithMaxValue,FIND(CHAR(1),SUBSTITUTE(_xlpm._risksWithMaxValue,",",CHAR(1),$H66))))),
IF(_xlpm._maxRiskValue="","",
  _xlpm._lineMainSeparator&amp;
  INDEX(Definitions!$AE:$AE,MATCH(_xlpm._maxRiskValue,Definitions!$AF:$AF,0))&amp;CHAR(10)&amp;
  _xlpm._lineMainSeparator&amp;
  RemoveDelimiter(GetValues(_xlpm._shortenedList,Risks!$A:$B," ",CHAR(10)&amp;_xlpm._lineMainSeparator,TRUE),CHAR(10)&amp;_xlpm._lineMainSeparator))))</f>
        <v/>
      </c>
      <c r="AS66" s="11" t="str" cm="1">
        <f t="array" aca="1" ref="AS66" ca="1">IF(NOT($O66),"",
_xlfn.LET(
_xlpm._lineMainSeparator,REPT(_xlfn.UNICHAR(9552),63)&amp;CHAR(10),
_xlpm._potentialASID,$Y66,
_xlpm._risk,IFERROR(SimpleLookup(_xlpm._potentialASID,Mitigation!$A:$N),""),
_xlpm._attackPaths,IFERROR(SimpleLookup(_xlpm._potentialASID,Mitigation!$A:$M),""),
IF(_xlpm._risk="","",
_xlpm._lineMainSeparator&amp;
_xlpm._risk&amp;CHAR(10)&amp;
_xlpm._lineMainSeparator&amp;
_xlpm._attackPaths)))</f>
        <v/>
      </c>
      <c r="AT66" s="11" t="str" cm="1">
        <f t="array" aca="1" ref="AT66" ca="1">InverseLookup($A66,Countermeasures!$AA$2,Countermeasures!$A$2,1,Helper!$B$4,",")</f>
        <v/>
      </c>
    </row>
    <row r="67" spans="1:46" x14ac:dyDescent="0.25">
      <c r="A67" s="106" t="str">
        <f ca="1">_xlfn.LET(
_xlpm._isAssumption,$M67,
_xlpm._row,$N67,
_xlpm._numActiveAssumptions,Helper!$B$8,
_xlpm._numActiveCountermeasures,Helper!$B$9,
_xlpm._numAdditionalAssumptions,Helper!$B$10,
_xlpm._numAdditionalCountermeasures,Helper!$B$11,
IF(_xlpm._isAssumption,
IF(_xlpm._row&gt;_xlpm._numActiveAssumptions,
$Y67&amp;"-A"&amp;$T67,
INDEX(Assumptions!A:A,MATCH(_xlpm._row,Assumptions!$AC:$AC,0))),
IF(_xlpm._row&gt;_xlpm._numActiveCountermeasures+_xlpm._numAdditionalCountermeasures,"",
IF(_xlpm._row&gt;_xlpm._numActiveCountermeasures,
$Y67&amp;"-C"&amp;$T67,
INDEX(Countermeasures!$A:$A,MATCH(_xlpm._row,Countermeasures!$AE:$AE,0))))))</f>
        <v/>
      </c>
      <c r="B67" s="106" t="str" cm="1">
        <f t="array" aca="1" ref="B67" ca="1">IF($A67="","",
_xlfn.LET(
_xlpm._isAssumption,$M67,
_xlpm._isAdditionalElement,$O67,
IF(_xlpm._isAdditionalElement,
IF(_xlpm._isAssumption,
ParseElementsFromComment($X67,Definitions!$AR$4,Definitions!$AS$4,Definitions!$AR$6,$T67),
ParseElementsFromComment($X67,Definitions!$AR$5,Definitions!$AS$5,Definitions!$AR$6,$T67)),
_xlfn.LET(_xlpm._value,IF($A67="","",IF($M67,SimpleLookup($A67,Assumptions!$A:$B),SimpleLookup($A67,Countermeasures!$A:$B))),IF(_xlpm._value="","",_xlpm._value)))))</f>
        <v/>
      </c>
      <c r="C67" s="106" t="str" cm="1">
        <f t="array" aca="1" ref="C67" ca="1">IF($A67="","",IF($M67,IFERROR(SimpleLookup($A67,Assumptions!$A:$E),""),Definitions!$AO$4))</f>
        <v/>
      </c>
      <c r="D67" s="103" t="str">
        <f t="shared" ca="1" si="9"/>
        <v/>
      </c>
      <c r="E67" s="107"/>
      <c r="F67" s="108" t="str">
        <f t="shared" ca="1" si="10"/>
        <v/>
      </c>
      <c r="G67" s="102" t="str" cm="1">
        <f t="array" aca="1" ref="G67" ca="1">_xlfn.LET(_xlpm._val,IFERROR(SimpleLookup($A67,Countermeasures!$A:$S),IFERROR(SimpleLookup($A67,Assumptions!$A:$S),"")),IF(_xlpm._val="","",_xlpm._val))</f>
        <v/>
      </c>
      <c r="H67" s="109" t="str">
        <f>""</f>
        <v/>
      </c>
      <c r="I67" s="102" t="str">
        <f t="shared" ca="1" si="11"/>
        <v/>
      </c>
      <c r="J67" s="102" t="str">
        <f t="shared" ca="1" si="12"/>
        <v/>
      </c>
      <c r="K67" s="106" t="str" cm="1">
        <f t="array" aca="1" ref="K67" ca="1">_xlfn.LET(_xlpm._value,IF($A67="","",IFERROR(IF($M67,SimpleLookup($A67,Assumptions!$A:$T),SimpleLookup($A67,Countermeasures!$A:$T)),"")),
IF(_xlpm._value="","",_xlpm._value))</f>
        <v/>
      </c>
      <c r="L67" s="9" cm="1">
        <f t="array" aca="1" ref="L67" ca="1">CreateID($L$17,$A67&lt;&gt;"")</f>
        <v>11</v>
      </c>
      <c r="M67" s="9" t="b">
        <f ca="1">_xlfn.LET(_xlpm._row,ROW()-ROW($N$17),
_xlpm._numActiveAssumptions,Helper!$B$8,
_xlpm._numAdditionalAssumptions,SUM(Table24['# Elements]),
_xlpm._row&lt;=_xlpm._numActiveAssumptions+_xlpm._numAdditionalAssumptions)</f>
        <v>0</v>
      </c>
      <c r="N67" s="9">
        <f ca="1">_xlfn.LET(_xlpm._row,ROW()-ROW($N$17),
_xlpm._numActiveAssumptions,Helper!$B$8,
_xlpm._numAdditionalAssumptions,Helper!$B$10,
_xlpm._isAssumption,$M67,
_xlpm._elementID,IF(_xlpm._isAssumption,_xlpm._row,_xlpm._row-_xlpm._numActiveAssumptions-_xlpm._numAdditionalAssumptions),
_xlpm._elementID)</f>
        <v>46</v>
      </c>
      <c r="O67"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67" s="11" cm="1">
        <f t="array" aca="1" ref="P67" ca="1">IF($O67,
IF(ROW()=ROW($P$17)+1,1,INDEX($P:$P,ROW()-1)+IF(INDEX($W:$W,ROW()-1),1,0)),
1)</f>
        <v>1</v>
      </c>
      <c r="Q67" s="11" t="str" cm="1">
        <f t="array" aca="1" ref="Q67" ca="1">IF($O67=TRUE,
_xlfn.LET(
_xlpm._isAssumption,$M67,
_xlpm._indexRange,IF(_xlpm._isAssumption,Table24['# Elements],Table25['# Elements]),
_xlpm._lookupRow,$Z67,
INDEX(_xlpm._indexRange,_xlpm._lookupRow)),
"")</f>
        <v/>
      </c>
      <c r="R67" s="11" t="str" cm="1">
        <f t="array" aca="1" ref="R67" ca="1">IF($Q67="","",_xlfn.LET(
_xlpm._prevRow,ROW()-1,
IF(OR(INDEX($Q:$Q,_xlpm._prevRow)&lt;&gt;$Q67,INDEX($P:$P,_xlpm._prevRow)&lt;&gt;$P67),
1,
INDEX($R:$R,_xlpm._prevRow)+IF(INDEX($V:$V,_xlpm._prevRow),1,0))))</f>
        <v/>
      </c>
      <c r="S67" s="11" t="str" cm="1">
        <f t="array" aca="1" ref="S67" ca="1">IF($R67="","",_xlfn.LET(
_xlpm._isAssumption,$M67,
_xlpm._sheetRow,$Z67,
_xlpm._sheetName,$AA67,
_xlpm._elementIDRange,IF(_xlpm._isAssumption,Table24[Element ID Column],Table25[Element ID Column]),
_xlpm._numberOfElementsRange,IF(_xlpm._isAssumption,Table24[Number of Elements Column],Table25[Number of Elements Column]),
SimpleLookup($R67,INDIRECT("'"&amp;_xlpm._sheetName&amp;"'!"&amp;INDEX(_xlpm._elementIDRange,_xlpm._sheetRow)&amp;":"&amp;INDEX(_xlpm._numberOfElementsRange,_xlpm._sheetRow)))))</f>
        <v/>
      </c>
      <c r="T67" s="11" t="str" cm="1">
        <f t="array" aca="1" ref="T67" ca="1">IF($R67="","",IF(OR(INDEX($R:$R,ROW()-1)&lt;&gt;$R67,INDEX($P:$P,ROW()-1)&lt;&gt;$P67),1,INDEX($T:$T,ROW()-1)+1))</f>
        <v/>
      </c>
      <c r="U67" s="11">
        <f t="shared" ca="1" si="13"/>
        <v>0</v>
      </c>
      <c r="V67" s="11" t="str">
        <f t="shared" ca="1" si="14"/>
        <v/>
      </c>
      <c r="W67" s="11" t="b">
        <f ca="1">_xlfn.LET(
_xlpm._isAssumption,$M67,
_xlpm._numberOfElementsRange,IF(_xlpm._isAssumption,Table24['# Elements],Table25['# Elements]),
_xlpm._sheetRow,$Z67,
IF($O67,AND($V67,$U67=$Q67),FALSE))</f>
        <v>0</v>
      </c>
      <c r="X67" s="11" t="str" cm="1">
        <f t="array" aca="1" ref="X67" ca="1">IF($O67,
_xlfn.LET(
_xlpm._elementID,$R67,
_xlpm._isAssumption,$M67,
_xlpm._sheetRow,$Z67,
_xlpm._sheetName,$AA67,
_xlpm._elementRow,$AB67,
_xlpm._resultColumnLetter,IF(_xlpm._isAssumption,INDEX(Table24[Comment Column],_xlpm._sheetRow),INDEX(Table25[Comment Column],_xlpm._sheetRow)),
INDEX(INDIRECT("'"&amp;_xlpm._sheetName&amp;"'!"&amp;_xlpm._resultColumnLetter&amp;":"&amp;_xlpm._resultColumnLetter),_xlpm._elementRow)),
"")</f>
        <v/>
      </c>
      <c r="Y67" s="11" t="str" cm="1">
        <f t="array" aca="1" ref="Y67" ca="1">IF($O67,
_xlfn.LET(
_xlpm._elementID,$R67,
_xlpm._isAssumption,$M67,
_xlpm._sheetRow,$Z67,
_xlpm._sheetName,$AA67,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67" s="11" t="str">
        <f ca="1">IF($O67=TRUE,
_xlfn.LET(
_xlpm._isAssumption,$M67,
_xlpm._searchRange,IF(_xlpm._isAssumption,Table24[Task Sheet Shadow ID],Table25[Task Sheet Shadow ID]),
MATCH($P67,_xlpm._searchRange,0)),
"")</f>
        <v/>
      </c>
      <c r="AA67" s="11" t="str" cm="1">
        <f t="array" aca="1" ref="AA67" ca="1">IF($O67,
_xlfn.LET(
_xlpm._isAssumption,$M67,
_xlpm._sheetRow,$Z67,
IF(_xlpm._isAssumption,INDEX(Table24[Sheet Name],_xlpm._sheetRow),INDEX(Table25[Sheet Name],_xlpm._sheetRow))),
"")</f>
        <v/>
      </c>
      <c r="AB67" s="11" t="str" cm="1">
        <f t="array" aca="1" ref="AB67" ca="1">IF($O67,
_xlfn.LET(
_xlpm._elementID,$R67,
_xlpm._isAssumption,$M67,
_xlpm._sheetRow,$Z67,
_xlpm._sheetName,$AA67,
_xlpm._elementIDColumnLetter,IF(_xlpm._isAssumption,INDEX(Table24[Element ID Column],_xlpm._sheetRow),INDEX(Table25[Element ID Column],_xlpm._sheetRow)),
MATCH(_xlpm._elementID,INDIRECT("'"&amp;_xlpm._sheetName&amp;"'!"&amp;_xlpm._elementIDColumnLetter&amp;":"&amp;_xlpm._elementIDColumnLetter),0)),
"")</f>
        <v/>
      </c>
      <c r="AC67" s="11" t="str" cm="1">
        <f t="array" aca="1" ref="AC67" ca="1">IF($A67="","",_xlfn.LET(
_xlpm._isAssumption,$M67,
_xlpm._isAdditionalElement,$O67,
_xlpm._sheetRow,$Z67,
_xlpm._sheetName,$AA67,
_xlpm._columnLetter,INDEX(IF(_xlpm._isAdditionalElement,Table24[Comment Column],Table25[Comment Column]),_xlpm._sheetRow),
_xlpm._sheetReference,IF(_xlpm._isAssumption,IF(_xlpm._isAdditionalElement,
CELL("address",INDEX(INDIRECT("'"&amp;_xlpm._sheetName&amp;"'!"&amp;_xlpm._columnLetter&amp;":"&amp;_xlpm._columnLetter),$AB67)),
CELL("address",INDEX(Assumptions!$A:$A,MATCH($A67,Assumptions!$A:$A,0),1))),
IF(_xlpm._isAdditionalElement,
CELL("address",INDEX(INDIRECT("'"&amp;_xlpm._sheetName&amp;"'!"&amp;_xlpm._columnLetter&amp;":"&amp;_xlpm._columnLetter),$AB67)),
CELL("address",INDEX(Countermeasures!$A:$A,MATCH($A67,Countermeasures!$A:$A,0),1)))),
_xlpm._start,FIND("]",_xlpm._sheetReference),
"'"&amp;SUBSTITUTE(SUBSTITUTE(RIGHT(_xlpm._sheetReference,LEN(_xlpm._sheetReference)-_xlpm._start),"'",""),"!","'!")))</f>
        <v/>
      </c>
      <c r="AD67" s="11" t="str" cm="1">
        <f t="array" aca="1" ref="AD67" ca="1">IF(NOT($O67),
_xlfn.LET(_xlpm._value,IF($A67="","",IF($M67,SimpleLookup($A67,Assumptions!$A:$AG),SimpleLookup($A67,Countermeasures!$A:$AJ))),
IF(_xlpm._value="","",_xlpm._value)),
"")</f>
        <v/>
      </c>
      <c r="AE67" s="11" t="str" cm="1">
        <f t="array" aca="1" ref="AE67" ca="1">LookupNames(InverseLookup($A67,Mitigation!$AD$2,Mitigation!$A$2,1,Helper!$B$5,","),'Attack Steps'!$A:$B)</f>
        <v/>
      </c>
      <c r="AF67" s="11" t="str" cm="1">
        <f t="array" aca="1" ref="AF67" ca="1">IF($O67,
_xlfn.LET(
_xlpm._in,$A67,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67" s="11" t="str" cm="1">
        <f t="array" aca="1" ref="AG67" ca="1">_xlfn.LET(
_xlpm._countermeasures,InverseLookup($A67,Countermeasures!$AC$2,Countermeasures!$A$2,1,Helper!$B$4,","),
LookupNames(_xlpm._countermeasures,Countermeasures!$A:$B))</f>
        <v/>
      </c>
      <c r="AH67" s="11" t="str" cm="1">
        <f t="array" aca="1" ref="AH67" ca="1">IF($E67="","",_xlfn.LET(
_xlpm._id,$E67,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67" s="11" t="str" cm="1">
        <f t="array" aca="1" ref="AI67" ca="1">IF(OR($A67="",$O67),"",_xlfn.LET(
_xlpm._answers,IF($M67,SimpleLookup($A67,Assumptions!$A:$F),SimpleLookup($A67,Countermeasures!$A:$D)),
IF(_xlpm._answers="*",IF($M67,SimpleLookup($A67,Assumptions!$A:$C),SimpleLookup($A67,Countermeasures!$A:$C)),"")))</f>
        <v/>
      </c>
      <c r="AJ67" s="11" t="str" cm="1">
        <f t="array" aca="1" ref="AJ67" ca="1">IF(NOT($O67),"",_xlfn.LET(
_xlpm._mappedInMitigation,IFERROR(VLOOKUP($Y67,'Attack Steps'!$A:$P,COLUMNS('Attack Steps'!$A:$P),FALSE),""),
CreateSearchString(_xlpm._mappedInMitigation)))</f>
        <v/>
      </c>
      <c r="AK67" s="11" t="b">
        <f ca="1">ROW()-ROW($AK$17)=Helper!$B$15</f>
        <v>0</v>
      </c>
      <c r="AL67" s="11" t="str">
        <f t="shared" ca="1" si="15"/>
        <v/>
      </c>
      <c r="AM67" s="11" cm="1">
        <f t="array" aca="1" ref="AM67" ca="1">CreateID($AM$17,$AL67&lt;&gt;"")</f>
        <v>0</v>
      </c>
      <c r="AN67" s="11" t="str" cm="1">
        <f t="array" aca="1" ref="AN67" ca="1">IF($O67,"",
_xlfn.LET(
_xlpm._this,SanitizeInput($A67)&amp;AT67,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67" s="11" t="str" cm="1">
        <f t="array" aca="1" ref="AO67" ca="1">IF($O67,"",_xlfn.LET(
_xlpm._listOfRisksAndLevels,SanitizeInput($AN67),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_xlpm._shortenedList,IF($H67="",_xlpm._risksWithMaxValue,
  IF(LEN(_xlpm._risksWithMaxValue)-LEN(SUBSTITUTE(_xlpm._risksWithMaxValue,",",""))&lt;=$H67,_xlpm._risksWithMaxValue,
    LEFT(_xlpm._risksWithMaxValue,FIND(CHAR(1),SUBSTITUTE(_xlpm._risksWithMaxValue,",",CHAR(1),$H67))))),
IF(_xlpm._maxRiskValue="","",
  _xlpm._lineMainSeparator&amp;
  INDEX(Definitions!$AE:$AE,MATCH(_xlpm._maxRiskValue,Definitions!$AF:$AF,0))&amp;CHAR(10)&amp;
  _xlpm._lineMainSeparator&amp;
  RemoveDelimiter(GetValues(_xlpm._shortenedList,Risks!$A:$B," ",CHAR(10)&amp;_xlpm._lineMainSeparator,TRUE),CHAR(10)&amp;_xlpm._lineMainSeparator))))</f>
        <v/>
      </c>
      <c r="AP67" s="11" t="str" cm="1">
        <f t="array" aca="1" ref="AP67" ca="1">IF($O67,"",_xlfn.LET(
_xlpm._lineMainSeparator,REPT(_xlfn.UNICHAR(9552),63)&amp;CHAR(10),
_xlpm._affectedRisks,InverseLookupList(SanitizeInput($A67)&amp;$AT67,Risks!$AX$2,Risks!$A$2,Helper!$B$1,","),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_xlpm._shortenedList,IF($H67="",_xlpm._risksWithMaxValue,
  IF(LEN(_xlpm._risksWithMaxValue)-LEN(SUBSTITUTE(_xlpm._risksWithMaxValue,",",""))&lt;=$H67,_xlpm._risksWithMaxValue,
    LEFT(_xlpm._risksWithMaxValue,FIND(CHAR(1),SUBSTITUTE(_xlpm._risksWithMaxValue,",",CHAR(1),$H67))))),
IF(_xlpm._maxRiskValue="","",
  _xlpm._lineMainSeparator&amp;
  INDEX(Definitions!$AE:$AE,MATCH(_xlpm._maxRiskValue,Definitions!$AF:$AF,0))&amp;CHAR(10)&amp;
  _xlpm._lineMainSeparator&amp;
  RemoveDelimiter(GetValues(_xlpm._shortenedList,Risks!$A:$B," ",CHAR(10)&amp;_xlpm._lineMainSeparator,TRUE),CHAR(10)&amp;_xlpm._lineMainSeparator))))</f>
        <v/>
      </c>
      <c r="AQ67" s="11" t="str" cm="1">
        <f t="array" aca="1" ref="AQ67" ca="1">IF(NOT($O67),"",
_xlfn.LET(
_xlpm._potentialASID,$Y67,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_xlpm._commentsFiltered,SUBSTITUTE(GetValues(_xlpm._attackSteps,Mitigation!$A:$O,"","",FALSE),$X67,""),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67" s="11" t="str" cm="1">
        <f t="array" aca="1" ref="AR67" ca="1">IF(NOT($O67),"",_xlfn.LET(
_xlpm._listOfRisksAndLevels,SanitizeInput($AQ67),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_xlpm._shortenedList,IF($H67="",_xlpm._risksWithMaxValue,
  IF(LEN(_xlpm._risksWithMaxValue)-LEN(SUBSTITUTE(_xlpm._risksWithMaxValue,",",""))&lt;=$H67,_xlpm._risksWithMaxValue,
    LEFT(_xlpm._risksWithMaxValue,FIND(CHAR(1),SUBSTITUTE(_xlpm._risksWithMaxValue,",",CHAR(1),$H67))))),
IF(_xlpm._maxRiskValue="","",
  _xlpm._lineMainSeparator&amp;
  INDEX(Definitions!$AE:$AE,MATCH(_xlpm._maxRiskValue,Definitions!$AF:$AF,0))&amp;CHAR(10)&amp;
  _xlpm._lineMainSeparator&amp;
  RemoveDelimiter(GetValues(_xlpm._shortenedList,Risks!$A:$B," ",CHAR(10)&amp;_xlpm._lineMainSeparator,TRUE),CHAR(10)&amp;_xlpm._lineMainSeparator))))</f>
        <v/>
      </c>
      <c r="AS67" s="11" t="str" cm="1">
        <f t="array" aca="1" ref="AS67" ca="1">IF(NOT($O67),"",
_xlfn.LET(
_xlpm._lineMainSeparator,REPT(_xlfn.UNICHAR(9552),63)&amp;CHAR(10),
_xlpm._potentialASID,$Y67,
_xlpm._risk,IFERROR(SimpleLookup(_xlpm._potentialASID,Mitigation!$A:$N),""),
_xlpm._attackPaths,IFERROR(SimpleLookup(_xlpm._potentialASID,Mitigation!$A:$M),""),
IF(_xlpm._risk="","",
_xlpm._lineMainSeparator&amp;
_xlpm._risk&amp;CHAR(10)&amp;
_xlpm._lineMainSeparator&amp;
_xlpm._attackPaths)))</f>
        <v/>
      </c>
      <c r="AT67" s="11" t="str" cm="1">
        <f t="array" aca="1" ref="AT67" ca="1">InverseLookup($A67,Countermeasures!$AA$2,Countermeasures!$A$2,1,Helper!$B$4,",")</f>
        <v/>
      </c>
    </row>
    <row r="68" spans="1:46" x14ac:dyDescent="0.25">
      <c r="A68" s="106" t="str">
        <f ca="1">_xlfn.LET(
_xlpm._isAssumption,$M68,
_xlpm._row,$N68,
_xlpm._numActiveAssumptions,Helper!$B$8,
_xlpm._numActiveCountermeasures,Helper!$B$9,
_xlpm._numAdditionalAssumptions,Helper!$B$10,
_xlpm._numAdditionalCountermeasures,Helper!$B$11,
IF(_xlpm._isAssumption,
IF(_xlpm._row&gt;_xlpm._numActiveAssumptions,
$Y68&amp;"-A"&amp;$T68,
INDEX(Assumptions!A:A,MATCH(_xlpm._row,Assumptions!$AC:$AC,0))),
IF(_xlpm._row&gt;_xlpm._numActiveCountermeasures+_xlpm._numAdditionalCountermeasures,"",
IF(_xlpm._row&gt;_xlpm._numActiveCountermeasures,
$Y68&amp;"-C"&amp;$T68,
INDEX(Countermeasures!$A:$A,MATCH(_xlpm._row,Countermeasures!$AE:$AE,0))))))</f>
        <v/>
      </c>
      <c r="B68" s="106" t="str" cm="1">
        <f t="array" aca="1" ref="B68" ca="1">IF($A68="","",
_xlfn.LET(
_xlpm._isAssumption,$M68,
_xlpm._isAdditionalElement,$O68,
IF(_xlpm._isAdditionalElement,
IF(_xlpm._isAssumption,
ParseElementsFromComment($X68,Definitions!$AR$4,Definitions!$AS$4,Definitions!$AR$6,$T68),
ParseElementsFromComment($X68,Definitions!$AR$5,Definitions!$AS$5,Definitions!$AR$6,$T68)),
_xlfn.LET(_xlpm._value,IF($A68="","",IF($M68,SimpleLookup($A68,Assumptions!$A:$B),SimpleLookup($A68,Countermeasures!$A:$B))),IF(_xlpm._value="","",_xlpm._value)))))</f>
        <v/>
      </c>
      <c r="C68" s="106" t="str" cm="1">
        <f t="array" aca="1" ref="C68" ca="1">IF($A68="","",IF($M68,IFERROR(SimpleLookup($A68,Assumptions!$A:$E),""),Definitions!$AO$4))</f>
        <v/>
      </c>
      <c r="D68" s="103" t="str">
        <f t="shared" ca="1" si="9"/>
        <v/>
      </c>
      <c r="E68" s="107"/>
      <c r="F68" s="108" t="str">
        <f t="shared" ca="1" si="10"/>
        <v/>
      </c>
      <c r="G68" s="102" t="str" cm="1">
        <f t="array" aca="1" ref="G68" ca="1">_xlfn.LET(_xlpm._val,IFERROR(SimpleLookup($A68,Countermeasures!$A:$S),IFERROR(SimpleLookup($A68,Assumptions!$A:$S),"")),IF(_xlpm._val="","",_xlpm._val))</f>
        <v/>
      </c>
      <c r="H68" s="109" t="str">
        <f>""</f>
        <v/>
      </c>
      <c r="I68" s="102" t="str">
        <f t="shared" ca="1" si="11"/>
        <v/>
      </c>
      <c r="J68" s="102" t="str">
        <f t="shared" ca="1" si="12"/>
        <v/>
      </c>
      <c r="K68" s="106" t="str" cm="1">
        <f t="array" aca="1" ref="K68" ca="1">_xlfn.LET(_xlpm._value,IF($A68="","",IFERROR(IF($M68,SimpleLookup($A68,Assumptions!$A:$T),SimpleLookup($A68,Countermeasures!$A:$T)),"")),
IF(_xlpm._value="","",_xlpm._value))</f>
        <v/>
      </c>
      <c r="L68" s="9" cm="1">
        <f t="array" aca="1" ref="L68" ca="1">CreateID($L$17,$A68&lt;&gt;"")</f>
        <v>11</v>
      </c>
      <c r="M68" s="9" t="b">
        <f ca="1">_xlfn.LET(_xlpm._row,ROW()-ROW($N$17),
_xlpm._numActiveAssumptions,Helper!$B$8,
_xlpm._numAdditionalAssumptions,SUM(Table24['# Elements]),
_xlpm._row&lt;=_xlpm._numActiveAssumptions+_xlpm._numAdditionalAssumptions)</f>
        <v>0</v>
      </c>
      <c r="N68" s="9">
        <f ca="1">_xlfn.LET(_xlpm._row,ROW()-ROW($N$17),
_xlpm._numActiveAssumptions,Helper!$B$8,
_xlpm._numAdditionalAssumptions,Helper!$B$10,
_xlpm._isAssumption,$M68,
_xlpm._elementID,IF(_xlpm._isAssumption,_xlpm._row,_xlpm._row-_xlpm._numActiveAssumptions-_xlpm._numAdditionalAssumptions),
_xlpm._elementID)</f>
        <v>47</v>
      </c>
      <c r="O68"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68" s="11" cm="1">
        <f t="array" aca="1" ref="P68" ca="1">IF($O68,
IF(ROW()=ROW($P$17)+1,1,INDEX($P:$P,ROW()-1)+IF(INDEX($W:$W,ROW()-1),1,0)),
1)</f>
        <v>1</v>
      </c>
      <c r="Q68" s="11" t="str" cm="1">
        <f t="array" aca="1" ref="Q68" ca="1">IF($O68=TRUE,
_xlfn.LET(
_xlpm._isAssumption,$M68,
_xlpm._indexRange,IF(_xlpm._isAssumption,Table24['# Elements],Table25['# Elements]),
_xlpm._lookupRow,$Z68,
INDEX(_xlpm._indexRange,_xlpm._lookupRow)),
"")</f>
        <v/>
      </c>
      <c r="R68" s="11" t="str" cm="1">
        <f t="array" aca="1" ref="R68" ca="1">IF($Q68="","",_xlfn.LET(
_xlpm._prevRow,ROW()-1,
IF(OR(INDEX($Q:$Q,_xlpm._prevRow)&lt;&gt;$Q68,INDEX($P:$P,_xlpm._prevRow)&lt;&gt;$P68),
1,
INDEX($R:$R,_xlpm._prevRow)+IF(INDEX($V:$V,_xlpm._prevRow),1,0))))</f>
        <v/>
      </c>
      <c r="S68" s="11" t="str" cm="1">
        <f t="array" aca="1" ref="S68" ca="1">IF($R68="","",_xlfn.LET(
_xlpm._isAssumption,$M68,
_xlpm._sheetRow,$Z68,
_xlpm._sheetName,$AA68,
_xlpm._elementIDRange,IF(_xlpm._isAssumption,Table24[Element ID Column],Table25[Element ID Column]),
_xlpm._numberOfElementsRange,IF(_xlpm._isAssumption,Table24[Number of Elements Column],Table25[Number of Elements Column]),
SimpleLookup($R68,INDIRECT("'"&amp;_xlpm._sheetName&amp;"'!"&amp;INDEX(_xlpm._elementIDRange,_xlpm._sheetRow)&amp;":"&amp;INDEX(_xlpm._numberOfElementsRange,_xlpm._sheetRow)))))</f>
        <v/>
      </c>
      <c r="T68" s="11" t="str" cm="1">
        <f t="array" aca="1" ref="T68" ca="1">IF($R68="","",IF(OR(INDEX($R:$R,ROW()-1)&lt;&gt;$R68,INDEX($P:$P,ROW()-1)&lt;&gt;$P68),1,INDEX($T:$T,ROW()-1)+1))</f>
        <v/>
      </c>
      <c r="U68" s="11">
        <f t="shared" ca="1" si="13"/>
        <v>0</v>
      </c>
      <c r="V68" s="11" t="str">
        <f t="shared" ca="1" si="14"/>
        <v/>
      </c>
      <c r="W68" s="11" t="b">
        <f ca="1">_xlfn.LET(
_xlpm._isAssumption,$M68,
_xlpm._numberOfElementsRange,IF(_xlpm._isAssumption,Table24['# Elements],Table25['# Elements]),
_xlpm._sheetRow,$Z68,
IF($O68,AND($V68,$U68=$Q68),FALSE))</f>
        <v>0</v>
      </c>
      <c r="X68" s="11" t="str" cm="1">
        <f t="array" aca="1" ref="X68" ca="1">IF($O68,
_xlfn.LET(
_xlpm._elementID,$R68,
_xlpm._isAssumption,$M68,
_xlpm._sheetRow,$Z68,
_xlpm._sheetName,$AA68,
_xlpm._elementRow,$AB68,
_xlpm._resultColumnLetter,IF(_xlpm._isAssumption,INDEX(Table24[Comment Column],_xlpm._sheetRow),INDEX(Table25[Comment Column],_xlpm._sheetRow)),
INDEX(INDIRECT("'"&amp;_xlpm._sheetName&amp;"'!"&amp;_xlpm._resultColumnLetter&amp;":"&amp;_xlpm._resultColumnLetter),_xlpm._elementRow)),
"")</f>
        <v/>
      </c>
      <c r="Y68" s="11" t="str" cm="1">
        <f t="array" aca="1" ref="Y68" ca="1">IF($O68,
_xlfn.LET(
_xlpm._elementID,$R68,
_xlpm._isAssumption,$M68,
_xlpm._sheetRow,$Z68,
_xlpm._sheetName,$AA68,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68" s="11" t="str">
        <f ca="1">IF($O68=TRUE,
_xlfn.LET(
_xlpm._isAssumption,$M68,
_xlpm._searchRange,IF(_xlpm._isAssumption,Table24[Task Sheet Shadow ID],Table25[Task Sheet Shadow ID]),
MATCH($P68,_xlpm._searchRange,0)),
"")</f>
        <v/>
      </c>
      <c r="AA68" s="11" t="str" cm="1">
        <f t="array" aca="1" ref="AA68" ca="1">IF($O68,
_xlfn.LET(
_xlpm._isAssumption,$M68,
_xlpm._sheetRow,$Z68,
IF(_xlpm._isAssumption,INDEX(Table24[Sheet Name],_xlpm._sheetRow),INDEX(Table25[Sheet Name],_xlpm._sheetRow))),
"")</f>
        <v/>
      </c>
      <c r="AB68" s="11" t="str" cm="1">
        <f t="array" aca="1" ref="AB68" ca="1">IF($O68,
_xlfn.LET(
_xlpm._elementID,$R68,
_xlpm._isAssumption,$M68,
_xlpm._sheetRow,$Z68,
_xlpm._sheetName,$AA68,
_xlpm._elementIDColumnLetter,IF(_xlpm._isAssumption,INDEX(Table24[Element ID Column],_xlpm._sheetRow),INDEX(Table25[Element ID Column],_xlpm._sheetRow)),
MATCH(_xlpm._elementID,INDIRECT("'"&amp;_xlpm._sheetName&amp;"'!"&amp;_xlpm._elementIDColumnLetter&amp;":"&amp;_xlpm._elementIDColumnLetter),0)),
"")</f>
        <v/>
      </c>
      <c r="AC68" s="11" t="str" cm="1">
        <f t="array" aca="1" ref="AC68" ca="1">IF($A68="","",_xlfn.LET(
_xlpm._isAssumption,$M68,
_xlpm._isAdditionalElement,$O68,
_xlpm._sheetRow,$Z68,
_xlpm._sheetName,$AA68,
_xlpm._columnLetter,INDEX(IF(_xlpm._isAdditionalElement,Table24[Comment Column],Table25[Comment Column]),_xlpm._sheetRow),
_xlpm._sheetReference,IF(_xlpm._isAssumption,IF(_xlpm._isAdditionalElement,
CELL("address",INDEX(INDIRECT("'"&amp;_xlpm._sheetName&amp;"'!"&amp;_xlpm._columnLetter&amp;":"&amp;_xlpm._columnLetter),$AB68)),
CELL("address",INDEX(Assumptions!$A:$A,MATCH($A68,Assumptions!$A:$A,0),1))),
IF(_xlpm._isAdditionalElement,
CELL("address",INDEX(INDIRECT("'"&amp;_xlpm._sheetName&amp;"'!"&amp;_xlpm._columnLetter&amp;":"&amp;_xlpm._columnLetter),$AB68)),
CELL("address",INDEX(Countermeasures!$A:$A,MATCH($A68,Countermeasures!$A:$A,0),1)))),
_xlpm._start,FIND("]",_xlpm._sheetReference),
"'"&amp;SUBSTITUTE(SUBSTITUTE(RIGHT(_xlpm._sheetReference,LEN(_xlpm._sheetReference)-_xlpm._start),"'",""),"!","'!")))</f>
        <v/>
      </c>
      <c r="AD68" s="11" t="str" cm="1">
        <f t="array" aca="1" ref="AD68" ca="1">IF(NOT($O68),
_xlfn.LET(_xlpm._value,IF($A68="","",IF($M68,SimpleLookup($A68,Assumptions!$A:$AG),SimpleLookup($A68,Countermeasures!$A:$AJ))),
IF(_xlpm._value="","",_xlpm._value)),
"")</f>
        <v/>
      </c>
      <c r="AE68" s="11" t="str" cm="1">
        <f t="array" aca="1" ref="AE68" ca="1">LookupNames(InverseLookup($A68,Mitigation!$AD$2,Mitigation!$A$2,1,Helper!$B$5,","),'Attack Steps'!$A:$B)</f>
        <v/>
      </c>
      <c r="AF68" s="11" t="str" cm="1">
        <f t="array" aca="1" ref="AF68" ca="1">IF($O68,
_xlfn.LET(
_xlpm._in,$A68,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68" s="11" t="str" cm="1">
        <f t="array" aca="1" ref="AG68" ca="1">_xlfn.LET(
_xlpm._countermeasures,InverseLookup($A68,Countermeasures!$AC$2,Countermeasures!$A$2,1,Helper!$B$4,","),
LookupNames(_xlpm._countermeasures,Countermeasures!$A:$B))</f>
        <v/>
      </c>
      <c r="AH68" s="11" t="str" cm="1">
        <f t="array" aca="1" ref="AH68" ca="1">IF($E68="","",_xlfn.LET(
_xlpm._id,$E68,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68" s="11" t="str" cm="1">
        <f t="array" aca="1" ref="AI68" ca="1">IF(OR($A68="",$O68),"",_xlfn.LET(
_xlpm._answers,IF($M68,SimpleLookup($A68,Assumptions!$A:$F),SimpleLookup($A68,Countermeasures!$A:$D)),
IF(_xlpm._answers="*",IF($M68,SimpleLookup($A68,Assumptions!$A:$C),SimpleLookup($A68,Countermeasures!$A:$C)),"")))</f>
        <v/>
      </c>
      <c r="AJ68" s="11" t="str" cm="1">
        <f t="array" aca="1" ref="AJ68" ca="1">IF(NOT($O68),"",_xlfn.LET(
_xlpm._mappedInMitigation,IFERROR(VLOOKUP($Y68,'Attack Steps'!$A:$P,COLUMNS('Attack Steps'!$A:$P),FALSE),""),
CreateSearchString(_xlpm._mappedInMitigation)))</f>
        <v/>
      </c>
      <c r="AK68" s="11" t="b">
        <f ca="1">ROW()-ROW($AK$17)=Helper!$B$15</f>
        <v>0</v>
      </c>
      <c r="AL68" s="11" t="str">
        <f t="shared" ca="1" si="15"/>
        <v/>
      </c>
      <c r="AM68" s="11" cm="1">
        <f t="array" aca="1" ref="AM68" ca="1">CreateID($AM$17,$AL68&lt;&gt;"")</f>
        <v>0</v>
      </c>
      <c r="AN68" s="11" t="str" cm="1">
        <f t="array" aca="1" ref="AN68" ca="1">IF($O68,"",
_xlfn.LET(
_xlpm._this,SanitizeInput($A68)&amp;AT68,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68" s="11" t="str" cm="1">
        <f t="array" aca="1" ref="AO68" ca="1">IF($O68,"",_xlfn.LET(
_xlpm._listOfRisksAndLevels,SanitizeInput($AN68),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_xlpm._shortenedList,IF($H68="",_xlpm._risksWithMaxValue,
  IF(LEN(_xlpm._risksWithMaxValue)-LEN(SUBSTITUTE(_xlpm._risksWithMaxValue,",",""))&lt;=$H68,_xlpm._risksWithMaxValue,
    LEFT(_xlpm._risksWithMaxValue,FIND(CHAR(1),SUBSTITUTE(_xlpm._risksWithMaxValue,",",CHAR(1),$H68))))),
IF(_xlpm._maxRiskValue="","",
  _xlpm._lineMainSeparator&amp;
  INDEX(Definitions!$AE:$AE,MATCH(_xlpm._maxRiskValue,Definitions!$AF:$AF,0))&amp;CHAR(10)&amp;
  _xlpm._lineMainSeparator&amp;
  RemoveDelimiter(GetValues(_xlpm._shortenedList,Risks!$A:$B," ",CHAR(10)&amp;_xlpm._lineMainSeparator,TRUE),CHAR(10)&amp;_xlpm._lineMainSeparator))))</f>
        <v/>
      </c>
      <c r="AP68" s="11" t="str" cm="1">
        <f t="array" aca="1" ref="AP68" ca="1">IF($O68,"",_xlfn.LET(
_xlpm._lineMainSeparator,REPT(_xlfn.UNICHAR(9552),63)&amp;CHAR(10),
_xlpm._affectedRisks,InverseLookupList(SanitizeInput($A68)&amp;$AT68,Risks!$AX$2,Risks!$A$2,Helper!$B$1,","),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_xlpm._shortenedList,IF($H68="",_xlpm._risksWithMaxValue,
  IF(LEN(_xlpm._risksWithMaxValue)-LEN(SUBSTITUTE(_xlpm._risksWithMaxValue,",",""))&lt;=$H68,_xlpm._risksWithMaxValue,
    LEFT(_xlpm._risksWithMaxValue,FIND(CHAR(1),SUBSTITUTE(_xlpm._risksWithMaxValue,",",CHAR(1),$H68))))),
IF(_xlpm._maxRiskValue="","",
  _xlpm._lineMainSeparator&amp;
  INDEX(Definitions!$AE:$AE,MATCH(_xlpm._maxRiskValue,Definitions!$AF:$AF,0))&amp;CHAR(10)&amp;
  _xlpm._lineMainSeparator&amp;
  RemoveDelimiter(GetValues(_xlpm._shortenedList,Risks!$A:$B," ",CHAR(10)&amp;_xlpm._lineMainSeparator,TRUE),CHAR(10)&amp;_xlpm._lineMainSeparator))))</f>
        <v/>
      </c>
      <c r="AQ68" s="11" t="str" cm="1">
        <f t="array" aca="1" ref="AQ68" ca="1">IF(NOT($O68),"",
_xlfn.LET(
_xlpm._potentialASID,$Y68,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_xlpm._commentsFiltered,SUBSTITUTE(GetValues(_xlpm._attackSteps,Mitigation!$A:$O,"","",FALSE),$X68,""),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68" s="11" t="str" cm="1">
        <f t="array" aca="1" ref="AR68" ca="1">IF(NOT($O68),"",_xlfn.LET(
_xlpm._listOfRisksAndLevels,SanitizeInput($AQ68),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_xlpm._shortenedList,IF($H68="",_xlpm._risksWithMaxValue,
  IF(LEN(_xlpm._risksWithMaxValue)-LEN(SUBSTITUTE(_xlpm._risksWithMaxValue,",",""))&lt;=$H68,_xlpm._risksWithMaxValue,
    LEFT(_xlpm._risksWithMaxValue,FIND(CHAR(1),SUBSTITUTE(_xlpm._risksWithMaxValue,",",CHAR(1),$H68))))),
IF(_xlpm._maxRiskValue="","",
  _xlpm._lineMainSeparator&amp;
  INDEX(Definitions!$AE:$AE,MATCH(_xlpm._maxRiskValue,Definitions!$AF:$AF,0))&amp;CHAR(10)&amp;
  _xlpm._lineMainSeparator&amp;
  RemoveDelimiter(GetValues(_xlpm._shortenedList,Risks!$A:$B," ",CHAR(10)&amp;_xlpm._lineMainSeparator,TRUE),CHAR(10)&amp;_xlpm._lineMainSeparator))))</f>
        <v/>
      </c>
      <c r="AS68" s="11" t="str" cm="1">
        <f t="array" aca="1" ref="AS68" ca="1">IF(NOT($O68),"",
_xlfn.LET(
_xlpm._lineMainSeparator,REPT(_xlfn.UNICHAR(9552),63)&amp;CHAR(10),
_xlpm._potentialASID,$Y68,
_xlpm._risk,IFERROR(SimpleLookup(_xlpm._potentialASID,Mitigation!$A:$N),""),
_xlpm._attackPaths,IFERROR(SimpleLookup(_xlpm._potentialASID,Mitigation!$A:$M),""),
IF(_xlpm._risk="","",
_xlpm._lineMainSeparator&amp;
_xlpm._risk&amp;CHAR(10)&amp;
_xlpm._lineMainSeparator&amp;
_xlpm._attackPaths)))</f>
        <v/>
      </c>
      <c r="AT68" s="11" t="str" cm="1">
        <f t="array" aca="1" ref="AT68" ca="1">InverseLookup($A68,Countermeasures!$AA$2,Countermeasures!$A$2,1,Helper!$B$4,",")</f>
        <v/>
      </c>
    </row>
    <row r="69" spans="1:46" x14ac:dyDescent="0.25">
      <c r="A69" s="106" t="str">
        <f ca="1">_xlfn.LET(
_xlpm._isAssumption,$M69,
_xlpm._row,$N69,
_xlpm._numActiveAssumptions,Helper!$B$8,
_xlpm._numActiveCountermeasures,Helper!$B$9,
_xlpm._numAdditionalAssumptions,Helper!$B$10,
_xlpm._numAdditionalCountermeasures,Helper!$B$11,
IF(_xlpm._isAssumption,
IF(_xlpm._row&gt;_xlpm._numActiveAssumptions,
$Y69&amp;"-A"&amp;$T69,
INDEX(Assumptions!A:A,MATCH(_xlpm._row,Assumptions!$AC:$AC,0))),
IF(_xlpm._row&gt;_xlpm._numActiveCountermeasures+_xlpm._numAdditionalCountermeasures,"",
IF(_xlpm._row&gt;_xlpm._numActiveCountermeasures,
$Y69&amp;"-C"&amp;$T69,
INDEX(Countermeasures!$A:$A,MATCH(_xlpm._row,Countermeasures!$AE:$AE,0))))))</f>
        <v/>
      </c>
      <c r="B69" s="106" t="str" cm="1">
        <f t="array" aca="1" ref="B69" ca="1">IF($A69="","",
_xlfn.LET(
_xlpm._isAssumption,$M69,
_xlpm._isAdditionalElement,$O69,
IF(_xlpm._isAdditionalElement,
IF(_xlpm._isAssumption,
ParseElementsFromComment($X69,Definitions!$AR$4,Definitions!$AS$4,Definitions!$AR$6,$T69),
ParseElementsFromComment($X69,Definitions!$AR$5,Definitions!$AS$5,Definitions!$AR$6,$T69)),
_xlfn.LET(_xlpm._value,IF($A69="","",IF($M69,SimpleLookup($A69,Assumptions!$A:$B),SimpleLookup($A69,Countermeasures!$A:$B))),IF(_xlpm._value="","",_xlpm._value)))))</f>
        <v/>
      </c>
      <c r="C69" s="106" t="str" cm="1">
        <f t="array" aca="1" ref="C69" ca="1">IF($A69="","",IF($M69,IFERROR(SimpleLookup($A69,Assumptions!$A:$E),""),Definitions!$AO$4))</f>
        <v/>
      </c>
      <c r="D69" s="103" t="str">
        <f t="shared" ca="1" si="9"/>
        <v/>
      </c>
      <c r="E69" s="107"/>
      <c r="F69" s="108" t="str">
        <f t="shared" ca="1" si="10"/>
        <v/>
      </c>
      <c r="G69" s="102" t="str" cm="1">
        <f t="array" aca="1" ref="G69" ca="1">_xlfn.LET(_xlpm._val,IFERROR(SimpleLookup($A69,Countermeasures!$A:$S),IFERROR(SimpleLookup($A69,Assumptions!$A:$S),"")),IF(_xlpm._val="","",_xlpm._val))</f>
        <v/>
      </c>
      <c r="H69" s="109" t="str">
        <f>""</f>
        <v/>
      </c>
      <c r="I69" s="102" t="str">
        <f t="shared" ca="1" si="11"/>
        <v/>
      </c>
      <c r="J69" s="102" t="str">
        <f t="shared" ca="1" si="12"/>
        <v/>
      </c>
      <c r="K69" s="106" t="str" cm="1">
        <f t="array" aca="1" ref="K69" ca="1">_xlfn.LET(_xlpm._value,IF($A69="","",IFERROR(IF($M69,SimpleLookup($A69,Assumptions!$A:$T),SimpleLookup($A69,Countermeasures!$A:$T)),"")),
IF(_xlpm._value="","",_xlpm._value))</f>
        <v/>
      </c>
      <c r="L69" s="9" cm="1">
        <f t="array" aca="1" ref="L69" ca="1">CreateID($L$17,$A69&lt;&gt;"")</f>
        <v>11</v>
      </c>
      <c r="M69" s="9" t="b">
        <f ca="1">_xlfn.LET(_xlpm._row,ROW()-ROW($N$17),
_xlpm._numActiveAssumptions,Helper!$B$8,
_xlpm._numAdditionalAssumptions,SUM(Table24['# Elements]),
_xlpm._row&lt;=_xlpm._numActiveAssumptions+_xlpm._numAdditionalAssumptions)</f>
        <v>0</v>
      </c>
      <c r="N69" s="9">
        <f ca="1">_xlfn.LET(_xlpm._row,ROW()-ROW($N$17),
_xlpm._numActiveAssumptions,Helper!$B$8,
_xlpm._numAdditionalAssumptions,Helper!$B$10,
_xlpm._isAssumption,$M69,
_xlpm._elementID,IF(_xlpm._isAssumption,_xlpm._row,_xlpm._row-_xlpm._numActiveAssumptions-_xlpm._numAdditionalAssumptions),
_xlpm._elementID)</f>
        <v>48</v>
      </c>
      <c r="O69"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69" s="11" cm="1">
        <f t="array" aca="1" ref="P69" ca="1">IF($O69,
IF(ROW()=ROW($P$17)+1,1,INDEX($P:$P,ROW()-1)+IF(INDEX($W:$W,ROW()-1),1,0)),
1)</f>
        <v>1</v>
      </c>
      <c r="Q69" s="11" t="str" cm="1">
        <f t="array" aca="1" ref="Q69" ca="1">IF($O69=TRUE,
_xlfn.LET(
_xlpm._isAssumption,$M69,
_xlpm._indexRange,IF(_xlpm._isAssumption,Table24['# Elements],Table25['# Elements]),
_xlpm._lookupRow,$Z69,
INDEX(_xlpm._indexRange,_xlpm._lookupRow)),
"")</f>
        <v/>
      </c>
      <c r="R69" s="11" t="str" cm="1">
        <f t="array" aca="1" ref="R69" ca="1">IF($Q69="","",_xlfn.LET(
_xlpm._prevRow,ROW()-1,
IF(OR(INDEX($Q:$Q,_xlpm._prevRow)&lt;&gt;$Q69,INDEX($P:$P,_xlpm._prevRow)&lt;&gt;$P69),
1,
INDEX($R:$R,_xlpm._prevRow)+IF(INDEX($V:$V,_xlpm._prevRow),1,0))))</f>
        <v/>
      </c>
      <c r="S69" s="11" t="str" cm="1">
        <f t="array" aca="1" ref="S69" ca="1">IF($R69="","",_xlfn.LET(
_xlpm._isAssumption,$M69,
_xlpm._sheetRow,$Z69,
_xlpm._sheetName,$AA69,
_xlpm._elementIDRange,IF(_xlpm._isAssumption,Table24[Element ID Column],Table25[Element ID Column]),
_xlpm._numberOfElementsRange,IF(_xlpm._isAssumption,Table24[Number of Elements Column],Table25[Number of Elements Column]),
SimpleLookup($R69,INDIRECT("'"&amp;_xlpm._sheetName&amp;"'!"&amp;INDEX(_xlpm._elementIDRange,_xlpm._sheetRow)&amp;":"&amp;INDEX(_xlpm._numberOfElementsRange,_xlpm._sheetRow)))))</f>
        <v/>
      </c>
      <c r="T69" s="11" t="str" cm="1">
        <f t="array" aca="1" ref="T69" ca="1">IF($R69="","",IF(OR(INDEX($R:$R,ROW()-1)&lt;&gt;$R69,INDEX($P:$P,ROW()-1)&lt;&gt;$P69),1,INDEX($T:$T,ROW()-1)+1))</f>
        <v/>
      </c>
      <c r="U69" s="11">
        <f t="shared" ca="1" si="13"/>
        <v>0</v>
      </c>
      <c r="V69" s="11" t="str">
        <f t="shared" ca="1" si="14"/>
        <v/>
      </c>
      <c r="W69" s="11" t="b">
        <f ca="1">_xlfn.LET(
_xlpm._isAssumption,$M69,
_xlpm._numberOfElementsRange,IF(_xlpm._isAssumption,Table24['# Elements],Table25['# Elements]),
_xlpm._sheetRow,$Z69,
IF($O69,AND($V69,$U69=$Q69),FALSE))</f>
        <v>0</v>
      </c>
      <c r="X69" s="11" t="str" cm="1">
        <f t="array" aca="1" ref="X69" ca="1">IF($O69,
_xlfn.LET(
_xlpm._elementID,$R69,
_xlpm._isAssumption,$M69,
_xlpm._sheetRow,$Z69,
_xlpm._sheetName,$AA69,
_xlpm._elementRow,$AB69,
_xlpm._resultColumnLetter,IF(_xlpm._isAssumption,INDEX(Table24[Comment Column],_xlpm._sheetRow),INDEX(Table25[Comment Column],_xlpm._sheetRow)),
INDEX(INDIRECT("'"&amp;_xlpm._sheetName&amp;"'!"&amp;_xlpm._resultColumnLetter&amp;":"&amp;_xlpm._resultColumnLetter),_xlpm._elementRow)),
"")</f>
        <v/>
      </c>
      <c r="Y69" s="11" t="str" cm="1">
        <f t="array" aca="1" ref="Y69" ca="1">IF($O69,
_xlfn.LET(
_xlpm._elementID,$R69,
_xlpm._isAssumption,$M69,
_xlpm._sheetRow,$Z69,
_xlpm._sheetName,$AA69,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69" s="11" t="str">
        <f ca="1">IF($O69=TRUE,
_xlfn.LET(
_xlpm._isAssumption,$M69,
_xlpm._searchRange,IF(_xlpm._isAssumption,Table24[Task Sheet Shadow ID],Table25[Task Sheet Shadow ID]),
MATCH($P69,_xlpm._searchRange,0)),
"")</f>
        <v/>
      </c>
      <c r="AA69" s="11" t="str" cm="1">
        <f t="array" aca="1" ref="AA69" ca="1">IF($O69,
_xlfn.LET(
_xlpm._isAssumption,$M69,
_xlpm._sheetRow,$Z69,
IF(_xlpm._isAssumption,INDEX(Table24[Sheet Name],_xlpm._sheetRow),INDEX(Table25[Sheet Name],_xlpm._sheetRow))),
"")</f>
        <v/>
      </c>
      <c r="AB69" s="11" t="str" cm="1">
        <f t="array" aca="1" ref="AB69" ca="1">IF($O69,
_xlfn.LET(
_xlpm._elementID,$R69,
_xlpm._isAssumption,$M69,
_xlpm._sheetRow,$Z69,
_xlpm._sheetName,$AA69,
_xlpm._elementIDColumnLetter,IF(_xlpm._isAssumption,INDEX(Table24[Element ID Column],_xlpm._sheetRow),INDEX(Table25[Element ID Column],_xlpm._sheetRow)),
MATCH(_xlpm._elementID,INDIRECT("'"&amp;_xlpm._sheetName&amp;"'!"&amp;_xlpm._elementIDColumnLetter&amp;":"&amp;_xlpm._elementIDColumnLetter),0)),
"")</f>
        <v/>
      </c>
      <c r="AC69" s="11" t="str" cm="1">
        <f t="array" aca="1" ref="AC69" ca="1">IF($A69="","",_xlfn.LET(
_xlpm._isAssumption,$M69,
_xlpm._isAdditionalElement,$O69,
_xlpm._sheetRow,$Z69,
_xlpm._sheetName,$AA69,
_xlpm._columnLetter,INDEX(IF(_xlpm._isAdditionalElement,Table24[Comment Column],Table25[Comment Column]),_xlpm._sheetRow),
_xlpm._sheetReference,IF(_xlpm._isAssumption,IF(_xlpm._isAdditionalElement,
CELL("address",INDEX(INDIRECT("'"&amp;_xlpm._sheetName&amp;"'!"&amp;_xlpm._columnLetter&amp;":"&amp;_xlpm._columnLetter),$AB69)),
CELL("address",INDEX(Assumptions!$A:$A,MATCH($A69,Assumptions!$A:$A,0),1))),
IF(_xlpm._isAdditionalElement,
CELL("address",INDEX(INDIRECT("'"&amp;_xlpm._sheetName&amp;"'!"&amp;_xlpm._columnLetter&amp;":"&amp;_xlpm._columnLetter),$AB69)),
CELL("address",INDEX(Countermeasures!$A:$A,MATCH($A69,Countermeasures!$A:$A,0),1)))),
_xlpm._start,FIND("]",_xlpm._sheetReference),
"'"&amp;SUBSTITUTE(SUBSTITUTE(RIGHT(_xlpm._sheetReference,LEN(_xlpm._sheetReference)-_xlpm._start),"'",""),"!","'!")))</f>
        <v/>
      </c>
      <c r="AD69" s="11" t="str" cm="1">
        <f t="array" aca="1" ref="AD69" ca="1">IF(NOT($O69),
_xlfn.LET(_xlpm._value,IF($A69="","",IF($M69,SimpleLookup($A69,Assumptions!$A:$AG),SimpleLookup($A69,Countermeasures!$A:$AJ))),
IF(_xlpm._value="","",_xlpm._value)),
"")</f>
        <v/>
      </c>
      <c r="AE69" s="11" t="str" cm="1">
        <f t="array" aca="1" ref="AE69" ca="1">LookupNames(InverseLookup($A69,Mitigation!$AD$2,Mitigation!$A$2,1,Helper!$B$5,","),'Attack Steps'!$A:$B)</f>
        <v/>
      </c>
      <c r="AF69" s="11" t="str" cm="1">
        <f t="array" aca="1" ref="AF69" ca="1">IF($O69,
_xlfn.LET(
_xlpm._in,$A69,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69" s="11" t="str" cm="1">
        <f t="array" aca="1" ref="AG69" ca="1">_xlfn.LET(
_xlpm._countermeasures,InverseLookup($A69,Countermeasures!$AC$2,Countermeasures!$A$2,1,Helper!$B$4,","),
LookupNames(_xlpm._countermeasures,Countermeasures!$A:$B))</f>
        <v/>
      </c>
      <c r="AH69" s="11" t="str" cm="1">
        <f t="array" aca="1" ref="AH69" ca="1">IF($E69="","",_xlfn.LET(
_xlpm._id,$E69,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69" s="11" t="str" cm="1">
        <f t="array" aca="1" ref="AI69" ca="1">IF(OR($A69="",$O69),"",_xlfn.LET(
_xlpm._answers,IF($M69,SimpleLookup($A69,Assumptions!$A:$F),SimpleLookup($A69,Countermeasures!$A:$D)),
IF(_xlpm._answers="*",IF($M69,SimpleLookup($A69,Assumptions!$A:$C),SimpleLookup($A69,Countermeasures!$A:$C)),"")))</f>
        <v/>
      </c>
      <c r="AJ69" s="11" t="str" cm="1">
        <f t="array" aca="1" ref="AJ69" ca="1">IF(NOT($O69),"",_xlfn.LET(
_xlpm._mappedInMitigation,IFERROR(VLOOKUP($Y69,'Attack Steps'!$A:$P,COLUMNS('Attack Steps'!$A:$P),FALSE),""),
CreateSearchString(_xlpm._mappedInMitigation)))</f>
        <v/>
      </c>
      <c r="AK69" s="11" t="b">
        <f ca="1">ROW()-ROW($AK$17)=Helper!$B$15</f>
        <v>0</v>
      </c>
      <c r="AL69" s="11" t="str">
        <f t="shared" ca="1" si="15"/>
        <v/>
      </c>
      <c r="AM69" s="11" cm="1">
        <f t="array" aca="1" ref="AM69" ca="1">CreateID($AM$17,$AL69&lt;&gt;"")</f>
        <v>0</v>
      </c>
      <c r="AN69" s="11" t="str" cm="1">
        <f t="array" aca="1" ref="AN69" ca="1">IF($O69,"",
_xlfn.LET(
_xlpm._this,SanitizeInput($A69)&amp;AT69,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69" s="11" t="str" cm="1">
        <f t="array" aca="1" ref="AO69" ca="1">IF($O69,"",_xlfn.LET(
_xlpm._listOfRisksAndLevels,SanitizeInput($AN69),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_xlpm._shortenedList,IF($H69="",_xlpm._risksWithMaxValue,
  IF(LEN(_xlpm._risksWithMaxValue)-LEN(SUBSTITUTE(_xlpm._risksWithMaxValue,",",""))&lt;=$H69,_xlpm._risksWithMaxValue,
    LEFT(_xlpm._risksWithMaxValue,FIND(CHAR(1),SUBSTITUTE(_xlpm._risksWithMaxValue,",",CHAR(1),$H69))))),
IF(_xlpm._maxRiskValue="","",
  _xlpm._lineMainSeparator&amp;
  INDEX(Definitions!$AE:$AE,MATCH(_xlpm._maxRiskValue,Definitions!$AF:$AF,0))&amp;CHAR(10)&amp;
  _xlpm._lineMainSeparator&amp;
  RemoveDelimiter(GetValues(_xlpm._shortenedList,Risks!$A:$B," ",CHAR(10)&amp;_xlpm._lineMainSeparator,TRUE),CHAR(10)&amp;_xlpm._lineMainSeparator))))</f>
        <v/>
      </c>
      <c r="AP69" s="11" t="str" cm="1">
        <f t="array" aca="1" ref="AP69" ca="1">IF($O69,"",_xlfn.LET(
_xlpm._lineMainSeparator,REPT(_xlfn.UNICHAR(9552),63)&amp;CHAR(10),
_xlpm._affectedRisks,InverseLookupList(SanitizeInput($A69)&amp;$AT69,Risks!$AX$2,Risks!$A$2,Helper!$B$1,","),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_xlpm._shortenedList,IF($H69="",_xlpm._risksWithMaxValue,
  IF(LEN(_xlpm._risksWithMaxValue)-LEN(SUBSTITUTE(_xlpm._risksWithMaxValue,",",""))&lt;=$H69,_xlpm._risksWithMaxValue,
    LEFT(_xlpm._risksWithMaxValue,FIND(CHAR(1),SUBSTITUTE(_xlpm._risksWithMaxValue,",",CHAR(1),$H69))))),
IF(_xlpm._maxRiskValue="","",
  _xlpm._lineMainSeparator&amp;
  INDEX(Definitions!$AE:$AE,MATCH(_xlpm._maxRiskValue,Definitions!$AF:$AF,0))&amp;CHAR(10)&amp;
  _xlpm._lineMainSeparator&amp;
  RemoveDelimiter(GetValues(_xlpm._shortenedList,Risks!$A:$B," ",CHAR(10)&amp;_xlpm._lineMainSeparator,TRUE),CHAR(10)&amp;_xlpm._lineMainSeparator))))</f>
        <v/>
      </c>
      <c r="AQ69" s="11" t="str" cm="1">
        <f t="array" aca="1" ref="AQ69" ca="1">IF(NOT($O69),"",
_xlfn.LET(
_xlpm._potentialASID,$Y69,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_xlpm._commentsFiltered,SUBSTITUTE(GetValues(_xlpm._attackSteps,Mitigation!$A:$O,"","",FALSE),$X69,""),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69" s="11" t="str" cm="1">
        <f t="array" aca="1" ref="AR69" ca="1">IF(NOT($O69),"",_xlfn.LET(
_xlpm._listOfRisksAndLevels,SanitizeInput($AQ69),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_xlpm._shortenedList,IF($H69="",_xlpm._risksWithMaxValue,
  IF(LEN(_xlpm._risksWithMaxValue)-LEN(SUBSTITUTE(_xlpm._risksWithMaxValue,",",""))&lt;=$H69,_xlpm._risksWithMaxValue,
    LEFT(_xlpm._risksWithMaxValue,FIND(CHAR(1),SUBSTITUTE(_xlpm._risksWithMaxValue,",",CHAR(1),$H69))))),
IF(_xlpm._maxRiskValue="","",
  _xlpm._lineMainSeparator&amp;
  INDEX(Definitions!$AE:$AE,MATCH(_xlpm._maxRiskValue,Definitions!$AF:$AF,0))&amp;CHAR(10)&amp;
  _xlpm._lineMainSeparator&amp;
  RemoveDelimiter(GetValues(_xlpm._shortenedList,Risks!$A:$B," ",CHAR(10)&amp;_xlpm._lineMainSeparator,TRUE),CHAR(10)&amp;_xlpm._lineMainSeparator))))</f>
        <v/>
      </c>
      <c r="AS69" s="11" t="str" cm="1">
        <f t="array" aca="1" ref="AS69" ca="1">IF(NOT($O69),"",
_xlfn.LET(
_xlpm._lineMainSeparator,REPT(_xlfn.UNICHAR(9552),63)&amp;CHAR(10),
_xlpm._potentialASID,$Y69,
_xlpm._risk,IFERROR(SimpleLookup(_xlpm._potentialASID,Mitigation!$A:$N),""),
_xlpm._attackPaths,IFERROR(SimpleLookup(_xlpm._potentialASID,Mitigation!$A:$M),""),
IF(_xlpm._risk="","",
_xlpm._lineMainSeparator&amp;
_xlpm._risk&amp;CHAR(10)&amp;
_xlpm._lineMainSeparator&amp;
_xlpm._attackPaths)))</f>
        <v/>
      </c>
      <c r="AT69" s="11" t="str" cm="1">
        <f t="array" aca="1" ref="AT69" ca="1">InverseLookup($A69,Countermeasures!$AA$2,Countermeasures!$A$2,1,Helper!$B$4,",")</f>
        <v/>
      </c>
    </row>
    <row r="70" spans="1:46" x14ac:dyDescent="0.25">
      <c r="A70" s="106" t="str">
        <f ca="1">_xlfn.LET(
_xlpm._isAssumption,$M70,
_xlpm._row,$N70,
_xlpm._numActiveAssumptions,Helper!$B$8,
_xlpm._numActiveCountermeasures,Helper!$B$9,
_xlpm._numAdditionalAssumptions,Helper!$B$10,
_xlpm._numAdditionalCountermeasures,Helper!$B$11,
IF(_xlpm._isAssumption,
IF(_xlpm._row&gt;_xlpm._numActiveAssumptions,
$Y70&amp;"-A"&amp;$T70,
INDEX(Assumptions!A:A,MATCH(_xlpm._row,Assumptions!$AC:$AC,0))),
IF(_xlpm._row&gt;_xlpm._numActiveCountermeasures+_xlpm._numAdditionalCountermeasures,"",
IF(_xlpm._row&gt;_xlpm._numActiveCountermeasures,
$Y70&amp;"-C"&amp;$T70,
INDEX(Countermeasures!$A:$A,MATCH(_xlpm._row,Countermeasures!$AE:$AE,0))))))</f>
        <v/>
      </c>
      <c r="B70" s="106" t="str" cm="1">
        <f t="array" aca="1" ref="B70" ca="1">IF($A70="","",
_xlfn.LET(
_xlpm._isAssumption,$M70,
_xlpm._isAdditionalElement,$O70,
IF(_xlpm._isAdditionalElement,
IF(_xlpm._isAssumption,
ParseElementsFromComment($X70,Definitions!$AR$4,Definitions!$AS$4,Definitions!$AR$6,$T70),
ParseElementsFromComment($X70,Definitions!$AR$5,Definitions!$AS$5,Definitions!$AR$6,$T70)),
_xlfn.LET(_xlpm._value,IF($A70="","",IF($M70,SimpleLookup($A70,Assumptions!$A:$B),SimpleLookup($A70,Countermeasures!$A:$B))),IF(_xlpm._value="","",_xlpm._value)))))</f>
        <v/>
      </c>
      <c r="C70" s="106" t="str" cm="1">
        <f t="array" aca="1" ref="C70" ca="1">IF($A70="","",IF($M70,IFERROR(SimpleLookup($A70,Assumptions!$A:$E),""),Definitions!$AO$4))</f>
        <v/>
      </c>
      <c r="D70" s="103" t="str">
        <f t="shared" ca="1" si="9"/>
        <v/>
      </c>
      <c r="E70" s="107"/>
      <c r="F70" s="108" t="str">
        <f t="shared" ca="1" si="10"/>
        <v/>
      </c>
      <c r="G70" s="102" t="str" cm="1">
        <f t="array" aca="1" ref="G70" ca="1">_xlfn.LET(_xlpm._val,IFERROR(SimpleLookup($A70,Countermeasures!$A:$S),IFERROR(SimpleLookup($A70,Assumptions!$A:$S),"")),IF(_xlpm._val="","",_xlpm._val))</f>
        <v/>
      </c>
      <c r="H70" s="109" t="str">
        <f>""</f>
        <v/>
      </c>
      <c r="I70" s="102" t="str">
        <f t="shared" ca="1" si="11"/>
        <v/>
      </c>
      <c r="J70" s="102" t="str">
        <f t="shared" ca="1" si="12"/>
        <v/>
      </c>
      <c r="K70" s="106" t="str" cm="1">
        <f t="array" aca="1" ref="K70" ca="1">_xlfn.LET(_xlpm._value,IF($A70="","",IFERROR(IF($M70,SimpleLookup($A70,Assumptions!$A:$T),SimpleLookup($A70,Countermeasures!$A:$T)),"")),
IF(_xlpm._value="","",_xlpm._value))</f>
        <v/>
      </c>
      <c r="L70" s="9" cm="1">
        <f t="array" aca="1" ref="L70" ca="1">CreateID($L$17,$A70&lt;&gt;"")</f>
        <v>11</v>
      </c>
      <c r="M70" s="9" t="b">
        <f ca="1">_xlfn.LET(_xlpm._row,ROW()-ROW($N$17),
_xlpm._numActiveAssumptions,Helper!$B$8,
_xlpm._numAdditionalAssumptions,SUM(Table24['# Elements]),
_xlpm._row&lt;=_xlpm._numActiveAssumptions+_xlpm._numAdditionalAssumptions)</f>
        <v>0</v>
      </c>
      <c r="N70" s="9">
        <f ca="1">_xlfn.LET(_xlpm._row,ROW()-ROW($N$17),
_xlpm._numActiveAssumptions,Helper!$B$8,
_xlpm._numAdditionalAssumptions,Helper!$B$10,
_xlpm._isAssumption,$M70,
_xlpm._elementID,IF(_xlpm._isAssumption,_xlpm._row,_xlpm._row-_xlpm._numActiveAssumptions-_xlpm._numAdditionalAssumptions),
_xlpm._elementID)</f>
        <v>49</v>
      </c>
      <c r="O70"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70" s="11" cm="1">
        <f t="array" aca="1" ref="P70" ca="1">IF($O70,
IF(ROW()=ROW($P$17)+1,1,INDEX($P:$P,ROW()-1)+IF(INDEX($W:$W,ROW()-1),1,0)),
1)</f>
        <v>1</v>
      </c>
      <c r="Q70" s="11" t="str" cm="1">
        <f t="array" aca="1" ref="Q70" ca="1">IF($O70=TRUE,
_xlfn.LET(
_xlpm._isAssumption,$M70,
_xlpm._indexRange,IF(_xlpm._isAssumption,Table24['# Elements],Table25['# Elements]),
_xlpm._lookupRow,$Z70,
INDEX(_xlpm._indexRange,_xlpm._lookupRow)),
"")</f>
        <v/>
      </c>
      <c r="R70" s="11" t="str" cm="1">
        <f t="array" aca="1" ref="R70" ca="1">IF($Q70="","",_xlfn.LET(
_xlpm._prevRow,ROW()-1,
IF(OR(INDEX($Q:$Q,_xlpm._prevRow)&lt;&gt;$Q70,INDEX($P:$P,_xlpm._prevRow)&lt;&gt;$P70),
1,
INDEX($R:$R,_xlpm._prevRow)+IF(INDEX($V:$V,_xlpm._prevRow),1,0))))</f>
        <v/>
      </c>
      <c r="S70" s="11" t="str" cm="1">
        <f t="array" aca="1" ref="S70" ca="1">IF($R70="","",_xlfn.LET(
_xlpm._isAssumption,$M70,
_xlpm._sheetRow,$Z70,
_xlpm._sheetName,$AA70,
_xlpm._elementIDRange,IF(_xlpm._isAssumption,Table24[Element ID Column],Table25[Element ID Column]),
_xlpm._numberOfElementsRange,IF(_xlpm._isAssumption,Table24[Number of Elements Column],Table25[Number of Elements Column]),
SimpleLookup($R70,INDIRECT("'"&amp;_xlpm._sheetName&amp;"'!"&amp;INDEX(_xlpm._elementIDRange,_xlpm._sheetRow)&amp;":"&amp;INDEX(_xlpm._numberOfElementsRange,_xlpm._sheetRow)))))</f>
        <v/>
      </c>
      <c r="T70" s="11" t="str" cm="1">
        <f t="array" aca="1" ref="T70" ca="1">IF($R70="","",IF(OR(INDEX($R:$R,ROW()-1)&lt;&gt;$R70,INDEX($P:$P,ROW()-1)&lt;&gt;$P70),1,INDEX($T:$T,ROW()-1)+1))</f>
        <v/>
      </c>
      <c r="U70" s="11">
        <f t="shared" ca="1" si="13"/>
        <v>0</v>
      </c>
      <c r="V70" s="11" t="str">
        <f t="shared" ca="1" si="14"/>
        <v/>
      </c>
      <c r="W70" s="11" t="b">
        <f ca="1">_xlfn.LET(
_xlpm._isAssumption,$M70,
_xlpm._numberOfElementsRange,IF(_xlpm._isAssumption,Table24['# Elements],Table25['# Elements]),
_xlpm._sheetRow,$Z70,
IF($O70,AND($V70,$U70=$Q70),FALSE))</f>
        <v>0</v>
      </c>
      <c r="X70" s="11" t="str" cm="1">
        <f t="array" aca="1" ref="X70" ca="1">IF($O70,
_xlfn.LET(
_xlpm._elementID,$R70,
_xlpm._isAssumption,$M70,
_xlpm._sheetRow,$Z70,
_xlpm._sheetName,$AA70,
_xlpm._elementRow,$AB70,
_xlpm._resultColumnLetter,IF(_xlpm._isAssumption,INDEX(Table24[Comment Column],_xlpm._sheetRow),INDEX(Table25[Comment Column],_xlpm._sheetRow)),
INDEX(INDIRECT("'"&amp;_xlpm._sheetName&amp;"'!"&amp;_xlpm._resultColumnLetter&amp;":"&amp;_xlpm._resultColumnLetter),_xlpm._elementRow)),
"")</f>
        <v/>
      </c>
      <c r="Y70" s="11" t="str" cm="1">
        <f t="array" aca="1" ref="Y70" ca="1">IF($O70,
_xlfn.LET(
_xlpm._elementID,$R70,
_xlpm._isAssumption,$M70,
_xlpm._sheetRow,$Z70,
_xlpm._sheetName,$AA70,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70" s="11" t="str">
        <f ca="1">IF($O70=TRUE,
_xlfn.LET(
_xlpm._isAssumption,$M70,
_xlpm._searchRange,IF(_xlpm._isAssumption,Table24[Task Sheet Shadow ID],Table25[Task Sheet Shadow ID]),
MATCH($P70,_xlpm._searchRange,0)),
"")</f>
        <v/>
      </c>
      <c r="AA70" s="11" t="str" cm="1">
        <f t="array" aca="1" ref="AA70" ca="1">IF($O70,
_xlfn.LET(
_xlpm._isAssumption,$M70,
_xlpm._sheetRow,$Z70,
IF(_xlpm._isAssumption,INDEX(Table24[Sheet Name],_xlpm._sheetRow),INDEX(Table25[Sheet Name],_xlpm._sheetRow))),
"")</f>
        <v/>
      </c>
      <c r="AB70" s="11" t="str" cm="1">
        <f t="array" aca="1" ref="AB70" ca="1">IF($O70,
_xlfn.LET(
_xlpm._elementID,$R70,
_xlpm._isAssumption,$M70,
_xlpm._sheetRow,$Z70,
_xlpm._sheetName,$AA70,
_xlpm._elementIDColumnLetter,IF(_xlpm._isAssumption,INDEX(Table24[Element ID Column],_xlpm._sheetRow),INDEX(Table25[Element ID Column],_xlpm._sheetRow)),
MATCH(_xlpm._elementID,INDIRECT("'"&amp;_xlpm._sheetName&amp;"'!"&amp;_xlpm._elementIDColumnLetter&amp;":"&amp;_xlpm._elementIDColumnLetter),0)),
"")</f>
        <v/>
      </c>
      <c r="AC70" s="11" t="str" cm="1">
        <f t="array" aca="1" ref="AC70" ca="1">IF($A70="","",_xlfn.LET(
_xlpm._isAssumption,$M70,
_xlpm._isAdditionalElement,$O70,
_xlpm._sheetRow,$Z70,
_xlpm._sheetName,$AA70,
_xlpm._columnLetter,INDEX(IF(_xlpm._isAdditionalElement,Table24[Comment Column],Table25[Comment Column]),_xlpm._sheetRow),
_xlpm._sheetReference,IF(_xlpm._isAssumption,IF(_xlpm._isAdditionalElement,
CELL("address",INDEX(INDIRECT("'"&amp;_xlpm._sheetName&amp;"'!"&amp;_xlpm._columnLetter&amp;":"&amp;_xlpm._columnLetter),$AB70)),
CELL("address",INDEX(Assumptions!$A:$A,MATCH($A70,Assumptions!$A:$A,0),1))),
IF(_xlpm._isAdditionalElement,
CELL("address",INDEX(INDIRECT("'"&amp;_xlpm._sheetName&amp;"'!"&amp;_xlpm._columnLetter&amp;":"&amp;_xlpm._columnLetter),$AB70)),
CELL("address",INDEX(Countermeasures!$A:$A,MATCH($A70,Countermeasures!$A:$A,0),1)))),
_xlpm._start,FIND("]",_xlpm._sheetReference),
"'"&amp;SUBSTITUTE(SUBSTITUTE(RIGHT(_xlpm._sheetReference,LEN(_xlpm._sheetReference)-_xlpm._start),"'",""),"!","'!")))</f>
        <v/>
      </c>
      <c r="AD70" s="11" t="str" cm="1">
        <f t="array" aca="1" ref="AD70" ca="1">IF(NOT($O70),
_xlfn.LET(_xlpm._value,IF($A70="","",IF($M70,SimpleLookup($A70,Assumptions!$A:$AG),SimpleLookup($A70,Countermeasures!$A:$AJ))),
IF(_xlpm._value="","",_xlpm._value)),
"")</f>
        <v/>
      </c>
      <c r="AE70" s="11" t="str" cm="1">
        <f t="array" aca="1" ref="AE70" ca="1">LookupNames(InverseLookup($A70,Mitigation!$AD$2,Mitigation!$A$2,1,Helper!$B$5,","),'Attack Steps'!$A:$B)</f>
        <v/>
      </c>
      <c r="AF70" s="11" t="str" cm="1">
        <f t="array" aca="1" ref="AF70" ca="1">IF($O70,
_xlfn.LET(
_xlpm._in,$A70,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70" s="11" t="str" cm="1">
        <f t="array" aca="1" ref="AG70" ca="1">_xlfn.LET(
_xlpm._countermeasures,InverseLookup($A70,Countermeasures!$AC$2,Countermeasures!$A$2,1,Helper!$B$4,","),
LookupNames(_xlpm._countermeasures,Countermeasures!$A:$B))</f>
        <v/>
      </c>
      <c r="AH70" s="11" t="str" cm="1">
        <f t="array" aca="1" ref="AH70" ca="1">IF($E70="","",_xlfn.LET(
_xlpm._id,$E70,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70" s="11" t="str" cm="1">
        <f t="array" aca="1" ref="AI70" ca="1">IF(OR($A70="",$O70),"",_xlfn.LET(
_xlpm._answers,IF($M70,SimpleLookup($A70,Assumptions!$A:$F),SimpleLookup($A70,Countermeasures!$A:$D)),
IF(_xlpm._answers="*",IF($M70,SimpleLookup($A70,Assumptions!$A:$C),SimpleLookup($A70,Countermeasures!$A:$C)),"")))</f>
        <v/>
      </c>
      <c r="AJ70" s="11" t="str" cm="1">
        <f t="array" aca="1" ref="AJ70" ca="1">IF(NOT($O70),"",_xlfn.LET(
_xlpm._mappedInMitigation,IFERROR(VLOOKUP($Y70,'Attack Steps'!$A:$P,COLUMNS('Attack Steps'!$A:$P),FALSE),""),
CreateSearchString(_xlpm._mappedInMitigation)))</f>
        <v/>
      </c>
      <c r="AK70" s="11" t="b">
        <f ca="1">ROW()-ROW($AK$17)=Helper!$B$15</f>
        <v>0</v>
      </c>
      <c r="AL70" s="11" t="str">
        <f t="shared" ca="1" si="15"/>
        <v/>
      </c>
      <c r="AM70" s="11" cm="1">
        <f t="array" aca="1" ref="AM70" ca="1">CreateID($AM$17,$AL70&lt;&gt;"")</f>
        <v>0</v>
      </c>
      <c r="AN70" s="11" t="str" cm="1">
        <f t="array" aca="1" ref="AN70" ca="1">IF($O70,"",
_xlfn.LET(
_xlpm._this,SanitizeInput($A70)&amp;AT70,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70" s="11" t="str" cm="1">
        <f t="array" aca="1" ref="AO70" ca="1">IF($O70,"",_xlfn.LET(
_xlpm._listOfRisksAndLevels,SanitizeInput($AN70),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_xlpm._shortenedList,IF($H70="",_xlpm._risksWithMaxValue,
  IF(LEN(_xlpm._risksWithMaxValue)-LEN(SUBSTITUTE(_xlpm._risksWithMaxValue,",",""))&lt;=$H70,_xlpm._risksWithMaxValue,
    LEFT(_xlpm._risksWithMaxValue,FIND(CHAR(1),SUBSTITUTE(_xlpm._risksWithMaxValue,",",CHAR(1),$H70))))),
IF(_xlpm._maxRiskValue="","",
  _xlpm._lineMainSeparator&amp;
  INDEX(Definitions!$AE:$AE,MATCH(_xlpm._maxRiskValue,Definitions!$AF:$AF,0))&amp;CHAR(10)&amp;
  _xlpm._lineMainSeparator&amp;
  RemoveDelimiter(GetValues(_xlpm._shortenedList,Risks!$A:$B," ",CHAR(10)&amp;_xlpm._lineMainSeparator,TRUE),CHAR(10)&amp;_xlpm._lineMainSeparator))))</f>
        <v/>
      </c>
      <c r="AP70" s="11" t="str" cm="1">
        <f t="array" aca="1" ref="AP70" ca="1">IF($O70,"",_xlfn.LET(
_xlpm._lineMainSeparator,REPT(_xlfn.UNICHAR(9552),63)&amp;CHAR(10),
_xlpm._affectedRisks,InverseLookupList(SanitizeInput($A70)&amp;$AT70,Risks!$AX$2,Risks!$A$2,Helper!$B$1,","),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_xlpm._shortenedList,IF($H70="",_xlpm._risksWithMaxValue,
  IF(LEN(_xlpm._risksWithMaxValue)-LEN(SUBSTITUTE(_xlpm._risksWithMaxValue,",",""))&lt;=$H70,_xlpm._risksWithMaxValue,
    LEFT(_xlpm._risksWithMaxValue,FIND(CHAR(1),SUBSTITUTE(_xlpm._risksWithMaxValue,",",CHAR(1),$H70))))),
IF(_xlpm._maxRiskValue="","",
  _xlpm._lineMainSeparator&amp;
  INDEX(Definitions!$AE:$AE,MATCH(_xlpm._maxRiskValue,Definitions!$AF:$AF,0))&amp;CHAR(10)&amp;
  _xlpm._lineMainSeparator&amp;
  RemoveDelimiter(GetValues(_xlpm._shortenedList,Risks!$A:$B," ",CHAR(10)&amp;_xlpm._lineMainSeparator,TRUE),CHAR(10)&amp;_xlpm._lineMainSeparator))))</f>
        <v/>
      </c>
      <c r="AQ70" s="11" t="str" cm="1">
        <f t="array" aca="1" ref="AQ70" ca="1">IF(NOT($O70),"",
_xlfn.LET(
_xlpm._potentialASID,$Y70,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_xlpm._commentsFiltered,SUBSTITUTE(GetValues(_xlpm._attackSteps,Mitigation!$A:$O,"","",FALSE),$X70,""),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70" s="11" t="str" cm="1">
        <f t="array" aca="1" ref="AR70" ca="1">IF(NOT($O70),"",_xlfn.LET(
_xlpm._listOfRisksAndLevels,SanitizeInput($AQ70),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_xlpm._shortenedList,IF($H70="",_xlpm._risksWithMaxValue,
  IF(LEN(_xlpm._risksWithMaxValue)-LEN(SUBSTITUTE(_xlpm._risksWithMaxValue,",",""))&lt;=$H70,_xlpm._risksWithMaxValue,
    LEFT(_xlpm._risksWithMaxValue,FIND(CHAR(1),SUBSTITUTE(_xlpm._risksWithMaxValue,",",CHAR(1),$H70))))),
IF(_xlpm._maxRiskValue="","",
  _xlpm._lineMainSeparator&amp;
  INDEX(Definitions!$AE:$AE,MATCH(_xlpm._maxRiskValue,Definitions!$AF:$AF,0))&amp;CHAR(10)&amp;
  _xlpm._lineMainSeparator&amp;
  RemoveDelimiter(GetValues(_xlpm._shortenedList,Risks!$A:$B," ",CHAR(10)&amp;_xlpm._lineMainSeparator,TRUE),CHAR(10)&amp;_xlpm._lineMainSeparator))))</f>
        <v/>
      </c>
      <c r="AS70" s="11" t="str" cm="1">
        <f t="array" aca="1" ref="AS70" ca="1">IF(NOT($O70),"",
_xlfn.LET(
_xlpm._lineMainSeparator,REPT(_xlfn.UNICHAR(9552),63)&amp;CHAR(10),
_xlpm._potentialASID,$Y70,
_xlpm._risk,IFERROR(SimpleLookup(_xlpm._potentialASID,Mitigation!$A:$N),""),
_xlpm._attackPaths,IFERROR(SimpleLookup(_xlpm._potentialASID,Mitigation!$A:$M),""),
IF(_xlpm._risk="","",
_xlpm._lineMainSeparator&amp;
_xlpm._risk&amp;CHAR(10)&amp;
_xlpm._lineMainSeparator&amp;
_xlpm._attackPaths)))</f>
        <v/>
      </c>
      <c r="AT70" s="11" t="str" cm="1">
        <f t="array" aca="1" ref="AT70" ca="1">InverseLookup($A70,Countermeasures!$AA$2,Countermeasures!$A$2,1,Helper!$B$4,",")</f>
        <v/>
      </c>
    </row>
    <row r="71" spans="1:46" x14ac:dyDescent="0.25">
      <c r="A71" s="106" t="str">
        <f ca="1">_xlfn.LET(
_xlpm._isAssumption,$M71,
_xlpm._row,$N71,
_xlpm._numActiveAssumptions,Helper!$B$8,
_xlpm._numActiveCountermeasures,Helper!$B$9,
_xlpm._numAdditionalAssumptions,Helper!$B$10,
_xlpm._numAdditionalCountermeasures,Helper!$B$11,
IF(_xlpm._isAssumption,
IF(_xlpm._row&gt;_xlpm._numActiveAssumptions,
$Y71&amp;"-A"&amp;$T71,
INDEX(Assumptions!A:A,MATCH(_xlpm._row,Assumptions!$AC:$AC,0))),
IF(_xlpm._row&gt;_xlpm._numActiveCountermeasures+_xlpm._numAdditionalCountermeasures,"",
IF(_xlpm._row&gt;_xlpm._numActiveCountermeasures,
$Y71&amp;"-C"&amp;$T71,
INDEX(Countermeasures!$A:$A,MATCH(_xlpm._row,Countermeasures!$AE:$AE,0))))))</f>
        <v/>
      </c>
      <c r="B71" s="106" t="str" cm="1">
        <f t="array" aca="1" ref="B71" ca="1">IF($A71="","",
_xlfn.LET(
_xlpm._isAssumption,$M71,
_xlpm._isAdditionalElement,$O71,
IF(_xlpm._isAdditionalElement,
IF(_xlpm._isAssumption,
ParseElementsFromComment($X71,Definitions!$AR$4,Definitions!$AS$4,Definitions!$AR$6,$T71),
ParseElementsFromComment($X71,Definitions!$AR$5,Definitions!$AS$5,Definitions!$AR$6,$T71)),
_xlfn.LET(_xlpm._value,IF($A71="","",IF($M71,SimpleLookup($A71,Assumptions!$A:$B),SimpleLookup($A71,Countermeasures!$A:$B))),IF(_xlpm._value="","",_xlpm._value)))))</f>
        <v/>
      </c>
      <c r="C71" s="106" t="str" cm="1">
        <f t="array" aca="1" ref="C71" ca="1">IF($A71="","",IF($M71,IFERROR(SimpleLookup($A71,Assumptions!$A:$E),""),Definitions!$AO$4))</f>
        <v/>
      </c>
      <c r="D71" s="103" t="str">
        <f t="shared" ca="1" si="9"/>
        <v/>
      </c>
      <c r="E71" s="107"/>
      <c r="F71" s="108" t="str">
        <f t="shared" ca="1" si="10"/>
        <v/>
      </c>
      <c r="G71" s="102" t="str" cm="1">
        <f t="array" aca="1" ref="G71" ca="1">_xlfn.LET(_xlpm._val,IFERROR(SimpleLookup($A71,Countermeasures!$A:$S),IFERROR(SimpleLookup($A71,Assumptions!$A:$S),"")),IF(_xlpm._val="","",_xlpm._val))</f>
        <v/>
      </c>
      <c r="H71" s="109" t="str">
        <f>""</f>
        <v/>
      </c>
      <c r="I71" s="102" t="str">
        <f t="shared" ca="1" si="11"/>
        <v/>
      </c>
      <c r="J71" s="102" t="str">
        <f t="shared" ca="1" si="12"/>
        <v/>
      </c>
      <c r="K71" s="106" t="str" cm="1">
        <f t="array" aca="1" ref="K71" ca="1">_xlfn.LET(_xlpm._value,IF($A71="","",IFERROR(IF($M71,SimpleLookup($A71,Assumptions!$A:$T),SimpleLookup($A71,Countermeasures!$A:$T)),"")),
IF(_xlpm._value="","",_xlpm._value))</f>
        <v/>
      </c>
      <c r="L71" s="9" cm="1">
        <f t="array" aca="1" ref="L71" ca="1">CreateID($L$17,$A71&lt;&gt;"")</f>
        <v>11</v>
      </c>
      <c r="M71" s="9" t="b">
        <f ca="1">_xlfn.LET(_xlpm._row,ROW()-ROW($N$17),
_xlpm._numActiveAssumptions,Helper!$B$8,
_xlpm._numAdditionalAssumptions,SUM(Table24['# Elements]),
_xlpm._row&lt;=_xlpm._numActiveAssumptions+_xlpm._numAdditionalAssumptions)</f>
        <v>0</v>
      </c>
      <c r="N71" s="9">
        <f ca="1">_xlfn.LET(_xlpm._row,ROW()-ROW($N$17),
_xlpm._numActiveAssumptions,Helper!$B$8,
_xlpm._numAdditionalAssumptions,Helper!$B$10,
_xlpm._isAssumption,$M71,
_xlpm._elementID,IF(_xlpm._isAssumption,_xlpm._row,_xlpm._row-_xlpm._numActiveAssumptions-_xlpm._numAdditionalAssumptions),
_xlpm._elementID)</f>
        <v>50</v>
      </c>
      <c r="O71"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71" s="11" cm="1">
        <f t="array" aca="1" ref="P71" ca="1">IF($O71,
IF(ROW()=ROW($P$17)+1,1,INDEX($P:$P,ROW()-1)+IF(INDEX($W:$W,ROW()-1),1,0)),
1)</f>
        <v>1</v>
      </c>
      <c r="Q71" s="11" t="str" cm="1">
        <f t="array" aca="1" ref="Q71" ca="1">IF($O71=TRUE,
_xlfn.LET(
_xlpm._isAssumption,$M71,
_xlpm._indexRange,IF(_xlpm._isAssumption,Table24['# Elements],Table25['# Elements]),
_xlpm._lookupRow,$Z71,
INDEX(_xlpm._indexRange,_xlpm._lookupRow)),
"")</f>
        <v/>
      </c>
      <c r="R71" s="11" t="str" cm="1">
        <f t="array" aca="1" ref="R71" ca="1">IF($Q71="","",_xlfn.LET(
_xlpm._prevRow,ROW()-1,
IF(OR(INDEX($Q:$Q,_xlpm._prevRow)&lt;&gt;$Q71,INDEX($P:$P,_xlpm._prevRow)&lt;&gt;$P71),
1,
INDEX($R:$R,_xlpm._prevRow)+IF(INDEX($V:$V,_xlpm._prevRow),1,0))))</f>
        <v/>
      </c>
      <c r="S71" s="11" t="str" cm="1">
        <f t="array" aca="1" ref="S71" ca="1">IF($R71="","",_xlfn.LET(
_xlpm._isAssumption,$M71,
_xlpm._sheetRow,$Z71,
_xlpm._sheetName,$AA71,
_xlpm._elementIDRange,IF(_xlpm._isAssumption,Table24[Element ID Column],Table25[Element ID Column]),
_xlpm._numberOfElementsRange,IF(_xlpm._isAssumption,Table24[Number of Elements Column],Table25[Number of Elements Column]),
SimpleLookup($R71,INDIRECT("'"&amp;_xlpm._sheetName&amp;"'!"&amp;INDEX(_xlpm._elementIDRange,_xlpm._sheetRow)&amp;":"&amp;INDEX(_xlpm._numberOfElementsRange,_xlpm._sheetRow)))))</f>
        <v/>
      </c>
      <c r="T71" s="11" t="str" cm="1">
        <f t="array" aca="1" ref="T71" ca="1">IF($R71="","",IF(OR(INDEX($R:$R,ROW()-1)&lt;&gt;$R71,INDEX($P:$P,ROW()-1)&lt;&gt;$P71),1,INDEX($T:$T,ROW()-1)+1))</f>
        <v/>
      </c>
      <c r="U71" s="11">
        <f t="shared" ca="1" si="13"/>
        <v>0</v>
      </c>
      <c r="V71" s="11" t="str">
        <f t="shared" ca="1" si="14"/>
        <v/>
      </c>
      <c r="W71" s="11" t="b">
        <f ca="1">_xlfn.LET(
_xlpm._isAssumption,$M71,
_xlpm._numberOfElementsRange,IF(_xlpm._isAssumption,Table24['# Elements],Table25['# Elements]),
_xlpm._sheetRow,$Z71,
IF($O71,AND($V71,$U71=$Q71),FALSE))</f>
        <v>0</v>
      </c>
      <c r="X71" s="11" t="str" cm="1">
        <f t="array" aca="1" ref="X71" ca="1">IF($O71,
_xlfn.LET(
_xlpm._elementID,$R71,
_xlpm._isAssumption,$M71,
_xlpm._sheetRow,$Z71,
_xlpm._sheetName,$AA71,
_xlpm._elementRow,$AB71,
_xlpm._resultColumnLetter,IF(_xlpm._isAssumption,INDEX(Table24[Comment Column],_xlpm._sheetRow),INDEX(Table25[Comment Column],_xlpm._sheetRow)),
INDEX(INDIRECT("'"&amp;_xlpm._sheetName&amp;"'!"&amp;_xlpm._resultColumnLetter&amp;":"&amp;_xlpm._resultColumnLetter),_xlpm._elementRow)),
"")</f>
        <v/>
      </c>
      <c r="Y71" s="11" t="str" cm="1">
        <f t="array" aca="1" ref="Y71" ca="1">IF($O71,
_xlfn.LET(
_xlpm._elementID,$R71,
_xlpm._isAssumption,$M71,
_xlpm._sheetRow,$Z71,
_xlpm._sheetName,$AA71,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71" s="11" t="str">
        <f ca="1">IF($O71=TRUE,
_xlfn.LET(
_xlpm._isAssumption,$M71,
_xlpm._searchRange,IF(_xlpm._isAssumption,Table24[Task Sheet Shadow ID],Table25[Task Sheet Shadow ID]),
MATCH($P71,_xlpm._searchRange,0)),
"")</f>
        <v/>
      </c>
      <c r="AA71" s="11" t="str" cm="1">
        <f t="array" aca="1" ref="AA71" ca="1">IF($O71,
_xlfn.LET(
_xlpm._isAssumption,$M71,
_xlpm._sheetRow,$Z71,
IF(_xlpm._isAssumption,INDEX(Table24[Sheet Name],_xlpm._sheetRow),INDEX(Table25[Sheet Name],_xlpm._sheetRow))),
"")</f>
        <v/>
      </c>
      <c r="AB71" s="11" t="str" cm="1">
        <f t="array" aca="1" ref="AB71" ca="1">IF($O71,
_xlfn.LET(
_xlpm._elementID,$R71,
_xlpm._isAssumption,$M71,
_xlpm._sheetRow,$Z71,
_xlpm._sheetName,$AA71,
_xlpm._elementIDColumnLetter,IF(_xlpm._isAssumption,INDEX(Table24[Element ID Column],_xlpm._sheetRow),INDEX(Table25[Element ID Column],_xlpm._sheetRow)),
MATCH(_xlpm._elementID,INDIRECT("'"&amp;_xlpm._sheetName&amp;"'!"&amp;_xlpm._elementIDColumnLetter&amp;":"&amp;_xlpm._elementIDColumnLetter),0)),
"")</f>
        <v/>
      </c>
      <c r="AC71" s="11" t="str" cm="1">
        <f t="array" aca="1" ref="AC71" ca="1">IF($A71="","",_xlfn.LET(
_xlpm._isAssumption,$M71,
_xlpm._isAdditionalElement,$O71,
_xlpm._sheetRow,$Z71,
_xlpm._sheetName,$AA71,
_xlpm._columnLetter,INDEX(IF(_xlpm._isAdditionalElement,Table24[Comment Column],Table25[Comment Column]),_xlpm._sheetRow),
_xlpm._sheetReference,IF(_xlpm._isAssumption,IF(_xlpm._isAdditionalElement,
CELL("address",INDEX(INDIRECT("'"&amp;_xlpm._sheetName&amp;"'!"&amp;_xlpm._columnLetter&amp;":"&amp;_xlpm._columnLetter),$AB71)),
CELL("address",INDEX(Assumptions!$A:$A,MATCH($A71,Assumptions!$A:$A,0),1))),
IF(_xlpm._isAdditionalElement,
CELL("address",INDEX(INDIRECT("'"&amp;_xlpm._sheetName&amp;"'!"&amp;_xlpm._columnLetter&amp;":"&amp;_xlpm._columnLetter),$AB71)),
CELL("address",INDEX(Countermeasures!$A:$A,MATCH($A71,Countermeasures!$A:$A,0),1)))),
_xlpm._start,FIND("]",_xlpm._sheetReference),
"'"&amp;SUBSTITUTE(SUBSTITUTE(RIGHT(_xlpm._sheetReference,LEN(_xlpm._sheetReference)-_xlpm._start),"'",""),"!","'!")))</f>
        <v/>
      </c>
      <c r="AD71" s="11" t="str" cm="1">
        <f t="array" aca="1" ref="AD71" ca="1">IF(NOT($O71),
_xlfn.LET(_xlpm._value,IF($A71="","",IF($M71,SimpleLookup($A71,Assumptions!$A:$AG),SimpleLookup($A71,Countermeasures!$A:$AJ))),
IF(_xlpm._value="","",_xlpm._value)),
"")</f>
        <v/>
      </c>
      <c r="AE71" s="11" t="str" cm="1">
        <f t="array" aca="1" ref="AE71" ca="1">LookupNames(InverseLookup($A71,Mitigation!$AD$2,Mitigation!$A$2,1,Helper!$B$5,","),'Attack Steps'!$A:$B)</f>
        <v/>
      </c>
      <c r="AF71" s="11" t="str" cm="1">
        <f t="array" aca="1" ref="AF71" ca="1">IF($O71,
_xlfn.LET(
_xlpm._in,$A71,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71" s="11" t="str" cm="1">
        <f t="array" aca="1" ref="AG71" ca="1">_xlfn.LET(
_xlpm._countermeasures,InverseLookup($A71,Countermeasures!$AC$2,Countermeasures!$A$2,1,Helper!$B$4,","),
LookupNames(_xlpm._countermeasures,Countermeasures!$A:$B))</f>
        <v/>
      </c>
      <c r="AH71" s="11" t="str" cm="1">
        <f t="array" aca="1" ref="AH71" ca="1">IF($E71="","",_xlfn.LET(
_xlpm._id,$E71,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71" s="11" t="str" cm="1">
        <f t="array" aca="1" ref="AI71" ca="1">IF(OR($A71="",$O71),"",_xlfn.LET(
_xlpm._answers,IF($M71,SimpleLookup($A71,Assumptions!$A:$F),SimpleLookup($A71,Countermeasures!$A:$D)),
IF(_xlpm._answers="*",IF($M71,SimpleLookup($A71,Assumptions!$A:$C),SimpleLookup($A71,Countermeasures!$A:$C)),"")))</f>
        <v/>
      </c>
      <c r="AJ71" s="11" t="str" cm="1">
        <f t="array" aca="1" ref="AJ71" ca="1">IF(NOT($O71),"",_xlfn.LET(
_xlpm._mappedInMitigation,IFERROR(VLOOKUP($Y71,'Attack Steps'!$A:$P,COLUMNS('Attack Steps'!$A:$P),FALSE),""),
CreateSearchString(_xlpm._mappedInMitigation)))</f>
        <v/>
      </c>
      <c r="AK71" s="11" t="b">
        <f ca="1">ROW()-ROW($AK$17)=Helper!$B$15</f>
        <v>0</v>
      </c>
      <c r="AL71" s="11" t="str">
        <f t="shared" ca="1" si="15"/>
        <v/>
      </c>
      <c r="AM71" s="11" cm="1">
        <f t="array" aca="1" ref="AM71" ca="1">CreateID($AM$17,$AL71&lt;&gt;"")</f>
        <v>0</v>
      </c>
      <c r="AN71" s="11" t="str" cm="1">
        <f t="array" aca="1" ref="AN71" ca="1">IF($O71,"",
_xlfn.LET(
_xlpm._this,SanitizeInput($A71)&amp;AT71,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71" s="11" t="str" cm="1">
        <f t="array" aca="1" ref="AO71" ca="1">IF($O71,"",_xlfn.LET(
_xlpm._listOfRisksAndLevels,SanitizeInput($AN71),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_xlpm._shortenedList,IF($H71="",_xlpm._risksWithMaxValue,
  IF(LEN(_xlpm._risksWithMaxValue)-LEN(SUBSTITUTE(_xlpm._risksWithMaxValue,",",""))&lt;=$H71,_xlpm._risksWithMaxValue,
    LEFT(_xlpm._risksWithMaxValue,FIND(CHAR(1),SUBSTITUTE(_xlpm._risksWithMaxValue,",",CHAR(1),$H71))))),
IF(_xlpm._maxRiskValue="","",
  _xlpm._lineMainSeparator&amp;
  INDEX(Definitions!$AE:$AE,MATCH(_xlpm._maxRiskValue,Definitions!$AF:$AF,0))&amp;CHAR(10)&amp;
  _xlpm._lineMainSeparator&amp;
  RemoveDelimiter(GetValues(_xlpm._shortenedList,Risks!$A:$B," ",CHAR(10)&amp;_xlpm._lineMainSeparator,TRUE),CHAR(10)&amp;_xlpm._lineMainSeparator))))</f>
        <v/>
      </c>
      <c r="AP71" s="11" t="str" cm="1">
        <f t="array" aca="1" ref="AP71" ca="1">IF($O71,"",_xlfn.LET(
_xlpm._lineMainSeparator,REPT(_xlfn.UNICHAR(9552),63)&amp;CHAR(10),
_xlpm._affectedRisks,InverseLookupList(SanitizeInput($A71)&amp;$AT71,Risks!$AX$2,Risks!$A$2,Helper!$B$1,","),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_xlpm._shortenedList,IF($H71="",_xlpm._risksWithMaxValue,
  IF(LEN(_xlpm._risksWithMaxValue)-LEN(SUBSTITUTE(_xlpm._risksWithMaxValue,",",""))&lt;=$H71,_xlpm._risksWithMaxValue,
    LEFT(_xlpm._risksWithMaxValue,FIND(CHAR(1),SUBSTITUTE(_xlpm._risksWithMaxValue,",",CHAR(1),$H71))))),
IF(_xlpm._maxRiskValue="","",
  _xlpm._lineMainSeparator&amp;
  INDEX(Definitions!$AE:$AE,MATCH(_xlpm._maxRiskValue,Definitions!$AF:$AF,0))&amp;CHAR(10)&amp;
  _xlpm._lineMainSeparator&amp;
  RemoveDelimiter(GetValues(_xlpm._shortenedList,Risks!$A:$B," ",CHAR(10)&amp;_xlpm._lineMainSeparator,TRUE),CHAR(10)&amp;_xlpm._lineMainSeparator))))</f>
        <v/>
      </c>
      <c r="AQ71" s="11" t="str" cm="1">
        <f t="array" aca="1" ref="AQ71" ca="1">IF(NOT($O71),"",
_xlfn.LET(
_xlpm._potentialASID,$Y71,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_xlpm._commentsFiltered,SUBSTITUTE(GetValues(_xlpm._attackSteps,Mitigation!$A:$O,"","",FALSE),$X71,""),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71" s="11" t="str" cm="1">
        <f t="array" aca="1" ref="AR71" ca="1">IF(NOT($O71),"",_xlfn.LET(
_xlpm._listOfRisksAndLevels,SanitizeInput($AQ71),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_xlpm._shortenedList,IF($H71="",_xlpm._risksWithMaxValue,
  IF(LEN(_xlpm._risksWithMaxValue)-LEN(SUBSTITUTE(_xlpm._risksWithMaxValue,",",""))&lt;=$H71,_xlpm._risksWithMaxValue,
    LEFT(_xlpm._risksWithMaxValue,FIND(CHAR(1),SUBSTITUTE(_xlpm._risksWithMaxValue,",",CHAR(1),$H71))))),
IF(_xlpm._maxRiskValue="","",
  _xlpm._lineMainSeparator&amp;
  INDEX(Definitions!$AE:$AE,MATCH(_xlpm._maxRiskValue,Definitions!$AF:$AF,0))&amp;CHAR(10)&amp;
  _xlpm._lineMainSeparator&amp;
  RemoveDelimiter(GetValues(_xlpm._shortenedList,Risks!$A:$B," ",CHAR(10)&amp;_xlpm._lineMainSeparator,TRUE),CHAR(10)&amp;_xlpm._lineMainSeparator))))</f>
        <v/>
      </c>
      <c r="AS71" s="11" t="str" cm="1">
        <f t="array" aca="1" ref="AS71" ca="1">IF(NOT($O71),"",
_xlfn.LET(
_xlpm._lineMainSeparator,REPT(_xlfn.UNICHAR(9552),63)&amp;CHAR(10),
_xlpm._potentialASID,$Y71,
_xlpm._risk,IFERROR(SimpleLookup(_xlpm._potentialASID,Mitigation!$A:$N),""),
_xlpm._attackPaths,IFERROR(SimpleLookup(_xlpm._potentialASID,Mitigation!$A:$M),""),
IF(_xlpm._risk="","",
_xlpm._lineMainSeparator&amp;
_xlpm._risk&amp;CHAR(10)&amp;
_xlpm._lineMainSeparator&amp;
_xlpm._attackPaths)))</f>
        <v/>
      </c>
      <c r="AT71" s="11" t="str" cm="1">
        <f t="array" aca="1" ref="AT71" ca="1">InverseLookup($A71,Countermeasures!$AA$2,Countermeasures!$A$2,1,Helper!$B$4,",")</f>
        <v/>
      </c>
    </row>
    <row r="72" spans="1:46" x14ac:dyDescent="0.25">
      <c r="A72" s="106" t="str">
        <f ca="1">_xlfn.LET(
_xlpm._isAssumption,$M72,
_xlpm._row,$N72,
_xlpm._numActiveAssumptions,Helper!$B$8,
_xlpm._numActiveCountermeasures,Helper!$B$9,
_xlpm._numAdditionalAssumptions,Helper!$B$10,
_xlpm._numAdditionalCountermeasures,Helper!$B$11,
IF(_xlpm._isAssumption,
IF(_xlpm._row&gt;_xlpm._numActiveAssumptions,
$Y72&amp;"-A"&amp;$T72,
INDEX(Assumptions!A:A,MATCH(_xlpm._row,Assumptions!$AC:$AC,0))),
IF(_xlpm._row&gt;_xlpm._numActiveCountermeasures+_xlpm._numAdditionalCountermeasures,"",
IF(_xlpm._row&gt;_xlpm._numActiveCountermeasures,
$Y72&amp;"-C"&amp;$T72,
INDEX(Countermeasures!$A:$A,MATCH(_xlpm._row,Countermeasures!$AE:$AE,0))))))</f>
        <v/>
      </c>
      <c r="B72" s="106" t="str" cm="1">
        <f t="array" aca="1" ref="B72" ca="1">IF($A72="","",
_xlfn.LET(
_xlpm._isAssumption,$M72,
_xlpm._isAdditionalElement,$O72,
IF(_xlpm._isAdditionalElement,
IF(_xlpm._isAssumption,
ParseElementsFromComment($X72,Definitions!$AR$4,Definitions!$AS$4,Definitions!$AR$6,$T72),
ParseElementsFromComment($X72,Definitions!$AR$5,Definitions!$AS$5,Definitions!$AR$6,$T72)),
_xlfn.LET(_xlpm._value,IF($A72="","",IF($M72,SimpleLookup($A72,Assumptions!$A:$B),SimpleLookup($A72,Countermeasures!$A:$B))),IF(_xlpm._value="","",_xlpm._value)))))</f>
        <v/>
      </c>
      <c r="C72" s="106" t="str" cm="1">
        <f t="array" aca="1" ref="C72" ca="1">IF($A72="","",IF($M72,IFERROR(SimpleLookup($A72,Assumptions!$A:$E),""),Definitions!$AO$4))</f>
        <v/>
      </c>
      <c r="D72" s="103" t="str">
        <f t="shared" ca="1" si="9"/>
        <v/>
      </c>
      <c r="E72" s="107"/>
      <c r="F72" s="108" t="str">
        <f t="shared" ca="1" si="10"/>
        <v/>
      </c>
      <c r="G72" s="102" t="str" cm="1">
        <f t="array" aca="1" ref="G72" ca="1">_xlfn.LET(_xlpm._val,IFERROR(SimpleLookup($A72,Countermeasures!$A:$S),IFERROR(SimpleLookup($A72,Assumptions!$A:$S),"")),IF(_xlpm._val="","",_xlpm._val))</f>
        <v/>
      </c>
      <c r="H72" s="109" t="str">
        <f>""</f>
        <v/>
      </c>
      <c r="I72" s="102" t="str">
        <f t="shared" ca="1" si="11"/>
        <v/>
      </c>
      <c r="J72" s="102" t="str">
        <f t="shared" ca="1" si="12"/>
        <v/>
      </c>
      <c r="K72" s="106" t="str" cm="1">
        <f t="array" aca="1" ref="K72" ca="1">_xlfn.LET(_xlpm._value,IF($A72="","",IFERROR(IF($M72,SimpleLookup($A72,Assumptions!$A:$T),SimpleLookup($A72,Countermeasures!$A:$T)),"")),
IF(_xlpm._value="","",_xlpm._value))</f>
        <v/>
      </c>
      <c r="L72" s="9" cm="1">
        <f t="array" aca="1" ref="L72" ca="1">CreateID($L$17,$A72&lt;&gt;"")</f>
        <v>11</v>
      </c>
      <c r="M72" s="9" t="b">
        <f ca="1">_xlfn.LET(_xlpm._row,ROW()-ROW($N$17),
_xlpm._numActiveAssumptions,Helper!$B$8,
_xlpm._numAdditionalAssumptions,SUM(Table24['# Elements]),
_xlpm._row&lt;=_xlpm._numActiveAssumptions+_xlpm._numAdditionalAssumptions)</f>
        <v>0</v>
      </c>
      <c r="N72" s="9">
        <f ca="1">_xlfn.LET(_xlpm._row,ROW()-ROW($N$17),
_xlpm._numActiveAssumptions,Helper!$B$8,
_xlpm._numAdditionalAssumptions,Helper!$B$10,
_xlpm._isAssumption,$M72,
_xlpm._elementID,IF(_xlpm._isAssumption,_xlpm._row,_xlpm._row-_xlpm._numActiveAssumptions-_xlpm._numAdditionalAssumptions),
_xlpm._elementID)</f>
        <v>51</v>
      </c>
      <c r="O72"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72" s="11" cm="1">
        <f t="array" aca="1" ref="P72" ca="1">IF($O72,
IF(ROW()=ROW($P$17)+1,1,INDEX($P:$P,ROW()-1)+IF(INDEX($W:$W,ROW()-1),1,0)),
1)</f>
        <v>1</v>
      </c>
      <c r="Q72" s="11" t="str" cm="1">
        <f t="array" aca="1" ref="Q72" ca="1">IF($O72=TRUE,
_xlfn.LET(
_xlpm._isAssumption,$M72,
_xlpm._indexRange,IF(_xlpm._isAssumption,Table24['# Elements],Table25['# Elements]),
_xlpm._lookupRow,$Z72,
INDEX(_xlpm._indexRange,_xlpm._lookupRow)),
"")</f>
        <v/>
      </c>
      <c r="R72" s="11" t="str" cm="1">
        <f t="array" aca="1" ref="R72" ca="1">IF($Q72="","",_xlfn.LET(
_xlpm._prevRow,ROW()-1,
IF(OR(INDEX($Q:$Q,_xlpm._prevRow)&lt;&gt;$Q72,INDEX($P:$P,_xlpm._prevRow)&lt;&gt;$P72),
1,
INDEX($R:$R,_xlpm._prevRow)+IF(INDEX($V:$V,_xlpm._prevRow),1,0))))</f>
        <v/>
      </c>
      <c r="S72" s="11" t="str" cm="1">
        <f t="array" aca="1" ref="S72" ca="1">IF($R72="","",_xlfn.LET(
_xlpm._isAssumption,$M72,
_xlpm._sheetRow,$Z72,
_xlpm._sheetName,$AA72,
_xlpm._elementIDRange,IF(_xlpm._isAssumption,Table24[Element ID Column],Table25[Element ID Column]),
_xlpm._numberOfElementsRange,IF(_xlpm._isAssumption,Table24[Number of Elements Column],Table25[Number of Elements Column]),
SimpleLookup($R72,INDIRECT("'"&amp;_xlpm._sheetName&amp;"'!"&amp;INDEX(_xlpm._elementIDRange,_xlpm._sheetRow)&amp;":"&amp;INDEX(_xlpm._numberOfElementsRange,_xlpm._sheetRow)))))</f>
        <v/>
      </c>
      <c r="T72" s="11" t="str" cm="1">
        <f t="array" aca="1" ref="T72" ca="1">IF($R72="","",IF(OR(INDEX($R:$R,ROW()-1)&lt;&gt;$R72,INDEX($P:$P,ROW()-1)&lt;&gt;$P72),1,INDEX($T:$T,ROW()-1)+1))</f>
        <v/>
      </c>
      <c r="U72" s="11">
        <f t="shared" ca="1" si="13"/>
        <v>0</v>
      </c>
      <c r="V72" s="11" t="str">
        <f t="shared" ca="1" si="14"/>
        <v/>
      </c>
      <c r="W72" s="11" t="b">
        <f ca="1">_xlfn.LET(
_xlpm._isAssumption,$M72,
_xlpm._numberOfElementsRange,IF(_xlpm._isAssumption,Table24['# Elements],Table25['# Elements]),
_xlpm._sheetRow,$Z72,
IF($O72,AND($V72,$U72=$Q72),FALSE))</f>
        <v>0</v>
      </c>
      <c r="X72" s="11" t="str" cm="1">
        <f t="array" aca="1" ref="X72" ca="1">IF($O72,
_xlfn.LET(
_xlpm._elementID,$R72,
_xlpm._isAssumption,$M72,
_xlpm._sheetRow,$Z72,
_xlpm._sheetName,$AA72,
_xlpm._elementRow,$AB72,
_xlpm._resultColumnLetter,IF(_xlpm._isAssumption,INDEX(Table24[Comment Column],_xlpm._sheetRow),INDEX(Table25[Comment Column],_xlpm._sheetRow)),
INDEX(INDIRECT("'"&amp;_xlpm._sheetName&amp;"'!"&amp;_xlpm._resultColumnLetter&amp;":"&amp;_xlpm._resultColumnLetter),_xlpm._elementRow)),
"")</f>
        <v/>
      </c>
      <c r="Y72" s="11" t="str" cm="1">
        <f t="array" aca="1" ref="Y72" ca="1">IF($O72,
_xlfn.LET(
_xlpm._elementID,$R72,
_xlpm._isAssumption,$M72,
_xlpm._sheetRow,$Z72,
_xlpm._sheetName,$AA72,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72" s="11" t="str">
        <f ca="1">IF($O72=TRUE,
_xlfn.LET(
_xlpm._isAssumption,$M72,
_xlpm._searchRange,IF(_xlpm._isAssumption,Table24[Task Sheet Shadow ID],Table25[Task Sheet Shadow ID]),
MATCH($P72,_xlpm._searchRange,0)),
"")</f>
        <v/>
      </c>
      <c r="AA72" s="11" t="str" cm="1">
        <f t="array" aca="1" ref="AA72" ca="1">IF($O72,
_xlfn.LET(
_xlpm._isAssumption,$M72,
_xlpm._sheetRow,$Z72,
IF(_xlpm._isAssumption,INDEX(Table24[Sheet Name],_xlpm._sheetRow),INDEX(Table25[Sheet Name],_xlpm._sheetRow))),
"")</f>
        <v/>
      </c>
      <c r="AB72" s="11" t="str" cm="1">
        <f t="array" aca="1" ref="AB72" ca="1">IF($O72,
_xlfn.LET(
_xlpm._elementID,$R72,
_xlpm._isAssumption,$M72,
_xlpm._sheetRow,$Z72,
_xlpm._sheetName,$AA72,
_xlpm._elementIDColumnLetter,IF(_xlpm._isAssumption,INDEX(Table24[Element ID Column],_xlpm._sheetRow),INDEX(Table25[Element ID Column],_xlpm._sheetRow)),
MATCH(_xlpm._elementID,INDIRECT("'"&amp;_xlpm._sheetName&amp;"'!"&amp;_xlpm._elementIDColumnLetter&amp;":"&amp;_xlpm._elementIDColumnLetter),0)),
"")</f>
        <v/>
      </c>
      <c r="AC72" s="11" t="str" cm="1">
        <f t="array" aca="1" ref="AC72" ca="1">IF($A72="","",_xlfn.LET(
_xlpm._isAssumption,$M72,
_xlpm._isAdditionalElement,$O72,
_xlpm._sheetRow,$Z72,
_xlpm._sheetName,$AA72,
_xlpm._columnLetter,INDEX(IF(_xlpm._isAdditionalElement,Table24[Comment Column],Table25[Comment Column]),_xlpm._sheetRow),
_xlpm._sheetReference,IF(_xlpm._isAssumption,IF(_xlpm._isAdditionalElement,
CELL("address",INDEX(INDIRECT("'"&amp;_xlpm._sheetName&amp;"'!"&amp;_xlpm._columnLetter&amp;":"&amp;_xlpm._columnLetter),$AB72)),
CELL("address",INDEX(Assumptions!$A:$A,MATCH($A72,Assumptions!$A:$A,0),1))),
IF(_xlpm._isAdditionalElement,
CELL("address",INDEX(INDIRECT("'"&amp;_xlpm._sheetName&amp;"'!"&amp;_xlpm._columnLetter&amp;":"&amp;_xlpm._columnLetter),$AB72)),
CELL("address",INDEX(Countermeasures!$A:$A,MATCH($A72,Countermeasures!$A:$A,0),1)))),
_xlpm._start,FIND("]",_xlpm._sheetReference),
"'"&amp;SUBSTITUTE(SUBSTITUTE(RIGHT(_xlpm._sheetReference,LEN(_xlpm._sheetReference)-_xlpm._start),"'",""),"!","'!")))</f>
        <v/>
      </c>
      <c r="AD72" s="11" t="str" cm="1">
        <f t="array" aca="1" ref="AD72" ca="1">IF(NOT($O72),
_xlfn.LET(_xlpm._value,IF($A72="","",IF($M72,SimpleLookup($A72,Assumptions!$A:$AG),SimpleLookup($A72,Countermeasures!$A:$AJ))),
IF(_xlpm._value="","",_xlpm._value)),
"")</f>
        <v/>
      </c>
      <c r="AE72" s="11" t="str" cm="1">
        <f t="array" aca="1" ref="AE72" ca="1">LookupNames(InverseLookup($A72,Mitigation!$AD$2,Mitigation!$A$2,1,Helper!$B$5,","),'Attack Steps'!$A:$B)</f>
        <v/>
      </c>
      <c r="AF72" s="11" t="str" cm="1">
        <f t="array" aca="1" ref="AF72" ca="1">IF($O72,
_xlfn.LET(
_xlpm._in,$A72,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72" s="11" t="str" cm="1">
        <f t="array" aca="1" ref="AG72" ca="1">_xlfn.LET(
_xlpm._countermeasures,InverseLookup($A72,Countermeasures!$AC$2,Countermeasures!$A$2,1,Helper!$B$4,","),
LookupNames(_xlpm._countermeasures,Countermeasures!$A:$B))</f>
        <v/>
      </c>
      <c r="AH72" s="11" t="str" cm="1">
        <f t="array" aca="1" ref="AH72" ca="1">IF($E72="","",_xlfn.LET(
_xlpm._id,$E72,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72" s="11" t="str" cm="1">
        <f t="array" aca="1" ref="AI72" ca="1">IF(OR($A72="",$O72),"",_xlfn.LET(
_xlpm._answers,IF($M72,SimpleLookup($A72,Assumptions!$A:$F),SimpleLookup($A72,Countermeasures!$A:$D)),
IF(_xlpm._answers="*",IF($M72,SimpleLookup($A72,Assumptions!$A:$C),SimpleLookup($A72,Countermeasures!$A:$C)),"")))</f>
        <v/>
      </c>
      <c r="AJ72" s="11" t="str" cm="1">
        <f t="array" aca="1" ref="AJ72" ca="1">IF(NOT($O72),"",_xlfn.LET(
_xlpm._mappedInMitigation,IFERROR(VLOOKUP($Y72,'Attack Steps'!$A:$P,COLUMNS('Attack Steps'!$A:$P),FALSE),""),
CreateSearchString(_xlpm._mappedInMitigation)))</f>
        <v/>
      </c>
      <c r="AK72" s="11" t="b">
        <f ca="1">ROW()-ROW($AK$17)=Helper!$B$15</f>
        <v>0</v>
      </c>
      <c r="AL72" s="11" t="str">
        <f t="shared" ca="1" si="15"/>
        <v/>
      </c>
      <c r="AM72" s="11" cm="1">
        <f t="array" aca="1" ref="AM72" ca="1">CreateID($AM$17,$AL72&lt;&gt;"")</f>
        <v>0</v>
      </c>
      <c r="AN72" s="11" t="str" cm="1">
        <f t="array" aca="1" ref="AN72" ca="1">IF($O72,"",
_xlfn.LET(
_xlpm._this,SanitizeInput($A72)&amp;AT72,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72" s="11" t="str" cm="1">
        <f t="array" aca="1" ref="AO72" ca="1">IF($O72,"",_xlfn.LET(
_xlpm._listOfRisksAndLevels,SanitizeInput($AN72),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_xlpm._shortenedList,IF($H72="",_xlpm._risksWithMaxValue,
  IF(LEN(_xlpm._risksWithMaxValue)-LEN(SUBSTITUTE(_xlpm._risksWithMaxValue,",",""))&lt;=$H72,_xlpm._risksWithMaxValue,
    LEFT(_xlpm._risksWithMaxValue,FIND(CHAR(1),SUBSTITUTE(_xlpm._risksWithMaxValue,",",CHAR(1),$H72))))),
IF(_xlpm._maxRiskValue="","",
  _xlpm._lineMainSeparator&amp;
  INDEX(Definitions!$AE:$AE,MATCH(_xlpm._maxRiskValue,Definitions!$AF:$AF,0))&amp;CHAR(10)&amp;
  _xlpm._lineMainSeparator&amp;
  RemoveDelimiter(GetValues(_xlpm._shortenedList,Risks!$A:$B," ",CHAR(10)&amp;_xlpm._lineMainSeparator,TRUE),CHAR(10)&amp;_xlpm._lineMainSeparator))))</f>
        <v/>
      </c>
      <c r="AP72" s="11" t="str" cm="1">
        <f t="array" aca="1" ref="AP72" ca="1">IF($O72,"",_xlfn.LET(
_xlpm._lineMainSeparator,REPT(_xlfn.UNICHAR(9552),63)&amp;CHAR(10),
_xlpm._affectedRisks,InverseLookupList(SanitizeInput($A72)&amp;$AT72,Risks!$AX$2,Risks!$A$2,Helper!$B$1,","),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_xlpm._shortenedList,IF($H72="",_xlpm._risksWithMaxValue,
  IF(LEN(_xlpm._risksWithMaxValue)-LEN(SUBSTITUTE(_xlpm._risksWithMaxValue,",",""))&lt;=$H72,_xlpm._risksWithMaxValue,
    LEFT(_xlpm._risksWithMaxValue,FIND(CHAR(1),SUBSTITUTE(_xlpm._risksWithMaxValue,",",CHAR(1),$H72))))),
IF(_xlpm._maxRiskValue="","",
  _xlpm._lineMainSeparator&amp;
  INDEX(Definitions!$AE:$AE,MATCH(_xlpm._maxRiskValue,Definitions!$AF:$AF,0))&amp;CHAR(10)&amp;
  _xlpm._lineMainSeparator&amp;
  RemoveDelimiter(GetValues(_xlpm._shortenedList,Risks!$A:$B," ",CHAR(10)&amp;_xlpm._lineMainSeparator,TRUE),CHAR(10)&amp;_xlpm._lineMainSeparator))))</f>
        <v/>
      </c>
      <c r="AQ72" s="11" t="str" cm="1">
        <f t="array" aca="1" ref="AQ72" ca="1">IF(NOT($O72),"",
_xlfn.LET(
_xlpm._potentialASID,$Y72,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_xlpm._commentsFiltered,SUBSTITUTE(GetValues(_xlpm._attackSteps,Mitigation!$A:$O,"","",FALSE),$X72,""),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72" s="11" t="str" cm="1">
        <f t="array" aca="1" ref="AR72" ca="1">IF(NOT($O72),"",_xlfn.LET(
_xlpm._listOfRisksAndLevels,SanitizeInput($AQ72),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_xlpm._shortenedList,IF($H72="",_xlpm._risksWithMaxValue,
  IF(LEN(_xlpm._risksWithMaxValue)-LEN(SUBSTITUTE(_xlpm._risksWithMaxValue,",",""))&lt;=$H72,_xlpm._risksWithMaxValue,
    LEFT(_xlpm._risksWithMaxValue,FIND(CHAR(1),SUBSTITUTE(_xlpm._risksWithMaxValue,",",CHAR(1),$H72))))),
IF(_xlpm._maxRiskValue="","",
  _xlpm._lineMainSeparator&amp;
  INDEX(Definitions!$AE:$AE,MATCH(_xlpm._maxRiskValue,Definitions!$AF:$AF,0))&amp;CHAR(10)&amp;
  _xlpm._lineMainSeparator&amp;
  RemoveDelimiter(GetValues(_xlpm._shortenedList,Risks!$A:$B," ",CHAR(10)&amp;_xlpm._lineMainSeparator,TRUE),CHAR(10)&amp;_xlpm._lineMainSeparator))))</f>
        <v/>
      </c>
      <c r="AS72" s="11" t="str" cm="1">
        <f t="array" aca="1" ref="AS72" ca="1">IF(NOT($O72),"",
_xlfn.LET(
_xlpm._lineMainSeparator,REPT(_xlfn.UNICHAR(9552),63)&amp;CHAR(10),
_xlpm._potentialASID,$Y72,
_xlpm._risk,IFERROR(SimpleLookup(_xlpm._potentialASID,Mitigation!$A:$N),""),
_xlpm._attackPaths,IFERROR(SimpleLookup(_xlpm._potentialASID,Mitigation!$A:$M),""),
IF(_xlpm._risk="","",
_xlpm._lineMainSeparator&amp;
_xlpm._risk&amp;CHAR(10)&amp;
_xlpm._lineMainSeparator&amp;
_xlpm._attackPaths)))</f>
        <v/>
      </c>
      <c r="AT72" s="11" t="str" cm="1">
        <f t="array" aca="1" ref="AT72" ca="1">InverseLookup($A72,Countermeasures!$AA$2,Countermeasures!$A$2,1,Helper!$B$4,",")</f>
        <v/>
      </c>
    </row>
    <row r="73" spans="1:46" x14ac:dyDescent="0.25">
      <c r="A73" s="106" t="str">
        <f ca="1">_xlfn.LET(
_xlpm._isAssumption,$M73,
_xlpm._row,$N73,
_xlpm._numActiveAssumptions,Helper!$B$8,
_xlpm._numActiveCountermeasures,Helper!$B$9,
_xlpm._numAdditionalAssumptions,Helper!$B$10,
_xlpm._numAdditionalCountermeasures,Helper!$B$11,
IF(_xlpm._isAssumption,
IF(_xlpm._row&gt;_xlpm._numActiveAssumptions,
$Y73&amp;"-A"&amp;$T73,
INDEX(Assumptions!A:A,MATCH(_xlpm._row,Assumptions!$AC:$AC,0))),
IF(_xlpm._row&gt;_xlpm._numActiveCountermeasures+_xlpm._numAdditionalCountermeasures,"",
IF(_xlpm._row&gt;_xlpm._numActiveCountermeasures,
$Y73&amp;"-C"&amp;$T73,
INDEX(Countermeasures!$A:$A,MATCH(_xlpm._row,Countermeasures!$AE:$AE,0))))))</f>
        <v/>
      </c>
      <c r="B73" s="106" t="str" cm="1">
        <f t="array" aca="1" ref="B73" ca="1">IF($A73="","",
_xlfn.LET(
_xlpm._isAssumption,$M73,
_xlpm._isAdditionalElement,$O73,
IF(_xlpm._isAdditionalElement,
IF(_xlpm._isAssumption,
ParseElementsFromComment($X73,Definitions!$AR$4,Definitions!$AS$4,Definitions!$AR$6,$T73),
ParseElementsFromComment($X73,Definitions!$AR$5,Definitions!$AS$5,Definitions!$AR$6,$T73)),
_xlfn.LET(_xlpm._value,IF($A73="","",IF($M73,SimpleLookup($A73,Assumptions!$A:$B),SimpleLookup($A73,Countermeasures!$A:$B))),IF(_xlpm._value="","",_xlpm._value)))))</f>
        <v/>
      </c>
      <c r="C73" s="106" t="str" cm="1">
        <f t="array" aca="1" ref="C73" ca="1">IF($A73="","",IF($M73,IFERROR(SimpleLookup($A73,Assumptions!$A:$E),""),Definitions!$AO$4))</f>
        <v/>
      </c>
      <c r="D73" s="103" t="str">
        <f t="shared" ca="1" si="9"/>
        <v/>
      </c>
      <c r="E73" s="107"/>
      <c r="F73" s="108" t="str">
        <f t="shared" ca="1" si="10"/>
        <v/>
      </c>
      <c r="G73" s="102" t="str" cm="1">
        <f t="array" aca="1" ref="G73" ca="1">_xlfn.LET(_xlpm._val,IFERROR(SimpleLookup($A73,Countermeasures!$A:$S),IFERROR(SimpleLookup($A73,Assumptions!$A:$S),"")),IF(_xlpm._val="","",_xlpm._val))</f>
        <v/>
      </c>
      <c r="H73" s="109" t="str">
        <f>""</f>
        <v/>
      </c>
      <c r="I73" s="102" t="str">
        <f t="shared" ca="1" si="11"/>
        <v/>
      </c>
      <c r="J73" s="102" t="str">
        <f t="shared" ca="1" si="12"/>
        <v/>
      </c>
      <c r="K73" s="106" t="str" cm="1">
        <f t="array" aca="1" ref="K73" ca="1">_xlfn.LET(_xlpm._value,IF($A73="","",IFERROR(IF($M73,SimpleLookup($A73,Assumptions!$A:$T),SimpleLookup($A73,Countermeasures!$A:$T)),"")),
IF(_xlpm._value="","",_xlpm._value))</f>
        <v/>
      </c>
      <c r="L73" s="9" cm="1">
        <f t="array" aca="1" ref="L73" ca="1">CreateID($L$17,$A73&lt;&gt;"")</f>
        <v>11</v>
      </c>
      <c r="M73" s="9" t="b">
        <f ca="1">_xlfn.LET(_xlpm._row,ROW()-ROW($N$17),
_xlpm._numActiveAssumptions,Helper!$B$8,
_xlpm._numAdditionalAssumptions,SUM(Table24['# Elements]),
_xlpm._row&lt;=_xlpm._numActiveAssumptions+_xlpm._numAdditionalAssumptions)</f>
        <v>0</v>
      </c>
      <c r="N73" s="9">
        <f ca="1">_xlfn.LET(_xlpm._row,ROW()-ROW($N$17),
_xlpm._numActiveAssumptions,Helper!$B$8,
_xlpm._numAdditionalAssumptions,Helper!$B$10,
_xlpm._isAssumption,$M73,
_xlpm._elementID,IF(_xlpm._isAssumption,_xlpm._row,_xlpm._row-_xlpm._numActiveAssumptions-_xlpm._numAdditionalAssumptions),
_xlpm._elementID)</f>
        <v>52</v>
      </c>
      <c r="O73"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73" s="11" cm="1">
        <f t="array" aca="1" ref="P73" ca="1">IF($O73,
IF(ROW()=ROW($P$17)+1,1,INDEX($P:$P,ROW()-1)+IF(INDEX($W:$W,ROW()-1),1,0)),
1)</f>
        <v>1</v>
      </c>
      <c r="Q73" s="11" t="str" cm="1">
        <f t="array" aca="1" ref="Q73" ca="1">IF($O73=TRUE,
_xlfn.LET(
_xlpm._isAssumption,$M73,
_xlpm._indexRange,IF(_xlpm._isAssumption,Table24['# Elements],Table25['# Elements]),
_xlpm._lookupRow,$Z73,
INDEX(_xlpm._indexRange,_xlpm._lookupRow)),
"")</f>
        <v/>
      </c>
      <c r="R73" s="11" t="str" cm="1">
        <f t="array" aca="1" ref="R73" ca="1">IF($Q73="","",_xlfn.LET(
_xlpm._prevRow,ROW()-1,
IF(OR(INDEX($Q:$Q,_xlpm._prevRow)&lt;&gt;$Q73,INDEX($P:$P,_xlpm._prevRow)&lt;&gt;$P73),
1,
INDEX($R:$R,_xlpm._prevRow)+IF(INDEX($V:$V,_xlpm._prevRow),1,0))))</f>
        <v/>
      </c>
      <c r="S73" s="11" t="str" cm="1">
        <f t="array" aca="1" ref="S73" ca="1">IF($R73="","",_xlfn.LET(
_xlpm._isAssumption,$M73,
_xlpm._sheetRow,$Z73,
_xlpm._sheetName,$AA73,
_xlpm._elementIDRange,IF(_xlpm._isAssumption,Table24[Element ID Column],Table25[Element ID Column]),
_xlpm._numberOfElementsRange,IF(_xlpm._isAssumption,Table24[Number of Elements Column],Table25[Number of Elements Column]),
SimpleLookup($R73,INDIRECT("'"&amp;_xlpm._sheetName&amp;"'!"&amp;INDEX(_xlpm._elementIDRange,_xlpm._sheetRow)&amp;":"&amp;INDEX(_xlpm._numberOfElementsRange,_xlpm._sheetRow)))))</f>
        <v/>
      </c>
      <c r="T73" s="11" t="str" cm="1">
        <f t="array" aca="1" ref="T73" ca="1">IF($R73="","",IF(OR(INDEX($R:$R,ROW()-1)&lt;&gt;$R73,INDEX($P:$P,ROW()-1)&lt;&gt;$P73),1,INDEX($T:$T,ROW()-1)+1))</f>
        <v/>
      </c>
      <c r="U73" s="11">
        <f t="shared" ca="1" si="13"/>
        <v>0</v>
      </c>
      <c r="V73" s="11" t="str">
        <f t="shared" ca="1" si="14"/>
        <v/>
      </c>
      <c r="W73" s="11" t="b">
        <f ca="1">_xlfn.LET(
_xlpm._isAssumption,$M73,
_xlpm._numberOfElementsRange,IF(_xlpm._isAssumption,Table24['# Elements],Table25['# Elements]),
_xlpm._sheetRow,$Z73,
IF($O73,AND($V73,$U73=$Q73),FALSE))</f>
        <v>0</v>
      </c>
      <c r="X73" s="11" t="str" cm="1">
        <f t="array" aca="1" ref="X73" ca="1">IF($O73,
_xlfn.LET(
_xlpm._elementID,$R73,
_xlpm._isAssumption,$M73,
_xlpm._sheetRow,$Z73,
_xlpm._sheetName,$AA73,
_xlpm._elementRow,$AB73,
_xlpm._resultColumnLetter,IF(_xlpm._isAssumption,INDEX(Table24[Comment Column],_xlpm._sheetRow),INDEX(Table25[Comment Column],_xlpm._sheetRow)),
INDEX(INDIRECT("'"&amp;_xlpm._sheetName&amp;"'!"&amp;_xlpm._resultColumnLetter&amp;":"&amp;_xlpm._resultColumnLetter),_xlpm._elementRow)),
"")</f>
        <v/>
      </c>
      <c r="Y73" s="11" t="str" cm="1">
        <f t="array" aca="1" ref="Y73" ca="1">IF($O73,
_xlfn.LET(
_xlpm._elementID,$R73,
_xlpm._isAssumption,$M73,
_xlpm._sheetRow,$Z73,
_xlpm._sheetName,$AA73,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73" s="11" t="str">
        <f ca="1">IF($O73=TRUE,
_xlfn.LET(
_xlpm._isAssumption,$M73,
_xlpm._searchRange,IF(_xlpm._isAssumption,Table24[Task Sheet Shadow ID],Table25[Task Sheet Shadow ID]),
MATCH($P73,_xlpm._searchRange,0)),
"")</f>
        <v/>
      </c>
      <c r="AA73" s="11" t="str" cm="1">
        <f t="array" aca="1" ref="AA73" ca="1">IF($O73,
_xlfn.LET(
_xlpm._isAssumption,$M73,
_xlpm._sheetRow,$Z73,
IF(_xlpm._isAssumption,INDEX(Table24[Sheet Name],_xlpm._sheetRow),INDEX(Table25[Sheet Name],_xlpm._sheetRow))),
"")</f>
        <v/>
      </c>
      <c r="AB73" s="11" t="str" cm="1">
        <f t="array" aca="1" ref="AB73" ca="1">IF($O73,
_xlfn.LET(
_xlpm._elementID,$R73,
_xlpm._isAssumption,$M73,
_xlpm._sheetRow,$Z73,
_xlpm._sheetName,$AA73,
_xlpm._elementIDColumnLetter,IF(_xlpm._isAssumption,INDEX(Table24[Element ID Column],_xlpm._sheetRow),INDEX(Table25[Element ID Column],_xlpm._sheetRow)),
MATCH(_xlpm._elementID,INDIRECT("'"&amp;_xlpm._sheetName&amp;"'!"&amp;_xlpm._elementIDColumnLetter&amp;":"&amp;_xlpm._elementIDColumnLetter),0)),
"")</f>
        <v/>
      </c>
      <c r="AC73" s="11" t="str" cm="1">
        <f t="array" aca="1" ref="AC73" ca="1">IF($A73="","",_xlfn.LET(
_xlpm._isAssumption,$M73,
_xlpm._isAdditionalElement,$O73,
_xlpm._sheetRow,$Z73,
_xlpm._sheetName,$AA73,
_xlpm._columnLetter,INDEX(IF(_xlpm._isAdditionalElement,Table24[Comment Column],Table25[Comment Column]),_xlpm._sheetRow),
_xlpm._sheetReference,IF(_xlpm._isAssumption,IF(_xlpm._isAdditionalElement,
CELL("address",INDEX(INDIRECT("'"&amp;_xlpm._sheetName&amp;"'!"&amp;_xlpm._columnLetter&amp;":"&amp;_xlpm._columnLetter),$AB73)),
CELL("address",INDEX(Assumptions!$A:$A,MATCH($A73,Assumptions!$A:$A,0),1))),
IF(_xlpm._isAdditionalElement,
CELL("address",INDEX(INDIRECT("'"&amp;_xlpm._sheetName&amp;"'!"&amp;_xlpm._columnLetter&amp;":"&amp;_xlpm._columnLetter),$AB73)),
CELL("address",INDEX(Countermeasures!$A:$A,MATCH($A73,Countermeasures!$A:$A,0),1)))),
_xlpm._start,FIND("]",_xlpm._sheetReference),
"'"&amp;SUBSTITUTE(SUBSTITUTE(RIGHT(_xlpm._sheetReference,LEN(_xlpm._sheetReference)-_xlpm._start),"'",""),"!","'!")))</f>
        <v/>
      </c>
      <c r="AD73" s="11" t="str" cm="1">
        <f t="array" aca="1" ref="AD73" ca="1">IF(NOT($O73),
_xlfn.LET(_xlpm._value,IF($A73="","",IF($M73,SimpleLookup($A73,Assumptions!$A:$AG),SimpleLookup($A73,Countermeasures!$A:$AJ))),
IF(_xlpm._value="","",_xlpm._value)),
"")</f>
        <v/>
      </c>
      <c r="AE73" s="11" t="str" cm="1">
        <f t="array" aca="1" ref="AE73" ca="1">LookupNames(InverseLookup($A73,Mitigation!$AD$2,Mitigation!$A$2,1,Helper!$B$5,","),'Attack Steps'!$A:$B)</f>
        <v/>
      </c>
      <c r="AF73" s="11" t="str" cm="1">
        <f t="array" aca="1" ref="AF73" ca="1">IF($O73,
_xlfn.LET(
_xlpm._in,$A73,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73" s="11" t="str" cm="1">
        <f t="array" aca="1" ref="AG73" ca="1">_xlfn.LET(
_xlpm._countermeasures,InverseLookup($A73,Countermeasures!$AC$2,Countermeasures!$A$2,1,Helper!$B$4,","),
LookupNames(_xlpm._countermeasures,Countermeasures!$A:$B))</f>
        <v/>
      </c>
      <c r="AH73" s="11" t="str" cm="1">
        <f t="array" aca="1" ref="AH73" ca="1">IF($E73="","",_xlfn.LET(
_xlpm._id,$E73,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73" s="11" t="str" cm="1">
        <f t="array" aca="1" ref="AI73" ca="1">IF(OR($A73="",$O73),"",_xlfn.LET(
_xlpm._answers,IF($M73,SimpleLookup($A73,Assumptions!$A:$F),SimpleLookup($A73,Countermeasures!$A:$D)),
IF(_xlpm._answers="*",IF($M73,SimpleLookup($A73,Assumptions!$A:$C),SimpleLookup($A73,Countermeasures!$A:$C)),"")))</f>
        <v/>
      </c>
      <c r="AJ73" s="11" t="str" cm="1">
        <f t="array" aca="1" ref="AJ73" ca="1">IF(NOT($O73),"",_xlfn.LET(
_xlpm._mappedInMitigation,IFERROR(VLOOKUP($Y73,'Attack Steps'!$A:$P,COLUMNS('Attack Steps'!$A:$P),FALSE),""),
CreateSearchString(_xlpm._mappedInMitigation)))</f>
        <v/>
      </c>
      <c r="AK73" s="11" t="b">
        <f ca="1">ROW()-ROW($AK$17)=Helper!$B$15</f>
        <v>0</v>
      </c>
      <c r="AL73" s="11" t="str">
        <f t="shared" ca="1" si="15"/>
        <v/>
      </c>
      <c r="AM73" s="11" cm="1">
        <f t="array" aca="1" ref="AM73" ca="1">CreateID($AM$17,$AL73&lt;&gt;"")</f>
        <v>0</v>
      </c>
      <c r="AN73" s="11" t="str" cm="1">
        <f t="array" aca="1" ref="AN73" ca="1">IF($O73,"",
_xlfn.LET(
_xlpm._this,SanitizeInput($A73)&amp;AT73,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73" s="11" t="str" cm="1">
        <f t="array" aca="1" ref="AO73" ca="1">IF($O73,"",_xlfn.LET(
_xlpm._listOfRisksAndLevels,SanitizeInput($AN73),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_xlpm._shortenedList,IF($H73="",_xlpm._risksWithMaxValue,
  IF(LEN(_xlpm._risksWithMaxValue)-LEN(SUBSTITUTE(_xlpm._risksWithMaxValue,",",""))&lt;=$H73,_xlpm._risksWithMaxValue,
    LEFT(_xlpm._risksWithMaxValue,FIND(CHAR(1),SUBSTITUTE(_xlpm._risksWithMaxValue,",",CHAR(1),$H73))))),
IF(_xlpm._maxRiskValue="","",
  _xlpm._lineMainSeparator&amp;
  INDEX(Definitions!$AE:$AE,MATCH(_xlpm._maxRiskValue,Definitions!$AF:$AF,0))&amp;CHAR(10)&amp;
  _xlpm._lineMainSeparator&amp;
  RemoveDelimiter(GetValues(_xlpm._shortenedList,Risks!$A:$B," ",CHAR(10)&amp;_xlpm._lineMainSeparator,TRUE),CHAR(10)&amp;_xlpm._lineMainSeparator))))</f>
        <v/>
      </c>
      <c r="AP73" s="11" t="str" cm="1">
        <f t="array" aca="1" ref="AP73" ca="1">IF($O73,"",_xlfn.LET(
_xlpm._lineMainSeparator,REPT(_xlfn.UNICHAR(9552),63)&amp;CHAR(10),
_xlpm._affectedRisks,InverseLookupList(SanitizeInput($A73)&amp;$AT73,Risks!$AX$2,Risks!$A$2,Helper!$B$1,","),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_xlpm._shortenedList,IF($H73="",_xlpm._risksWithMaxValue,
  IF(LEN(_xlpm._risksWithMaxValue)-LEN(SUBSTITUTE(_xlpm._risksWithMaxValue,",",""))&lt;=$H73,_xlpm._risksWithMaxValue,
    LEFT(_xlpm._risksWithMaxValue,FIND(CHAR(1),SUBSTITUTE(_xlpm._risksWithMaxValue,",",CHAR(1),$H73))))),
IF(_xlpm._maxRiskValue="","",
  _xlpm._lineMainSeparator&amp;
  INDEX(Definitions!$AE:$AE,MATCH(_xlpm._maxRiskValue,Definitions!$AF:$AF,0))&amp;CHAR(10)&amp;
  _xlpm._lineMainSeparator&amp;
  RemoveDelimiter(GetValues(_xlpm._shortenedList,Risks!$A:$B," ",CHAR(10)&amp;_xlpm._lineMainSeparator,TRUE),CHAR(10)&amp;_xlpm._lineMainSeparator))))</f>
        <v/>
      </c>
      <c r="AQ73" s="11" t="str" cm="1">
        <f t="array" aca="1" ref="AQ73" ca="1">IF(NOT($O73),"",
_xlfn.LET(
_xlpm._potentialASID,$Y73,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_xlpm._commentsFiltered,SUBSTITUTE(GetValues(_xlpm._attackSteps,Mitigation!$A:$O,"","",FALSE),$X73,""),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73" s="11" t="str" cm="1">
        <f t="array" aca="1" ref="AR73" ca="1">IF(NOT($O73),"",_xlfn.LET(
_xlpm._listOfRisksAndLevels,SanitizeInput($AQ73),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_xlpm._shortenedList,IF($H73="",_xlpm._risksWithMaxValue,
  IF(LEN(_xlpm._risksWithMaxValue)-LEN(SUBSTITUTE(_xlpm._risksWithMaxValue,",",""))&lt;=$H73,_xlpm._risksWithMaxValue,
    LEFT(_xlpm._risksWithMaxValue,FIND(CHAR(1),SUBSTITUTE(_xlpm._risksWithMaxValue,",",CHAR(1),$H73))))),
IF(_xlpm._maxRiskValue="","",
  _xlpm._lineMainSeparator&amp;
  INDEX(Definitions!$AE:$AE,MATCH(_xlpm._maxRiskValue,Definitions!$AF:$AF,0))&amp;CHAR(10)&amp;
  _xlpm._lineMainSeparator&amp;
  RemoveDelimiter(GetValues(_xlpm._shortenedList,Risks!$A:$B," ",CHAR(10)&amp;_xlpm._lineMainSeparator,TRUE),CHAR(10)&amp;_xlpm._lineMainSeparator))))</f>
        <v/>
      </c>
      <c r="AS73" s="11" t="str" cm="1">
        <f t="array" aca="1" ref="AS73" ca="1">IF(NOT($O73),"",
_xlfn.LET(
_xlpm._lineMainSeparator,REPT(_xlfn.UNICHAR(9552),63)&amp;CHAR(10),
_xlpm._potentialASID,$Y73,
_xlpm._risk,IFERROR(SimpleLookup(_xlpm._potentialASID,Mitigation!$A:$N),""),
_xlpm._attackPaths,IFERROR(SimpleLookup(_xlpm._potentialASID,Mitigation!$A:$M),""),
IF(_xlpm._risk="","",
_xlpm._lineMainSeparator&amp;
_xlpm._risk&amp;CHAR(10)&amp;
_xlpm._lineMainSeparator&amp;
_xlpm._attackPaths)))</f>
        <v/>
      </c>
      <c r="AT73" s="11" t="str" cm="1">
        <f t="array" aca="1" ref="AT73" ca="1">InverseLookup($A73,Countermeasures!$AA$2,Countermeasures!$A$2,1,Helper!$B$4,",")</f>
        <v/>
      </c>
    </row>
    <row r="74" spans="1:46" x14ac:dyDescent="0.25">
      <c r="A74" s="106" t="str">
        <f ca="1">_xlfn.LET(
_xlpm._isAssumption,$M74,
_xlpm._row,$N74,
_xlpm._numActiveAssumptions,Helper!$B$8,
_xlpm._numActiveCountermeasures,Helper!$B$9,
_xlpm._numAdditionalAssumptions,Helper!$B$10,
_xlpm._numAdditionalCountermeasures,Helper!$B$11,
IF(_xlpm._isAssumption,
IF(_xlpm._row&gt;_xlpm._numActiveAssumptions,
$Y74&amp;"-A"&amp;$T74,
INDEX(Assumptions!A:A,MATCH(_xlpm._row,Assumptions!$AC:$AC,0))),
IF(_xlpm._row&gt;_xlpm._numActiveCountermeasures+_xlpm._numAdditionalCountermeasures,"",
IF(_xlpm._row&gt;_xlpm._numActiveCountermeasures,
$Y74&amp;"-C"&amp;$T74,
INDEX(Countermeasures!$A:$A,MATCH(_xlpm._row,Countermeasures!$AE:$AE,0))))))</f>
        <v/>
      </c>
      <c r="B74" s="106" t="str" cm="1">
        <f t="array" aca="1" ref="B74" ca="1">IF($A74="","",
_xlfn.LET(
_xlpm._isAssumption,$M74,
_xlpm._isAdditionalElement,$O74,
IF(_xlpm._isAdditionalElement,
IF(_xlpm._isAssumption,
ParseElementsFromComment($X74,Definitions!$AR$4,Definitions!$AS$4,Definitions!$AR$6,$T74),
ParseElementsFromComment($X74,Definitions!$AR$5,Definitions!$AS$5,Definitions!$AR$6,$T74)),
_xlfn.LET(_xlpm._value,IF($A74="","",IF($M74,SimpleLookup($A74,Assumptions!$A:$B),SimpleLookup($A74,Countermeasures!$A:$B))),IF(_xlpm._value="","",_xlpm._value)))))</f>
        <v/>
      </c>
      <c r="C74" s="106" t="str" cm="1">
        <f t="array" aca="1" ref="C74" ca="1">IF($A74="","",IF($M74,IFERROR(SimpleLookup($A74,Assumptions!$A:$E),""),Definitions!$AO$4))</f>
        <v/>
      </c>
      <c r="D74" s="103" t="str">
        <f t="shared" ca="1" si="9"/>
        <v/>
      </c>
      <c r="E74" s="107"/>
      <c r="F74" s="108" t="str">
        <f t="shared" ca="1" si="10"/>
        <v/>
      </c>
      <c r="G74" s="102" t="str" cm="1">
        <f t="array" aca="1" ref="G74" ca="1">_xlfn.LET(_xlpm._val,IFERROR(SimpleLookup($A74,Countermeasures!$A:$S),IFERROR(SimpleLookup($A74,Assumptions!$A:$S),"")),IF(_xlpm._val="","",_xlpm._val))</f>
        <v/>
      </c>
      <c r="H74" s="109" t="str">
        <f>""</f>
        <v/>
      </c>
      <c r="I74" s="102" t="str">
        <f t="shared" ca="1" si="11"/>
        <v/>
      </c>
      <c r="J74" s="102" t="str">
        <f t="shared" ca="1" si="12"/>
        <v/>
      </c>
      <c r="K74" s="106" t="str" cm="1">
        <f t="array" aca="1" ref="K74" ca="1">_xlfn.LET(_xlpm._value,IF($A74="","",IFERROR(IF($M74,SimpleLookup($A74,Assumptions!$A:$T),SimpleLookup($A74,Countermeasures!$A:$T)),"")),
IF(_xlpm._value="","",_xlpm._value))</f>
        <v/>
      </c>
      <c r="L74" s="9" cm="1">
        <f t="array" aca="1" ref="L74" ca="1">CreateID($L$17,$A74&lt;&gt;"")</f>
        <v>11</v>
      </c>
      <c r="M74" s="9" t="b">
        <f ca="1">_xlfn.LET(_xlpm._row,ROW()-ROW($N$17),
_xlpm._numActiveAssumptions,Helper!$B$8,
_xlpm._numAdditionalAssumptions,SUM(Table24['# Elements]),
_xlpm._row&lt;=_xlpm._numActiveAssumptions+_xlpm._numAdditionalAssumptions)</f>
        <v>0</v>
      </c>
      <c r="N74" s="9">
        <f ca="1">_xlfn.LET(_xlpm._row,ROW()-ROW($N$17),
_xlpm._numActiveAssumptions,Helper!$B$8,
_xlpm._numAdditionalAssumptions,Helper!$B$10,
_xlpm._isAssumption,$M74,
_xlpm._elementID,IF(_xlpm._isAssumption,_xlpm._row,_xlpm._row-_xlpm._numActiveAssumptions-_xlpm._numAdditionalAssumptions),
_xlpm._elementID)</f>
        <v>53</v>
      </c>
      <c r="O74"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74" s="11" cm="1">
        <f t="array" aca="1" ref="P74" ca="1">IF($O74,
IF(ROW()=ROW($P$17)+1,1,INDEX($P:$P,ROW()-1)+IF(INDEX($W:$W,ROW()-1),1,0)),
1)</f>
        <v>1</v>
      </c>
      <c r="Q74" s="11" t="str" cm="1">
        <f t="array" aca="1" ref="Q74" ca="1">IF($O74=TRUE,
_xlfn.LET(
_xlpm._isAssumption,$M74,
_xlpm._indexRange,IF(_xlpm._isAssumption,Table24['# Elements],Table25['# Elements]),
_xlpm._lookupRow,$Z74,
INDEX(_xlpm._indexRange,_xlpm._lookupRow)),
"")</f>
        <v/>
      </c>
      <c r="R74" s="11" t="str" cm="1">
        <f t="array" aca="1" ref="R74" ca="1">IF($Q74="","",_xlfn.LET(
_xlpm._prevRow,ROW()-1,
IF(OR(INDEX($Q:$Q,_xlpm._prevRow)&lt;&gt;$Q74,INDEX($P:$P,_xlpm._prevRow)&lt;&gt;$P74),
1,
INDEX($R:$R,_xlpm._prevRow)+IF(INDEX($V:$V,_xlpm._prevRow),1,0))))</f>
        <v/>
      </c>
      <c r="S74" s="11" t="str" cm="1">
        <f t="array" aca="1" ref="S74" ca="1">IF($R74="","",_xlfn.LET(
_xlpm._isAssumption,$M74,
_xlpm._sheetRow,$Z74,
_xlpm._sheetName,$AA74,
_xlpm._elementIDRange,IF(_xlpm._isAssumption,Table24[Element ID Column],Table25[Element ID Column]),
_xlpm._numberOfElementsRange,IF(_xlpm._isAssumption,Table24[Number of Elements Column],Table25[Number of Elements Column]),
SimpleLookup($R74,INDIRECT("'"&amp;_xlpm._sheetName&amp;"'!"&amp;INDEX(_xlpm._elementIDRange,_xlpm._sheetRow)&amp;":"&amp;INDEX(_xlpm._numberOfElementsRange,_xlpm._sheetRow)))))</f>
        <v/>
      </c>
      <c r="T74" s="11" t="str" cm="1">
        <f t="array" aca="1" ref="T74" ca="1">IF($R74="","",IF(OR(INDEX($R:$R,ROW()-1)&lt;&gt;$R74,INDEX($P:$P,ROW()-1)&lt;&gt;$P74),1,INDEX($T:$T,ROW()-1)+1))</f>
        <v/>
      </c>
      <c r="U74" s="11">
        <f t="shared" ca="1" si="13"/>
        <v>0</v>
      </c>
      <c r="V74" s="11" t="str">
        <f t="shared" ca="1" si="14"/>
        <v/>
      </c>
      <c r="W74" s="11" t="b">
        <f ca="1">_xlfn.LET(
_xlpm._isAssumption,$M74,
_xlpm._numberOfElementsRange,IF(_xlpm._isAssumption,Table24['# Elements],Table25['# Elements]),
_xlpm._sheetRow,$Z74,
IF($O74,AND($V74,$U74=$Q74),FALSE))</f>
        <v>0</v>
      </c>
      <c r="X74" s="11" t="str" cm="1">
        <f t="array" aca="1" ref="X74" ca="1">IF($O74,
_xlfn.LET(
_xlpm._elementID,$R74,
_xlpm._isAssumption,$M74,
_xlpm._sheetRow,$Z74,
_xlpm._sheetName,$AA74,
_xlpm._elementRow,$AB74,
_xlpm._resultColumnLetter,IF(_xlpm._isAssumption,INDEX(Table24[Comment Column],_xlpm._sheetRow),INDEX(Table25[Comment Column],_xlpm._sheetRow)),
INDEX(INDIRECT("'"&amp;_xlpm._sheetName&amp;"'!"&amp;_xlpm._resultColumnLetter&amp;":"&amp;_xlpm._resultColumnLetter),_xlpm._elementRow)),
"")</f>
        <v/>
      </c>
      <c r="Y74" s="11" t="str" cm="1">
        <f t="array" aca="1" ref="Y74" ca="1">IF($O74,
_xlfn.LET(
_xlpm._elementID,$R74,
_xlpm._isAssumption,$M74,
_xlpm._sheetRow,$Z74,
_xlpm._sheetName,$AA74,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74" s="11" t="str">
        <f ca="1">IF($O74=TRUE,
_xlfn.LET(
_xlpm._isAssumption,$M74,
_xlpm._searchRange,IF(_xlpm._isAssumption,Table24[Task Sheet Shadow ID],Table25[Task Sheet Shadow ID]),
MATCH($P74,_xlpm._searchRange,0)),
"")</f>
        <v/>
      </c>
      <c r="AA74" s="11" t="str" cm="1">
        <f t="array" aca="1" ref="AA74" ca="1">IF($O74,
_xlfn.LET(
_xlpm._isAssumption,$M74,
_xlpm._sheetRow,$Z74,
IF(_xlpm._isAssumption,INDEX(Table24[Sheet Name],_xlpm._sheetRow),INDEX(Table25[Sheet Name],_xlpm._sheetRow))),
"")</f>
        <v/>
      </c>
      <c r="AB74" s="11" t="str" cm="1">
        <f t="array" aca="1" ref="AB74" ca="1">IF($O74,
_xlfn.LET(
_xlpm._elementID,$R74,
_xlpm._isAssumption,$M74,
_xlpm._sheetRow,$Z74,
_xlpm._sheetName,$AA74,
_xlpm._elementIDColumnLetter,IF(_xlpm._isAssumption,INDEX(Table24[Element ID Column],_xlpm._sheetRow),INDEX(Table25[Element ID Column],_xlpm._sheetRow)),
MATCH(_xlpm._elementID,INDIRECT("'"&amp;_xlpm._sheetName&amp;"'!"&amp;_xlpm._elementIDColumnLetter&amp;":"&amp;_xlpm._elementIDColumnLetter),0)),
"")</f>
        <v/>
      </c>
      <c r="AC74" s="11" t="str" cm="1">
        <f t="array" aca="1" ref="AC74" ca="1">IF($A74="","",_xlfn.LET(
_xlpm._isAssumption,$M74,
_xlpm._isAdditionalElement,$O74,
_xlpm._sheetRow,$Z74,
_xlpm._sheetName,$AA74,
_xlpm._columnLetter,INDEX(IF(_xlpm._isAdditionalElement,Table24[Comment Column],Table25[Comment Column]),_xlpm._sheetRow),
_xlpm._sheetReference,IF(_xlpm._isAssumption,IF(_xlpm._isAdditionalElement,
CELL("address",INDEX(INDIRECT("'"&amp;_xlpm._sheetName&amp;"'!"&amp;_xlpm._columnLetter&amp;":"&amp;_xlpm._columnLetter),$AB74)),
CELL("address",INDEX(Assumptions!$A:$A,MATCH($A74,Assumptions!$A:$A,0),1))),
IF(_xlpm._isAdditionalElement,
CELL("address",INDEX(INDIRECT("'"&amp;_xlpm._sheetName&amp;"'!"&amp;_xlpm._columnLetter&amp;":"&amp;_xlpm._columnLetter),$AB74)),
CELL("address",INDEX(Countermeasures!$A:$A,MATCH($A74,Countermeasures!$A:$A,0),1)))),
_xlpm._start,FIND("]",_xlpm._sheetReference),
"'"&amp;SUBSTITUTE(SUBSTITUTE(RIGHT(_xlpm._sheetReference,LEN(_xlpm._sheetReference)-_xlpm._start),"'",""),"!","'!")))</f>
        <v/>
      </c>
      <c r="AD74" s="11" t="str" cm="1">
        <f t="array" aca="1" ref="AD74" ca="1">IF(NOT($O74),
_xlfn.LET(_xlpm._value,IF($A74="","",IF($M74,SimpleLookup($A74,Assumptions!$A:$AG),SimpleLookup($A74,Countermeasures!$A:$AJ))),
IF(_xlpm._value="","",_xlpm._value)),
"")</f>
        <v/>
      </c>
      <c r="AE74" s="11" t="str" cm="1">
        <f t="array" aca="1" ref="AE74" ca="1">LookupNames(InverseLookup($A74,Mitigation!$AD$2,Mitigation!$A$2,1,Helper!$B$5,","),'Attack Steps'!$A:$B)</f>
        <v/>
      </c>
      <c r="AF74" s="11" t="str" cm="1">
        <f t="array" aca="1" ref="AF74" ca="1">IF($O74,
_xlfn.LET(
_xlpm._in,$A74,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74" s="11" t="str" cm="1">
        <f t="array" aca="1" ref="AG74" ca="1">_xlfn.LET(
_xlpm._countermeasures,InverseLookup($A74,Countermeasures!$AC$2,Countermeasures!$A$2,1,Helper!$B$4,","),
LookupNames(_xlpm._countermeasures,Countermeasures!$A:$B))</f>
        <v/>
      </c>
      <c r="AH74" s="11" t="str" cm="1">
        <f t="array" aca="1" ref="AH74" ca="1">IF($E74="","",_xlfn.LET(
_xlpm._id,$E74,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74" s="11" t="str" cm="1">
        <f t="array" aca="1" ref="AI74" ca="1">IF(OR($A74="",$O74),"",_xlfn.LET(
_xlpm._answers,IF($M74,SimpleLookup($A74,Assumptions!$A:$F),SimpleLookup($A74,Countermeasures!$A:$D)),
IF(_xlpm._answers="*",IF($M74,SimpleLookup($A74,Assumptions!$A:$C),SimpleLookup($A74,Countermeasures!$A:$C)),"")))</f>
        <v/>
      </c>
      <c r="AJ74" s="11" t="str" cm="1">
        <f t="array" aca="1" ref="AJ74" ca="1">IF(NOT($O74),"",_xlfn.LET(
_xlpm._mappedInMitigation,IFERROR(VLOOKUP($Y74,'Attack Steps'!$A:$P,COLUMNS('Attack Steps'!$A:$P),FALSE),""),
CreateSearchString(_xlpm._mappedInMitigation)))</f>
        <v/>
      </c>
      <c r="AK74" s="11" t="b">
        <f ca="1">ROW()-ROW($AK$17)=Helper!$B$15</f>
        <v>0</v>
      </c>
      <c r="AL74" s="11" t="str">
        <f t="shared" ca="1" si="15"/>
        <v/>
      </c>
      <c r="AM74" s="11" cm="1">
        <f t="array" aca="1" ref="AM74" ca="1">CreateID($AM$17,$AL74&lt;&gt;"")</f>
        <v>0</v>
      </c>
      <c r="AN74" s="11" t="str" cm="1">
        <f t="array" aca="1" ref="AN74" ca="1">IF($O74,"",
_xlfn.LET(
_xlpm._this,SanitizeInput($A74)&amp;AT74,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74" s="11" t="str" cm="1">
        <f t="array" aca="1" ref="AO74" ca="1">IF($O74,"",_xlfn.LET(
_xlpm._listOfRisksAndLevels,SanitizeInput($AN74),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_xlpm._shortenedList,IF($H74="",_xlpm._risksWithMaxValue,
  IF(LEN(_xlpm._risksWithMaxValue)-LEN(SUBSTITUTE(_xlpm._risksWithMaxValue,",",""))&lt;=$H74,_xlpm._risksWithMaxValue,
    LEFT(_xlpm._risksWithMaxValue,FIND(CHAR(1),SUBSTITUTE(_xlpm._risksWithMaxValue,",",CHAR(1),$H74))))),
IF(_xlpm._maxRiskValue="","",
  _xlpm._lineMainSeparator&amp;
  INDEX(Definitions!$AE:$AE,MATCH(_xlpm._maxRiskValue,Definitions!$AF:$AF,0))&amp;CHAR(10)&amp;
  _xlpm._lineMainSeparator&amp;
  RemoveDelimiter(GetValues(_xlpm._shortenedList,Risks!$A:$B," ",CHAR(10)&amp;_xlpm._lineMainSeparator,TRUE),CHAR(10)&amp;_xlpm._lineMainSeparator))))</f>
        <v/>
      </c>
      <c r="AP74" s="11" t="str" cm="1">
        <f t="array" aca="1" ref="AP74" ca="1">IF($O74,"",_xlfn.LET(
_xlpm._lineMainSeparator,REPT(_xlfn.UNICHAR(9552),63)&amp;CHAR(10),
_xlpm._affectedRisks,InverseLookupList(SanitizeInput($A74)&amp;$AT74,Risks!$AX$2,Risks!$A$2,Helper!$B$1,","),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_xlpm._shortenedList,IF($H74="",_xlpm._risksWithMaxValue,
  IF(LEN(_xlpm._risksWithMaxValue)-LEN(SUBSTITUTE(_xlpm._risksWithMaxValue,",",""))&lt;=$H74,_xlpm._risksWithMaxValue,
    LEFT(_xlpm._risksWithMaxValue,FIND(CHAR(1),SUBSTITUTE(_xlpm._risksWithMaxValue,",",CHAR(1),$H74))))),
IF(_xlpm._maxRiskValue="","",
  _xlpm._lineMainSeparator&amp;
  INDEX(Definitions!$AE:$AE,MATCH(_xlpm._maxRiskValue,Definitions!$AF:$AF,0))&amp;CHAR(10)&amp;
  _xlpm._lineMainSeparator&amp;
  RemoveDelimiter(GetValues(_xlpm._shortenedList,Risks!$A:$B," ",CHAR(10)&amp;_xlpm._lineMainSeparator,TRUE),CHAR(10)&amp;_xlpm._lineMainSeparator))))</f>
        <v/>
      </c>
      <c r="AQ74" s="11" t="str" cm="1">
        <f t="array" aca="1" ref="AQ74" ca="1">IF(NOT($O74),"",
_xlfn.LET(
_xlpm._potentialASID,$Y74,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_xlpm._commentsFiltered,SUBSTITUTE(GetValues(_xlpm._attackSteps,Mitigation!$A:$O,"","",FALSE),$X74,""),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74" s="11" t="str" cm="1">
        <f t="array" aca="1" ref="AR74" ca="1">IF(NOT($O74),"",_xlfn.LET(
_xlpm._listOfRisksAndLevels,SanitizeInput($AQ74),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_xlpm._shortenedList,IF($H74="",_xlpm._risksWithMaxValue,
  IF(LEN(_xlpm._risksWithMaxValue)-LEN(SUBSTITUTE(_xlpm._risksWithMaxValue,",",""))&lt;=$H74,_xlpm._risksWithMaxValue,
    LEFT(_xlpm._risksWithMaxValue,FIND(CHAR(1),SUBSTITUTE(_xlpm._risksWithMaxValue,",",CHAR(1),$H74))))),
IF(_xlpm._maxRiskValue="","",
  _xlpm._lineMainSeparator&amp;
  INDEX(Definitions!$AE:$AE,MATCH(_xlpm._maxRiskValue,Definitions!$AF:$AF,0))&amp;CHAR(10)&amp;
  _xlpm._lineMainSeparator&amp;
  RemoveDelimiter(GetValues(_xlpm._shortenedList,Risks!$A:$B," ",CHAR(10)&amp;_xlpm._lineMainSeparator,TRUE),CHAR(10)&amp;_xlpm._lineMainSeparator))))</f>
        <v/>
      </c>
      <c r="AS74" s="11" t="str" cm="1">
        <f t="array" aca="1" ref="AS74" ca="1">IF(NOT($O74),"",
_xlfn.LET(
_xlpm._lineMainSeparator,REPT(_xlfn.UNICHAR(9552),63)&amp;CHAR(10),
_xlpm._potentialASID,$Y74,
_xlpm._risk,IFERROR(SimpleLookup(_xlpm._potentialASID,Mitigation!$A:$N),""),
_xlpm._attackPaths,IFERROR(SimpleLookup(_xlpm._potentialASID,Mitigation!$A:$M),""),
IF(_xlpm._risk="","",
_xlpm._lineMainSeparator&amp;
_xlpm._risk&amp;CHAR(10)&amp;
_xlpm._lineMainSeparator&amp;
_xlpm._attackPaths)))</f>
        <v/>
      </c>
      <c r="AT74" s="11" t="str" cm="1">
        <f t="array" aca="1" ref="AT74" ca="1">InverseLookup($A74,Countermeasures!$AA$2,Countermeasures!$A$2,1,Helper!$B$4,",")</f>
        <v/>
      </c>
    </row>
    <row r="75" spans="1:46" x14ac:dyDescent="0.25">
      <c r="A75" s="106" t="str">
        <f ca="1">_xlfn.LET(
_xlpm._isAssumption,$M75,
_xlpm._row,$N75,
_xlpm._numActiveAssumptions,Helper!$B$8,
_xlpm._numActiveCountermeasures,Helper!$B$9,
_xlpm._numAdditionalAssumptions,Helper!$B$10,
_xlpm._numAdditionalCountermeasures,Helper!$B$11,
IF(_xlpm._isAssumption,
IF(_xlpm._row&gt;_xlpm._numActiveAssumptions,
$Y75&amp;"-A"&amp;$T75,
INDEX(Assumptions!A:A,MATCH(_xlpm._row,Assumptions!$AC:$AC,0))),
IF(_xlpm._row&gt;_xlpm._numActiveCountermeasures+_xlpm._numAdditionalCountermeasures,"",
IF(_xlpm._row&gt;_xlpm._numActiveCountermeasures,
$Y75&amp;"-C"&amp;$T75,
INDEX(Countermeasures!$A:$A,MATCH(_xlpm._row,Countermeasures!$AE:$AE,0))))))</f>
        <v/>
      </c>
      <c r="B75" s="106" t="str" cm="1">
        <f t="array" aca="1" ref="B75" ca="1">IF($A75="","",
_xlfn.LET(
_xlpm._isAssumption,$M75,
_xlpm._isAdditionalElement,$O75,
IF(_xlpm._isAdditionalElement,
IF(_xlpm._isAssumption,
ParseElementsFromComment($X75,Definitions!$AR$4,Definitions!$AS$4,Definitions!$AR$6,$T75),
ParseElementsFromComment($X75,Definitions!$AR$5,Definitions!$AS$5,Definitions!$AR$6,$T75)),
_xlfn.LET(_xlpm._value,IF($A75="","",IF($M75,SimpleLookup($A75,Assumptions!$A:$B),SimpleLookup($A75,Countermeasures!$A:$B))),IF(_xlpm._value="","",_xlpm._value)))))</f>
        <v/>
      </c>
      <c r="C75" s="106" t="str" cm="1">
        <f t="array" aca="1" ref="C75" ca="1">IF($A75="","",IF($M75,IFERROR(SimpleLookup($A75,Assumptions!$A:$E),""),Definitions!$AO$4))</f>
        <v/>
      </c>
      <c r="D75" s="103" t="str">
        <f t="shared" ca="1" si="9"/>
        <v/>
      </c>
      <c r="E75" s="107"/>
      <c r="F75" s="108" t="str">
        <f t="shared" ca="1" si="10"/>
        <v/>
      </c>
      <c r="G75" s="102" t="str" cm="1">
        <f t="array" aca="1" ref="G75" ca="1">_xlfn.LET(_xlpm._val,IFERROR(SimpleLookup($A75,Countermeasures!$A:$S),IFERROR(SimpleLookup($A75,Assumptions!$A:$S),"")),IF(_xlpm._val="","",_xlpm._val))</f>
        <v/>
      </c>
      <c r="H75" s="109" t="str">
        <f>""</f>
        <v/>
      </c>
      <c r="I75" s="102" t="str">
        <f t="shared" ca="1" si="11"/>
        <v/>
      </c>
      <c r="J75" s="102" t="str">
        <f t="shared" ca="1" si="12"/>
        <v/>
      </c>
      <c r="K75" s="106" t="str" cm="1">
        <f t="array" aca="1" ref="K75" ca="1">_xlfn.LET(_xlpm._value,IF($A75="","",IFERROR(IF($M75,SimpleLookup($A75,Assumptions!$A:$T),SimpleLookup($A75,Countermeasures!$A:$T)),"")),
IF(_xlpm._value="","",_xlpm._value))</f>
        <v/>
      </c>
      <c r="L75" s="9" cm="1">
        <f t="array" aca="1" ref="L75" ca="1">CreateID($L$17,$A75&lt;&gt;"")</f>
        <v>11</v>
      </c>
      <c r="M75" s="9" t="b">
        <f ca="1">_xlfn.LET(_xlpm._row,ROW()-ROW($N$17),
_xlpm._numActiveAssumptions,Helper!$B$8,
_xlpm._numAdditionalAssumptions,SUM(Table24['# Elements]),
_xlpm._row&lt;=_xlpm._numActiveAssumptions+_xlpm._numAdditionalAssumptions)</f>
        <v>0</v>
      </c>
      <c r="N75" s="9">
        <f ca="1">_xlfn.LET(_xlpm._row,ROW()-ROW($N$17),
_xlpm._numActiveAssumptions,Helper!$B$8,
_xlpm._numAdditionalAssumptions,Helper!$B$10,
_xlpm._isAssumption,$M75,
_xlpm._elementID,IF(_xlpm._isAssumption,_xlpm._row,_xlpm._row-_xlpm._numActiveAssumptions-_xlpm._numAdditionalAssumptions),
_xlpm._elementID)</f>
        <v>54</v>
      </c>
      <c r="O75"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75" s="11" cm="1">
        <f t="array" aca="1" ref="P75" ca="1">IF($O75,
IF(ROW()=ROW($P$17)+1,1,INDEX($P:$P,ROW()-1)+IF(INDEX($W:$W,ROW()-1),1,0)),
1)</f>
        <v>1</v>
      </c>
      <c r="Q75" s="11" t="str" cm="1">
        <f t="array" aca="1" ref="Q75" ca="1">IF($O75=TRUE,
_xlfn.LET(
_xlpm._isAssumption,$M75,
_xlpm._indexRange,IF(_xlpm._isAssumption,Table24['# Elements],Table25['# Elements]),
_xlpm._lookupRow,$Z75,
INDEX(_xlpm._indexRange,_xlpm._lookupRow)),
"")</f>
        <v/>
      </c>
      <c r="R75" s="11" t="str" cm="1">
        <f t="array" aca="1" ref="R75" ca="1">IF($Q75="","",_xlfn.LET(
_xlpm._prevRow,ROW()-1,
IF(OR(INDEX($Q:$Q,_xlpm._prevRow)&lt;&gt;$Q75,INDEX($P:$P,_xlpm._prevRow)&lt;&gt;$P75),
1,
INDEX($R:$R,_xlpm._prevRow)+IF(INDEX($V:$V,_xlpm._prevRow),1,0))))</f>
        <v/>
      </c>
      <c r="S75" s="11" t="str" cm="1">
        <f t="array" aca="1" ref="S75" ca="1">IF($R75="","",_xlfn.LET(
_xlpm._isAssumption,$M75,
_xlpm._sheetRow,$Z75,
_xlpm._sheetName,$AA75,
_xlpm._elementIDRange,IF(_xlpm._isAssumption,Table24[Element ID Column],Table25[Element ID Column]),
_xlpm._numberOfElementsRange,IF(_xlpm._isAssumption,Table24[Number of Elements Column],Table25[Number of Elements Column]),
SimpleLookup($R75,INDIRECT("'"&amp;_xlpm._sheetName&amp;"'!"&amp;INDEX(_xlpm._elementIDRange,_xlpm._sheetRow)&amp;":"&amp;INDEX(_xlpm._numberOfElementsRange,_xlpm._sheetRow)))))</f>
        <v/>
      </c>
      <c r="T75" s="11" t="str" cm="1">
        <f t="array" aca="1" ref="T75" ca="1">IF($R75="","",IF(OR(INDEX($R:$R,ROW()-1)&lt;&gt;$R75,INDEX($P:$P,ROW()-1)&lt;&gt;$P75),1,INDEX($T:$T,ROW()-1)+1))</f>
        <v/>
      </c>
      <c r="U75" s="11">
        <f t="shared" ca="1" si="13"/>
        <v>0</v>
      </c>
      <c r="V75" s="11" t="str">
        <f t="shared" ca="1" si="14"/>
        <v/>
      </c>
      <c r="W75" s="11" t="b">
        <f ca="1">_xlfn.LET(
_xlpm._isAssumption,$M75,
_xlpm._numberOfElementsRange,IF(_xlpm._isAssumption,Table24['# Elements],Table25['# Elements]),
_xlpm._sheetRow,$Z75,
IF($O75,AND($V75,$U75=$Q75),FALSE))</f>
        <v>0</v>
      </c>
      <c r="X75" s="11" t="str" cm="1">
        <f t="array" aca="1" ref="X75" ca="1">IF($O75,
_xlfn.LET(
_xlpm._elementID,$R75,
_xlpm._isAssumption,$M75,
_xlpm._sheetRow,$Z75,
_xlpm._sheetName,$AA75,
_xlpm._elementRow,$AB75,
_xlpm._resultColumnLetter,IF(_xlpm._isAssumption,INDEX(Table24[Comment Column],_xlpm._sheetRow),INDEX(Table25[Comment Column],_xlpm._sheetRow)),
INDEX(INDIRECT("'"&amp;_xlpm._sheetName&amp;"'!"&amp;_xlpm._resultColumnLetter&amp;":"&amp;_xlpm._resultColumnLetter),_xlpm._elementRow)),
"")</f>
        <v/>
      </c>
      <c r="Y75" s="11" t="str" cm="1">
        <f t="array" aca="1" ref="Y75" ca="1">IF($O75,
_xlfn.LET(
_xlpm._elementID,$R75,
_xlpm._isAssumption,$M75,
_xlpm._sheetRow,$Z75,
_xlpm._sheetName,$AA75,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75" s="11" t="str">
        <f ca="1">IF($O75=TRUE,
_xlfn.LET(
_xlpm._isAssumption,$M75,
_xlpm._searchRange,IF(_xlpm._isAssumption,Table24[Task Sheet Shadow ID],Table25[Task Sheet Shadow ID]),
MATCH($P75,_xlpm._searchRange,0)),
"")</f>
        <v/>
      </c>
      <c r="AA75" s="11" t="str" cm="1">
        <f t="array" aca="1" ref="AA75" ca="1">IF($O75,
_xlfn.LET(
_xlpm._isAssumption,$M75,
_xlpm._sheetRow,$Z75,
IF(_xlpm._isAssumption,INDEX(Table24[Sheet Name],_xlpm._sheetRow),INDEX(Table25[Sheet Name],_xlpm._sheetRow))),
"")</f>
        <v/>
      </c>
      <c r="AB75" s="11" t="str" cm="1">
        <f t="array" aca="1" ref="AB75" ca="1">IF($O75,
_xlfn.LET(
_xlpm._elementID,$R75,
_xlpm._isAssumption,$M75,
_xlpm._sheetRow,$Z75,
_xlpm._sheetName,$AA75,
_xlpm._elementIDColumnLetter,IF(_xlpm._isAssumption,INDEX(Table24[Element ID Column],_xlpm._sheetRow),INDEX(Table25[Element ID Column],_xlpm._sheetRow)),
MATCH(_xlpm._elementID,INDIRECT("'"&amp;_xlpm._sheetName&amp;"'!"&amp;_xlpm._elementIDColumnLetter&amp;":"&amp;_xlpm._elementIDColumnLetter),0)),
"")</f>
        <v/>
      </c>
      <c r="AC75" s="11" t="str" cm="1">
        <f t="array" aca="1" ref="AC75" ca="1">IF($A75="","",_xlfn.LET(
_xlpm._isAssumption,$M75,
_xlpm._isAdditionalElement,$O75,
_xlpm._sheetRow,$Z75,
_xlpm._sheetName,$AA75,
_xlpm._columnLetter,INDEX(IF(_xlpm._isAdditionalElement,Table24[Comment Column],Table25[Comment Column]),_xlpm._sheetRow),
_xlpm._sheetReference,IF(_xlpm._isAssumption,IF(_xlpm._isAdditionalElement,
CELL("address",INDEX(INDIRECT("'"&amp;_xlpm._sheetName&amp;"'!"&amp;_xlpm._columnLetter&amp;":"&amp;_xlpm._columnLetter),$AB75)),
CELL("address",INDEX(Assumptions!$A:$A,MATCH($A75,Assumptions!$A:$A,0),1))),
IF(_xlpm._isAdditionalElement,
CELL("address",INDEX(INDIRECT("'"&amp;_xlpm._sheetName&amp;"'!"&amp;_xlpm._columnLetter&amp;":"&amp;_xlpm._columnLetter),$AB75)),
CELL("address",INDEX(Countermeasures!$A:$A,MATCH($A75,Countermeasures!$A:$A,0),1)))),
_xlpm._start,FIND("]",_xlpm._sheetReference),
"'"&amp;SUBSTITUTE(SUBSTITUTE(RIGHT(_xlpm._sheetReference,LEN(_xlpm._sheetReference)-_xlpm._start),"'",""),"!","'!")))</f>
        <v/>
      </c>
      <c r="AD75" s="11" t="str" cm="1">
        <f t="array" aca="1" ref="AD75" ca="1">IF(NOT($O75),
_xlfn.LET(_xlpm._value,IF($A75="","",IF($M75,SimpleLookup($A75,Assumptions!$A:$AG),SimpleLookup($A75,Countermeasures!$A:$AJ))),
IF(_xlpm._value="","",_xlpm._value)),
"")</f>
        <v/>
      </c>
      <c r="AE75" s="11" t="str" cm="1">
        <f t="array" aca="1" ref="AE75" ca="1">LookupNames(InverseLookup($A75,Mitigation!$AD$2,Mitigation!$A$2,1,Helper!$B$5,","),'Attack Steps'!$A:$B)</f>
        <v/>
      </c>
      <c r="AF75" s="11" t="str" cm="1">
        <f t="array" aca="1" ref="AF75" ca="1">IF($O75,
_xlfn.LET(
_xlpm._in,$A75,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75" s="11" t="str" cm="1">
        <f t="array" aca="1" ref="AG75" ca="1">_xlfn.LET(
_xlpm._countermeasures,InverseLookup($A75,Countermeasures!$AC$2,Countermeasures!$A$2,1,Helper!$B$4,","),
LookupNames(_xlpm._countermeasures,Countermeasures!$A:$B))</f>
        <v/>
      </c>
      <c r="AH75" s="11" t="str" cm="1">
        <f t="array" aca="1" ref="AH75" ca="1">IF($E75="","",_xlfn.LET(
_xlpm._id,$E75,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75" s="11" t="str" cm="1">
        <f t="array" aca="1" ref="AI75" ca="1">IF(OR($A75="",$O75),"",_xlfn.LET(
_xlpm._answers,IF($M75,SimpleLookup($A75,Assumptions!$A:$F),SimpleLookup($A75,Countermeasures!$A:$D)),
IF(_xlpm._answers="*",IF($M75,SimpleLookup($A75,Assumptions!$A:$C),SimpleLookup($A75,Countermeasures!$A:$C)),"")))</f>
        <v/>
      </c>
      <c r="AJ75" s="11" t="str" cm="1">
        <f t="array" aca="1" ref="AJ75" ca="1">IF(NOT($O75),"",_xlfn.LET(
_xlpm._mappedInMitigation,IFERROR(VLOOKUP($Y75,'Attack Steps'!$A:$P,COLUMNS('Attack Steps'!$A:$P),FALSE),""),
CreateSearchString(_xlpm._mappedInMitigation)))</f>
        <v/>
      </c>
      <c r="AK75" s="11" t="b">
        <f ca="1">ROW()-ROW($AK$17)=Helper!$B$15</f>
        <v>0</v>
      </c>
      <c r="AL75" s="11" t="str">
        <f t="shared" ca="1" si="15"/>
        <v/>
      </c>
      <c r="AM75" s="11" cm="1">
        <f t="array" aca="1" ref="AM75" ca="1">CreateID($AM$17,$AL75&lt;&gt;"")</f>
        <v>0</v>
      </c>
      <c r="AN75" s="11" t="str" cm="1">
        <f t="array" aca="1" ref="AN75" ca="1">IF($O75,"",
_xlfn.LET(
_xlpm._this,SanitizeInput($A75)&amp;AT75,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75" s="11" t="str" cm="1">
        <f t="array" aca="1" ref="AO75" ca="1">IF($O75,"",_xlfn.LET(
_xlpm._listOfRisksAndLevels,SanitizeInput($AN75),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_xlpm._shortenedList,IF($H75="",_xlpm._risksWithMaxValue,
  IF(LEN(_xlpm._risksWithMaxValue)-LEN(SUBSTITUTE(_xlpm._risksWithMaxValue,",",""))&lt;=$H75,_xlpm._risksWithMaxValue,
    LEFT(_xlpm._risksWithMaxValue,FIND(CHAR(1),SUBSTITUTE(_xlpm._risksWithMaxValue,",",CHAR(1),$H75))))),
IF(_xlpm._maxRiskValue="","",
  _xlpm._lineMainSeparator&amp;
  INDEX(Definitions!$AE:$AE,MATCH(_xlpm._maxRiskValue,Definitions!$AF:$AF,0))&amp;CHAR(10)&amp;
  _xlpm._lineMainSeparator&amp;
  RemoveDelimiter(GetValues(_xlpm._shortenedList,Risks!$A:$B," ",CHAR(10)&amp;_xlpm._lineMainSeparator,TRUE),CHAR(10)&amp;_xlpm._lineMainSeparator))))</f>
        <v/>
      </c>
      <c r="AP75" s="11" t="str" cm="1">
        <f t="array" aca="1" ref="AP75" ca="1">IF($O75,"",_xlfn.LET(
_xlpm._lineMainSeparator,REPT(_xlfn.UNICHAR(9552),63)&amp;CHAR(10),
_xlpm._affectedRisks,InverseLookupList(SanitizeInput($A75)&amp;$AT75,Risks!$AX$2,Risks!$A$2,Helper!$B$1,","),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_xlpm._shortenedList,IF($H75="",_xlpm._risksWithMaxValue,
  IF(LEN(_xlpm._risksWithMaxValue)-LEN(SUBSTITUTE(_xlpm._risksWithMaxValue,",",""))&lt;=$H75,_xlpm._risksWithMaxValue,
    LEFT(_xlpm._risksWithMaxValue,FIND(CHAR(1),SUBSTITUTE(_xlpm._risksWithMaxValue,",",CHAR(1),$H75))))),
IF(_xlpm._maxRiskValue="","",
  _xlpm._lineMainSeparator&amp;
  INDEX(Definitions!$AE:$AE,MATCH(_xlpm._maxRiskValue,Definitions!$AF:$AF,0))&amp;CHAR(10)&amp;
  _xlpm._lineMainSeparator&amp;
  RemoveDelimiter(GetValues(_xlpm._shortenedList,Risks!$A:$B," ",CHAR(10)&amp;_xlpm._lineMainSeparator,TRUE),CHAR(10)&amp;_xlpm._lineMainSeparator))))</f>
        <v/>
      </c>
      <c r="AQ75" s="11" t="str" cm="1">
        <f t="array" aca="1" ref="AQ75" ca="1">IF(NOT($O75),"",
_xlfn.LET(
_xlpm._potentialASID,$Y75,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_xlpm._commentsFiltered,SUBSTITUTE(GetValues(_xlpm._attackSteps,Mitigation!$A:$O,"","",FALSE),$X75,""),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75" s="11" t="str" cm="1">
        <f t="array" aca="1" ref="AR75" ca="1">IF(NOT($O75),"",_xlfn.LET(
_xlpm._listOfRisksAndLevels,SanitizeInput($AQ75),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_xlpm._shortenedList,IF($H75="",_xlpm._risksWithMaxValue,
  IF(LEN(_xlpm._risksWithMaxValue)-LEN(SUBSTITUTE(_xlpm._risksWithMaxValue,",",""))&lt;=$H75,_xlpm._risksWithMaxValue,
    LEFT(_xlpm._risksWithMaxValue,FIND(CHAR(1),SUBSTITUTE(_xlpm._risksWithMaxValue,",",CHAR(1),$H75))))),
IF(_xlpm._maxRiskValue="","",
  _xlpm._lineMainSeparator&amp;
  INDEX(Definitions!$AE:$AE,MATCH(_xlpm._maxRiskValue,Definitions!$AF:$AF,0))&amp;CHAR(10)&amp;
  _xlpm._lineMainSeparator&amp;
  RemoveDelimiter(GetValues(_xlpm._shortenedList,Risks!$A:$B," ",CHAR(10)&amp;_xlpm._lineMainSeparator,TRUE),CHAR(10)&amp;_xlpm._lineMainSeparator))))</f>
        <v/>
      </c>
      <c r="AS75" s="11" t="str" cm="1">
        <f t="array" aca="1" ref="AS75" ca="1">IF(NOT($O75),"",
_xlfn.LET(
_xlpm._lineMainSeparator,REPT(_xlfn.UNICHAR(9552),63)&amp;CHAR(10),
_xlpm._potentialASID,$Y75,
_xlpm._risk,IFERROR(SimpleLookup(_xlpm._potentialASID,Mitigation!$A:$N),""),
_xlpm._attackPaths,IFERROR(SimpleLookup(_xlpm._potentialASID,Mitigation!$A:$M),""),
IF(_xlpm._risk="","",
_xlpm._lineMainSeparator&amp;
_xlpm._risk&amp;CHAR(10)&amp;
_xlpm._lineMainSeparator&amp;
_xlpm._attackPaths)))</f>
        <v/>
      </c>
      <c r="AT75" s="11" t="str" cm="1">
        <f t="array" aca="1" ref="AT75" ca="1">InverseLookup($A75,Countermeasures!$AA$2,Countermeasures!$A$2,1,Helper!$B$4,",")</f>
        <v/>
      </c>
    </row>
    <row r="76" spans="1:46" x14ac:dyDescent="0.25">
      <c r="A76" s="106" t="str">
        <f ca="1">_xlfn.LET(
_xlpm._isAssumption,$M76,
_xlpm._row,$N76,
_xlpm._numActiveAssumptions,Helper!$B$8,
_xlpm._numActiveCountermeasures,Helper!$B$9,
_xlpm._numAdditionalAssumptions,Helper!$B$10,
_xlpm._numAdditionalCountermeasures,Helper!$B$11,
IF(_xlpm._isAssumption,
IF(_xlpm._row&gt;_xlpm._numActiveAssumptions,
$Y76&amp;"-A"&amp;$T76,
INDEX(Assumptions!A:A,MATCH(_xlpm._row,Assumptions!$AC:$AC,0))),
IF(_xlpm._row&gt;_xlpm._numActiveCountermeasures+_xlpm._numAdditionalCountermeasures,"",
IF(_xlpm._row&gt;_xlpm._numActiveCountermeasures,
$Y76&amp;"-C"&amp;$T76,
INDEX(Countermeasures!$A:$A,MATCH(_xlpm._row,Countermeasures!$AE:$AE,0))))))</f>
        <v/>
      </c>
      <c r="B76" s="106" t="str" cm="1">
        <f t="array" aca="1" ref="B76" ca="1">IF($A76="","",
_xlfn.LET(
_xlpm._isAssumption,$M76,
_xlpm._isAdditionalElement,$O76,
IF(_xlpm._isAdditionalElement,
IF(_xlpm._isAssumption,
ParseElementsFromComment($X76,Definitions!$AR$4,Definitions!$AS$4,Definitions!$AR$6,$T76),
ParseElementsFromComment($X76,Definitions!$AR$5,Definitions!$AS$5,Definitions!$AR$6,$T76)),
_xlfn.LET(_xlpm._value,IF($A76="","",IF($M76,SimpleLookup($A76,Assumptions!$A:$B),SimpleLookup($A76,Countermeasures!$A:$B))),IF(_xlpm._value="","",_xlpm._value)))))</f>
        <v/>
      </c>
      <c r="C76" s="106" t="str" cm="1">
        <f t="array" aca="1" ref="C76" ca="1">IF($A76="","",IF($M76,IFERROR(SimpleLookup($A76,Assumptions!$A:$E),""),Definitions!$AO$4))</f>
        <v/>
      </c>
      <c r="D76" s="103" t="str">
        <f t="shared" ca="1" si="9"/>
        <v/>
      </c>
      <c r="E76" s="107"/>
      <c r="F76" s="108" t="str">
        <f t="shared" ca="1" si="10"/>
        <v/>
      </c>
      <c r="G76" s="102" t="str" cm="1">
        <f t="array" aca="1" ref="G76" ca="1">_xlfn.LET(_xlpm._val,IFERROR(SimpleLookup($A76,Countermeasures!$A:$S),IFERROR(SimpleLookup($A76,Assumptions!$A:$S),"")),IF(_xlpm._val="","",_xlpm._val))</f>
        <v/>
      </c>
      <c r="H76" s="109" t="str">
        <f>""</f>
        <v/>
      </c>
      <c r="I76" s="102" t="str">
        <f t="shared" ca="1" si="11"/>
        <v/>
      </c>
      <c r="J76" s="102" t="str">
        <f t="shared" ca="1" si="12"/>
        <v/>
      </c>
      <c r="K76" s="106" t="str" cm="1">
        <f t="array" aca="1" ref="K76" ca="1">_xlfn.LET(_xlpm._value,IF($A76="","",IFERROR(IF($M76,SimpleLookup($A76,Assumptions!$A:$T),SimpleLookup($A76,Countermeasures!$A:$T)),"")),
IF(_xlpm._value="","",_xlpm._value))</f>
        <v/>
      </c>
      <c r="L76" s="9" cm="1">
        <f t="array" aca="1" ref="L76" ca="1">CreateID($L$17,$A76&lt;&gt;"")</f>
        <v>11</v>
      </c>
      <c r="M76" s="9" t="b">
        <f ca="1">_xlfn.LET(_xlpm._row,ROW()-ROW($N$17),
_xlpm._numActiveAssumptions,Helper!$B$8,
_xlpm._numAdditionalAssumptions,SUM(Table24['# Elements]),
_xlpm._row&lt;=_xlpm._numActiveAssumptions+_xlpm._numAdditionalAssumptions)</f>
        <v>0</v>
      </c>
      <c r="N76" s="9">
        <f ca="1">_xlfn.LET(_xlpm._row,ROW()-ROW($N$17),
_xlpm._numActiveAssumptions,Helper!$B$8,
_xlpm._numAdditionalAssumptions,Helper!$B$10,
_xlpm._isAssumption,$M76,
_xlpm._elementID,IF(_xlpm._isAssumption,_xlpm._row,_xlpm._row-_xlpm._numActiveAssumptions-_xlpm._numAdditionalAssumptions),
_xlpm._elementID)</f>
        <v>55</v>
      </c>
      <c r="O76"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76" s="11" cm="1">
        <f t="array" aca="1" ref="P76" ca="1">IF($O76,
IF(ROW()=ROW($P$17)+1,1,INDEX($P:$P,ROW()-1)+IF(INDEX($W:$W,ROW()-1),1,0)),
1)</f>
        <v>1</v>
      </c>
      <c r="Q76" s="11" t="str" cm="1">
        <f t="array" aca="1" ref="Q76" ca="1">IF($O76=TRUE,
_xlfn.LET(
_xlpm._isAssumption,$M76,
_xlpm._indexRange,IF(_xlpm._isAssumption,Table24['# Elements],Table25['# Elements]),
_xlpm._lookupRow,$Z76,
INDEX(_xlpm._indexRange,_xlpm._lookupRow)),
"")</f>
        <v/>
      </c>
      <c r="R76" s="11" t="str" cm="1">
        <f t="array" aca="1" ref="R76" ca="1">IF($Q76="","",_xlfn.LET(
_xlpm._prevRow,ROW()-1,
IF(OR(INDEX($Q:$Q,_xlpm._prevRow)&lt;&gt;$Q76,INDEX($P:$P,_xlpm._prevRow)&lt;&gt;$P76),
1,
INDEX($R:$R,_xlpm._prevRow)+IF(INDEX($V:$V,_xlpm._prevRow),1,0))))</f>
        <v/>
      </c>
      <c r="S76" s="11" t="str" cm="1">
        <f t="array" aca="1" ref="S76" ca="1">IF($R76="","",_xlfn.LET(
_xlpm._isAssumption,$M76,
_xlpm._sheetRow,$Z76,
_xlpm._sheetName,$AA76,
_xlpm._elementIDRange,IF(_xlpm._isAssumption,Table24[Element ID Column],Table25[Element ID Column]),
_xlpm._numberOfElementsRange,IF(_xlpm._isAssumption,Table24[Number of Elements Column],Table25[Number of Elements Column]),
SimpleLookup($R76,INDIRECT("'"&amp;_xlpm._sheetName&amp;"'!"&amp;INDEX(_xlpm._elementIDRange,_xlpm._sheetRow)&amp;":"&amp;INDEX(_xlpm._numberOfElementsRange,_xlpm._sheetRow)))))</f>
        <v/>
      </c>
      <c r="T76" s="11" t="str" cm="1">
        <f t="array" aca="1" ref="T76" ca="1">IF($R76="","",IF(OR(INDEX($R:$R,ROW()-1)&lt;&gt;$R76,INDEX($P:$P,ROW()-1)&lt;&gt;$P76),1,INDEX($T:$T,ROW()-1)+1))</f>
        <v/>
      </c>
      <c r="U76" s="11">
        <f t="shared" ca="1" si="13"/>
        <v>0</v>
      </c>
      <c r="V76" s="11" t="str">
        <f t="shared" ca="1" si="14"/>
        <v/>
      </c>
      <c r="W76" s="11" t="b">
        <f ca="1">_xlfn.LET(
_xlpm._isAssumption,$M76,
_xlpm._numberOfElementsRange,IF(_xlpm._isAssumption,Table24['# Elements],Table25['# Elements]),
_xlpm._sheetRow,$Z76,
IF($O76,AND($V76,$U76=$Q76),FALSE))</f>
        <v>0</v>
      </c>
      <c r="X76" s="11" t="str" cm="1">
        <f t="array" aca="1" ref="X76" ca="1">IF($O76,
_xlfn.LET(
_xlpm._elementID,$R76,
_xlpm._isAssumption,$M76,
_xlpm._sheetRow,$Z76,
_xlpm._sheetName,$AA76,
_xlpm._elementRow,$AB76,
_xlpm._resultColumnLetter,IF(_xlpm._isAssumption,INDEX(Table24[Comment Column],_xlpm._sheetRow),INDEX(Table25[Comment Column],_xlpm._sheetRow)),
INDEX(INDIRECT("'"&amp;_xlpm._sheetName&amp;"'!"&amp;_xlpm._resultColumnLetter&amp;":"&amp;_xlpm._resultColumnLetter),_xlpm._elementRow)),
"")</f>
        <v/>
      </c>
      <c r="Y76" s="11" t="str" cm="1">
        <f t="array" aca="1" ref="Y76" ca="1">IF($O76,
_xlfn.LET(
_xlpm._elementID,$R76,
_xlpm._isAssumption,$M76,
_xlpm._sheetRow,$Z76,
_xlpm._sheetName,$AA76,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76" s="11" t="str">
        <f ca="1">IF($O76=TRUE,
_xlfn.LET(
_xlpm._isAssumption,$M76,
_xlpm._searchRange,IF(_xlpm._isAssumption,Table24[Task Sheet Shadow ID],Table25[Task Sheet Shadow ID]),
MATCH($P76,_xlpm._searchRange,0)),
"")</f>
        <v/>
      </c>
      <c r="AA76" s="11" t="str" cm="1">
        <f t="array" aca="1" ref="AA76" ca="1">IF($O76,
_xlfn.LET(
_xlpm._isAssumption,$M76,
_xlpm._sheetRow,$Z76,
IF(_xlpm._isAssumption,INDEX(Table24[Sheet Name],_xlpm._sheetRow),INDEX(Table25[Sheet Name],_xlpm._sheetRow))),
"")</f>
        <v/>
      </c>
      <c r="AB76" s="11" t="str" cm="1">
        <f t="array" aca="1" ref="AB76" ca="1">IF($O76,
_xlfn.LET(
_xlpm._elementID,$R76,
_xlpm._isAssumption,$M76,
_xlpm._sheetRow,$Z76,
_xlpm._sheetName,$AA76,
_xlpm._elementIDColumnLetter,IF(_xlpm._isAssumption,INDEX(Table24[Element ID Column],_xlpm._sheetRow),INDEX(Table25[Element ID Column],_xlpm._sheetRow)),
MATCH(_xlpm._elementID,INDIRECT("'"&amp;_xlpm._sheetName&amp;"'!"&amp;_xlpm._elementIDColumnLetter&amp;":"&amp;_xlpm._elementIDColumnLetter),0)),
"")</f>
        <v/>
      </c>
      <c r="AC76" s="11" t="str" cm="1">
        <f t="array" aca="1" ref="AC76" ca="1">IF($A76="","",_xlfn.LET(
_xlpm._isAssumption,$M76,
_xlpm._isAdditionalElement,$O76,
_xlpm._sheetRow,$Z76,
_xlpm._sheetName,$AA76,
_xlpm._columnLetter,INDEX(IF(_xlpm._isAdditionalElement,Table24[Comment Column],Table25[Comment Column]),_xlpm._sheetRow),
_xlpm._sheetReference,IF(_xlpm._isAssumption,IF(_xlpm._isAdditionalElement,
CELL("address",INDEX(INDIRECT("'"&amp;_xlpm._sheetName&amp;"'!"&amp;_xlpm._columnLetter&amp;":"&amp;_xlpm._columnLetter),$AB76)),
CELL("address",INDEX(Assumptions!$A:$A,MATCH($A76,Assumptions!$A:$A,0),1))),
IF(_xlpm._isAdditionalElement,
CELL("address",INDEX(INDIRECT("'"&amp;_xlpm._sheetName&amp;"'!"&amp;_xlpm._columnLetter&amp;":"&amp;_xlpm._columnLetter),$AB76)),
CELL("address",INDEX(Countermeasures!$A:$A,MATCH($A76,Countermeasures!$A:$A,0),1)))),
_xlpm._start,FIND("]",_xlpm._sheetReference),
"'"&amp;SUBSTITUTE(SUBSTITUTE(RIGHT(_xlpm._sheetReference,LEN(_xlpm._sheetReference)-_xlpm._start),"'",""),"!","'!")))</f>
        <v/>
      </c>
      <c r="AD76" s="11" t="str" cm="1">
        <f t="array" aca="1" ref="AD76" ca="1">IF(NOT($O76),
_xlfn.LET(_xlpm._value,IF($A76="","",IF($M76,SimpleLookup($A76,Assumptions!$A:$AG),SimpleLookup($A76,Countermeasures!$A:$AJ))),
IF(_xlpm._value="","",_xlpm._value)),
"")</f>
        <v/>
      </c>
      <c r="AE76" s="11" t="str" cm="1">
        <f t="array" aca="1" ref="AE76" ca="1">LookupNames(InverseLookup($A76,Mitigation!$AD$2,Mitigation!$A$2,1,Helper!$B$5,","),'Attack Steps'!$A:$B)</f>
        <v/>
      </c>
      <c r="AF76" s="11" t="str" cm="1">
        <f t="array" aca="1" ref="AF76" ca="1">IF($O76,
_xlfn.LET(
_xlpm._in,$A76,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76" s="11" t="str" cm="1">
        <f t="array" aca="1" ref="AG76" ca="1">_xlfn.LET(
_xlpm._countermeasures,InverseLookup($A76,Countermeasures!$AC$2,Countermeasures!$A$2,1,Helper!$B$4,","),
LookupNames(_xlpm._countermeasures,Countermeasures!$A:$B))</f>
        <v/>
      </c>
      <c r="AH76" s="11" t="str" cm="1">
        <f t="array" aca="1" ref="AH76" ca="1">IF($E76="","",_xlfn.LET(
_xlpm._id,$E76,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76" s="11" t="str" cm="1">
        <f t="array" aca="1" ref="AI76" ca="1">IF(OR($A76="",$O76),"",_xlfn.LET(
_xlpm._answers,IF($M76,SimpleLookup($A76,Assumptions!$A:$F),SimpleLookup($A76,Countermeasures!$A:$D)),
IF(_xlpm._answers="*",IF($M76,SimpleLookup($A76,Assumptions!$A:$C),SimpleLookup($A76,Countermeasures!$A:$C)),"")))</f>
        <v/>
      </c>
      <c r="AJ76" s="11" t="str" cm="1">
        <f t="array" aca="1" ref="AJ76" ca="1">IF(NOT($O76),"",_xlfn.LET(
_xlpm._mappedInMitigation,IFERROR(VLOOKUP($Y76,'Attack Steps'!$A:$P,COLUMNS('Attack Steps'!$A:$P),FALSE),""),
CreateSearchString(_xlpm._mappedInMitigation)))</f>
        <v/>
      </c>
      <c r="AK76" s="11" t="b">
        <f ca="1">ROW()-ROW($AK$17)=Helper!$B$15</f>
        <v>0</v>
      </c>
      <c r="AL76" s="11" t="str">
        <f t="shared" ca="1" si="15"/>
        <v/>
      </c>
      <c r="AM76" s="11" cm="1">
        <f t="array" aca="1" ref="AM76" ca="1">CreateID($AM$17,$AL76&lt;&gt;"")</f>
        <v>0</v>
      </c>
      <c r="AN76" s="11" t="str" cm="1">
        <f t="array" aca="1" ref="AN76" ca="1">IF($O76,"",
_xlfn.LET(
_xlpm._this,SanitizeInput($A76)&amp;AT76,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76" s="11" t="str" cm="1">
        <f t="array" aca="1" ref="AO76" ca="1">IF($O76,"",_xlfn.LET(
_xlpm._listOfRisksAndLevels,SanitizeInput($AN76),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_xlpm._shortenedList,IF($H76="",_xlpm._risksWithMaxValue,
  IF(LEN(_xlpm._risksWithMaxValue)-LEN(SUBSTITUTE(_xlpm._risksWithMaxValue,",",""))&lt;=$H76,_xlpm._risksWithMaxValue,
    LEFT(_xlpm._risksWithMaxValue,FIND(CHAR(1),SUBSTITUTE(_xlpm._risksWithMaxValue,",",CHAR(1),$H76))))),
IF(_xlpm._maxRiskValue="","",
  _xlpm._lineMainSeparator&amp;
  INDEX(Definitions!$AE:$AE,MATCH(_xlpm._maxRiskValue,Definitions!$AF:$AF,0))&amp;CHAR(10)&amp;
  _xlpm._lineMainSeparator&amp;
  RemoveDelimiter(GetValues(_xlpm._shortenedList,Risks!$A:$B," ",CHAR(10)&amp;_xlpm._lineMainSeparator,TRUE),CHAR(10)&amp;_xlpm._lineMainSeparator))))</f>
        <v/>
      </c>
      <c r="AP76" s="11" t="str" cm="1">
        <f t="array" aca="1" ref="AP76" ca="1">IF($O76,"",_xlfn.LET(
_xlpm._lineMainSeparator,REPT(_xlfn.UNICHAR(9552),63)&amp;CHAR(10),
_xlpm._affectedRisks,InverseLookupList(SanitizeInput($A76)&amp;$AT76,Risks!$AX$2,Risks!$A$2,Helper!$B$1,","),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_xlpm._shortenedList,IF($H76="",_xlpm._risksWithMaxValue,
  IF(LEN(_xlpm._risksWithMaxValue)-LEN(SUBSTITUTE(_xlpm._risksWithMaxValue,",",""))&lt;=$H76,_xlpm._risksWithMaxValue,
    LEFT(_xlpm._risksWithMaxValue,FIND(CHAR(1),SUBSTITUTE(_xlpm._risksWithMaxValue,",",CHAR(1),$H76))))),
IF(_xlpm._maxRiskValue="","",
  _xlpm._lineMainSeparator&amp;
  INDEX(Definitions!$AE:$AE,MATCH(_xlpm._maxRiskValue,Definitions!$AF:$AF,0))&amp;CHAR(10)&amp;
  _xlpm._lineMainSeparator&amp;
  RemoveDelimiter(GetValues(_xlpm._shortenedList,Risks!$A:$B," ",CHAR(10)&amp;_xlpm._lineMainSeparator,TRUE),CHAR(10)&amp;_xlpm._lineMainSeparator))))</f>
        <v/>
      </c>
      <c r="AQ76" s="11" t="str" cm="1">
        <f t="array" aca="1" ref="AQ76" ca="1">IF(NOT($O76),"",
_xlfn.LET(
_xlpm._potentialASID,$Y76,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_xlpm._commentsFiltered,SUBSTITUTE(GetValues(_xlpm._attackSteps,Mitigation!$A:$O,"","",FALSE),$X76,""),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76" s="11" t="str" cm="1">
        <f t="array" aca="1" ref="AR76" ca="1">IF(NOT($O76),"",_xlfn.LET(
_xlpm._listOfRisksAndLevels,SanitizeInput($AQ76),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_xlpm._shortenedList,IF($H76="",_xlpm._risksWithMaxValue,
  IF(LEN(_xlpm._risksWithMaxValue)-LEN(SUBSTITUTE(_xlpm._risksWithMaxValue,",",""))&lt;=$H76,_xlpm._risksWithMaxValue,
    LEFT(_xlpm._risksWithMaxValue,FIND(CHAR(1),SUBSTITUTE(_xlpm._risksWithMaxValue,",",CHAR(1),$H76))))),
IF(_xlpm._maxRiskValue="","",
  _xlpm._lineMainSeparator&amp;
  INDEX(Definitions!$AE:$AE,MATCH(_xlpm._maxRiskValue,Definitions!$AF:$AF,0))&amp;CHAR(10)&amp;
  _xlpm._lineMainSeparator&amp;
  RemoveDelimiter(GetValues(_xlpm._shortenedList,Risks!$A:$B," ",CHAR(10)&amp;_xlpm._lineMainSeparator,TRUE),CHAR(10)&amp;_xlpm._lineMainSeparator))))</f>
        <v/>
      </c>
      <c r="AS76" s="11" t="str" cm="1">
        <f t="array" aca="1" ref="AS76" ca="1">IF(NOT($O76),"",
_xlfn.LET(
_xlpm._lineMainSeparator,REPT(_xlfn.UNICHAR(9552),63)&amp;CHAR(10),
_xlpm._potentialASID,$Y76,
_xlpm._risk,IFERROR(SimpleLookup(_xlpm._potentialASID,Mitigation!$A:$N),""),
_xlpm._attackPaths,IFERROR(SimpleLookup(_xlpm._potentialASID,Mitigation!$A:$M),""),
IF(_xlpm._risk="","",
_xlpm._lineMainSeparator&amp;
_xlpm._risk&amp;CHAR(10)&amp;
_xlpm._lineMainSeparator&amp;
_xlpm._attackPaths)))</f>
        <v/>
      </c>
      <c r="AT76" s="11" t="str" cm="1">
        <f t="array" aca="1" ref="AT76" ca="1">InverseLookup($A76,Countermeasures!$AA$2,Countermeasures!$A$2,1,Helper!$B$4,",")</f>
        <v/>
      </c>
    </row>
    <row r="77" spans="1:46" x14ac:dyDescent="0.25">
      <c r="A77" s="106" t="str">
        <f ca="1">_xlfn.LET(
_xlpm._isAssumption,$M77,
_xlpm._row,$N77,
_xlpm._numActiveAssumptions,Helper!$B$8,
_xlpm._numActiveCountermeasures,Helper!$B$9,
_xlpm._numAdditionalAssumptions,Helper!$B$10,
_xlpm._numAdditionalCountermeasures,Helper!$B$11,
IF(_xlpm._isAssumption,
IF(_xlpm._row&gt;_xlpm._numActiveAssumptions,
$Y77&amp;"-A"&amp;$T77,
INDEX(Assumptions!A:A,MATCH(_xlpm._row,Assumptions!$AC:$AC,0))),
IF(_xlpm._row&gt;_xlpm._numActiveCountermeasures+_xlpm._numAdditionalCountermeasures,"",
IF(_xlpm._row&gt;_xlpm._numActiveCountermeasures,
$Y77&amp;"-C"&amp;$T77,
INDEX(Countermeasures!$A:$A,MATCH(_xlpm._row,Countermeasures!$AE:$AE,0))))))</f>
        <v/>
      </c>
      <c r="B77" s="106" t="str" cm="1">
        <f t="array" aca="1" ref="B77" ca="1">IF($A77="","",
_xlfn.LET(
_xlpm._isAssumption,$M77,
_xlpm._isAdditionalElement,$O77,
IF(_xlpm._isAdditionalElement,
IF(_xlpm._isAssumption,
ParseElementsFromComment($X77,Definitions!$AR$4,Definitions!$AS$4,Definitions!$AR$6,$T77),
ParseElementsFromComment($X77,Definitions!$AR$5,Definitions!$AS$5,Definitions!$AR$6,$T77)),
_xlfn.LET(_xlpm._value,IF($A77="","",IF($M77,SimpleLookup($A77,Assumptions!$A:$B),SimpleLookup($A77,Countermeasures!$A:$B))),IF(_xlpm._value="","",_xlpm._value)))))</f>
        <v/>
      </c>
      <c r="C77" s="106" t="str" cm="1">
        <f t="array" aca="1" ref="C77" ca="1">IF($A77="","",IF($M77,IFERROR(SimpleLookup($A77,Assumptions!$A:$E),""),Definitions!$AO$4))</f>
        <v/>
      </c>
      <c r="D77" s="103" t="str">
        <f t="shared" ca="1" si="9"/>
        <v/>
      </c>
      <c r="E77" s="107"/>
      <c r="F77" s="108" t="str">
        <f t="shared" ca="1" si="10"/>
        <v/>
      </c>
      <c r="G77" s="102" t="str" cm="1">
        <f t="array" aca="1" ref="G77" ca="1">_xlfn.LET(_xlpm._val,IFERROR(SimpleLookup($A77,Countermeasures!$A:$S),IFERROR(SimpleLookup($A77,Assumptions!$A:$S),"")),IF(_xlpm._val="","",_xlpm._val))</f>
        <v/>
      </c>
      <c r="H77" s="109" t="str">
        <f>""</f>
        <v/>
      </c>
      <c r="I77" s="102" t="str">
        <f t="shared" ca="1" si="11"/>
        <v/>
      </c>
      <c r="J77" s="102" t="str">
        <f t="shared" ca="1" si="12"/>
        <v/>
      </c>
      <c r="K77" s="106" t="str" cm="1">
        <f t="array" aca="1" ref="K77" ca="1">_xlfn.LET(_xlpm._value,IF($A77="","",IFERROR(IF($M77,SimpleLookup($A77,Assumptions!$A:$T),SimpleLookup($A77,Countermeasures!$A:$T)),"")),
IF(_xlpm._value="","",_xlpm._value))</f>
        <v/>
      </c>
      <c r="L77" s="9" cm="1">
        <f t="array" aca="1" ref="L77" ca="1">CreateID($L$17,$A77&lt;&gt;"")</f>
        <v>11</v>
      </c>
      <c r="M77" s="9" t="b">
        <f ca="1">_xlfn.LET(_xlpm._row,ROW()-ROW($N$17),
_xlpm._numActiveAssumptions,Helper!$B$8,
_xlpm._numAdditionalAssumptions,SUM(Table24['# Elements]),
_xlpm._row&lt;=_xlpm._numActiveAssumptions+_xlpm._numAdditionalAssumptions)</f>
        <v>0</v>
      </c>
      <c r="N77" s="9">
        <f ca="1">_xlfn.LET(_xlpm._row,ROW()-ROW($N$17),
_xlpm._numActiveAssumptions,Helper!$B$8,
_xlpm._numAdditionalAssumptions,Helper!$B$10,
_xlpm._isAssumption,$M77,
_xlpm._elementID,IF(_xlpm._isAssumption,_xlpm._row,_xlpm._row-_xlpm._numActiveAssumptions-_xlpm._numAdditionalAssumptions),
_xlpm._elementID)</f>
        <v>56</v>
      </c>
      <c r="O77"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77" s="11" cm="1">
        <f t="array" aca="1" ref="P77" ca="1">IF($O77,
IF(ROW()=ROW($P$17)+1,1,INDEX($P:$P,ROW()-1)+IF(INDEX($W:$W,ROW()-1),1,0)),
1)</f>
        <v>1</v>
      </c>
      <c r="Q77" s="11" t="str" cm="1">
        <f t="array" aca="1" ref="Q77" ca="1">IF($O77=TRUE,
_xlfn.LET(
_xlpm._isAssumption,$M77,
_xlpm._indexRange,IF(_xlpm._isAssumption,Table24['# Elements],Table25['# Elements]),
_xlpm._lookupRow,$Z77,
INDEX(_xlpm._indexRange,_xlpm._lookupRow)),
"")</f>
        <v/>
      </c>
      <c r="R77" s="11" t="str" cm="1">
        <f t="array" aca="1" ref="R77" ca="1">IF($Q77="","",_xlfn.LET(
_xlpm._prevRow,ROW()-1,
IF(OR(INDEX($Q:$Q,_xlpm._prevRow)&lt;&gt;$Q77,INDEX($P:$P,_xlpm._prevRow)&lt;&gt;$P77),
1,
INDEX($R:$R,_xlpm._prevRow)+IF(INDEX($V:$V,_xlpm._prevRow),1,0))))</f>
        <v/>
      </c>
      <c r="S77" s="11" t="str" cm="1">
        <f t="array" aca="1" ref="S77" ca="1">IF($R77="","",_xlfn.LET(
_xlpm._isAssumption,$M77,
_xlpm._sheetRow,$Z77,
_xlpm._sheetName,$AA77,
_xlpm._elementIDRange,IF(_xlpm._isAssumption,Table24[Element ID Column],Table25[Element ID Column]),
_xlpm._numberOfElementsRange,IF(_xlpm._isAssumption,Table24[Number of Elements Column],Table25[Number of Elements Column]),
SimpleLookup($R77,INDIRECT("'"&amp;_xlpm._sheetName&amp;"'!"&amp;INDEX(_xlpm._elementIDRange,_xlpm._sheetRow)&amp;":"&amp;INDEX(_xlpm._numberOfElementsRange,_xlpm._sheetRow)))))</f>
        <v/>
      </c>
      <c r="T77" s="11" t="str" cm="1">
        <f t="array" aca="1" ref="T77" ca="1">IF($R77="","",IF(OR(INDEX($R:$R,ROW()-1)&lt;&gt;$R77,INDEX($P:$P,ROW()-1)&lt;&gt;$P77),1,INDEX($T:$T,ROW()-1)+1))</f>
        <v/>
      </c>
      <c r="U77" s="11">
        <f t="shared" ca="1" si="13"/>
        <v>0</v>
      </c>
      <c r="V77" s="11" t="str">
        <f t="shared" ca="1" si="14"/>
        <v/>
      </c>
      <c r="W77" s="11" t="b">
        <f ca="1">_xlfn.LET(
_xlpm._isAssumption,$M77,
_xlpm._numberOfElementsRange,IF(_xlpm._isAssumption,Table24['# Elements],Table25['# Elements]),
_xlpm._sheetRow,$Z77,
IF($O77,AND($V77,$U77=$Q77),FALSE))</f>
        <v>0</v>
      </c>
      <c r="X77" s="11" t="str" cm="1">
        <f t="array" aca="1" ref="X77" ca="1">IF($O77,
_xlfn.LET(
_xlpm._elementID,$R77,
_xlpm._isAssumption,$M77,
_xlpm._sheetRow,$Z77,
_xlpm._sheetName,$AA77,
_xlpm._elementRow,$AB77,
_xlpm._resultColumnLetter,IF(_xlpm._isAssumption,INDEX(Table24[Comment Column],_xlpm._sheetRow),INDEX(Table25[Comment Column],_xlpm._sheetRow)),
INDEX(INDIRECT("'"&amp;_xlpm._sheetName&amp;"'!"&amp;_xlpm._resultColumnLetter&amp;":"&amp;_xlpm._resultColumnLetter),_xlpm._elementRow)),
"")</f>
        <v/>
      </c>
      <c r="Y77" s="11" t="str" cm="1">
        <f t="array" aca="1" ref="Y77" ca="1">IF($O77,
_xlfn.LET(
_xlpm._elementID,$R77,
_xlpm._isAssumption,$M77,
_xlpm._sheetRow,$Z77,
_xlpm._sheetName,$AA77,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77" s="11" t="str">
        <f ca="1">IF($O77=TRUE,
_xlfn.LET(
_xlpm._isAssumption,$M77,
_xlpm._searchRange,IF(_xlpm._isAssumption,Table24[Task Sheet Shadow ID],Table25[Task Sheet Shadow ID]),
MATCH($P77,_xlpm._searchRange,0)),
"")</f>
        <v/>
      </c>
      <c r="AA77" s="11" t="str" cm="1">
        <f t="array" aca="1" ref="AA77" ca="1">IF($O77,
_xlfn.LET(
_xlpm._isAssumption,$M77,
_xlpm._sheetRow,$Z77,
IF(_xlpm._isAssumption,INDEX(Table24[Sheet Name],_xlpm._sheetRow),INDEX(Table25[Sheet Name],_xlpm._sheetRow))),
"")</f>
        <v/>
      </c>
      <c r="AB77" s="11" t="str" cm="1">
        <f t="array" aca="1" ref="AB77" ca="1">IF($O77,
_xlfn.LET(
_xlpm._elementID,$R77,
_xlpm._isAssumption,$M77,
_xlpm._sheetRow,$Z77,
_xlpm._sheetName,$AA77,
_xlpm._elementIDColumnLetter,IF(_xlpm._isAssumption,INDEX(Table24[Element ID Column],_xlpm._sheetRow),INDEX(Table25[Element ID Column],_xlpm._sheetRow)),
MATCH(_xlpm._elementID,INDIRECT("'"&amp;_xlpm._sheetName&amp;"'!"&amp;_xlpm._elementIDColumnLetter&amp;":"&amp;_xlpm._elementIDColumnLetter),0)),
"")</f>
        <v/>
      </c>
      <c r="AC77" s="11" t="str" cm="1">
        <f t="array" aca="1" ref="AC77" ca="1">IF($A77="","",_xlfn.LET(
_xlpm._isAssumption,$M77,
_xlpm._isAdditionalElement,$O77,
_xlpm._sheetRow,$Z77,
_xlpm._sheetName,$AA77,
_xlpm._columnLetter,INDEX(IF(_xlpm._isAdditionalElement,Table24[Comment Column],Table25[Comment Column]),_xlpm._sheetRow),
_xlpm._sheetReference,IF(_xlpm._isAssumption,IF(_xlpm._isAdditionalElement,
CELL("address",INDEX(INDIRECT("'"&amp;_xlpm._sheetName&amp;"'!"&amp;_xlpm._columnLetter&amp;":"&amp;_xlpm._columnLetter),$AB77)),
CELL("address",INDEX(Assumptions!$A:$A,MATCH($A77,Assumptions!$A:$A,0),1))),
IF(_xlpm._isAdditionalElement,
CELL("address",INDEX(INDIRECT("'"&amp;_xlpm._sheetName&amp;"'!"&amp;_xlpm._columnLetter&amp;":"&amp;_xlpm._columnLetter),$AB77)),
CELL("address",INDEX(Countermeasures!$A:$A,MATCH($A77,Countermeasures!$A:$A,0),1)))),
_xlpm._start,FIND("]",_xlpm._sheetReference),
"'"&amp;SUBSTITUTE(SUBSTITUTE(RIGHT(_xlpm._sheetReference,LEN(_xlpm._sheetReference)-_xlpm._start),"'",""),"!","'!")))</f>
        <v/>
      </c>
      <c r="AD77" s="11" t="str" cm="1">
        <f t="array" aca="1" ref="AD77" ca="1">IF(NOT($O77),
_xlfn.LET(_xlpm._value,IF($A77="","",IF($M77,SimpleLookup($A77,Assumptions!$A:$AG),SimpleLookup($A77,Countermeasures!$A:$AJ))),
IF(_xlpm._value="","",_xlpm._value)),
"")</f>
        <v/>
      </c>
      <c r="AE77" s="11" t="str" cm="1">
        <f t="array" aca="1" ref="AE77" ca="1">LookupNames(InverseLookup($A77,Mitigation!$AD$2,Mitigation!$A$2,1,Helper!$B$5,","),'Attack Steps'!$A:$B)</f>
        <v/>
      </c>
      <c r="AF77" s="11" t="str" cm="1">
        <f t="array" aca="1" ref="AF77" ca="1">IF($O77,
_xlfn.LET(
_xlpm._in,$A77,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77" s="11" t="str" cm="1">
        <f t="array" aca="1" ref="AG77" ca="1">_xlfn.LET(
_xlpm._countermeasures,InverseLookup($A77,Countermeasures!$AC$2,Countermeasures!$A$2,1,Helper!$B$4,","),
LookupNames(_xlpm._countermeasures,Countermeasures!$A:$B))</f>
        <v/>
      </c>
      <c r="AH77" s="11" t="str" cm="1">
        <f t="array" aca="1" ref="AH77" ca="1">IF($E77="","",_xlfn.LET(
_xlpm._id,$E77,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77" s="11" t="str" cm="1">
        <f t="array" aca="1" ref="AI77" ca="1">IF(OR($A77="",$O77),"",_xlfn.LET(
_xlpm._answers,IF($M77,SimpleLookup($A77,Assumptions!$A:$F),SimpleLookup($A77,Countermeasures!$A:$D)),
IF(_xlpm._answers="*",IF($M77,SimpleLookup($A77,Assumptions!$A:$C),SimpleLookup($A77,Countermeasures!$A:$C)),"")))</f>
        <v/>
      </c>
      <c r="AJ77" s="11" t="str" cm="1">
        <f t="array" aca="1" ref="AJ77" ca="1">IF(NOT($O77),"",_xlfn.LET(
_xlpm._mappedInMitigation,IFERROR(VLOOKUP($Y77,'Attack Steps'!$A:$P,COLUMNS('Attack Steps'!$A:$P),FALSE),""),
CreateSearchString(_xlpm._mappedInMitigation)))</f>
        <v/>
      </c>
      <c r="AK77" s="11" t="b">
        <f ca="1">ROW()-ROW($AK$17)=Helper!$B$15</f>
        <v>0</v>
      </c>
      <c r="AL77" s="11" t="str">
        <f t="shared" ca="1" si="15"/>
        <v/>
      </c>
      <c r="AM77" s="11" cm="1">
        <f t="array" aca="1" ref="AM77" ca="1">CreateID($AM$17,$AL77&lt;&gt;"")</f>
        <v>0</v>
      </c>
      <c r="AN77" s="11" t="str" cm="1">
        <f t="array" aca="1" ref="AN77" ca="1">IF($O77,"",
_xlfn.LET(
_xlpm._this,SanitizeInput($A77)&amp;AT77,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77" s="11" t="str" cm="1">
        <f t="array" aca="1" ref="AO77" ca="1">IF($O77,"",_xlfn.LET(
_xlpm._listOfRisksAndLevels,SanitizeInput($AN77),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_xlpm._shortenedList,IF($H77="",_xlpm._risksWithMaxValue,
  IF(LEN(_xlpm._risksWithMaxValue)-LEN(SUBSTITUTE(_xlpm._risksWithMaxValue,",",""))&lt;=$H77,_xlpm._risksWithMaxValue,
    LEFT(_xlpm._risksWithMaxValue,FIND(CHAR(1),SUBSTITUTE(_xlpm._risksWithMaxValue,",",CHAR(1),$H77))))),
IF(_xlpm._maxRiskValue="","",
  _xlpm._lineMainSeparator&amp;
  INDEX(Definitions!$AE:$AE,MATCH(_xlpm._maxRiskValue,Definitions!$AF:$AF,0))&amp;CHAR(10)&amp;
  _xlpm._lineMainSeparator&amp;
  RemoveDelimiter(GetValues(_xlpm._shortenedList,Risks!$A:$B," ",CHAR(10)&amp;_xlpm._lineMainSeparator,TRUE),CHAR(10)&amp;_xlpm._lineMainSeparator))))</f>
        <v/>
      </c>
      <c r="AP77" s="11" t="str" cm="1">
        <f t="array" aca="1" ref="AP77" ca="1">IF($O77,"",_xlfn.LET(
_xlpm._lineMainSeparator,REPT(_xlfn.UNICHAR(9552),63)&amp;CHAR(10),
_xlpm._affectedRisks,InverseLookupList(SanitizeInput($A77)&amp;$AT77,Risks!$AX$2,Risks!$A$2,Helper!$B$1,","),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_xlpm._shortenedList,IF($H77="",_xlpm._risksWithMaxValue,
  IF(LEN(_xlpm._risksWithMaxValue)-LEN(SUBSTITUTE(_xlpm._risksWithMaxValue,",",""))&lt;=$H77,_xlpm._risksWithMaxValue,
    LEFT(_xlpm._risksWithMaxValue,FIND(CHAR(1),SUBSTITUTE(_xlpm._risksWithMaxValue,",",CHAR(1),$H77))))),
IF(_xlpm._maxRiskValue="","",
  _xlpm._lineMainSeparator&amp;
  INDEX(Definitions!$AE:$AE,MATCH(_xlpm._maxRiskValue,Definitions!$AF:$AF,0))&amp;CHAR(10)&amp;
  _xlpm._lineMainSeparator&amp;
  RemoveDelimiter(GetValues(_xlpm._shortenedList,Risks!$A:$B," ",CHAR(10)&amp;_xlpm._lineMainSeparator,TRUE),CHAR(10)&amp;_xlpm._lineMainSeparator))))</f>
        <v/>
      </c>
      <c r="AQ77" s="11" t="str" cm="1">
        <f t="array" aca="1" ref="AQ77" ca="1">IF(NOT($O77),"",
_xlfn.LET(
_xlpm._potentialASID,$Y77,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_xlpm._commentsFiltered,SUBSTITUTE(GetValues(_xlpm._attackSteps,Mitigation!$A:$O,"","",FALSE),$X77,""),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77" s="11" t="str" cm="1">
        <f t="array" aca="1" ref="AR77" ca="1">IF(NOT($O77),"",_xlfn.LET(
_xlpm._listOfRisksAndLevels,SanitizeInput($AQ77),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_xlpm._shortenedList,IF($H77="",_xlpm._risksWithMaxValue,
  IF(LEN(_xlpm._risksWithMaxValue)-LEN(SUBSTITUTE(_xlpm._risksWithMaxValue,",",""))&lt;=$H77,_xlpm._risksWithMaxValue,
    LEFT(_xlpm._risksWithMaxValue,FIND(CHAR(1),SUBSTITUTE(_xlpm._risksWithMaxValue,",",CHAR(1),$H77))))),
IF(_xlpm._maxRiskValue="","",
  _xlpm._lineMainSeparator&amp;
  INDEX(Definitions!$AE:$AE,MATCH(_xlpm._maxRiskValue,Definitions!$AF:$AF,0))&amp;CHAR(10)&amp;
  _xlpm._lineMainSeparator&amp;
  RemoveDelimiter(GetValues(_xlpm._shortenedList,Risks!$A:$B," ",CHAR(10)&amp;_xlpm._lineMainSeparator,TRUE),CHAR(10)&amp;_xlpm._lineMainSeparator))))</f>
        <v/>
      </c>
      <c r="AS77" s="11" t="str" cm="1">
        <f t="array" aca="1" ref="AS77" ca="1">IF(NOT($O77),"",
_xlfn.LET(
_xlpm._lineMainSeparator,REPT(_xlfn.UNICHAR(9552),63)&amp;CHAR(10),
_xlpm._potentialASID,$Y77,
_xlpm._risk,IFERROR(SimpleLookup(_xlpm._potentialASID,Mitigation!$A:$N),""),
_xlpm._attackPaths,IFERROR(SimpleLookup(_xlpm._potentialASID,Mitigation!$A:$M),""),
IF(_xlpm._risk="","",
_xlpm._lineMainSeparator&amp;
_xlpm._risk&amp;CHAR(10)&amp;
_xlpm._lineMainSeparator&amp;
_xlpm._attackPaths)))</f>
        <v/>
      </c>
      <c r="AT77" s="11" t="str" cm="1">
        <f t="array" aca="1" ref="AT77" ca="1">InverseLookup($A77,Countermeasures!$AA$2,Countermeasures!$A$2,1,Helper!$B$4,",")</f>
        <v/>
      </c>
    </row>
    <row r="78" spans="1:46" x14ac:dyDescent="0.25">
      <c r="A78" s="106" t="str">
        <f ca="1">_xlfn.LET(
_xlpm._isAssumption,$M78,
_xlpm._row,$N78,
_xlpm._numActiveAssumptions,Helper!$B$8,
_xlpm._numActiveCountermeasures,Helper!$B$9,
_xlpm._numAdditionalAssumptions,Helper!$B$10,
_xlpm._numAdditionalCountermeasures,Helper!$B$11,
IF(_xlpm._isAssumption,
IF(_xlpm._row&gt;_xlpm._numActiveAssumptions,
$Y78&amp;"-A"&amp;$T78,
INDEX(Assumptions!A:A,MATCH(_xlpm._row,Assumptions!$AC:$AC,0))),
IF(_xlpm._row&gt;_xlpm._numActiveCountermeasures+_xlpm._numAdditionalCountermeasures,"",
IF(_xlpm._row&gt;_xlpm._numActiveCountermeasures,
$Y78&amp;"-C"&amp;$T78,
INDEX(Countermeasures!$A:$A,MATCH(_xlpm._row,Countermeasures!$AE:$AE,0))))))</f>
        <v/>
      </c>
      <c r="B78" s="106" t="str" cm="1">
        <f t="array" aca="1" ref="B78" ca="1">IF($A78="","",
_xlfn.LET(
_xlpm._isAssumption,$M78,
_xlpm._isAdditionalElement,$O78,
IF(_xlpm._isAdditionalElement,
IF(_xlpm._isAssumption,
ParseElementsFromComment($X78,Definitions!$AR$4,Definitions!$AS$4,Definitions!$AR$6,$T78),
ParseElementsFromComment($X78,Definitions!$AR$5,Definitions!$AS$5,Definitions!$AR$6,$T78)),
_xlfn.LET(_xlpm._value,IF($A78="","",IF($M78,SimpleLookup($A78,Assumptions!$A:$B),SimpleLookup($A78,Countermeasures!$A:$B))),IF(_xlpm._value="","",_xlpm._value)))))</f>
        <v/>
      </c>
      <c r="C78" s="106" t="str" cm="1">
        <f t="array" aca="1" ref="C78" ca="1">IF($A78="","",IF($M78,IFERROR(SimpleLookup($A78,Assumptions!$A:$E),""),Definitions!$AO$4))</f>
        <v/>
      </c>
      <c r="D78" s="103" t="str">
        <f t="shared" ca="1" si="9"/>
        <v/>
      </c>
      <c r="E78" s="107"/>
      <c r="F78" s="108" t="str">
        <f t="shared" ca="1" si="10"/>
        <v/>
      </c>
      <c r="G78" s="102" t="str" cm="1">
        <f t="array" aca="1" ref="G78" ca="1">_xlfn.LET(_xlpm._val,IFERROR(SimpleLookup($A78,Countermeasures!$A:$S),IFERROR(SimpleLookup($A78,Assumptions!$A:$S),"")),IF(_xlpm._val="","",_xlpm._val))</f>
        <v/>
      </c>
      <c r="H78" s="109" t="str">
        <f>""</f>
        <v/>
      </c>
      <c r="I78" s="102" t="str">
        <f t="shared" ca="1" si="11"/>
        <v/>
      </c>
      <c r="J78" s="102" t="str">
        <f t="shared" ca="1" si="12"/>
        <v/>
      </c>
      <c r="K78" s="106" t="str" cm="1">
        <f t="array" aca="1" ref="K78" ca="1">_xlfn.LET(_xlpm._value,IF($A78="","",IFERROR(IF($M78,SimpleLookup($A78,Assumptions!$A:$T),SimpleLookup($A78,Countermeasures!$A:$T)),"")),
IF(_xlpm._value="","",_xlpm._value))</f>
        <v/>
      </c>
      <c r="L78" s="9" cm="1">
        <f t="array" aca="1" ref="L78" ca="1">CreateID($L$17,$A78&lt;&gt;"")</f>
        <v>11</v>
      </c>
      <c r="M78" s="9" t="b">
        <f ca="1">_xlfn.LET(_xlpm._row,ROW()-ROW($N$17),
_xlpm._numActiveAssumptions,Helper!$B$8,
_xlpm._numAdditionalAssumptions,SUM(Table24['# Elements]),
_xlpm._row&lt;=_xlpm._numActiveAssumptions+_xlpm._numAdditionalAssumptions)</f>
        <v>0</v>
      </c>
      <c r="N78" s="9">
        <f ca="1">_xlfn.LET(_xlpm._row,ROW()-ROW($N$17),
_xlpm._numActiveAssumptions,Helper!$B$8,
_xlpm._numAdditionalAssumptions,Helper!$B$10,
_xlpm._isAssumption,$M78,
_xlpm._elementID,IF(_xlpm._isAssumption,_xlpm._row,_xlpm._row-_xlpm._numActiveAssumptions-_xlpm._numAdditionalAssumptions),
_xlpm._elementID)</f>
        <v>57</v>
      </c>
      <c r="O78"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78" s="11" cm="1">
        <f t="array" aca="1" ref="P78" ca="1">IF($O78,
IF(ROW()=ROW($P$17)+1,1,INDEX($P:$P,ROW()-1)+IF(INDEX($W:$W,ROW()-1),1,0)),
1)</f>
        <v>1</v>
      </c>
      <c r="Q78" s="11" t="str" cm="1">
        <f t="array" aca="1" ref="Q78" ca="1">IF($O78=TRUE,
_xlfn.LET(
_xlpm._isAssumption,$M78,
_xlpm._indexRange,IF(_xlpm._isAssumption,Table24['# Elements],Table25['# Elements]),
_xlpm._lookupRow,$Z78,
INDEX(_xlpm._indexRange,_xlpm._lookupRow)),
"")</f>
        <v/>
      </c>
      <c r="R78" s="11" t="str" cm="1">
        <f t="array" aca="1" ref="R78" ca="1">IF($Q78="","",_xlfn.LET(
_xlpm._prevRow,ROW()-1,
IF(OR(INDEX($Q:$Q,_xlpm._prevRow)&lt;&gt;$Q78,INDEX($P:$P,_xlpm._prevRow)&lt;&gt;$P78),
1,
INDEX($R:$R,_xlpm._prevRow)+IF(INDEX($V:$V,_xlpm._prevRow),1,0))))</f>
        <v/>
      </c>
      <c r="S78" s="11" t="str" cm="1">
        <f t="array" aca="1" ref="S78" ca="1">IF($R78="","",_xlfn.LET(
_xlpm._isAssumption,$M78,
_xlpm._sheetRow,$Z78,
_xlpm._sheetName,$AA78,
_xlpm._elementIDRange,IF(_xlpm._isAssumption,Table24[Element ID Column],Table25[Element ID Column]),
_xlpm._numberOfElementsRange,IF(_xlpm._isAssumption,Table24[Number of Elements Column],Table25[Number of Elements Column]),
SimpleLookup($R78,INDIRECT("'"&amp;_xlpm._sheetName&amp;"'!"&amp;INDEX(_xlpm._elementIDRange,_xlpm._sheetRow)&amp;":"&amp;INDEX(_xlpm._numberOfElementsRange,_xlpm._sheetRow)))))</f>
        <v/>
      </c>
      <c r="T78" s="11" t="str" cm="1">
        <f t="array" aca="1" ref="T78" ca="1">IF($R78="","",IF(OR(INDEX($R:$R,ROW()-1)&lt;&gt;$R78,INDEX($P:$P,ROW()-1)&lt;&gt;$P78),1,INDEX($T:$T,ROW()-1)+1))</f>
        <v/>
      </c>
      <c r="U78" s="11">
        <f t="shared" ca="1" si="13"/>
        <v>0</v>
      </c>
      <c r="V78" s="11" t="str">
        <f t="shared" ca="1" si="14"/>
        <v/>
      </c>
      <c r="W78" s="11" t="b">
        <f ca="1">_xlfn.LET(
_xlpm._isAssumption,$M78,
_xlpm._numberOfElementsRange,IF(_xlpm._isAssumption,Table24['# Elements],Table25['# Elements]),
_xlpm._sheetRow,$Z78,
IF($O78,AND($V78,$U78=$Q78),FALSE))</f>
        <v>0</v>
      </c>
      <c r="X78" s="11" t="str" cm="1">
        <f t="array" aca="1" ref="X78" ca="1">IF($O78,
_xlfn.LET(
_xlpm._elementID,$R78,
_xlpm._isAssumption,$M78,
_xlpm._sheetRow,$Z78,
_xlpm._sheetName,$AA78,
_xlpm._elementRow,$AB78,
_xlpm._resultColumnLetter,IF(_xlpm._isAssumption,INDEX(Table24[Comment Column],_xlpm._sheetRow),INDEX(Table25[Comment Column],_xlpm._sheetRow)),
INDEX(INDIRECT("'"&amp;_xlpm._sheetName&amp;"'!"&amp;_xlpm._resultColumnLetter&amp;":"&amp;_xlpm._resultColumnLetter),_xlpm._elementRow)),
"")</f>
        <v/>
      </c>
      <c r="Y78" s="11" t="str" cm="1">
        <f t="array" aca="1" ref="Y78" ca="1">IF($O78,
_xlfn.LET(
_xlpm._elementID,$R78,
_xlpm._isAssumption,$M78,
_xlpm._sheetRow,$Z78,
_xlpm._sheetName,$AA78,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78" s="11" t="str">
        <f ca="1">IF($O78=TRUE,
_xlfn.LET(
_xlpm._isAssumption,$M78,
_xlpm._searchRange,IF(_xlpm._isAssumption,Table24[Task Sheet Shadow ID],Table25[Task Sheet Shadow ID]),
MATCH($P78,_xlpm._searchRange,0)),
"")</f>
        <v/>
      </c>
      <c r="AA78" s="11" t="str" cm="1">
        <f t="array" aca="1" ref="AA78" ca="1">IF($O78,
_xlfn.LET(
_xlpm._isAssumption,$M78,
_xlpm._sheetRow,$Z78,
IF(_xlpm._isAssumption,INDEX(Table24[Sheet Name],_xlpm._sheetRow),INDEX(Table25[Sheet Name],_xlpm._sheetRow))),
"")</f>
        <v/>
      </c>
      <c r="AB78" s="11" t="str" cm="1">
        <f t="array" aca="1" ref="AB78" ca="1">IF($O78,
_xlfn.LET(
_xlpm._elementID,$R78,
_xlpm._isAssumption,$M78,
_xlpm._sheetRow,$Z78,
_xlpm._sheetName,$AA78,
_xlpm._elementIDColumnLetter,IF(_xlpm._isAssumption,INDEX(Table24[Element ID Column],_xlpm._sheetRow),INDEX(Table25[Element ID Column],_xlpm._sheetRow)),
MATCH(_xlpm._elementID,INDIRECT("'"&amp;_xlpm._sheetName&amp;"'!"&amp;_xlpm._elementIDColumnLetter&amp;":"&amp;_xlpm._elementIDColumnLetter),0)),
"")</f>
        <v/>
      </c>
      <c r="AC78" s="11" t="str" cm="1">
        <f t="array" aca="1" ref="AC78" ca="1">IF($A78="","",_xlfn.LET(
_xlpm._isAssumption,$M78,
_xlpm._isAdditionalElement,$O78,
_xlpm._sheetRow,$Z78,
_xlpm._sheetName,$AA78,
_xlpm._columnLetter,INDEX(IF(_xlpm._isAdditionalElement,Table24[Comment Column],Table25[Comment Column]),_xlpm._sheetRow),
_xlpm._sheetReference,IF(_xlpm._isAssumption,IF(_xlpm._isAdditionalElement,
CELL("address",INDEX(INDIRECT("'"&amp;_xlpm._sheetName&amp;"'!"&amp;_xlpm._columnLetter&amp;":"&amp;_xlpm._columnLetter),$AB78)),
CELL("address",INDEX(Assumptions!$A:$A,MATCH($A78,Assumptions!$A:$A,0),1))),
IF(_xlpm._isAdditionalElement,
CELL("address",INDEX(INDIRECT("'"&amp;_xlpm._sheetName&amp;"'!"&amp;_xlpm._columnLetter&amp;":"&amp;_xlpm._columnLetter),$AB78)),
CELL("address",INDEX(Countermeasures!$A:$A,MATCH($A78,Countermeasures!$A:$A,0),1)))),
_xlpm._start,FIND("]",_xlpm._sheetReference),
"'"&amp;SUBSTITUTE(SUBSTITUTE(RIGHT(_xlpm._sheetReference,LEN(_xlpm._sheetReference)-_xlpm._start),"'",""),"!","'!")))</f>
        <v/>
      </c>
      <c r="AD78" s="11" t="str" cm="1">
        <f t="array" aca="1" ref="AD78" ca="1">IF(NOT($O78),
_xlfn.LET(_xlpm._value,IF($A78="","",IF($M78,SimpleLookup($A78,Assumptions!$A:$AG),SimpleLookup($A78,Countermeasures!$A:$AJ))),
IF(_xlpm._value="","",_xlpm._value)),
"")</f>
        <v/>
      </c>
      <c r="AE78" s="11" t="str" cm="1">
        <f t="array" aca="1" ref="AE78" ca="1">LookupNames(InverseLookup($A78,Mitigation!$AD$2,Mitigation!$A$2,1,Helper!$B$5,","),'Attack Steps'!$A:$B)</f>
        <v/>
      </c>
      <c r="AF78" s="11" t="str" cm="1">
        <f t="array" aca="1" ref="AF78" ca="1">IF($O78,
_xlfn.LET(
_xlpm._in,$A78,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78" s="11" t="str" cm="1">
        <f t="array" aca="1" ref="AG78" ca="1">_xlfn.LET(
_xlpm._countermeasures,InverseLookup($A78,Countermeasures!$AC$2,Countermeasures!$A$2,1,Helper!$B$4,","),
LookupNames(_xlpm._countermeasures,Countermeasures!$A:$B))</f>
        <v/>
      </c>
      <c r="AH78" s="11" t="str" cm="1">
        <f t="array" aca="1" ref="AH78" ca="1">IF($E78="","",_xlfn.LET(
_xlpm._id,$E78,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78" s="11" t="str" cm="1">
        <f t="array" aca="1" ref="AI78" ca="1">IF(OR($A78="",$O78),"",_xlfn.LET(
_xlpm._answers,IF($M78,SimpleLookup($A78,Assumptions!$A:$F),SimpleLookup($A78,Countermeasures!$A:$D)),
IF(_xlpm._answers="*",IF($M78,SimpleLookup($A78,Assumptions!$A:$C),SimpleLookup($A78,Countermeasures!$A:$C)),"")))</f>
        <v/>
      </c>
      <c r="AJ78" s="11" t="str" cm="1">
        <f t="array" aca="1" ref="AJ78" ca="1">IF(NOT($O78),"",_xlfn.LET(
_xlpm._mappedInMitigation,IFERROR(VLOOKUP($Y78,'Attack Steps'!$A:$P,COLUMNS('Attack Steps'!$A:$P),FALSE),""),
CreateSearchString(_xlpm._mappedInMitigation)))</f>
        <v/>
      </c>
      <c r="AK78" s="11" t="b">
        <f ca="1">ROW()-ROW($AK$17)=Helper!$B$15</f>
        <v>0</v>
      </c>
      <c r="AL78" s="11" t="str">
        <f t="shared" ca="1" si="15"/>
        <v/>
      </c>
      <c r="AM78" s="11" cm="1">
        <f t="array" aca="1" ref="AM78" ca="1">CreateID($AM$17,$AL78&lt;&gt;"")</f>
        <v>0</v>
      </c>
      <c r="AN78" s="11" t="str" cm="1">
        <f t="array" aca="1" ref="AN78" ca="1">IF($O78,"",
_xlfn.LET(
_xlpm._this,SanitizeInput($A78)&amp;AT78,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78" s="11" t="str" cm="1">
        <f t="array" aca="1" ref="AO78" ca="1">IF($O78,"",_xlfn.LET(
_xlpm._listOfRisksAndLevels,SanitizeInput($AN78),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_xlpm._shortenedList,IF($H78="",_xlpm._risksWithMaxValue,
  IF(LEN(_xlpm._risksWithMaxValue)-LEN(SUBSTITUTE(_xlpm._risksWithMaxValue,",",""))&lt;=$H78,_xlpm._risksWithMaxValue,
    LEFT(_xlpm._risksWithMaxValue,FIND(CHAR(1),SUBSTITUTE(_xlpm._risksWithMaxValue,",",CHAR(1),$H78))))),
IF(_xlpm._maxRiskValue="","",
  _xlpm._lineMainSeparator&amp;
  INDEX(Definitions!$AE:$AE,MATCH(_xlpm._maxRiskValue,Definitions!$AF:$AF,0))&amp;CHAR(10)&amp;
  _xlpm._lineMainSeparator&amp;
  RemoveDelimiter(GetValues(_xlpm._shortenedList,Risks!$A:$B," ",CHAR(10)&amp;_xlpm._lineMainSeparator,TRUE),CHAR(10)&amp;_xlpm._lineMainSeparator))))</f>
        <v/>
      </c>
      <c r="AP78" s="11" t="str" cm="1">
        <f t="array" aca="1" ref="AP78" ca="1">IF($O78,"",_xlfn.LET(
_xlpm._lineMainSeparator,REPT(_xlfn.UNICHAR(9552),63)&amp;CHAR(10),
_xlpm._affectedRisks,InverseLookupList(SanitizeInput($A78)&amp;$AT78,Risks!$AX$2,Risks!$A$2,Helper!$B$1,","),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_xlpm._shortenedList,IF($H78="",_xlpm._risksWithMaxValue,
  IF(LEN(_xlpm._risksWithMaxValue)-LEN(SUBSTITUTE(_xlpm._risksWithMaxValue,",",""))&lt;=$H78,_xlpm._risksWithMaxValue,
    LEFT(_xlpm._risksWithMaxValue,FIND(CHAR(1),SUBSTITUTE(_xlpm._risksWithMaxValue,",",CHAR(1),$H78))))),
IF(_xlpm._maxRiskValue="","",
  _xlpm._lineMainSeparator&amp;
  INDEX(Definitions!$AE:$AE,MATCH(_xlpm._maxRiskValue,Definitions!$AF:$AF,0))&amp;CHAR(10)&amp;
  _xlpm._lineMainSeparator&amp;
  RemoveDelimiter(GetValues(_xlpm._shortenedList,Risks!$A:$B," ",CHAR(10)&amp;_xlpm._lineMainSeparator,TRUE),CHAR(10)&amp;_xlpm._lineMainSeparator))))</f>
        <v/>
      </c>
      <c r="AQ78" s="11" t="str" cm="1">
        <f t="array" aca="1" ref="AQ78" ca="1">IF(NOT($O78),"",
_xlfn.LET(
_xlpm._potentialASID,$Y78,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_xlpm._commentsFiltered,SUBSTITUTE(GetValues(_xlpm._attackSteps,Mitigation!$A:$O,"","",FALSE),$X78,""),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78" s="11" t="str" cm="1">
        <f t="array" aca="1" ref="AR78" ca="1">IF(NOT($O78),"",_xlfn.LET(
_xlpm._listOfRisksAndLevels,SanitizeInput($AQ78),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_xlpm._shortenedList,IF($H78="",_xlpm._risksWithMaxValue,
  IF(LEN(_xlpm._risksWithMaxValue)-LEN(SUBSTITUTE(_xlpm._risksWithMaxValue,",",""))&lt;=$H78,_xlpm._risksWithMaxValue,
    LEFT(_xlpm._risksWithMaxValue,FIND(CHAR(1),SUBSTITUTE(_xlpm._risksWithMaxValue,",",CHAR(1),$H78))))),
IF(_xlpm._maxRiskValue="","",
  _xlpm._lineMainSeparator&amp;
  INDEX(Definitions!$AE:$AE,MATCH(_xlpm._maxRiskValue,Definitions!$AF:$AF,0))&amp;CHAR(10)&amp;
  _xlpm._lineMainSeparator&amp;
  RemoveDelimiter(GetValues(_xlpm._shortenedList,Risks!$A:$B," ",CHAR(10)&amp;_xlpm._lineMainSeparator,TRUE),CHAR(10)&amp;_xlpm._lineMainSeparator))))</f>
        <v/>
      </c>
      <c r="AS78" s="11" t="str" cm="1">
        <f t="array" aca="1" ref="AS78" ca="1">IF(NOT($O78),"",
_xlfn.LET(
_xlpm._lineMainSeparator,REPT(_xlfn.UNICHAR(9552),63)&amp;CHAR(10),
_xlpm._potentialASID,$Y78,
_xlpm._risk,IFERROR(SimpleLookup(_xlpm._potentialASID,Mitigation!$A:$N),""),
_xlpm._attackPaths,IFERROR(SimpleLookup(_xlpm._potentialASID,Mitigation!$A:$M),""),
IF(_xlpm._risk="","",
_xlpm._lineMainSeparator&amp;
_xlpm._risk&amp;CHAR(10)&amp;
_xlpm._lineMainSeparator&amp;
_xlpm._attackPaths)))</f>
        <v/>
      </c>
      <c r="AT78" s="11" t="str" cm="1">
        <f t="array" aca="1" ref="AT78" ca="1">InverseLookup($A78,Countermeasures!$AA$2,Countermeasures!$A$2,1,Helper!$B$4,",")</f>
        <v/>
      </c>
    </row>
    <row r="79" spans="1:46" x14ac:dyDescent="0.25">
      <c r="A79" s="106" t="str">
        <f ca="1">_xlfn.LET(
_xlpm._isAssumption,$M79,
_xlpm._row,$N79,
_xlpm._numActiveAssumptions,Helper!$B$8,
_xlpm._numActiveCountermeasures,Helper!$B$9,
_xlpm._numAdditionalAssumptions,Helper!$B$10,
_xlpm._numAdditionalCountermeasures,Helper!$B$11,
IF(_xlpm._isAssumption,
IF(_xlpm._row&gt;_xlpm._numActiveAssumptions,
$Y79&amp;"-A"&amp;$T79,
INDEX(Assumptions!A:A,MATCH(_xlpm._row,Assumptions!$AC:$AC,0))),
IF(_xlpm._row&gt;_xlpm._numActiveCountermeasures+_xlpm._numAdditionalCountermeasures,"",
IF(_xlpm._row&gt;_xlpm._numActiveCountermeasures,
$Y79&amp;"-C"&amp;$T79,
INDEX(Countermeasures!$A:$A,MATCH(_xlpm._row,Countermeasures!$AE:$AE,0))))))</f>
        <v/>
      </c>
      <c r="B79" s="106" t="str" cm="1">
        <f t="array" aca="1" ref="B79" ca="1">IF($A79="","",
_xlfn.LET(
_xlpm._isAssumption,$M79,
_xlpm._isAdditionalElement,$O79,
IF(_xlpm._isAdditionalElement,
IF(_xlpm._isAssumption,
ParseElementsFromComment($X79,Definitions!$AR$4,Definitions!$AS$4,Definitions!$AR$6,$T79),
ParseElementsFromComment($X79,Definitions!$AR$5,Definitions!$AS$5,Definitions!$AR$6,$T79)),
_xlfn.LET(_xlpm._value,IF($A79="","",IF($M79,SimpleLookup($A79,Assumptions!$A:$B),SimpleLookup($A79,Countermeasures!$A:$B))),IF(_xlpm._value="","",_xlpm._value)))))</f>
        <v/>
      </c>
      <c r="C79" s="106" t="str" cm="1">
        <f t="array" aca="1" ref="C79" ca="1">IF($A79="","",IF($M79,IFERROR(SimpleLookup($A79,Assumptions!$A:$E),""),Definitions!$AO$4))</f>
        <v/>
      </c>
      <c r="D79" s="103" t="str">
        <f t="shared" ca="1" si="9"/>
        <v/>
      </c>
      <c r="E79" s="107"/>
      <c r="F79" s="108" t="str">
        <f t="shared" ca="1" si="10"/>
        <v/>
      </c>
      <c r="G79" s="102" t="str" cm="1">
        <f t="array" aca="1" ref="G79" ca="1">_xlfn.LET(_xlpm._val,IFERROR(SimpleLookup($A79,Countermeasures!$A:$S),IFERROR(SimpleLookup($A79,Assumptions!$A:$S),"")),IF(_xlpm._val="","",_xlpm._val))</f>
        <v/>
      </c>
      <c r="H79" s="109" t="str">
        <f>""</f>
        <v/>
      </c>
      <c r="I79" s="102" t="str">
        <f t="shared" ca="1" si="11"/>
        <v/>
      </c>
      <c r="J79" s="102" t="str">
        <f t="shared" ca="1" si="12"/>
        <v/>
      </c>
      <c r="K79" s="106" t="str" cm="1">
        <f t="array" aca="1" ref="K79" ca="1">_xlfn.LET(_xlpm._value,IF($A79="","",IFERROR(IF($M79,SimpleLookup($A79,Assumptions!$A:$T),SimpleLookup($A79,Countermeasures!$A:$T)),"")),
IF(_xlpm._value="","",_xlpm._value))</f>
        <v/>
      </c>
      <c r="L79" s="9" cm="1">
        <f t="array" aca="1" ref="L79" ca="1">CreateID($L$17,$A79&lt;&gt;"")</f>
        <v>11</v>
      </c>
      <c r="M79" s="9" t="b">
        <f ca="1">_xlfn.LET(_xlpm._row,ROW()-ROW($N$17),
_xlpm._numActiveAssumptions,Helper!$B$8,
_xlpm._numAdditionalAssumptions,SUM(Table24['# Elements]),
_xlpm._row&lt;=_xlpm._numActiveAssumptions+_xlpm._numAdditionalAssumptions)</f>
        <v>0</v>
      </c>
      <c r="N79" s="9">
        <f ca="1">_xlfn.LET(_xlpm._row,ROW()-ROW($N$17),
_xlpm._numActiveAssumptions,Helper!$B$8,
_xlpm._numAdditionalAssumptions,Helper!$B$10,
_xlpm._isAssumption,$M79,
_xlpm._elementID,IF(_xlpm._isAssumption,_xlpm._row,_xlpm._row-_xlpm._numActiveAssumptions-_xlpm._numAdditionalAssumptions),
_xlpm._elementID)</f>
        <v>58</v>
      </c>
      <c r="O79"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79" s="11" cm="1">
        <f t="array" aca="1" ref="P79" ca="1">IF($O79,
IF(ROW()=ROW($P$17)+1,1,INDEX($P:$P,ROW()-1)+IF(INDEX($W:$W,ROW()-1),1,0)),
1)</f>
        <v>1</v>
      </c>
      <c r="Q79" s="11" t="str" cm="1">
        <f t="array" aca="1" ref="Q79" ca="1">IF($O79=TRUE,
_xlfn.LET(
_xlpm._isAssumption,$M79,
_xlpm._indexRange,IF(_xlpm._isAssumption,Table24['# Elements],Table25['# Elements]),
_xlpm._lookupRow,$Z79,
INDEX(_xlpm._indexRange,_xlpm._lookupRow)),
"")</f>
        <v/>
      </c>
      <c r="R79" s="11" t="str" cm="1">
        <f t="array" aca="1" ref="R79" ca="1">IF($Q79="","",_xlfn.LET(
_xlpm._prevRow,ROW()-1,
IF(OR(INDEX($Q:$Q,_xlpm._prevRow)&lt;&gt;$Q79,INDEX($P:$P,_xlpm._prevRow)&lt;&gt;$P79),
1,
INDEX($R:$R,_xlpm._prevRow)+IF(INDEX($V:$V,_xlpm._prevRow),1,0))))</f>
        <v/>
      </c>
      <c r="S79" s="11" t="str" cm="1">
        <f t="array" aca="1" ref="S79" ca="1">IF($R79="","",_xlfn.LET(
_xlpm._isAssumption,$M79,
_xlpm._sheetRow,$Z79,
_xlpm._sheetName,$AA79,
_xlpm._elementIDRange,IF(_xlpm._isAssumption,Table24[Element ID Column],Table25[Element ID Column]),
_xlpm._numberOfElementsRange,IF(_xlpm._isAssumption,Table24[Number of Elements Column],Table25[Number of Elements Column]),
SimpleLookup($R79,INDIRECT("'"&amp;_xlpm._sheetName&amp;"'!"&amp;INDEX(_xlpm._elementIDRange,_xlpm._sheetRow)&amp;":"&amp;INDEX(_xlpm._numberOfElementsRange,_xlpm._sheetRow)))))</f>
        <v/>
      </c>
      <c r="T79" s="11" t="str" cm="1">
        <f t="array" aca="1" ref="T79" ca="1">IF($R79="","",IF(OR(INDEX($R:$R,ROW()-1)&lt;&gt;$R79,INDEX($P:$P,ROW()-1)&lt;&gt;$P79),1,INDEX($T:$T,ROW()-1)+1))</f>
        <v/>
      </c>
      <c r="U79" s="11">
        <f t="shared" ca="1" si="13"/>
        <v>0</v>
      </c>
      <c r="V79" s="11" t="str">
        <f t="shared" ca="1" si="14"/>
        <v/>
      </c>
      <c r="W79" s="11" t="b">
        <f ca="1">_xlfn.LET(
_xlpm._isAssumption,$M79,
_xlpm._numberOfElementsRange,IF(_xlpm._isAssumption,Table24['# Elements],Table25['# Elements]),
_xlpm._sheetRow,$Z79,
IF($O79,AND($V79,$U79=$Q79),FALSE))</f>
        <v>0</v>
      </c>
      <c r="X79" s="11" t="str" cm="1">
        <f t="array" aca="1" ref="X79" ca="1">IF($O79,
_xlfn.LET(
_xlpm._elementID,$R79,
_xlpm._isAssumption,$M79,
_xlpm._sheetRow,$Z79,
_xlpm._sheetName,$AA79,
_xlpm._elementRow,$AB79,
_xlpm._resultColumnLetter,IF(_xlpm._isAssumption,INDEX(Table24[Comment Column],_xlpm._sheetRow),INDEX(Table25[Comment Column],_xlpm._sheetRow)),
INDEX(INDIRECT("'"&amp;_xlpm._sheetName&amp;"'!"&amp;_xlpm._resultColumnLetter&amp;":"&amp;_xlpm._resultColumnLetter),_xlpm._elementRow)),
"")</f>
        <v/>
      </c>
      <c r="Y79" s="11" t="str" cm="1">
        <f t="array" aca="1" ref="Y79" ca="1">IF($O79,
_xlfn.LET(
_xlpm._elementID,$R79,
_xlpm._isAssumption,$M79,
_xlpm._sheetRow,$Z79,
_xlpm._sheetName,$AA79,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79" s="11" t="str">
        <f ca="1">IF($O79=TRUE,
_xlfn.LET(
_xlpm._isAssumption,$M79,
_xlpm._searchRange,IF(_xlpm._isAssumption,Table24[Task Sheet Shadow ID],Table25[Task Sheet Shadow ID]),
MATCH($P79,_xlpm._searchRange,0)),
"")</f>
        <v/>
      </c>
      <c r="AA79" s="11" t="str" cm="1">
        <f t="array" aca="1" ref="AA79" ca="1">IF($O79,
_xlfn.LET(
_xlpm._isAssumption,$M79,
_xlpm._sheetRow,$Z79,
IF(_xlpm._isAssumption,INDEX(Table24[Sheet Name],_xlpm._sheetRow),INDEX(Table25[Sheet Name],_xlpm._sheetRow))),
"")</f>
        <v/>
      </c>
      <c r="AB79" s="11" t="str" cm="1">
        <f t="array" aca="1" ref="AB79" ca="1">IF($O79,
_xlfn.LET(
_xlpm._elementID,$R79,
_xlpm._isAssumption,$M79,
_xlpm._sheetRow,$Z79,
_xlpm._sheetName,$AA79,
_xlpm._elementIDColumnLetter,IF(_xlpm._isAssumption,INDEX(Table24[Element ID Column],_xlpm._sheetRow),INDEX(Table25[Element ID Column],_xlpm._sheetRow)),
MATCH(_xlpm._elementID,INDIRECT("'"&amp;_xlpm._sheetName&amp;"'!"&amp;_xlpm._elementIDColumnLetter&amp;":"&amp;_xlpm._elementIDColumnLetter),0)),
"")</f>
        <v/>
      </c>
      <c r="AC79" s="11" t="str" cm="1">
        <f t="array" aca="1" ref="AC79" ca="1">IF($A79="","",_xlfn.LET(
_xlpm._isAssumption,$M79,
_xlpm._isAdditionalElement,$O79,
_xlpm._sheetRow,$Z79,
_xlpm._sheetName,$AA79,
_xlpm._columnLetter,INDEX(IF(_xlpm._isAdditionalElement,Table24[Comment Column],Table25[Comment Column]),_xlpm._sheetRow),
_xlpm._sheetReference,IF(_xlpm._isAssumption,IF(_xlpm._isAdditionalElement,
CELL("address",INDEX(INDIRECT("'"&amp;_xlpm._sheetName&amp;"'!"&amp;_xlpm._columnLetter&amp;":"&amp;_xlpm._columnLetter),$AB79)),
CELL("address",INDEX(Assumptions!$A:$A,MATCH($A79,Assumptions!$A:$A,0),1))),
IF(_xlpm._isAdditionalElement,
CELL("address",INDEX(INDIRECT("'"&amp;_xlpm._sheetName&amp;"'!"&amp;_xlpm._columnLetter&amp;":"&amp;_xlpm._columnLetter),$AB79)),
CELL("address",INDEX(Countermeasures!$A:$A,MATCH($A79,Countermeasures!$A:$A,0),1)))),
_xlpm._start,FIND("]",_xlpm._sheetReference),
"'"&amp;SUBSTITUTE(SUBSTITUTE(RIGHT(_xlpm._sheetReference,LEN(_xlpm._sheetReference)-_xlpm._start),"'",""),"!","'!")))</f>
        <v/>
      </c>
      <c r="AD79" s="11" t="str" cm="1">
        <f t="array" aca="1" ref="AD79" ca="1">IF(NOT($O79),
_xlfn.LET(_xlpm._value,IF($A79="","",IF($M79,SimpleLookup($A79,Assumptions!$A:$AG),SimpleLookup($A79,Countermeasures!$A:$AJ))),
IF(_xlpm._value="","",_xlpm._value)),
"")</f>
        <v/>
      </c>
      <c r="AE79" s="11" t="str" cm="1">
        <f t="array" aca="1" ref="AE79" ca="1">LookupNames(InverseLookup($A79,Mitigation!$AD$2,Mitigation!$A$2,1,Helper!$B$5,","),'Attack Steps'!$A:$B)</f>
        <v/>
      </c>
      <c r="AF79" s="11" t="str" cm="1">
        <f t="array" aca="1" ref="AF79" ca="1">IF($O79,
_xlfn.LET(
_xlpm._in,$A79,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79" s="11" t="str" cm="1">
        <f t="array" aca="1" ref="AG79" ca="1">_xlfn.LET(
_xlpm._countermeasures,InverseLookup($A79,Countermeasures!$AC$2,Countermeasures!$A$2,1,Helper!$B$4,","),
LookupNames(_xlpm._countermeasures,Countermeasures!$A:$B))</f>
        <v/>
      </c>
      <c r="AH79" s="11" t="str" cm="1">
        <f t="array" aca="1" ref="AH79" ca="1">IF($E79="","",_xlfn.LET(
_xlpm._id,$E79,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79" s="11" t="str" cm="1">
        <f t="array" aca="1" ref="AI79" ca="1">IF(OR($A79="",$O79),"",_xlfn.LET(
_xlpm._answers,IF($M79,SimpleLookup($A79,Assumptions!$A:$F),SimpleLookup($A79,Countermeasures!$A:$D)),
IF(_xlpm._answers="*",IF($M79,SimpleLookup($A79,Assumptions!$A:$C),SimpleLookup($A79,Countermeasures!$A:$C)),"")))</f>
        <v/>
      </c>
      <c r="AJ79" s="11" t="str" cm="1">
        <f t="array" aca="1" ref="AJ79" ca="1">IF(NOT($O79),"",_xlfn.LET(
_xlpm._mappedInMitigation,IFERROR(VLOOKUP($Y79,'Attack Steps'!$A:$P,COLUMNS('Attack Steps'!$A:$P),FALSE),""),
CreateSearchString(_xlpm._mappedInMitigation)))</f>
        <v/>
      </c>
      <c r="AK79" s="11" t="b">
        <f ca="1">ROW()-ROW($AK$17)=Helper!$B$15</f>
        <v>0</v>
      </c>
      <c r="AL79" s="11" t="str">
        <f t="shared" ca="1" si="15"/>
        <v/>
      </c>
      <c r="AM79" s="11" cm="1">
        <f t="array" aca="1" ref="AM79" ca="1">CreateID($AM$17,$AL79&lt;&gt;"")</f>
        <v>0</v>
      </c>
      <c r="AN79" s="11" t="str" cm="1">
        <f t="array" aca="1" ref="AN79" ca="1">IF($O79,"",
_xlfn.LET(
_xlpm._this,SanitizeInput($A79)&amp;AT79,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79" s="11" t="str" cm="1">
        <f t="array" aca="1" ref="AO79" ca="1">IF($O79,"",_xlfn.LET(
_xlpm._listOfRisksAndLevels,SanitizeInput($AN79),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_xlpm._shortenedList,IF($H79="",_xlpm._risksWithMaxValue,
  IF(LEN(_xlpm._risksWithMaxValue)-LEN(SUBSTITUTE(_xlpm._risksWithMaxValue,",",""))&lt;=$H79,_xlpm._risksWithMaxValue,
    LEFT(_xlpm._risksWithMaxValue,FIND(CHAR(1),SUBSTITUTE(_xlpm._risksWithMaxValue,",",CHAR(1),$H79))))),
IF(_xlpm._maxRiskValue="","",
  _xlpm._lineMainSeparator&amp;
  INDEX(Definitions!$AE:$AE,MATCH(_xlpm._maxRiskValue,Definitions!$AF:$AF,0))&amp;CHAR(10)&amp;
  _xlpm._lineMainSeparator&amp;
  RemoveDelimiter(GetValues(_xlpm._shortenedList,Risks!$A:$B," ",CHAR(10)&amp;_xlpm._lineMainSeparator,TRUE),CHAR(10)&amp;_xlpm._lineMainSeparator))))</f>
        <v/>
      </c>
      <c r="AP79" s="11" t="str" cm="1">
        <f t="array" aca="1" ref="AP79" ca="1">IF($O79,"",_xlfn.LET(
_xlpm._lineMainSeparator,REPT(_xlfn.UNICHAR(9552),63)&amp;CHAR(10),
_xlpm._affectedRisks,InverseLookupList(SanitizeInput($A79)&amp;$AT79,Risks!$AX$2,Risks!$A$2,Helper!$B$1,","),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_xlpm._shortenedList,IF($H79="",_xlpm._risksWithMaxValue,
  IF(LEN(_xlpm._risksWithMaxValue)-LEN(SUBSTITUTE(_xlpm._risksWithMaxValue,",",""))&lt;=$H79,_xlpm._risksWithMaxValue,
    LEFT(_xlpm._risksWithMaxValue,FIND(CHAR(1),SUBSTITUTE(_xlpm._risksWithMaxValue,",",CHAR(1),$H79))))),
IF(_xlpm._maxRiskValue="","",
  _xlpm._lineMainSeparator&amp;
  INDEX(Definitions!$AE:$AE,MATCH(_xlpm._maxRiskValue,Definitions!$AF:$AF,0))&amp;CHAR(10)&amp;
  _xlpm._lineMainSeparator&amp;
  RemoveDelimiter(GetValues(_xlpm._shortenedList,Risks!$A:$B," ",CHAR(10)&amp;_xlpm._lineMainSeparator,TRUE),CHAR(10)&amp;_xlpm._lineMainSeparator))))</f>
        <v/>
      </c>
      <c r="AQ79" s="11" t="str" cm="1">
        <f t="array" aca="1" ref="AQ79" ca="1">IF(NOT($O79),"",
_xlfn.LET(
_xlpm._potentialASID,$Y79,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_xlpm._commentsFiltered,SUBSTITUTE(GetValues(_xlpm._attackSteps,Mitigation!$A:$O,"","",FALSE),$X79,""),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79" s="11" t="str" cm="1">
        <f t="array" aca="1" ref="AR79" ca="1">IF(NOT($O79),"",_xlfn.LET(
_xlpm._listOfRisksAndLevels,SanitizeInput($AQ79),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_xlpm._shortenedList,IF($H79="",_xlpm._risksWithMaxValue,
  IF(LEN(_xlpm._risksWithMaxValue)-LEN(SUBSTITUTE(_xlpm._risksWithMaxValue,",",""))&lt;=$H79,_xlpm._risksWithMaxValue,
    LEFT(_xlpm._risksWithMaxValue,FIND(CHAR(1),SUBSTITUTE(_xlpm._risksWithMaxValue,",",CHAR(1),$H79))))),
IF(_xlpm._maxRiskValue="","",
  _xlpm._lineMainSeparator&amp;
  INDEX(Definitions!$AE:$AE,MATCH(_xlpm._maxRiskValue,Definitions!$AF:$AF,0))&amp;CHAR(10)&amp;
  _xlpm._lineMainSeparator&amp;
  RemoveDelimiter(GetValues(_xlpm._shortenedList,Risks!$A:$B," ",CHAR(10)&amp;_xlpm._lineMainSeparator,TRUE),CHAR(10)&amp;_xlpm._lineMainSeparator))))</f>
        <v/>
      </c>
      <c r="AS79" s="11" t="str" cm="1">
        <f t="array" aca="1" ref="AS79" ca="1">IF(NOT($O79),"",
_xlfn.LET(
_xlpm._lineMainSeparator,REPT(_xlfn.UNICHAR(9552),63)&amp;CHAR(10),
_xlpm._potentialASID,$Y79,
_xlpm._risk,IFERROR(SimpleLookup(_xlpm._potentialASID,Mitigation!$A:$N),""),
_xlpm._attackPaths,IFERROR(SimpleLookup(_xlpm._potentialASID,Mitigation!$A:$M),""),
IF(_xlpm._risk="","",
_xlpm._lineMainSeparator&amp;
_xlpm._risk&amp;CHAR(10)&amp;
_xlpm._lineMainSeparator&amp;
_xlpm._attackPaths)))</f>
        <v/>
      </c>
      <c r="AT79" s="11" t="str" cm="1">
        <f t="array" aca="1" ref="AT79" ca="1">InverseLookup($A79,Countermeasures!$AA$2,Countermeasures!$A$2,1,Helper!$B$4,",")</f>
        <v/>
      </c>
    </row>
    <row r="80" spans="1:46" x14ac:dyDescent="0.25">
      <c r="A80" s="106" t="str">
        <f ca="1">_xlfn.LET(
_xlpm._isAssumption,$M80,
_xlpm._row,$N80,
_xlpm._numActiveAssumptions,Helper!$B$8,
_xlpm._numActiveCountermeasures,Helper!$B$9,
_xlpm._numAdditionalAssumptions,Helper!$B$10,
_xlpm._numAdditionalCountermeasures,Helper!$B$11,
IF(_xlpm._isAssumption,
IF(_xlpm._row&gt;_xlpm._numActiveAssumptions,
$Y80&amp;"-A"&amp;$T80,
INDEX(Assumptions!A:A,MATCH(_xlpm._row,Assumptions!$AC:$AC,0))),
IF(_xlpm._row&gt;_xlpm._numActiveCountermeasures+_xlpm._numAdditionalCountermeasures,"",
IF(_xlpm._row&gt;_xlpm._numActiveCountermeasures,
$Y80&amp;"-C"&amp;$T80,
INDEX(Countermeasures!$A:$A,MATCH(_xlpm._row,Countermeasures!$AE:$AE,0))))))</f>
        <v/>
      </c>
      <c r="B80" s="106" t="str" cm="1">
        <f t="array" aca="1" ref="B80" ca="1">IF($A80="","",
_xlfn.LET(
_xlpm._isAssumption,$M80,
_xlpm._isAdditionalElement,$O80,
IF(_xlpm._isAdditionalElement,
IF(_xlpm._isAssumption,
ParseElementsFromComment($X80,Definitions!$AR$4,Definitions!$AS$4,Definitions!$AR$6,$T80),
ParseElementsFromComment($X80,Definitions!$AR$5,Definitions!$AS$5,Definitions!$AR$6,$T80)),
_xlfn.LET(_xlpm._value,IF($A80="","",IF($M80,SimpleLookup($A80,Assumptions!$A:$B),SimpleLookup($A80,Countermeasures!$A:$B))),IF(_xlpm._value="","",_xlpm._value)))))</f>
        <v/>
      </c>
      <c r="C80" s="106" t="str" cm="1">
        <f t="array" aca="1" ref="C80" ca="1">IF($A80="","",IF($M80,IFERROR(SimpleLookup($A80,Assumptions!$A:$E),""),Definitions!$AO$4))</f>
        <v/>
      </c>
      <c r="D80" s="103" t="str">
        <f t="shared" ca="1" si="9"/>
        <v/>
      </c>
      <c r="E80" s="107"/>
      <c r="F80" s="108" t="str">
        <f t="shared" ca="1" si="10"/>
        <v/>
      </c>
      <c r="G80" s="102" t="str" cm="1">
        <f t="array" aca="1" ref="G80" ca="1">_xlfn.LET(_xlpm._val,IFERROR(SimpleLookup($A80,Countermeasures!$A:$S),IFERROR(SimpleLookup($A80,Assumptions!$A:$S),"")),IF(_xlpm._val="","",_xlpm._val))</f>
        <v/>
      </c>
      <c r="H80" s="109" t="str">
        <f>""</f>
        <v/>
      </c>
      <c r="I80" s="102" t="str">
        <f t="shared" ca="1" si="11"/>
        <v/>
      </c>
      <c r="J80" s="102" t="str">
        <f t="shared" ca="1" si="12"/>
        <v/>
      </c>
      <c r="K80" s="106" t="str" cm="1">
        <f t="array" aca="1" ref="K80" ca="1">_xlfn.LET(_xlpm._value,IF($A80="","",IFERROR(IF($M80,SimpleLookup($A80,Assumptions!$A:$T),SimpleLookup($A80,Countermeasures!$A:$T)),"")),
IF(_xlpm._value="","",_xlpm._value))</f>
        <v/>
      </c>
      <c r="L80" s="9" cm="1">
        <f t="array" aca="1" ref="L80" ca="1">CreateID($L$17,$A80&lt;&gt;"")</f>
        <v>11</v>
      </c>
      <c r="M80" s="9" t="b">
        <f ca="1">_xlfn.LET(_xlpm._row,ROW()-ROW($N$17),
_xlpm._numActiveAssumptions,Helper!$B$8,
_xlpm._numAdditionalAssumptions,SUM(Table24['# Elements]),
_xlpm._row&lt;=_xlpm._numActiveAssumptions+_xlpm._numAdditionalAssumptions)</f>
        <v>0</v>
      </c>
      <c r="N80" s="9">
        <f ca="1">_xlfn.LET(_xlpm._row,ROW()-ROW($N$17),
_xlpm._numActiveAssumptions,Helper!$B$8,
_xlpm._numAdditionalAssumptions,Helper!$B$10,
_xlpm._isAssumption,$M80,
_xlpm._elementID,IF(_xlpm._isAssumption,_xlpm._row,_xlpm._row-_xlpm._numActiveAssumptions-_xlpm._numAdditionalAssumptions),
_xlpm._elementID)</f>
        <v>59</v>
      </c>
      <c r="O80"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80" s="11" cm="1">
        <f t="array" aca="1" ref="P80" ca="1">IF($O80,
IF(ROW()=ROW($P$17)+1,1,INDEX($P:$P,ROW()-1)+IF(INDEX($W:$W,ROW()-1),1,0)),
1)</f>
        <v>1</v>
      </c>
      <c r="Q80" s="11" t="str" cm="1">
        <f t="array" aca="1" ref="Q80" ca="1">IF($O80=TRUE,
_xlfn.LET(
_xlpm._isAssumption,$M80,
_xlpm._indexRange,IF(_xlpm._isAssumption,Table24['# Elements],Table25['# Elements]),
_xlpm._lookupRow,$Z80,
INDEX(_xlpm._indexRange,_xlpm._lookupRow)),
"")</f>
        <v/>
      </c>
      <c r="R80" s="11" t="str" cm="1">
        <f t="array" aca="1" ref="R80" ca="1">IF($Q80="","",_xlfn.LET(
_xlpm._prevRow,ROW()-1,
IF(OR(INDEX($Q:$Q,_xlpm._prevRow)&lt;&gt;$Q80,INDEX($P:$P,_xlpm._prevRow)&lt;&gt;$P80),
1,
INDEX($R:$R,_xlpm._prevRow)+IF(INDEX($V:$V,_xlpm._prevRow),1,0))))</f>
        <v/>
      </c>
      <c r="S80" s="11" t="str" cm="1">
        <f t="array" aca="1" ref="S80" ca="1">IF($R80="","",_xlfn.LET(
_xlpm._isAssumption,$M80,
_xlpm._sheetRow,$Z80,
_xlpm._sheetName,$AA80,
_xlpm._elementIDRange,IF(_xlpm._isAssumption,Table24[Element ID Column],Table25[Element ID Column]),
_xlpm._numberOfElementsRange,IF(_xlpm._isAssumption,Table24[Number of Elements Column],Table25[Number of Elements Column]),
SimpleLookup($R80,INDIRECT("'"&amp;_xlpm._sheetName&amp;"'!"&amp;INDEX(_xlpm._elementIDRange,_xlpm._sheetRow)&amp;":"&amp;INDEX(_xlpm._numberOfElementsRange,_xlpm._sheetRow)))))</f>
        <v/>
      </c>
      <c r="T80" s="11" t="str" cm="1">
        <f t="array" aca="1" ref="T80" ca="1">IF($R80="","",IF(OR(INDEX($R:$R,ROW()-1)&lt;&gt;$R80,INDEX($P:$P,ROW()-1)&lt;&gt;$P80),1,INDEX($T:$T,ROW()-1)+1))</f>
        <v/>
      </c>
      <c r="U80" s="11">
        <f t="shared" ca="1" si="13"/>
        <v>0</v>
      </c>
      <c r="V80" s="11" t="str">
        <f t="shared" ca="1" si="14"/>
        <v/>
      </c>
      <c r="W80" s="11" t="b">
        <f ca="1">_xlfn.LET(
_xlpm._isAssumption,$M80,
_xlpm._numberOfElementsRange,IF(_xlpm._isAssumption,Table24['# Elements],Table25['# Elements]),
_xlpm._sheetRow,$Z80,
IF($O80,AND($V80,$U80=$Q80),FALSE))</f>
        <v>0</v>
      </c>
      <c r="X80" s="11" t="str" cm="1">
        <f t="array" aca="1" ref="X80" ca="1">IF($O80,
_xlfn.LET(
_xlpm._elementID,$R80,
_xlpm._isAssumption,$M80,
_xlpm._sheetRow,$Z80,
_xlpm._sheetName,$AA80,
_xlpm._elementRow,$AB80,
_xlpm._resultColumnLetter,IF(_xlpm._isAssumption,INDEX(Table24[Comment Column],_xlpm._sheetRow),INDEX(Table25[Comment Column],_xlpm._sheetRow)),
INDEX(INDIRECT("'"&amp;_xlpm._sheetName&amp;"'!"&amp;_xlpm._resultColumnLetter&amp;":"&amp;_xlpm._resultColumnLetter),_xlpm._elementRow)),
"")</f>
        <v/>
      </c>
      <c r="Y80" s="11" t="str" cm="1">
        <f t="array" aca="1" ref="Y80" ca="1">IF($O80,
_xlfn.LET(
_xlpm._elementID,$R80,
_xlpm._isAssumption,$M80,
_xlpm._sheetRow,$Z80,
_xlpm._sheetName,$AA80,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80" s="11" t="str">
        <f ca="1">IF($O80=TRUE,
_xlfn.LET(
_xlpm._isAssumption,$M80,
_xlpm._searchRange,IF(_xlpm._isAssumption,Table24[Task Sheet Shadow ID],Table25[Task Sheet Shadow ID]),
MATCH($P80,_xlpm._searchRange,0)),
"")</f>
        <v/>
      </c>
      <c r="AA80" s="11" t="str" cm="1">
        <f t="array" aca="1" ref="AA80" ca="1">IF($O80,
_xlfn.LET(
_xlpm._isAssumption,$M80,
_xlpm._sheetRow,$Z80,
IF(_xlpm._isAssumption,INDEX(Table24[Sheet Name],_xlpm._sheetRow),INDEX(Table25[Sheet Name],_xlpm._sheetRow))),
"")</f>
        <v/>
      </c>
      <c r="AB80" s="11" t="str" cm="1">
        <f t="array" aca="1" ref="AB80" ca="1">IF($O80,
_xlfn.LET(
_xlpm._elementID,$R80,
_xlpm._isAssumption,$M80,
_xlpm._sheetRow,$Z80,
_xlpm._sheetName,$AA80,
_xlpm._elementIDColumnLetter,IF(_xlpm._isAssumption,INDEX(Table24[Element ID Column],_xlpm._sheetRow),INDEX(Table25[Element ID Column],_xlpm._sheetRow)),
MATCH(_xlpm._elementID,INDIRECT("'"&amp;_xlpm._sheetName&amp;"'!"&amp;_xlpm._elementIDColumnLetter&amp;":"&amp;_xlpm._elementIDColumnLetter),0)),
"")</f>
        <v/>
      </c>
      <c r="AC80" s="11" t="str" cm="1">
        <f t="array" aca="1" ref="AC80" ca="1">IF($A80="","",_xlfn.LET(
_xlpm._isAssumption,$M80,
_xlpm._isAdditionalElement,$O80,
_xlpm._sheetRow,$Z80,
_xlpm._sheetName,$AA80,
_xlpm._columnLetter,INDEX(IF(_xlpm._isAdditionalElement,Table24[Comment Column],Table25[Comment Column]),_xlpm._sheetRow),
_xlpm._sheetReference,IF(_xlpm._isAssumption,IF(_xlpm._isAdditionalElement,
CELL("address",INDEX(INDIRECT("'"&amp;_xlpm._sheetName&amp;"'!"&amp;_xlpm._columnLetter&amp;":"&amp;_xlpm._columnLetter),$AB80)),
CELL("address",INDEX(Assumptions!$A:$A,MATCH($A80,Assumptions!$A:$A,0),1))),
IF(_xlpm._isAdditionalElement,
CELL("address",INDEX(INDIRECT("'"&amp;_xlpm._sheetName&amp;"'!"&amp;_xlpm._columnLetter&amp;":"&amp;_xlpm._columnLetter),$AB80)),
CELL("address",INDEX(Countermeasures!$A:$A,MATCH($A80,Countermeasures!$A:$A,0),1)))),
_xlpm._start,FIND("]",_xlpm._sheetReference),
"'"&amp;SUBSTITUTE(SUBSTITUTE(RIGHT(_xlpm._sheetReference,LEN(_xlpm._sheetReference)-_xlpm._start),"'",""),"!","'!")))</f>
        <v/>
      </c>
      <c r="AD80" s="11" t="str" cm="1">
        <f t="array" aca="1" ref="AD80" ca="1">IF(NOT($O80),
_xlfn.LET(_xlpm._value,IF($A80="","",IF($M80,SimpleLookup($A80,Assumptions!$A:$AG),SimpleLookup($A80,Countermeasures!$A:$AJ))),
IF(_xlpm._value="","",_xlpm._value)),
"")</f>
        <v/>
      </c>
      <c r="AE80" s="11" t="str" cm="1">
        <f t="array" aca="1" ref="AE80" ca="1">LookupNames(InverseLookup($A80,Mitigation!$AD$2,Mitigation!$A$2,1,Helper!$B$5,","),'Attack Steps'!$A:$B)</f>
        <v/>
      </c>
      <c r="AF80" s="11" t="str" cm="1">
        <f t="array" aca="1" ref="AF80" ca="1">IF($O80,
_xlfn.LET(
_xlpm._in,$A80,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80" s="11" t="str" cm="1">
        <f t="array" aca="1" ref="AG80" ca="1">_xlfn.LET(
_xlpm._countermeasures,InverseLookup($A80,Countermeasures!$AC$2,Countermeasures!$A$2,1,Helper!$B$4,","),
LookupNames(_xlpm._countermeasures,Countermeasures!$A:$B))</f>
        <v/>
      </c>
      <c r="AH80" s="11" t="str" cm="1">
        <f t="array" aca="1" ref="AH80" ca="1">IF($E80="","",_xlfn.LET(
_xlpm._id,$E80,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80" s="11" t="str" cm="1">
        <f t="array" aca="1" ref="AI80" ca="1">IF(OR($A80="",$O80),"",_xlfn.LET(
_xlpm._answers,IF($M80,SimpleLookup($A80,Assumptions!$A:$F),SimpleLookup($A80,Countermeasures!$A:$D)),
IF(_xlpm._answers="*",IF($M80,SimpleLookup($A80,Assumptions!$A:$C),SimpleLookup($A80,Countermeasures!$A:$C)),"")))</f>
        <v/>
      </c>
      <c r="AJ80" s="11" t="str" cm="1">
        <f t="array" aca="1" ref="AJ80" ca="1">IF(NOT($O80),"",_xlfn.LET(
_xlpm._mappedInMitigation,IFERROR(VLOOKUP($Y80,'Attack Steps'!$A:$P,COLUMNS('Attack Steps'!$A:$P),FALSE),""),
CreateSearchString(_xlpm._mappedInMitigation)))</f>
        <v/>
      </c>
      <c r="AK80" s="11" t="b">
        <f ca="1">ROW()-ROW($AK$17)=Helper!$B$15</f>
        <v>0</v>
      </c>
      <c r="AL80" s="11" t="str">
        <f t="shared" ca="1" si="15"/>
        <v/>
      </c>
      <c r="AM80" s="11" cm="1">
        <f t="array" aca="1" ref="AM80" ca="1">CreateID($AM$17,$AL80&lt;&gt;"")</f>
        <v>0</v>
      </c>
      <c r="AN80" s="11" t="str" cm="1">
        <f t="array" aca="1" ref="AN80" ca="1">IF($O80,"",
_xlfn.LET(
_xlpm._this,SanitizeInput($A80)&amp;AT80,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80" s="11" t="str" cm="1">
        <f t="array" aca="1" ref="AO80" ca="1">IF($O80,"",_xlfn.LET(
_xlpm._listOfRisksAndLevels,SanitizeInput($AN80),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_xlpm._shortenedList,IF($H80="",_xlpm._risksWithMaxValue,
  IF(LEN(_xlpm._risksWithMaxValue)-LEN(SUBSTITUTE(_xlpm._risksWithMaxValue,",",""))&lt;=$H80,_xlpm._risksWithMaxValue,
    LEFT(_xlpm._risksWithMaxValue,FIND(CHAR(1),SUBSTITUTE(_xlpm._risksWithMaxValue,",",CHAR(1),$H80))))),
IF(_xlpm._maxRiskValue="","",
  _xlpm._lineMainSeparator&amp;
  INDEX(Definitions!$AE:$AE,MATCH(_xlpm._maxRiskValue,Definitions!$AF:$AF,0))&amp;CHAR(10)&amp;
  _xlpm._lineMainSeparator&amp;
  RemoveDelimiter(GetValues(_xlpm._shortenedList,Risks!$A:$B," ",CHAR(10)&amp;_xlpm._lineMainSeparator,TRUE),CHAR(10)&amp;_xlpm._lineMainSeparator))))</f>
        <v/>
      </c>
      <c r="AP80" s="11" t="str" cm="1">
        <f t="array" aca="1" ref="AP80" ca="1">IF($O80,"",_xlfn.LET(
_xlpm._lineMainSeparator,REPT(_xlfn.UNICHAR(9552),63)&amp;CHAR(10),
_xlpm._affectedRisks,InverseLookupList(SanitizeInput($A80)&amp;$AT80,Risks!$AX$2,Risks!$A$2,Helper!$B$1,","),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_xlpm._shortenedList,IF($H80="",_xlpm._risksWithMaxValue,
  IF(LEN(_xlpm._risksWithMaxValue)-LEN(SUBSTITUTE(_xlpm._risksWithMaxValue,",",""))&lt;=$H80,_xlpm._risksWithMaxValue,
    LEFT(_xlpm._risksWithMaxValue,FIND(CHAR(1),SUBSTITUTE(_xlpm._risksWithMaxValue,",",CHAR(1),$H80))))),
IF(_xlpm._maxRiskValue="","",
  _xlpm._lineMainSeparator&amp;
  INDEX(Definitions!$AE:$AE,MATCH(_xlpm._maxRiskValue,Definitions!$AF:$AF,0))&amp;CHAR(10)&amp;
  _xlpm._lineMainSeparator&amp;
  RemoveDelimiter(GetValues(_xlpm._shortenedList,Risks!$A:$B," ",CHAR(10)&amp;_xlpm._lineMainSeparator,TRUE),CHAR(10)&amp;_xlpm._lineMainSeparator))))</f>
        <v/>
      </c>
      <c r="AQ80" s="11" t="str" cm="1">
        <f t="array" aca="1" ref="AQ80" ca="1">IF(NOT($O80),"",
_xlfn.LET(
_xlpm._potentialASID,$Y80,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_xlpm._commentsFiltered,SUBSTITUTE(GetValues(_xlpm._attackSteps,Mitigation!$A:$O,"","",FALSE),$X80,""),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80" s="11" t="str" cm="1">
        <f t="array" aca="1" ref="AR80" ca="1">IF(NOT($O80),"",_xlfn.LET(
_xlpm._listOfRisksAndLevels,SanitizeInput($AQ80),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_xlpm._shortenedList,IF($H80="",_xlpm._risksWithMaxValue,
  IF(LEN(_xlpm._risksWithMaxValue)-LEN(SUBSTITUTE(_xlpm._risksWithMaxValue,",",""))&lt;=$H80,_xlpm._risksWithMaxValue,
    LEFT(_xlpm._risksWithMaxValue,FIND(CHAR(1),SUBSTITUTE(_xlpm._risksWithMaxValue,",",CHAR(1),$H80))))),
IF(_xlpm._maxRiskValue="","",
  _xlpm._lineMainSeparator&amp;
  INDEX(Definitions!$AE:$AE,MATCH(_xlpm._maxRiskValue,Definitions!$AF:$AF,0))&amp;CHAR(10)&amp;
  _xlpm._lineMainSeparator&amp;
  RemoveDelimiter(GetValues(_xlpm._shortenedList,Risks!$A:$B," ",CHAR(10)&amp;_xlpm._lineMainSeparator,TRUE),CHAR(10)&amp;_xlpm._lineMainSeparator))))</f>
        <v/>
      </c>
      <c r="AS80" s="11" t="str" cm="1">
        <f t="array" aca="1" ref="AS80" ca="1">IF(NOT($O80),"",
_xlfn.LET(
_xlpm._lineMainSeparator,REPT(_xlfn.UNICHAR(9552),63)&amp;CHAR(10),
_xlpm._potentialASID,$Y80,
_xlpm._risk,IFERROR(SimpleLookup(_xlpm._potentialASID,Mitigation!$A:$N),""),
_xlpm._attackPaths,IFERROR(SimpleLookup(_xlpm._potentialASID,Mitigation!$A:$M),""),
IF(_xlpm._risk="","",
_xlpm._lineMainSeparator&amp;
_xlpm._risk&amp;CHAR(10)&amp;
_xlpm._lineMainSeparator&amp;
_xlpm._attackPaths)))</f>
        <v/>
      </c>
      <c r="AT80" s="11" t="str" cm="1">
        <f t="array" aca="1" ref="AT80" ca="1">InverseLookup($A80,Countermeasures!$AA$2,Countermeasures!$A$2,1,Helper!$B$4,",")</f>
        <v/>
      </c>
    </row>
    <row r="81" spans="1:47" x14ac:dyDescent="0.25">
      <c r="A81" s="106" t="str">
        <f ca="1">_xlfn.LET(
_xlpm._isAssumption,$M81,
_xlpm._row,$N81,
_xlpm._numActiveAssumptions,Helper!$B$8,
_xlpm._numActiveCountermeasures,Helper!$B$9,
_xlpm._numAdditionalAssumptions,Helper!$B$10,
_xlpm._numAdditionalCountermeasures,Helper!$B$11,
IF(_xlpm._isAssumption,
IF(_xlpm._row&gt;_xlpm._numActiveAssumptions,
$Y81&amp;"-A"&amp;$T81,
INDEX(Assumptions!A:A,MATCH(_xlpm._row,Assumptions!$AC:$AC,0))),
IF(_xlpm._row&gt;_xlpm._numActiveCountermeasures+_xlpm._numAdditionalCountermeasures,"",
IF(_xlpm._row&gt;_xlpm._numActiveCountermeasures,
$Y81&amp;"-C"&amp;$T81,
INDEX(Countermeasures!$A:$A,MATCH(_xlpm._row,Countermeasures!$AE:$AE,0))))))</f>
        <v/>
      </c>
      <c r="B81" s="106" t="str" cm="1">
        <f t="array" aca="1" ref="B81" ca="1">IF($A81="","",
_xlfn.LET(
_xlpm._isAssumption,$M81,
_xlpm._isAdditionalElement,$O81,
IF(_xlpm._isAdditionalElement,
IF(_xlpm._isAssumption,
ParseElementsFromComment($X81,Definitions!$AR$4,Definitions!$AS$4,Definitions!$AR$6,$T81),
ParseElementsFromComment($X81,Definitions!$AR$5,Definitions!$AS$5,Definitions!$AR$6,$T81)),
_xlfn.LET(_xlpm._value,IF($A81="","",IF($M81,SimpleLookup($A81,Assumptions!$A:$B),SimpleLookup($A81,Countermeasures!$A:$B))),IF(_xlpm._value="","",_xlpm._value)))))</f>
        <v/>
      </c>
      <c r="C81" s="106" t="str" cm="1">
        <f t="array" aca="1" ref="C81" ca="1">IF($A81="","",IF($M81,IFERROR(SimpleLookup($A81,Assumptions!$A:$E),""),Definitions!$AO$4))</f>
        <v/>
      </c>
      <c r="D81" s="103" t="str">
        <f t="shared" ca="1" si="9"/>
        <v/>
      </c>
      <c r="E81" s="107"/>
      <c r="F81" s="108" t="str">
        <f t="shared" ca="1" si="10"/>
        <v/>
      </c>
      <c r="G81" s="102" t="str" cm="1">
        <f t="array" aca="1" ref="G81" ca="1">_xlfn.LET(_xlpm._val,IFERROR(SimpleLookup($A81,Countermeasures!$A:$S),IFERROR(SimpleLookup($A81,Assumptions!$A:$S),"")),IF(_xlpm._val="","",_xlpm._val))</f>
        <v/>
      </c>
      <c r="H81" s="109" t="str">
        <f>""</f>
        <v/>
      </c>
      <c r="I81" s="102" t="str">
        <f t="shared" ca="1" si="11"/>
        <v/>
      </c>
      <c r="J81" s="102" t="str">
        <f t="shared" ca="1" si="12"/>
        <v/>
      </c>
      <c r="K81" s="106" t="str" cm="1">
        <f t="array" aca="1" ref="K81" ca="1">_xlfn.LET(_xlpm._value,IF($A81="","",IFERROR(IF($M81,SimpleLookup($A81,Assumptions!$A:$T),SimpleLookup($A81,Countermeasures!$A:$T)),"")),
IF(_xlpm._value="","",_xlpm._value))</f>
        <v/>
      </c>
      <c r="L81" s="9" cm="1">
        <f t="array" aca="1" ref="L81" ca="1">CreateID($L$17,$A81&lt;&gt;"")</f>
        <v>11</v>
      </c>
      <c r="M81" s="9" t="b">
        <f ca="1">_xlfn.LET(_xlpm._row,ROW()-ROW($N$17),
_xlpm._numActiveAssumptions,Helper!$B$8,
_xlpm._numAdditionalAssumptions,SUM(Table24['# Elements]),
_xlpm._row&lt;=_xlpm._numActiveAssumptions+_xlpm._numAdditionalAssumptions)</f>
        <v>0</v>
      </c>
      <c r="N81" s="9">
        <f ca="1">_xlfn.LET(_xlpm._row,ROW()-ROW($N$17),
_xlpm._numActiveAssumptions,Helper!$B$8,
_xlpm._numAdditionalAssumptions,Helper!$B$10,
_xlpm._isAssumption,$M81,
_xlpm._elementID,IF(_xlpm._isAssumption,_xlpm._row,_xlpm._row-_xlpm._numActiveAssumptions-_xlpm._numAdditionalAssumptions),
_xlpm._elementID)</f>
        <v>60</v>
      </c>
      <c r="O81"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81" s="11" cm="1">
        <f t="array" aca="1" ref="P81" ca="1">IF($O81,
IF(ROW()=ROW($P$17)+1,1,INDEX($P:$P,ROW()-1)+IF(INDEX($W:$W,ROW()-1),1,0)),
1)</f>
        <v>1</v>
      </c>
      <c r="Q81" s="11" t="str" cm="1">
        <f t="array" aca="1" ref="Q81" ca="1">IF($O81=TRUE,
_xlfn.LET(
_xlpm._isAssumption,$M81,
_xlpm._indexRange,IF(_xlpm._isAssumption,Table24['# Elements],Table25['# Elements]),
_xlpm._lookupRow,$Z81,
INDEX(_xlpm._indexRange,_xlpm._lookupRow)),
"")</f>
        <v/>
      </c>
      <c r="R81" s="11" t="str" cm="1">
        <f t="array" aca="1" ref="R81" ca="1">IF($Q81="","",_xlfn.LET(
_xlpm._prevRow,ROW()-1,
IF(OR(INDEX($Q:$Q,_xlpm._prevRow)&lt;&gt;$Q81,INDEX($P:$P,_xlpm._prevRow)&lt;&gt;$P81),
1,
INDEX($R:$R,_xlpm._prevRow)+IF(INDEX($V:$V,_xlpm._prevRow),1,0))))</f>
        <v/>
      </c>
      <c r="S81" s="11" t="str" cm="1">
        <f t="array" aca="1" ref="S81" ca="1">IF($R81="","",_xlfn.LET(
_xlpm._isAssumption,$M81,
_xlpm._sheetRow,$Z81,
_xlpm._sheetName,$AA81,
_xlpm._elementIDRange,IF(_xlpm._isAssumption,Table24[Element ID Column],Table25[Element ID Column]),
_xlpm._numberOfElementsRange,IF(_xlpm._isAssumption,Table24[Number of Elements Column],Table25[Number of Elements Column]),
SimpleLookup($R81,INDIRECT("'"&amp;_xlpm._sheetName&amp;"'!"&amp;INDEX(_xlpm._elementIDRange,_xlpm._sheetRow)&amp;":"&amp;INDEX(_xlpm._numberOfElementsRange,_xlpm._sheetRow)))))</f>
        <v/>
      </c>
      <c r="T81" s="11" t="str" cm="1">
        <f t="array" aca="1" ref="T81" ca="1">IF($R81="","",IF(OR(INDEX($R:$R,ROW()-1)&lt;&gt;$R81,INDEX($P:$P,ROW()-1)&lt;&gt;$P81),1,INDEX($T:$T,ROW()-1)+1))</f>
        <v/>
      </c>
      <c r="U81" s="11">
        <f t="shared" ca="1" si="13"/>
        <v>0</v>
      </c>
      <c r="V81" s="11" t="str">
        <f t="shared" ca="1" si="14"/>
        <v/>
      </c>
      <c r="W81" s="11" t="b">
        <f ca="1">_xlfn.LET(
_xlpm._isAssumption,$M81,
_xlpm._numberOfElementsRange,IF(_xlpm._isAssumption,Table24['# Elements],Table25['# Elements]),
_xlpm._sheetRow,$Z81,
IF($O81,AND($V81,$U81=$Q81),FALSE))</f>
        <v>0</v>
      </c>
      <c r="X81" s="11" t="str" cm="1">
        <f t="array" aca="1" ref="X81" ca="1">IF($O81,
_xlfn.LET(
_xlpm._elementID,$R81,
_xlpm._isAssumption,$M81,
_xlpm._sheetRow,$Z81,
_xlpm._sheetName,$AA81,
_xlpm._elementRow,$AB81,
_xlpm._resultColumnLetter,IF(_xlpm._isAssumption,INDEX(Table24[Comment Column],_xlpm._sheetRow),INDEX(Table25[Comment Column],_xlpm._sheetRow)),
INDEX(INDIRECT("'"&amp;_xlpm._sheetName&amp;"'!"&amp;_xlpm._resultColumnLetter&amp;":"&amp;_xlpm._resultColumnLetter),_xlpm._elementRow)),
"")</f>
        <v/>
      </c>
      <c r="Y81" s="11" t="str" cm="1">
        <f t="array" aca="1" ref="Y81" ca="1">IF($O81,
_xlfn.LET(
_xlpm._elementID,$R81,
_xlpm._isAssumption,$M81,
_xlpm._sheetRow,$Z81,
_xlpm._sheetName,$AA81,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81" s="11" t="str">
        <f ca="1">IF($O81=TRUE,
_xlfn.LET(
_xlpm._isAssumption,$M81,
_xlpm._searchRange,IF(_xlpm._isAssumption,Table24[Task Sheet Shadow ID],Table25[Task Sheet Shadow ID]),
MATCH($P81,_xlpm._searchRange,0)),
"")</f>
        <v/>
      </c>
      <c r="AA81" s="11" t="str" cm="1">
        <f t="array" aca="1" ref="AA81" ca="1">IF($O81,
_xlfn.LET(
_xlpm._isAssumption,$M81,
_xlpm._sheetRow,$Z81,
IF(_xlpm._isAssumption,INDEX(Table24[Sheet Name],_xlpm._sheetRow),INDEX(Table25[Sheet Name],_xlpm._sheetRow))),
"")</f>
        <v/>
      </c>
      <c r="AB81" s="11" t="str" cm="1">
        <f t="array" aca="1" ref="AB81" ca="1">IF($O81,
_xlfn.LET(
_xlpm._elementID,$R81,
_xlpm._isAssumption,$M81,
_xlpm._sheetRow,$Z81,
_xlpm._sheetName,$AA81,
_xlpm._elementIDColumnLetter,IF(_xlpm._isAssumption,INDEX(Table24[Element ID Column],_xlpm._sheetRow),INDEX(Table25[Element ID Column],_xlpm._sheetRow)),
MATCH(_xlpm._elementID,INDIRECT("'"&amp;_xlpm._sheetName&amp;"'!"&amp;_xlpm._elementIDColumnLetter&amp;":"&amp;_xlpm._elementIDColumnLetter),0)),
"")</f>
        <v/>
      </c>
      <c r="AC81" s="11" t="str" cm="1">
        <f t="array" aca="1" ref="AC81" ca="1">IF($A81="","",_xlfn.LET(
_xlpm._isAssumption,$M81,
_xlpm._isAdditionalElement,$O81,
_xlpm._sheetRow,$Z81,
_xlpm._sheetName,$AA81,
_xlpm._columnLetter,INDEX(IF(_xlpm._isAdditionalElement,Table24[Comment Column],Table25[Comment Column]),_xlpm._sheetRow),
_xlpm._sheetReference,IF(_xlpm._isAssumption,IF(_xlpm._isAdditionalElement,
CELL("address",INDEX(INDIRECT("'"&amp;_xlpm._sheetName&amp;"'!"&amp;_xlpm._columnLetter&amp;":"&amp;_xlpm._columnLetter),$AB81)),
CELL("address",INDEX(Assumptions!$A:$A,MATCH($A81,Assumptions!$A:$A,0),1))),
IF(_xlpm._isAdditionalElement,
CELL("address",INDEX(INDIRECT("'"&amp;_xlpm._sheetName&amp;"'!"&amp;_xlpm._columnLetter&amp;":"&amp;_xlpm._columnLetter),$AB81)),
CELL("address",INDEX(Countermeasures!$A:$A,MATCH($A81,Countermeasures!$A:$A,0),1)))),
_xlpm._start,FIND("]",_xlpm._sheetReference),
"'"&amp;SUBSTITUTE(SUBSTITUTE(RIGHT(_xlpm._sheetReference,LEN(_xlpm._sheetReference)-_xlpm._start),"'",""),"!","'!")))</f>
        <v/>
      </c>
      <c r="AD81" s="11" t="str" cm="1">
        <f t="array" aca="1" ref="AD81" ca="1">IF(NOT($O81),
_xlfn.LET(_xlpm._value,IF($A81="","",IF($M81,SimpleLookup($A81,Assumptions!$A:$AG),SimpleLookup($A81,Countermeasures!$A:$AJ))),
IF(_xlpm._value="","",_xlpm._value)),
"")</f>
        <v/>
      </c>
      <c r="AE81" s="11" t="str" cm="1">
        <f t="array" aca="1" ref="AE81" ca="1">LookupNames(InverseLookup($A81,Mitigation!$AD$2,Mitigation!$A$2,1,Helper!$B$5,","),'Attack Steps'!$A:$B)</f>
        <v/>
      </c>
      <c r="AF81" s="11" t="str" cm="1">
        <f t="array" aca="1" ref="AF81" ca="1">IF($O81,
_xlfn.LET(
_xlpm._in,$A81,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81" s="11" t="str" cm="1">
        <f t="array" aca="1" ref="AG81" ca="1">_xlfn.LET(
_xlpm._countermeasures,InverseLookup($A81,Countermeasures!$AC$2,Countermeasures!$A$2,1,Helper!$B$4,","),
LookupNames(_xlpm._countermeasures,Countermeasures!$A:$B))</f>
        <v/>
      </c>
      <c r="AH81" s="11" t="str" cm="1">
        <f t="array" aca="1" ref="AH81" ca="1">IF($E81="","",_xlfn.LET(
_xlpm._id,$E81,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81" s="11" t="str" cm="1">
        <f t="array" aca="1" ref="AI81" ca="1">IF(OR($A81="",$O81),"",_xlfn.LET(
_xlpm._answers,IF($M81,SimpleLookup($A81,Assumptions!$A:$F),SimpleLookup($A81,Countermeasures!$A:$D)),
IF(_xlpm._answers="*",IF($M81,SimpleLookup($A81,Assumptions!$A:$C),SimpleLookup($A81,Countermeasures!$A:$C)),"")))</f>
        <v/>
      </c>
      <c r="AJ81" s="11" t="str" cm="1">
        <f t="array" aca="1" ref="AJ81" ca="1">IF(NOT($O81),"",_xlfn.LET(
_xlpm._mappedInMitigation,IFERROR(VLOOKUP($Y81,'Attack Steps'!$A:$P,COLUMNS('Attack Steps'!$A:$P),FALSE),""),
CreateSearchString(_xlpm._mappedInMitigation)))</f>
        <v/>
      </c>
      <c r="AK81" s="11" t="b">
        <f ca="1">ROW()-ROW($AK$17)=Helper!$B$15</f>
        <v>0</v>
      </c>
      <c r="AL81" s="11" t="str">
        <f t="shared" ca="1" si="15"/>
        <v/>
      </c>
      <c r="AM81" s="11" cm="1">
        <f t="array" aca="1" ref="AM81" ca="1">CreateID($AM$17,$AL81&lt;&gt;"")</f>
        <v>0</v>
      </c>
      <c r="AN81" s="11" t="str" cm="1">
        <f t="array" aca="1" ref="AN81" ca="1">IF($O81,"",
_xlfn.LET(
_xlpm._this,SanitizeInput($A81)&amp;AT81,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81" s="11" t="str" cm="1">
        <f t="array" aca="1" ref="AO81" ca="1">IF($O81,"",_xlfn.LET(
_xlpm._listOfRisksAndLevels,SanitizeInput($AN81),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_xlpm._shortenedList,IF($H81="",_xlpm._risksWithMaxValue,
  IF(LEN(_xlpm._risksWithMaxValue)-LEN(SUBSTITUTE(_xlpm._risksWithMaxValue,",",""))&lt;=$H81,_xlpm._risksWithMaxValue,
    LEFT(_xlpm._risksWithMaxValue,FIND(CHAR(1),SUBSTITUTE(_xlpm._risksWithMaxValue,",",CHAR(1),$H81))))),
IF(_xlpm._maxRiskValue="","",
  _xlpm._lineMainSeparator&amp;
  INDEX(Definitions!$AE:$AE,MATCH(_xlpm._maxRiskValue,Definitions!$AF:$AF,0))&amp;CHAR(10)&amp;
  _xlpm._lineMainSeparator&amp;
  RemoveDelimiter(GetValues(_xlpm._shortenedList,Risks!$A:$B," ",CHAR(10)&amp;_xlpm._lineMainSeparator,TRUE),CHAR(10)&amp;_xlpm._lineMainSeparator))))</f>
        <v/>
      </c>
      <c r="AP81" s="11" t="str" cm="1">
        <f t="array" aca="1" ref="AP81" ca="1">IF($O81,"",_xlfn.LET(
_xlpm._lineMainSeparator,REPT(_xlfn.UNICHAR(9552),63)&amp;CHAR(10),
_xlpm._affectedRisks,InverseLookupList(SanitizeInput($A81)&amp;$AT81,Risks!$AX$2,Risks!$A$2,Helper!$B$1,","),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_xlpm._shortenedList,IF($H81="",_xlpm._risksWithMaxValue,
  IF(LEN(_xlpm._risksWithMaxValue)-LEN(SUBSTITUTE(_xlpm._risksWithMaxValue,",",""))&lt;=$H81,_xlpm._risksWithMaxValue,
    LEFT(_xlpm._risksWithMaxValue,FIND(CHAR(1),SUBSTITUTE(_xlpm._risksWithMaxValue,",",CHAR(1),$H81))))),
IF(_xlpm._maxRiskValue="","",
  _xlpm._lineMainSeparator&amp;
  INDEX(Definitions!$AE:$AE,MATCH(_xlpm._maxRiskValue,Definitions!$AF:$AF,0))&amp;CHAR(10)&amp;
  _xlpm._lineMainSeparator&amp;
  RemoveDelimiter(GetValues(_xlpm._shortenedList,Risks!$A:$B," ",CHAR(10)&amp;_xlpm._lineMainSeparator,TRUE),CHAR(10)&amp;_xlpm._lineMainSeparator))))</f>
        <v/>
      </c>
      <c r="AQ81" s="11" t="str" cm="1">
        <f t="array" aca="1" ref="AQ81" ca="1">IF(NOT($O81),"",
_xlfn.LET(
_xlpm._potentialASID,$Y81,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_xlpm._commentsFiltered,SUBSTITUTE(GetValues(_xlpm._attackSteps,Mitigation!$A:$O,"","",FALSE),$X81,""),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81" s="11" t="str" cm="1">
        <f t="array" aca="1" ref="AR81" ca="1">IF(NOT($O81),"",_xlfn.LET(
_xlpm._listOfRisksAndLevels,SanitizeInput($AQ81),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_xlpm._shortenedList,IF($H81="",_xlpm._risksWithMaxValue,
  IF(LEN(_xlpm._risksWithMaxValue)-LEN(SUBSTITUTE(_xlpm._risksWithMaxValue,",",""))&lt;=$H81,_xlpm._risksWithMaxValue,
    LEFT(_xlpm._risksWithMaxValue,FIND(CHAR(1),SUBSTITUTE(_xlpm._risksWithMaxValue,",",CHAR(1),$H81))))),
IF(_xlpm._maxRiskValue="","",
  _xlpm._lineMainSeparator&amp;
  INDEX(Definitions!$AE:$AE,MATCH(_xlpm._maxRiskValue,Definitions!$AF:$AF,0))&amp;CHAR(10)&amp;
  _xlpm._lineMainSeparator&amp;
  RemoveDelimiter(GetValues(_xlpm._shortenedList,Risks!$A:$B," ",CHAR(10)&amp;_xlpm._lineMainSeparator,TRUE),CHAR(10)&amp;_xlpm._lineMainSeparator))))</f>
        <v/>
      </c>
      <c r="AS81" s="11" t="str" cm="1">
        <f t="array" aca="1" ref="AS81" ca="1">IF(NOT($O81),"",
_xlfn.LET(
_xlpm._lineMainSeparator,REPT(_xlfn.UNICHAR(9552),63)&amp;CHAR(10),
_xlpm._potentialASID,$Y81,
_xlpm._risk,IFERROR(SimpleLookup(_xlpm._potentialASID,Mitigation!$A:$N),""),
_xlpm._attackPaths,IFERROR(SimpleLookup(_xlpm._potentialASID,Mitigation!$A:$M),""),
IF(_xlpm._risk="","",
_xlpm._lineMainSeparator&amp;
_xlpm._risk&amp;CHAR(10)&amp;
_xlpm._lineMainSeparator&amp;
_xlpm._attackPaths)))</f>
        <v/>
      </c>
      <c r="AT81" s="11" t="str" cm="1">
        <f t="array" aca="1" ref="AT81" ca="1">InverseLookup($A81,Countermeasures!$AA$2,Countermeasures!$A$2,1,Helper!$B$4,",")</f>
        <v/>
      </c>
    </row>
    <row r="82" spans="1:47" x14ac:dyDescent="0.25">
      <c r="A82" s="106" t="str">
        <f ca="1">_xlfn.LET(
_xlpm._isAssumption,$M82,
_xlpm._row,$N82,
_xlpm._numActiveAssumptions,Helper!$B$8,
_xlpm._numActiveCountermeasures,Helper!$B$9,
_xlpm._numAdditionalAssumptions,Helper!$B$10,
_xlpm._numAdditionalCountermeasures,Helper!$B$11,
IF(_xlpm._isAssumption,
IF(_xlpm._row&gt;_xlpm._numActiveAssumptions,
$Y82&amp;"-A"&amp;$T82,
INDEX(Assumptions!A:A,MATCH(_xlpm._row,Assumptions!$AC:$AC,0))),
IF(_xlpm._row&gt;_xlpm._numActiveCountermeasures+_xlpm._numAdditionalCountermeasures,"",
IF(_xlpm._row&gt;_xlpm._numActiveCountermeasures,
$Y82&amp;"-C"&amp;$T82,
INDEX(Countermeasures!$A:$A,MATCH(_xlpm._row,Countermeasures!$AE:$AE,0))))))</f>
        <v/>
      </c>
      <c r="B82" s="106" t="str" cm="1">
        <f t="array" aca="1" ref="B82" ca="1">IF($A82="","",
_xlfn.LET(
_xlpm._isAssumption,$M82,
_xlpm._isAdditionalElement,$O82,
IF(_xlpm._isAdditionalElement,
IF(_xlpm._isAssumption,
ParseElementsFromComment($X82,Definitions!$AR$4,Definitions!$AS$4,Definitions!$AR$6,$T82),
ParseElementsFromComment($X82,Definitions!$AR$5,Definitions!$AS$5,Definitions!$AR$6,$T82)),
_xlfn.LET(_xlpm._value,IF($A82="","",IF($M82,SimpleLookup($A82,Assumptions!$A:$B),SimpleLookup($A82,Countermeasures!$A:$B))),IF(_xlpm._value="","",_xlpm._value)))))</f>
        <v/>
      </c>
      <c r="C82" s="106" t="str" cm="1">
        <f t="array" aca="1" ref="C82" ca="1">IF($A82="","",IF($M82,IFERROR(SimpleLookup($A82,Assumptions!$A:$E),""),Definitions!$AO$4))</f>
        <v/>
      </c>
      <c r="D82" s="103" t="str">
        <f t="shared" ref="D82:D101" ca="1" si="16">_xlfn.LET(
_xlpm._dividerTop,REPT(_xlfn.UNICHAR(9552),63)&amp;CHAR(10),
_xlpm._dividerHeader,CHAR(10)&amp;REPT(CHAR(150),81)&amp;CHAR(10),
_xlpm._relatedQuestions,IF($AD82="","",_xlpm._dividerTop&amp;"Comments of related questions / answers:"&amp;_xlpm._dividerHeader&amp;$AD82),
_xlpm._assignedToAttackSteps,IF($AE82="","",_xlpm._dividerTop&amp;"Assigned to attack steps:"&amp;_xlpm._dividerHeader&amp;$AE82),
_xlpm._definedInContextOfElement,IF($AF82="","",_xlpm._dividerTop&amp;"Defined in the context of:"&amp;_xlpm._dividerHeader&amp;$AF82),
_xlpm._dependantCountermeasures,IF($AG82="","",_xlpm._dividerTop&amp;"Dependency of countermeasures:"&amp;_xlpm._dividerHeader&amp;$AG82),
_xlpm._defaultElementText,IF($AI82="","",_xlpm._dividerTop&amp;"Default "&amp;IF($M82,"assumption","countermeasure")&amp;":"&amp;_xlpm._dividerHeader&amp;$AI82),
_xlpm._relatedQuestions&amp;
IF(AND(_xlpm._relatedQuestions&lt;&gt;"",_xlpm._assignedToAttackSteps&lt;&gt;""),CHAR(10),"")&amp;_xlpm._assignedToAttackSteps&amp;
IF(AND(OR(_xlpm._relatedQuestions&lt;&gt;"",_xlpm._assignedToAttackSteps&lt;&gt;""),_xlpm._definedInContextOfElement&lt;&gt;""),CHAR(10),"")&amp;_xlpm._definedInContextOfElement&amp;
IF(AND(OR(_xlpm._relatedQuestions&lt;&gt;"",_xlpm._assignedToAttackSteps&lt;&gt;"",_xlpm._definedInContextOfElement&lt;&gt;""),_xlpm._dependantCountermeasures&lt;&gt;""),CHAR(10),"")&amp;_xlpm._dependantCountermeasures&amp;
IF(AND(OR(_xlpm._relatedQuestions&lt;&gt;"",_xlpm._assignedToAttackSteps&lt;&gt;"",_xlpm._definedInContextOfElement&lt;&gt;"",_xlpm._dependantCountermeasures&lt;&gt;""),_xlpm._defaultElementText&lt;&gt;""),CHAR(10),"")&amp;_xlpm._defaultElementText)</f>
        <v/>
      </c>
      <c r="E82" s="107"/>
      <c r="F82" s="108" t="str">
        <f t="shared" ref="F82:F101" ca="1" si="17">IF(AND($E82&lt;&gt;"",$AH82=""),"Error: Unknown ID: "&amp;$E82,
IF($A82="","",HYPERLINK("#"&amp;IF($AH82="",$AC82,$AH82),"click me")))</f>
        <v/>
      </c>
      <c r="G82" s="102" t="str" cm="1">
        <f t="array" aca="1" ref="G82" ca="1">_xlfn.LET(_xlpm._val,IFERROR(SimpleLookup($A82,Countermeasures!$A:$S),IFERROR(SimpleLookup($A82,Assumptions!$A:$S),"")),IF(_xlpm._val="","",_xlpm._val))</f>
        <v/>
      </c>
      <c r="H82" s="109" t="str">
        <f>""</f>
        <v/>
      </c>
      <c r="I82" s="102" t="str">
        <f t="shared" ref="I82:I101" ca="1" si="18">IF($O82,$AR82,$AO82)</f>
        <v/>
      </c>
      <c r="J82" s="102" t="str">
        <f t="shared" ref="J82:J101" ca="1" si="19">IF($O82,$AS82,$AP82)</f>
        <v/>
      </c>
      <c r="K82" s="106" t="str" cm="1">
        <f t="array" aca="1" ref="K82" ca="1">_xlfn.LET(_xlpm._value,IF($A82="","",IFERROR(IF($M82,SimpleLookup($A82,Assumptions!$A:$T),SimpleLookup($A82,Countermeasures!$A:$T)),"")),
IF(_xlpm._value="","",_xlpm._value))</f>
        <v/>
      </c>
      <c r="L82" s="9" cm="1">
        <f t="array" aca="1" ref="L82" ca="1">CreateID($L$17,$A82&lt;&gt;"")</f>
        <v>11</v>
      </c>
      <c r="M82" s="9" t="b">
        <f ca="1">_xlfn.LET(_xlpm._row,ROW()-ROW($N$17),
_xlpm._numActiveAssumptions,Helper!$B$8,
_xlpm._numAdditionalAssumptions,SUM(Table24['# Elements]),
_xlpm._row&lt;=_xlpm._numActiveAssumptions+_xlpm._numAdditionalAssumptions)</f>
        <v>0</v>
      </c>
      <c r="N82" s="9">
        <f ca="1">_xlfn.LET(_xlpm._row,ROW()-ROW($N$17),
_xlpm._numActiveAssumptions,Helper!$B$8,
_xlpm._numAdditionalAssumptions,Helper!$B$10,
_xlpm._isAssumption,$M82,
_xlpm._elementID,IF(_xlpm._isAssumption,_xlpm._row,_xlpm._row-_xlpm._numActiveAssumptions-_xlpm._numAdditionalAssumptions),
_xlpm._elementID)</f>
        <v>61</v>
      </c>
      <c r="O82"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82" s="11" cm="1">
        <f t="array" aca="1" ref="P82" ca="1">IF($O82,
IF(ROW()=ROW($P$17)+1,1,INDEX($P:$P,ROW()-1)+IF(INDEX($W:$W,ROW()-1),1,0)),
1)</f>
        <v>1</v>
      </c>
      <c r="Q82" s="11" t="str" cm="1">
        <f t="array" aca="1" ref="Q82" ca="1">IF($O82=TRUE,
_xlfn.LET(
_xlpm._isAssumption,$M82,
_xlpm._indexRange,IF(_xlpm._isAssumption,Table24['# Elements],Table25['# Elements]),
_xlpm._lookupRow,$Z82,
INDEX(_xlpm._indexRange,_xlpm._lookupRow)),
"")</f>
        <v/>
      </c>
      <c r="R82" s="11" t="str" cm="1">
        <f t="array" aca="1" ref="R82" ca="1">IF($Q82="","",_xlfn.LET(
_xlpm._prevRow,ROW()-1,
IF(OR(INDEX($Q:$Q,_xlpm._prevRow)&lt;&gt;$Q82,INDEX($P:$P,_xlpm._prevRow)&lt;&gt;$P82),
1,
INDEX($R:$R,_xlpm._prevRow)+IF(INDEX($V:$V,_xlpm._prevRow),1,0))))</f>
        <v/>
      </c>
      <c r="S82" s="11" t="str" cm="1">
        <f t="array" aca="1" ref="S82" ca="1">IF($R82="","",_xlfn.LET(
_xlpm._isAssumption,$M82,
_xlpm._sheetRow,$Z82,
_xlpm._sheetName,$AA82,
_xlpm._elementIDRange,IF(_xlpm._isAssumption,Table24[Element ID Column],Table25[Element ID Column]),
_xlpm._numberOfElementsRange,IF(_xlpm._isAssumption,Table24[Number of Elements Column],Table25[Number of Elements Column]),
SimpleLookup($R82,INDIRECT("'"&amp;_xlpm._sheetName&amp;"'!"&amp;INDEX(_xlpm._elementIDRange,_xlpm._sheetRow)&amp;":"&amp;INDEX(_xlpm._numberOfElementsRange,_xlpm._sheetRow)))))</f>
        <v/>
      </c>
      <c r="T82" s="11" t="str" cm="1">
        <f t="array" aca="1" ref="T82" ca="1">IF($R82="","",IF(OR(INDEX($R:$R,ROW()-1)&lt;&gt;$R82,INDEX($P:$P,ROW()-1)&lt;&gt;$P82),1,INDEX($T:$T,ROW()-1)+1))</f>
        <v/>
      </c>
      <c r="U82" s="11">
        <f t="shared" ref="U82:U83" ca="1" si="20">COUNTIFS(
OFFSET($O$17,1,0,ROW()-ROW($O$17),1),TRUE,
OFFSET($P$17,1,0,ROW()-ROW($P$17),1),$P82,
OFFSET($M$17,1,0,ROW()-ROW($M$17),1),$M82)</f>
        <v>0</v>
      </c>
      <c r="V82" s="11" t="str">
        <f t="shared" ref="V82:V83" ca="1" si="21">IF($O82,$S82=$T82,"")</f>
        <v/>
      </c>
      <c r="W82" s="11" t="b">
        <f ca="1">_xlfn.LET(
_xlpm._isAssumption,$M82,
_xlpm._numberOfElementsRange,IF(_xlpm._isAssumption,Table24['# Elements],Table25['# Elements]),
_xlpm._sheetRow,$Z82,
IF($O82,AND($V82,$U82=$Q82),FALSE))</f>
        <v>0</v>
      </c>
      <c r="X82" s="11" t="str" cm="1">
        <f t="array" aca="1" ref="X82" ca="1">IF($O82,
_xlfn.LET(
_xlpm._elementID,$R82,
_xlpm._isAssumption,$M82,
_xlpm._sheetRow,$Z82,
_xlpm._sheetName,$AA82,
_xlpm._elementRow,$AB82,
_xlpm._resultColumnLetter,IF(_xlpm._isAssumption,INDEX(Table24[Comment Column],_xlpm._sheetRow),INDEX(Table25[Comment Column],_xlpm._sheetRow)),
INDEX(INDIRECT("'"&amp;_xlpm._sheetName&amp;"'!"&amp;_xlpm._resultColumnLetter&amp;":"&amp;_xlpm._resultColumnLetter),_xlpm._elementRow)),
"")</f>
        <v/>
      </c>
      <c r="Y82" s="11" t="str" cm="1">
        <f t="array" aca="1" ref="Y82" ca="1">IF($O82,
_xlfn.LET(
_xlpm._elementID,$R82,
_xlpm._isAssumption,$M82,
_xlpm._sheetRow,$Z82,
_xlpm._sheetName,$AA82,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82" s="11" t="str">
        <f ca="1">IF($O82=TRUE,
_xlfn.LET(
_xlpm._isAssumption,$M82,
_xlpm._searchRange,IF(_xlpm._isAssumption,Table24[Task Sheet Shadow ID],Table25[Task Sheet Shadow ID]),
MATCH($P82,_xlpm._searchRange,0)),
"")</f>
        <v/>
      </c>
      <c r="AA82" s="11" t="str" cm="1">
        <f t="array" aca="1" ref="AA82" ca="1">IF($O82,
_xlfn.LET(
_xlpm._isAssumption,$M82,
_xlpm._sheetRow,$Z82,
IF(_xlpm._isAssumption,INDEX(Table24[Sheet Name],_xlpm._sheetRow),INDEX(Table25[Sheet Name],_xlpm._sheetRow))),
"")</f>
        <v/>
      </c>
      <c r="AB82" s="11" t="str" cm="1">
        <f t="array" aca="1" ref="AB82" ca="1">IF($O82,
_xlfn.LET(
_xlpm._elementID,$R82,
_xlpm._isAssumption,$M82,
_xlpm._sheetRow,$Z82,
_xlpm._sheetName,$AA82,
_xlpm._elementIDColumnLetter,IF(_xlpm._isAssumption,INDEX(Table24[Element ID Column],_xlpm._sheetRow),INDEX(Table25[Element ID Column],_xlpm._sheetRow)),
MATCH(_xlpm._elementID,INDIRECT("'"&amp;_xlpm._sheetName&amp;"'!"&amp;_xlpm._elementIDColumnLetter&amp;":"&amp;_xlpm._elementIDColumnLetter),0)),
"")</f>
        <v/>
      </c>
      <c r="AC82" s="11" t="str" cm="1">
        <f t="array" aca="1" ref="AC82" ca="1">IF($A82="","",_xlfn.LET(
_xlpm._isAssumption,$M82,
_xlpm._isAdditionalElement,$O82,
_xlpm._sheetRow,$Z82,
_xlpm._sheetName,$AA82,
_xlpm._columnLetter,INDEX(IF(_xlpm._isAdditionalElement,Table24[Comment Column],Table25[Comment Column]),_xlpm._sheetRow),
_xlpm._sheetReference,IF(_xlpm._isAssumption,IF(_xlpm._isAdditionalElement,
CELL("address",INDEX(INDIRECT("'"&amp;_xlpm._sheetName&amp;"'!"&amp;_xlpm._columnLetter&amp;":"&amp;_xlpm._columnLetter),$AB82)),
CELL("address",INDEX(Assumptions!$A:$A,MATCH($A82,Assumptions!$A:$A,0),1))),
IF(_xlpm._isAdditionalElement,
CELL("address",INDEX(INDIRECT("'"&amp;_xlpm._sheetName&amp;"'!"&amp;_xlpm._columnLetter&amp;":"&amp;_xlpm._columnLetter),$AB82)),
CELL("address",INDEX(Countermeasures!$A:$A,MATCH($A82,Countermeasures!$A:$A,0),1)))),
_xlpm._start,FIND("]",_xlpm._sheetReference),
"'"&amp;SUBSTITUTE(SUBSTITUTE(RIGHT(_xlpm._sheetReference,LEN(_xlpm._sheetReference)-_xlpm._start),"'",""),"!","'!")))</f>
        <v/>
      </c>
      <c r="AD82" s="11" t="str" cm="1">
        <f t="array" aca="1" ref="AD82" ca="1">IF(NOT($O82),
_xlfn.LET(_xlpm._value,IF($A82="","",IF($M82,SimpleLookup($A82,Assumptions!$A:$AG),SimpleLookup($A82,Countermeasures!$A:$AJ))),
IF(_xlpm._value="","",_xlpm._value)),
"")</f>
        <v/>
      </c>
      <c r="AE82" s="11" t="str" cm="1">
        <f t="array" aca="1" ref="AE82" ca="1">LookupNames(InverseLookup($A82,Mitigation!$AD$2,Mitigation!$A$2,1,Helper!$B$5,","),'Attack Steps'!$A:$B)</f>
        <v/>
      </c>
      <c r="AF82" s="11" t="str" cm="1">
        <f t="array" aca="1" ref="AF82" ca="1">IF($O82,
_xlfn.LET(
_xlpm._in,$A82,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82" s="11" t="str" cm="1">
        <f t="array" aca="1" ref="AG82" ca="1">_xlfn.LET(
_xlpm._countermeasures,InverseLookup($A82,Countermeasures!$AC$2,Countermeasures!$A$2,1,Helper!$B$4,","),
LookupNames(_xlpm._countermeasures,Countermeasures!$A:$B))</f>
        <v/>
      </c>
      <c r="AH82" s="11" t="str" cm="1">
        <f t="array" aca="1" ref="AH82" ca="1">IF($E82="","",_xlfn.LET(
_xlpm._id,$E82,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82" s="11" t="str" cm="1">
        <f t="array" aca="1" ref="AI82" ca="1">IF(OR($A82="",$O82),"",_xlfn.LET(
_xlpm._answers,IF($M82,SimpleLookup($A82,Assumptions!$A:$F),SimpleLookup($A82,Countermeasures!$A:$D)),
IF(_xlpm._answers="*",IF($M82,SimpleLookup($A82,Assumptions!$A:$C),SimpleLookup($A82,Countermeasures!$A:$C)),"")))</f>
        <v/>
      </c>
      <c r="AJ82" s="11" t="str" cm="1">
        <f t="array" aca="1" ref="AJ82" ca="1">IF(NOT($O82),"",_xlfn.LET(
_xlpm._mappedInMitigation,IFERROR(VLOOKUP($Y82,'Attack Steps'!$A:$P,COLUMNS('Attack Steps'!$A:$P),FALSE),""),
CreateSearchString(_xlpm._mappedInMitigation)))</f>
        <v/>
      </c>
      <c r="AK82" s="11" t="b">
        <f ca="1">ROW()-ROW($AK$17)=Helper!$B$15</f>
        <v>0</v>
      </c>
      <c r="AL82" s="11" t="str">
        <f t="shared" ref="AL82:AL83" ca="1" si="22">IF(IFERROR(MATCH(TRUE,$AK:$AK,0)&gt;0,FALSE),"",IF(OFFSET($AK82,1,0)="","Please enlarge the table!",""))</f>
        <v/>
      </c>
      <c r="AM82" s="11" cm="1">
        <f t="array" aca="1" ref="AM82" ca="1">CreateID($AM$17,$AL82&lt;&gt;"")</f>
        <v>0</v>
      </c>
      <c r="AN82" s="11" t="str" cm="1">
        <f t="array" aca="1" ref="AN82" ca="1">IF($O82,"",
_xlfn.LET(
_xlpm._this,SanitizeInput($A82)&amp;AT82,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82" s="11" t="str" cm="1">
        <f t="array" aca="1" ref="AO82" ca="1">IF($O82,"",_xlfn.LET(
_xlpm._listOfRisksAndLevels,SanitizeInput($AN82),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_xlpm._shortenedList,IF($H82="",_xlpm._risksWithMaxValue,
  IF(LEN(_xlpm._risksWithMaxValue)-LEN(SUBSTITUTE(_xlpm._risksWithMaxValue,",",""))&lt;=$H82,_xlpm._risksWithMaxValue,
    LEFT(_xlpm._risksWithMaxValue,FIND(CHAR(1),SUBSTITUTE(_xlpm._risksWithMaxValue,",",CHAR(1),$H82))))),
IF(_xlpm._maxRiskValue="","",
  _xlpm._lineMainSeparator&amp;
  INDEX(Definitions!$AE:$AE,MATCH(_xlpm._maxRiskValue,Definitions!$AF:$AF,0))&amp;CHAR(10)&amp;
  _xlpm._lineMainSeparator&amp;
  RemoveDelimiter(GetValues(_xlpm._shortenedList,Risks!$A:$B," ",CHAR(10)&amp;_xlpm._lineMainSeparator,TRUE),CHAR(10)&amp;_xlpm._lineMainSeparator))))</f>
        <v/>
      </c>
      <c r="AP82" s="11" t="str" cm="1">
        <f t="array" aca="1" ref="AP82" ca="1">IF($O82,"",_xlfn.LET(
_xlpm._lineMainSeparator,REPT(_xlfn.UNICHAR(9552),63)&amp;CHAR(10),
_xlpm._affectedRisks,InverseLookupList(SanitizeInput($A82)&amp;$AT82,Risks!$AX$2,Risks!$A$2,Helper!$B$1,","),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_xlpm._shortenedList,IF($H82="",_xlpm._risksWithMaxValue,
  IF(LEN(_xlpm._risksWithMaxValue)-LEN(SUBSTITUTE(_xlpm._risksWithMaxValue,",",""))&lt;=$H82,_xlpm._risksWithMaxValue,
    LEFT(_xlpm._risksWithMaxValue,FIND(CHAR(1),SUBSTITUTE(_xlpm._risksWithMaxValue,",",CHAR(1),$H82))))),
IF(_xlpm._maxRiskValue="","",
  _xlpm._lineMainSeparator&amp;
  INDEX(Definitions!$AE:$AE,MATCH(_xlpm._maxRiskValue,Definitions!$AF:$AF,0))&amp;CHAR(10)&amp;
  _xlpm._lineMainSeparator&amp;
  RemoveDelimiter(GetValues(_xlpm._shortenedList,Risks!$A:$B," ",CHAR(10)&amp;_xlpm._lineMainSeparator,TRUE),CHAR(10)&amp;_xlpm._lineMainSeparator))))</f>
        <v/>
      </c>
      <c r="AQ82" s="11" t="str" cm="1">
        <f t="array" aca="1" ref="AQ82" ca="1">IF(NOT($O82),"",
_xlfn.LET(
_xlpm._potentialASID,$Y82,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_xlpm._commentsFiltered,SUBSTITUTE(GetValues(_xlpm._attackSteps,Mitigation!$A:$O,"","",FALSE),$X82,""),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82" s="11" t="str" cm="1">
        <f t="array" aca="1" ref="AR82" ca="1">IF(NOT($O82),"",_xlfn.LET(
_xlpm._listOfRisksAndLevels,SanitizeInput($AQ82),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_xlpm._shortenedList,IF($H82="",_xlpm._risksWithMaxValue,
  IF(LEN(_xlpm._risksWithMaxValue)-LEN(SUBSTITUTE(_xlpm._risksWithMaxValue,",",""))&lt;=$H82,_xlpm._risksWithMaxValue,
    LEFT(_xlpm._risksWithMaxValue,FIND(CHAR(1),SUBSTITUTE(_xlpm._risksWithMaxValue,",",CHAR(1),$H82))))),
IF(_xlpm._maxRiskValue="","",
  _xlpm._lineMainSeparator&amp;
  INDEX(Definitions!$AE:$AE,MATCH(_xlpm._maxRiskValue,Definitions!$AF:$AF,0))&amp;CHAR(10)&amp;
  _xlpm._lineMainSeparator&amp;
  RemoveDelimiter(GetValues(_xlpm._shortenedList,Risks!$A:$B," ",CHAR(10)&amp;_xlpm._lineMainSeparator,TRUE),CHAR(10)&amp;_xlpm._lineMainSeparator))))</f>
        <v/>
      </c>
      <c r="AS82" s="11" t="str" cm="1">
        <f t="array" aca="1" ref="AS82" ca="1">IF(NOT($O82),"",
_xlfn.LET(
_xlpm._lineMainSeparator,REPT(_xlfn.UNICHAR(9552),63)&amp;CHAR(10),
_xlpm._potentialASID,$Y82,
_xlpm._risk,IFERROR(SimpleLookup(_xlpm._potentialASID,Mitigation!$A:$N),""),
_xlpm._attackPaths,IFERROR(SimpleLookup(_xlpm._potentialASID,Mitigation!$A:$M),""),
IF(_xlpm._risk="","",
_xlpm._lineMainSeparator&amp;
_xlpm._risk&amp;CHAR(10)&amp;
_xlpm._lineMainSeparator&amp;
_xlpm._attackPaths)))</f>
        <v/>
      </c>
      <c r="AT82" s="11" t="str" cm="1">
        <f t="array" aca="1" ref="AT82" ca="1">InverseLookup($A82,Countermeasures!$AA$2,Countermeasures!$A$2,1,Helper!$B$4,",")</f>
        <v/>
      </c>
    </row>
    <row r="83" spans="1:47" x14ac:dyDescent="0.25">
      <c r="A83" s="106" t="str">
        <f ca="1">_xlfn.LET(
_xlpm._isAssumption,$M83,
_xlpm._row,$N83,
_xlpm._numActiveAssumptions,Helper!$B$8,
_xlpm._numActiveCountermeasures,Helper!$B$9,
_xlpm._numAdditionalAssumptions,Helper!$B$10,
_xlpm._numAdditionalCountermeasures,Helper!$B$11,
IF(_xlpm._isAssumption,
IF(_xlpm._row&gt;_xlpm._numActiveAssumptions,
$Y83&amp;"-A"&amp;$T83,
INDEX(Assumptions!A:A,MATCH(_xlpm._row,Assumptions!$AC:$AC,0))),
IF(_xlpm._row&gt;_xlpm._numActiveCountermeasures+_xlpm._numAdditionalCountermeasures,"",
IF(_xlpm._row&gt;_xlpm._numActiveCountermeasures,
$Y83&amp;"-C"&amp;$T83,
INDEX(Countermeasures!$A:$A,MATCH(_xlpm._row,Countermeasures!$AE:$AE,0))))))</f>
        <v/>
      </c>
      <c r="B83" s="106" t="str" cm="1">
        <f t="array" aca="1" ref="B83" ca="1">IF($A83="","",
_xlfn.LET(
_xlpm._isAssumption,$M83,
_xlpm._isAdditionalElement,$O83,
IF(_xlpm._isAdditionalElement,
IF(_xlpm._isAssumption,
ParseElementsFromComment($X83,Definitions!$AR$4,Definitions!$AS$4,Definitions!$AR$6,$T83),
ParseElementsFromComment($X83,Definitions!$AR$5,Definitions!$AS$5,Definitions!$AR$6,$T83)),
_xlfn.LET(_xlpm._value,IF($A83="","",IF($M83,SimpleLookup($A83,Assumptions!$A:$B),SimpleLookup($A83,Countermeasures!$A:$B))),IF(_xlpm._value="","",_xlpm._value)))))</f>
        <v/>
      </c>
      <c r="C83" s="106" t="str" cm="1">
        <f t="array" aca="1" ref="C83" ca="1">IF($A83="","",IF($M83,IFERROR(SimpleLookup($A83,Assumptions!$A:$E),""),Definitions!$AO$4))</f>
        <v/>
      </c>
      <c r="D83" s="103" t="str">
        <f t="shared" ca="1" si="16"/>
        <v/>
      </c>
      <c r="E83" s="107"/>
      <c r="F83" s="108" t="str">
        <f t="shared" ca="1" si="17"/>
        <v/>
      </c>
      <c r="G83" s="102" t="str" cm="1">
        <f t="array" aca="1" ref="G83" ca="1">_xlfn.LET(_xlpm._val,IFERROR(SimpleLookup($A83,Countermeasures!$A:$S),IFERROR(SimpleLookup($A83,Assumptions!$A:$S),"")),IF(_xlpm._val="","",_xlpm._val))</f>
        <v/>
      </c>
      <c r="H83" s="109" t="str">
        <f>""</f>
        <v/>
      </c>
      <c r="I83" s="102" t="str">
        <f t="shared" ca="1" si="18"/>
        <v/>
      </c>
      <c r="J83" s="102" t="str">
        <f t="shared" ca="1" si="19"/>
        <v/>
      </c>
      <c r="K83" s="106" t="str" cm="1">
        <f t="array" aca="1" ref="K83" ca="1">_xlfn.LET(_xlpm._value,IF($A83="","",IFERROR(IF($M83,SimpleLookup($A83,Assumptions!$A:$T),SimpleLookup($A83,Countermeasures!$A:$T)),"")),
IF(_xlpm._value="","",_xlpm._value))</f>
        <v/>
      </c>
      <c r="L83" s="9" cm="1">
        <f t="array" aca="1" ref="L83" ca="1">CreateID($L$17,$A83&lt;&gt;"")</f>
        <v>11</v>
      </c>
      <c r="M83" s="9" t="b">
        <f ca="1">_xlfn.LET(_xlpm._row,ROW()-ROW($N$17),
_xlpm._numActiveAssumptions,Helper!$B$8,
_xlpm._numAdditionalAssumptions,SUM(Table24['# Elements]),
_xlpm._row&lt;=_xlpm._numActiveAssumptions+_xlpm._numAdditionalAssumptions)</f>
        <v>0</v>
      </c>
      <c r="N83" s="9">
        <f ca="1">_xlfn.LET(_xlpm._row,ROW()-ROW($N$17),
_xlpm._numActiveAssumptions,Helper!$B$8,
_xlpm._numAdditionalAssumptions,Helper!$B$10,
_xlpm._isAssumption,$M83,
_xlpm._elementID,IF(_xlpm._isAssumption,_xlpm._row,_xlpm._row-_xlpm._numActiveAssumptions-_xlpm._numAdditionalAssumptions),
_xlpm._elementID)</f>
        <v>62</v>
      </c>
      <c r="O83"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83" s="11" cm="1">
        <f t="array" aca="1" ref="P83" ca="1">IF($O83,
IF(ROW()=ROW($P$17)+1,1,INDEX($P:$P,ROW()-1)+IF(INDEX($W:$W,ROW()-1),1,0)),
1)</f>
        <v>1</v>
      </c>
      <c r="Q83" s="11" t="str" cm="1">
        <f t="array" aca="1" ref="Q83" ca="1">IF($O83=TRUE,
_xlfn.LET(
_xlpm._isAssumption,$M83,
_xlpm._indexRange,IF(_xlpm._isAssumption,Table24['# Elements],Table25['# Elements]),
_xlpm._lookupRow,$Z83,
INDEX(_xlpm._indexRange,_xlpm._lookupRow)),
"")</f>
        <v/>
      </c>
      <c r="R83" s="11" t="str" cm="1">
        <f t="array" aca="1" ref="R83" ca="1">IF($Q83="","",_xlfn.LET(
_xlpm._prevRow,ROW()-1,
IF(OR(INDEX($Q:$Q,_xlpm._prevRow)&lt;&gt;$Q83,INDEX($P:$P,_xlpm._prevRow)&lt;&gt;$P83),
1,
INDEX($R:$R,_xlpm._prevRow)+IF(INDEX($V:$V,_xlpm._prevRow),1,0))))</f>
        <v/>
      </c>
      <c r="S83" s="11" t="str" cm="1">
        <f t="array" aca="1" ref="S83" ca="1">IF($R83="","",_xlfn.LET(
_xlpm._isAssumption,$M83,
_xlpm._sheetRow,$Z83,
_xlpm._sheetName,$AA83,
_xlpm._elementIDRange,IF(_xlpm._isAssumption,Table24[Element ID Column],Table25[Element ID Column]),
_xlpm._numberOfElementsRange,IF(_xlpm._isAssumption,Table24[Number of Elements Column],Table25[Number of Elements Column]),
SimpleLookup($R83,INDIRECT("'"&amp;_xlpm._sheetName&amp;"'!"&amp;INDEX(_xlpm._elementIDRange,_xlpm._sheetRow)&amp;":"&amp;INDEX(_xlpm._numberOfElementsRange,_xlpm._sheetRow)))))</f>
        <v/>
      </c>
      <c r="T83" s="11" t="str" cm="1">
        <f t="array" aca="1" ref="T83" ca="1">IF($R83="","",IF(OR(INDEX($R:$R,ROW()-1)&lt;&gt;$R83,INDEX($P:$P,ROW()-1)&lt;&gt;$P83),1,INDEX($T:$T,ROW()-1)+1))</f>
        <v/>
      </c>
      <c r="U83" s="11">
        <f t="shared" ca="1" si="20"/>
        <v>0</v>
      </c>
      <c r="V83" s="11" t="str">
        <f t="shared" ca="1" si="21"/>
        <v/>
      </c>
      <c r="W83" s="11" t="b">
        <f ca="1">_xlfn.LET(
_xlpm._isAssumption,$M83,
_xlpm._numberOfElementsRange,IF(_xlpm._isAssumption,Table24['# Elements],Table25['# Elements]),
_xlpm._sheetRow,$Z83,
IF($O83,AND($V83,$U83=$Q83),FALSE))</f>
        <v>0</v>
      </c>
      <c r="X83" s="11" t="str" cm="1">
        <f t="array" aca="1" ref="X83" ca="1">IF($O83,
_xlfn.LET(
_xlpm._elementID,$R83,
_xlpm._isAssumption,$M83,
_xlpm._sheetRow,$Z83,
_xlpm._sheetName,$AA83,
_xlpm._elementRow,$AB83,
_xlpm._resultColumnLetter,IF(_xlpm._isAssumption,INDEX(Table24[Comment Column],_xlpm._sheetRow),INDEX(Table25[Comment Column],_xlpm._sheetRow)),
INDEX(INDIRECT("'"&amp;_xlpm._sheetName&amp;"'!"&amp;_xlpm._resultColumnLetter&amp;":"&amp;_xlpm._resultColumnLetter),_xlpm._elementRow)),
"")</f>
        <v/>
      </c>
      <c r="Y83" s="11" t="str" cm="1">
        <f t="array" aca="1" ref="Y83" ca="1">IF($O83,
_xlfn.LET(
_xlpm._elementID,$R83,
_xlpm._isAssumption,$M83,
_xlpm._sheetRow,$Z83,
_xlpm._sheetName,$AA83,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83" s="11" t="str">
        <f ca="1">IF($O83=TRUE,
_xlfn.LET(
_xlpm._isAssumption,$M83,
_xlpm._searchRange,IF(_xlpm._isAssumption,Table24[Task Sheet Shadow ID],Table25[Task Sheet Shadow ID]),
MATCH($P83,_xlpm._searchRange,0)),
"")</f>
        <v/>
      </c>
      <c r="AA83" s="11" t="str" cm="1">
        <f t="array" aca="1" ref="AA83" ca="1">IF($O83,
_xlfn.LET(
_xlpm._isAssumption,$M83,
_xlpm._sheetRow,$Z83,
IF(_xlpm._isAssumption,INDEX(Table24[Sheet Name],_xlpm._sheetRow),INDEX(Table25[Sheet Name],_xlpm._sheetRow))),
"")</f>
        <v/>
      </c>
      <c r="AB83" s="11" t="str" cm="1">
        <f t="array" aca="1" ref="AB83" ca="1">IF($O83,
_xlfn.LET(
_xlpm._elementID,$R83,
_xlpm._isAssumption,$M83,
_xlpm._sheetRow,$Z83,
_xlpm._sheetName,$AA83,
_xlpm._elementIDColumnLetter,IF(_xlpm._isAssumption,INDEX(Table24[Element ID Column],_xlpm._sheetRow),INDEX(Table25[Element ID Column],_xlpm._sheetRow)),
MATCH(_xlpm._elementID,INDIRECT("'"&amp;_xlpm._sheetName&amp;"'!"&amp;_xlpm._elementIDColumnLetter&amp;":"&amp;_xlpm._elementIDColumnLetter),0)),
"")</f>
        <v/>
      </c>
      <c r="AC83" s="11" t="str" cm="1">
        <f t="array" aca="1" ref="AC83" ca="1">IF($A83="","",_xlfn.LET(
_xlpm._isAssumption,$M83,
_xlpm._isAdditionalElement,$O83,
_xlpm._sheetRow,$Z83,
_xlpm._sheetName,$AA83,
_xlpm._columnLetter,INDEX(IF(_xlpm._isAdditionalElement,Table24[Comment Column],Table25[Comment Column]),_xlpm._sheetRow),
_xlpm._sheetReference,IF(_xlpm._isAssumption,IF(_xlpm._isAdditionalElement,
CELL("address",INDEX(INDIRECT("'"&amp;_xlpm._sheetName&amp;"'!"&amp;_xlpm._columnLetter&amp;":"&amp;_xlpm._columnLetter),$AB83)),
CELL("address",INDEX(Assumptions!$A:$A,MATCH($A83,Assumptions!$A:$A,0),1))),
IF(_xlpm._isAdditionalElement,
CELL("address",INDEX(INDIRECT("'"&amp;_xlpm._sheetName&amp;"'!"&amp;_xlpm._columnLetter&amp;":"&amp;_xlpm._columnLetter),$AB83)),
CELL("address",INDEX(Countermeasures!$A:$A,MATCH($A83,Countermeasures!$A:$A,0),1)))),
_xlpm._start,FIND("]",_xlpm._sheetReference),
"'"&amp;SUBSTITUTE(SUBSTITUTE(RIGHT(_xlpm._sheetReference,LEN(_xlpm._sheetReference)-_xlpm._start),"'",""),"!","'!")))</f>
        <v/>
      </c>
      <c r="AD83" s="11" t="str" cm="1">
        <f t="array" aca="1" ref="AD83" ca="1">IF(NOT($O83),
_xlfn.LET(_xlpm._value,IF($A83="","",IF($M83,SimpleLookup($A83,Assumptions!$A:$AG),SimpleLookup($A83,Countermeasures!$A:$AJ))),
IF(_xlpm._value="","",_xlpm._value)),
"")</f>
        <v/>
      </c>
      <c r="AE83" s="11" t="str" cm="1">
        <f t="array" aca="1" ref="AE83" ca="1">LookupNames(InverseLookup($A83,Mitigation!$AD$2,Mitigation!$A$2,1,Helper!$B$5,","),'Attack Steps'!$A:$B)</f>
        <v/>
      </c>
      <c r="AF83" s="11" t="str" cm="1">
        <f t="array" aca="1" ref="AF83" ca="1">IF($O83,
_xlfn.LET(
_xlpm._in,$A83,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83" s="11" t="str" cm="1">
        <f t="array" aca="1" ref="AG83" ca="1">_xlfn.LET(
_xlpm._countermeasures,InverseLookup($A83,Countermeasures!$AC$2,Countermeasures!$A$2,1,Helper!$B$4,","),
LookupNames(_xlpm._countermeasures,Countermeasures!$A:$B))</f>
        <v/>
      </c>
      <c r="AH83" s="11" t="str" cm="1">
        <f t="array" aca="1" ref="AH83" ca="1">IF($E83="","",_xlfn.LET(
_xlpm._id,$E83,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83" s="11" t="str" cm="1">
        <f t="array" aca="1" ref="AI83" ca="1">IF(OR($A83="",$O83),"",_xlfn.LET(
_xlpm._answers,IF($M83,SimpleLookup($A83,Assumptions!$A:$F),SimpleLookup($A83,Countermeasures!$A:$D)),
IF(_xlpm._answers="*",IF($M83,SimpleLookup($A83,Assumptions!$A:$C),SimpleLookup($A83,Countermeasures!$A:$C)),"")))</f>
        <v/>
      </c>
      <c r="AJ83" s="11" t="str" cm="1">
        <f t="array" aca="1" ref="AJ83" ca="1">IF(NOT($O83),"",_xlfn.LET(
_xlpm._mappedInMitigation,IFERROR(VLOOKUP($Y83,'Attack Steps'!$A:$P,COLUMNS('Attack Steps'!$A:$P),FALSE),""),
CreateSearchString(_xlpm._mappedInMitigation)))</f>
        <v/>
      </c>
      <c r="AK83" s="11" t="b">
        <f ca="1">ROW()-ROW($AK$17)=Helper!$B$15</f>
        <v>0</v>
      </c>
      <c r="AL83" s="11" t="str">
        <f t="shared" ca="1" si="22"/>
        <v/>
      </c>
      <c r="AM83" s="11" cm="1">
        <f t="array" aca="1" ref="AM83" ca="1">CreateID($AM$17,$AL83&lt;&gt;"")</f>
        <v>0</v>
      </c>
      <c r="AN83" s="11" t="str" cm="1">
        <f t="array" aca="1" ref="AN83" ca="1">IF($O83,"",
_xlfn.LET(
_xlpm._this,SanitizeInput($A83)&amp;AT83,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83" s="11" t="str" cm="1">
        <f t="array" aca="1" ref="AO83" ca="1">IF($O83,"",_xlfn.LET(
_xlpm._listOfRisksAndLevels,SanitizeInput($AN83),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_xlpm._shortenedList,IF($H83="",_xlpm._risksWithMaxValue,
  IF(LEN(_xlpm._risksWithMaxValue)-LEN(SUBSTITUTE(_xlpm._risksWithMaxValue,",",""))&lt;=$H83,_xlpm._risksWithMaxValue,
    LEFT(_xlpm._risksWithMaxValue,FIND(CHAR(1),SUBSTITUTE(_xlpm._risksWithMaxValue,",",CHAR(1),$H83))))),
IF(_xlpm._maxRiskValue="","",
  _xlpm._lineMainSeparator&amp;
  INDEX(Definitions!$AE:$AE,MATCH(_xlpm._maxRiskValue,Definitions!$AF:$AF,0))&amp;CHAR(10)&amp;
  _xlpm._lineMainSeparator&amp;
  RemoveDelimiter(GetValues(_xlpm._shortenedList,Risks!$A:$B," ",CHAR(10)&amp;_xlpm._lineMainSeparator,TRUE),CHAR(10)&amp;_xlpm._lineMainSeparator))))</f>
        <v/>
      </c>
      <c r="AP83" s="11" t="str" cm="1">
        <f t="array" aca="1" ref="AP83" ca="1">IF($O83,"",_xlfn.LET(
_xlpm._lineMainSeparator,REPT(_xlfn.UNICHAR(9552),63)&amp;CHAR(10),
_xlpm._affectedRisks,InverseLookupList(SanitizeInput($A83)&amp;$AT83,Risks!$AX$2,Risks!$A$2,Helper!$B$1,","),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_xlpm._shortenedList,IF($H83="",_xlpm._risksWithMaxValue,
  IF(LEN(_xlpm._risksWithMaxValue)-LEN(SUBSTITUTE(_xlpm._risksWithMaxValue,",",""))&lt;=$H83,_xlpm._risksWithMaxValue,
    LEFT(_xlpm._risksWithMaxValue,FIND(CHAR(1),SUBSTITUTE(_xlpm._risksWithMaxValue,",",CHAR(1),$H83))))),
IF(_xlpm._maxRiskValue="","",
  _xlpm._lineMainSeparator&amp;
  INDEX(Definitions!$AE:$AE,MATCH(_xlpm._maxRiskValue,Definitions!$AF:$AF,0))&amp;CHAR(10)&amp;
  _xlpm._lineMainSeparator&amp;
  RemoveDelimiter(GetValues(_xlpm._shortenedList,Risks!$A:$B," ",CHAR(10)&amp;_xlpm._lineMainSeparator,TRUE),CHAR(10)&amp;_xlpm._lineMainSeparator))))</f>
        <v/>
      </c>
      <c r="AQ83" s="11" t="str" cm="1">
        <f t="array" aca="1" ref="AQ83" ca="1">IF(NOT($O83),"",
_xlfn.LET(
_xlpm._potentialASID,$Y83,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_xlpm._commentsFiltered,SUBSTITUTE(GetValues(_xlpm._attackSteps,Mitigation!$A:$O,"","",FALSE),$X83,""),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83" s="11" t="str" cm="1">
        <f t="array" aca="1" ref="AR83" ca="1">IF(NOT($O83),"",_xlfn.LET(
_xlpm._listOfRisksAndLevels,SanitizeInput($AQ83),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_xlpm._shortenedList,IF($H83="",_xlpm._risksWithMaxValue,
  IF(LEN(_xlpm._risksWithMaxValue)-LEN(SUBSTITUTE(_xlpm._risksWithMaxValue,",",""))&lt;=$H83,_xlpm._risksWithMaxValue,
    LEFT(_xlpm._risksWithMaxValue,FIND(CHAR(1),SUBSTITUTE(_xlpm._risksWithMaxValue,",",CHAR(1),$H83))))),
IF(_xlpm._maxRiskValue="","",
  _xlpm._lineMainSeparator&amp;
  INDEX(Definitions!$AE:$AE,MATCH(_xlpm._maxRiskValue,Definitions!$AF:$AF,0))&amp;CHAR(10)&amp;
  _xlpm._lineMainSeparator&amp;
  RemoveDelimiter(GetValues(_xlpm._shortenedList,Risks!$A:$B," ",CHAR(10)&amp;_xlpm._lineMainSeparator,TRUE),CHAR(10)&amp;_xlpm._lineMainSeparator))))</f>
        <v/>
      </c>
      <c r="AS83" s="11" t="str" cm="1">
        <f t="array" aca="1" ref="AS83" ca="1">IF(NOT($O83),"",
_xlfn.LET(
_xlpm._lineMainSeparator,REPT(_xlfn.UNICHAR(9552),63)&amp;CHAR(10),
_xlpm._potentialASID,$Y83,
_xlpm._risk,IFERROR(SimpleLookup(_xlpm._potentialASID,Mitigation!$A:$N),""),
_xlpm._attackPaths,IFERROR(SimpleLookup(_xlpm._potentialASID,Mitigation!$A:$M),""),
IF(_xlpm._risk="","",
_xlpm._lineMainSeparator&amp;
_xlpm._risk&amp;CHAR(10)&amp;
_xlpm._lineMainSeparator&amp;
_xlpm._attackPaths)))</f>
        <v/>
      </c>
      <c r="AT83" s="11" t="str" cm="1">
        <f t="array" aca="1" ref="AT83" ca="1">InverseLookup($A83,Countermeasures!$AA$2,Countermeasures!$A$2,1,Helper!$B$4,",")</f>
        <v/>
      </c>
    </row>
    <row r="84" spans="1:47" x14ac:dyDescent="0.25">
      <c r="A84" s="106" t="str">
        <f ca="1">_xlfn.LET(
_xlpm._isAssumption,$M84,
_xlpm._row,$N84,
_xlpm._numActiveAssumptions,Helper!$B$8,
_xlpm._numActiveCountermeasures,Helper!$B$9,
_xlpm._numAdditionalAssumptions,Helper!$B$10,
_xlpm._numAdditionalCountermeasures,Helper!$B$11,
IF(_xlpm._isAssumption,
IF(_xlpm._row&gt;_xlpm._numActiveAssumptions,
$Y84&amp;"-A"&amp;$T84,
INDEX(Assumptions!A:A,MATCH(_xlpm._row,Assumptions!$AC:$AC,0))),
IF(_xlpm._row&gt;_xlpm._numActiveCountermeasures+_xlpm._numAdditionalCountermeasures,"",
IF(_xlpm._row&gt;_xlpm._numActiveCountermeasures,
$Y84&amp;"-C"&amp;$T84,
INDEX(Countermeasures!$A:$A,MATCH(_xlpm._row,Countermeasures!$AE:$AE,0))))))</f>
        <v/>
      </c>
      <c r="B84" s="106" t="str" cm="1">
        <f t="array" aca="1" ref="B84" ca="1">IF($A84="","",
_xlfn.LET(
_xlpm._isAssumption,$M84,
_xlpm._isAdditionalElement,$O84,
IF(_xlpm._isAdditionalElement,
IF(_xlpm._isAssumption,
ParseElementsFromComment($X84,Definitions!$AR$4,Definitions!$AS$4,Definitions!$AR$6,$T84),
ParseElementsFromComment($X84,Definitions!$AR$5,Definitions!$AS$5,Definitions!$AR$6,$T84)),
_xlfn.LET(_xlpm._value,IF($A84="","",IF($M84,SimpleLookup($A84,Assumptions!$A:$B),SimpleLookup($A84,Countermeasures!$A:$B))),IF(_xlpm._value="","",_xlpm._value)))))</f>
        <v/>
      </c>
      <c r="C84" s="106" t="str" cm="1">
        <f t="array" aca="1" ref="C84" ca="1">IF($A84="","",IF($M84,IFERROR(SimpleLookup($A84,Assumptions!$A:$E),""),Definitions!$AO$4))</f>
        <v/>
      </c>
      <c r="D84" s="103" t="str">
        <f t="shared" ca="1" si="16"/>
        <v/>
      </c>
      <c r="E84" s="107"/>
      <c r="F84" s="108" t="str">
        <f t="shared" ca="1" si="17"/>
        <v/>
      </c>
      <c r="G84" s="102" t="str" cm="1">
        <f t="array" aca="1" ref="G84" ca="1">_xlfn.LET(_xlpm._val,IFERROR(SimpleLookup($A84,Countermeasures!$A:$S),IFERROR(SimpleLookup($A84,Assumptions!$A:$S),"")),IF(_xlpm._val="","",_xlpm._val))</f>
        <v/>
      </c>
      <c r="H84" s="109" t="str">
        <f>""</f>
        <v/>
      </c>
      <c r="I84" s="102" t="str">
        <f t="shared" ca="1" si="18"/>
        <v/>
      </c>
      <c r="J84" s="102" t="str">
        <f t="shared" ca="1" si="19"/>
        <v/>
      </c>
      <c r="K84" s="106" t="str" cm="1">
        <f t="array" aca="1" ref="K84" ca="1">_xlfn.LET(_xlpm._value,IF($A84="","",IFERROR(IF($M84,SimpleLookup($A84,Assumptions!$A:$T),SimpleLookup($A84,Countermeasures!$A:$T)),"")),
IF(_xlpm._value="","",_xlpm._value))</f>
        <v/>
      </c>
      <c r="L84" s="9" cm="1">
        <f t="array" aca="1" ref="L84" ca="1">CreateID($L$17,$A84&lt;&gt;"")</f>
        <v>11</v>
      </c>
      <c r="M84" s="9" t="b">
        <f ca="1">_xlfn.LET(_xlpm._row,ROW()-ROW($N$17),
_xlpm._numActiveAssumptions,Helper!$B$8,
_xlpm._numAdditionalAssumptions,SUM(Table24['# Elements]),
_xlpm._row&lt;=_xlpm._numActiveAssumptions+_xlpm._numAdditionalAssumptions)</f>
        <v>0</v>
      </c>
      <c r="N84" s="9">
        <f ca="1">_xlfn.LET(_xlpm._row,ROW()-ROW($N$17),
_xlpm._numActiveAssumptions,Helper!$B$8,
_xlpm._numAdditionalAssumptions,Helper!$B$10,
_xlpm._isAssumption,$M84,
_xlpm._elementID,IF(_xlpm._isAssumption,_xlpm._row,_xlpm._row-_xlpm._numActiveAssumptions-_xlpm._numAdditionalAssumptions),
_xlpm._elementID)</f>
        <v>63</v>
      </c>
      <c r="O84"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84" s="11" cm="1">
        <f t="array" aca="1" ref="P84" ca="1">IF($O84,
IF(ROW()=ROW($P$17)+1,1,INDEX($P:$P,ROW()-1)+IF(INDEX($W:$W,ROW()-1),1,0)),
1)</f>
        <v>1</v>
      </c>
      <c r="Q84" s="11" t="str" cm="1">
        <f t="array" aca="1" ref="Q84" ca="1">IF($O84=TRUE,
_xlfn.LET(
_xlpm._isAssumption,$M84,
_xlpm._indexRange,IF(_xlpm._isAssumption,Table24['# Elements],Table25['# Elements]),
_xlpm._lookupRow,$Z84,
INDEX(_xlpm._indexRange,_xlpm._lookupRow)),
"")</f>
        <v/>
      </c>
      <c r="R84" s="11" t="str" cm="1">
        <f t="array" aca="1" ref="R84" ca="1">IF($Q84="","",_xlfn.LET(
_xlpm._prevRow,ROW()-1,
IF(OR(INDEX($Q:$Q,_xlpm._prevRow)&lt;&gt;$Q84,INDEX($P:$P,_xlpm._prevRow)&lt;&gt;$P84),
1,
INDEX($R:$R,_xlpm._prevRow)+IF(INDEX($V:$V,_xlpm._prevRow),1,0))))</f>
        <v/>
      </c>
      <c r="S84" s="11" t="str" cm="1">
        <f t="array" aca="1" ref="S84" ca="1">IF($R84="","",_xlfn.LET(
_xlpm._isAssumption,$M84,
_xlpm._sheetRow,$Z84,
_xlpm._sheetName,$AA84,
_xlpm._elementIDRange,IF(_xlpm._isAssumption,Table24[Element ID Column],Table25[Element ID Column]),
_xlpm._numberOfElementsRange,IF(_xlpm._isAssumption,Table24[Number of Elements Column],Table25[Number of Elements Column]),
SimpleLookup($R84,INDIRECT("'"&amp;_xlpm._sheetName&amp;"'!"&amp;INDEX(_xlpm._elementIDRange,_xlpm._sheetRow)&amp;":"&amp;INDEX(_xlpm._numberOfElementsRange,_xlpm._sheetRow)))))</f>
        <v/>
      </c>
      <c r="T84" s="11" t="str" cm="1">
        <f t="array" aca="1" ref="T84" ca="1">IF($R84="","",IF(OR(INDEX($R:$R,ROW()-1)&lt;&gt;$R84,INDEX($P:$P,ROW()-1)&lt;&gt;$P84),1,INDEX($T:$T,ROW()-1)+1))</f>
        <v/>
      </c>
      <c r="U84" s="11">
        <f t="shared" ref="U84:U86" ca="1" si="23">COUNTIFS(
OFFSET($O$17,1,0,ROW()-ROW($O$17),1),TRUE,
OFFSET($P$17,1,0,ROW()-ROW($P$17),1),$P84,
OFFSET($M$17,1,0,ROW()-ROW($M$17),1),$M84)</f>
        <v>0</v>
      </c>
      <c r="V84" s="11" t="str">
        <f t="shared" ref="V84:V86" ca="1" si="24">IF($O84,$S84=$T84,"")</f>
        <v/>
      </c>
      <c r="W84" s="11" t="b">
        <f ca="1">_xlfn.LET(
_xlpm._isAssumption,$M84,
_xlpm._numberOfElementsRange,IF(_xlpm._isAssumption,Table24['# Elements],Table25['# Elements]),
_xlpm._sheetRow,$Z84,
IF($O84,AND($V84,$U84=$Q84),FALSE))</f>
        <v>0</v>
      </c>
      <c r="X84" s="11" t="str" cm="1">
        <f t="array" aca="1" ref="X84" ca="1">IF($O84,
_xlfn.LET(
_xlpm._elementID,$R84,
_xlpm._isAssumption,$M84,
_xlpm._sheetRow,$Z84,
_xlpm._sheetName,$AA84,
_xlpm._elementRow,$AB84,
_xlpm._resultColumnLetter,IF(_xlpm._isAssumption,INDEX(Table24[Comment Column],_xlpm._sheetRow),INDEX(Table25[Comment Column],_xlpm._sheetRow)),
INDEX(INDIRECT("'"&amp;_xlpm._sheetName&amp;"'!"&amp;_xlpm._resultColumnLetter&amp;":"&amp;_xlpm._resultColumnLetter),_xlpm._elementRow)),
"")</f>
        <v/>
      </c>
      <c r="Y84" s="11" t="str" cm="1">
        <f t="array" aca="1" ref="Y84" ca="1">IF($O84,
_xlfn.LET(
_xlpm._elementID,$R84,
_xlpm._isAssumption,$M84,
_xlpm._sheetRow,$Z84,
_xlpm._sheetName,$AA84,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84" s="11" t="str">
        <f ca="1">IF($O84=TRUE,
_xlfn.LET(
_xlpm._isAssumption,$M84,
_xlpm._searchRange,IF(_xlpm._isAssumption,Table24[Task Sheet Shadow ID],Table25[Task Sheet Shadow ID]),
MATCH($P84,_xlpm._searchRange,0)),
"")</f>
        <v/>
      </c>
      <c r="AA84" s="11" t="str" cm="1">
        <f t="array" aca="1" ref="AA84" ca="1">IF($O84,
_xlfn.LET(
_xlpm._isAssumption,$M84,
_xlpm._sheetRow,$Z84,
IF(_xlpm._isAssumption,INDEX(Table24[Sheet Name],_xlpm._sheetRow),INDEX(Table25[Sheet Name],_xlpm._sheetRow))),
"")</f>
        <v/>
      </c>
      <c r="AB84" s="11" t="str" cm="1">
        <f t="array" aca="1" ref="AB84" ca="1">IF($O84,
_xlfn.LET(
_xlpm._elementID,$R84,
_xlpm._isAssumption,$M84,
_xlpm._sheetRow,$Z84,
_xlpm._sheetName,$AA84,
_xlpm._elementIDColumnLetter,IF(_xlpm._isAssumption,INDEX(Table24[Element ID Column],_xlpm._sheetRow),INDEX(Table25[Element ID Column],_xlpm._sheetRow)),
MATCH(_xlpm._elementID,INDIRECT("'"&amp;_xlpm._sheetName&amp;"'!"&amp;_xlpm._elementIDColumnLetter&amp;":"&amp;_xlpm._elementIDColumnLetter),0)),
"")</f>
        <v/>
      </c>
      <c r="AC84" s="11" t="str" cm="1">
        <f t="array" aca="1" ref="AC84" ca="1">IF($A84="","",_xlfn.LET(
_xlpm._isAssumption,$M84,
_xlpm._isAdditionalElement,$O84,
_xlpm._sheetRow,$Z84,
_xlpm._sheetName,$AA84,
_xlpm._columnLetter,INDEX(IF(_xlpm._isAdditionalElement,Table24[Comment Column],Table25[Comment Column]),_xlpm._sheetRow),
_xlpm._sheetReference,IF(_xlpm._isAssumption,IF(_xlpm._isAdditionalElement,
CELL("address",INDEX(INDIRECT("'"&amp;_xlpm._sheetName&amp;"'!"&amp;_xlpm._columnLetter&amp;":"&amp;_xlpm._columnLetter),$AB84)),
CELL("address",INDEX(Assumptions!$A:$A,MATCH($A84,Assumptions!$A:$A,0),1))),
IF(_xlpm._isAdditionalElement,
CELL("address",INDEX(INDIRECT("'"&amp;_xlpm._sheetName&amp;"'!"&amp;_xlpm._columnLetter&amp;":"&amp;_xlpm._columnLetter),$AB84)),
CELL("address",INDEX(Countermeasures!$A:$A,MATCH($A84,Countermeasures!$A:$A,0),1)))),
_xlpm._start,FIND("]",_xlpm._sheetReference),
"'"&amp;SUBSTITUTE(SUBSTITUTE(RIGHT(_xlpm._sheetReference,LEN(_xlpm._sheetReference)-_xlpm._start),"'",""),"!","'!")))</f>
        <v/>
      </c>
      <c r="AD84" s="11" t="str" cm="1">
        <f t="array" aca="1" ref="AD84" ca="1">IF(NOT($O84),
_xlfn.LET(_xlpm._value,IF($A84="","",IF($M84,SimpleLookup($A84,Assumptions!$A:$AG),SimpleLookup($A84,Countermeasures!$A:$AJ))),
IF(_xlpm._value="","",_xlpm._value)),
"")</f>
        <v/>
      </c>
      <c r="AE84" s="11" t="str" cm="1">
        <f t="array" aca="1" ref="AE84" ca="1">LookupNames(InverseLookup($A84,Mitigation!$AD$2,Mitigation!$A$2,1,Helper!$B$5,","),'Attack Steps'!$A:$B)</f>
        <v/>
      </c>
      <c r="AF84" s="11" t="str" cm="1">
        <f t="array" aca="1" ref="AF84" ca="1">IF($O84,
_xlfn.LET(
_xlpm._in,$A84,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84" s="11" t="str" cm="1">
        <f t="array" aca="1" ref="AG84" ca="1">_xlfn.LET(
_xlpm._countermeasures,InverseLookup($A84,Countermeasures!$AC$2,Countermeasures!$A$2,1,Helper!$B$4,","),
LookupNames(_xlpm._countermeasures,Countermeasures!$A:$B))</f>
        <v/>
      </c>
      <c r="AH84" s="11" t="str" cm="1">
        <f t="array" aca="1" ref="AH84" ca="1">IF($E84="","",_xlfn.LET(
_xlpm._id,$E84,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84" s="11" t="str" cm="1">
        <f t="array" aca="1" ref="AI84" ca="1">IF(OR($A84="",$O84),"",_xlfn.LET(
_xlpm._answers,IF($M84,SimpleLookup($A84,Assumptions!$A:$F),SimpleLookup($A84,Countermeasures!$A:$D)),
IF(_xlpm._answers="*",IF($M84,SimpleLookup($A84,Assumptions!$A:$C),SimpleLookup($A84,Countermeasures!$A:$C)),"")))</f>
        <v/>
      </c>
      <c r="AJ84" s="11" t="str" cm="1">
        <f t="array" aca="1" ref="AJ84" ca="1">IF(NOT($O84),"",_xlfn.LET(
_xlpm._mappedInMitigation,IFERROR(VLOOKUP($Y84,'Attack Steps'!$A:$P,COLUMNS('Attack Steps'!$A:$P),FALSE),""),
CreateSearchString(_xlpm._mappedInMitigation)))</f>
        <v/>
      </c>
      <c r="AK84" s="11" t="b">
        <f ca="1">ROW()-ROW($AK$17)=Helper!$B$15</f>
        <v>0</v>
      </c>
      <c r="AL84" s="11" t="str">
        <f t="shared" ref="AL84:AL86" ca="1" si="25">IF(IFERROR(MATCH(TRUE,$AK:$AK,0)&gt;0,FALSE),"",IF(OFFSET($AK84,1,0)="","Please enlarge the table!",""))</f>
        <v/>
      </c>
      <c r="AM84" s="11" cm="1">
        <f t="array" aca="1" ref="AM84" ca="1">CreateID($AM$17,$AL84&lt;&gt;"")</f>
        <v>0</v>
      </c>
      <c r="AN84" s="11" t="str" cm="1">
        <f t="array" aca="1" ref="AN84" ca="1">IF($O84,"",
_xlfn.LET(
_xlpm._this,SanitizeInput($A84)&amp;AT84,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84" s="11" t="str" cm="1">
        <f t="array" aca="1" ref="AO84" ca="1">IF($O84,"",_xlfn.LET(
_xlpm._listOfRisksAndLevels,SanitizeInput($AN84),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_xlpm._shortenedList,IF($H84="",_xlpm._risksWithMaxValue,
  IF(LEN(_xlpm._risksWithMaxValue)-LEN(SUBSTITUTE(_xlpm._risksWithMaxValue,",",""))&lt;=$H84,_xlpm._risksWithMaxValue,
    LEFT(_xlpm._risksWithMaxValue,FIND(CHAR(1),SUBSTITUTE(_xlpm._risksWithMaxValue,",",CHAR(1),$H84))))),
IF(_xlpm._maxRiskValue="","",
  _xlpm._lineMainSeparator&amp;
  INDEX(Definitions!$AE:$AE,MATCH(_xlpm._maxRiskValue,Definitions!$AF:$AF,0))&amp;CHAR(10)&amp;
  _xlpm._lineMainSeparator&amp;
  RemoveDelimiter(GetValues(_xlpm._shortenedList,Risks!$A:$B," ",CHAR(10)&amp;_xlpm._lineMainSeparator,TRUE),CHAR(10)&amp;_xlpm._lineMainSeparator))))</f>
        <v/>
      </c>
      <c r="AP84" s="11" t="str" cm="1">
        <f t="array" aca="1" ref="AP84" ca="1">IF($O84,"",_xlfn.LET(
_xlpm._lineMainSeparator,REPT(_xlfn.UNICHAR(9552),63)&amp;CHAR(10),
_xlpm._affectedRisks,InverseLookupList(SanitizeInput($A84)&amp;$AT84,Risks!$AX$2,Risks!$A$2,Helper!$B$1,","),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_xlpm._shortenedList,IF($H84="",_xlpm._risksWithMaxValue,
  IF(LEN(_xlpm._risksWithMaxValue)-LEN(SUBSTITUTE(_xlpm._risksWithMaxValue,",",""))&lt;=$H84,_xlpm._risksWithMaxValue,
    LEFT(_xlpm._risksWithMaxValue,FIND(CHAR(1),SUBSTITUTE(_xlpm._risksWithMaxValue,",",CHAR(1),$H84))))),
IF(_xlpm._maxRiskValue="","",
  _xlpm._lineMainSeparator&amp;
  INDEX(Definitions!$AE:$AE,MATCH(_xlpm._maxRiskValue,Definitions!$AF:$AF,0))&amp;CHAR(10)&amp;
  _xlpm._lineMainSeparator&amp;
  RemoveDelimiter(GetValues(_xlpm._shortenedList,Risks!$A:$B," ",CHAR(10)&amp;_xlpm._lineMainSeparator,TRUE),CHAR(10)&amp;_xlpm._lineMainSeparator))))</f>
        <v/>
      </c>
      <c r="AQ84" s="11" t="str" cm="1">
        <f t="array" aca="1" ref="AQ84" ca="1">IF(NOT($O84),"",
_xlfn.LET(
_xlpm._potentialASID,$Y84,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_xlpm._commentsFiltered,SUBSTITUTE(GetValues(_xlpm._attackSteps,Mitigation!$A:$O,"","",FALSE),$X84,""),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84" s="11" t="str" cm="1">
        <f t="array" aca="1" ref="AR84" ca="1">IF(NOT($O84),"",_xlfn.LET(
_xlpm._listOfRisksAndLevels,SanitizeInput($AQ84),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_xlpm._shortenedList,IF($H84="",_xlpm._risksWithMaxValue,
  IF(LEN(_xlpm._risksWithMaxValue)-LEN(SUBSTITUTE(_xlpm._risksWithMaxValue,",",""))&lt;=$H84,_xlpm._risksWithMaxValue,
    LEFT(_xlpm._risksWithMaxValue,FIND(CHAR(1),SUBSTITUTE(_xlpm._risksWithMaxValue,",",CHAR(1),$H84))))),
IF(_xlpm._maxRiskValue="","",
  _xlpm._lineMainSeparator&amp;
  INDEX(Definitions!$AE:$AE,MATCH(_xlpm._maxRiskValue,Definitions!$AF:$AF,0))&amp;CHAR(10)&amp;
  _xlpm._lineMainSeparator&amp;
  RemoveDelimiter(GetValues(_xlpm._shortenedList,Risks!$A:$B," ",CHAR(10)&amp;_xlpm._lineMainSeparator,TRUE),CHAR(10)&amp;_xlpm._lineMainSeparator))))</f>
        <v/>
      </c>
      <c r="AS84" s="11" t="str" cm="1">
        <f t="array" aca="1" ref="AS84" ca="1">IF(NOT($O84),"",
_xlfn.LET(
_xlpm._lineMainSeparator,REPT(_xlfn.UNICHAR(9552),63)&amp;CHAR(10),
_xlpm._potentialASID,$Y84,
_xlpm._risk,IFERROR(SimpleLookup(_xlpm._potentialASID,Mitigation!$A:$N),""),
_xlpm._attackPaths,IFERROR(SimpleLookup(_xlpm._potentialASID,Mitigation!$A:$M),""),
IF(_xlpm._risk="","",
_xlpm._lineMainSeparator&amp;
_xlpm._risk&amp;CHAR(10)&amp;
_xlpm._lineMainSeparator&amp;
_xlpm._attackPaths)))</f>
        <v/>
      </c>
      <c r="AT84" s="11" t="str" cm="1">
        <f t="array" aca="1" ref="AT84" ca="1">InverseLookup($A84,Countermeasures!$AA$2,Countermeasures!$A$2,1,Helper!$B$4,",")</f>
        <v/>
      </c>
    </row>
    <row r="85" spans="1:47" x14ac:dyDescent="0.25">
      <c r="A85" s="106" t="str">
        <f ca="1">_xlfn.LET(
_xlpm._isAssumption,$M85,
_xlpm._row,$N85,
_xlpm._numActiveAssumptions,Helper!$B$8,
_xlpm._numActiveCountermeasures,Helper!$B$9,
_xlpm._numAdditionalAssumptions,Helper!$B$10,
_xlpm._numAdditionalCountermeasures,Helper!$B$11,
IF(_xlpm._isAssumption,
IF(_xlpm._row&gt;_xlpm._numActiveAssumptions,
$Y85&amp;"-A"&amp;$T85,
INDEX(Assumptions!A:A,MATCH(_xlpm._row,Assumptions!$AC:$AC,0))),
IF(_xlpm._row&gt;_xlpm._numActiveCountermeasures+_xlpm._numAdditionalCountermeasures,"",
IF(_xlpm._row&gt;_xlpm._numActiveCountermeasures,
$Y85&amp;"-C"&amp;$T85,
INDEX(Countermeasures!$A:$A,MATCH(_xlpm._row,Countermeasures!$AE:$AE,0))))))</f>
        <v/>
      </c>
      <c r="B85" s="106" t="str" cm="1">
        <f t="array" aca="1" ref="B85" ca="1">IF($A85="","",
_xlfn.LET(
_xlpm._isAssumption,$M85,
_xlpm._isAdditionalElement,$O85,
IF(_xlpm._isAdditionalElement,
IF(_xlpm._isAssumption,
ParseElementsFromComment($X85,Definitions!$AR$4,Definitions!$AS$4,Definitions!$AR$6,$T85),
ParseElementsFromComment($X85,Definitions!$AR$5,Definitions!$AS$5,Definitions!$AR$6,$T85)),
_xlfn.LET(_xlpm._value,IF($A85="","",IF($M85,SimpleLookup($A85,Assumptions!$A:$B),SimpleLookup($A85,Countermeasures!$A:$B))),IF(_xlpm._value="","",_xlpm._value)))))</f>
        <v/>
      </c>
      <c r="C85" s="106" t="str" cm="1">
        <f t="array" aca="1" ref="C85" ca="1">IF($A85="","",IF($M85,IFERROR(SimpleLookup($A85,Assumptions!$A:$E),""),Definitions!$AO$4))</f>
        <v/>
      </c>
      <c r="D85" s="103" t="str">
        <f t="shared" ca="1" si="16"/>
        <v/>
      </c>
      <c r="E85" s="107"/>
      <c r="F85" s="108" t="str">
        <f t="shared" ca="1" si="17"/>
        <v/>
      </c>
      <c r="G85" s="102" t="str" cm="1">
        <f t="array" aca="1" ref="G85" ca="1">_xlfn.LET(_xlpm._val,IFERROR(SimpleLookup($A85,Countermeasures!$A:$S),IFERROR(SimpleLookup($A85,Assumptions!$A:$S),"")),IF(_xlpm._val="","",_xlpm._val))</f>
        <v/>
      </c>
      <c r="H85" s="109" t="str">
        <f>""</f>
        <v/>
      </c>
      <c r="I85" s="102" t="str">
        <f t="shared" ca="1" si="18"/>
        <v/>
      </c>
      <c r="J85" s="102" t="str">
        <f t="shared" ca="1" si="19"/>
        <v/>
      </c>
      <c r="K85" s="106" t="str" cm="1">
        <f t="array" aca="1" ref="K85" ca="1">_xlfn.LET(_xlpm._value,IF($A85="","",IFERROR(IF($M85,SimpleLookup($A85,Assumptions!$A:$T),SimpleLookup($A85,Countermeasures!$A:$T)),"")),
IF(_xlpm._value="","",_xlpm._value))</f>
        <v/>
      </c>
      <c r="L85" s="9" cm="1">
        <f t="array" aca="1" ref="L85" ca="1">CreateID($L$17,$A85&lt;&gt;"")</f>
        <v>11</v>
      </c>
      <c r="M85" s="9" t="b">
        <f ca="1">_xlfn.LET(_xlpm._row,ROW()-ROW($N$17),
_xlpm._numActiveAssumptions,Helper!$B$8,
_xlpm._numAdditionalAssumptions,SUM(Table24['# Elements]),
_xlpm._row&lt;=_xlpm._numActiveAssumptions+_xlpm._numAdditionalAssumptions)</f>
        <v>0</v>
      </c>
      <c r="N85" s="9">
        <f ca="1">_xlfn.LET(_xlpm._row,ROW()-ROW($N$17),
_xlpm._numActiveAssumptions,Helper!$B$8,
_xlpm._numAdditionalAssumptions,Helper!$B$10,
_xlpm._isAssumption,$M85,
_xlpm._elementID,IF(_xlpm._isAssumption,_xlpm._row,_xlpm._row-_xlpm._numActiveAssumptions-_xlpm._numAdditionalAssumptions),
_xlpm._elementID)</f>
        <v>64</v>
      </c>
      <c r="O85"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85" s="11" cm="1">
        <f t="array" aca="1" ref="P85" ca="1">IF($O85,
IF(ROW()=ROW($P$17)+1,1,INDEX($P:$P,ROW()-1)+IF(INDEX($W:$W,ROW()-1),1,0)),
1)</f>
        <v>1</v>
      </c>
      <c r="Q85" s="11" t="str" cm="1">
        <f t="array" aca="1" ref="Q85" ca="1">IF($O85=TRUE,
_xlfn.LET(
_xlpm._isAssumption,$M85,
_xlpm._indexRange,IF(_xlpm._isAssumption,Table24['# Elements],Table25['# Elements]),
_xlpm._lookupRow,$Z85,
INDEX(_xlpm._indexRange,_xlpm._lookupRow)),
"")</f>
        <v/>
      </c>
      <c r="R85" s="11" t="str" cm="1">
        <f t="array" aca="1" ref="R85" ca="1">IF($Q85="","",_xlfn.LET(
_xlpm._prevRow,ROW()-1,
IF(OR(INDEX($Q:$Q,_xlpm._prevRow)&lt;&gt;$Q85,INDEX($P:$P,_xlpm._prevRow)&lt;&gt;$P85),
1,
INDEX($R:$R,_xlpm._prevRow)+IF(INDEX($V:$V,_xlpm._prevRow),1,0))))</f>
        <v/>
      </c>
      <c r="S85" s="11" t="str" cm="1">
        <f t="array" aca="1" ref="S85" ca="1">IF($R85="","",_xlfn.LET(
_xlpm._isAssumption,$M85,
_xlpm._sheetRow,$Z85,
_xlpm._sheetName,$AA85,
_xlpm._elementIDRange,IF(_xlpm._isAssumption,Table24[Element ID Column],Table25[Element ID Column]),
_xlpm._numberOfElementsRange,IF(_xlpm._isAssumption,Table24[Number of Elements Column],Table25[Number of Elements Column]),
SimpleLookup($R85,INDIRECT("'"&amp;_xlpm._sheetName&amp;"'!"&amp;INDEX(_xlpm._elementIDRange,_xlpm._sheetRow)&amp;":"&amp;INDEX(_xlpm._numberOfElementsRange,_xlpm._sheetRow)))))</f>
        <v/>
      </c>
      <c r="T85" s="11" t="str" cm="1">
        <f t="array" aca="1" ref="T85" ca="1">IF($R85="","",IF(OR(INDEX($R:$R,ROW()-1)&lt;&gt;$R85,INDEX($P:$P,ROW()-1)&lt;&gt;$P85),1,INDEX($T:$T,ROW()-1)+1))</f>
        <v/>
      </c>
      <c r="U85" s="11">
        <f t="shared" ca="1" si="23"/>
        <v>0</v>
      </c>
      <c r="V85" s="11" t="str">
        <f t="shared" ca="1" si="24"/>
        <v/>
      </c>
      <c r="W85" s="11" t="b">
        <f ca="1">_xlfn.LET(
_xlpm._isAssumption,$M85,
_xlpm._numberOfElementsRange,IF(_xlpm._isAssumption,Table24['# Elements],Table25['# Elements]),
_xlpm._sheetRow,$Z85,
IF($O85,AND($V85,$U85=$Q85),FALSE))</f>
        <v>0</v>
      </c>
      <c r="X85" s="11" t="str" cm="1">
        <f t="array" aca="1" ref="X85" ca="1">IF($O85,
_xlfn.LET(
_xlpm._elementID,$R85,
_xlpm._isAssumption,$M85,
_xlpm._sheetRow,$Z85,
_xlpm._sheetName,$AA85,
_xlpm._elementRow,$AB85,
_xlpm._resultColumnLetter,IF(_xlpm._isAssumption,INDEX(Table24[Comment Column],_xlpm._sheetRow),INDEX(Table25[Comment Column],_xlpm._sheetRow)),
INDEX(INDIRECT("'"&amp;_xlpm._sheetName&amp;"'!"&amp;_xlpm._resultColumnLetter&amp;":"&amp;_xlpm._resultColumnLetter),_xlpm._elementRow)),
"")</f>
        <v/>
      </c>
      <c r="Y85" s="11" t="str" cm="1">
        <f t="array" aca="1" ref="Y85" ca="1">IF($O85,
_xlfn.LET(
_xlpm._elementID,$R85,
_xlpm._isAssumption,$M85,
_xlpm._sheetRow,$Z85,
_xlpm._sheetName,$AA85,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85" s="11" t="str">
        <f ca="1">IF($O85=TRUE,
_xlfn.LET(
_xlpm._isAssumption,$M85,
_xlpm._searchRange,IF(_xlpm._isAssumption,Table24[Task Sheet Shadow ID],Table25[Task Sheet Shadow ID]),
MATCH($P85,_xlpm._searchRange,0)),
"")</f>
        <v/>
      </c>
      <c r="AA85" s="11" t="str" cm="1">
        <f t="array" aca="1" ref="AA85" ca="1">IF($O85,
_xlfn.LET(
_xlpm._isAssumption,$M85,
_xlpm._sheetRow,$Z85,
IF(_xlpm._isAssumption,INDEX(Table24[Sheet Name],_xlpm._sheetRow),INDEX(Table25[Sheet Name],_xlpm._sheetRow))),
"")</f>
        <v/>
      </c>
      <c r="AB85" s="11" t="str" cm="1">
        <f t="array" aca="1" ref="AB85" ca="1">IF($O85,
_xlfn.LET(
_xlpm._elementID,$R85,
_xlpm._isAssumption,$M85,
_xlpm._sheetRow,$Z85,
_xlpm._sheetName,$AA85,
_xlpm._elementIDColumnLetter,IF(_xlpm._isAssumption,INDEX(Table24[Element ID Column],_xlpm._sheetRow),INDEX(Table25[Element ID Column],_xlpm._sheetRow)),
MATCH(_xlpm._elementID,INDIRECT("'"&amp;_xlpm._sheetName&amp;"'!"&amp;_xlpm._elementIDColumnLetter&amp;":"&amp;_xlpm._elementIDColumnLetter),0)),
"")</f>
        <v/>
      </c>
      <c r="AC85" s="11" t="str" cm="1">
        <f t="array" aca="1" ref="AC85" ca="1">IF($A85="","",_xlfn.LET(
_xlpm._isAssumption,$M85,
_xlpm._isAdditionalElement,$O85,
_xlpm._sheetRow,$Z85,
_xlpm._sheetName,$AA85,
_xlpm._columnLetter,INDEX(IF(_xlpm._isAdditionalElement,Table24[Comment Column],Table25[Comment Column]),_xlpm._sheetRow),
_xlpm._sheetReference,IF(_xlpm._isAssumption,IF(_xlpm._isAdditionalElement,
CELL("address",INDEX(INDIRECT("'"&amp;_xlpm._sheetName&amp;"'!"&amp;_xlpm._columnLetter&amp;":"&amp;_xlpm._columnLetter),$AB85)),
CELL("address",INDEX(Assumptions!$A:$A,MATCH($A85,Assumptions!$A:$A,0),1))),
IF(_xlpm._isAdditionalElement,
CELL("address",INDEX(INDIRECT("'"&amp;_xlpm._sheetName&amp;"'!"&amp;_xlpm._columnLetter&amp;":"&amp;_xlpm._columnLetter),$AB85)),
CELL("address",INDEX(Countermeasures!$A:$A,MATCH($A85,Countermeasures!$A:$A,0),1)))),
_xlpm._start,FIND("]",_xlpm._sheetReference),
"'"&amp;SUBSTITUTE(SUBSTITUTE(RIGHT(_xlpm._sheetReference,LEN(_xlpm._sheetReference)-_xlpm._start),"'",""),"!","'!")))</f>
        <v/>
      </c>
      <c r="AD85" s="11" t="str" cm="1">
        <f t="array" aca="1" ref="AD85" ca="1">IF(NOT($O85),
_xlfn.LET(_xlpm._value,IF($A85="","",IF($M85,SimpleLookup($A85,Assumptions!$A:$AG),SimpleLookup($A85,Countermeasures!$A:$AJ))),
IF(_xlpm._value="","",_xlpm._value)),
"")</f>
        <v/>
      </c>
      <c r="AE85" s="11" t="str" cm="1">
        <f t="array" aca="1" ref="AE85" ca="1">LookupNames(InverseLookup($A85,Mitigation!$AD$2,Mitigation!$A$2,1,Helper!$B$5,","),'Attack Steps'!$A:$B)</f>
        <v/>
      </c>
      <c r="AF85" s="11" t="str" cm="1">
        <f t="array" aca="1" ref="AF85" ca="1">IF($O85,
_xlfn.LET(
_xlpm._in,$A85,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85" s="11" t="str" cm="1">
        <f t="array" aca="1" ref="AG85" ca="1">_xlfn.LET(
_xlpm._countermeasures,InverseLookup($A85,Countermeasures!$AC$2,Countermeasures!$A$2,1,Helper!$B$4,","),
LookupNames(_xlpm._countermeasures,Countermeasures!$A:$B))</f>
        <v/>
      </c>
      <c r="AH85" s="11" t="str" cm="1">
        <f t="array" aca="1" ref="AH85" ca="1">IF($E85="","",_xlfn.LET(
_xlpm._id,$E85,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85" s="11" t="str" cm="1">
        <f t="array" aca="1" ref="AI85" ca="1">IF(OR($A85="",$O85),"",_xlfn.LET(
_xlpm._answers,IF($M85,SimpleLookup($A85,Assumptions!$A:$F),SimpleLookup($A85,Countermeasures!$A:$D)),
IF(_xlpm._answers="*",IF($M85,SimpleLookup($A85,Assumptions!$A:$C),SimpleLookup($A85,Countermeasures!$A:$C)),"")))</f>
        <v/>
      </c>
      <c r="AJ85" s="11" t="str" cm="1">
        <f t="array" aca="1" ref="AJ85" ca="1">IF(NOT($O85),"",_xlfn.LET(
_xlpm._mappedInMitigation,IFERROR(VLOOKUP($Y85,'Attack Steps'!$A:$P,COLUMNS('Attack Steps'!$A:$P),FALSE),""),
CreateSearchString(_xlpm._mappedInMitigation)))</f>
        <v/>
      </c>
      <c r="AK85" s="11" t="b">
        <f ca="1">ROW()-ROW($AK$17)=Helper!$B$15</f>
        <v>0</v>
      </c>
      <c r="AL85" s="11" t="str">
        <f t="shared" ca="1" si="25"/>
        <v/>
      </c>
      <c r="AM85" s="11" cm="1">
        <f t="array" aca="1" ref="AM85" ca="1">CreateID($AM$17,$AL85&lt;&gt;"")</f>
        <v>0</v>
      </c>
      <c r="AN85" s="11" t="str" cm="1">
        <f t="array" aca="1" ref="AN85" ca="1">IF($O85,"",
_xlfn.LET(
_xlpm._this,SanitizeInput($A85)&amp;AT85,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85" s="11" t="str" cm="1">
        <f t="array" aca="1" ref="AO85" ca="1">IF($O85,"",_xlfn.LET(
_xlpm._listOfRisksAndLevels,SanitizeInput($AN85),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_xlpm._shortenedList,IF($H85="",_xlpm._risksWithMaxValue,
  IF(LEN(_xlpm._risksWithMaxValue)-LEN(SUBSTITUTE(_xlpm._risksWithMaxValue,",",""))&lt;=$H85,_xlpm._risksWithMaxValue,
    LEFT(_xlpm._risksWithMaxValue,FIND(CHAR(1),SUBSTITUTE(_xlpm._risksWithMaxValue,",",CHAR(1),$H85))))),
IF(_xlpm._maxRiskValue="","",
  _xlpm._lineMainSeparator&amp;
  INDEX(Definitions!$AE:$AE,MATCH(_xlpm._maxRiskValue,Definitions!$AF:$AF,0))&amp;CHAR(10)&amp;
  _xlpm._lineMainSeparator&amp;
  RemoveDelimiter(GetValues(_xlpm._shortenedList,Risks!$A:$B," ",CHAR(10)&amp;_xlpm._lineMainSeparator,TRUE),CHAR(10)&amp;_xlpm._lineMainSeparator))))</f>
        <v/>
      </c>
      <c r="AP85" s="11" t="str" cm="1">
        <f t="array" aca="1" ref="AP85" ca="1">IF($O85,"",_xlfn.LET(
_xlpm._lineMainSeparator,REPT(_xlfn.UNICHAR(9552),63)&amp;CHAR(10),
_xlpm._affectedRisks,InverseLookupList(SanitizeInput($A85)&amp;$AT85,Risks!$AX$2,Risks!$A$2,Helper!$B$1,","),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_xlpm._shortenedList,IF($H85="",_xlpm._risksWithMaxValue,
  IF(LEN(_xlpm._risksWithMaxValue)-LEN(SUBSTITUTE(_xlpm._risksWithMaxValue,",",""))&lt;=$H85,_xlpm._risksWithMaxValue,
    LEFT(_xlpm._risksWithMaxValue,FIND(CHAR(1),SUBSTITUTE(_xlpm._risksWithMaxValue,",",CHAR(1),$H85))))),
IF(_xlpm._maxRiskValue="","",
  _xlpm._lineMainSeparator&amp;
  INDEX(Definitions!$AE:$AE,MATCH(_xlpm._maxRiskValue,Definitions!$AF:$AF,0))&amp;CHAR(10)&amp;
  _xlpm._lineMainSeparator&amp;
  RemoveDelimiter(GetValues(_xlpm._shortenedList,Risks!$A:$B," ",CHAR(10)&amp;_xlpm._lineMainSeparator,TRUE),CHAR(10)&amp;_xlpm._lineMainSeparator))))</f>
        <v/>
      </c>
      <c r="AQ85" s="11" t="str" cm="1">
        <f t="array" aca="1" ref="AQ85" ca="1">IF(NOT($O85),"",
_xlfn.LET(
_xlpm._potentialASID,$Y85,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_xlpm._commentsFiltered,SUBSTITUTE(GetValues(_xlpm._attackSteps,Mitigation!$A:$O,"","",FALSE),$X85,""),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85" s="11" t="str" cm="1">
        <f t="array" aca="1" ref="AR85" ca="1">IF(NOT($O85),"",_xlfn.LET(
_xlpm._listOfRisksAndLevels,SanitizeInput($AQ85),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_xlpm._shortenedList,IF($H85="",_xlpm._risksWithMaxValue,
  IF(LEN(_xlpm._risksWithMaxValue)-LEN(SUBSTITUTE(_xlpm._risksWithMaxValue,",",""))&lt;=$H85,_xlpm._risksWithMaxValue,
    LEFT(_xlpm._risksWithMaxValue,FIND(CHAR(1),SUBSTITUTE(_xlpm._risksWithMaxValue,",",CHAR(1),$H85))))),
IF(_xlpm._maxRiskValue="","",
  _xlpm._lineMainSeparator&amp;
  INDEX(Definitions!$AE:$AE,MATCH(_xlpm._maxRiskValue,Definitions!$AF:$AF,0))&amp;CHAR(10)&amp;
  _xlpm._lineMainSeparator&amp;
  RemoveDelimiter(GetValues(_xlpm._shortenedList,Risks!$A:$B," ",CHAR(10)&amp;_xlpm._lineMainSeparator,TRUE),CHAR(10)&amp;_xlpm._lineMainSeparator))))</f>
        <v/>
      </c>
      <c r="AS85" s="11" t="str" cm="1">
        <f t="array" aca="1" ref="AS85" ca="1">IF(NOT($O85),"",
_xlfn.LET(
_xlpm._lineMainSeparator,REPT(_xlfn.UNICHAR(9552),63)&amp;CHAR(10),
_xlpm._potentialASID,$Y85,
_xlpm._risk,IFERROR(SimpleLookup(_xlpm._potentialASID,Mitigation!$A:$N),""),
_xlpm._attackPaths,IFERROR(SimpleLookup(_xlpm._potentialASID,Mitigation!$A:$M),""),
IF(_xlpm._risk="","",
_xlpm._lineMainSeparator&amp;
_xlpm._risk&amp;CHAR(10)&amp;
_xlpm._lineMainSeparator&amp;
_xlpm._attackPaths)))</f>
        <v/>
      </c>
      <c r="AT85" s="11" t="str" cm="1">
        <f t="array" aca="1" ref="AT85" ca="1">InverseLookup($A85,Countermeasures!$AA$2,Countermeasures!$A$2,1,Helper!$B$4,",")</f>
        <v/>
      </c>
    </row>
    <row r="86" spans="1:47" x14ac:dyDescent="0.25">
      <c r="A86" s="106" t="str">
        <f ca="1">_xlfn.LET(
_xlpm._isAssumption,$M86,
_xlpm._row,$N86,
_xlpm._numActiveAssumptions,Helper!$B$8,
_xlpm._numActiveCountermeasures,Helper!$B$9,
_xlpm._numAdditionalAssumptions,Helper!$B$10,
_xlpm._numAdditionalCountermeasures,Helper!$B$11,
IF(_xlpm._isAssumption,
IF(_xlpm._row&gt;_xlpm._numActiveAssumptions,
$Y86&amp;"-A"&amp;$T86,
INDEX(Assumptions!A:A,MATCH(_xlpm._row,Assumptions!$AC:$AC,0))),
IF(_xlpm._row&gt;_xlpm._numActiveCountermeasures+_xlpm._numAdditionalCountermeasures,"",
IF(_xlpm._row&gt;_xlpm._numActiveCountermeasures,
$Y86&amp;"-C"&amp;$T86,
INDEX(Countermeasures!$A:$A,MATCH(_xlpm._row,Countermeasures!$AE:$AE,0))))))</f>
        <v/>
      </c>
      <c r="B86" s="106" t="str" cm="1">
        <f t="array" aca="1" ref="B86" ca="1">IF($A86="","",
_xlfn.LET(
_xlpm._isAssumption,$M86,
_xlpm._isAdditionalElement,$O86,
IF(_xlpm._isAdditionalElement,
IF(_xlpm._isAssumption,
ParseElementsFromComment($X86,Definitions!$AR$4,Definitions!$AS$4,Definitions!$AR$6,$T86),
ParseElementsFromComment($X86,Definitions!$AR$5,Definitions!$AS$5,Definitions!$AR$6,$T86)),
_xlfn.LET(_xlpm._value,IF($A86="","",IF($M86,SimpleLookup($A86,Assumptions!$A:$B),SimpleLookup($A86,Countermeasures!$A:$B))),IF(_xlpm._value="","",_xlpm._value)))))</f>
        <v/>
      </c>
      <c r="C86" s="106" t="str" cm="1">
        <f t="array" aca="1" ref="C86" ca="1">IF($A86="","",IF($M86,IFERROR(SimpleLookup($A86,Assumptions!$A:$E),""),Definitions!$AO$4))</f>
        <v/>
      </c>
      <c r="D86" s="103" t="str">
        <f t="shared" ca="1" si="16"/>
        <v/>
      </c>
      <c r="E86" s="107"/>
      <c r="F86" s="108" t="str">
        <f t="shared" ca="1" si="17"/>
        <v/>
      </c>
      <c r="G86" s="102" t="str" cm="1">
        <f t="array" aca="1" ref="G86" ca="1">_xlfn.LET(_xlpm._val,IFERROR(SimpleLookup($A86,Countermeasures!$A:$S),IFERROR(SimpleLookup($A86,Assumptions!$A:$S),"")),IF(_xlpm._val="","",_xlpm._val))</f>
        <v/>
      </c>
      <c r="H86" s="109" t="str">
        <f>""</f>
        <v/>
      </c>
      <c r="I86" s="102" t="str">
        <f t="shared" ca="1" si="18"/>
        <v/>
      </c>
      <c r="J86" s="102" t="str">
        <f t="shared" ca="1" si="19"/>
        <v/>
      </c>
      <c r="K86" s="106" t="str" cm="1">
        <f t="array" aca="1" ref="K86" ca="1">_xlfn.LET(_xlpm._value,IF($A86="","",IFERROR(IF($M86,SimpleLookup($A86,Assumptions!$A:$T),SimpleLookup($A86,Countermeasures!$A:$T)),"")),
IF(_xlpm._value="","",_xlpm._value))</f>
        <v/>
      </c>
      <c r="L86" s="9" cm="1">
        <f t="array" aca="1" ref="L86" ca="1">CreateID($L$17,$A86&lt;&gt;"")</f>
        <v>11</v>
      </c>
      <c r="M86" s="9" t="b">
        <f ca="1">_xlfn.LET(_xlpm._row,ROW()-ROW($N$17),
_xlpm._numActiveAssumptions,Helper!$B$8,
_xlpm._numAdditionalAssumptions,SUM(Table24['# Elements]),
_xlpm._row&lt;=_xlpm._numActiveAssumptions+_xlpm._numAdditionalAssumptions)</f>
        <v>0</v>
      </c>
      <c r="N86" s="9">
        <f ca="1">_xlfn.LET(_xlpm._row,ROW()-ROW($N$17),
_xlpm._numActiveAssumptions,Helper!$B$8,
_xlpm._numAdditionalAssumptions,Helper!$B$10,
_xlpm._isAssumption,$M86,
_xlpm._elementID,IF(_xlpm._isAssumption,_xlpm._row,_xlpm._row-_xlpm._numActiveAssumptions-_xlpm._numAdditionalAssumptions),
_xlpm._elementID)</f>
        <v>65</v>
      </c>
      <c r="O86"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86" s="11" cm="1">
        <f t="array" aca="1" ref="P86" ca="1">IF($O86,
IF(ROW()=ROW($P$17)+1,1,INDEX($P:$P,ROW()-1)+IF(INDEX($W:$W,ROW()-1),1,0)),
1)</f>
        <v>1</v>
      </c>
      <c r="Q86" s="11" t="str" cm="1">
        <f t="array" aca="1" ref="Q86" ca="1">IF($O86=TRUE,
_xlfn.LET(
_xlpm._isAssumption,$M86,
_xlpm._indexRange,IF(_xlpm._isAssumption,Table24['# Elements],Table25['# Elements]),
_xlpm._lookupRow,$Z86,
INDEX(_xlpm._indexRange,_xlpm._lookupRow)),
"")</f>
        <v/>
      </c>
      <c r="R86" s="11" t="str" cm="1">
        <f t="array" aca="1" ref="R86" ca="1">IF($Q86="","",_xlfn.LET(
_xlpm._prevRow,ROW()-1,
IF(OR(INDEX($Q:$Q,_xlpm._prevRow)&lt;&gt;$Q86,INDEX($P:$P,_xlpm._prevRow)&lt;&gt;$P86),
1,
INDEX($R:$R,_xlpm._prevRow)+IF(INDEX($V:$V,_xlpm._prevRow),1,0))))</f>
        <v/>
      </c>
      <c r="S86" s="11" t="str" cm="1">
        <f t="array" aca="1" ref="S86" ca="1">IF($R86="","",_xlfn.LET(
_xlpm._isAssumption,$M86,
_xlpm._sheetRow,$Z86,
_xlpm._sheetName,$AA86,
_xlpm._elementIDRange,IF(_xlpm._isAssumption,Table24[Element ID Column],Table25[Element ID Column]),
_xlpm._numberOfElementsRange,IF(_xlpm._isAssumption,Table24[Number of Elements Column],Table25[Number of Elements Column]),
SimpleLookup($R86,INDIRECT("'"&amp;_xlpm._sheetName&amp;"'!"&amp;INDEX(_xlpm._elementIDRange,_xlpm._sheetRow)&amp;":"&amp;INDEX(_xlpm._numberOfElementsRange,_xlpm._sheetRow)))))</f>
        <v/>
      </c>
      <c r="T86" s="11" t="str" cm="1">
        <f t="array" aca="1" ref="T86" ca="1">IF($R86="","",IF(OR(INDEX($R:$R,ROW()-1)&lt;&gt;$R86,INDEX($P:$P,ROW()-1)&lt;&gt;$P86),1,INDEX($T:$T,ROW()-1)+1))</f>
        <v/>
      </c>
      <c r="U86" s="11">
        <f t="shared" ca="1" si="23"/>
        <v>0</v>
      </c>
      <c r="V86" s="11" t="str">
        <f t="shared" ca="1" si="24"/>
        <v/>
      </c>
      <c r="W86" s="11" t="b">
        <f ca="1">_xlfn.LET(
_xlpm._isAssumption,$M86,
_xlpm._numberOfElementsRange,IF(_xlpm._isAssumption,Table24['# Elements],Table25['# Elements]),
_xlpm._sheetRow,$Z86,
IF($O86,AND($V86,$U86=$Q86),FALSE))</f>
        <v>0</v>
      </c>
      <c r="X86" s="11" t="str" cm="1">
        <f t="array" aca="1" ref="X86" ca="1">IF($O86,
_xlfn.LET(
_xlpm._elementID,$R86,
_xlpm._isAssumption,$M86,
_xlpm._sheetRow,$Z86,
_xlpm._sheetName,$AA86,
_xlpm._elementRow,$AB86,
_xlpm._resultColumnLetter,IF(_xlpm._isAssumption,INDEX(Table24[Comment Column],_xlpm._sheetRow),INDEX(Table25[Comment Column],_xlpm._sheetRow)),
INDEX(INDIRECT("'"&amp;_xlpm._sheetName&amp;"'!"&amp;_xlpm._resultColumnLetter&amp;":"&amp;_xlpm._resultColumnLetter),_xlpm._elementRow)),
"")</f>
        <v/>
      </c>
      <c r="Y86" s="11" t="str" cm="1">
        <f t="array" aca="1" ref="Y86" ca="1">IF($O86,
_xlfn.LET(
_xlpm._elementID,$R86,
_xlpm._isAssumption,$M86,
_xlpm._sheetRow,$Z86,
_xlpm._sheetName,$AA86,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86" s="11" t="str">
        <f ca="1">IF($O86=TRUE,
_xlfn.LET(
_xlpm._isAssumption,$M86,
_xlpm._searchRange,IF(_xlpm._isAssumption,Table24[Task Sheet Shadow ID],Table25[Task Sheet Shadow ID]),
MATCH($P86,_xlpm._searchRange,0)),
"")</f>
        <v/>
      </c>
      <c r="AA86" s="11" t="str" cm="1">
        <f t="array" aca="1" ref="AA86" ca="1">IF($O86,
_xlfn.LET(
_xlpm._isAssumption,$M86,
_xlpm._sheetRow,$Z86,
IF(_xlpm._isAssumption,INDEX(Table24[Sheet Name],_xlpm._sheetRow),INDEX(Table25[Sheet Name],_xlpm._sheetRow))),
"")</f>
        <v/>
      </c>
      <c r="AB86" s="11" t="str" cm="1">
        <f t="array" aca="1" ref="AB86" ca="1">IF($O86,
_xlfn.LET(
_xlpm._elementID,$R86,
_xlpm._isAssumption,$M86,
_xlpm._sheetRow,$Z86,
_xlpm._sheetName,$AA86,
_xlpm._elementIDColumnLetter,IF(_xlpm._isAssumption,INDEX(Table24[Element ID Column],_xlpm._sheetRow),INDEX(Table25[Element ID Column],_xlpm._sheetRow)),
MATCH(_xlpm._elementID,INDIRECT("'"&amp;_xlpm._sheetName&amp;"'!"&amp;_xlpm._elementIDColumnLetter&amp;":"&amp;_xlpm._elementIDColumnLetter),0)),
"")</f>
        <v/>
      </c>
      <c r="AC86" s="11" t="str" cm="1">
        <f t="array" aca="1" ref="AC86" ca="1">IF($A86="","",_xlfn.LET(
_xlpm._isAssumption,$M86,
_xlpm._isAdditionalElement,$O86,
_xlpm._sheetRow,$Z86,
_xlpm._sheetName,$AA86,
_xlpm._columnLetter,INDEX(IF(_xlpm._isAdditionalElement,Table24[Comment Column],Table25[Comment Column]),_xlpm._sheetRow),
_xlpm._sheetReference,IF(_xlpm._isAssumption,IF(_xlpm._isAdditionalElement,
CELL("address",INDEX(INDIRECT("'"&amp;_xlpm._sheetName&amp;"'!"&amp;_xlpm._columnLetter&amp;":"&amp;_xlpm._columnLetter),$AB86)),
CELL("address",INDEX(Assumptions!$A:$A,MATCH($A86,Assumptions!$A:$A,0),1))),
IF(_xlpm._isAdditionalElement,
CELL("address",INDEX(INDIRECT("'"&amp;_xlpm._sheetName&amp;"'!"&amp;_xlpm._columnLetter&amp;":"&amp;_xlpm._columnLetter),$AB86)),
CELL("address",INDEX(Countermeasures!$A:$A,MATCH($A86,Countermeasures!$A:$A,0),1)))),
_xlpm._start,FIND("]",_xlpm._sheetReference),
"'"&amp;SUBSTITUTE(SUBSTITUTE(RIGHT(_xlpm._sheetReference,LEN(_xlpm._sheetReference)-_xlpm._start),"'",""),"!","'!")))</f>
        <v/>
      </c>
      <c r="AD86" s="11" t="str" cm="1">
        <f t="array" aca="1" ref="AD86" ca="1">IF(NOT($O86),
_xlfn.LET(_xlpm._value,IF($A86="","",IF($M86,SimpleLookup($A86,Assumptions!$A:$AG),SimpleLookup($A86,Countermeasures!$A:$AJ))),
IF(_xlpm._value="","",_xlpm._value)),
"")</f>
        <v/>
      </c>
      <c r="AE86" s="11" t="str" cm="1">
        <f t="array" aca="1" ref="AE86" ca="1">LookupNames(InverseLookup($A86,Mitigation!$AD$2,Mitigation!$A$2,1,Helper!$B$5,","),'Attack Steps'!$A:$B)</f>
        <v/>
      </c>
      <c r="AF86" s="11" t="str" cm="1">
        <f t="array" aca="1" ref="AF86" ca="1">IF($O86,
_xlfn.LET(
_xlpm._in,$A86,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86" s="11" t="str" cm="1">
        <f t="array" aca="1" ref="AG86" ca="1">_xlfn.LET(
_xlpm._countermeasures,InverseLookup($A86,Countermeasures!$AC$2,Countermeasures!$A$2,1,Helper!$B$4,","),
LookupNames(_xlpm._countermeasures,Countermeasures!$A:$B))</f>
        <v/>
      </c>
      <c r="AH86" s="11" t="str" cm="1">
        <f t="array" aca="1" ref="AH86" ca="1">IF($E86="","",_xlfn.LET(
_xlpm._id,$E86,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86" s="11" t="str" cm="1">
        <f t="array" aca="1" ref="AI86" ca="1">IF(OR($A86="",$O86),"",_xlfn.LET(
_xlpm._answers,IF($M86,SimpleLookup($A86,Assumptions!$A:$F),SimpleLookup($A86,Countermeasures!$A:$D)),
IF(_xlpm._answers="*",IF($M86,SimpleLookup($A86,Assumptions!$A:$C),SimpleLookup($A86,Countermeasures!$A:$C)),"")))</f>
        <v/>
      </c>
      <c r="AJ86" s="11" t="str" cm="1">
        <f t="array" aca="1" ref="AJ86" ca="1">IF(NOT($O86),"",_xlfn.LET(
_xlpm._mappedInMitigation,IFERROR(VLOOKUP($Y86,'Attack Steps'!$A:$P,COLUMNS('Attack Steps'!$A:$P),FALSE),""),
CreateSearchString(_xlpm._mappedInMitigation)))</f>
        <v/>
      </c>
      <c r="AK86" s="11" t="b">
        <f ca="1">ROW()-ROW($AK$17)=Helper!$B$15</f>
        <v>0</v>
      </c>
      <c r="AL86" s="11" t="str">
        <f t="shared" ca="1" si="25"/>
        <v/>
      </c>
      <c r="AM86" s="11" cm="1">
        <f t="array" aca="1" ref="AM86" ca="1">CreateID($AM$17,$AL86&lt;&gt;"")</f>
        <v>0</v>
      </c>
      <c r="AN86" s="11" t="str" cm="1">
        <f t="array" aca="1" ref="AN86" ca="1">IF($O86,"",
_xlfn.LET(
_xlpm._this,SanitizeInput($A86)&amp;AT86,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86" s="11" t="str" cm="1">
        <f t="array" aca="1" ref="AO86" ca="1">IF($O86,"",_xlfn.LET(
_xlpm._listOfRisksAndLevels,SanitizeInput($AN86),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_xlpm._shortenedList,IF($H86="",_xlpm._risksWithMaxValue,
  IF(LEN(_xlpm._risksWithMaxValue)-LEN(SUBSTITUTE(_xlpm._risksWithMaxValue,",",""))&lt;=$H86,_xlpm._risksWithMaxValue,
    LEFT(_xlpm._risksWithMaxValue,FIND(CHAR(1),SUBSTITUTE(_xlpm._risksWithMaxValue,",",CHAR(1),$H86))))),
IF(_xlpm._maxRiskValue="","",
  _xlpm._lineMainSeparator&amp;
  INDEX(Definitions!$AE:$AE,MATCH(_xlpm._maxRiskValue,Definitions!$AF:$AF,0))&amp;CHAR(10)&amp;
  _xlpm._lineMainSeparator&amp;
  RemoveDelimiter(GetValues(_xlpm._shortenedList,Risks!$A:$B," ",CHAR(10)&amp;_xlpm._lineMainSeparator,TRUE),CHAR(10)&amp;_xlpm._lineMainSeparator))))</f>
        <v/>
      </c>
      <c r="AP86" s="11" t="str" cm="1">
        <f t="array" aca="1" ref="AP86" ca="1">IF($O86,"",_xlfn.LET(
_xlpm._lineMainSeparator,REPT(_xlfn.UNICHAR(9552),63)&amp;CHAR(10),
_xlpm._affectedRisks,InverseLookupList(SanitizeInput($A86)&amp;$AT86,Risks!$AX$2,Risks!$A$2,Helper!$B$1,","),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_xlpm._shortenedList,IF($H86="",_xlpm._risksWithMaxValue,
  IF(LEN(_xlpm._risksWithMaxValue)-LEN(SUBSTITUTE(_xlpm._risksWithMaxValue,",",""))&lt;=$H86,_xlpm._risksWithMaxValue,
    LEFT(_xlpm._risksWithMaxValue,FIND(CHAR(1),SUBSTITUTE(_xlpm._risksWithMaxValue,",",CHAR(1),$H86))))),
IF(_xlpm._maxRiskValue="","",
  _xlpm._lineMainSeparator&amp;
  INDEX(Definitions!$AE:$AE,MATCH(_xlpm._maxRiskValue,Definitions!$AF:$AF,0))&amp;CHAR(10)&amp;
  _xlpm._lineMainSeparator&amp;
  RemoveDelimiter(GetValues(_xlpm._shortenedList,Risks!$A:$B," ",CHAR(10)&amp;_xlpm._lineMainSeparator,TRUE),CHAR(10)&amp;_xlpm._lineMainSeparator))))</f>
        <v/>
      </c>
      <c r="AQ86" s="11" t="str" cm="1">
        <f t="array" aca="1" ref="AQ86" ca="1">IF(NOT($O86),"",
_xlfn.LET(
_xlpm._potentialASID,$Y86,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_xlpm._commentsFiltered,SUBSTITUTE(GetValues(_xlpm._attackSteps,Mitigation!$A:$O,"","",FALSE),$X86,""),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86" s="11" t="str" cm="1">
        <f t="array" aca="1" ref="AR86" ca="1">IF(NOT($O86),"",_xlfn.LET(
_xlpm._listOfRisksAndLevels,SanitizeInput($AQ86),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_xlpm._shortenedList,IF($H86="",_xlpm._risksWithMaxValue,
  IF(LEN(_xlpm._risksWithMaxValue)-LEN(SUBSTITUTE(_xlpm._risksWithMaxValue,",",""))&lt;=$H86,_xlpm._risksWithMaxValue,
    LEFT(_xlpm._risksWithMaxValue,FIND(CHAR(1),SUBSTITUTE(_xlpm._risksWithMaxValue,",",CHAR(1),$H86))))),
IF(_xlpm._maxRiskValue="","",
  _xlpm._lineMainSeparator&amp;
  INDEX(Definitions!$AE:$AE,MATCH(_xlpm._maxRiskValue,Definitions!$AF:$AF,0))&amp;CHAR(10)&amp;
  _xlpm._lineMainSeparator&amp;
  RemoveDelimiter(GetValues(_xlpm._shortenedList,Risks!$A:$B," ",CHAR(10)&amp;_xlpm._lineMainSeparator,TRUE),CHAR(10)&amp;_xlpm._lineMainSeparator))))</f>
        <v/>
      </c>
      <c r="AS86" s="11" t="str" cm="1">
        <f t="array" aca="1" ref="AS86" ca="1">IF(NOT($O86),"",
_xlfn.LET(
_xlpm._lineMainSeparator,REPT(_xlfn.UNICHAR(9552),63)&amp;CHAR(10),
_xlpm._potentialASID,$Y86,
_xlpm._risk,IFERROR(SimpleLookup(_xlpm._potentialASID,Mitigation!$A:$N),""),
_xlpm._attackPaths,IFERROR(SimpleLookup(_xlpm._potentialASID,Mitigation!$A:$M),""),
IF(_xlpm._risk="","",
_xlpm._lineMainSeparator&amp;
_xlpm._risk&amp;CHAR(10)&amp;
_xlpm._lineMainSeparator&amp;
_xlpm._attackPaths)))</f>
        <v/>
      </c>
      <c r="AT86" s="11" t="str" cm="1">
        <f t="array" aca="1" ref="AT86" ca="1">InverseLookup($A86,Countermeasures!$AA$2,Countermeasures!$A$2,1,Helper!$B$4,",")</f>
        <v/>
      </c>
      <c r="AU86" s="2" t="str" cm="1">
        <f t="array" aca="1" ref="AU86" ca="1">IF(NOT($O86),"",
_xlfn.LET(
_xlpm._elementID,$R86,
_xlpm._isAssumption,$M86,
_xlpm._sheetRow,$Z86,
_xlpm._sheetName,$AA86,
_xlpm._elementRow,$AB86,
_xlpm._resultColumnLetter,IF(_xlpm._isAssumption,INDEX(Table24[Sheet ID Column],_xlpm._sheetRow),INDEX(Table25[Sheet ID Column],_xlpm._sheetRow)),
_xlpm._potentialASID,INDEX(INDIRECT("'"&amp;_xlpm._sheetName&amp;"'!"&amp;_xlpm._resultColumnLetter&amp;":"&amp;_xlpm._resultColumnLetter),_xlpm._elementRow),
_xlpm._affectedRisks,InverseLookup(_xlpm._potentialASID,Risks!$Y$2,Risks!$A$2,1,Helper!$B$1,","),
_xlpm._lineMainSeparator,REPT(_xlfn.UNICHAR(9552),63)&amp;CHAR(10),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_xlpm._shortenedList,IF($H86="",_xlpm._risksWithMaxValue,
  IF(LEN(_xlpm._risksWithMaxValue)-LEN(SUBSTITUTE(_xlpm._risksWithMaxValue,",",""))&lt;=$H86,_xlpm._risksWithMaxValue,
    LEFT(_xlpm._risksWithMaxValue,FIND(CHAR(1),SUBSTITUTE(_xlpm._risksWithMaxValue,",",CHAR(1),$H86))))),
IF(_xlpm._maxRiskValue="","",
  _xlpm._lineMainSeparator&amp;
  INDEX(Definitions!$AE:$AE,MATCH(_xlpm._maxRiskValue,Definitions!$AF:$AF,0))&amp;CHAR(10)&amp;
  _xlpm._lineMainSeparator&amp;
  RemoveDelimiter(GetValues(_xlpm._shortenedList,Risks!$A:$B," ",CHAR(10)&amp;_xlpm._lineMainSeparator,TRUE),CHAR(10)&amp;_xlpm._lineMainSeparator))))</f>
        <v/>
      </c>
    </row>
    <row r="87" spans="1:47" x14ac:dyDescent="0.25">
      <c r="A87" s="106" t="str">
        <f ca="1">_xlfn.LET(
_xlpm._isAssumption,$M87,
_xlpm._row,$N87,
_xlpm._numActiveAssumptions,Helper!$B$8,
_xlpm._numActiveCountermeasures,Helper!$B$9,
_xlpm._numAdditionalAssumptions,Helper!$B$10,
_xlpm._numAdditionalCountermeasures,Helper!$B$11,
IF(_xlpm._isAssumption,
IF(_xlpm._row&gt;_xlpm._numActiveAssumptions,
$Y87&amp;"-A"&amp;$T87,
INDEX(Assumptions!A:A,MATCH(_xlpm._row,Assumptions!$AC:$AC,0))),
IF(_xlpm._row&gt;_xlpm._numActiveCountermeasures+_xlpm._numAdditionalCountermeasures,"",
IF(_xlpm._row&gt;_xlpm._numActiveCountermeasures,
$Y87&amp;"-C"&amp;$T87,
INDEX(Countermeasures!$A:$A,MATCH(_xlpm._row,Countermeasures!$AE:$AE,0))))))</f>
        <v/>
      </c>
      <c r="B87" s="106" t="str" cm="1">
        <f t="array" aca="1" ref="B87" ca="1">IF($A87="","",
_xlfn.LET(
_xlpm._isAssumption,$M87,
_xlpm._isAdditionalElement,$O87,
IF(_xlpm._isAdditionalElement,
IF(_xlpm._isAssumption,
ParseElementsFromComment($X87,Definitions!$AR$4,Definitions!$AS$4,Definitions!$AR$6,$T87),
ParseElementsFromComment($X87,Definitions!$AR$5,Definitions!$AS$5,Definitions!$AR$6,$T87)),
_xlfn.LET(_xlpm._value,IF($A87="","",IF($M87,SimpleLookup($A87,Assumptions!$A:$B),SimpleLookup($A87,Countermeasures!$A:$B))),IF(_xlpm._value="","",_xlpm._value)))))</f>
        <v/>
      </c>
      <c r="C87" s="106" t="str" cm="1">
        <f t="array" aca="1" ref="C87" ca="1">IF($A87="","",IF($M87,IFERROR(SimpleLookup($A87,Assumptions!$A:$E),""),Definitions!$AO$4))</f>
        <v/>
      </c>
      <c r="D87" s="103" t="str">
        <f t="shared" ca="1" si="16"/>
        <v/>
      </c>
      <c r="E87" s="107"/>
      <c r="F87" s="108" t="str">
        <f t="shared" ca="1" si="17"/>
        <v/>
      </c>
      <c r="G87" s="102" t="str" cm="1">
        <f t="array" aca="1" ref="G87" ca="1">_xlfn.LET(_xlpm._val,IFERROR(SimpleLookup($A87,Countermeasures!$A:$S),IFERROR(SimpleLookup($A87,Assumptions!$A:$S),"")),IF(_xlpm._val="","",_xlpm._val))</f>
        <v/>
      </c>
      <c r="H87" s="109" t="str">
        <f>""</f>
        <v/>
      </c>
      <c r="I87" s="102" t="str">
        <f t="shared" ca="1" si="18"/>
        <v/>
      </c>
      <c r="J87" s="102" t="str">
        <f t="shared" ca="1" si="19"/>
        <v/>
      </c>
      <c r="K87" s="106" t="str" cm="1">
        <f t="array" aca="1" ref="K87" ca="1">_xlfn.LET(_xlpm._value,IF($A87="","",IFERROR(IF($M87,SimpleLookup($A87,Assumptions!$A:$T),SimpleLookup($A87,Countermeasures!$A:$T)),"")),
IF(_xlpm._value="","",_xlpm._value))</f>
        <v/>
      </c>
      <c r="L87" s="9" cm="1">
        <f t="array" aca="1" ref="L87" ca="1">CreateID($L$17,$A87&lt;&gt;"")</f>
        <v>11</v>
      </c>
      <c r="M87" s="9" t="b">
        <f ca="1">_xlfn.LET(_xlpm._row,ROW()-ROW($N$17),
_xlpm._numActiveAssumptions,Helper!$B$8,
_xlpm._numAdditionalAssumptions,SUM(Table24['# Elements]),
_xlpm._row&lt;=_xlpm._numActiveAssumptions+_xlpm._numAdditionalAssumptions)</f>
        <v>0</v>
      </c>
      <c r="N87" s="9">
        <f ca="1">_xlfn.LET(_xlpm._row,ROW()-ROW($N$17),
_xlpm._numActiveAssumptions,Helper!$B$8,
_xlpm._numAdditionalAssumptions,Helper!$B$10,
_xlpm._isAssumption,$M87,
_xlpm._elementID,IF(_xlpm._isAssumption,_xlpm._row,_xlpm._row-_xlpm._numActiveAssumptions-_xlpm._numAdditionalAssumptions),
_xlpm._elementID)</f>
        <v>66</v>
      </c>
      <c r="O87"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87" s="11" cm="1">
        <f t="array" aca="1" ref="P87" ca="1">IF($O87,
IF(ROW()=ROW($P$17)+1,1,INDEX($P:$P,ROW()-1)+IF(INDEX($W:$W,ROW()-1),1,0)),
1)</f>
        <v>1</v>
      </c>
      <c r="Q87" s="11" t="str" cm="1">
        <f t="array" aca="1" ref="Q87" ca="1">IF($O87=TRUE,
_xlfn.LET(
_xlpm._isAssumption,$M87,
_xlpm._indexRange,IF(_xlpm._isAssumption,Table24['# Elements],Table25['# Elements]),
_xlpm._lookupRow,$Z87,
INDEX(_xlpm._indexRange,_xlpm._lookupRow)),
"")</f>
        <v/>
      </c>
      <c r="R87" s="11" t="str" cm="1">
        <f t="array" aca="1" ref="R87" ca="1">IF($Q87="","",_xlfn.LET(
_xlpm._prevRow,ROW()-1,
IF(OR(INDEX($Q:$Q,_xlpm._prevRow)&lt;&gt;$Q87,INDEX($P:$P,_xlpm._prevRow)&lt;&gt;$P87),
1,
INDEX($R:$R,_xlpm._prevRow)+IF(INDEX($V:$V,_xlpm._prevRow),1,0))))</f>
        <v/>
      </c>
      <c r="S87" s="11" t="str" cm="1">
        <f t="array" aca="1" ref="S87" ca="1">IF($R87="","",_xlfn.LET(
_xlpm._isAssumption,$M87,
_xlpm._sheetRow,$Z87,
_xlpm._sheetName,$AA87,
_xlpm._elementIDRange,IF(_xlpm._isAssumption,Table24[Element ID Column],Table25[Element ID Column]),
_xlpm._numberOfElementsRange,IF(_xlpm._isAssumption,Table24[Number of Elements Column],Table25[Number of Elements Column]),
SimpleLookup($R87,INDIRECT("'"&amp;_xlpm._sheetName&amp;"'!"&amp;INDEX(_xlpm._elementIDRange,_xlpm._sheetRow)&amp;":"&amp;INDEX(_xlpm._numberOfElementsRange,_xlpm._sheetRow)))))</f>
        <v/>
      </c>
      <c r="T87" s="11" t="str" cm="1">
        <f t="array" aca="1" ref="T87" ca="1">IF($R87="","",IF(OR(INDEX($R:$R,ROW()-1)&lt;&gt;$R87,INDEX($P:$P,ROW()-1)&lt;&gt;$P87),1,INDEX($T:$T,ROW()-1)+1))</f>
        <v/>
      </c>
      <c r="U87" s="11">
        <f t="shared" ref="U87:U101" ca="1" si="26">COUNTIFS(
OFFSET($O$17,1,0,ROW()-ROW($O$17),1),TRUE,
OFFSET($P$17,1,0,ROW()-ROW($P$17),1),$P87,
OFFSET($M$17,1,0,ROW()-ROW($M$17),1),$M87)</f>
        <v>0</v>
      </c>
      <c r="V87" s="11" t="str">
        <f t="shared" ref="V87:V101" ca="1" si="27">IF($O87,$S87=$T87,"")</f>
        <v/>
      </c>
      <c r="W87" s="11" t="b">
        <f ca="1">_xlfn.LET(
_xlpm._isAssumption,$M87,
_xlpm._numberOfElementsRange,IF(_xlpm._isAssumption,Table24['# Elements],Table25['# Elements]),
_xlpm._sheetRow,$Z87,
IF($O87,AND($V87,$U87=$Q87),FALSE))</f>
        <v>0</v>
      </c>
      <c r="X87" s="11" t="str" cm="1">
        <f t="array" aca="1" ref="X87" ca="1">IF($O87,
_xlfn.LET(
_xlpm._elementID,$R87,
_xlpm._isAssumption,$M87,
_xlpm._sheetRow,$Z87,
_xlpm._sheetName,$AA87,
_xlpm._elementRow,$AB87,
_xlpm._resultColumnLetter,IF(_xlpm._isAssumption,INDEX(Table24[Comment Column],_xlpm._sheetRow),INDEX(Table25[Comment Column],_xlpm._sheetRow)),
INDEX(INDIRECT("'"&amp;_xlpm._sheetName&amp;"'!"&amp;_xlpm._resultColumnLetter&amp;":"&amp;_xlpm._resultColumnLetter),_xlpm._elementRow)),
"")</f>
        <v/>
      </c>
      <c r="Y87" s="11" t="str" cm="1">
        <f t="array" aca="1" ref="Y87" ca="1">IF($O87,
_xlfn.LET(
_xlpm._elementID,$R87,
_xlpm._isAssumption,$M87,
_xlpm._sheetRow,$Z87,
_xlpm._sheetName,$AA87,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87" s="11" t="str">
        <f ca="1">IF($O87=TRUE,
_xlfn.LET(
_xlpm._isAssumption,$M87,
_xlpm._searchRange,IF(_xlpm._isAssumption,Table24[Task Sheet Shadow ID],Table25[Task Sheet Shadow ID]),
MATCH($P87,_xlpm._searchRange,0)),
"")</f>
        <v/>
      </c>
      <c r="AA87" s="11" t="str" cm="1">
        <f t="array" aca="1" ref="AA87" ca="1">IF($O87,
_xlfn.LET(
_xlpm._isAssumption,$M87,
_xlpm._sheetRow,$Z87,
IF(_xlpm._isAssumption,INDEX(Table24[Sheet Name],_xlpm._sheetRow),INDEX(Table25[Sheet Name],_xlpm._sheetRow))),
"")</f>
        <v/>
      </c>
      <c r="AB87" s="11" t="str" cm="1">
        <f t="array" aca="1" ref="AB87" ca="1">IF($O87,
_xlfn.LET(
_xlpm._elementID,$R87,
_xlpm._isAssumption,$M87,
_xlpm._sheetRow,$Z87,
_xlpm._sheetName,$AA87,
_xlpm._elementIDColumnLetter,IF(_xlpm._isAssumption,INDEX(Table24[Element ID Column],_xlpm._sheetRow),INDEX(Table25[Element ID Column],_xlpm._sheetRow)),
MATCH(_xlpm._elementID,INDIRECT("'"&amp;_xlpm._sheetName&amp;"'!"&amp;_xlpm._elementIDColumnLetter&amp;":"&amp;_xlpm._elementIDColumnLetter),0)),
"")</f>
        <v/>
      </c>
      <c r="AC87" s="11" t="str" cm="1">
        <f t="array" aca="1" ref="AC87" ca="1">IF($A87="","",_xlfn.LET(
_xlpm._isAssumption,$M87,
_xlpm._isAdditionalElement,$O87,
_xlpm._sheetRow,$Z87,
_xlpm._sheetName,$AA87,
_xlpm._columnLetter,INDEX(IF(_xlpm._isAdditionalElement,Table24[Comment Column],Table25[Comment Column]),_xlpm._sheetRow),
_xlpm._sheetReference,IF(_xlpm._isAssumption,IF(_xlpm._isAdditionalElement,
CELL("address",INDEX(INDIRECT("'"&amp;_xlpm._sheetName&amp;"'!"&amp;_xlpm._columnLetter&amp;":"&amp;_xlpm._columnLetter),$AB87)),
CELL("address",INDEX(Assumptions!$A:$A,MATCH($A87,Assumptions!$A:$A,0),1))),
IF(_xlpm._isAdditionalElement,
CELL("address",INDEX(INDIRECT("'"&amp;_xlpm._sheetName&amp;"'!"&amp;_xlpm._columnLetter&amp;":"&amp;_xlpm._columnLetter),$AB87)),
CELL("address",INDEX(Countermeasures!$A:$A,MATCH($A87,Countermeasures!$A:$A,0),1)))),
_xlpm._start,FIND("]",_xlpm._sheetReference),
"'"&amp;SUBSTITUTE(SUBSTITUTE(RIGHT(_xlpm._sheetReference,LEN(_xlpm._sheetReference)-_xlpm._start),"'",""),"!","'!")))</f>
        <v/>
      </c>
      <c r="AD87" s="11" t="str" cm="1">
        <f t="array" aca="1" ref="AD87" ca="1">IF(NOT($O87),
_xlfn.LET(_xlpm._value,IF($A87="","",IF($M87,SimpleLookup($A87,Assumptions!$A:$AG),SimpleLookup($A87,Countermeasures!$A:$AJ))),
IF(_xlpm._value="","",_xlpm._value)),
"")</f>
        <v/>
      </c>
      <c r="AE87" s="11" t="str" cm="1">
        <f t="array" aca="1" ref="AE87" ca="1">LookupNames(InverseLookup($A87,Mitigation!$AD$2,Mitigation!$A$2,1,Helper!$B$5,","),'Attack Steps'!$A:$B)</f>
        <v/>
      </c>
      <c r="AF87" s="11" t="str" cm="1">
        <f t="array" aca="1" ref="AF87" ca="1">IF($O87,
_xlfn.LET(
_xlpm._in,$A87,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87" s="11" t="str" cm="1">
        <f t="array" aca="1" ref="AG87" ca="1">_xlfn.LET(
_xlpm._countermeasures,InverseLookup($A87,Countermeasures!$AC$2,Countermeasures!$A$2,1,Helper!$B$4,","),
LookupNames(_xlpm._countermeasures,Countermeasures!$A:$B))</f>
        <v/>
      </c>
      <c r="AH87" s="11" t="str" cm="1">
        <f t="array" aca="1" ref="AH87" ca="1">IF($E87="","",_xlfn.LET(
_xlpm._id,$E87,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87" s="11" t="str" cm="1">
        <f t="array" aca="1" ref="AI87" ca="1">IF(OR($A87="",$O87),"",_xlfn.LET(
_xlpm._answers,IF($M87,SimpleLookup($A87,Assumptions!$A:$F),SimpleLookup($A87,Countermeasures!$A:$D)),
IF(_xlpm._answers="*",IF($M87,SimpleLookup($A87,Assumptions!$A:$C),SimpleLookup($A87,Countermeasures!$A:$C)),"")))</f>
        <v/>
      </c>
      <c r="AJ87" s="11" t="str" cm="1">
        <f t="array" aca="1" ref="AJ87" ca="1">IF(NOT($O87),"",_xlfn.LET(
_xlpm._mappedInMitigation,IFERROR(VLOOKUP($Y87,'Attack Steps'!$A:$P,COLUMNS('Attack Steps'!$A:$P),FALSE),""),
CreateSearchString(_xlpm._mappedInMitigation)))</f>
        <v/>
      </c>
      <c r="AK87" s="11" t="b">
        <f ca="1">ROW()-ROW($AK$17)=Helper!$B$15</f>
        <v>0</v>
      </c>
      <c r="AL87" s="11" t="str">
        <f t="shared" ref="AL87:AL101" ca="1" si="28">IF(IFERROR(MATCH(TRUE,$AK:$AK,0)&gt;0,FALSE),"",IF(OFFSET($AK87,1,0)="","Please enlarge the table!",""))</f>
        <v/>
      </c>
      <c r="AM87" s="11" cm="1">
        <f t="array" aca="1" ref="AM87" ca="1">CreateID($AM$17,$AL87&lt;&gt;"")</f>
        <v>0</v>
      </c>
      <c r="AN87" s="11" t="str" cm="1">
        <f t="array" aca="1" ref="AN87" ca="1">IF($O87,"",
_xlfn.LET(
_xlpm._this,SanitizeInput($A87)&amp;AT87,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87" s="11" t="str" cm="1">
        <f t="array" aca="1" ref="AO87" ca="1">IF($O87,"",_xlfn.LET(
_xlpm._listOfRisksAndLevels,SanitizeInput($AN87),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_xlpm._shortenedList,IF($H87="",_xlpm._risksWithMaxValue,
  IF(LEN(_xlpm._risksWithMaxValue)-LEN(SUBSTITUTE(_xlpm._risksWithMaxValue,",",""))&lt;=$H87,_xlpm._risksWithMaxValue,
    LEFT(_xlpm._risksWithMaxValue,FIND(CHAR(1),SUBSTITUTE(_xlpm._risksWithMaxValue,",",CHAR(1),$H87))))),
IF(_xlpm._maxRiskValue="","",
  _xlpm._lineMainSeparator&amp;
  INDEX(Definitions!$AE:$AE,MATCH(_xlpm._maxRiskValue,Definitions!$AF:$AF,0))&amp;CHAR(10)&amp;
  _xlpm._lineMainSeparator&amp;
  RemoveDelimiter(GetValues(_xlpm._shortenedList,Risks!$A:$B," ",CHAR(10)&amp;_xlpm._lineMainSeparator,TRUE),CHAR(10)&amp;_xlpm._lineMainSeparator))))</f>
        <v/>
      </c>
      <c r="AP87" s="11" t="str" cm="1">
        <f t="array" aca="1" ref="AP87" ca="1">IF($O87,"",_xlfn.LET(
_xlpm._lineMainSeparator,REPT(_xlfn.UNICHAR(9552),63)&amp;CHAR(10),
_xlpm._affectedRisks,InverseLookupList(SanitizeInput($A87)&amp;$AT87,Risks!$AX$2,Risks!$A$2,Helper!$B$1,","),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_xlpm._shortenedList,IF($H87="",_xlpm._risksWithMaxValue,
  IF(LEN(_xlpm._risksWithMaxValue)-LEN(SUBSTITUTE(_xlpm._risksWithMaxValue,",",""))&lt;=$H87,_xlpm._risksWithMaxValue,
    LEFT(_xlpm._risksWithMaxValue,FIND(CHAR(1),SUBSTITUTE(_xlpm._risksWithMaxValue,",",CHAR(1),$H87))))),
IF(_xlpm._maxRiskValue="","",
  _xlpm._lineMainSeparator&amp;
  INDEX(Definitions!$AE:$AE,MATCH(_xlpm._maxRiskValue,Definitions!$AF:$AF,0))&amp;CHAR(10)&amp;
  _xlpm._lineMainSeparator&amp;
  RemoveDelimiter(GetValues(_xlpm._shortenedList,Risks!$A:$B," ",CHAR(10)&amp;_xlpm._lineMainSeparator,TRUE),CHAR(10)&amp;_xlpm._lineMainSeparator))))</f>
        <v/>
      </c>
      <c r="AQ87" s="11" t="str" cm="1">
        <f t="array" aca="1" ref="AQ87" ca="1">IF(NOT($O87),"",
_xlfn.LET(
_xlpm._potentialASID,$Y87,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_xlpm._commentsFiltered,SUBSTITUTE(GetValues(_xlpm._attackSteps,Mitigation!$A:$O,"","",FALSE),$X87,""),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87" s="11" t="str" cm="1">
        <f t="array" aca="1" ref="AR87" ca="1">IF(NOT($O87),"",_xlfn.LET(
_xlpm._listOfRisksAndLevels,SanitizeInput($AQ87),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_xlpm._shortenedList,IF($H87="",_xlpm._risksWithMaxValue,
  IF(LEN(_xlpm._risksWithMaxValue)-LEN(SUBSTITUTE(_xlpm._risksWithMaxValue,",",""))&lt;=$H87,_xlpm._risksWithMaxValue,
    LEFT(_xlpm._risksWithMaxValue,FIND(CHAR(1),SUBSTITUTE(_xlpm._risksWithMaxValue,",",CHAR(1),$H87))))),
IF(_xlpm._maxRiskValue="","",
  _xlpm._lineMainSeparator&amp;
  INDEX(Definitions!$AE:$AE,MATCH(_xlpm._maxRiskValue,Definitions!$AF:$AF,0))&amp;CHAR(10)&amp;
  _xlpm._lineMainSeparator&amp;
  RemoveDelimiter(GetValues(_xlpm._shortenedList,Risks!$A:$B," ",CHAR(10)&amp;_xlpm._lineMainSeparator,TRUE),CHAR(10)&amp;_xlpm._lineMainSeparator))))</f>
        <v/>
      </c>
      <c r="AS87" s="11" t="str" cm="1">
        <f t="array" aca="1" ref="AS87" ca="1">IF(NOT($O87),"",
_xlfn.LET(
_xlpm._lineMainSeparator,REPT(_xlfn.UNICHAR(9552),63)&amp;CHAR(10),
_xlpm._potentialASID,$Y87,
_xlpm._risk,IFERROR(SimpleLookup(_xlpm._potentialASID,Mitigation!$A:$N),""),
_xlpm._attackPaths,IFERROR(SimpleLookup(_xlpm._potentialASID,Mitigation!$A:$M),""),
IF(_xlpm._risk="","",
_xlpm._lineMainSeparator&amp;
_xlpm._risk&amp;CHAR(10)&amp;
_xlpm._lineMainSeparator&amp;
_xlpm._attackPaths)))</f>
        <v/>
      </c>
      <c r="AT87" s="11" t="str" cm="1">
        <f t="array" aca="1" ref="AT87" ca="1">InverseLookup($A87,Countermeasures!$AA$2,Countermeasures!$A$2,1,Helper!$B$4,",")</f>
        <v/>
      </c>
    </row>
    <row r="88" spans="1:47" x14ac:dyDescent="0.25">
      <c r="A88" s="106" t="str">
        <f ca="1">_xlfn.LET(
_xlpm._isAssumption,$M88,
_xlpm._row,$N88,
_xlpm._numActiveAssumptions,Helper!$B$8,
_xlpm._numActiveCountermeasures,Helper!$B$9,
_xlpm._numAdditionalAssumptions,Helper!$B$10,
_xlpm._numAdditionalCountermeasures,Helper!$B$11,
IF(_xlpm._isAssumption,
IF(_xlpm._row&gt;_xlpm._numActiveAssumptions,
$Y88&amp;"-A"&amp;$T88,
INDEX(Assumptions!A:A,MATCH(_xlpm._row,Assumptions!$AC:$AC,0))),
IF(_xlpm._row&gt;_xlpm._numActiveCountermeasures+_xlpm._numAdditionalCountermeasures,"",
IF(_xlpm._row&gt;_xlpm._numActiveCountermeasures,
$Y88&amp;"-C"&amp;$T88,
INDEX(Countermeasures!$A:$A,MATCH(_xlpm._row,Countermeasures!$AE:$AE,0))))))</f>
        <v/>
      </c>
      <c r="B88" s="106" t="str" cm="1">
        <f t="array" aca="1" ref="B88" ca="1">IF($A88="","",
_xlfn.LET(
_xlpm._isAssumption,$M88,
_xlpm._isAdditionalElement,$O88,
IF(_xlpm._isAdditionalElement,
IF(_xlpm._isAssumption,
ParseElementsFromComment($X88,Definitions!$AR$4,Definitions!$AS$4,Definitions!$AR$6,$T88),
ParseElementsFromComment($X88,Definitions!$AR$5,Definitions!$AS$5,Definitions!$AR$6,$T88)),
_xlfn.LET(_xlpm._value,IF($A88="","",IF($M88,SimpleLookup($A88,Assumptions!$A:$B),SimpleLookup($A88,Countermeasures!$A:$B))),IF(_xlpm._value="","",_xlpm._value)))))</f>
        <v/>
      </c>
      <c r="C88" s="106" t="str" cm="1">
        <f t="array" aca="1" ref="C88" ca="1">IF($A88="","",IF($M88,IFERROR(SimpleLookup($A88,Assumptions!$A:$E),""),Definitions!$AO$4))</f>
        <v/>
      </c>
      <c r="D88" s="103" t="str">
        <f t="shared" ca="1" si="16"/>
        <v/>
      </c>
      <c r="E88" s="107"/>
      <c r="F88" s="108" t="str">
        <f t="shared" ca="1" si="17"/>
        <v/>
      </c>
      <c r="G88" s="102" t="str" cm="1">
        <f t="array" aca="1" ref="G88" ca="1">_xlfn.LET(_xlpm._val,IFERROR(SimpleLookup($A88,Countermeasures!$A:$S),IFERROR(SimpleLookup($A88,Assumptions!$A:$S),"")),IF(_xlpm._val="","",_xlpm._val))</f>
        <v/>
      </c>
      <c r="H88" s="109" t="str">
        <f>""</f>
        <v/>
      </c>
      <c r="I88" s="102" t="str">
        <f t="shared" ca="1" si="18"/>
        <v/>
      </c>
      <c r="J88" s="102" t="str">
        <f t="shared" ca="1" si="19"/>
        <v/>
      </c>
      <c r="K88" s="106" t="str" cm="1">
        <f t="array" aca="1" ref="K88" ca="1">_xlfn.LET(_xlpm._value,IF($A88="","",IFERROR(IF($M88,SimpleLookup($A88,Assumptions!$A:$T),SimpleLookup($A88,Countermeasures!$A:$T)),"")),
IF(_xlpm._value="","",_xlpm._value))</f>
        <v/>
      </c>
      <c r="L88" s="9" cm="1">
        <f t="array" aca="1" ref="L88" ca="1">CreateID($L$17,$A88&lt;&gt;"")</f>
        <v>11</v>
      </c>
      <c r="M88" s="9" t="b">
        <f ca="1">_xlfn.LET(_xlpm._row,ROW()-ROW($N$17),
_xlpm._numActiveAssumptions,Helper!$B$8,
_xlpm._numAdditionalAssumptions,SUM(Table24['# Elements]),
_xlpm._row&lt;=_xlpm._numActiveAssumptions+_xlpm._numAdditionalAssumptions)</f>
        <v>0</v>
      </c>
      <c r="N88" s="9">
        <f ca="1">_xlfn.LET(_xlpm._row,ROW()-ROW($N$17),
_xlpm._numActiveAssumptions,Helper!$B$8,
_xlpm._numAdditionalAssumptions,Helper!$B$10,
_xlpm._isAssumption,$M88,
_xlpm._elementID,IF(_xlpm._isAssumption,_xlpm._row,_xlpm._row-_xlpm._numActiveAssumptions-_xlpm._numAdditionalAssumptions),
_xlpm._elementID)</f>
        <v>67</v>
      </c>
      <c r="O88"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88" s="11" cm="1">
        <f t="array" aca="1" ref="P88" ca="1">IF($O88,
IF(ROW()=ROW($P$17)+1,1,INDEX($P:$P,ROW()-1)+IF(INDEX($W:$W,ROW()-1),1,0)),
1)</f>
        <v>1</v>
      </c>
      <c r="Q88" s="11" t="str" cm="1">
        <f t="array" aca="1" ref="Q88" ca="1">IF($O88=TRUE,
_xlfn.LET(
_xlpm._isAssumption,$M88,
_xlpm._indexRange,IF(_xlpm._isAssumption,Table24['# Elements],Table25['# Elements]),
_xlpm._lookupRow,$Z88,
INDEX(_xlpm._indexRange,_xlpm._lookupRow)),
"")</f>
        <v/>
      </c>
      <c r="R88" s="11" t="str" cm="1">
        <f t="array" aca="1" ref="R88" ca="1">IF($Q88="","",_xlfn.LET(
_xlpm._prevRow,ROW()-1,
IF(OR(INDEX($Q:$Q,_xlpm._prevRow)&lt;&gt;$Q88,INDEX($P:$P,_xlpm._prevRow)&lt;&gt;$P88),
1,
INDEX($R:$R,_xlpm._prevRow)+IF(INDEX($V:$V,_xlpm._prevRow),1,0))))</f>
        <v/>
      </c>
      <c r="S88" s="11" t="str" cm="1">
        <f t="array" aca="1" ref="S88" ca="1">IF($R88="","",_xlfn.LET(
_xlpm._isAssumption,$M88,
_xlpm._sheetRow,$Z88,
_xlpm._sheetName,$AA88,
_xlpm._elementIDRange,IF(_xlpm._isAssumption,Table24[Element ID Column],Table25[Element ID Column]),
_xlpm._numberOfElementsRange,IF(_xlpm._isAssumption,Table24[Number of Elements Column],Table25[Number of Elements Column]),
SimpleLookup($R88,INDIRECT("'"&amp;_xlpm._sheetName&amp;"'!"&amp;INDEX(_xlpm._elementIDRange,_xlpm._sheetRow)&amp;":"&amp;INDEX(_xlpm._numberOfElementsRange,_xlpm._sheetRow)))))</f>
        <v/>
      </c>
      <c r="T88" s="11" t="str" cm="1">
        <f t="array" aca="1" ref="T88" ca="1">IF($R88="","",IF(OR(INDEX($R:$R,ROW()-1)&lt;&gt;$R88,INDEX($P:$P,ROW()-1)&lt;&gt;$P88),1,INDEX($T:$T,ROW()-1)+1))</f>
        <v/>
      </c>
      <c r="U88" s="11">
        <f t="shared" ca="1" si="26"/>
        <v>0</v>
      </c>
      <c r="V88" s="11" t="str">
        <f t="shared" ca="1" si="27"/>
        <v/>
      </c>
      <c r="W88" s="11" t="b">
        <f ca="1">_xlfn.LET(
_xlpm._isAssumption,$M88,
_xlpm._numberOfElementsRange,IF(_xlpm._isAssumption,Table24['# Elements],Table25['# Elements]),
_xlpm._sheetRow,$Z88,
IF($O88,AND($V88,$U88=$Q88),FALSE))</f>
        <v>0</v>
      </c>
      <c r="X88" s="11" t="str" cm="1">
        <f t="array" aca="1" ref="X88" ca="1">IF($O88,
_xlfn.LET(
_xlpm._elementID,$R88,
_xlpm._isAssumption,$M88,
_xlpm._sheetRow,$Z88,
_xlpm._sheetName,$AA88,
_xlpm._elementRow,$AB88,
_xlpm._resultColumnLetter,IF(_xlpm._isAssumption,INDEX(Table24[Comment Column],_xlpm._sheetRow),INDEX(Table25[Comment Column],_xlpm._sheetRow)),
INDEX(INDIRECT("'"&amp;_xlpm._sheetName&amp;"'!"&amp;_xlpm._resultColumnLetter&amp;":"&amp;_xlpm._resultColumnLetter),_xlpm._elementRow)),
"")</f>
        <v/>
      </c>
      <c r="Y88" s="11" t="str" cm="1">
        <f t="array" aca="1" ref="Y88" ca="1">IF($O88,
_xlfn.LET(
_xlpm._elementID,$R88,
_xlpm._isAssumption,$M88,
_xlpm._sheetRow,$Z88,
_xlpm._sheetName,$AA88,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88" s="11" t="str">
        <f ca="1">IF($O88=TRUE,
_xlfn.LET(
_xlpm._isAssumption,$M88,
_xlpm._searchRange,IF(_xlpm._isAssumption,Table24[Task Sheet Shadow ID],Table25[Task Sheet Shadow ID]),
MATCH($P88,_xlpm._searchRange,0)),
"")</f>
        <v/>
      </c>
      <c r="AA88" s="11" t="str" cm="1">
        <f t="array" aca="1" ref="AA88" ca="1">IF($O88,
_xlfn.LET(
_xlpm._isAssumption,$M88,
_xlpm._sheetRow,$Z88,
IF(_xlpm._isAssumption,INDEX(Table24[Sheet Name],_xlpm._sheetRow),INDEX(Table25[Sheet Name],_xlpm._sheetRow))),
"")</f>
        <v/>
      </c>
      <c r="AB88" s="11" t="str" cm="1">
        <f t="array" aca="1" ref="AB88" ca="1">IF($O88,
_xlfn.LET(
_xlpm._elementID,$R88,
_xlpm._isAssumption,$M88,
_xlpm._sheetRow,$Z88,
_xlpm._sheetName,$AA88,
_xlpm._elementIDColumnLetter,IF(_xlpm._isAssumption,INDEX(Table24[Element ID Column],_xlpm._sheetRow),INDEX(Table25[Element ID Column],_xlpm._sheetRow)),
MATCH(_xlpm._elementID,INDIRECT("'"&amp;_xlpm._sheetName&amp;"'!"&amp;_xlpm._elementIDColumnLetter&amp;":"&amp;_xlpm._elementIDColumnLetter),0)),
"")</f>
        <v/>
      </c>
      <c r="AC88" s="11" t="str" cm="1">
        <f t="array" aca="1" ref="AC88" ca="1">IF($A88="","",_xlfn.LET(
_xlpm._isAssumption,$M88,
_xlpm._isAdditionalElement,$O88,
_xlpm._sheetRow,$Z88,
_xlpm._sheetName,$AA88,
_xlpm._columnLetter,INDEX(IF(_xlpm._isAdditionalElement,Table24[Comment Column],Table25[Comment Column]),_xlpm._sheetRow),
_xlpm._sheetReference,IF(_xlpm._isAssumption,IF(_xlpm._isAdditionalElement,
CELL("address",INDEX(INDIRECT("'"&amp;_xlpm._sheetName&amp;"'!"&amp;_xlpm._columnLetter&amp;":"&amp;_xlpm._columnLetter),$AB88)),
CELL("address",INDEX(Assumptions!$A:$A,MATCH($A88,Assumptions!$A:$A,0),1))),
IF(_xlpm._isAdditionalElement,
CELL("address",INDEX(INDIRECT("'"&amp;_xlpm._sheetName&amp;"'!"&amp;_xlpm._columnLetter&amp;":"&amp;_xlpm._columnLetter),$AB88)),
CELL("address",INDEX(Countermeasures!$A:$A,MATCH($A88,Countermeasures!$A:$A,0),1)))),
_xlpm._start,FIND("]",_xlpm._sheetReference),
"'"&amp;SUBSTITUTE(SUBSTITUTE(RIGHT(_xlpm._sheetReference,LEN(_xlpm._sheetReference)-_xlpm._start),"'",""),"!","'!")))</f>
        <v/>
      </c>
      <c r="AD88" s="11" t="str" cm="1">
        <f t="array" aca="1" ref="AD88" ca="1">IF(NOT($O88),
_xlfn.LET(_xlpm._value,IF($A88="","",IF($M88,SimpleLookup($A88,Assumptions!$A:$AG),SimpleLookup($A88,Countermeasures!$A:$AJ))),
IF(_xlpm._value="","",_xlpm._value)),
"")</f>
        <v/>
      </c>
      <c r="AE88" s="11" t="str" cm="1">
        <f t="array" aca="1" ref="AE88" ca="1">LookupNames(InverseLookup($A88,Mitigation!$AD$2,Mitigation!$A$2,1,Helper!$B$5,","),'Attack Steps'!$A:$B)</f>
        <v/>
      </c>
      <c r="AF88" s="11" t="str" cm="1">
        <f t="array" aca="1" ref="AF88" ca="1">IF($O88,
_xlfn.LET(
_xlpm._in,$A88,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88" s="11" t="str" cm="1">
        <f t="array" aca="1" ref="AG88" ca="1">_xlfn.LET(
_xlpm._countermeasures,InverseLookup($A88,Countermeasures!$AC$2,Countermeasures!$A$2,1,Helper!$B$4,","),
LookupNames(_xlpm._countermeasures,Countermeasures!$A:$B))</f>
        <v/>
      </c>
      <c r="AH88" s="11" t="str" cm="1">
        <f t="array" aca="1" ref="AH88" ca="1">IF($E88="","",_xlfn.LET(
_xlpm._id,$E88,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88" s="11" t="str" cm="1">
        <f t="array" aca="1" ref="AI88" ca="1">IF(OR($A88="",$O88),"",_xlfn.LET(
_xlpm._answers,IF($M88,SimpleLookup($A88,Assumptions!$A:$F),SimpleLookup($A88,Countermeasures!$A:$D)),
IF(_xlpm._answers="*",IF($M88,SimpleLookup($A88,Assumptions!$A:$C),SimpleLookup($A88,Countermeasures!$A:$C)),"")))</f>
        <v/>
      </c>
      <c r="AJ88" s="11" t="str" cm="1">
        <f t="array" aca="1" ref="AJ88" ca="1">IF(NOT($O88),"",_xlfn.LET(
_xlpm._mappedInMitigation,IFERROR(VLOOKUP($Y88,'Attack Steps'!$A:$P,COLUMNS('Attack Steps'!$A:$P),FALSE),""),
CreateSearchString(_xlpm._mappedInMitigation)))</f>
        <v/>
      </c>
      <c r="AK88" s="11" t="b">
        <f ca="1">ROW()-ROW($AK$17)=Helper!$B$15</f>
        <v>0</v>
      </c>
      <c r="AL88" s="11" t="str">
        <f t="shared" ca="1" si="28"/>
        <v/>
      </c>
      <c r="AM88" s="11" cm="1">
        <f t="array" aca="1" ref="AM88" ca="1">CreateID($AM$17,$AL88&lt;&gt;"")</f>
        <v>0</v>
      </c>
      <c r="AN88" s="11" t="str" cm="1">
        <f t="array" aca="1" ref="AN88" ca="1">IF($O88,"",
_xlfn.LET(
_xlpm._this,SanitizeInput($A88)&amp;AT88,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88" s="11" t="str" cm="1">
        <f t="array" aca="1" ref="AO88" ca="1">IF($O88,"",_xlfn.LET(
_xlpm._listOfRisksAndLevels,SanitizeInput($AN88),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_xlpm._shortenedList,IF($H88="",_xlpm._risksWithMaxValue,
  IF(LEN(_xlpm._risksWithMaxValue)-LEN(SUBSTITUTE(_xlpm._risksWithMaxValue,",",""))&lt;=$H88,_xlpm._risksWithMaxValue,
    LEFT(_xlpm._risksWithMaxValue,FIND(CHAR(1),SUBSTITUTE(_xlpm._risksWithMaxValue,",",CHAR(1),$H88))))),
IF(_xlpm._maxRiskValue="","",
  _xlpm._lineMainSeparator&amp;
  INDEX(Definitions!$AE:$AE,MATCH(_xlpm._maxRiskValue,Definitions!$AF:$AF,0))&amp;CHAR(10)&amp;
  _xlpm._lineMainSeparator&amp;
  RemoveDelimiter(GetValues(_xlpm._shortenedList,Risks!$A:$B," ",CHAR(10)&amp;_xlpm._lineMainSeparator,TRUE),CHAR(10)&amp;_xlpm._lineMainSeparator))))</f>
        <v/>
      </c>
      <c r="AP88" s="11" t="str" cm="1">
        <f t="array" aca="1" ref="AP88" ca="1">IF($O88,"",_xlfn.LET(
_xlpm._lineMainSeparator,REPT(_xlfn.UNICHAR(9552),63)&amp;CHAR(10),
_xlpm._affectedRisks,InverseLookupList(SanitizeInput($A88)&amp;$AT88,Risks!$AX$2,Risks!$A$2,Helper!$B$1,","),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_xlpm._shortenedList,IF($H88="",_xlpm._risksWithMaxValue,
  IF(LEN(_xlpm._risksWithMaxValue)-LEN(SUBSTITUTE(_xlpm._risksWithMaxValue,",",""))&lt;=$H88,_xlpm._risksWithMaxValue,
    LEFT(_xlpm._risksWithMaxValue,FIND(CHAR(1),SUBSTITUTE(_xlpm._risksWithMaxValue,",",CHAR(1),$H88))))),
IF(_xlpm._maxRiskValue="","",
  _xlpm._lineMainSeparator&amp;
  INDEX(Definitions!$AE:$AE,MATCH(_xlpm._maxRiskValue,Definitions!$AF:$AF,0))&amp;CHAR(10)&amp;
  _xlpm._lineMainSeparator&amp;
  RemoveDelimiter(GetValues(_xlpm._shortenedList,Risks!$A:$B," ",CHAR(10)&amp;_xlpm._lineMainSeparator,TRUE),CHAR(10)&amp;_xlpm._lineMainSeparator))))</f>
        <v/>
      </c>
      <c r="AQ88" s="11" t="str" cm="1">
        <f t="array" aca="1" ref="AQ88" ca="1">IF(NOT($O88),"",
_xlfn.LET(
_xlpm._potentialASID,$Y88,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_xlpm._commentsFiltered,SUBSTITUTE(GetValues(_xlpm._attackSteps,Mitigation!$A:$O,"","",FALSE),$X88,""),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88" s="11" t="str" cm="1">
        <f t="array" aca="1" ref="AR88" ca="1">IF(NOT($O88),"",_xlfn.LET(
_xlpm._listOfRisksAndLevels,SanitizeInput($AQ88),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_xlpm._shortenedList,IF($H88="",_xlpm._risksWithMaxValue,
  IF(LEN(_xlpm._risksWithMaxValue)-LEN(SUBSTITUTE(_xlpm._risksWithMaxValue,",",""))&lt;=$H88,_xlpm._risksWithMaxValue,
    LEFT(_xlpm._risksWithMaxValue,FIND(CHAR(1),SUBSTITUTE(_xlpm._risksWithMaxValue,",",CHAR(1),$H88))))),
IF(_xlpm._maxRiskValue="","",
  _xlpm._lineMainSeparator&amp;
  INDEX(Definitions!$AE:$AE,MATCH(_xlpm._maxRiskValue,Definitions!$AF:$AF,0))&amp;CHAR(10)&amp;
  _xlpm._lineMainSeparator&amp;
  RemoveDelimiter(GetValues(_xlpm._shortenedList,Risks!$A:$B," ",CHAR(10)&amp;_xlpm._lineMainSeparator,TRUE),CHAR(10)&amp;_xlpm._lineMainSeparator))))</f>
        <v/>
      </c>
      <c r="AS88" s="11" t="str" cm="1">
        <f t="array" aca="1" ref="AS88" ca="1">IF(NOT($O88),"",
_xlfn.LET(
_xlpm._lineMainSeparator,REPT(_xlfn.UNICHAR(9552),63)&amp;CHAR(10),
_xlpm._potentialASID,$Y88,
_xlpm._risk,IFERROR(SimpleLookup(_xlpm._potentialASID,Mitigation!$A:$N),""),
_xlpm._attackPaths,IFERROR(SimpleLookup(_xlpm._potentialASID,Mitigation!$A:$M),""),
IF(_xlpm._risk="","",
_xlpm._lineMainSeparator&amp;
_xlpm._risk&amp;CHAR(10)&amp;
_xlpm._lineMainSeparator&amp;
_xlpm._attackPaths)))</f>
        <v/>
      </c>
      <c r="AT88" s="11" t="str" cm="1">
        <f t="array" aca="1" ref="AT88" ca="1">InverseLookup($A88,Countermeasures!$AA$2,Countermeasures!$A$2,1,Helper!$B$4,",")</f>
        <v/>
      </c>
    </row>
    <row r="89" spans="1:47" x14ac:dyDescent="0.25">
      <c r="A89" s="106" t="str">
        <f ca="1">_xlfn.LET(
_xlpm._isAssumption,$M89,
_xlpm._row,$N89,
_xlpm._numActiveAssumptions,Helper!$B$8,
_xlpm._numActiveCountermeasures,Helper!$B$9,
_xlpm._numAdditionalAssumptions,Helper!$B$10,
_xlpm._numAdditionalCountermeasures,Helper!$B$11,
IF(_xlpm._isAssumption,
IF(_xlpm._row&gt;_xlpm._numActiveAssumptions,
$Y89&amp;"-A"&amp;$T89,
INDEX(Assumptions!A:A,MATCH(_xlpm._row,Assumptions!$AC:$AC,0))),
IF(_xlpm._row&gt;_xlpm._numActiveCountermeasures+_xlpm._numAdditionalCountermeasures,"",
IF(_xlpm._row&gt;_xlpm._numActiveCountermeasures,
$Y89&amp;"-C"&amp;$T89,
INDEX(Countermeasures!$A:$A,MATCH(_xlpm._row,Countermeasures!$AE:$AE,0))))))</f>
        <v/>
      </c>
      <c r="B89" s="106" t="str" cm="1">
        <f t="array" aca="1" ref="B89" ca="1">IF($A89="","",
_xlfn.LET(
_xlpm._isAssumption,$M89,
_xlpm._isAdditionalElement,$O89,
IF(_xlpm._isAdditionalElement,
IF(_xlpm._isAssumption,
ParseElementsFromComment($X89,Definitions!$AR$4,Definitions!$AS$4,Definitions!$AR$6,$T89),
ParseElementsFromComment($X89,Definitions!$AR$5,Definitions!$AS$5,Definitions!$AR$6,$T89)),
_xlfn.LET(_xlpm._value,IF($A89="","",IF($M89,SimpleLookup($A89,Assumptions!$A:$B),SimpleLookup($A89,Countermeasures!$A:$B))),IF(_xlpm._value="","",_xlpm._value)))))</f>
        <v/>
      </c>
      <c r="C89" s="106" t="str" cm="1">
        <f t="array" aca="1" ref="C89" ca="1">IF($A89="","",IF($M89,IFERROR(SimpleLookup($A89,Assumptions!$A:$E),""),Definitions!$AO$4))</f>
        <v/>
      </c>
      <c r="D89" s="103" t="str">
        <f t="shared" ca="1" si="16"/>
        <v/>
      </c>
      <c r="E89" s="107"/>
      <c r="F89" s="108" t="str">
        <f t="shared" ca="1" si="17"/>
        <v/>
      </c>
      <c r="G89" s="102" t="str" cm="1">
        <f t="array" aca="1" ref="G89" ca="1">_xlfn.LET(_xlpm._val,IFERROR(SimpleLookup($A89,Countermeasures!$A:$S),IFERROR(SimpleLookup($A89,Assumptions!$A:$S),"")),IF(_xlpm._val="","",_xlpm._val))</f>
        <v/>
      </c>
      <c r="H89" s="109" t="str">
        <f>""</f>
        <v/>
      </c>
      <c r="I89" s="102" t="str">
        <f t="shared" ca="1" si="18"/>
        <v/>
      </c>
      <c r="J89" s="102" t="str">
        <f t="shared" ca="1" si="19"/>
        <v/>
      </c>
      <c r="K89" s="106" t="str" cm="1">
        <f t="array" aca="1" ref="K89" ca="1">_xlfn.LET(_xlpm._value,IF($A89="","",IFERROR(IF($M89,SimpleLookup($A89,Assumptions!$A:$T),SimpleLookup($A89,Countermeasures!$A:$T)),"")),
IF(_xlpm._value="","",_xlpm._value))</f>
        <v/>
      </c>
      <c r="L89" s="9" cm="1">
        <f t="array" aca="1" ref="L89" ca="1">CreateID($L$17,$A89&lt;&gt;"")</f>
        <v>11</v>
      </c>
      <c r="M89" s="9" t="b">
        <f ca="1">_xlfn.LET(_xlpm._row,ROW()-ROW($N$17),
_xlpm._numActiveAssumptions,Helper!$B$8,
_xlpm._numAdditionalAssumptions,SUM(Table24['# Elements]),
_xlpm._row&lt;=_xlpm._numActiveAssumptions+_xlpm._numAdditionalAssumptions)</f>
        <v>0</v>
      </c>
      <c r="N89" s="9">
        <f ca="1">_xlfn.LET(_xlpm._row,ROW()-ROW($N$17),
_xlpm._numActiveAssumptions,Helper!$B$8,
_xlpm._numAdditionalAssumptions,Helper!$B$10,
_xlpm._isAssumption,$M89,
_xlpm._elementID,IF(_xlpm._isAssumption,_xlpm._row,_xlpm._row-_xlpm._numActiveAssumptions-_xlpm._numAdditionalAssumptions),
_xlpm._elementID)</f>
        <v>68</v>
      </c>
      <c r="O89"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89" s="11" cm="1">
        <f t="array" aca="1" ref="P89" ca="1">IF($O89,
IF(ROW()=ROW($P$17)+1,1,INDEX($P:$P,ROW()-1)+IF(INDEX($W:$W,ROW()-1),1,0)),
1)</f>
        <v>1</v>
      </c>
      <c r="Q89" s="11" t="str" cm="1">
        <f t="array" aca="1" ref="Q89" ca="1">IF($O89=TRUE,
_xlfn.LET(
_xlpm._isAssumption,$M89,
_xlpm._indexRange,IF(_xlpm._isAssumption,Table24['# Elements],Table25['# Elements]),
_xlpm._lookupRow,$Z89,
INDEX(_xlpm._indexRange,_xlpm._lookupRow)),
"")</f>
        <v/>
      </c>
      <c r="R89" s="11" t="str" cm="1">
        <f t="array" aca="1" ref="R89" ca="1">IF($Q89="","",_xlfn.LET(
_xlpm._prevRow,ROW()-1,
IF(OR(INDEX($Q:$Q,_xlpm._prevRow)&lt;&gt;$Q89,INDEX($P:$P,_xlpm._prevRow)&lt;&gt;$P89),
1,
INDEX($R:$R,_xlpm._prevRow)+IF(INDEX($V:$V,_xlpm._prevRow),1,0))))</f>
        <v/>
      </c>
      <c r="S89" s="11" t="str" cm="1">
        <f t="array" aca="1" ref="S89" ca="1">IF($R89="","",_xlfn.LET(
_xlpm._isAssumption,$M89,
_xlpm._sheetRow,$Z89,
_xlpm._sheetName,$AA89,
_xlpm._elementIDRange,IF(_xlpm._isAssumption,Table24[Element ID Column],Table25[Element ID Column]),
_xlpm._numberOfElementsRange,IF(_xlpm._isAssumption,Table24[Number of Elements Column],Table25[Number of Elements Column]),
SimpleLookup($R89,INDIRECT("'"&amp;_xlpm._sheetName&amp;"'!"&amp;INDEX(_xlpm._elementIDRange,_xlpm._sheetRow)&amp;":"&amp;INDEX(_xlpm._numberOfElementsRange,_xlpm._sheetRow)))))</f>
        <v/>
      </c>
      <c r="T89" s="11" t="str" cm="1">
        <f t="array" aca="1" ref="T89" ca="1">IF($R89="","",IF(OR(INDEX($R:$R,ROW()-1)&lt;&gt;$R89,INDEX($P:$P,ROW()-1)&lt;&gt;$P89),1,INDEX($T:$T,ROW()-1)+1))</f>
        <v/>
      </c>
      <c r="U89" s="11">
        <f t="shared" ca="1" si="26"/>
        <v>0</v>
      </c>
      <c r="V89" s="11" t="str">
        <f t="shared" ca="1" si="27"/>
        <v/>
      </c>
      <c r="W89" s="11" t="b">
        <f ca="1">_xlfn.LET(
_xlpm._isAssumption,$M89,
_xlpm._numberOfElementsRange,IF(_xlpm._isAssumption,Table24['# Elements],Table25['# Elements]),
_xlpm._sheetRow,$Z89,
IF($O89,AND($V89,$U89=$Q89),FALSE))</f>
        <v>0</v>
      </c>
      <c r="X89" s="11" t="str" cm="1">
        <f t="array" aca="1" ref="X89" ca="1">IF($O89,
_xlfn.LET(
_xlpm._elementID,$R89,
_xlpm._isAssumption,$M89,
_xlpm._sheetRow,$Z89,
_xlpm._sheetName,$AA89,
_xlpm._elementRow,$AB89,
_xlpm._resultColumnLetter,IF(_xlpm._isAssumption,INDEX(Table24[Comment Column],_xlpm._sheetRow),INDEX(Table25[Comment Column],_xlpm._sheetRow)),
INDEX(INDIRECT("'"&amp;_xlpm._sheetName&amp;"'!"&amp;_xlpm._resultColumnLetter&amp;":"&amp;_xlpm._resultColumnLetter),_xlpm._elementRow)),
"")</f>
        <v/>
      </c>
      <c r="Y89" s="11" t="str" cm="1">
        <f t="array" aca="1" ref="Y89" ca="1">IF($O89,
_xlfn.LET(
_xlpm._elementID,$R89,
_xlpm._isAssumption,$M89,
_xlpm._sheetRow,$Z89,
_xlpm._sheetName,$AA89,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89" s="11" t="str">
        <f ca="1">IF($O89=TRUE,
_xlfn.LET(
_xlpm._isAssumption,$M89,
_xlpm._searchRange,IF(_xlpm._isAssumption,Table24[Task Sheet Shadow ID],Table25[Task Sheet Shadow ID]),
MATCH($P89,_xlpm._searchRange,0)),
"")</f>
        <v/>
      </c>
      <c r="AA89" s="11" t="str" cm="1">
        <f t="array" aca="1" ref="AA89" ca="1">IF($O89,
_xlfn.LET(
_xlpm._isAssumption,$M89,
_xlpm._sheetRow,$Z89,
IF(_xlpm._isAssumption,INDEX(Table24[Sheet Name],_xlpm._sheetRow),INDEX(Table25[Sheet Name],_xlpm._sheetRow))),
"")</f>
        <v/>
      </c>
      <c r="AB89" s="11" t="str" cm="1">
        <f t="array" aca="1" ref="AB89" ca="1">IF($O89,
_xlfn.LET(
_xlpm._elementID,$R89,
_xlpm._isAssumption,$M89,
_xlpm._sheetRow,$Z89,
_xlpm._sheetName,$AA89,
_xlpm._elementIDColumnLetter,IF(_xlpm._isAssumption,INDEX(Table24[Element ID Column],_xlpm._sheetRow),INDEX(Table25[Element ID Column],_xlpm._sheetRow)),
MATCH(_xlpm._elementID,INDIRECT("'"&amp;_xlpm._sheetName&amp;"'!"&amp;_xlpm._elementIDColumnLetter&amp;":"&amp;_xlpm._elementIDColumnLetter),0)),
"")</f>
        <v/>
      </c>
      <c r="AC89" s="11" t="str" cm="1">
        <f t="array" aca="1" ref="AC89" ca="1">IF($A89="","",_xlfn.LET(
_xlpm._isAssumption,$M89,
_xlpm._isAdditionalElement,$O89,
_xlpm._sheetRow,$Z89,
_xlpm._sheetName,$AA89,
_xlpm._columnLetter,INDEX(IF(_xlpm._isAdditionalElement,Table24[Comment Column],Table25[Comment Column]),_xlpm._sheetRow),
_xlpm._sheetReference,IF(_xlpm._isAssumption,IF(_xlpm._isAdditionalElement,
CELL("address",INDEX(INDIRECT("'"&amp;_xlpm._sheetName&amp;"'!"&amp;_xlpm._columnLetter&amp;":"&amp;_xlpm._columnLetter),$AB89)),
CELL("address",INDEX(Assumptions!$A:$A,MATCH($A89,Assumptions!$A:$A,0),1))),
IF(_xlpm._isAdditionalElement,
CELL("address",INDEX(INDIRECT("'"&amp;_xlpm._sheetName&amp;"'!"&amp;_xlpm._columnLetter&amp;":"&amp;_xlpm._columnLetter),$AB89)),
CELL("address",INDEX(Countermeasures!$A:$A,MATCH($A89,Countermeasures!$A:$A,0),1)))),
_xlpm._start,FIND("]",_xlpm._sheetReference),
"'"&amp;SUBSTITUTE(SUBSTITUTE(RIGHT(_xlpm._sheetReference,LEN(_xlpm._sheetReference)-_xlpm._start),"'",""),"!","'!")))</f>
        <v/>
      </c>
      <c r="AD89" s="11" t="str" cm="1">
        <f t="array" aca="1" ref="AD89" ca="1">IF(NOT($O89),
_xlfn.LET(_xlpm._value,IF($A89="","",IF($M89,SimpleLookup($A89,Assumptions!$A:$AG),SimpleLookup($A89,Countermeasures!$A:$AJ))),
IF(_xlpm._value="","",_xlpm._value)),
"")</f>
        <v/>
      </c>
      <c r="AE89" s="11" t="str" cm="1">
        <f t="array" aca="1" ref="AE89" ca="1">LookupNames(InverseLookup($A89,Mitigation!$AD$2,Mitigation!$A$2,1,Helper!$B$5,","),'Attack Steps'!$A:$B)</f>
        <v/>
      </c>
      <c r="AF89" s="11" t="str" cm="1">
        <f t="array" aca="1" ref="AF89" ca="1">IF($O89,
_xlfn.LET(
_xlpm._in,$A89,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89" s="11" t="str" cm="1">
        <f t="array" aca="1" ref="AG89" ca="1">_xlfn.LET(
_xlpm._countermeasures,InverseLookup($A89,Countermeasures!$AC$2,Countermeasures!$A$2,1,Helper!$B$4,","),
LookupNames(_xlpm._countermeasures,Countermeasures!$A:$B))</f>
        <v/>
      </c>
      <c r="AH89" s="11" t="str" cm="1">
        <f t="array" aca="1" ref="AH89" ca="1">IF($E89="","",_xlfn.LET(
_xlpm._id,$E89,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89" s="11" t="str" cm="1">
        <f t="array" aca="1" ref="AI89" ca="1">IF(OR($A89="",$O89),"",_xlfn.LET(
_xlpm._answers,IF($M89,SimpleLookup($A89,Assumptions!$A:$F),SimpleLookup($A89,Countermeasures!$A:$D)),
IF(_xlpm._answers="*",IF($M89,SimpleLookup($A89,Assumptions!$A:$C),SimpleLookup($A89,Countermeasures!$A:$C)),"")))</f>
        <v/>
      </c>
      <c r="AJ89" s="11" t="str" cm="1">
        <f t="array" aca="1" ref="AJ89" ca="1">IF(NOT($O89),"",_xlfn.LET(
_xlpm._mappedInMitigation,IFERROR(VLOOKUP($Y89,'Attack Steps'!$A:$P,COLUMNS('Attack Steps'!$A:$P),FALSE),""),
CreateSearchString(_xlpm._mappedInMitigation)))</f>
        <v/>
      </c>
      <c r="AK89" s="11" t="b">
        <f ca="1">ROW()-ROW($AK$17)=Helper!$B$15</f>
        <v>0</v>
      </c>
      <c r="AL89" s="11" t="str">
        <f t="shared" ca="1" si="28"/>
        <v/>
      </c>
      <c r="AM89" s="11" cm="1">
        <f t="array" aca="1" ref="AM89" ca="1">CreateID($AM$17,$AL89&lt;&gt;"")</f>
        <v>0</v>
      </c>
      <c r="AN89" s="11" t="str" cm="1">
        <f t="array" aca="1" ref="AN89" ca="1">IF($O89,"",
_xlfn.LET(
_xlpm._this,SanitizeInput($A89)&amp;AT89,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89" s="11" t="str" cm="1">
        <f t="array" aca="1" ref="AO89" ca="1">IF($O89,"",_xlfn.LET(
_xlpm._listOfRisksAndLevels,SanitizeInput($AN89),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_xlpm._shortenedList,IF($H89="",_xlpm._risksWithMaxValue,
  IF(LEN(_xlpm._risksWithMaxValue)-LEN(SUBSTITUTE(_xlpm._risksWithMaxValue,",",""))&lt;=$H89,_xlpm._risksWithMaxValue,
    LEFT(_xlpm._risksWithMaxValue,FIND(CHAR(1),SUBSTITUTE(_xlpm._risksWithMaxValue,",",CHAR(1),$H89))))),
IF(_xlpm._maxRiskValue="","",
  _xlpm._lineMainSeparator&amp;
  INDEX(Definitions!$AE:$AE,MATCH(_xlpm._maxRiskValue,Definitions!$AF:$AF,0))&amp;CHAR(10)&amp;
  _xlpm._lineMainSeparator&amp;
  RemoveDelimiter(GetValues(_xlpm._shortenedList,Risks!$A:$B," ",CHAR(10)&amp;_xlpm._lineMainSeparator,TRUE),CHAR(10)&amp;_xlpm._lineMainSeparator))))</f>
        <v/>
      </c>
      <c r="AP89" s="11" t="str" cm="1">
        <f t="array" aca="1" ref="AP89" ca="1">IF($O89,"",_xlfn.LET(
_xlpm._lineMainSeparator,REPT(_xlfn.UNICHAR(9552),63)&amp;CHAR(10),
_xlpm._affectedRisks,InverseLookupList(SanitizeInput($A89)&amp;$AT89,Risks!$AX$2,Risks!$A$2,Helper!$B$1,","),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_xlpm._shortenedList,IF($H89="",_xlpm._risksWithMaxValue,
  IF(LEN(_xlpm._risksWithMaxValue)-LEN(SUBSTITUTE(_xlpm._risksWithMaxValue,",",""))&lt;=$H89,_xlpm._risksWithMaxValue,
    LEFT(_xlpm._risksWithMaxValue,FIND(CHAR(1),SUBSTITUTE(_xlpm._risksWithMaxValue,",",CHAR(1),$H89))))),
IF(_xlpm._maxRiskValue="","",
  _xlpm._lineMainSeparator&amp;
  INDEX(Definitions!$AE:$AE,MATCH(_xlpm._maxRiskValue,Definitions!$AF:$AF,0))&amp;CHAR(10)&amp;
  _xlpm._lineMainSeparator&amp;
  RemoveDelimiter(GetValues(_xlpm._shortenedList,Risks!$A:$B," ",CHAR(10)&amp;_xlpm._lineMainSeparator,TRUE),CHAR(10)&amp;_xlpm._lineMainSeparator))))</f>
        <v/>
      </c>
      <c r="AQ89" s="11" t="str" cm="1">
        <f t="array" aca="1" ref="AQ89" ca="1">IF(NOT($O89),"",
_xlfn.LET(
_xlpm._potentialASID,$Y89,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_xlpm._commentsFiltered,SUBSTITUTE(GetValues(_xlpm._attackSteps,Mitigation!$A:$O,"","",FALSE),$X89,""),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89" s="11" t="str" cm="1">
        <f t="array" aca="1" ref="AR89" ca="1">IF(NOT($O89),"",_xlfn.LET(
_xlpm._listOfRisksAndLevels,SanitizeInput($AQ89),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_xlpm._shortenedList,IF($H89="",_xlpm._risksWithMaxValue,
  IF(LEN(_xlpm._risksWithMaxValue)-LEN(SUBSTITUTE(_xlpm._risksWithMaxValue,",",""))&lt;=$H89,_xlpm._risksWithMaxValue,
    LEFT(_xlpm._risksWithMaxValue,FIND(CHAR(1),SUBSTITUTE(_xlpm._risksWithMaxValue,",",CHAR(1),$H89))))),
IF(_xlpm._maxRiskValue="","",
  _xlpm._lineMainSeparator&amp;
  INDEX(Definitions!$AE:$AE,MATCH(_xlpm._maxRiskValue,Definitions!$AF:$AF,0))&amp;CHAR(10)&amp;
  _xlpm._lineMainSeparator&amp;
  RemoveDelimiter(GetValues(_xlpm._shortenedList,Risks!$A:$B," ",CHAR(10)&amp;_xlpm._lineMainSeparator,TRUE),CHAR(10)&amp;_xlpm._lineMainSeparator))))</f>
        <v/>
      </c>
      <c r="AS89" s="11" t="str" cm="1">
        <f t="array" aca="1" ref="AS89" ca="1">IF(NOT($O89),"",
_xlfn.LET(
_xlpm._lineMainSeparator,REPT(_xlfn.UNICHAR(9552),63)&amp;CHAR(10),
_xlpm._potentialASID,$Y89,
_xlpm._risk,IFERROR(SimpleLookup(_xlpm._potentialASID,Mitigation!$A:$N),""),
_xlpm._attackPaths,IFERROR(SimpleLookup(_xlpm._potentialASID,Mitigation!$A:$M),""),
IF(_xlpm._risk="","",
_xlpm._lineMainSeparator&amp;
_xlpm._risk&amp;CHAR(10)&amp;
_xlpm._lineMainSeparator&amp;
_xlpm._attackPaths)))</f>
        <v/>
      </c>
      <c r="AT89" s="11" t="str" cm="1">
        <f t="array" aca="1" ref="AT89" ca="1">InverseLookup($A89,Countermeasures!$AA$2,Countermeasures!$A$2,1,Helper!$B$4,",")</f>
        <v/>
      </c>
    </row>
    <row r="90" spans="1:47" x14ac:dyDescent="0.25">
      <c r="A90" s="106" t="str">
        <f ca="1">_xlfn.LET(
_xlpm._isAssumption,$M90,
_xlpm._row,$N90,
_xlpm._numActiveAssumptions,Helper!$B$8,
_xlpm._numActiveCountermeasures,Helper!$B$9,
_xlpm._numAdditionalAssumptions,Helper!$B$10,
_xlpm._numAdditionalCountermeasures,Helper!$B$11,
IF(_xlpm._isAssumption,
IF(_xlpm._row&gt;_xlpm._numActiveAssumptions,
$Y90&amp;"-A"&amp;$T90,
INDEX(Assumptions!A:A,MATCH(_xlpm._row,Assumptions!$AC:$AC,0))),
IF(_xlpm._row&gt;_xlpm._numActiveCountermeasures+_xlpm._numAdditionalCountermeasures,"",
IF(_xlpm._row&gt;_xlpm._numActiveCountermeasures,
$Y90&amp;"-C"&amp;$T90,
INDEX(Countermeasures!$A:$A,MATCH(_xlpm._row,Countermeasures!$AE:$AE,0))))))</f>
        <v/>
      </c>
      <c r="B90" s="106" t="str" cm="1">
        <f t="array" aca="1" ref="B90" ca="1">IF($A90="","",
_xlfn.LET(
_xlpm._isAssumption,$M90,
_xlpm._isAdditionalElement,$O90,
IF(_xlpm._isAdditionalElement,
IF(_xlpm._isAssumption,
ParseElementsFromComment($X90,Definitions!$AR$4,Definitions!$AS$4,Definitions!$AR$6,$T90),
ParseElementsFromComment($X90,Definitions!$AR$5,Definitions!$AS$5,Definitions!$AR$6,$T90)),
_xlfn.LET(_xlpm._value,IF($A90="","",IF($M90,SimpleLookup($A90,Assumptions!$A:$B),SimpleLookup($A90,Countermeasures!$A:$B))),IF(_xlpm._value="","",_xlpm._value)))))</f>
        <v/>
      </c>
      <c r="C90" s="106" t="str" cm="1">
        <f t="array" aca="1" ref="C90" ca="1">IF($A90="","",IF($M90,IFERROR(SimpleLookup($A90,Assumptions!$A:$E),""),Definitions!$AO$4))</f>
        <v/>
      </c>
      <c r="D90" s="103" t="str">
        <f t="shared" ca="1" si="16"/>
        <v/>
      </c>
      <c r="E90" s="107"/>
      <c r="F90" s="108" t="str">
        <f t="shared" ca="1" si="17"/>
        <v/>
      </c>
      <c r="G90" s="102" t="str" cm="1">
        <f t="array" aca="1" ref="G90" ca="1">_xlfn.LET(_xlpm._val,IFERROR(SimpleLookup($A90,Countermeasures!$A:$S),IFERROR(SimpleLookup($A90,Assumptions!$A:$S),"")),IF(_xlpm._val="","",_xlpm._val))</f>
        <v/>
      </c>
      <c r="H90" s="109" t="str">
        <f>""</f>
        <v/>
      </c>
      <c r="I90" s="102" t="str">
        <f t="shared" ca="1" si="18"/>
        <v/>
      </c>
      <c r="J90" s="102" t="str">
        <f t="shared" ca="1" si="19"/>
        <v/>
      </c>
      <c r="K90" s="106" t="str" cm="1">
        <f t="array" aca="1" ref="K90" ca="1">_xlfn.LET(_xlpm._value,IF($A90="","",IFERROR(IF($M90,SimpleLookup($A90,Assumptions!$A:$T),SimpleLookup($A90,Countermeasures!$A:$T)),"")),
IF(_xlpm._value="","",_xlpm._value))</f>
        <v/>
      </c>
      <c r="L90" s="9" cm="1">
        <f t="array" aca="1" ref="L90" ca="1">CreateID($L$17,$A90&lt;&gt;"")</f>
        <v>11</v>
      </c>
      <c r="M90" s="9" t="b">
        <f ca="1">_xlfn.LET(_xlpm._row,ROW()-ROW($N$17),
_xlpm._numActiveAssumptions,Helper!$B$8,
_xlpm._numAdditionalAssumptions,SUM(Table24['# Elements]),
_xlpm._row&lt;=_xlpm._numActiveAssumptions+_xlpm._numAdditionalAssumptions)</f>
        <v>0</v>
      </c>
      <c r="N90" s="9">
        <f ca="1">_xlfn.LET(_xlpm._row,ROW()-ROW($N$17),
_xlpm._numActiveAssumptions,Helper!$B$8,
_xlpm._numAdditionalAssumptions,Helper!$B$10,
_xlpm._isAssumption,$M90,
_xlpm._elementID,IF(_xlpm._isAssumption,_xlpm._row,_xlpm._row-_xlpm._numActiveAssumptions-_xlpm._numAdditionalAssumptions),
_xlpm._elementID)</f>
        <v>69</v>
      </c>
      <c r="O90"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90" s="11" cm="1">
        <f t="array" aca="1" ref="P90" ca="1">IF($O90,
IF(ROW()=ROW($P$17)+1,1,INDEX($P:$P,ROW()-1)+IF(INDEX($W:$W,ROW()-1),1,0)),
1)</f>
        <v>1</v>
      </c>
      <c r="Q90" s="11" t="str" cm="1">
        <f t="array" aca="1" ref="Q90" ca="1">IF($O90=TRUE,
_xlfn.LET(
_xlpm._isAssumption,$M90,
_xlpm._indexRange,IF(_xlpm._isAssumption,Table24['# Elements],Table25['# Elements]),
_xlpm._lookupRow,$Z90,
INDEX(_xlpm._indexRange,_xlpm._lookupRow)),
"")</f>
        <v/>
      </c>
      <c r="R90" s="11" t="str" cm="1">
        <f t="array" aca="1" ref="R90" ca="1">IF($Q90="","",_xlfn.LET(
_xlpm._prevRow,ROW()-1,
IF(OR(INDEX($Q:$Q,_xlpm._prevRow)&lt;&gt;$Q90,INDEX($P:$P,_xlpm._prevRow)&lt;&gt;$P90),
1,
INDEX($R:$R,_xlpm._prevRow)+IF(INDEX($V:$V,_xlpm._prevRow),1,0))))</f>
        <v/>
      </c>
      <c r="S90" s="11" t="str" cm="1">
        <f t="array" aca="1" ref="S90" ca="1">IF($R90="","",_xlfn.LET(
_xlpm._isAssumption,$M90,
_xlpm._sheetRow,$Z90,
_xlpm._sheetName,$AA90,
_xlpm._elementIDRange,IF(_xlpm._isAssumption,Table24[Element ID Column],Table25[Element ID Column]),
_xlpm._numberOfElementsRange,IF(_xlpm._isAssumption,Table24[Number of Elements Column],Table25[Number of Elements Column]),
SimpleLookup($R90,INDIRECT("'"&amp;_xlpm._sheetName&amp;"'!"&amp;INDEX(_xlpm._elementIDRange,_xlpm._sheetRow)&amp;":"&amp;INDEX(_xlpm._numberOfElementsRange,_xlpm._sheetRow)))))</f>
        <v/>
      </c>
      <c r="T90" s="11" t="str" cm="1">
        <f t="array" aca="1" ref="T90" ca="1">IF($R90="","",IF(OR(INDEX($R:$R,ROW()-1)&lt;&gt;$R90,INDEX($P:$P,ROW()-1)&lt;&gt;$P90),1,INDEX($T:$T,ROW()-1)+1))</f>
        <v/>
      </c>
      <c r="U90" s="11">
        <f t="shared" ca="1" si="26"/>
        <v>0</v>
      </c>
      <c r="V90" s="11" t="str">
        <f t="shared" ca="1" si="27"/>
        <v/>
      </c>
      <c r="W90" s="11" t="b">
        <f ca="1">_xlfn.LET(
_xlpm._isAssumption,$M90,
_xlpm._numberOfElementsRange,IF(_xlpm._isAssumption,Table24['# Elements],Table25['# Elements]),
_xlpm._sheetRow,$Z90,
IF($O90,AND($V90,$U90=$Q90),FALSE))</f>
        <v>0</v>
      </c>
      <c r="X90" s="11" t="str" cm="1">
        <f t="array" aca="1" ref="X90" ca="1">IF($O90,
_xlfn.LET(
_xlpm._elementID,$R90,
_xlpm._isAssumption,$M90,
_xlpm._sheetRow,$Z90,
_xlpm._sheetName,$AA90,
_xlpm._elementRow,$AB90,
_xlpm._resultColumnLetter,IF(_xlpm._isAssumption,INDEX(Table24[Comment Column],_xlpm._sheetRow),INDEX(Table25[Comment Column],_xlpm._sheetRow)),
INDEX(INDIRECT("'"&amp;_xlpm._sheetName&amp;"'!"&amp;_xlpm._resultColumnLetter&amp;":"&amp;_xlpm._resultColumnLetter),_xlpm._elementRow)),
"")</f>
        <v/>
      </c>
      <c r="Y90" s="11" t="str" cm="1">
        <f t="array" aca="1" ref="Y90" ca="1">IF($O90,
_xlfn.LET(
_xlpm._elementID,$R90,
_xlpm._isAssumption,$M90,
_xlpm._sheetRow,$Z90,
_xlpm._sheetName,$AA90,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90" s="11" t="str">
        <f ca="1">IF($O90=TRUE,
_xlfn.LET(
_xlpm._isAssumption,$M90,
_xlpm._searchRange,IF(_xlpm._isAssumption,Table24[Task Sheet Shadow ID],Table25[Task Sheet Shadow ID]),
MATCH($P90,_xlpm._searchRange,0)),
"")</f>
        <v/>
      </c>
      <c r="AA90" s="11" t="str" cm="1">
        <f t="array" aca="1" ref="AA90" ca="1">IF($O90,
_xlfn.LET(
_xlpm._isAssumption,$M90,
_xlpm._sheetRow,$Z90,
IF(_xlpm._isAssumption,INDEX(Table24[Sheet Name],_xlpm._sheetRow),INDEX(Table25[Sheet Name],_xlpm._sheetRow))),
"")</f>
        <v/>
      </c>
      <c r="AB90" s="11" t="str" cm="1">
        <f t="array" aca="1" ref="AB90" ca="1">IF($O90,
_xlfn.LET(
_xlpm._elementID,$R90,
_xlpm._isAssumption,$M90,
_xlpm._sheetRow,$Z90,
_xlpm._sheetName,$AA90,
_xlpm._elementIDColumnLetter,IF(_xlpm._isAssumption,INDEX(Table24[Element ID Column],_xlpm._sheetRow),INDEX(Table25[Element ID Column],_xlpm._sheetRow)),
MATCH(_xlpm._elementID,INDIRECT("'"&amp;_xlpm._sheetName&amp;"'!"&amp;_xlpm._elementIDColumnLetter&amp;":"&amp;_xlpm._elementIDColumnLetter),0)),
"")</f>
        <v/>
      </c>
      <c r="AC90" s="11" t="str" cm="1">
        <f t="array" aca="1" ref="AC90" ca="1">IF($A90="","",_xlfn.LET(
_xlpm._isAssumption,$M90,
_xlpm._isAdditionalElement,$O90,
_xlpm._sheetRow,$Z90,
_xlpm._sheetName,$AA90,
_xlpm._columnLetter,INDEX(IF(_xlpm._isAdditionalElement,Table24[Comment Column],Table25[Comment Column]),_xlpm._sheetRow),
_xlpm._sheetReference,IF(_xlpm._isAssumption,IF(_xlpm._isAdditionalElement,
CELL("address",INDEX(INDIRECT("'"&amp;_xlpm._sheetName&amp;"'!"&amp;_xlpm._columnLetter&amp;":"&amp;_xlpm._columnLetter),$AB90)),
CELL("address",INDEX(Assumptions!$A:$A,MATCH($A90,Assumptions!$A:$A,0),1))),
IF(_xlpm._isAdditionalElement,
CELL("address",INDEX(INDIRECT("'"&amp;_xlpm._sheetName&amp;"'!"&amp;_xlpm._columnLetter&amp;":"&amp;_xlpm._columnLetter),$AB90)),
CELL("address",INDEX(Countermeasures!$A:$A,MATCH($A90,Countermeasures!$A:$A,0),1)))),
_xlpm._start,FIND("]",_xlpm._sheetReference),
"'"&amp;SUBSTITUTE(SUBSTITUTE(RIGHT(_xlpm._sheetReference,LEN(_xlpm._sheetReference)-_xlpm._start),"'",""),"!","'!")))</f>
        <v/>
      </c>
      <c r="AD90" s="11" t="str" cm="1">
        <f t="array" aca="1" ref="AD90" ca="1">IF(NOT($O90),
_xlfn.LET(_xlpm._value,IF($A90="","",IF($M90,SimpleLookup($A90,Assumptions!$A:$AG),SimpleLookup($A90,Countermeasures!$A:$AJ))),
IF(_xlpm._value="","",_xlpm._value)),
"")</f>
        <v/>
      </c>
      <c r="AE90" s="11" t="str" cm="1">
        <f t="array" aca="1" ref="AE90" ca="1">LookupNames(InverseLookup($A90,Mitigation!$AD$2,Mitigation!$A$2,1,Helper!$B$5,","),'Attack Steps'!$A:$B)</f>
        <v/>
      </c>
      <c r="AF90" s="11" t="str" cm="1">
        <f t="array" aca="1" ref="AF90" ca="1">IF($O90,
_xlfn.LET(
_xlpm._in,$A90,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90" s="11" t="str" cm="1">
        <f t="array" aca="1" ref="AG90" ca="1">_xlfn.LET(
_xlpm._countermeasures,InverseLookup($A90,Countermeasures!$AC$2,Countermeasures!$A$2,1,Helper!$B$4,","),
LookupNames(_xlpm._countermeasures,Countermeasures!$A:$B))</f>
        <v/>
      </c>
      <c r="AH90" s="11" t="str" cm="1">
        <f t="array" aca="1" ref="AH90" ca="1">IF($E90="","",_xlfn.LET(
_xlpm._id,$E90,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90" s="11" t="str" cm="1">
        <f t="array" aca="1" ref="AI90" ca="1">IF(OR($A90="",$O90),"",_xlfn.LET(
_xlpm._answers,IF($M90,SimpleLookup($A90,Assumptions!$A:$F),SimpleLookup($A90,Countermeasures!$A:$D)),
IF(_xlpm._answers="*",IF($M90,SimpleLookup($A90,Assumptions!$A:$C),SimpleLookup($A90,Countermeasures!$A:$C)),"")))</f>
        <v/>
      </c>
      <c r="AJ90" s="11" t="str" cm="1">
        <f t="array" aca="1" ref="AJ90" ca="1">IF(NOT($O90),"",_xlfn.LET(
_xlpm._mappedInMitigation,IFERROR(VLOOKUP($Y90,'Attack Steps'!$A:$P,COLUMNS('Attack Steps'!$A:$P),FALSE),""),
CreateSearchString(_xlpm._mappedInMitigation)))</f>
        <v/>
      </c>
      <c r="AK90" s="11" t="b">
        <f ca="1">ROW()-ROW($AK$17)=Helper!$B$15</f>
        <v>0</v>
      </c>
      <c r="AL90" s="11" t="str">
        <f t="shared" ca="1" si="28"/>
        <v/>
      </c>
      <c r="AM90" s="11" cm="1">
        <f t="array" aca="1" ref="AM90" ca="1">CreateID($AM$17,$AL90&lt;&gt;"")</f>
        <v>0</v>
      </c>
      <c r="AN90" s="11" t="str" cm="1">
        <f t="array" aca="1" ref="AN90" ca="1">IF($O90,"",
_xlfn.LET(
_xlpm._this,SanitizeInput($A90)&amp;AT90,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90" s="11" t="str" cm="1">
        <f t="array" aca="1" ref="AO90" ca="1">IF($O90,"",_xlfn.LET(
_xlpm._listOfRisksAndLevels,SanitizeInput($AN90),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_xlpm._shortenedList,IF($H90="",_xlpm._risksWithMaxValue,
  IF(LEN(_xlpm._risksWithMaxValue)-LEN(SUBSTITUTE(_xlpm._risksWithMaxValue,",",""))&lt;=$H90,_xlpm._risksWithMaxValue,
    LEFT(_xlpm._risksWithMaxValue,FIND(CHAR(1),SUBSTITUTE(_xlpm._risksWithMaxValue,",",CHAR(1),$H90))))),
IF(_xlpm._maxRiskValue="","",
  _xlpm._lineMainSeparator&amp;
  INDEX(Definitions!$AE:$AE,MATCH(_xlpm._maxRiskValue,Definitions!$AF:$AF,0))&amp;CHAR(10)&amp;
  _xlpm._lineMainSeparator&amp;
  RemoveDelimiter(GetValues(_xlpm._shortenedList,Risks!$A:$B," ",CHAR(10)&amp;_xlpm._lineMainSeparator,TRUE),CHAR(10)&amp;_xlpm._lineMainSeparator))))</f>
        <v/>
      </c>
      <c r="AP90" s="11" t="str" cm="1">
        <f t="array" aca="1" ref="AP90" ca="1">IF($O90,"",_xlfn.LET(
_xlpm._lineMainSeparator,REPT(_xlfn.UNICHAR(9552),63)&amp;CHAR(10),
_xlpm._affectedRisks,InverseLookupList(SanitizeInput($A90)&amp;$AT90,Risks!$AX$2,Risks!$A$2,Helper!$B$1,","),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_xlpm._shortenedList,IF($H90="",_xlpm._risksWithMaxValue,
  IF(LEN(_xlpm._risksWithMaxValue)-LEN(SUBSTITUTE(_xlpm._risksWithMaxValue,",",""))&lt;=$H90,_xlpm._risksWithMaxValue,
    LEFT(_xlpm._risksWithMaxValue,FIND(CHAR(1),SUBSTITUTE(_xlpm._risksWithMaxValue,",",CHAR(1),$H90))))),
IF(_xlpm._maxRiskValue="","",
  _xlpm._lineMainSeparator&amp;
  INDEX(Definitions!$AE:$AE,MATCH(_xlpm._maxRiskValue,Definitions!$AF:$AF,0))&amp;CHAR(10)&amp;
  _xlpm._lineMainSeparator&amp;
  RemoveDelimiter(GetValues(_xlpm._shortenedList,Risks!$A:$B," ",CHAR(10)&amp;_xlpm._lineMainSeparator,TRUE),CHAR(10)&amp;_xlpm._lineMainSeparator))))</f>
        <v/>
      </c>
      <c r="AQ90" s="11" t="str" cm="1">
        <f t="array" aca="1" ref="AQ90" ca="1">IF(NOT($O90),"",
_xlfn.LET(
_xlpm._potentialASID,$Y90,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_xlpm._commentsFiltered,SUBSTITUTE(GetValues(_xlpm._attackSteps,Mitigation!$A:$O,"","",FALSE),$X90,""),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90" s="11" t="str" cm="1">
        <f t="array" aca="1" ref="AR90" ca="1">IF(NOT($O90),"",_xlfn.LET(
_xlpm._listOfRisksAndLevels,SanitizeInput($AQ90),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_xlpm._shortenedList,IF($H90="",_xlpm._risksWithMaxValue,
  IF(LEN(_xlpm._risksWithMaxValue)-LEN(SUBSTITUTE(_xlpm._risksWithMaxValue,",",""))&lt;=$H90,_xlpm._risksWithMaxValue,
    LEFT(_xlpm._risksWithMaxValue,FIND(CHAR(1),SUBSTITUTE(_xlpm._risksWithMaxValue,",",CHAR(1),$H90))))),
IF(_xlpm._maxRiskValue="","",
  _xlpm._lineMainSeparator&amp;
  INDEX(Definitions!$AE:$AE,MATCH(_xlpm._maxRiskValue,Definitions!$AF:$AF,0))&amp;CHAR(10)&amp;
  _xlpm._lineMainSeparator&amp;
  RemoveDelimiter(GetValues(_xlpm._shortenedList,Risks!$A:$B," ",CHAR(10)&amp;_xlpm._lineMainSeparator,TRUE),CHAR(10)&amp;_xlpm._lineMainSeparator))))</f>
        <v/>
      </c>
      <c r="AS90" s="11" t="str" cm="1">
        <f t="array" aca="1" ref="AS90" ca="1">IF(NOT($O90),"",
_xlfn.LET(
_xlpm._lineMainSeparator,REPT(_xlfn.UNICHAR(9552),63)&amp;CHAR(10),
_xlpm._potentialASID,$Y90,
_xlpm._risk,IFERROR(SimpleLookup(_xlpm._potentialASID,Mitigation!$A:$N),""),
_xlpm._attackPaths,IFERROR(SimpleLookup(_xlpm._potentialASID,Mitigation!$A:$M),""),
IF(_xlpm._risk="","",
_xlpm._lineMainSeparator&amp;
_xlpm._risk&amp;CHAR(10)&amp;
_xlpm._lineMainSeparator&amp;
_xlpm._attackPaths)))</f>
        <v/>
      </c>
      <c r="AT90" s="11" t="str" cm="1">
        <f t="array" aca="1" ref="AT90" ca="1">InverseLookup($A90,Countermeasures!$AA$2,Countermeasures!$A$2,1,Helper!$B$4,",")</f>
        <v/>
      </c>
    </row>
    <row r="91" spans="1:47" x14ac:dyDescent="0.25">
      <c r="A91" s="106" t="str">
        <f ca="1">_xlfn.LET(
_xlpm._isAssumption,$M91,
_xlpm._row,$N91,
_xlpm._numActiveAssumptions,Helper!$B$8,
_xlpm._numActiveCountermeasures,Helper!$B$9,
_xlpm._numAdditionalAssumptions,Helper!$B$10,
_xlpm._numAdditionalCountermeasures,Helper!$B$11,
IF(_xlpm._isAssumption,
IF(_xlpm._row&gt;_xlpm._numActiveAssumptions,
$Y91&amp;"-A"&amp;$T91,
INDEX(Assumptions!A:A,MATCH(_xlpm._row,Assumptions!$AC:$AC,0))),
IF(_xlpm._row&gt;_xlpm._numActiveCountermeasures+_xlpm._numAdditionalCountermeasures,"",
IF(_xlpm._row&gt;_xlpm._numActiveCountermeasures,
$Y91&amp;"-C"&amp;$T91,
INDEX(Countermeasures!$A:$A,MATCH(_xlpm._row,Countermeasures!$AE:$AE,0))))))</f>
        <v/>
      </c>
      <c r="B91" s="106" t="str" cm="1">
        <f t="array" aca="1" ref="B91" ca="1">IF($A91="","",
_xlfn.LET(
_xlpm._isAssumption,$M91,
_xlpm._isAdditionalElement,$O91,
IF(_xlpm._isAdditionalElement,
IF(_xlpm._isAssumption,
ParseElementsFromComment($X91,Definitions!$AR$4,Definitions!$AS$4,Definitions!$AR$6,$T91),
ParseElementsFromComment($X91,Definitions!$AR$5,Definitions!$AS$5,Definitions!$AR$6,$T91)),
_xlfn.LET(_xlpm._value,IF($A91="","",IF($M91,SimpleLookup($A91,Assumptions!$A:$B),SimpleLookup($A91,Countermeasures!$A:$B))),IF(_xlpm._value="","",_xlpm._value)))))</f>
        <v/>
      </c>
      <c r="C91" s="106" t="str" cm="1">
        <f t="array" aca="1" ref="C91" ca="1">IF($A91="","",IF($M91,IFERROR(SimpleLookup($A91,Assumptions!$A:$E),""),Definitions!$AO$4))</f>
        <v/>
      </c>
      <c r="D91" s="103" t="str">
        <f t="shared" ca="1" si="16"/>
        <v/>
      </c>
      <c r="E91" s="107"/>
      <c r="F91" s="108" t="str">
        <f t="shared" ca="1" si="17"/>
        <v/>
      </c>
      <c r="G91" s="102" t="str" cm="1">
        <f t="array" aca="1" ref="G91" ca="1">_xlfn.LET(_xlpm._val,IFERROR(SimpleLookup($A91,Countermeasures!$A:$S),IFERROR(SimpleLookup($A91,Assumptions!$A:$S),"")),IF(_xlpm._val="","",_xlpm._val))</f>
        <v/>
      </c>
      <c r="H91" s="109" t="str">
        <f>""</f>
        <v/>
      </c>
      <c r="I91" s="102" t="str">
        <f t="shared" ca="1" si="18"/>
        <v/>
      </c>
      <c r="J91" s="102" t="str">
        <f t="shared" ca="1" si="19"/>
        <v/>
      </c>
      <c r="K91" s="106" t="str" cm="1">
        <f t="array" aca="1" ref="K91" ca="1">_xlfn.LET(_xlpm._value,IF($A91="","",IFERROR(IF($M91,SimpleLookup($A91,Assumptions!$A:$T),SimpleLookup($A91,Countermeasures!$A:$T)),"")),
IF(_xlpm._value="","",_xlpm._value))</f>
        <v/>
      </c>
      <c r="L91" s="9" cm="1">
        <f t="array" aca="1" ref="L91" ca="1">CreateID($L$17,$A91&lt;&gt;"")</f>
        <v>11</v>
      </c>
      <c r="M91" s="9" t="b">
        <f ca="1">_xlfn.LET(_xlpm._row,ROW()-ROW($N$17),
_xlpm._numActiveAssumptions,Helper!$B$8,
_xlpm._numAdditionalAssumptions,SUM(Table24['# Elements]),
_xlpm._row&lt;=_xlpm._numActiveAssumptions+_xlpm._numAdditionalAssumptions)</f>
        <v>0</v>
      </c>
      <c r="N91" s="9">
        <f ca="1">_xlfn.LET(_xlpm._row,ROW()-ROW($N$17),
_xlpm._numActiveAssumptions,Helper!$B$8,
_xlpm._numAdditionalAssumptions,Helper!$B$10,
_xlpm._isAssumption,$M91,
_xlpm._elementID,IF(_xlpm._isAssumption,_xlpm._row,_xlpm._row-_xlpm._numActiveAssumptions-_xlpm._numAdditionalAssumptions),
_xlpm._elementID)</f>
        <v>70</v>
      </c>
      <c r="O91"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91" s="11" cm="1">
        <f t="array" aca="1" ref="P91" ca="1">IF($O91,
IF(ROW()=ROW($P$17)+1,1,INDEX($P:$P,ROW()-1)+IF(INDEX($W:$W,ROW()-1),1,0)),
1)</f>
        <v>1</v>
      </c>
      <c r="Q91" s="11" t="str" cm="1">
        <f t="array" aca="1" ref="Q91" ca="1">IF($O91=TRUE,
_xlfn.LET(
_xlpm._isAssumption,$M91,
_xlpm._indexRange,IF(_xlpm._isAssumption,Table24['# Elements],Table25['# Elements]),
_xlpm._lookupRow,$Z91,
INDEX(_xlpm._indexRange,_xlpm._lookupRow)),
"")</f>
        <v/>
      </c>
      <c r="R91" s="11" t="str" cm="1">
        <f t="array" aca="1" ref="R91" ca="1">IF($Q91="","",_xlfn.LET(
_xlpm._prevRow,ROW()-1,
IF(OR(INDEX($Q:$Q,_xlpm._prevRow)&lt;&gt;$Q91,INDEX($P:$P,_xlpm._prevRow)&lt;&gt;$P91),
1,
INDEX($R:$R,_xlpm._prevRow)+IF(INDEX($V:$V,_xlpm._prevRow),1,0))))</f>
        <v/>
      </c>
      <c r="S91" s="11" t="str" cm="1">
        <f t="array" aca="1" ref="S91" ca="1">IF($R91="","",_xlfn.LET(
_xlpm._isAssumption,$M91,
_xlpm._sheetRow,$Z91,
_xlpm._sheetName,$AA91,
_xlpm._elementIDRange,IF(_xlpm._isAssumption,Table24[Element ID Column],Table25[Element ID Column]),
_xlpm._numberOfElementsRange,IF(_xlpm._isAssumption,Table24[Number of Elements Column],Table25[Number of Elements Column]),
SimpleLookup($R91,INDIRECT("'"&amp;_xlpm._sheetName&amp;"'!"&amp;INDEX(_xlpm._elementIDRange,_xlpm._sheetRow)&amp;":"&amp;INDEX(_xlpm._numberOfElementsRange,_xlpm._sheetRow)))))</f>
        <v/>
      </c>
      <c r="T91" s="11" t="str" cm="1">
        <f t="array" aca="1" ref="T91" ca="1">IF($R91="","",IF(OR(INDEX($R:$R,ROW()-1)&lt;&gt;$R91,INDEX($P:$P,ROW()-1)&lt;&gt;$P91),1,INDEX($T:$T,ROW()-1)+1))</f>
        <v/>
      </c>
      <c r="U91" s="11">
        <f t="shared" ca="1" si="26"/>
        <v>0</v>
      </c>
      <c r="V91" s="11" t="str">
        <f t="shared" ca="1" si="27"/>
        <v/>
      </c>
      <c r="W91" s="11" t="b">
        <f ca="1">_xlfn.LET(
_xlpm._isAssumption,$M91,
_xlpm._numberOfElementsRange,IF(_xlpm._isAssumption,Table24['# Elements],Table25['# Elements]),
_xlpm._sheetRow,$Z91,
IF($O91,AND($V91,$U91=$Q91),FALSE))</f>
        <v>0</v>
      </c>
      <c r="X91" s="11" t="str" cm="1">
        <f t="array" aca="1" ref="X91" ca="1">IF($O91,
_xlfn.LET(
_xlpm._elementID,$R91,
_xlpm._isAssumption,$M91,
_xlpm._sheetRow,$Z91,
_xlpm._sheetName,$AA91,
_xlpm._elementRow,$AB91,
_xlpm._resultColumnLetter,IF(_xlpm._isAssumption,INDEX(Table24[Comment Column],_xlpm._sheetRow),INDEX(Table25[Comment Column],_xlpm._sheetRow)),
INDEX(INDIRECT("'"&amp;_xlpm._sheetName&amp;"'!"&amp;_xlpm._resultColumnLetter&amp;":"&amp;_xlpm._resultColumnLetter),_xlpm._elementRow)),
"")</f>
        <v/>
      </c>
      <c r="Y91" s="11" t="str" cm="1">
        <f t="array" aca="1" ref="Y91" ca="1">IF($O91,
_xlfn.LET(
_xlpm._elementID,$R91,
_xlpm._isAssumption,$M91,
_xlpm._sheetRow,$Z91,
_xlpm._sheetName,$AA91,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91" s="11" t="str">
        <f ca="1">IF($O91=TRUE,
_xlfn.LET(
_xlpm._isAssumption,$M91,
_xlpm._searchRange,IF(_xlpm._isAssumption,Table24[Task Sheet Shadow ID],Table25[Task Sheet Shadow ID]),
MATCH($P91,_xlpm._searchRange,0)),
"")</f>
        <v/>
      </c>
      <c r="AA91" s="11" t="str" cm="1">
        <f t="array" aca="1" ref="AA91" ca="1">IF($O91,
_xlfn.LET(
_xlpm._isAssumption,$M91,
_xlpm._sheetRow,$Z91,
IF(_xlpm._isAssumption,INDEX(Table24[Sheet Name],_xlpm._sheetRow),INDEX(Table25[Sheet Name],_xlpm._sheetRow))),
"")</f>
        <v/>
      </c>
      <c r="AB91" s="11" t="str" cm="1">
        <f t="array" aca="1" ref="AB91" ca="1">IF($O91,
_xlfn.LET(
_xlpm._elementID,$R91,
_xlpm._isAssumption,$M91,
_xlpm._sheetRow,$Z91,
_xlpm._sheetName,$AA91,
_xlpm._elementIDColumnLetter,IF(_xlpm._isAssumption,INDEX(Table24[Element ID Column],_xlpm._sheetRow),INDEX(Table25[Element ID Column],_xlpm._sheetRow)),
MATCH(_xlpm._elementID,INDIRECT("'"&amp;_xlpm._sheetName&amp;"'!"&amp;_xlpm._elementIDColumnLetter&amp;":"&amp;_xlpm._elementIDColumnLetter),0)),
"")</f>
        <v/>
      </c>
      <c r="AC91" s="11" t="str" cm="1">
        <f t="array" aca="1" ref="AC91" ca="1">IF($A91="","",_xlfn.LET(
_xlpm._isAssumption,$M91,
_xlpm._isAdditionalElement,$O91,
_xlpm._sheetRow,$Z91,
_xlpm._sheetName,$AA91,
_xlpm._columnLetter,INDEX(IF(_xlpm._isAdditionalElement,Table24[Comment Column],Table25[Comment Column]),_xlpm._sheetRow),
_xlpm._sheetReference,IF(_xlpm._isAssumption,IF(_xlpm._isAdditionalElement,
CELL("address",INDEX(INDIRECT("'"&amp;_xlpm._sheetName&amp;"'!"&amp;_xlpm._columnLetter&amp;":"&amp;_xlpm._columnLetter),$AB91)),
CELL("address",INDEX(Assumptions!$A:$A,MATCH($A91,Assumptions!$A:$A,0),1))),
IF(_xlpm._isAdditionalElement,
CELL("address",INDEX(INDIRECT("'"&amp;_xlpm._sheetName&amp;"'!"&amp;_xlpm._columnLetter&amp;":"&amp;_xlpm._columnLetter),$AB91)),
CELL("address",INDEX(Countermeasures!$A:$A,MATCH($A91,Countermeasures!$A:$A,0),1)))),
_xlpm._start,FIND("]",_xlpm._sheetReference),
"'"&amp;SUBSTITUTE(SUBSTITUTE(RIGHT(_xlpm._sheetReference,LEN(_xlpm._sheetReference)-_xlpm._start),"'",""),"!","'!")))</f>
        <v/>
      </c>
      <c r="AD91" s="11" t="str" cm="1">
        <f t="array" aca="1" ref="AD91" ca="1">IF(NOT($O91),
_xlfn.LET(_xlpm._value,IF($A91="","",IF($M91,SimpleLookup($A91,Assumptions!$A:$AG),SimpleLookup($A91,Countermeasures!$A:$AJ))),
IF(_xlpm._value="","",_xlpm._value)),
"")</f>
        <v/>
      </c>
      <c r="AE91" s="11" t="str" cm="1">
        <f t="array" aca="1" ref="AE91" ca="1">LookupNames(InverseLookup($A91,Mitigation!$AD$2,Mitigation!$A$2,1,Helper!$B$5,","),'Attack Steps'!$A:$B)</f>
        <v/>
      </c>
      <c r="AF91" s="11" t="str" cm="1">
        <f t="array" aca="1" ref="AF91" ca="1">IF($O91,
_xlfn.LET(
_xlpm._in,$A91,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91" s="11" t="str" cm="1">
        <f t="array" aca="1" ref="AG91" ca="1">_xlfn.LET(
_xlpm._countermeasures,InverseLookup($A91,Countermeasures!$AC$2,Countermeasures!$A$2,1,Helper!$B$4,","),
LookupNames(_xlpm._countermeasures,Countermeasures!$A:$B))</f>
        <v/>
      </c>
      <c r="AH91" s="11" t="str" cm="1">
        <f t="array" aca="1" ref="AH91" ca="1">IF($E91="","",_xlfn.LET(
_xlpm._id,$E91,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91" s="11" t="str" cm="1">
        <f t="array" aca="1" ref="AI91" ca="1">IF(OR($A91="",$O91),"",_xlfn.LET(
_xlpm._answers,IF($M91,SimpleLookup($A91,Assumptions!$A:$F),SimpleLookup($A91,Countermeasures!$A:$D)),
IF(_xlpm._answers="*",IF($M91,SimpleLookup($A91,Assumptions!$A:$C),SimpleLookup($A91,Countermeasures!$A:$C)),"")))</f>
        <v/>
      </c>
      <c r="AJ91" s="11" t="str" cm="1">
        <f t="array" aca="1" ref="AJ91" ca="1">IF(NOT($O91),"",_xlfn.LET(
_xlpm._mappedInMitigation,IFERROR(VLOOKUP($Y91,'Attack Steps'!$A:$P,COLUMNS('Attack Steps'!$A:$P),FALSE),""),
CreateSearchString(_xlpm._mappedInMitigation)))</f>
        <v/>
      </c>
      <c r="AK91" s="11" t="b">
        <f ca="1">ROW()-ROW($AK$17)=Helper!$B$15</f>
        <v>0</v>
      </c>
      <c r="AL91" s="11" t="str">
        <f t="shared" ca="1" si="28"/>
        <v/>
      </c>
      <c r="AM91" s="11" cm="1">
        <f t="array" aca="1" ref="AM91" ca="1">CreateID($AM$17,$AL91&lt;&gt;"")</f>
        <v>0</v>
      </c>
      <c r="AN91" s="11" t="str" cm="1">
        <f t="array" aca="1" ref="AN91" ca="1">IF($O91,"",
_xlfn.LET(
_xlpm._this,SanitizeInput($A91)&amp;AT91,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91" s="11" t="str" cm="1">
        <f t="array" aca="1" ref="AO91" ca="1">IF($O91,"",_xlfn.LET(
_xlpm._listOfRisksAndLevels,SanitizeInput($AN91),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_xlpm._shortenedList,IF($H91="",_xlpm._risksWithMaxValue,
  IF(LEN(_xlpm._risksWithMaxValue)-LEN(SUBSTITUTE(_xlpm._risksWithMaxValue,",",""))&lt;=$H91,_xlpm._risksWithMaxValue,
    LEFT(_xlpm._risksWithMaxValue,FIND(CHAR(1),SUBSTITUTE(_xlpm._risksWithMaxValue,",",CHAR(1),$H91))))),
IF(_xlpm._maxRiskValue="","",
  _xlpm._lineMainSeparator&amp;
  INDEX(Definitions!$AE:$AE,MATCH(_xlpm._maxRiskValue,Definitions!$AF:$AF,0))&amp;CHAR(10)&amp;
  _xlpm._lineMainSeparator&amp;
  RemoveDelimiter(GetValues(_xlpm._shortenedList,Risks!$A:$B," ",CHAR(10)&amp;_xlpm._lineMainSeparator,TRUE),CHAR(10)&amp;_xlpm._lineMainSeparator))))</f>
        <v/>
      </c>
      <c r="AP91" s="11" t="str" cm="1">
        <f t="array" aca="1" ref="AP91" ca="1">IF($O91,"",_xlfn.LET(
_xlpm._lineMainSeparator,REPT(_xlfn.UNICHAR(9552),63)&amp;CHAR(10),
_xlpm._affectedRisks,InverseLookupList(SanitizeInput($A91)&amp;$AT91,Risks!$AX$2,Risks!$A$2,Helper!$B$1,","),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_xlpm._shortenedList,IF($H91="",_xlpm._risksWithMaxValue,
  IF(LEN(_xlpm._risksWithMaxValue)-LEN(SUBSTITUTE(_xlpm._risksWithMaxValue,",",""))&lt;=$H91,_xlpm._risksWithMaxValue,
    LEFT(_xlpm._risksWithMaxValue,FIND(CHAR(1),SUBSTITUTE(_xlpm._risksWithMaxValue,",",CHAR(1),$H91))))),
IF(_xlpm._maxRiskValue="","",
  _xlpm._lineMainSeparator&amp;
  INDEX(Definitions!$AE:$AE,MATCH(_xlpm._maxRiskValue,Definitions!$AF:$AF,0))&amp;CHAR(10)&amp;
  _xlpm._lineMainSeparator&amp;
  RemoveDelimiter(GetValues(_xlpm._shortenedList,Risks!$A:$B," ",CHAR(10)&amp;_xlpm._lineMainSeparator,TRUE),CHAR(10)&amp;_xlpm._lineMainSeparator))))</f>
        <v/>
      </c>
      <c r="AQ91" s="11" t="str" cm="1">
        <f t="array" aca="1" ref="AQ91" ca="1">IF(NOT($O91),"",
_xlfn.LET(
_xlpm._potentialASID,$Y91,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_xlpm._commentsFiltered,SUBSTITUTE(GetValues(_xlpm._attackSteps,Mitigation!$A:$O,"","",FALSE),$X91,""),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91" s="11" t="str" cm="1">
        <f t="array" aca="1" ref="AR91" ca="1">IF(NOT($O91),"",_xlfn.LET(
_xlpm._listOfRisksAndLevels,SanitizeInput($AQ91),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_xlpm._shortenedList,IF($H91="",_xlpm._risksWithMaxValue,
  IF(LEN(_xlpm._risksWithMaxValue)-LEN(SUBSTITUTE(_xlpm._risksWithMaxValue,",",""))&lt;=$H91,_xlpm._risksWithMaxValue,
    LEFT(_xlpm._risksWithMaxValue,FIND(CHAR(1),SUBSTITUTE(_xlpm._risksWithMaxValue,",",CHAR(1),$H91))))),
IF(_xlpm._maxRiskValue="","",
  _xlpm._lineMainSeparator&amp;
  INDEX(Definitions!$AE:$AE,MATCH(_xlpm._maxRiskValue,Definitions!$AF:$AF,0))&amp;CHAR(10)&amp;
  _xlpm._lineMainSeparator&amp;
  RemoveDelimiter(GetValues(_xlpm._shortenedList,Risks!$A:$B," ",CHAR(10)&amp;_xlpm._lineMainSeparator,TRUE),CHAR(10)&amp;_xlpm._lineMainSeparator))))</f>
        <v/>
      </c>
      <c r="AS91" s="11" t="str" cm="1">
        <f t="array" aca="1" ref="AS91" ca="1">IF(NOT($O91),"",
_xlfn.LET(
_xlpm._lineMainSeparator,REPT(_xlfn.UNICHAR(9552),63)&amp;CHAR(10),
_xlpm._potentialASID,$Y91,
_xlpm._risk,IFERROR(SimpleLookup(_xlpm._potentialASID,Mitigation!$A:$N),""),
_xlpm._attackPaths,IFERROR(SimpleLookup(_xlpm._potentialASID,Mitigation!$A:$M),""),
IF(_xlpm._risk="","",
_xlpm._lineMainSeparator&amp;
_xlpm._risk&amp;CHAR(10)&amp;
_xlpm._lineMainSeparator&amp;
_xlpm._attackPaths)))</f>
        <v/>
      </c>
      <c r="AT91" s="11" t="str" cm="1">
        <f t="array" aca="1" ref="AT91" ca="1">InverseLookup($A91,Countermeasures!$AA$2,Countermeasures!$A$2,1,Helper!$B$4,",")</f>
        <v/>
      </c>
    </row>
    <row r="92" spans="1:47" x14ac:dyDescent="0.25">
      <c r="A92" s="106" t="str">
        <f ca="1">_xlfn.LET(
_xlpm._isAssumption,$M92,
_xlpm._row,$N92,
_xlpm._numActiveAssumptions,Helper!$B$8,
_xlpm._numActiveCountermeasures,Helper!$B$9,
_xlpm._numAdditionalAssumptions,Helper!$B$10,
_xlpm._numAdditionalCountermeasures,Helper!$B$11,
IF(_xlpm._isAssumption,
IF(_xlpm._row&gt;_xlpm._numActiveAssumptions,
$Y92&amp;"-A"&amp;$T92,
INDEX(Assumptions!A:A,MATCH(_xlpm._row,Assumptions!$AC:$AC,0))),
IF(_xlpm._row&gt;_xlpm._numActiveCountermeasures+_xlpm._numAdditionalCountermeasures,"",
IF(_xlpm._row&gt;_xlpm._numActiveCountermeasures,
$Y92&amp;"-C"&amp;$T92,
INDEX(Countermeasures!$A:$A,MATCH(_xlpm._row,Countermeasures!$AE:$AE,0))))))</f>
        <v/>
      </c>
      <c r="B92" s="106" t="str" cm="1">
        <f t="array" aca="1" ref="B92" ca="1">IF($A92="","",
_xlfn.LET(
_xlpm._isAssumption,$M92,
_xlpm._isAdditionalElement,$O92,
IF(_xlpm._isAdditionalElement,
IF(_xlpm._isAssumption,
ParseElementsFromComment($X92,Definitions!$AR$4,Definitions!$AS$4,Definitions!$AR$6,$T92),
ParseElementsFromComment($X92,Definitions!$AR$5,Definitions!$AS$5,Definitions!$AR$6,$T92)),
_xlfn.LET(_xlpm._value,IF($A92="","",IF($M92,SimpleLookup($A92,Assumptions!$A:$B),SimpleLookup($A92,Countermeasures!$A:$B))),IF(_xlpm._value="","",_xlpm._value)))))</f>
        <v/>
      </c>
      <c r="C92" s="106" t="str" cm="1">
        <f t="array" aca="1" ref="C92" ca="1">IF($A92="","",IF($M92,IFERROR(SimpleLookup($A92,Assumptions!$A:$E),""),Definitions!$AO$4))</f>
        <v/>
      </c>
      <c r="D92" s="103" t="str">
        <f t="shared" ca="1" si="16"/>
        <v/>
      </c>
      <c r="E92" s="107"/>
      <c r="F92" s="108" t="str">
        <f t="shared" ca="1" si="17"/>
        <v/>
      </c>
      <c r="G92" s="102" t="str" cm="1">
        <f t="array" aca="1" ref="G92" ca="1">_xlfn.LET(_xlpm._val,IFERROR(SimpleLookup($A92,Countermeasures!$A:$S),IFERROR(SimpleLookup($A92,Assumptions!$A:$S),"")),IF(_xlpm._val="","",_xlpm._val))</f>
        <v/>
      </c>
      <c r="H92" s="109" t="str">
        <f>""</f>
        <v/>
      </c>
      <c r="I92" s="102" t="str">
        <f t="shared" ca="1" si="18"/>
        <v/>
      </c>
      <c r="J92" s="102" t="str">
        <f t="shared" ca="1" si="19"/>
        <v/>
      </c>
      <c r="K92" s="106" t="str" cm="1">
        <f t="array" aca="1" ref="K92" ca="1">_xlfn.LET(_xlpm._value,IF($A92="","",IFERROR(IF($M92,SimpleLookup($A92,Assumptions!$A:$T),SimpleLookup($A92,Countermeasures!$A:$T)),"")),
IF(_xlpm._value="","",_xlpm._value))</f>
        <v/>
      </c>
      <c r="L92" s="9" cm="1">
        <f t="array" aca="1" ref="L92" ca="1">CreateID($L$17,$A92&lt;&gt;"")</f>
        <v>11</v>
      </c>
      <c r="M92" s="9" t="b">
        <f ca="1">_xlfn.LET(_xlpm._row,ROW()-ROW($N$17),
_xlpm._numActiveAssumptions,Helper!$B$8,
_xlpm._numAdditionalAssumptions,SUM(Table24['# Elements]),
_xlpm._row&lt;=_xlpm._numActiveAssumptions+_xlpm._numAdditionalAssumptions)</f>
        <v>0</v>
      </c>
      <c r="N92" s="9">
        <f ca="1">_xlfn.LET(_xlpm._row,ROW()-ROW($N$17),
_xlpm._numActiveAssumptions,Helper!$B$8,
_xlpm._numAdditionalAssumptions,Helper!$B$10,
_xlpm._isAssumption,$M92,
_xlpm._elementID,IF(_xlpm._isAssumption,_xlpm._row,_xlpm._row-_xlpm._numActiveAssumptions-_xlpm._numAdditionalAssumptions),
_xlpm._elementID)</f>
        <v>71</v>
      </c>
      <c r="O92"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92" s="11" cm="1">
        <f t="array" aca="1" ref="P92" ca="1">IF($O92,
IF(ROW()=ROW($P$17)+1,1,INDEX($P:$P,ROW()-1)+IF(INDEX($W:$W,ROW()-1),1,0)),
1)</f>
        <v>1</v>
      </c>
      <c r="Q92" s="11" t="str" cm="1">
        <f t="array" aca="1" ref="Q92" ca="1">IF($O92=TRUE,
_xlfn.LET(
_xlpm._isAssumption,$M92,
_xlpm._indexRange,IF(_xlpm._isAssumption,Table24['# Elements],Table25['# Elements]),
_xlpm._lookupRow,$Z92,
INDEX(_xlpm._indexRange,_xlpm._lookupRow)),
"")</f>
        <v/>
      </c>
      <c r="R92" s="11" t="str" cm="1">
        <f t="array" aca="1" ref="R92" ca="1">IF($Q92="","",_xlfn.LET(
_xlpm._prevRow,ROW()-1,
IF(OR(INDEX($Q:$Q,_xlpm._prevRow)&lt;&gt;$Q92,INDEX($P:$P,_xlpm._prevRow)&lt;&gt;$P92),
1,
INDEX($R:$R,_xlpm._prevRow)+IF(INDEX($V:$V,_xlpm._prevRow),1,0))))</f>
        <v/>
      </c>
      <c r="S92" s="11" t="str" cm="1">
        <f t="array" aca="1" ref="S92" ca="1">IF($R92="","",_xlfn.LET(
_xlpm._isAssumption,$M92,
_xlpm._sheetRow,$Z92,
_xlpm._sheetName,$AA92,
_xlpm._elementIDRange,IF(_xlpm._isAssumption,Table24[Element ID Column],Table25[Element ID Column]),
_xlpm._numberOfElementsRange,IF(_xlpm._isAssumption,Table24[Number of Elements Column],Table25[Number of Elements Column]),
SimpleLookup($R92,INDIRECT("'"&amp;_xlpm._sheetName&amp;"'!"&amp;INDEX(_xlpm._elementIDRange,_xlpm._sheetRow)&amp;":"&amp;INDEX(_xlpm._numberOfElementsRange,_xlpm._sheetRow)))))</f>
        <v/>
      </c>
      <c r="T92" s="11" t="str" cm="1">
        <f t="array" aca="1" ref="T92" ca="1">IF($R92="","",IF(OR(INDEX($R:$R,ROW()-1)&lt;&gt;$R92,INDEX($P:$P,ROW()-1)&lt;&gt;$P92),1,INDEX($T:$T,ROW()-1)+1))</f>
        <v/>
      </c>
      <c r="U92" s="11">
        <f t="shared" ca="1" si="26"/>
        <v>0</v>
      </c>
      <c r="V92" s="11" t="str">
        <f t="shared" ca="1" si="27"/>
        <v/>
      </c>
      <c r="W92" s="11" t="b">
        <f ca="1">_xlfn.LET(
_xlpm._isAssumption,$M92,
_xlpm._numberOfElementsRange,IF(_xlpm._isAssumption,Table24['# Elements],Table25['# Elements]),
_xlpm._sheetRow,$Z92,
IF($O92,AND($V92,$U92=$Q92),FALSE))</f>
        <v>0</v>
      </c>
      <c r="X92" s="11" t="str" cm="1">
        <f t="array" aca="1" ref="X92" ca="1">IF($O92,
_xlfn.LET(
_xlpm._elementID,$R92,
_xlpm._isAssumption,$M92,
_xlpm._sheetRow,$Z92,
_xlpm._sheetName,$AA92,
_xlpm._elementRow,$AB92,
_xlpm._resultColumnLetter,IF(_xlpm._isAssumption,INDEX(Table24[Comment Column],_xlpm._sheetRow),INDEX(Table25[Comment Column],_xlpm._sheetRow)),
INDEX(INDIRECT("'"&amp;_xlpm._sheetName&amp;"'!"&amp;_xlpm._resultColumnLetter&amp;":"&amp;_xlpm._resultColumnLetter),_xlpm._elementRow)),
"")</f>
        <v/>
      </c>
      <c r="Y92" s="11" t="str" cm="1">
        <f t="array" aca="1" ref="Y92" ca="1">IF($O92,
_xlfn.LET(
_xlpm._elementID,$R92,
_xlpm._isAssumption,$M92,
_xlpm._sheetRow,$Z92,
_xlpm._sheetName,$AA92,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92" s="11" t="str">
        <f ca="1">IF($O92=TRUE,
_xlfn.LET(
_xlpm._isAssumption,$M92,
_xlpm._searchRange,IF(_xlpm._isAssumption,Table24[Task Sheet Shadow ID],Table25[Task Sheet Shadow ID]),
MATCH($P92,_xlpm._searchRange,0)),
"")</f>
        <v/>
      </c>
      <c r="AA92" s="11" t="str" cm="1">
        <f t="array" aca="1" ref="AA92" ca="1">IF($O92,
_xlfn.LET(
_xlpm._isAssumption,$M92,
_xlpm._sheetRow,$Z92,
IF(_xlpm._isAssumption,INDEX(Table24[Sheet Name],_xlpm._sheetRow),INDEX(Table25[Sheet Name],_xlpm._sheetRow))),
"")</f>
        <v/>
      </c>
      <c r="AB92" s="11" t="str" cm="1">
        <f t="array" aca="1" ref="AB92" ca="1">IF($O92,
_xlfn.LET(
_xlpm._elementID,$R92,
_xlpm._isAssumption,$M92,
_xlpm._sheetRow,$Z92,
_xlpm._sheetName,$AA92,
_xlpm._elementIDColumnLetter,IF(_xlpm._isAssumption,INDEX(Table24[Element ID Column],_xlpm._sheetRow),INDEX(Table25[Element ID Column],_xlpm._sheetRow)),
MATCH(_xlpm._elementID,INDIRECT("'"&amp;_xlpm._sheetName&amp;"'!"&amp;_xlpm._elementIDColumnLetter&amp;":"&amp;_xlpm._elementIDColumnLetter),0)),
"")</f>
        <v/>
      </c>
      <c r="AC92" s="11" t="str" cm="1">
        <f t="array" aca="1" ref="AC92" ca="1">IF($A92="","",_xlfn.LET(
_xlpm._isAssumption,$M92,
_xlpm._isAdditionalElement,$O92,
_xlpm._sheetRow,$Z92,
_xlpm._sheetName,$AA92,
_xlpm._columnLetter,INDEX(IF(_xlpm._isAdditionalElement,Table24[Comment Column],Table25[Comment Column]),_xlpm._sheetRow),
_xlpm._sheetReference,IF(_xlpm._isAssumption,IF(_xlpm._isAdditionalElement,
CELL("address",INDEX(INDIRECT("'"&amp;_xlpm._sheetName&amp;"'!"&amp;_xlpm._columnLetter&amp;":"&amp;_xlpm._columnLetter),$AB92)),
CELL("address",INDEX(Assumptions!$A:$A,MATCH($A92,Assumptions!$A:$A,0),1))),
IF(_xlpm._isAdditionalElement,
CELL("address",INDEX(INDIRECT("'"&amp;_xlpm._sheetName&amp;"'!"&amp;_xlpm._columnLetter&amp;":"&amp;_xlpm._columnLetter),$AB92)),
CELL("address",INDEX(Countermeasures!$A:$A,MATCH($A92,Countermeasures!$A:$A,0),1)))),
_xlpm._start,FIND("]",_xlpm._sheetReference),
"'"&amp;SUBSTITUTE(SUBSTITUTE(RIGHT(_xlpm._sheetReference,LEN(_xlpm._sheetReference)-_xlpm._start),"'",""),"!","'!")))</f>
        <v/>
      </c>
      <c r="AD92" s="11" t="str" cm="1">
        <f t="array" aca="1" ref="AD92" ca="1">IF(NOT($O92),
_xlfn.LET(_xlpm._value,IF($A92="","",IF($M92,SimpleLookup($A92,Assumptions!$A:$AG),SimpleLookup($A92,Countermeasures!$A:$AJ))),
IF(_xlpm._value="","",_xlpm._value)),
"")</f>
        <v/>
      </c>
      <c r="AE92" s="11" t="str" cm="1">
        <f t="array" aca="1" ref="AE92" ca="1">LookupNames(InverseLookup($A92,Mitigation!$AD$2,Mitigation!$A$2,1,Helper!$B$5,","),'Attack Steps'!$A:$B)</f>
        <v/>
      </c>
      <c r="AF92" s="11" t="str" cm="1">
        <f t="array" aca="1" ref="AF92" ca="1">IF($O92,
_xlfn.LET(
_xlpm._in,$A92,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92" s="11" t="str" cm="1">
        <f t="array" aca="1" ref="AG92" ca="1">_xlfn.LET(
_xlpm._countermeasures,InverseLookup($A92,Countermeasures!$AC$2,Countermeasures!$A$2,1,Helper!$B$4,","),
LookupNames(_xlpm._countermeasures,Countermeasures!$A:$B))</f>
        <v/>
      </c>
      <c r="AH92" s="11" t="str" cm="1">
        <f t="array" aca="1" ref="AH92" ca="1">IF($E92="","",_xlfn.LET(
_xlpm._id,$E92,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92" s="11" t="str" cm="1">
        <f t="array" aca="1" ref="AI92" ca="1">IF(OR($A92="",$O92),"",_xlfn.LET(
_xlpm._answers,IF($M92,SimpleLookup($A92,Assumptions!$A:$F),SimpleLookup($A92,Countermeasures!$A:$D)),
IF(_xlpm._answers="*",IF($M92,SimpleLookup($A92,Assumptions!$A:$C),SimpleLookup($A92,Countermeasures!$A:$C)),"")))</f>
        <v/>
      </c>
      <c r="AJ92" s="11" t="str" cm="1">
        <f t="array" aca="1" ref="AJ92" ca="1">IF(NOT($O92),"",_xlfn.LET(
_xlpm._mappedInMitigation,IFERROR(VLOOKUP($Y92,'Attack Steps'!$A:$P,COLUMNS('Attack Steps'!$A:$P),FALSE),""),
CreateSearchString(_xlpm._mappedInMitigation)))</f>
        <v/>
      </c>
      <c r="AK92" s="11" t="b">
        <f ca="1">ROW()-ROW($AK$17)=Helper!$B$15</f>
        <v>0</v>
      </c>
      <c r="AL92" s="11" t="str">
        <f t="shared" ca="1" si="28"/>
        <v/>
      </c>
      <c r="AM92" s="11" cm="1">
        <f t="array" aca="1" ref="AM92" ca="1">CreateID($AM$17,$AL92&lt;&gt;"")</f>
        <v>0</v>
      </c>
      <c r="AN92" s="11" t="str" cm="1">
        <f t="array" aca="1" ref="AN92" ca="1">IF($O92,"",
_xlfn.LET(
_xlpm._this,SanitizeInput($A92)&amp;AT92,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92" s="11" t="str" cm="1">
        <f t="array" aca="1" ref="AO92" ca="1">IF($O92,"",_xlfn.LET(
_xlpm._listOfRisksAndLevels,SanitizeInput($AN92),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_xlpm._shortenedList,IF($H92="",_xlpm._risksWithMaxValue,
  IF(LEN(_xlpm._risksWithMaxValue)-LEN(SUBSTITUTE(_xlpm._risksWithMaxValue,",",""))&lt;=$H92,_xlpm._risksWithMaxValue,
    LEFT(_xlpm._risksWithMaxValue,FIND(CHAR(1),SUBSTITUTE(_xlpm._risksWithMaxValue,",",CHAR(1),$H92))))),
IF(_xlpm._maxRiskValue="","",
  _xlpm._lineMainSeparator&amp;
  INDEX(Definitions!$AE:$AE,MATCH(_xlpm._maxRiskValue,Definitions!$AF:$AF,0))&amp;CHAR(10)&amp;
  _xlpm._lineMainSeparator&amp;
  RemoveDelimiter(GetValues(_xlpm._shortenedList,Risks!$A:$B," ",CHAR(10)&amp;_xlpm._lineMainSeparator,TRUE),CHAR(10)&amp;_xlpm._lineMainSeparator))))</f>
        <v/>
      </c>
      <c r="AP92" s="11" t="str" cm="1">
        <f t="array" aca="1" ref="AP92" ca="1">IF($O92,"",_xlfn.LET(
_xlpm._lineMainSeparator,REPT(_xlfn.UNICHAR(9552),63)&amp;CHAR(10),
_xlpm._affectedRisks,InverseLookupList(SanitizeInput($A92)&amp;$AT92,Risks!$AX$2,Risks!$A$2,Helper!$B$1,","),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_xlpm._shortenedList,IF($H92="",_xlpm._risksWithMaxValue,
  IF(LEN(_xlpm._risksWithMaxValue)-LEN(SUBSTITUTE(_xlpm._risksWithMaxValue,",",""))&lt;=$H92,_xlpm._risksWithMaxValue,
    LEFT(_xlpm._risksWithMaxValue,FIND(CHAR(1),SUBSTITUTE(_xlpm._risksWithMaxValue,",",CHAR(1),$H92))))),
IF(_xlpm._maxRiskValue="","",
  _xlpm._lineMainSeparator&amp;
  INDEX(Definitions!$AE:$AE,MATCH(_xlpm._maxRiskValue,Definitions!$AF:$AF,0))&amp;CHAR(10)&amp;
  _xlpm._lineMainSeparator&amp;
  RemoveDelimiter(GetValues(_xlpm._shortenedList,Risks!$A:$B," ",CHAR(10)&amp;_xlpm._lineMainSeparator,TRUE),CHAR(10)&amp;_xlpm._lineMainSeparator))))</f>
        <v/>
      </c>
      <c r="AQ92" s="11" t="str" cm="1">
        <f t="array" aca="1" ref="AQ92" ca="1">IF(NOT($O92),"",
_xlfn.LET(
_xlpm._potentialASID,$Y92,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_xlpm._commentsFiltered,SUBSTITUTE(GetValues(_xlpm._attackSteps,Mitigation!$A:$O,"","",FALSE),$X92,""),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92" s="11" t="str" cm="1">
        <f t="array" aca="1" ref="AR92" ca="1">IF(NOT($O92),"",_xlfn.LET(
_xlpm._listOfRisksAndLevels,SanitizeInput($AQ92),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_xlpm._shortenedList,IF($H92="",_xlpm._risksWithMaxValue,
  IF(LEN(_xlpm._risksWithMaxValue)-LEN(SUBSTITUTE(_xlpm._risksWithMaxValue,",",""))&lt;=$H92,_xlpm._risksWithMaxValue,
    LEFT(_xlpm._risksWithMaxValue,FIND(CHAR(1),SUBSTITUTE(_xlpm._risksWithMaxValue,",",CHAR(1),$H92))))),
IF(_xlpm._maxRiskValue="","",
  _xlpm._lineMainSeparator&amp;
  INDEX(Definitions!$AE:$AE,MATCH(_xlpm._maxRiskValue,Definitions!$AF:$AF,0))&amp;CHAR(10)&amp;
  _xlpm._lineMainSeparator&amp;
  RemoveDelimiter(GetValues(_xlpm._shortenedList,Risks!$A:$B," ",CHAR(10)&amp;_xlpm._lineMainSeparator,TRUE),CHAR(10)&amp;_xlpm._lineMainSeparator))))</f>
        <v/>
      </c>
      <c r="AS92" s="11" t="str" cm="1">
        <f t="array" aca="1" ref="AS92" ca="1">IF(NOT($O92),"",
_xlfn.LET(
_xlpm._lineMainSeparator,REPT(_xlfn.UNICHAR(9552),63)&amp;CHAR(10),
_xlpm._potentialASID,$Y92,
_xlpm._risk,IFERROR(SimpleLookup(_xlpm._potentialASID,Mitigation!$A:$N),""),
_xlpm._attackPaths,IFERROR(SimpleLookup(_xlpm._potentialASID,Mitigation!$A:$M),""),
IF(_xlpm._risk="","",
_xlpm._lineMainSeparator&amp;
_xlpm._risk&amp;CHAR(10)&amp;
_xlpm._lineMainSeparator&amp;
_xlpm._attackPaths)))</f>
        <v/>
      </c>
      <c r="AT92" s="11" t="str" cm="1">
        <f t="array" aca="1" ref="AT92" ca="1">InverseLookup($A92,Countermeasures!$AA$2,Countermeasures!$A$2,1,Helper!$B$4,",")</f>
        <v/>
      </c>
    </row>
    <row r="93" spans="1:47" x14ac:dyDescent="0.25">
      <c r="A93" s="106" t="str">
        <f ca="1">_xlfn.LET(
_xlpm._isAssumption,$M93,
_xlpm._row,$N93,
_xlpm._numActiveAssumptions,Helper!$B$8,
_xlpm._numActiveCountermeasures,Helper!$B$9,
_xlpm._numAdditionalAssumptions,Helper!$B$10,
_xlpm._numAdditionalCountermeasures,Helper!$B$11,
IF(_xlpm._isAssumption,
IF(_xlpm._row&gt;_xlpm._numActiveAssumptions,
$Y93&amp;"-A"&amp;$T93,
INDEX(Assumptions!A:A,MATCH(_xlpm._row,Assumptions!$AC:$AC,0))),
IF(_xlpm._row&gt;_xlpm._numActiveCountermeasures+_xlpm._numAdditionalCountermeasures,"",
IF(_xlpm._row&gt;_xlpm._numActiveCountermeasures,
$Y93&amp;"-C"&amp;$T93,
INDEX(Countermeasures!$A:$A,MATCH(_xlpm._row,Countermeasures!$AE:$AE,0))))))</f>
        <v/>
      </c>
      <c r="B93" s="106" t="str" cm="1">
        <f t="array" aca="1" ref="B93" ca="1">IF($A93="","",
_xlfn.LET(
_xlpm._isAssumption,$M93,
_xlpm._isAdditionalElement,$O93,
IF(_xlpm._isAdditionalElement,
IF(_xlpm._isAssumption,
ParseElementsFromComment($X93,Definitions!$AR$4,Definitions!$AS$4,Definitions!$AR$6,$T93),
ParseElementsFromComment($X93,Definitions!$AR$5,Definitions!$AS$5,Definitions!$AR$6,$T93)),
_xlfn.LET(_xlpm._value,IF($A93="","",IF($M93,SimpleLookup($A93,Assumptions!$A:$B),SimpleLookup($A93,Countermeasures!$A:$B))),IF(_xlpm._value="","",_xlpm._value)))))</f>
        <v/>
      </c>
      <c r="C93" s="106" t="str" cm="1">
        <f t="array" aca="1" ref="C93" ca="1">IF($A93="","",IF($M93,IFERROR(SimpleLookup($A93,Assumptions!$A:$E),""),Definitions!$AO$4))</f>
        <v/>
      </c>
      <c r="D93" s="103" t="str">
        <f t="shared" ca="1" si="16"/>
        <v/>
      </c>
      <c r="E93" s="107"/>
      <c r="F93" s="108" t="str">
        <f t="shared" ca="1" si="17"/>
        <v/>
      </c>
      <c r="G93" s="102" t="str" cm="1">
        <f t="array" aca="1" ref="G93" ca="1">_xlfn.LET(_xlpm._val,IFERROR(SimpleLookup($A93,Countermeasures!$A:$S),IFERROR(SimpleLookup($A93,Assumptions!$A:$S),"")),IF(_xlpm._val="","",_xlpm._val))</f>
        <v/>
      </c>
      <c r="H93" s="109" t="str">
        <f>""</f>
        <v/>
      </c>
      <c r="I93" s="102" t="str">
        <f t="shared" ca="1" si="18"/>
        <v/>
      </c>
      <c r="J93" s="102" t="str">
        <f t="shared" ca="1" si="19"/>
        <v/>
      </c>
      <c r="K93" s="106" t="str" cm="1">
        <f t="array" aca="1" ref="K93" ca="1">_xlfn.LET(_xlpm._value,IF($A93="","",IFERROR(IF($M93,SimpleLookup($A93,Assumptions!$A:$T),SimpleLookup($A93,Countermeasures!$A:$T)),"")),
IF(_xlpm._value="","",_xlpm._value))</f>
        <v/>
      </c>
      <c r="L93" s="9" cm="1">
        <f t="array" aca="1" ref="L93" ca="1">CreateID($L$17,$A93&lt;&gt;"")</f>
        <v>11</v>
      </c>
      <c r="M93" s="9" t="b">
        <f ca="1">_xlfn.LET(_xlpm._row,ROW()-ROW($N$17),
_xlpm._numActiveAssumptions,Helper!$B$8,
_xlpm._numAdditionalAssumptions,SUM(Table24['# Elements]),
_xlpm._row&lt;=_xlpm._numActiveAssumptions+_xlpm._numAdditionalAssumptions)</f>
        <v>0</v>
      </c>
      <c r="N93" s="9">
        <f ca="1">_xlfn.LET(_xlpm._row,ROW()-ROW($N$17),
_xlpm._numActiveAssumptions,Helper!$B$8,
_xlpm._numAdditionalAssumptions,Helper!$B$10,
_xlpm._isAssumption,$M93,
_xlpm._elementID,IF(_xlpm._isAssumption,_xlpm._row,_xlpm._row-_xlpm._numActiveAssumptions-_xlpm._numAdditionalAssumptions),
_xlpm._elementID)</f>
        <v>72</v>
      </c>
      <c r="O93"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93" s="11" cm="1">
        <f t="array" aca="1" ref="P93" ca="1">IF($O93,
IF(ROW()=ROW($P$17)+1,1,INDEX($P:$P,ROW()-1)+IF(INDEX($W:$W,ROW()-1),1,0)),
1)</f>
        <v>1</v>
      </c>
      <c r="Q93" s="11" t="str" cm="1">
        <f t="array" aca="1" ref="Q93" ca="1">IF($O93=TRUE,
_xlfn.LET(
_xlpm._isAssumption,$M93,
_xlpm._indexRange,IF(_xlpm._isAssumption,Table24['# Elements],Table25['# Elements]),
_xlpm._lookupRow,$Z93,
INDEX(_xlpm._indexRange,_xlpm._lookupRow)),
"")</f>
        <v/>
      </c>
      <c r="R93" s="11" t="str" cm="1">
        <f t="array" aca="1" ref="R93" ca="1">IF($Q93="","",_xlfn.LET(
_xlpm._prevRow,ROW()-1,
IF(OR(INDEX($Q:$Q,_xlpm._prevRow)&lt;&gt;$Q93,INDEX($P:$P,_xlpm._prevRow)&lt;&gt;$P93),
1,
INDEX($R:$R,_xlpm._prevRow)+IF(INDEX($V:$V,_xlpm._prevRow),1,0))))</f>
        <v/>
      </c>
      <c r="S93" s="11" t="str" cm="1">
        <f t="array" aca="1" ref="S93" ca="1">IF($R93="","",_xlfn.LET(
_xlpm._isAssumption,$M93,
_xlpm._sheetRow,$Z93,
_xlpm._sheetName,$AA93,
_xlpm._elementIDRange,IF(_xlpm._isAssumption,Table24[Element ID Column],Table25[Element ID Column]),
_xlpm._numberOfElementsRange,IF(_xlpm._isAssumption,Table24[Number of Elements Column],Table25[Number of Elements Column]),
SimpleLookup($R93,INDIRECT("'"&amp;_xlpm._sheetName&amp;"'!"&amp;INDEX(_xlpm._elementIDRange,_xlpm._sheetRow)&amp;":"&amp;INDEX(_xlpm._numberOfElementsRange,_xlpm._sheetRow)))))</f>
        <v/>
      </c>
      <c r="T93" s="11" t="str" cm="1">
        <f t="array" aca="1" ref="T93" ca="1">IF($R93="","",IF(OR(INDEX($R:$R,ROW()-1)&lt;&gt;$R93,INDEX($P:$P,ROW()-1)&lt;&gt;$P93),1,INDEX($T:$T,ROW()-1)+1))</f>
        <v/>
      </c>
      <c r="U93" s="11">
        <f t="shared" ca="1" si="26"/>
        <v>0</v>
      </c>
      <c r="V93" s="11" t="str">
        <f t="shared" ca="1" si="27"/>
        <v/>
      </c>
      <c r="W93" s="11" t="b">
        <f ca="1">_xlfn.LET(
_xlpm._isAssumption,$M93,
_xlpm._numberOfElementsRange,IF(_xlpm._isAssumption,Table24['# Elements],Table25['# Elements]),
_xlpm._sheetRow,$Z93,
IF($O93,AND($V93,$U93=$Q93),FALSE))</f>
        <v>0</v>
      </c>
      <c r="X93" s="11" t="str" cm="1">
        <f t="array" aca="1" ref="X93" ca="1">IF($O93,
_xlfn.LET(
_xlpm._elementID,$R93,
_xlpm._isAssumption,$M93,
_xlpm._sheetRow,$Z93,
_xlpm._sheetName,$AA93,
_xlpm._elementRow,$AB93,
_xlpm._resultColumnLetter,IF(_xlpm._isAssumption,INDEX(Table24[Comment Column],_xlpm._sheetRow),INDEX(Table25[Comment Column],_xlpm._sheetRow)),
INDEX(INDIRECT("'"&amp;_xlpm._sheetName&amp;"'!"&amp;_xlpm._resultColumnLetter&amp;":"&amp;_xlpm._resultColumnLetter),_xlpm._elementRow)),
"")</f>
        <v/>
      </c>
      <c r="Y93" s="11" t="str" cm="1">
        <f t="array" aca="1" ref="Y93" ca="1">IF($O93,
_xlfn.LET(
_xlpm._elementID,$R93,
_xlpm._isAssumption,$M93,
_xlpm._sheetRow,$Z93,
_xlpm._sheetName,$AA93,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93" s="11" t="str">
        <f ca="1">IF($O93=TRUE,
_xlfn.LET(
_xlpm._isAssumption,$M93,
_xlpm._searchRange,IF(_xlpm._isAssumption,Table24[Task Sheet Shadow ID],Table25[Task Sheet Shadow ID]),
MATCH($P93,_xlpm._searchRange,0)),
"")</f>
        <v/>
      </c>
      <c r="AA93" s="11" t="str" cm="1">
        <f t="array" aca="1" ref="AA93" ca="1">IF($O93,
_xlfn.LET(
_xlpm._isAssumption,$M93,
_xlpm._sheetRow,$Z93,
IF(_xlpm._isAssumption,INDEX(Table24[Sheet Name],_xlpm._sheetRow),INDEX(Table25[Sheet Name],_xlpm._sheetRow))),
"")</f>
        <v/>
      </c>
      <c r="AB93" s="11" t="str" cm="1">
        <f t="array" aca="1" ref="AB93" ca="1">IF($O93,
_xlfn.LET(
_xlpm._elementID,$R93,
_xlpm._isAssumption,$M93,
_xlpm._sheetRow,$Z93,
_xlpm._sheetName,$AA93,
_xlpm._elementIDColumnLetter,IF(_xlpm._isAssumption,INDEX(Table24[Element ID Column],_xlpm._sheetRow),INDEX(Table25[Element ID Column],_xlpm._sheetRow)),
MATCH(_xlpm._elementID,INDIRECT("'"&amp;_xlpm._sheetName&amp;"'!"&amp;_xlpm._elementIDColumnLetter&amp;":"&amp;_xlpm._elementIDColumnLetter),0)),
"")</f>
        <v/>
      </c>
      <c r="AC93" s="11" t="str" cm="1">
        <f t="array" aca="1" ref="AC93" ca="1">IF($A93="","",_xlfn.LET(
_xlpm._isAssumption,$M93,
_xlpm._isAdditionalElement,$O93,
_xlpm._sheetRow,$Z93,
_xlpm._sheetName,$AA93,
_xlpm._columnLetter,INDEX(IF(_xlpm._isAdditionalElement,Table24[Comment Column],Table25[Comment Column]),_xlpm._sheetRow),
_xlpm._sheetReference,IF(_xlpm._isAssumption,IF(_xlpm._isAdditionalElement,
CELL("address",INDEX(INDIRECT("'"&amp;_xlpm._sheetName&amp;"'!"&amp;_xlpm._columnLetter&amp;":"&amp;_xlpm._columnLetter),$AB93)),
CELL("address",INDEX(Assumptions!$A:$A,MATCH($A93,Assumptions!$A:$A,0),1))),
IF(_xlpm._isAdditionalElement,
CELL("address",INDEX(INDIRECT("'"&amp;_xlpm._sheetName&amp;"'!"&amp;_xlpm._columnLetter&amp;":"&amp;_xlpm._columnLetter),$AB93)),
CELL("address",INDEX(Countermeasures!$A:$A,MATCH($A93,Countermeasures!$A:$A,0),1)))),
_xlpm._start,FIND("]",_xlpm._sheetReference),
"'"&amp;SUBSTITUTE(SUBSTITUTE(RIGHT(_xlpm._sheetReference,LEN(_xlpm._sheetReference)-_xlpm._start),"'",""),"!","'!")))</f>
        <v/>
      </c>
      <c r="AD93" s="11" t="str" cm="1">
        <f t="array" aca="1" ref="AD93" ca="1">IF(NOT($O93),
_xlfn.LET(_xlpm._value,IF($A93="","",IF($M93,SimpleLookup($A93,Assumptions!$A:$AG),SimpleLookup($A93,Countermeasures!$A:$AJ))),
IF(_xlpm._value="","",_xlpm._value)),
"")</f>
        <v/>
      </c>
      <c r="AE93" s="11" t="str" cm="1">
        <f t="array" aca="1" ref="AE93" ca="1">LookupNames(InverseLookup($A93,Mitigation!$AD$2,Mitigation!$A$2,1,Helper!$B$5,","),'Attack Steps'!$A:$B)</f>
        <v/>
      </c>
      <c r="AF93" s="11" t="str" cm="1">
        <f t="array" aca="1" ref="AF93" ca="1">IF($O93,
_xlfn.LET(
_xlpm._in,$A93,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93" s="11" t="str" cm="1">
        <f t="array" aca="1" ref="AG93" ca="1">_xlfn.LET(
_xlpm._countermeasures,InverseLookup($A93,Countermeasures!$AC$2,Countermeasures!$A$2,1,Helper!$B$4,","),
LookupNames(_xlpm._countermeasures,Countermeasures!$A:$B))</f>
        <v/>
      </c>
      <c r="AH93" s="11" t="str" cm="1">
        <f t="array" aca="1" ref="AH93" ca="1">IF($E93="","",_xlfn.LET(
_xlpm._id,$E93,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93" s="11" t="str" cm="1">
        <f t="array" aca="1" ref="AI93" ca="1">IF(OR($A93="",$O93),"",_xlfn.LET(
_xlpm._answers,IF($M93,SimpleLookup($A93,Assumptions!$A:$F),SimpleLookup($A93,Countermeasures!$A:$D)),
IF(_xlpm._answers="*",IF($M93,SimpleLookup($A93,Assumptions!$A:$C),SimpleLookup($A93,Countermeasures!$A:$C)),"")))</f>
        <v/>
      </c>
      <c r="AJ93" s="11" t="str" cm="1">
        <f t="array" aca="1" ref="AJ93" ca="1">IF(NOT($O93),"",_xlfn.LET(
_xlpm._mappedInMitigation,IFERROR(VLOOKUP($Y93,'Attack Steps'!$A:$P,COLUMNS('Attack Steps'!$A:$P),FALSE),""),
CreateSearchString(_xlpm._mappedInMitigation)))</f>
        <v/>
      </c>
      <c r="AK93" s="11" t="b">
        <f ca="1">ROW()-ROW($AK$17)=Helper!$B$15</f>
        <v>0</v>
      </c>
      <c r="AL93" s="11" t="str">
        <f t="shared" ca="1" si="28"/>
        <v/>
      </c>
      <c r="AM93" s="11" cm="1">
        <f t="array" aca="1" ref="AM93" ca="1">CreateID($AM$17,$AL93&lt;&gt;"")</f>
        <v>0</v>
      </c>
      <c r="AN93" s="11" t="str" cm="1">
        <f t="array" aca="1" ref="AN93" ca="1">IF($O93,"",
_xlfn.LET(
_xlpm._this,SanitizeInput($A93)&amp;AT93,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93" s="11" t="str" cm="1">
        <f t="array" aca="1" ref="AO93" ca="1">IF($O93,"",_xlfn.LET(
_xlpm._listOfRisksAndLevels,SanitizeInput($AN93),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_xlpm._shortenedList,IF($H93="",_xlpm._risksWithMaxValue,
  IF(LEN(_xlpm._risksWithMaxValue)-LEN(SUBSTITUTE(_xlpm._risksWithMaxValue,",",""))&lt;=$H93,_xlpm._risksWithMaxValue,
    LEFT(_xlpm._risksWithMaxValue,FIND(CHAR(1),SUBSTITUTE(_xlpm._risksWithMaxValue,",",CHAR(1),$H93))))),
IF(_xlpm._maxRiskValue="","",
  _xlpm._lineMainSeparator&amp;
  INDEX(Definitions!$AE:$AE,MATCH(_xlpm._maxRiskValue,Definitions!$AF:$AF,0))&amp;CHAR(10)&amp;
  _xlpm._lineMainSeparator&amp;
  RemoveDelimiter(GetValues(_xlpm._shortenedList,Risks!$A:$B," ",CHAR(10)&amp;_xlpm._lineMainSeparator,TRUE),CHAR(10)&amp;_xlpm._lineMainSeparator))))</f>
        <v/>
      </c>
      <c r="AP93" s="11" t="str" cm="1">
        <f t="array" aca="1" ref="AP93" ca="1">IF($O93,"",_xlfn.LET(
_xlpm._lineMainSeparator,REPT(_xlfn.UNICHAR(9552),63)&amp;CHAR(10),
_xlpm._affectedRisks,InverseLookupList(SanitizeInput($A93)&amp;$AT93,Risks!$AX$2,Risks!$A$2,Helper!$B$1,","),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_xlpm._shortenedList,IF($H93="",_xlpm._risksWithMaxValue,
  IF(LEN(_xlpm._risksWithMaxValue)-LEN(SUBSTITUTE(_xlpm._risksWithMaxValue,",",""))&lt;=$H93,_xlpm._risksWithMaxValue,
    LEFT(_xlpm._risksWithMaxValue,FIND(CHAR(1),SUBSTITUTE(_xlpm._risksWithMaxValue,",",CHAR(1),$H93))))),
IF(_xlpm._maxRiskValue="","",
  _xlpm._lineMainSeparator&amp;
  INDEX(Definitions!$AE:$AE,MATCH(_xlpm._maxRiskValue,Definitions!$AF:$AF,0))&amp;CHAR(10)&amp;
  _xlpm._lineMainSeparator&amp;
  RemoveDelimiter(GetValues(_xlpm._shortenedList,Risks!$A:$B," ",CHAR(10)&amp;_xlpm._lineMainSeparator,TRUE),CHAR(10)&amp;_xlpm._lineMainSeparator))))</f>
        <v/>
      </c>
      <c r="AQ93" s="11" t="str" cm="1">
        <f t="array" aca="1" ref="AQ93" ca="1">IF(NOT($O93),"",
_xlfn.LET(
_xlpm._potentialASID,$Y93,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_xlpm._commentsFiltered,SUBSTITUTE(GetValues(_xlpm._attackSteps,Mitigation!$A:$O,"","",FALSE),$X93,""),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93" s="11" t="str" cm="1">
        <f t="array" aca="1" ref="AR93" ca="1">IF(NOT($O93),"",_xlfn.LET(
_xlpm._listOfRisksAndLevels,SanitizeInput($AQ93),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_xlpm._shortenedList,IF($H93="",_xlpm._risksWithMaxValue,
  IF(LEN(_xlpm._risksWithMaxValue)-LEN(SUBSTITUTE(_xlpm._risksWithMaxValue,",",""))&lt;=$H93,_xlpm._risksWithMaxValue,
    LEFT(_xlpm._risksWithMaxValue,FIND(CHAR(1),SUBSTITUTE(_xlpm._risksWithMaxValue,",",CHAR(1),$H93))))),
IF(_xlpm._maxRiskValue="","",
  _xlpm._lineMainSeparator&amp;
  INDEX(Definitions!$AE:$AE,MATCH(_xlpm._maxRiskValue,Definitions!$AF:$AF,0))&amp;CHAR(10)&amp;
  _xlpm._lineMainSeparator&amp;
  RemoveDelimiter(GetValues(_xlpm._shortenedList,Risks!$A:$B," ",CHAR(10)&amp;_xlpm._lineMainSeparator,TRUE),CHAR(10)&amp;_xlpm._lineMainSeparator))))</f>
        <v/>
      </c>
      <c r="AS93" s="11" t="str" cm="1">
        <f t="array" aca="1" ref="AS93" ca="1">IF(NOT($O93),"",
_xlfn.LET(
_xlpm._lineMainSeparator,REPT(_xlfn.UNICHAR(9552),63)&amp;CHAR(10),
_xlpm._potentialASID,$Y93,
_xlpm._risk,IFERROR(SimpleLookup(_xlpm._potentialASID,Mitigation!$A:$N),""),
_xlpm._attackPaths,IFERROR(SimpleLookup(_xlpm._potentialASID,Mitigation!$A:$M),""),
IF(_xlpm._risk="","",
_xlpm._lineMainSeparator&amp;
_xlpm._risk&amp;CHAR(10)&amp;
_xlpm._lineMainSeparator&amp;
_xlpm._attackPaths)))</f>
        <v/>
      </c>
      <c r="AT93" s="11" t="str" cm="1">
        <f t="array" aca="1" ref="AT93" ca="1">InverseLookup($A93,Countermeasures!$AA$2,Countermeasures!$A$2,1,Helper!$B$4,",")</f>
        <v/>
      </c>
    </row>
    <row r="94" spans="1:47" x14ac:dyDescent="0.25">
      <c r="A94" s="106" t="str">
        <f ca="1">_xlfn.LET(
_xlpm._isAssumption,$M94,
_xlpm._row,$N94,
_xlpm._numActiveAssumptions,Helper!$B$8,
_xlpm._numActiveCountermeasures,Helper!$B$9,
_xlpm._numAdditionalAssumptions,Helper!$B$10,
_xlpm._numAdditionalCountermeasures,Helper!$B$11,
IF(_xlpm._isAssumption,
IF(_xlpm._row&gt;_xlpm._numActiveAssumptions,
$Y94&amp;"-A"&amp;$T94,
INDEX(Assumptions!A:A,MATCH(_xlpm._row,Assumptions!$AC:$AC,0))),
IF(_xlpm._row&gt;_xlpm._numActiveCountermeasures+_xlpm._numAdditionalCountermeasures,"",
IF(_xlpm._row&gt;_xlpm._numActiveCountermeasures,
$Y94&amp;"-C"&amp;$T94,
INDEX(Countermeasures!$A:$A,MATCH(_xlpm._row,Countermeasures!$AE:$AE,0))))))</f>
        <v/>
      </c>
      <c r="B94" s="106" t="str" cm="1">
        <f t="array" aca="1" ref="B94" ca="1">IF($A94="","",
_xlfn.LET(
_xlpm._isAssumption,$M94,
_xlpm._isAdditionalElement,$O94,
IF(_xlpm._isAdditionalElement,
IF(_xlpm._isAssumption,
ParseElementsFromComment($X94,Definitions!$AR$4,Definitions!$AS$4,Definitions!$AR$6,$T94),
ParseElementsFromComment($X94,Definitions!$AR$5,Definitions!$AS$5,Definitions!$AR$6,$T94)),
_xlfn.LET(_xlpm._value,IF($A94="","",IF($M94,SimpleLookup($A94,Assumptions!$A:$B),SimpleLookup($A94,Countermeasures!$A:$B))),IF(_xlpm._value="","",_xlpm._value)))))</f>
        <v/>
      </c>
      <c r="C94" s="106" t="str" cm="1">
        <f t="array" aca="1" ref="C94" ca="1">IF($A94="","",IF($M94,IFERROR(SimpleLookup($A94,Assumptions!$A:$E),""),Definitions!$AO$4))</f>
        <v/>
      </c>
      <c r="D94" s="103" t="str">
        <f t="shared" ca="1" si="16"/>
        <v/>
      </c>
      <c r="E94" s="107"/>
      <c r="F94" s="108" t="str">
        <f t="shared" ca="1" si="17"/>
        <v/>
      </c>
      <c r="G94" s="102" t="str" cm="1">
        <f t="array" aca="1" ref="G94" ca="1">_xlfn.LET(_xlpm._val,IFERROR(SimpleLookup($A94,Countermeasures!$A:$S),IFERROR(SimpleLookup($A94,Assumptions!$A:$S),"")),IF(_xlpm._val="","",_xlpm._val))</f>
        <v/>
      </c>
      <c r="H94" s="109" t="str">
        <f>""</f>
        <v/>
      </c>
      <c r="I94" s="102" t="str">
        <f t="shared" ca="1" si="18"/>
        <v/>
      </c>
      <c r="J94" s="102" t="str">
        <f t="shared" ca="1" si="19"/>
        <v/>
      </c>
      <c r="K94" s="106" t="str" cm="1">
        <f t="array" aca="1" ref="K94" ca="1">_xlfn.LET(_xlpm._value,IF($A94="","",IFERROR(IF($M94,SimpleLookup($A94,Assumptions!$A:$T),SimpleLookup($A94,Countermeasures!$A:$T)),"")),
IF(_xlpm._value="","",_xlpm._value))</f>
        <v/>
      </c>
      <c r="L94" s="9" cm="1">
        <f t="array" aca="1" ref="L94" ca="1">CreateID($L$17,$A94&lt;&gt;"")</f>
        <v>11</v>
      </c>
      <c r="M94" s="9" t="b">
        <f ca="1">_xlfn.LET(_xlpm._row,ROW()-ROW($N$17),
_xlpm._numActiveAssumptions,Helper!$B$8,
_xlpm._numAdditionalAssumptions,SUM(Table24['# Elements]),
_xlpm._row&lt;=_xlpm._numActiveAssumptions+_xlpm._numAdditionalAssumptions)</f>
        <v>0</v>
      </c>
      <c r="N94" s="9">
        <f ca="1">_xlfn.LET(_xlpm._row,ROW()-ROW($N$17),
_xlpm._numActiveAssumptions,Helper!$B$8,
_xlpm._numAdditionalAssumptions,Helper!$B$10,
_xlpm._isAssumption,$M94,
_xlpm._elementID,IF(_xlpm._isAssumption,_xlpm._row,_xlpm._row-_xlpm._numActiveAssumptions-_xlpm._numAdditionalAssumptions),
_xlpm._elementID)</f>
        <v>73</v>
      </c>
      <c r="O94"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94" s="11" cm="1">
        <f t="array" aca="1" ref="P94" ca="1">IF($O94,
IF(ROW()=ROW($P$17)+1,1,INDEX($P:$P,ROW()-1)+IF(INDEX($W:$W,ROW()-1),1,0)),
1)</f>
        <v>1</v>
      </c>
      <c r="Q94" s="11" t="str" cm="1">
        <f t="array" aca="1" ref="Q94" ca="1">IF($O94=TRUE,
_xlfn.LET(
_xlpm._isAssumption,$M94,
_xlpm._indexRange,IF(_xlpm._isAssumption,Table24['# Elements],Table25['# Elements]),
_xlpm._lookupRow,$Z94,
INDEX(_xlpm._indexRange,_xlpm._lookupRow)),
"")</f>
        <v/>
      </c>
      <c r="R94" s="11" t="str" cm="1">
        <f t="array" aca="1" ref="R94" ca="1">IF($Q94="","",_xlfn.LET(
_xlpm._prevRow,ROW()-1,
IF(OR(INDEX($Q:$Q,_xlpm._prevRow)&lt;&gt;$Q94,INDEX($P:$P,_xlpm._prevRow)&lt;&gt;$P94),
1,
INDEX($R:$R,_xlpm._prevRow)+IF(INDEX($V:$V,_xlpm._prevRow),1,0))))</f>
        <v/>
      </c>
      <c r="S94" s="11" t="str" cm="1">
        <f t="array" aca="1" ref="S94" ca="1">IF($R94="","",_xlfn.LET(
_xlpm._isAssumption,$M94,
_xlpm._sheetRow,$Z94,
_xlpm._sheetName,$AA94,
_xlpm._elementIDRange,IF(_xlpm._isAssumption,Table24[Element ID Column],Table25[Element ID Column]),
_xlpm._numberOfElementsRange,IF(_xlpm._isAssumption,Table24[Number of Elements Column],Table25[Number of Elements Column]),
SimpleLookup($R94,INDIRECT("'"&amp;_xlpm._sheetName&amp;"'!"&amp;INDEX(_xlpm._elementIDRange,_xlpm._sheetRow)&amp;":"&amp;INDEX(_xlpm._numberOfElementsRange,_xlpm._sheetRow)))))</f>
        <v/>
      </c>
      <c r="T94" s="11" t="str" cm="1">
        <f t="array" aca="1" ref="T94" ca="1">IF($R94="","",IF(OR(INDEX($R:$R,ROW()-1)&lt;&gt;$R94,INDEX($P:$P,ROW()-1)&lt;&gt;$P94),1,INDEX($T:$T,ROW()-1)+1))</f>
        <v/>
      </c>
      <c r="U94" s="11">
        <f t="shared" ca="1" si="26"/>
        <v>0</v>
      </c>
      <c r="V94" s="11" t="str">
        <f t="shared" ca="1" si="27"/>
        <v/>
      </c>
      <c r="W94" s="11" t="b">
        <f ca="1">_xlfn.LET(
_xlpm._isAssumption,$M94,
_xlpm._numberOfElementsRange,IF(_xlpm._isAssumption,Table24['# Elements],Table25['# Elements]),
_xlpm._sheetRow,$Z94,
IF($O94,AND($V94,$U94=$Q94),FALSE))</f>
        <v>0</v>
      </c>
      <c r="X94" s="11" t="str" cm="1">
        <f t="array" aca="1" ref="X94" ca="1">IF($O94,
_xlfn.LET(
_xlpm._elementID,$R94,
_xlpm._isAssumption,$M94,
_xlpm._sheetRow,$Z94,
_xlpm._sheetName,$AA94,
_xlpm._elementRow,$AB94,
_xlpm._resultColumnLetter,IF(_xlpm._isAssumption,INDEX(Table24[Comment Column],_xlpm._sheetRow),INDEX(Table25[Comment Column],_xlpm._sheetRow)),
INDEX(INDIRECT("'"&amp;_xlpm._sheetName&amp;"'!"&amp;_xlpm._resultColumnLetter&amp;":"&amp;_xlpm._resultColumnLetter),_xlpm._elementRow)),
"")</f>
        <v/>
      </c>
      <c r="Y94" s="11" t="str" cm="1">
        <f t="array" aca="1" ref="Y94" ca="1">IF($O94,
_xlfn.LET(
_xlpm._elementID,$R94,
_xlpm._isAssumption,$M94,
_xlpm._sheetRow,$Z94,
_xlpm._sheetName,$AA94,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94" s="11" t="str">
        <f ca="1">IF($O94=TRUE,
_xlfn.LET(
_xlpm._isAssumption,$M94,
_xlpm._searchRange,IF(_xlpm._isAssumption,Table24[Task Sheet Shadow ID],Table25[Task Sheet Shadow ID]),
MATCH($P94,_xlpm._searchRange,0)),
"")</f>
        <v/>
      </c>
      <c r="AA94" s="11" t="str" cm="1">
        <f t="array" aca="1" ref="AA94" ca="1">IF($O94,
_xlfn.LET(
_xlpm._isAssumption,$M94,
_xlpm._sheetRow,$Z94,
IF(_xlpm._isAssumption,INDEX(Table24[Sheet Name],_xlpm._sheetRow),INDEX(Table25[Sheet Name],_xlpm._sheetRow))),
"")</f>
        <v/>
      </c>
      <c r="AB94" s="11" t="str" cm="1">
        <f t="array" aca="1" ref="AB94" ca="1">IF($O94,
_xlfn.LET(
_xlpm._elementID,$R94,
_xlpm._isAssumption,$M94,
_xlpm._sheetRow,$Z94,
_xlpm._sheetName,$AA94,
_xlpm._elementIDColumnLetter,IF(_xlpm._isAssumption,INDEX(Table24[Element ID Column],_xlpm._sheetRow),INDEX(Table25[Element ID Column],_xlpm._sheetRow)),
MATCH(_xlpm._elementID,INDIRECT("'"&amp;_xlpm._sheetName&amp;"'!"&amp;_xlpm._elementIDColumnLetter&amp;":"&amp;_xlpm._elementIDColumnLetter),0)),
"")</f>
        <v/>
      </c>
      <c r="AC94" s="11" t="str" cm="1">
        <f t="array" aca="1" ref="AC94" ca="1">IF($A94="","",_xlfn.LET(
_xlpm._isAssumption,$M94,
_xlpm._isAdditionalElement,$O94,
_xlpm._sheetRow,$Z94,
_xlpm._sheetName,$AA94,
_xlpm._columnLetter,INDEX(IF(_xlpm._isAdditionalElement,Table24[Comment Column],Table25[Comment Column]),_xlpm._sheetRow),
_xlpm._sheetReference,IF(_xlpm._isAssumption,IF(_xlpm._isAdditionalElement,
CELL("address",INDEX(INDIRECT("'"&amp;_xlpm._sheetName&amp;"'!"&amp;_xlpm._columnLetter&amp;":"&amp;_xlpm._columnLetter),$AB94)),
CELL("address",INDEX(Assumptions!$A:$A,MATCH($A94,Assumptions!$A:$A,0),1))),
IF(_xlpm._isAdditionalElement,
CELL("address",INDEX(INDIRECT("'"&amp;_xlpm._sheetName&amp;"'!"&amp;_xlpm._columnLetter&amp;":"&amp;_xlpm._columnLetter),$AB94)),
CELL("address",INDEX(Countermeasures!$A:$A,MATCH($A94,Countermeasures!$A:$A,0),1)))),
_xlpm._start,FIND("]",_xlpm._sheetReference),
"'"&amp;SUBSTITUTE(SUBSTITUTE(RIGHT(_xlpm._sheetReference,LEN(_xlpm._sheetReference)-_xlpm._start),"'",""),"!","'!")))</f>
        <v/>
      </c>
      <c r="AD94" s="11" t="str" cm="1">
        <f t="array" aca="1" ref="AD94" ca="1">IF(NOT($O94),
_xlfn.LET(_xlpm._value,IF($A94="","",IF($M94,SimpleLookup($A94,Assumptions!$A:$AG),SimpleLookup($A94,Countermeasures!$A:$AJ))),
IF(_xlpm._value="","",_xlpm._value)),
"")</f>
        <v/>
      </c>
      <c r="AE94" s="11" t="str" cm="1">
        <f t="array" aca="1" ref="AE94" ca="1">LookupNames(InverseLookup($A94,Mitigation!$AD$2,Mitigation!$A$2,1,Helper!$B$5,","),'Attack Steps'!$A:$B)</f>
        <v/>
      </c>
      <c r="AF94" s="11" t="str" cm="1">
        <f t="array" aca="1" ref="AF94" ca="1">IF($O94,
_xlfn.LET(
_xlpm._in,$A94,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94" s="11" t="str" cm="1">
        <f t="array" aca="1" ref="AG94" ca="1">_xlfn.LET(
_xlpm._countermeasures,InverseLookup($A94,Countermeasures!$AC$2,Countermeasures!$A$2,1,Helper!$B$4,","),
LookupNames(_xlpm._countermeasures,Countermeasures!$A:$B))</f>
        <v/>
      </c>
      <c r="AH94" s="11" t="str" cm="1">
        <f t="array" aca="1" ref="AH94" ca="1">IF($E94="","",_xlfn.LET(
_xlpm._id,$E94,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94" s="11" t="str" cm="1">
        <f t="array" aca="1" ref="AI94" ca="1">IF(OR($A94="",$O94),"",_xlfn.LET(
_xlpm._answers,IF($M94,SimpleLookup($A94,Assumptions!$A:$F),SimpleLookup($A94,Countermeasures!$A:$D)),
IF(_xlpm._answers="*",IF($M94,SimpleLookup($A94,Assumptions!$A:$C),SimpleLookup($A94,Countermeasures!$A:$C)),"")))</f>
        <v/>
      </c>
      <c r="AJ94" s="11" t="str" cm="1">
        <f t="array" aca="1" ref="AJ94" ca="1">IF(NOT($O94),"",_xlfn.LET(
_xlpm._mappedInMitigation,IFERROR(VLOOKUP($Y94,'Attack Steps'!$A:$P,COLUMNS('Attack Steps'!$A:$P),FALSE),""),
CreateSearchString(_xlpm._mappedInMitigation)))</f>
        <v/>
      </c>
      <c r="AK94" s="11" t="b">
        <f ca="1">ROW()-ROW($AK$17)=Helper!$B$15</f>
        <v>0</v>
      </c>
      <c r="AL94" s="11" t="str">
        <f t="shared" ca="1" si="28"/>
        <v/>
      </c>
      <c r="AM94" s="11" cm="1">
        <f t="array" aca="1" ref="AM94" ca="1">CreateID($AM$17,$AL94&lt;&gt;"")</f>
        <v>0</v>
      </c>
      <c r="AN94" s="11" t="str" cm="1">
        <f t="array" aca="1" ref="AN94" ca="1">IF($O94,"",
_xlfn.LET(
_xlpm._this,SanitizeInput($A94)&amp;AT94,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94" s="11" t="str" cm="1">
        <f t="array" aca="1" ref="AO94" ca="1">IF($O94,"",_xlfn.LET(
_xlpm._listOfRisksAndLevels,SanitizeInput($AN94),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_xlpm._shortenedList,IF($H94="",_xlpm._risksWithMaxValue,
  IF(LEN(_xlpm._risksWithMaxValue)-LEN(SUBSTITUTE(_xlpm._risksWithMaxValue,",",""))&lt;=$H94,_xlpm._risksWithMaxValue,
    LEFT(_xlpm._risksWithMaxValue,FIND(CHAR(1),SUBSTITUTE(_xlpm._risksWithMaxValue,",",CHAR(1),$H94))))),
IF(_xlpm._maxRiskValue="","",
  _xlpm._lineMainSeparator&amp;
  INDEX(Definitions!$AE:$AE,MATCH(_xlpm._maxRiskValue,Definitions!$AF:$AF,0))&amp;CHAR(10)&amp;
  _xlpm._lineMainSeparator&amp;
  RemoveDelimiter(GetValues(_xlpm._shortenedList,Risks!$A:$B," ",CHAR(10)&amp;_xlpm._lineMainSeparator,TRUE),CHAR(10)&amp;_xlpm._lineMainSeparator))))</f>
        <v/>
      </c>
      <c r="AP94" s="11" t="str" cm="1">
        <f t="array" aca="1" ref="AP94" ca="1">IF($O94,"",_xlfn.LET(
_xlpm._lineMainSeparator,REPT(_xlfn.UNICHAR(9552),63)&amp;CHAR(10),
_xlpm._affectedRisks,InverseLookupList(SanitizeInput($A94)&amp;$AT94,Risks!$AX$2,Risks!$A$2,Helper!$B$1,","),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_xlpm._shortenedList,IF($H94="",_xlpm._risksWithMaxValue,
  IF(LEN(_xlpm._risksWithMaxValue)-LEN(SUBSTITUTE(_xlpm._risksWithMaxValue,",",""))&lt;=$H94,_xlpm._risksWithMaxValue,
    LEFT(_xlpm._risksWithMaxValue,FIND(CHAR(1),SUBSTITUTE(_xlpm._risksWithMaxValue,",",CHAR(1),$H94))))),
IF(_xlpm._maxRiskValue="","",
  _xlpm._lineMainSeparator&amp;
  INDEX(Definitions!$AE:$AE,MATCH(_xlpm._maxRiskValue,Definitions!$AF:$AF,0))&amp;CHAR(10)&amp;
  _xlpm._lineMainSeparator&amp;
  RemoveDelimiter(GetValues(_xlpm._shortenedList,Risks!$A:$B," ",CHAR(10)&amp;_xlpm._lineMainSeparator,TRUE),CHAR(10)&amp;_xlpm._lineMainSeparator))))</f>
        <v/>
      </c>
      <c r="AQ94" s="11" t="str" cm="1">
        <f t="array" aca="1" ref="AQ94" ca="1">IF(NOT($O94),"",
_xlfn.LET(
_xlpm._potentialASID,$Y94,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_xlpm._commentsFiltered,SUBSTITUTE(GetValues(_xlpm._attackSteps,Mitigation!$A:$O,"","",FALSE),$X94,""),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94" s="11" t="str" cm="1">
        <f t="array" aca="1" ref="AR94" ca="1">IF(NOT($O94),"",_xlfn.LET(
_xlpm._listOfRisksAndLevels,SanitizeInput($AQ94),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_xlpm._shortenedList,IF($H94="",_xlpm._risksWithMaxValue,
  IF(LEN(_xlpm._risksWithMaxValue)-LEN(SUBSTITUTE(_xlpm._risksWithMaxValue,",",""))&lt;=$H94,_xlpm._risksWithMaxValue,
    LEFT(_xlpm._risksWithMaxValue,FIND(CHAR(1),SUBSTITUTE(_xlpm._risksWithMaxValue,",",CHAR(1),$H94))))),
IF(_xlpm._maxRiskValue="","",
  _xlpm._lineMainSeparator&amp;
  INDEX(Definitions!$AE:$AE,MATCH(_xlpm._maxRiskValue,Definitions!$AF:$AF,0))&amp;CHAR(10)&amp;
  _xlpm._lineMainSeparator&amp;
  RemoveDelimiter(GetValues(_xlpm._shortenedList,Risks!$A:$B," ",CHAR(10)&amp;_xlpm._lineMainSeparator,TRUE),CHAR(10)&amp;_xlpm._lineMainSeparator))))</f>
        <v/>
      </c>
      <c r="AS94" s="11" t="str" cm="1">
        <f t="array" aca="1" ref="AS94" ca="1">IF(NOT($O94),"",
_xlfn.LET(
_xlpm._lineMainSeparator,REPT(_xlfn.UNICHAR(9552),63)&amp;CHAR(10),
_xlpm._potentialASID,$Y94,
_xlpm._risk,IFERROR(SimpleLookup(_xlpm._potentialASID,Mitigation!$A:$N),""),
_xlpm._attackPaths,IFERROR(SimpleLookup(_xlpm._potentialASID,Mitigation!$A:$M),""),
IF(_xlpm._risk="","",
_xlpm._lineMainSeparator&amp;
_xlpm._risk&amp;CHAR(10)&amp;
_xlpm._lineMainSeparator&amp;
_xlpm._attackPaths)))</f>
        <v/>
      </c>
      <c r="AT94" s="11" t="str" cm="1">
        <f t="array" aca="1" ref="AT94" ca="1">InverseLookup($A94,Countermeasures!$AA$2,Countermeasures!$A$2,1,Helper!$B$4,",")</f>
        <v/>
      </c>
    </row>
    <row r="95" spans="1:47" x14ac:dyDescent="0.25">
      <c r="A95" s="106" t="str">
        <f ca="1">_xlfn.LET(
_xlpm._isAssumption,$M95,
_xlpm._row,$N95,
_xlpm._numActiveAssumptions,Helper!$B$8,
_xlpm._numActiveCountermeasures,Helper!$B$9,
_xlpm._numAdditionalAssumptions,Helper!$B$10,
_xlpm._numAdditionalCountermeasures,Helper!$B$11,
IF(_xlpm._isAssumption,
IF(_xlpm._row&gt;_xlpm._numActiveAssumptions,
$Y95&amp;"-A"&amp;$T95,
INDEX(Assumptions!A:A,MATCH(_xlpm._row,Assumptions!$AC:$AC,0))),
IF(_xlpm._row&gt;_xlpm._numActiveCountermeasures+_xlpm._numAdditionalCountermeasures,"",
IF(_xlpm._row&gt;_xlpm._numActiveCountermeasures,
$Y95&amp;"-C"&amp;$T95,
INDEX(Countermeasures!$A:$A,MATCH(_xlpm._row,Countermeasures!$AE:$AE,0))))))</f>
        <v/>
      </c>
      <c r="B95" s="106" t="str" cm="1">
        <f t="array" aca="1" ref="B95" ca="1">IF($A95="","",
_xlfn.LET(
_xlpm._isAssumption,$M95,
_xlpm._isAdditionalElement,$O95,
IF(_xlpm._isAdditionalElement,
IF(_xlpm._isAssumption,
ParseElementsFromComment($X95,Definitions!$AR$4,Definitions!$AS$4,Definitions!$AR$6,$T95),
ParseElementsFromComment($X95,Definitions!$AR$5,Definitions!$AS$5,Definitions!$AR$6,$T95)),
_xlfn.LET(_xlpm._value,IF($A95="","",IF($M95,SimpleLookup($A95,Assumptions!$A:$B),SimpleLookup($A95,Countermeasures!$A:$B))),IF(_xlpm._value="","",_xlpm._value)))))</f>
        <v/>
      </c>
      <c r="C95" s="106" t="str" cm="1">
        <f t="array" aca="1" ref="C95" ca="1">IF($A95="","",IF($M95,IFERROR(SimpleLookup($A95,Assumptions!$A:$E),""),Definitions!$AO$4))</f>
        <v/>
      </c>
      <c r="D95" s="103" t="str">
        <f t="shared" ca="1" si="16"/>
        <v/>
      </c>
      <c r="E95" s="107"/>
      <c r="F95" s="108" t="str">
        <f t="shared" ca="1" si="17"/>
        <v/>
      </c>
      <c r="G95" s="102" t="str" cm="1">
        <f t="array" aca="1" ref="G95" ca="1">_xlfn.LET(_xlpm._val,IFERROR(SimpleLookup($A95,Countermeasures!$A:$S),IFERROR(SimpleLookup($A95,Assumptions!$A:$S),"")),IF(_xlpm._val="","",_xlpm._val))</f>
        <v/>
      </c>
      <c r="H95" s="109" t="str">
        <f>""</f>
        <v/>
      </c>
      <c r="I95" s="102" t="str">
        <f t="shared" ca="1" si="18"/>
        <v/>
      </c>
      <c r="J95" s="102" t="str">
        <f t="shared" ca="1" si="19"/>
        <v/>
      </c>
      <c r="K95" s="106" t="str" cm="1">
        <f t="array" aca="1" ref="K95" ca="1">_xlfn.LET(_xlpm._value,IF($A95="","",IFERROR(IF($M95,SimpleLookup($A95,Assumptions!$A:$T),SimpleLookup($A95,Countermeasures!$A:$T)),"")),
IF(_xlpm._value="","",_xlpm._value))</f>
        <v/>
      </c>
      <c r="L95" s="9" cm="1">
        <f t="array" aca="1" ref="L95" ca="1">CreateID($L$17,$A95&lt;&gt;"")</f>
        <v>11</v>
      </c>
      <c r="M95" s="9" t="b">
        <f ca="1">_xlfn.LET(_xlpm._row,ROW()-ROW($N$17),
_xlpm._numActiveAssumptions,Helper!$B$8,
_xlpm._numAdditionalAssumptions,SUM(Table24['# Elements]),
_xlpm._row&lt;=_xlpm._numActiveAssumptions+_xlpm._numAdditionalAssumptions)</f>
        <v>0</v>
      </c>
      <c r="N95" s="9">
        <f ca="1">_xlfn.LET(_xlpm._row,ROW()-ROW($N$17),
_xlpm._numActiveAssumptions,Helper!$B$8,
_xlpm._numAdditionalAssumptions,Helper!$B$10,
_xlpm._isAssumption,$M95,
_xlpm._elementID,IF(_xlpm._isAssumption,_xlpm._row,_xlpm._row-_xlpm._numActiveAssumptions-_xlpm._numAdditionalAssumptions),
_xlpm._elementID)</f>
        <v>74</v>
      </c>
      <c r="O95"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95" s="11" cm="1">
        <f t="array" aca="1" ref="P95" ca="1">IF($O95,
IF(ROW()=ROW($P$17)+1,1,INDEX($P:$P,ROW()-1)+IF(INDEX($W:$W,ROW()-1),1,0)),
1)</f>
        <v>1</v>
      </c>
      <c r="Q95" s="11" t="str" cm="1">
        <f t="array" aca="1" ref="Q95" ca="1">IF($O95=TRUE,
_xlfn.LET(
_xlpm._isAssumption,$M95,
_xlpm._indexRange,IF(_xlpm._isAssumption,Table24['# Elements],Table25['# Elements]),
_xlpm._lookupRow,$Z95,
INDEX(_xlpm._indexRange,_xlpm._lookupRow)),
"")</f>
        <v/>
      </c>
      <c r="R95" s="11" t="str" cm="1">
        <f t="array" aca="1" ref="R95" ca="1">IF($Q95="","",_xlfn.LET(
_xlpm._prevRow,ROW()-1,
IF(OR(INDEX($Q:$Q,_xlpm._prevRow)&lt;&gt;$Q95,INDEX($P:$P,_xlpm._prevRow)&lt;&gt;$P95),
1,
INDEX($R:$R,_xlpm._prevRow)+IF(INDEX($V:$V,_xlpm._prevRow),1,0))))</f>
        <v/>
      </c>
      <c r="S95" s="11" t="str" cm="1">
        <f t="array" aca="1" ref="S95" ca="1">IF($R95="","",_xlfn.LET(
_xlpm._isAssumption,$M95,
_xlpm._sheetRow,$Z95,
_xlpm._sheetName,$AA95,
_xlpm._elementIDRange,IF(_xlpm._isAssumption,Table24[Element ID Column],Table25[Element ID Column]),
_xlpm._numberOfElementsRange,IF(_xlpm._isAssumption,Table24[Number of Elements Column],Table25[Number of Elements Column]),
SimpleLookup($R95,INDIRECT("'"&amp;_xlpm._sheetName&amp;"'!"&amp;INDEX(_xlpm._elementIDRange,_xlpm._sheetRow)&amp;":"&amp;INDEX(_xlpm._numberOfElementsRange,_xlpm._sheetRow)))))</f>
        <v/>
      </c>
      <c r="T95" s="11" t="str" cm="1">
        <f t="array" aca="1" ref="T95" ca="1">IF($R95="","",IF(OR(INDEX($R:$R,ROW()-1)&lt;&gt;$R95,INDEX($P:$P,ROW()-1)&lt;&gt;$P95),1,INDEX($T:$T,ROW()-1)+1))</f>
        <v/>
      </c>
      <c r="U95" s="11">
        <f t="shared" ca="1" si="26"/>
        <v>0</v>
      </c>
      <c r="V95" s="11" t="str">
        <f t="shared" ca="1" si="27"/>
        <v/>
      </c>
      <c r="W95" s="11" t="b">
        <f ca="1">_xlfn.LET(
_xlpm._isAssumption,$M95,
_xlpm._numberOfElementsRange,IF(_xlpm._isAssumption,Table24['# Elements],Table25['# Elements]),
_xlpm._sheetRow,$Z95,
IF($O95,AND($V95,$U95=$Q95),FALSE))</f>
        <v>0</v>
      </c>
      <c r="X95" s="11" t="str" cm="1">
        <f t="array" aca="1" ref="X95" ca="1">IF($O95,
_xlfn.LET(
_xlpm._elementID,$R95,
_xlpm._isAssumption,$M95,
_xlpm._sheetRow,$Z95,
_xlpm._sheetName,$AA95,
_xlpm._elementRow,$AB95,
_xlpm._resultColumnLetter,IF(_xlpm._isAssumption,INDEX(Table24[Comment Column],_xlpm._sheetRow),INDEX(Table25[Comment Column],_xlpm._sheetRow)),
INDEX(INDIRECT("'"&amp;_xlpm._sheetName&amp;"'!"&amp;_xlpm._resultColumnLetter&amp;":"&amp;_xlpm._resultColumnLetter),_xlpm._elementRow)),
"")</f>
        <v/>
      </c>
      <c r="Y95" s="11" t="str" cm="1">
        <f t="array" aca="1" ref="Y95" ca="1">IF($O95,
_xlfn.LET(
_xlpm._elementID,$R95,
_xlpm._isAssumption,$M95,
_xlpm._sheetRow,$Z95,
_xlpm._sheetName,$AA95,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95" s="11" t="str">
        <f ca="1">IF($O95=TRUE,
_xlfn.LET(
_xlpm._isAssumption,$M95,
_xlpm._searchRange,IF(_xlpm._isAssumption,Table24[Task Sheet Shadow ID],Table25[Task Sheet Shadow ID]),
MATCH($P95,_xlpm._searchRange,0)),
"")</f>
        <v/>
      </c>
      <c r="AA95" s="11" t="str" cm="1">
        <f t="array" aca="1" ref="AA95" ca="1">IF($O95,
_xlfn.LET(
_xlpm._isAssumption,$M95,
_xlpm._sheetRow,$Z95,
IF(_xlpm._isAssumption,INDEX(Table24[Sheet Name],_xlpm._sheetRow),INDEX(Table25[Sheet Name],_xlpm._sheetRow))),
"")</f>
        <v/>
      </c>
      <c r="AB95" s="11" t="str" cm="1">
        <f t="array" aca="1" ref="AB95" ca="1">IF($O95,
_xlfn.LET(
_xlpm._elementID,$R95,
_xlpm._isAssumption,$M95,
_xlpm._sheetRow,$Z95,
_xlpm._sheetName,$AA95,
_xlpm._elementIDColumnLetter,IF(_xlpm._isAssumption,INDEX(Table24[Element ID Column],_xlpm._sheetRow),INDEX(Table25[Element ID Column],_xlpm._sheetRow)),
MATCH(_xlpm._elementID,INDIRECT("'"&amp;_xlpm._sheetName&amp;"'!"&amp;_xlpm._elementIDColumnLetter&amp;":"&amp;_xlpm._elementIDColumnLetter),0)),
"")</f>
        <v/>
      </c>
      <c r="AC95" s="11" t="str" cm="1">
        <f t="array" aca="1" ref="AC95" ca="1">IF($A95="","",_xlfn.LET(
_xlpm._isAssumption,$M95,
_xlpm._isAdditionalElement,$O95,
_xlpm._sheetRow,$Z95,
_xlpm._sheetName,$AA95,
_xlpm._columnLetter,INDEX(IF(_xlpm._isAdditionalElement,Table24[Comment Column],Table25[Comment Column]),_xlpm._sheetRow),
_xlpm._sheetReference,IF(_xlpm._isAssumption,IF(_xlpm._isAdditionalElement,
CELL("address",INDEX(INDIRECT("'"&amp;_xlpm._sheetName&amp;"'!"&amp;_xlpm._columnLetter&amp;":"&amp;_xlpm._columnLetter),$AB95)),
CELL("address",INDEX(Assumptions!$A:$A,MATCH($A95,Assumptions!$A:$A,0),1))),
IF(_xlpm._isAdditionalElement,
CELL("address",INDEX(INDIRECT("'"&amp;_xlpm._sheetName&amp;"'!"&amp;_xlpm._columnLetter&amp;":"&amp;_xlpm._columnLetter),$AB95)),
CELL("address",INDEX(Countermeasures!$A:$A,MATCH($A95,Countermeasures!$A:$A,0),1)))),
_xlpm._start,FIND("]",_xlpm._sheetReference),
"'"&amp;SUBSTITUTE(SUBSTITUTE(RIGHT(_xlpm._sheetReference,LEN(_xlpm._sheetReference)-_xlpm._start),"'",""),"!","'!")))</f>
        <v/>
      </c>
      <c r="AD95" s="11" t="str" cm="1">
        <f t="array" aca="1" ref="AD95" ca="1">IF(NOT($O95),
_xlfn.LET(_xlpm._value,IF($A95="","",IF($M95,SimpleLookup($A95,Assumptions!$A:$AG),SimpleLookup($A95,Countermeasures!$A:$AJ))),
IF(_xlpm._value="","",_xlpm._value)),
"")</f>
        <v/>
      </c>
      <c r="AE95" s="11" t="str" cm="1">
        <f t="array" aca="1" ref="AE95" ca="1">LookupNames(InverseLookup($A95,Mitigation!$AD$2,Mitigation!$A$2,1,Helper!$B$5,","),'Attack Steps'!$A:$B)</f>
        <v/>
      </c>
      <c r="AF95" s="11" t="str" cm="1">
        <f t="array" aca="1" ref="AF95" ca="1">IF($O95,
_xlfn.LET(
_xlpm._in,$A95,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95" s="11" t="str" cm="1">
        <f t="array" aca="1" ref="AG95" ca="1">_xlfn.LET(
_xlpm._countermeasures,InverseLookup($A95,Countermeasures!$AC$2,Countermeasures!$A$2,1,Helper!$B$4,","),
LookupNames(_xlpm._countermeasures,Countermeasures!$A:$B))</f>
        <v/>
      </c>
      <c r="AH95" s="11" t="str" cm="1">
        <f t="array" aca="1" ref="AH95" ca="1">IF($E95="","",_xlfn.LET(
_xlpm._id,$E95,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95" s="11" t="str" cm="1">
        <f t="array" aca="1" ref="AI95" ca="1">IF(OR($A95="",$O95),"",_xlfn.LET(
_xlpm._answers,IF($M95,SimpleLookup($A95,Assumptions!$A:$F),SimpleLookup($A95,Countermeasures!$A:$D)),
IF(_xlpm._answers="*",IF($M95,SimpleLookup($A95,Assumptions!$A:$C),SimpleLookup($A95,Countermeasures!$A:$C)),"")))</f>
        <v/>
      </c>
      <c r="AJ95" s="11" t="str" cm="1">
        <f t="array" aca="1" ref="AJ95" ca="1">IF(NOT($O95),"",_xlfn.LET(
_xlpm._mappedInMitigation,IFERROR(VLOOKUP($Y95,'Attack Steps'!$A:$P,COLUMNS('Attack Steps'!$A:$P),FALSE),""),
CreateSearchString(_xlpm._mappedInMitigation)))</f>
        <v/>
      </c>
      <c r="AK95" s="11" t="b">
        <f ca="1">ROW()-ROW($AK$17)=Helper!$B$15</f>
        <v>0</v>
      </c>
      <c r="AL95" s="11" t="str">
        <f t="shared" ca="1" si="28"/>
        <v/>
      </c>
      <c r="AM95" s="11" cm="1">
        <f t="array" aca="1" ref="AM95" ca="1">CreateID($AM$17,$AL95&lt;&gt;"")</f>
        <v>0</v>
      </c>
      <c r="AN95" s="11" t="str" cm="1">
        <f t="array" aca="1" ref="AN95" ca="1">IF($O95,"",
_xlfn.LET(
_xlpm._this,SanitizeInput($A95)&amp;AT95,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95" s="11" t="str" cm="1">
        <f t="array" aca="1" ref="AO95" ca="1">IF($O95,"",_xlfn.LET(
_xlpm._listOfRisksAndLevels,SanitizeInput($AN95),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_xlpm._shortenedList,IF($H95="",_xlpm._risksWithMaxValue,
  IF(LEN(_xlpm._risksWithMaxValue)-LEN(SUBSTITUTE(_xlpm._risksWithMaxValue,",",""))&lt;=$H95,_xlpm._risksWithMaxValue,
    LEFT(_xlpm._risksWithMaxValue,FIND(CHAR(1),SUBSTITUTE(_xlpm._risksWithMaxValue,",",CHAR(1),$H95))))),
IF(_xlpm._maxRiskValue="","",
  _xlpm._lineMainSeparator&amp;
  INDEX(Definitions!$AE:$AE,MATCH(_xlpm._maxRiskValue,Definitions!$AF:$AF,0))&amp;CHAR(10)&amp;
  _xlpm._lineMainSeparator&amp;
  RemoveDelimiter(GetValues(_xlpm._shortenedList,Risks!$A:$B," ",CHAR(10)&amp;_xlpm._lineMainSeparator,TRUE),CHAR(10)&amp;_xlpm._lineMainSeparator))))</f>
        <v/>
      </c>
      <c r="AP95" s="11" t="str" cm="1">
        <f t="array" aca="1" ref="AP95" ca="1">IF($O95,"",_xlfn.LET(
_xlpm._lineMainSeparator,REPT(_xlfn.UNICHAR(9552),63)&amp;CHAR(10),
_xlpm._affectedRisks,InverseLookupList(SanitizeInput($A95)&amp;$AT95,Risks!$AX$2,Risks!$A$2,Helper!$B$1,","),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_xlpm._shortenedList,IF($H95="",_xlpm._risksWithMaxValue,
  IF(LEN(_xlpm._risksWithMaxValue)-LEN(SUBSTITUTE(_xlpm._risksWithMaxValue,",",""))&lt;=$H95,_xlpm._risksWithMaxValue,
    LEFT(_xlpm._risksWithMaxValue,FIND(CHAR(1),SUBSTITUTE(_xlpm._risksWithMaxValue,",",CHAR(1),$H95))))),
IF(_xlpm._maxRiskValue="","",
  _xlpm._lineMainSeparator&amp;
  INDEX(Definitions!$AE:$AE,MATCH(_xlpm._maxRiskValue,Definitions!$AF:$AF,0))&amp;CHAR(10)&amp;
  _xlpm._lineMainSeparator&amp;
  RemoveDelimiter(GetValues(_xlpm._shortenedList,Risks!$A:$B," ",CHAR(10)&amp;_xlpm._lineMainSeparator,TRUE),CHAR(10)&amp;_xlpm._lineMainSeparator))))</f>
        <v/>
      </c>
      <c r="AQ95" s="11" t="str" cm="1">
        <f t="array" aca="1" ref="AQ95" ca="1">IF(NOT($O95),"",
_xlfn.LET(
_xlpm._potentialASID,$Y95,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_xlpm._commentsFiltered,SUBSTITUTE(GetValues(_xlpm._attackSteps,Mitigation!$A:$O,"","",FALSE),$X95,""),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95" s="11" t="str" cm="1">
        <f t="array" aca="1" ref="AR95" ca="1">IF(NOT($O95),"",_xlfn.LET(
_xlpm._listOfRisksAndLevels,SanitizeInput($AQ95),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_xlpm._shortenedList,IF($H95="",_xlpm._risksWithMaxValue,
  IF(LEN(_xlpm._risksWithMaxValue)-LEN(SUBSTITUTE(_xlpm._risksWithMaxValue,",",""))&lt;=$H95,_xlpm._risksWithMaxValue,
    LEFT(_xlpm._risksWithMaxValue,FIND(CHAR(1),SUBSTITUTE(_xlpm._risksWithMaxValue,",",CHAR(1),$H95))))),
IF(_xlpm._maxRiskValue="","",
  _xlpm._lineMainSeparator&amp;
  INDEX(Definitions!$AE:$AE,MATCH(_xlpm._maxRiskValue,Definitions!$AF:$AF,0))&amp;CHAR(10)&amp;
  _xlpm._lineMainSeparator&amp;
  RemoveDelimiter(GetValues(_xlpm._shortenedList,Risks!$A:$B," ",CHAR(10)&amp;_xlpm._lineMainSeparator,TRUE),CHAR(10)&amp;_xlpm._lineMainSeparator))))</f>
        <v/>
      </c>
      <c r="AS95" s="11" t="str" cm="1">
        <f t="array" aca="1" ref="AS95" ca="1">IF(NOT($O95),"",
_xlfn.LET(
_xlpm._lineMainSeparator,REPT(_xlfn.UNICHAR(9552),63)&amp;CHAR(10),
_xlpm._potentialASID,$Y95,
_xlpm._risk,IFERROR(SimpleLookup(_xlpm._potentialASID,Mitigation!$A:$N),""),
_xlpm._attackPaths,IFERROR(SimpleLookup(_xlpm._potentialASID,Mitigation!$A:$M),""),
IF(_xlpm._risk="","",
_xlpm._lineMainSeparator&amp;
_xlpm._risk&amp;CHAR(10)&amp;
_xlpm._lineMainSeparator&amp;
_xlpm._attackPaths)))</f>
        <v/>
      </c>
      <c r="AT95" s="11" t="str" cm="1">
        <f t="array" aca="1" ref="AT95" ca="1">InverseLookup($A95,Countermeasures!$AA$2,Countermeasures!$A$2,1,Helper!$B$4,",")</f>
        <v/>
      </c>
    </row>
    <row r="96" spans="1:47" x14ac:dyDescent="0.25">
      <c r="A96" s="106" t="str">
        <f ca="1">_xlfn.LET(
_xlpm._isAssumption,$M96,
_xlpm._row,$N96,
_xlpm._numActiveAssumptions,Helper!$B$8,
_xlpm._numActiveCountermeasures,Helper!$B$9,
_xlpm._numAdditionalAssumptions,Helper!$B$10,
_xlpm._numAdditionalCountermeasures,Helper!$B$11,
IF(_xlpm._isAssumption,
IF(_xlpm._row&gt;_xlpm._numActiveAssumptions,
$Y96&amp;"-A"&amp;$T96,
INDEX(Assumptions!A:A,MATCH(_xlpm._row,Assumptions!$AC:$AC,0))),
IF(_xlpm._row&gt;_xlpm._numActiveCountermeasures+_xlpm._numAdditionalCountermeasures,"",
IF(_xlpm._row&gt;_xlpm._numActiveCountermeasures,
$Y96&amp;"-C"&amp;$T96,
INDEX(Countermeasures!$A:$A,MATCH(_xlpm._row,Countermeasures!$AE:$AE,0))))))</f>
        <v/>
      </c>
      <c r="B96" s="106" t="str" cm="1">
        <f t="array" aca="1" ref="B96" ca="1">IF($A96="","",
_xlfn.LET(
_xlpm._isAssumption,$M96,
_xlpm._isAdditionalElement,$O96,
IF(_xlpm._isAdditionalElement,
IF(_xlpm._isAssumption,
ParseElementsFromComment($X96,Definitions!$AR$4,Definitions!$AS$4,Definitions!$AR$6,$T96),
ParseElementsFromComment($X96,Definitions!$AR$5,Definitions!$AS$5,Definitions!$AR$6,$T96)),
_xlfn.LET(_xlpm._value,IF($A96="","",IF($M96,SimpleLookup($A96,Assumptions!$A:$B),SimpleLookup($A96,Countermeasures!$A:$B))),IF(_xlpm._value="","",_xlpm._value)))))</f>
        <v/>
      </c>
      <c r="C96" s="106" t="str" cm="1">
        <f t="array" aca="1" ref="C96" ca="1">IF($A96="","",IF($M96,IFERROR(SimpleLookup($A96,Assumptions!$A:$E),""),Definitions!$AO$4))</f>
        <v/>
      </c>
      <c r="D96" s="103" t="str">
        <f t="shared" ca="1" si="16"/>
        <v/>
      </c>
      <c r="E96" s="107"/>
      <c r="F96" s="108" t="str">
        <f t="shared" ca="1" si="17"/>
        <v/>
      </c>
      <c r="G96" s="102" t="str" cm="1">
        <f t="array" aca="1" ref="G96" ca="1">_xlfn.LET(_xlpm._val,IFERROR(SimpleLookup($A96,Countermeasures!$A:$S),IFERROR(SimpleLookup($A96,Assumptions!$A:$S),"")),IF(_xlpm._val="","",_xlpm._val))</f>
        <v/>
      </c>
      <c r="H96" s="109" t="str">
        <f>""</f>
        <v/>
      </c>
      <c r="I96" s="102" t="str">
        <f t="shared" ca="1" si="18"/>
        <v/>
      </c>
      <c r="J96" s="102" t="str">
        <f t="shared" ca="1" si="19"/>
        <v/>
      </c>
      <c r="K96" s="106" t="str" cm="1">
        <f t="array" aca="1" ref="K96" ca="1">_xlfn.LET(_xlpm._value,IF($A96="","",IFERROR(IF($M96,SimpleLookup($A96,Assumptions!$A:$T),SimpleLookup($A96,Countermeasures!$A:$T)),"")),
IF(_xlpm._value="","",_xlpm._value))</f>
        <v/>
      </c>
      <c r="L96" s="9" cm="1">
        <f t="array" aca="1" ref="L96" ca="1">CreateID($L$17,$A96&lt;&gt;"")</f>
        <v>11</v>
      </c>
      <c r="M96" s="9" t="b">
        <f ca="1">_xlfn.LET(_xlpm._row,ROW()-ROW($N$17),
_xlpm._numActiveAssumptions,Helper!$B$8,
_xlpm._numAdditionalAssumptions,SUM(Table24['# Elements]),
_xlpm._row&lt;=_xlpm._numActiveAssumptions+_xlpm._numAdditionalAssumptions)</f>
        <v>0</v>
      </c>
      <c r="N96" s="9">
        <f ca="1">_xlfn.LET(_xlpm._row,ROW()-ROW($N$17),
_xlpm._numActiveAssumptions,Helper!$B$8,
_xlpm._numAdditionalAssumptions,Helper!$B$10,
_xlpm._isAssumption,$M96,
_xlpm._elementID,IF(_xlpm._isAssumption,_xlpm._row,_xlpm._row-_xlpm._numActiveAssumptions-_xlpm._numAdditionalAssumptions),
_xlpm._elementID)</f>
        <v>75</v>
      </c>
      <c r="O96"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96" s="11" cm="1">
        <f t="array" aca="1" ref="P96" ca="1">IF($O96,
IF(ROW()=ROW($P$17)+1,1,INDEX($P:$P,ROW()-1)+IF(INDEX($W:$W,ROW()-1),1,0)),
1)</f>
        <v>1</v>
      </c>
      <c r="Q96" s="11" t="str" cm="1">
        <f t="array" aca="1" ref="Q96" ca="1">IF($O96=TRUE,
_xlfn.LET(
_xlpm._isAssumption,$M96,
_xlpm._indexRange,IF(_xlpm._isAssumption,Table24['# Elements],Table25['# Elements]),
_xlpm._lookupRow,$Z96,
INDEX(_xlpm._indexRange,_xlpm._lookupRow)),
"")</f>
        <v/>
      </c>
      <c r="R96" s="11" t="str" cm="1">
        <f t="array" aca="1" ref="R96" ca="1">IF($Q96="","",_xlfn.LET(
_xlpm._prevRow,ROW()-1,
IF(OR(INDEX($Q:$Q,_xlpm._prevRow)&lt;&gt;$Q96,INDEX($P:$P,_xlpm._prevRow)&lt;&gt;$P96),
1,
INDEX($R:$R,_xlpm._prevRow)+IF(INDEX($V:$V,_xlpm._prevRow),1,0))))</f>
        <v/>
      </c>
      <c r="S96" s="11" t="str" cm="1">
        <f t="array" aca="1" ref="S96" ca="1">IF($R96="","",_xlfn.LET(
_xlpm._isAssumption,$M96,
_xlpm._sheetRow,$Z96,
_xlpm._sheetName,$AA96,
_xlpm._elementIDRange,IF(_xlpm._isAssumption,Table24[Element ID Column],Table25[Element ID Column]),
_xlpm._numberOfElementsRange,IF(_xlpm._isAssumption,Table24[Number of Elements Column],Table25[Number of Elements Column]),
SimpleLookup($R96,INDIRECT("'"&amp;_xlpm._sheetName&amp;"'!"&amp;INDEX(_xlpm._elementIDRange,_xlpm._sheetRow)&amp;":"&amp;INDEX(_xlpm._numberOfElementsRange,_xlpm._sheetRow)))))</f>
        <v/>
      </c>
      <c r="T96" s="11" t="str" cm="1">
        <f t="array" aca="1" ref="T96" ca="1">IF($R96="","",IF(OR(INDEX($R:$R,ROW()-1)&lt;&gt;$R96,INDEX($P:$P,ROW()-1)&lt;&gt;$P96),1,INDEX($T:$T,ROW()-1)+1))</f>
        <v/>
      </c>
      <c r="U96" s="11">
        <f t="shared" ca="1" si="26"/>
        <v>0</v>
      </c>
      <c r="V96" s="11" t="str">
        <f t="shared" ca="1" si="27"/>
        <v/>
      </c>
      <c r="W96" s="11" t="b">
        <f ca="1">_xlfn.LET(
_xlpm._isAssumption,$M96,
_xlpm._numberOfElementsRange,IF(_xlpm._isAssumption,Table24['# Elements],Table25['# Elements]),
_xlpm._sheetRow,$Z96,
IF($O96,AND($V96,$U96=$Q96),FALSE))</f>
        <v>0</v>
      </c>
      <c r="X96" s="11" t="str" cm="1">
        <f t="array" aca="1" ref="X96" ca="1">IF($O96,
_xlfn.LET(
_xlpm._elementID,$R96,
_xlpm._isAssumption,$M96,
_xlpm._sheetRow,$Z96,
_xlpm._sheetName,$AA96,
_xlpm._elementRow,$AB96,
_xlpm._resultColumnLetter,IF(_xlpm._isAssumption,INDEX(Table24[Comment Column],_xlpm._sheetRow),INDEX(Table25[Comment Column],_xlpm._sheetRow)),
INDEX(INDIRECT("'"&amp;_xlpm._sheetName&amp;"'!"&amp;_xlpm._resultColumnLetter&amp;":"&amp;_xlpm._resultColumnLetter),_xlpm._elementRow)),
"")</f>
        <v/>
      </c>
      <c r="Y96" s="11" t="str" cm="1">
        <f t="array" aca="1" ref="Y96" ca="1">IF($O96,
_xlfn.LET(
_xlpm._elementID,$R96,
_xlpm._isAssumption,$M96,
_xlpm._sheetRow,$Z96,
_xlpm._sheetName,$AA96,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96" s="11" t="str">
        <f ca="1">IF($O96=TRUE,
_xlfn.LET(
_xlpm._isAssumption,$M96,
_xlpm._searchRange,IF(_xlpm._isAssumption,Table24[Task Sheet Shadow ID],Table25[Task Sheet Shadow ID]),
MATCH($P96,_xlpm._searchRange,0)),
"")</f>
        <v/>
      </c>
      <c r="AA96" s="11" t="str" cm="1">
        <f t="array" aca="1" ref="AA96" ca="1">IF($O96,
_xlfn.LET(
_xlpm._isAssumption,$M96,
_xlpm._sheetRow,$Z96,
IF(_xlpm._isAssumption,INDEX(Table24[Sheet Name],_xlpm._sheetRow),INDEX(Table25[Sheet Name],_xlpm._sheetRow))),
"")</f>
        <v/>
      </c>
      <c r="AB96" s="11" t="str" cm="1">
        <f t="array" aca="1" ref="AB96" ca="1">IF($O96,
_xlfn.LET(
_xlpm._elementID,$R96,
_xlpm._isAssumption,$M96,
_xlpm._sheetRow,$Z96,
_xlpm._sheetName,$AA96,
_xlpm._elementIDColumnLetter,IF(_xlpm._isAssumption,INDEX(Table24[Element ID Column],_xlpm._sheetRow),INDEX(Table25[Element ID Column],_xlpm._sheetRow)),
MATCH(_xlpm._elementID,INDIRECT("'"&amp;_xlpm._sheetName&amp;"'!"&amp;_xlpm._elementIDColumnLetter&amp;":"&amp;_xlpm._elementIDColumnLetter),0)),
"")</f>
        <v/>
      </c>
      <c r="AC96" s="11" t="str" cm="1">
        <f t="array" aca="1" ref="AC96" ca="1">IF($A96="","",_xlfn.LET(
_xlpm._isAssumption,$M96,
_xlpm._isAdditionalElement,$O96,
_xlpm._sheetRow,$Z96,
_xlpm._sheetName,$AA96,
_xlpm._columnLetter,INDEX(IF(_xlpm._isAdditionalElement,Table24[Comment Column],Table25[Comment Column]),_xlpm._sheetRow),
_xlpm._sheetReference,IF(_xlpm._isAssumption,IF(_xlpm._isAdditionalElement,
CELL("address",INDEX(INDIRECT("'"&amp;_xlpm._sheetName&amp;"'!"&amp;_xlpm._columnLetter&amp;":"&amp;_xlpm._columnLetter),$AB96)),
CELL("address",INDEX(Assumptions!$A:$A,MATCH($A96,Assumptions!$A:$A,0),1))),
IF(_xlpm._isAdditionalElement,
CELL("address",INDEX(INDIRECT("'"&amp;_xlpm._sheetName&amp;"'!"&amp;_xlpm._columnLetter&amp;":"&amp;_xlpm._columnLetter),$AB96)),
CELL("address",INDEX(Countermeasures!$A:$A,MATCH($A96,Countermeasures!$A:$A,0),1)))),
_xlpm._start,FIND("]",_xlpm._sheetReference),
"'"&amp;SUBSTITUTE(SUBSTITUTE(RIGHT(_xlpm._sheetReference,LEN(_xlpm._sheetReference)-_xlpm._start),"'",""),"!","'!")))</f>
        <v/>
      </c>
      <c r="AD96" s="11" t="str" cm="1">
        <f t="array" aca="1" ref="AD96" ca="1">IF(NOT($O96),
_xlfn.LET(_xlpm._value,IF($A96="","",IF($M96,SimpleLookup($A96,Assumptions!$A:$AG),SimpleLookup($A96,Countermeasures!$A:$AJ))),
IF(_xlpm._value="","",_xlpm._value)),
"")</f>
        <v/>
      </c>
      <c r="AE96" s="11" t="str" cm="1">
        <f t="array" aca="1" ref="AE96" ca="1">LookupNames(InverseLookup($A96,Mitigation!$AD$2,Mitigation!$A$2,1,Helper!$B$5,","),'Attack Steps'!$A:$B)</f>
        <v/>
      </c>
      <c r="AF96" s="11" t="str" cm="1">
        <f t="array" aca="1" ref="AF96" ca="1">IF($O96,
_xlfn.LET(
_xlpm._in,$A96,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96" s="11" t="str" cm="1">
        <f t="array" aca="1" ref="AG96" ca="1">_xlfn.LET(
_xlpm._countermeasures,InverseLookup($A96,Countermeasures!$AC$2,Countermeasures!$A$2,1,Helper!$B$4,","),
LookupNames(_xlpm._countermeasures,Countermeasures!$A:$B))</f>
        <v/>
      </c>
      <c r="AH96" s="11" t="str" cm="1">
        <f t="array" aca="1" ref="AH96" ca="1">IF($E96="","",_xlfn.LET(
_xlpm._id,$E96,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96" s="11" t="str" cm="1">
        <f t="array" aca="1" ref="AI96" ca="1">IF(OR($A96="",$O96),"",_xlfn.LET(
_xlpm._answers,IF($M96,SimpleLookup($A96,Assumptions!$A:$F),SimpleLookup($A96,Countermeasures!$A:$D)),
IF(_xlpm._answers="*",IF($M96,SimpleLookup($A96,Assumptions!$A:$C),SimpleLookup($A96,Countermeasures!$A:$C)),"")))</f>
        <v/>
      </c>
      <c r="AJ96" s="11" t="str" cm="1">
        <f t="array" aca="1" ref="AJ96" ca="1">IF(NOT($O96),"",_xlfn.LET(
_xlpm._mappedInMitigation,IFERROR(VLOOKUP($Y96,'Attack Steps'!$A:$P,COLUMNS('Attack Steps'!$A:$P),FALSE),""),
CreateSearchString(_xlpm._mappedInMitigation)))</f>
        <v/>
      </c>
      <c r="AK96" s="11" t="b">
        <f ca="1">ROW()-ROW($AK$17)=Helper!$B$15</f>
        <v>0</v>
      </c>
      <c r="AL96" s="11" t="str">
        <f t="shared" ca="1" si="28"/>
        <v/>
      </c>
      <c r="AM96" s="11" cm="1">
        <f t="array" aca="1" ref="AM96" ca="1">CreateID($AM$17,$AL96&lt;&gt;"")</f>
        <v>0</v>
      </c>
      <c r="AN96" s="11" t="str" cm="1">
        <f t="array" aca="1" ref="AN96" ca="1">IF($O96,"",
_xlfn.LET(
_xlpm._this,SanitizeInput($A96)&amp;AT96,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96" s="11" t="str" cm="1">
        <f t="array" aca="1" ref="AO96" ca="1">IF($O96,"",_xlfn.LET(
_xlpm._listOfRisksAndLevels,SanitizeInput($AN96),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_xlpm._shortenedList,IF($H96="",_xlpm._risksWithMaxValue,
  IF(LEN(_xlpm._risksWithMaxValue)-LEN(SUBSTITUTE(_xlpm._risksWithMaxValue,",",""))&lt;=$H96,_xlpm._risksWithMaxValue,
    LEFT(_xlpm._risksWithMaxValue,FIND(CHAR(1),SUBSTITUTE(_xlpm._risksWithMaxValue,",",CHAR(1),$H96))))),
IF(_xlpm._maxRiskValue="","",
  _xlpm._lineMainSeparator&amp;
  INDEX(Definitions!$AE:$AE,MATCH(_xlpm._maxRiskValue,Definitions!$AF:$AF,0))&amp;CHAR(10)&amp;
  _xlpm._lineMainSeparator&amp;
  RemoveDelimiter(GetValues(_xlpm._shortenedList,Risks!$A:$B," ",CHAR(10)&amp;_xlpm._lineMainSeparator,TRUE),CHAR(10)&amp;_xlpm._lineMainSeparator))))</f>
        <v/>
      </c>
      <c r="AP96" s="11" t="str" cm="1">
        <f t="array" aca="1" ref="AP96" ca="1">IF($O96,"",_xlfn.LET(
_xlpm._lineMainSeparator,REPT(_xlfn.UNICHAR(9552),63)&amp;CHAR(10),
_xlpm._affectedRisks,InverseLookupList(SanitizeInput($A96)&amp;$AT96,Risks!$AX$2,Risks!$A$2,Helper!$B$1,","),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_xlpm._shortenedList,IF($H96="",_xlpm._risksWithMaxValue,
  IF(LEN(_xlpm._risksWithMaxValue)-LEN(SUBSTITUTE(_xlpm._risksWithMaxValue,",",""))&lt;=$H96,_xlpm._risksWithMaxValue,
    LEFT(_xlpm._risksWithMaxValue,FIND(CHAR(1),SUBSTITUTE(_xlpm._risksWithMaxValue,",",CHAR(1),$H96))))),
IF(_xlpm._maxRiskValue="","",
  _xlpm._lineMainSeparator&amp;
  INDEX(Definitions!$AE:$AE,MATCH(_xlpm._maxRiskValue,Definitions!$AF:$AF,0))&amp;CHAR(10)&amp;
  _xlpm._lineMainSeparator&amp;
  RemoveDelimiter(GetValues(_xlpm._shortenedList,Risks!$A:$B," ",CHAR(10)&amp;_xlpm._lineMainSeparator,TRUE),CHAR(10)&amp;_xlpm._lineMainSeparator))))</f>
        <v/>
      </c>
      <c r="AQ96" s="11" t="str" cm="1">
        <f t="array" aca="1" ref="AQ96" ca="1">IF(NOT($O96),"",
_xlfn.LET(
_xlpm._potentialASID,$Y96,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_xlpm._commentsFiltered,SUBSTITUTE(GetValues(_xlpm._attackSteps,Mitigation!$A:$O,"","",FALSE),$X96,""),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96" s="11" t="str" cm="1">
        <f t="array" aca="1" ref="AR96" ca="1">IF(NOT($O96),"",_xlfn.LET(
_xlpm._listOfRisksAndLevels,SanitizeInput($AQ96),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_xlpm._shortenedList,IF($H96="",_xlpm._risksWithMaxValue,
  IF(LEN(_xlpm._risksWithMaxValue)-LEN(SUBSTITUTE(_xlpm._risksWithMaxValue,",",""))&lt;=$H96,_xlpm._risksWithMaxValue,
    LEFT(_xlpm._risksWithMaxValue,FIND(CHAR(1),SUBSTITUTE(_xlpm._risksWithMaxValue,",",CHAR(1),$H96))))),
IF(_xlpm._maxRiskValue="","",
  _xlpm._lineMainSeparator&amp;
  INDEX(Definitions!$AE:$AE,MATCH(_xlpm._maxRiskValue,Definitions!$AF:$AF,0))&amp;CHAR(10)&amp;
  _xlpm._lineMainSeparator&amp;
  RemoveDelimiter(GetValues(_xlpm._shortenedList,Risks!$A:$B," ",CHAR(10)&amp;_xlpm._lineMainSeparator,TRUE),CHAR(10)&amp;_xlpm._lineMainSeparator))))</f>
        <v/>
      </c>
      <c r="AS96" s="11" t="str" cm="1">
        <f t="array" aca="1" ref="AS96" ca="1">IF(NOT($O96),"",
_xlfn.LET(
_xlpm._lineMainSeparator,REPT(_xlfn.UNICHAR(9552),63)&amp;CHAR(10),
_xlpm._potentialASID,$Y96,
_xlpm._risk,IFERROR(SimpleLookup(_xlpm._potentialASID,Mitigation!$A:$N),""),
_xlpm._attackPaths,IFERROR(SimpleLookup(_xlpm._potentialASID,Mitigation!$A:$M),""),
IF(_xlpm._risk="","",
_xlpm._lineMainSeparator&amp;
_xlpm._risk&amp;CHAR(10)&amp;
_xlpm._lineMainSeparator&amp;
_xlpm._attackPaths)))</f>
        <v/>
      </c>
      <c r="AT96" s="11" t="str" cm="1">
        <f t="array" aca="1" ref="AT96" ca="1">InverseLookup($A96,Countermeasures!$AA$2,Countermeasures!$A$2,1,Helper!$B$4,",")</f>
        <v/>
      </c>
    </row>
    <row r="97" spans="1:46" x14ac:dyDescent="0.25">
      <c r="A97" s="106" t="str">
        <f ca="1">_xlfn.LET(
_xlpm._isAssumption,$M97,
_xlpm._row,$N97,
_xlpm._numActiveAssumptions,Helper!$B$8,
_xlpm._numActiveCountermeasures,Helper!$B$9,
_xlpm._numAdditionalAssumptions,Helper!$B$10,
_xlpm._numAdditionalCountermeasures,Helper!$B$11,
IF(_xlpm._isAssumption,
IF(_xlpm._row&gt;_xlpm._numActiveAssumptions,
$Y97&amp;"-A"&amp;$T97,
INDEX(Assumptions!A:A,MATCH(_xlpm._row,Assumptions!$AC:$AC,0))),
IF(_xlpm._row&gt;_xlpm._numActiveCountermeasures+_xlpm._numAdditionalCountermeasures,"",
IF(_xlpm._row&gt;_xlpm._numActiveCountermeasures,
$Y97&amp;"-C"&amp;$T97,
INDEX(Countermeasures!$A:$A,MATCH(_xlpm._row,Countermeasures!$AE:$AE,0))))))</f>
        <v/>
      </c>
      <c r="B97" s="106" t="str" cm="1">
        <f t="array" aca="1" ref="B97" ca="1">IF($A97="","",
_xlfn.LET(
_xlpm._isAssumption,$M97,
_xlpm._isAdditionalElement,$O97,
IF(_xlpm._isAdditionalElement,
IF(_xlpm._isAssumption,
ParseElementsFromComment($X97,Definitions!$AR$4,Definitions!$AS$4,Definitions!$AR$6,$T97),
ParseElementsFromComment($X97,Definitions!$AR$5,Definitions!$AS$5,Definitions!$AR$6,$T97)),
_xlfn.LET(_xlpm._value,IF($A97="","",IF($M97,SimpleLookup($A97,Assumptions!$A:$B),SimpleLookup($A97,Countermeasures!$A:$B))),IF(_xlpm._value="","",_xlpm._value)))))</f>
        <v/>
      </c>
      <c r="C97" s="106" t="str" cm="1">
        <f t="array" aca="1" ref="C97" ca="1">IF($A97="","",IF($M97,IFERROR(SimpleLookup($A97,Assumptions!$A:$E),""),Definitions!$AO$4))</f>
        <v/>
      </c>
      <c r="D97" s="103" t="str">
        <f t="shared" ca="1" si="16"/>
        <v/>
      </c>
      <c r="E97" s="107"/>
      <c r="F97" s="108" t="str">
        <f t="shared" ca="1" si="17"/>
        <v/>
      </c>
      <c r="G97" s="102" t="str" cm="1">
        <f t="array" aca="1" ref="G97" ca="1">_xlfn.LET(_xlpm._val,IFERROR(SimpleLookup($A97,Countermeasures!$A:$S),IFERROR(SimpleLookup($A97,Assumptions!$A:$S),"")),IF(_xlpm._val="","",_xlpm._val))</f>
        <v/>
      </c>
      <c r="H97" s="109" t="str">
        <f>""</f>
        <v/>
      </c>
      <c r="I97" s="102" t="str">
        <f t="shared" ca="1" si="18"/>
        <v/>
      </c>
      <c r="J97" s="102" t="str">
        <f t="shared" ca="1" si="19"/>
        <v/>
      </c>
      <c r="K97" s="106" t="str" cm="1">
        <f t="array" aca="1" ref="K97" ca="1">_xlfn.LET(_xlpm._value,IF($A97="","",IFERROR(IF($M97,SimpleLookup($A97,Assumptions!$A:$T),SimpleLookup($A97,Countermeasures!$A:$T)),"")),
IF(_xlpm._value="","",_xlpm._value))</f>
        <v/>
      </c>
      <c r="L97" s="9" cm="1">
        <f t="array" aca="1" ref="L97" ca="1">CreateID($L$17,$A97&lt;&gt;"")</f>
        <v>11</v>
      </c>
      <c r="M97" s="9" t="b">
        <f ca="1">_xlfn.LET(_xlpm._row,ROW()-ROW($N$17),
_xlpm._numActiveAssumptions,Helper!$B$8,
_xlpm._numAdditionalAssumptions,SUM(Table24['# Elements]),
_xlpm._row&lt;=_xlpm._numActiveAssumptions+_xlpm._numAdditionalAssumptions)</f>
        <v>0</v>
      </c>
      <c r="N97" s="9">
        <f ca="1">_xlfn.LET(_xlpm._row,ROW()-ROW($N$17),
_xlpm._numActiveAssumptions,Helper!$B$8,
_xlpm._numAdditionalAssumptions,Helper!$B$10,
_xlpm._isAssumption,$M97,
_xlpm._elementID,IF(_xlpm._isAssumption,_xlpm._row,_xlpm._row-_xlpm._numActiveAssumptions-_xlpm._numAdditionalAssumptions),
_xlpm._elementID)</f>
        <v>76</v>
      </c>
      <c r="O97"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97" s="11" cm="1">
        <f t="array" aca="1" ref="P97" ca="1">IF($O97,
IF(ROW()=ROW($P$17)+1,1,INDEX($P:$P,ROW()-1)+IF(INDEX($W:$W,ROW()-1),1,0)),
1)</f>
        <v>1</v>
      </c>
      <c r="Q97" s="11" t="str" cm="1">
        <f t="array" aca="1" ref="Q97" ca="1">IF($O97=TRUE,
_xlfn.LET(
_xlpm._isAssumption,$M97,
_xlpm._indexRange,IF(_xlpm._isAssumption,Table24['# Elements],Table25['# Elements]),
_xlpm._lookupRow,$Z97,
INDEX(_xlpm._indexRange,_xlpm._lookupRow)),
"")</f>
        <v/>
      </c>
      <c r="R97" s="11" t="str" cm="1">
        <f t="array" aca="1" ref="R97" ca="1">IF($Q97="","",_xlfn.LET(
_xlpm._prevRow,ROW()-1,
IF(OR(INDEX($Q:$Q,_xlpm._prevRow)&lt;&gt;$Q97,INDEX($P:$P,_xlpm._prevRow)&lt;&gt;$P97),
1,
INDEX($R:$R,_xlpm._prevRow)+IF(INDEX($V:$V,_xlpm._prevRow),1,0))))</f>
        <v/>
      </c>
      <c r="S97" s="11" t="str" cm="1">
        <f t="array" aca="1" ref="S97" ca="1">IF($R97="","",_xlfn.LET(
_xlpm._isAssumption,$M97,
_xlpm._sheetRow,$Z97,
_xlpm._sheetName,$AA97,
_xlpm._elementIDRange,IF(_xlpm._isAssumption,Table24[Element ID Column],Table25[Element ID Column]),
_xlpm._numberOfElementsRange,IF(_xlpm._isAssumption,Table24[Number of Elements Column],Table25[Number of Elements Column]),
SimpleLookup($R97,INDIRECT("'"&amp;_xlpm._sheetName&amp;"'!"&amp;INDEX(_xlpm._elementIDRange,_xlpm._sheetRow)&amp;":"&amp;INDEX(_xlpm._numberOfElementsRange,_xlpm._sheetRow)))))</f>
        <v/>
      </c>
      <c r="T97" s="11" t="str" cm="1">
        <f t="array" aca="1" ref="T97" ca="1">IF($R97="","",IF(OR(INDEX($R:$R,ROW()-1)&lt;&gt;$R97,INDEX($P:$P,ROW()-1)&lt;&gt;$P97),1,INDEX($T:$T,ROW()-1)+1))</f>
        <v/>
      </c>
      <c r="U97" s="11">
        <f t="shared" ca="1" si="26"/>
        <v>0</v>
      </c>
      <c r="V97" s="11" t="str">
        <f t="shared" ca="1" si="27"/>
        <v/>
      </c>
      <c r="W97" s="11" t="b">
        <f ca="1">_xlfn.LET(
_xlpm._isAssumption,$M97,
_xlpm._numberOfElementsRange,IF(_xlpm._isAssumption,Table24['# Elements],Table25['# Elements]),
_xlpm._sheetRow,$Z97,
IF($O97,AND($V97,$U97=$Q97),FALSE))</f>
        <v>0</v>
      </c>
      <c r="X97" s="11" t="str" cm="1">
        <f t="array" aca="1" ref="X97" ca="1">IF($O97,
_xlfn.LET(
_xlpm._elementID,$R97,
_xlpm._isAssumption,$M97,
_xlpm._sheetRow,$Z97,
_xlpm._sheetName,$AA97,
_xlpm._elementRow,$AB97,
_xlpm._resultColumnLetter,IF(_xlpm._isAssumption,INDEX(Table24[Comment Column],_xlpm._sheetRow),INDEX(Table25[Comment Column],_xlpm._sheetRow)),
INDEX(INDIRECT("'"&amp;_xlpm._sheetName&amp;"'!"&amp;_xlpm._resultColumnLetter&amp;":"&amp;_xlpm._resultColumnLetter),_xlpm._elementRow)),
"")</f>
        <v/>
      </c>
      <c r="Y97" s="11" t="str" cm="1">
        <f t="array" aca="1" ref="Y97" ca="1">IF($O97,
_xlfn.LET(
_xlpm._elementID,$R97,
_xlpm._isAssumption,$M97,
_xlpm._sheetRow,$Z97,
_xlpm._sheetName,$AA97,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97" s="11" t="str">
        <f ca="1">IF($O97=TRUE,
_xlfn.LET(
_xlpm._isAssumption,$M97,
_xlpm._searchRange,IF(_xlpm._isAssumption,Table24[Task Sheet Shadow ID],Table25[Task Sheet Shadow ID]),
MATCH($P97,_xlpm._searchRange,0)),
"")</f>
        <v/>
      </c>
      <c r="AA97" s="11" t="str" cm="1">
        <f t="array" aca="1" ref="AA97" ca="1">IF($O97,
_xlfn.LET(
_xlpm._isAssumption,$M97,
_xlpm._sheetRow,$Z97,
IF(_xlpm._isAssumption,INDEX(Table24[Sheet Name],_xlpm._sheetRow),INDEX(Table25[Sheet Name],_xlpm._sheetRow))),
"")</f>
        <v/>
      </c>
      <c r="AB97" s="11" t="str" cm="1">
        <f t="array" aca="1" ref="AB97" ca="1">IF($O97,
_xlfn.LET(
_xlpm._elementID,$R97,
_xlpm._isAssumption,$M97,
_xlpm._sheetRow,$Z97,
_xlpm._sheetName,$AA97,
_xlpm._elementIDColumnLetter,IF(_xlpm._isAssumption,INDEX(Table24[Element ID Column],_xlpm._sheetRow),INDEX(Table25[Element ID Column],_xlpm._sheetRow)),
MATCH(_xlpm._elementID,INDIRECT("'"&amp;_xlpm._sheetName&amp;"'!"&amp;_xlpm._elementIDColumnLetter&amp;":"&amp;_xlpm._elementIDColumnLetter),0)),
"")</f>
        <v/>
      </c>
      <c r="AC97" s="11" t="str" cm="1">
        <f t="array" aca="1" ref="AC97" ca="1">IF($A97="","",_xlfn.LET(
_xlpm._isAssumption,$M97,
_xlpm._isAdditionalElement,$O97,
_xlpm._sheetRow,$Z97,
_xlpm._sheetName,$AA97,
_xlpm._columnLetter,INDEX(IF(_xlpm._isAdditionalElement,Table24[Comment Column],Table25[Comment Column]),_xlpm._sheetRow),
_xlpm._sheetReference,IF(_xlpm._isAssumption,IF(_xlpm._isAdditionalElement,
CELL("address",INDEX(INDIRECT("'"&amp;_xlpm._sheetName&amp;"'!"&amp;_xlpm._columnLetter&amp;":"&amp;_xlpm._columnLetter),$AB97)),
CELL("address",INDEX(Assumptions!$A:$A,MATCH($A97,Assumptions!$A:$A,0),1))),
IF(_xlpm._isAdditionalElement,
CELL("address",INDEX(INDIRECT("'"&amp;_xlpm._sheetName&amp;"'!"&amp;_xlpm._columnLetter&amp;":"&amp;_xlpm._columnLetter),$AB97)),
CELL("address",INDEX(Countermeasures!$A:$A,MATCH($A97,Countermeasures!$A:$A,0),1)))),
_xlpm._start,FIND("]",_xlpm._sheetReference),
"'"&amp;SUBSTITUTE(SUBSTITUTE(RIGHT(_xlpm._sheetReference,LEN(_xlpm._sheetReference)-_xlpm._start),"'",""),"!","'!")))</f>
        <v/>
      </c>
      <c r="AD97" s="11" t="str" cm="1">
        <f t="array" aca="1" ref="AD97" ca="1">IF(NOT($O97),
_xlfn.LET(_xlpm._value,IF($A97="","",IF($M97,SimpleLookup($A97,Assumptions!$A:$AG),SimpleLookup($A97,Countermeasures!$A:$AJ))),
IF(_xlpm._value="","",_xlpm._value)),
"")</f>
        <v/>
      </c>
      <c r="AE97" s="11" t="str" cm="1">
        <f t="array" aca="1" ref="AE97" ca="1">LookupNames(InverseLookup($A97,Mitigation!$AD$2,Mitigation!$A$2,1,Helper!$B$5,","),'Attack Steps'!$A:$B)</f>
        <v/>
      </c>
      <c r="AF97" s="11" t="str" cm="1">
        <f t="array" aca="1" ref="AF97" ca="1">IF($O97,
_xlfn.LET(
_xlpm._in,$A97,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97" s="11" t="str" cm="1">
        <f t="array" aca="1" ref="AG97" ca="1">_xlfn.LET(
_xlpm._countermeasures,InverseLookup($A97,Countermeasures!$AC$2,Countermeasures!$A$2,1,Helper!$B$4,","),
LookupNames(_xlpm._countermeasures,Countermeasures!$A:$B))</f>
        <v/>
      </c>
      <c r="AH97" s="11" t="str" cm="1">
        <f t="array" aca="1" ref="AH97" ca="1">IF($E97="","",_xlfn.LET(
_xlpm._id,$E97,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97" s="11" t="str" cm="1">
        <f t="array" aca="1" ref="AI97" ca="1">IF(OR($A97="",$O97),"",_xlfn.LET(
_xlpm._answers,IF($M97,SimpleLookup($A97,Assumptions!$A:$F),SimpleLookup($A97,Countermeasures!$A:$D)),
IF(_xlpm._answers="*",IF($M97,SimpleLookup($A97,Assumptions!$A:$C),SimpleLookup($A97,Countermeasures!$A:$C)),"")))</f>
        <v/>
      </c>
      <c r="AJ97" s="11" t="str" cm="1">
        <f t="array" aca="1" ref="AJ97" ca="1">IF(NOT($O97),"",_xlfn.LET(
_xlpm._mappedInMitigation,IFERROR(VLOOKUP($Y97,'Attack Steps'!$A:$P,COLUMNS('Attack Steps'!$A:$P),FALSE),""),
CreateSearchString(_xlpm._mappedInMitigation)))</f>
        <v/>
      </c>
      <c r="AK97" s="11" t="b">
        <f ca="1">ROW()-ROW($AK$17)=Helper!$B$15</f>
        <v>0</v>
      </c>
      <c r="AL97" s="11" t="str">
        <f t="shared" ca="1" si="28"/>
        <v/>
      </c>
      <c r="AM97" s="11" cm="1">
        <f t="array" aca="1" ref="AM97" ca="1">CreateID($AM$17,$AL97&lt;&gt;"")</f>
        <v>0</v>
      </c>
      <c r="AN97" s="11" t="str" cm="1">
        <f t="array" aca="1" ref="AN97" ca="1">IF($O97,"",
_xlfn.LET(
_xlpm._this,SanitizeInput($A97)&amp;AT97,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97" s="11" t="str" cm="1">
        <f t="array" aca="1" ref="AO97" ca="1">IF($O97,"",_xlfn.LET(
_xlpm._listOfRisksAndLevels,SanitizeInput($AN97),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_xlpm._shortenedList,IF($H97="",_xlpm._risksWithMaxValue,
  IF(LEN(_xlpm._risksWithMaxValue)-LEN(SUBSTITUTE(_xlpm._risksWithMaxValue,",",""))&lt;=$H97,_xlpm._risksWithMaxValue,
    LEFT(_xlpm._risksWithMaxValue,FIND(CHAR(1),SUBSTITUTE(_xlpm._risksWithMaxValue,",",CHAR(1),$H97))))),
IF(_xlpm._maxRiskValue="","",
  _xlpm._lineMainSeparator&amp;
  INDEX(Definitions!$AE:$AE,MATCH(_xlpm._maxRiskValue,Definitions!$AF:$AF,0))&amp;CHAR(10)&amp;
  _xlpm._lineMainSeparator&amp;
  RemoveDelimiter(GetValues(_xlpm._shortenedList,Risks!$A:$B," ",CHAR(10)&amp;_xlpm._lineMainSeparator,TRUE),CHAR(10)&amp;_xlpm._lineMainSeparator))))</f>
        <v/>
      </c>
      <c r="AP97" s="11" t="str" cm="1">
        <f t="array" aca="1" ref="AP97" ca="1">IF($O97,"",_xlfn.LET(
_xlpm._lineMainSeparator,REPT(_xlfn.UNICHAR(9552),63)&amp;CHAR(10),
_xlpm._affectedRisks,InverseLookupList(SanitizeInput($A97)&amp;$AT97,Risks!$AX$2,Risks!$A$2,Helper!$B$1,","),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_xlpm._shortenedList,IF($H97="",_xlpm._risksWithMaxValue,
  IF(LEN(_xlpm._risksWithMaxValue)-LEN(SUBSTITUTE(_xlpm._risksWithMaxValue,",",""))&lt;=$H97,_xlpm._risksWithMaxValue,
    LEFT(_xlpm._risksWithMaxValue,FIND(CHAR(1),SUBSTITUTE(_xlpm._risksWithMaxValue,",",CHAR(1),$H97))))),
IF(_xlpm._maxRiskValue="","",
  _xlpm._lineMainSeparator&amp;
  INDEX(Definitions!$AE:$AE,MATCH(_xlpm._maxRiskValue,Definitions!$AF:$AF,0))&amp;CHAR(10)&amp;
  _xlpm._lineMainSeparator&amp;
  RemoveDelimiter(GetValues(_xlpm._shortenedList,Risks!$A:$B," ",CHAR(10)&amp;_xlpm._lineMainSeparator,TRUE),CHAR(10)&amp;_xlpm._lineMainSeparator))))</f>
        <v/>
      </c>
      <c r="AQ97" s="11" t="str" cm="1">
        <f t="array" aca="1" ref="AQ97" ca="1">IF(NOT($O97),"",
_xlfn.LET(
_xlpm._potentialASID,$Y97,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_xlpm._commentsFiltered,SUBSTITUTE(GetValues(_xlpm._attackSteps,Mitigation!$A:$O,"","",FALSE),$X97,""),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97" s="11" t="str" cm="1">
        <f t="array" aca="1" ref="AR97" ca="1">IF(NOT($O97),"",_xlfn.LET(
_xlpm._listOfRisksAndLevels,SanitizeInput($AQ97),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_xlpm._shortenedList,IF($H97="",_xlpm._risksWithMaxValue,
  IF(LEN(_xlpm._risksWithMaxValue)-LEN(SUBSTITUTE(_xlpm._risksWithMaxValue,",",""))&lt;=$H97,_xlpm._risksWithMaxValue,
    LEFT(_xlpm._risksWithMaxValue,FIND(CHAR(1),SUBSTITUTE(_xlpm._risksWithMaxValue,",",CHAR(1),$H97))))),
IF(_xlpm._maxRiskValue="","",
  _xlpm._lineMainSeparator&amp;
  INDEX(Definitions!$AE:$AE,MATCH(_xlpm._maxRiskValue,Definitions!$AF:$AF,0))&amp;CHAR(10)&amp;
  _xlpm._lineMainSeparator&amp;
  RemoveDelimiter(GetValues(_xlpm._shortenedList,Risks!$A:$B," ",CHAR(10)&amp;_xlpm._lineMainSeparator,TRUE),CHAR(10)&amp;_xlpm._lineMainSeparator))))</f>
        <v/>
      </c>
      <c r="AS97" s="11" t="str" cm="1">
        <f t="array" aca="1" ref="AS97" ca="1">IF(NOT($O97),"",
_xlfn.LET(
_xlpm._lineMainSeparator,REPT(_xlfn.UNICHAR(9552),63)&amp;CHAR(10),
_xlpm._potentialASID,$Y97,
_xlpm._risk,IFERROR(SimpleLookup(_xlpm._potentialASID,Mitigation!$A:$N),""),
_xlpm._attackPaths,IFERROR(SimpleLookup(_xlpm._potentialASID,Mitigation!$A:$M),""),
IF(_xlpm._risk="","",
_xlpm._lineMainSeparator&amp;
_xlpm._risk&amp;CHAR(10)&amp;
_xlpm._lineMainSeparator&amp;
_xlpm._attackPaths)))</f>
        <v/>
      </c>
      <c r="AT97" s="11" t="str" cm="1">
        <f t="array" aca="1" ref="AT97" ca="1">InverseLookup($A97,Countermeasures!$AA$2,Countermeasures!$A$2,1,Helper!$B$4,",")</f>
        <v/>
      </c>
    </row>
    <row r="98" spans="1:46" x14ac:dyDescent="0.25">
      <c r="A98" s="106" t="str">
        <f ca="1">_xlfn.LET(
_xlpm._isAssumption,$M98,
_xlpm._row,$N98,
_xlpm._numActiveAssumptions,Helper!$B$8,
_xlpm._numActiveCountermeasures,Helper!$B$9,
_xlpm._numAdditionalAssumptions,Helper!$B$10,
_xlpm._numAdditionalCountermeasures,Helper!$B$11,
IF(_xlpm._isAssumption,
IF(_xlpm._row&gt;_xlpm._numActiveAssumptions,
$Y98&amp;"-A"&amp;$T98,
INDEX(Assumptions!A:A,MATCH(_xlpm._row,Assumptions!$AC:$AC,0))),
IF(_xlpm._row&gt;_xlpm._numActiveCountermeasures+_xlpm._numAdditionalCountermeasures,"",
IF(_xlpm._row&gt;_xlpm._numActiveCountermeasures,
$Y98&amp;"-C"&amp;$T98,
INDEX(Countermeasures!$A:$A,MATCH(_xlpm._row,Countermeasures!$AE:$AE,0))))))</f>
        <v/>
      </c>
      <c r="B98" s="106" t="str" cm="1">
        <f t="array" aca="1" ref="B98" ca="1">IF($A98="","",
_xlfn.LET(
_xlpm._isAssumption,$M98,
_xlpm._isAdditionalElement,$O98,
IF(_xlpm._isAdditionalElement,
IF(_xlpm._isAssumption,
ParseElementsFromComment($X98,Definitions!$AR$4,Definitions!$AS$4,Definitions!$AR$6,$T98),
ParseElementsFromComment($X98,Definitions!$AR$5,Definitions!$AS$5,Definitions!$AR$6,$T98)),
_xlfn.LET(_xlpm._value,IF($A98="","",IF($M98,SimpleLookup($A98,Assumptions!$A:$B),SimpleLookup($A98,Countermeasures!$A:$B))),IF(_xlpm._value="","",_xlpm._value)))))</f>
        <v/>
      </c>
      <c r="C98" s="106" t="str" cm="1">
        <f t="array" aca="1" ref="C98" ca="1">IF($A98="","",IF($M98,IFERROR(SimpleLookup($A98,Assumptions!$A:$E),""),Definitions!$AO$4))</f>
        <v/>
      </c>
      <c r="D98" s="103" t="str">
        <f t="shared" ca="1" si="16"/>
        <v/>
      </c>
      <c r="E98" s="107"/>
      <c r="F98" s="108" t="str">
        <f t="shared" ca="1" si="17"/>
        <v/>
      </c>
      <c r="G98" s="102" t="str" cm="1">
        <f t="array" aca="1" ref="G98" ca="1">_xlfn.LET(_xlpm._val,IFERROR(SimpleLookup($A98,Countermeasures!$A:$S),IFERROR(SimpleLookup($A98,Assumptions!$A:$S),"")),IF(_xlpm._val="","",_xlpm._val))</f>
        <v/>
      </c>
      <c r="H98" s="109" t="str">
        <f>""</f>
        <v/>
      </c>
      <c r="I98" s="102" t="str">
        <f t="shared" ca="1" si="18"/>
        <v/>
      </c>
      <c r="J98" s="102" t="str">
        <f t="shared" ca="1" si="19"/>
        <v/>
      </c>
      <c r="K98" s="106" t="str" cm="1">
        <f t="array" aca="1" ref="K98" ca="1">_xlfn.LET(_xlpm._value,IF($A98="","",IFERROR(IF($M98,SimpleLookup($A98,Assumptions!$A:$T),SimpleLookup($A98,Countermeasures!$A:$T)),"")),
IF(_xlpm._value="","",_xlpm._value))</f>
        <v/>
      </c>
      <c r="L98" s="9" cm="1">
        <f t="array" aca="1" ref="L98" ca="1">CreateID($L$17,$A98&lt;&gt;"")</f>
        <v>11</v>
      </c>
      <c r="M98" s="9" t="b">
        <f ca="1">_xlfn.LET(_xlpm._row,ROW()-ROW($N$17),
_xlpm._numActiveAssumptions,Helper!$B$8,
_xlpm._numAdditionalAssumptions,SUM(Table24['# Elements]),
_xlpm._row&lt;=_xlpm._numActiveAssumptions+_xlpm._numAdditionalAssumptions)</f>
        <v>0</v>
      </c>
      <c r="N98" s="9">
        <f ca="1">_xlfn.LET(_xlpm._row,ROW()-ROW($N$17),
_xlpm._numActiveAssumptions,Helper!$B$8,
_xlpm._numAdditionalAssumptions,Helper!$B$10,
_xlpm._isAssumption,$M98,
_xlpm._elementID,IF(_xlpm._isAssumption,_xlpm._row,_xlpm._row-_xlpm._numActiveAssumptions-_xlpm._numAdditionalAssumptions),
_xlpm._elementID)</f>
        <v>77</v>
      </c>
      <c r="O98"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98" s="11" cm="1">
        <f t="array" aca="1" ref="P98" ca="1">IF($O98,
IF(ROW()=ROW($P$17)+1,1,INDEX($P:$P,ROW()-1)+IF(INDEX($W:$W,ROW()-1),1,0)),
1)</f>
        <v>1</v>
      </c>
      <c r="Q98" s="11" t="str" cm="1">
        <f t="array" aca="1" ref="Q98" ca="1">IF($O98=TRUE,
_xlfn.LET(
_xlpm._isAssumption,$M98,
_xlpm._indexRange,IF(_xlpm._isAssumption,Table24['# Elements],Table25['# Elements]),
_xlpm._lookupRow,$Z98,
INDEX(_xlpm._indexRange,_xlpm._lookupRow)),
"")</f>
        <v/>
      </c>
      <c r="R98" s="11" t="str" cm="1">
        <f t="array" aca="1" ref="R98" ca="1">IF($Q98="","",_xlfn.LET(
_xlpm._prevRow,ROW()-1,
IF(OR(INDEX($Q:$Q,_xlpm._prevRow)&lt;&gt;$Q98,INDEX($P:$P,_xlpm._prevRow)&lt;&gt;$P98),
1,
INDEX($R:$R,_xlpm._prevRow)+IF(INDEX($V:$V,_xlpm._prevRow),1,0))))</f>
        <v/>
      </c>
      <c r="S98" s="11" t="str" cm="1">
        <f t="array" aca="1" ref="S98" ca="1">IF($R98="","",_xlfn.LET(
_xlpm._isAssumption,$M98,
_xlpm._sheetRow,$Z98,
_xlpm._sheetName,$AA98,
_xlpm._elementIDRange,IF(_xlpm._isAssumption,Table24[Element ID Column],Table25[Element ID Column]),
_xlpm._numberOfElementsRange,IF(_xlpm._isAssumption,Table24[Number of Elements Column],Table25[Number of Elements Column]),
SimpleLookup($R98,INDIRECT("'"&amp;_xlpm._sheetName&amp;"'!"&amp;INDEX(_xlpm._elementIDRange,_xlpm._sheetRow)&amp;":"&amp;INDEX(_xlpm._numberOfElementsRange,_xlpm._sheetRow)))))</f>
        <v/>
      </c>
      <c r="T98" s="11" t="str" cm="1">
        <f t="array" aca="1" ref="T98" ca="1">IF($R98="","",IF(OR(INDEX($R:$R,ROW()-1)&lt;&gt;$R98,INDEX($P:$P,ROW()-1)&lt;&gt;$P98),1,INDEX($T:$T,ROW()-1)+1))</f>
        <v/>
      </c>
      <c r="U98" s="11">
        <f t="shared" ca="1" si="26"/>
        <v>0</v>
      </c>
      <c r="V98" s="11" t="str">
        <f t="shared" ca="1" si="27"/>
        <v/>
      </c>
      <c r="W98" s="11" t="b">
        <f ca="1">_xlfn.LET(
_xlpm._isAssumption,$M98,
_xlpm._numberOfElementsRange,IF(_xlpm._isAssumption,Table24['# Elements],Table25['# Elements]),
_xlpm._sheetRow,$Z98,
IF($O98,AND($V98,$U98=$Q98),FALSE))</f>
        <v>0</v>
      </c>
      <c r="X98" s="11" t="str" cm="1">
        <f t="array" aca="1" ref="X98" ca="1">IF($O98,
_xlfn.LET(
_xlpm._elementID,$R98,
_xlpm._isAssumption,$M98,
_xlpm._sheetRow,$Z98,
_xlpm._sheetName,$AA98,
_xlpm._elementRow,$AB98,
_xlpm._resultColumnLetter,IF(_xlpm._isAssumption,INDEX(Table24[Comment Column],_xlpm._sheetRow),INDEX(Table25[Comment Column],_xlpm._sheetRow)),
INDEX(INDIRECT("'"&amp;_xlpm._sheetName&amp;"'!"&amp;_xlpm._resultColumnLetter&amp;":"&amp;_xlpm._resultColumnLetter),_xlpm._elementRow)),
"")</f>
        <v/>
      </c>
      <c r="Y98" s="11" t="str" cm="1">
        <f t="array" aca="1" ref="Y98" ca="1">IF($O98,
_xlfn.LET(
_xlpm._elementID,$R98,
_xlpm._isAssumption,$M98,
_xlpm._sheetRow,$Z98,
_xlpm._sheetName,$AA98,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98" s="11" t="str">
        <f ca="1">IF($O98=TRUE,
_xlfn.LET(
_xlpm._isAssumption,$M98,
_xlpm._searchRange,IF(_xlpm._isAssumption,Table24[Task Sheet Shadow ID],Table25[Task Sheet Shadow ID]),
MATCH($P98,_xlpm._searchRange,0)),
"")</f>
        <v/>
      </c>
      <c r="AA98" s="11" t="str" cm="1">
        <f t="array" aca="1" ref="AA98" ca="1">IF($O98,
_xlfn.LET(
_xlpm._isAssumption,$M98,
_xlpm._sheetRow,$Z98,
IF(_xlpm._isAssumption,INDEX(Table24[Sheet Name],_xlpm._sheetRow),INDEX(Table25[Sheet Name],_xlpm._sheetRow))),
"")</f>
        <v/>
      </c>
      <c r="AB98" s="11" t="str" cm="1">
        <f t="array" aca="1" ref="AB98" ca="1">IF($O98,
_xlfn.LET(
_xlpm._elementID,$R98,
_xlpm._isAssumption,$M98,
_xlpm._sheetRow,$Z98,
_xlpm._sheetName,$AA98,
_xlpm._elementIDColumnLetter,IF(_xlpm._isAssumption,INDEX(Table24[Element ID Column],_xlpm._sheetRow),INDEX(Table25[Element ID Column],_xlpm._sheetRow)),
MATCH(_xlpm._elementID,INDIRECT("'"&amp;_xlpm._sheetName&amp;"'!"&amp;_xlpm._elementIDColumnLetter&amp;":"&amp;_xlpm._elementIDColumnLetter),0)),
"")</f>
        <v/>
      </c>
      <c r="AC98" s="11" t="str" cm="1">
        <f t="array" aca="1" ref="AC98" ca="1">IF($A98="","",_xlfn.LET(
_xlpm._isAssumption,$M98,
_xlpm._isAdditionalElement,$O98,
_xlpm._sheetRow,$Z98,
_xlpm._sheetName,$AA98,
_xlpm._columnLetter,INDEX(IF(_xlpm._isAdditionalElement,Table24[Comment Column],Table25[Comment Column]),_xlpm._sheetRow),
_xlpm._sheetReference,IF(_xlpm._isAssumption,IF(_xlpm._isAdditionalElement,
CELL("address",INDEX(INDIRECT("'"&amp;_xlpm._sheetName&amp;"'!"&amp;_xlpm._columnLetter&amp;":"&amp;_xlpm._columnLetter),$AB98)),
CELL("address",INDEX(Assumptions!$A:$A,MATCH($A98,Assumptions!$A:$A,0),1))),
IF(_xlpm._isAdditionalElement,
CELL("address",INDEX(INDIRECT("'"&amp;_xlpm._sheetName&amp;"'!"&amp;_xlpm._columnLetter&amp;":"&amp;_xlpm._columnLetter),$AB98)),
CELL("address",INDEX(Countermeasures!$A:$A,MATCH($A98,Countermeasures!$A:$A,0),1)))),
_xlpm._start,FIND("]",_xlpm._sheetReference),
"'"&amp;SUBSTITUTE(SUBSTITUTE(RIGHT(_xlpm._sheetReference,LEN(_xlpm._sheetReference)-_xlpm._start),"'",""),"!","'!")))</f>
        <v/>
      </c>
      <c r="AD98" s="11" t="str" cm="1">
        <f t="array" aca="1" ref="AD98" ca="1">IF(NOT($O98),
_xlfn.LET(_xlpm._value,IF($A98="","",IF($M98,SimpleLookup($A98,Assumptions!$A:$AG),SimpleLookup($A98,Countermeasures!$A:$AJ))),
IF(_xlpm._value="","",_xlpm._value)),
"")</f>
        <v/>
      </c>
      <c r="AE98" s="11" t="str" cm="1">
        <f t="array" aca="1" ref="AE98" ca="1">LookupNames(InverseLookup($A98,Mitigation!$AD$2,Mitigation!$A$2,1,Helper!$B$5,","),'Attack Steps'!$A:$B)</f>
        <v/>
      </c>
      <c r="AF98" s="11" t="str" cm="1">
        <f t="array" aca="1" ref="AF98" ca="1">IF($O98,
_xlfn.LET(
_xlpm._in,$A98,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98" s="11" t="str" cm="1">
        <f t="array" aca="1" ref="AG98" ca="1">_xlfn.LET(
_xlpm._countermeasures,InverseLookup($A98,Countermeasures!$AC$2,Countermeasures!$A$2,1,Helper!$B$4,","),
LookupNames(_xlpm._countermeasures,Countermeasures!$A:$B))</f>
        <v/>
      </c>
      <c r="AH98" s="11" t="str" cm="1">
        <f t="array" aca="1" ref="AH98" ca="1">IF($E98="","",_xlfn.LET(
_xlpm._id,$E98,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98" s="11" t="str" cm="1">
        <f t="array" aca="1" ref="AI98" ca="1">IF(OR($A98="",$O98),"",_xlfn.LET(
_xlpm._answers,IF($M98,SimpleLookup($A98,Assumptions!$A:$F),SimpleLookup($A98,Countermeasures!$A:$D)),
IF(_xlpm._answers="*",IF($M98,SimpleLookup($A98,Assumptions!$A:$C),SimpleLookup($A98,Countermeasures!$A:$C)),"")))</f>
        <v/>
      </c>
      <c r="AJ98" s="11" t="str" cm="1">
        <f t="array" aca="1" ref="AJ98" ca="1">IF(NOT($O98),"",_xlfn.LET(
_xlpm._mappedInMitigation,IFERROR(VLOOKUP($Y98,'Attack Steps'!$A:$P,COLUMNS('Attack Steps'!$A:$P),FALSE),""),
CreateSearchString(_xlpm._mappedInMitigation)))</f>
        <v/>
      </c>
      <c r="AK98" s="11" t="b">
        <f ca="1">ROW()-ROW($AK$17)=Helper!$B$15</f>
        <v>0</v>
      </c>
      <c r="AL98" s="11" t="str">
        <f t="shared" ca="1" si="28"/>
        <v/>
      </c>
      <c r="AM98" s="11" cm="1">
        <f t="array" aca="1" ref="AM98" ca="1">CreateID($AM$17,$AL98&lt;&gt;"")</f>
        <v>0</v>
      </c>
      <c r="AN98" s="11" t="str" cm="1">
        <f t="array" aca="1" ref="AN98" ca="1">IF($O98,"",
_xlfn.LET(
_xlpm._this,SanitizeInput($A98)&amp;AT98,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98" s="11" t="str" cm="1">
        <f t="array" aca="1" ref="AO98" ca="1">IF($O98,"",_xlfn.LET(
_xlpm._listOfRisksAndLevels,SanitizeInput($AN98),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_xlpm._shortenedList,IF($H98="",_xlpm._risksWithMaxValue,
  IF(LEN(_xlpm._risksWithMaxValue)-LEN(SUBSTITUTE(_xlpm._risksWithMaxValue,",",""))&lt;=$H98,_xlpm._risksWithMaxValue,
    LEFT(_xlpm._risksWithMaxValue,FIND(CHAR(1),SUBSTITUTE(_xlpm._risksWithMaxValue,",",CHAR(1),$H98))))),
IF(_xlpm._maxRiskValue="","",
  _xlpm._lineMainSeparator&amp;
  INDEX(Definitions!$AE:$AE,MATCH(_xlpm._maxRiskValue,Definitions!$AF:$AF,0))&amp;CHAR(10)&amp;
  _xlpm._lineMainSeparator&amp;
  RemoveDelimiter(GetValues(_xlpm._shortenedList,Risks!$A:$B," ",CHAR(10)&amp;_xlpm._lineMainSeparator,TRUE),CHAR(10)&amp;_xlpm._lineMainSeparator))))</f>
        <v/>
      </c>
      <c r="AP98" s="11" t="str" cm="1">
        <f t="array" aca="1" ref="AP98" ca="1">IF($O98,"",_xlfn.LET(
_xlpm._lineMainSeparator,REPT(_xlfn.UNICHAR(9552),63)&amp;CHAR(10),
_xlpm._affectedRisks,InverseLookupList(SanitizeInput($A98)&amp;$AT98,Risks!$AX$2,Risks!$A$2,Helper!$B$1,","),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_xlpm._shortenedList,IF($H98="",_xlpm._risksWithMaxValue,
  IF(LEN(_xlpm._risksWithMaxValue)-LEN(SUBSTITUTE(_xlpm._risksWithMaxValue,",",""))&lt;=$H98,_xlpm._risksWithMaxValue,
    LEFT(_xlpm._risksWithMaxValue,FIND(CHAR(1),SUBSTITUTE(_xlpm._risksWithMaxValue,",",CHAR(1),$H98))))),
IF(_xlpm._maxRiskValue="","",
  _xlpm._lineMainSeparator&amp;
  INDEX(Definitions!$AE:$AE,MATCH(_xlpm._maxRiskValue,Definitions!$AF:$AF,0))&amp;CHAR(10)&amp;
  _xlpm._lineMainSeparator&amp;
  RemoveDelimiter(GetValues(_xlpm._shortenedList,Risks!$A:$B," ",CHAR(10)&amp;_xlpm._lineMainSeparator,TRUE),CHAR(10)&amp;_xlpm._lineMainSeparator))))</f>
        <v/>
      </c>
      <c r="AQ98" s="11" t="str" cm="1">
        <f t="array" aca="1" ref="AQ98" ca="1">IF(NOT($O98),"",
_xlfn.LET(
_xlpm._potentialASID,$Y98,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_xlpm._commentsFiltered,SUBSTITUTE(GetValues(_xlpm._attackSteps,Mitigation!$A:$O,"","",FALSE),$X98,""),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98" s="11" t="str" cm="1">
        <f t="array" aca="1" ref="AR98" ca="1">IF(NOT($O98),"",_xlfn.LET(
_xlpm._listOfRisksAndLevels,SanitizeInput($AQ98),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_xlpm._shortenedList,IF($H98="",_xlpm._risksWithMaxValue,
  IF(LEN(_xlpm._risksWithMaxValue)-LEN(SUBSTITUTE(_xlpm._risksWithMaxValue,",",""))&lt;=$H98,_xlpm._risksWithMaxValue,
    LEFT(_xlpm._risksWithMaxValue,FIND(CHAR(1),SUBSTITUTE(_xlpm._risksWithMaxValue,",",CHAR(1),$H98))))),
IF(_xlpm._maxRiskValue="","",
  _xlpm._lineMainSeparator&amp;
  INDEX(Definitions!$AE:$AE,MATCH(_xlpm._maxRiskValue,Definitions!$AF:$AF,0))&amp;CHAR(10)&amp;
  _xlpm._lineMainSeparator&amp;
  RemoveDelimiter(GetValues(_xlpm._shortenedList,Risks!$A:$B," ",CHAR(10)&amp;_xlpm._lineMainSeparator,TRUE),CHAR(10)&amp;_xlpm._lineMainSeparator))))</f>
        <v/>
      </c>
      <c r="AS98" s="11" t="str" cm="1">
        <f t="array" aca="1" ref="AS98" ca="1">IF(NOT($O98),"",
_xlfn.LET(
_xlpm._lineMainSeparator,REPT(_xlfn.UNICHAR(9552),63)&amp;CHAR(10),
_xlpm._potentialASID,$Y98,
_xlpm._risk,IFERROR(SimpleLookup(_xlpm._potentialASID,Mitigation!$A:$N),""),
_xlpm._attackPaths,IFERROR(SimpleLookup(_xlpm._potentialASID,Mitigation!$A:$M),""),
IF(_xlpm._risk="","",
_xlpm._lineMainSeparator&amp;
_xlpm._risk&amp;CHAR(10)&amp;
_xlpm._lineMainSeparator&amp;
_xlpm._attackPaths)))</f>
        <v/>
      </c>
      <c r="AT98" s="11" t="str" cm="1">
        <f t="array" aca="1" ref="AT98" ca="1">InverseLookup($A98,Countermeasures!$AA$2,Countermeasures!$A$2,1,Helper!$B$4,",")</f>
        <v/>
      </c>
    </row>
    <row r="99" spans="1:46" x14ac:dyDescent="0.25">
      <c r="A99" s="106" t="str">
        <f ca="1">_xlfn.LET(
_xlpm._isAssumption,$M99,
_xlpm._row,$N99,
_xlpm._numActiveAssumptions,Helper!$B$8,
_xlpm._numActiveCountermeasures,Helper!$B$9,
_xlpm._numAdditionalAssumptions,Helper!$B$10,
_xlpm._numAdditionalCountermeasures,Helper!$B$11,
IF(_xlpm._isAssumption,
IF(_xlpm._row&gt;_xlpm._numActiveAssumptions,
$Y99&amp;"-A"&amp;$T99,
INDEX(Assumptions!A:A,MATCH(_xlpm._row,Assumptions!$AC:$AC,0))),
IF(_xlpm._row&gt;_xlpm._numActiveCountermeasures+_xlpm._numAdditionalCountermeasures,"",
IF(_xlpm._row&gt;_xlpm._numActiveCountermeasures,
$Y99&amp;"-C"&amp;$T99,
INDEX(Countermeasures!$A:$A,MATCH(_xlpm._row,Countermeasures!$AE:$AE,0))))))</f>
        <v/>
      </c>
      <c r="B99" s="106" t="str" cm="1">
        <f t="array" aca="1" ref="B99" ca="1">IF($A99="","",
_xlfn.LET(
_xlpm._isAssumption,$M99,
_xlpm._isAdditionalElement,$O99,
IF(_xlpm._isAdditionalElement,
IF(_xlpm._isAssumption,
ParseElementsFromComment($X99,Definitions!$AR$4,Definitions!$AS$4,Definitions!$AR$6,$T99),
ParseElementsFromComment($X99,Definitions!$AR$5,Definitions!$AS$5,Definitions!$AR$6,$T99)),
_xlfn.LET(_xlpm._value,IF($A99="","",IF($M99,SimpleLookup($A99,Assumptions!$A:$B),SimpleLookup($A99,Countermeasures!$A:$B))),IF(_xlpm._value="","",_xlpm._value)))))</f>
        <v/>
      </c>
      <c r="C99" s="106" t="str" cm="1">
        <f t="array" aca="1" ref="C99" ca="1">IF($A99="","",IF($M99,IFERROR(SimpleLookup($A99,Assumptions!$A:$E),""),Definitions!$AO$4))</f>
        <v/>
      </c>
      <c r="D99" s="103" t="str">
        <f t="shared" ca="1" si="16"/>
        <v/>
      </c>
      <c r="E99" s="107"/>
      <c r="F99" s="108" t="str">
        <f t="shared" ca="1" si="17"/>
        <v/>
      </c>
      <c r="G99" s="102" t="str" cm="1">
        <f t="array" aca="1" ref="G99" ca="1">_xlfn.LET(_xlpm._val,IFERROR(SimpleLookup($A99,Countermeasures!$A:$S),IFERROR(SimpleLookup($A99,Assumptions!$A:$S),"")),IF(_xlpm._val="","",_xlpm._val))</f>
        <v/>
      </c>
      <c r="H99" s="109" t="str">
        <f>""</f>
        <v/>
      </c>
      <c r="I99" s="102" t="str">
        <f t="shared" ca="1" si="18"/>
        <v/>
      </c>
      <c r="J99" s="102" t="str">
        <f t="shared" ca="1" si="19"/>
        <v/>
      </c>
      <c r="K99" s="106" t="str" cm="1">
        <f t="array" aca="1" ref="K99" ca="1">_xlfn.LET(_xlpm._value,IF($A99="","",IFERROR(IF($M99,SimpleLookup($A99,Assumptions!$A:$T),SimpleLookup($A99,Countermeasures!$A:$T)),"")),
IF(_xlpm._value="","",_xlpm._value))</f>
        <v/>
      </c>
      <c r="L99" s="9" cm="1">
        <f t="array" aca="1" ref="L99" ca="1">CreateID($L$17,$A99&lt;&gt;"")</f>
        <v>11</v>
      </c>
      <c r="M99" s="9" t="b">
        <f ca="1">_xlfn.LET(_xlpm._row,ROW()-ROW($N$17),
_xlpm._numActiveAssumptions,Helper!$B$8,
_xlpm._numAdditionalAssumptions,SUM(Table24['# Elements]),
_xlpm._row&lt;=_xlpm._numActiveAssumptions+_xlpm._numAdditionalAssumptions)</f>
        <v>0</v>
      </c>
      <c r="N99" s="9">
        <f ca="1">_xlfn.LET(_xlpm._row,ROW()-ROW($N$17),
_xlpm._numActiveAssumptions,Helper!$B$8,
_xlpm._numAdditionalAssumptions,Helper!$B$10,
_xlpm._isAssumption,$M99,
_xlpm._elementID,IF(_xlpm._isAssumption,_xlpm._row,_xlpm._row-_xlpm._numActiveAssumptions-_xlpm._numAdditionalAssumptions),
_xlpm._elementID)</f>
        <v>78</v>
      </c>
      <c r="O99"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99" s="11" cm="1">
        <f t="array" aca="1" ref="P99" ca="1">IF($O99,
IF(ROW()=ROW($P$17)+1,1,INDEX($P:$P,ROW()-1)+IF(INDEX($W:$W,ROW()-1),1,0)),
1)</f>
        <v>1</v>
      </c>
      <c r="Q99" s="11" t="str" cm="1">
        <f t="array" aca="1" ref="Q99" ca="1">IF($O99=TRUE,
_xlfn.LET(
_xlpm._isAssumption,$M99,
_xlpm._indexRange,IF(_xlpm._isAssumption,Table24['# Elements],Table25['# Elements]),
_xlpm._lookupRow,$Z99,
INDEX(_xlpm._indexRange,_xlpm._lookupRow)),
"")</f>
        <v/>
      </c>
      <c r="R99" s="11" t="str" cm="1">
        <f t="array" aca="1" ref="R99" ca="1">IF($Q99="","",_xlfn.LET(
_xlpm._prevRow,ROW()-1,
IF(OR(INDEX($Q:$Q,_xlpm._prevRow)&lt;&gt;$Q99,INDEX($P:$P,_xlpm._prevRow)&lt;&gt;$P99),
1,
INDEX($R:$R,_xlpm._prevRow)+IF(INDEX($V:$V,_xlpm._prevRow),1,0))))</f>
        <v/>
      </c>
      <c r="S99" s="11" t="str" cm="1">
        <f t="array" aca="1" ref="S99" ca="1">IF($R99="","",_xlfn.LET(
_xlpm._isAssumption,$M99,
_xlpm._sheetRow,$Z99,
_xlpm._sheetName,$AA99,
_xlpm._elementIDRange,IF(_xlpm._isAssumption,Table24[Element ID Column],Table25[Element ID Column]),
_xlpm._numberOfElementsRange,IF(_xlpm._isAssumption,Table24[Number of Elements Column],Table25[Number of Elements Column]),
SimpleLookup($R99,INDIRECT("'"&amp;_xlpm._sheetName&amp;"'!"&amp;INDEX(_xlpm._elementIDRange,_xlpm._sheetRow)&amp;":"&amp;INDEX(_xlpm._numberOfElementsRange,_xlpm._sheetRow)))))</f>
        <v/>
      </c>
      <c r="T99" s="11" t="str" cm="1">
        <f t="array" aca="1" ref="T99" ca="1">IF($R99="","",IF(OR(INDEX($R:$R,ROW()-1)&lt;&gt;$R99,INDEX($P:$P,ROW()-1)&lt;&gt;$P99),1,INDEX($T:$T,ROW()-1)+1))</f>
        <v/>
      </c>
      <c r="U99" s="11">
        <f t="shared" ca="1" si="26"/>
        <v>0</v>
      </c>
      <c r="V99" s="11" t="str">
        <f t="shared" ca="1" si="27"/>
        <v/>
      </c>
      <c r="W99" s="11" t="b">
        <f ca="1">_xlfn.LET(
_xlpm._isAssumption,$M99,
_xlpm._numberOfElementsRange,IF(_xlpm._isAssumption,Table24['# Elements],Table25['# Elements]),
_xlpm._sheetRow,$Z99,
IF($O99,AND($V99,$U99=$Q99),FALSE))</f>
        <v>0</v>
      </c>
      <c r="X99" s="11" t="str" cm="1">
        <f t="array" aca="1" ref="X99" ca="1">IF($O99,
_xlfn.LET(
_xlpm._elementID,$R99,
_xlpm._isAssumption,$M99,
_xlpm._sheetRow,$Z99,
_xlpm._sheetName,$AA99,
_xlpm._elementRow,$AB99,
_xlpm._resultColumnLetter,IF(_xlpm._isAssumption,INDEX(Table24[Comment Column],_xlpm._sheetRow),INDEX(Table25[Comment Column],_xlpm._sheetRow)),
INDEX(INDIRECT("'"&amp;_xlpm._sheetName&amp;"'!"&amp;_xlpm._resultColumnLetter&amp;":"&amp;_xlpm._resultColumnLetter),_xlpm._elementRow)),
"")</f>
        <v/>
      </c>
      <c r="Y99" s="11" t="str" cm="1">
        <f t="array" aca="1" ref="Y99" ca="1">IF($O99,
_xlfn.LET(
_xlpm._elementID,$R99,
_xlpm._isAssumption,$M99,
_xlpm._sheetRow,$Z99,
_xlpm._sheetName,$AA99,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99" s="11" t="str">
        <f ca="1">IF($O99=TRUE,
_xlfn.LET(
_xlpm._isAssumption,$M99,
_xlpm._searchRange,IF(_xlpm._isAssumption,Table24[Task Sheet Shadow ID],Table25[Task Sheet Shadow ID]),
MATCH($P99,_xlpm._searchRange,0)),
"")</f>
        <v/>
      </c>
      <c r="AA99" s="11" t="str" cm="1">
        <f t="array" aca="1" ref="AA99" ca="1">IF($O99,
_xlfn.LET(
_xlpm._isAssumption,$M99,
_xlpm._sheetRow,$Z99,
IF(_xlpm._isAssumption,INDEX(Table24[Sheet Name],_xlpm._sheetRow),INDEX(Table25[Sheet Name],_xlpm._sheetRow))),
"")</f>
        <v/>
      </c>
      <c r="AB99" s="11" t="str" cm="1">
        <f t="array" aca="1" ref="AB99" ca="1">IF($O99,
_xlfn.LET(
_xlpm._elementID,$R99,
_xlpm._isAssumption,$M99,
_xlpm._sheetRow,$Z99,
_xlpm._sheetName,$AA99,
_xlpm._elementIDColumnLetter,IF(_xlpm._isAssumption,INDEX(Table24[Element ID Column],_xlpm._sheetRow),INDEX(Table25[Element ID Column],_xlpm._sheetRow)),
MATCH(_xlpm._elementID,INDIRECT("'"&amp;_xlpm._sheetName&amp;"'!"&amp;_xlpm._elementIDColumnLetter&amp;":"&amp;_xlpm._elementIDColumnLetter),0)),
"")</f>
        <v/>
      </c>
      <c r="AC99" s="11" t="str" cm="1">
        <f t="array" aca="1" ref="AC99" ca="1">IF($A99="","",_xlfn.LET(
_xlpm._isAssumption,$M99,
_xlpm._isAdditionalElement,$O99,
_xlpm._sheetRow,$Z99,
_xlpm._sheetName,$AA99,
_xlpm._columnLetter,INDEX(IF(_xlpm._isAdditionalElement,Table24[Comment Column],Table25[Comment Column]),_xlpm._sheetRow),
_xlpm._sheetReference,IF(_xlpm._isAssumption,IF(_xlpm._isAdditionalElement,
CELL("address",INDEX(INDIRECT("'"&amp;_xlpm._sheetName&amp;"'!"&amp;_xlpm._columnLetter&amp;":"&amp;_xlpm._columnLetter),$AB99)),
CELL("address",INDEX(Assumptions!$A:$A,MATCH($A99,Assumptions!$A:$A,0),1))),
IF(_xlpm._isAdditionalElement,
CELL("address",INDEX(INDIRECT("'"&amp;_xlpm._sheetName&amp;"'!"&amp;_xlpm._columnLetter&amp;":"&amp;_xlpm._columnLetter),$AB99)),
CELL("address",INDEX(Countermeasures!$A:$A,MATCH($A99,Countermeasures!$A:$A,0),1)))),
_xlpm._start,FIND("]",_xlpm._sheetReference),
"'"&amp;SUBSTITUTE(SUBSTITUTE(RIGHT(_xlpm._sheetReference,LEN(_xlpm._sheetReference)-_xlpm._start),"'",""),"!","'!")))</f>
        <v/>
      </c>
      <c r="AD99" s="11" t="str" cm="1">
        <f t="array" aca="1" ref="AD99" ca="1">IF(NOT($O99),
_xlfn.LET(_xlpm._value,IF($A99="","",IF($M99,SimpleLookup($A99,Assumptions!$A:$AG),SimpleLookup($A99,Countermeasures!$A:$AJ))),
IF(_xlpm._value="","",_xlpm._value)),
"")</f>
        <v/>
      </c>
      <c r="AE99" s="11" t="str" cm="1">
        <f t="array" aca="1" ref="AE99" ca="1">LookupNames(InverseLookup($A99,Mitigation!$AD$2,Mitigation!$A$2,1,Helper!$B$5,","),'Attack Steps'!$A:$B)</f>
        <v/>
      </c>
      <c r="AF99" s="11" t="str" cm="1">
        <f t="array" aca="1" ref="AF99" ca="1">IF($O99,
_xlfn.LET(
_xlpm._in,$A99,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99" s="11" t="str" cm="1">
        <f t="array" aca="1" ref="AG99" ca="1">_xlfn.LET(
_xlpm._countermeasures,InverseLookup($A99,Countermeasures!$AC$2,Countermeasures!$A$2,1,Helper!$B$4,","),
LookupNames(_xlpm._countermeasures,Countermeasures!$A:$B))</f>
        <v/>
      </c>
      <c r="AH99" s="11" t="str" cm="1">
        <f t="array" aca="1" ref="AH99" ca="1">IF($E99="","",_xlfn.LET(
_xlpm._id,$E99,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99" s="11" t="str" cm="1">
        <f t="array" aca="1" ref="AI99" ca="1">IF(OR($A99="",$O99),"",_xlfn.LET(
_xlpm._answers,IF($M99,SimpleLookup($A99,Assumptions!$A:$F),SimpleLookup($A99,Countermeasures!$A:$D)),
IF(_xlpm._answers="*",IF($M99,SimpleLookup($A99,Assumptions!$A:$C),SimpleLookup($A99,Countermeasures!$A:$C)),"")))</f>
        <v/>
      </c>
      <c r="AJ99" s="11" t="str" cm="1">
        <f t="array" aca="1" ref="AJ99" ca="1">IF(NOT($O99),"",_xlfn.LET(
_xlpm._mappedInMitigation,IFERROR(VLOOKUP($Y99,'Attack Steps'!$A:$P,COLUMNS('Attack Steps'!$A:$P),FALSE),""),
CreateSearchString(_xlpm._mappedInMitigation)))</f>
        <v/>
      </c>
      <c r="AK99" s="11" t="b">
        <f ca="1">ROW()-ROW($AK$17)=Helper!$B$15</f>
        <v>0</v>
      </c>
      <c r="AL99" s="11" t="str">
        <f t="shared" ca="1" si="28"/>
        <v/>
      </c>
      <c r="AM99" s="11" cm="1">
        <f t="array" aca="1" ref="AM99" ca="1">CreateID($AM$17,$AL99&lt;&gt;"")</f>
        <v>0</v>
      </c>
      <c r="AN99" s="11" t="str" cm="1">
        <f t="array" aca="1" ref="AN99" ca="1">IF($O99,"",
_xlfn.LET(
_xlpm._this,SanitizeInput($A99)&amp;AT99,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99" s="11" t="str" cm="1">
        <f t="array" aca="1" ref="AO99" ca="1">IF($O99,"",_xlfn.LET(
_xlpm._listOfRisksAndLevels,SanitizeInput($AN99),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_xlpm._shortenedList,IF($H99="",_xlpm._risksWithMaxValue,
  IF(LEN(_xlpm._risksWithMaxValue)-LEN(SUBSTITUTE(_xlpm._risksWithMaxValue,",",""))&lt;=$H99,_xlpm._risksWithMaxValue,
    LEFT(_xlpm._risksWithMaxValue,FIND(CHAR(1),SUBSTITUTE(_xlpm._risksWithMaxValue,",",CHAR(1),$H99))))),
IF(_xlpm._maxRiskValue="","",
  _xlpm._lineMainSeparator&amp;
  INDEX(Definitions!$AE:$AE,MATCH(_xlpm._maxRiskValue,Definitions!$AF:$AF,0))&amp;CHAR(10)&amp;
  _xlpm._lineMainSeparator&amp;
  RemoveDelimiter(GetValues(_xlpm._shortenedList,Risks!$A:$B," ",CHAR(10)&amp;_xlpm._lineMainSeparator,TRUE),CHAR(10)&amp;_xlpm._lineMainSeparator))))</f>
        <v/>
      </c>
      <c r="AP99" s="11" t="str" cm="1">
        <f t="array" aca="1" ref="AP99" ca="1">IF($O99,"",_xlfn.LET(
_xlpm._lineMainSeparator,REPT(_xlfn.UNICHAR(9552),63)&amp;CHAR(10),
_xlpm._affectedRisks,InverseLookupList(SanitizeInput($A99)&amp;$AT99,Risks!$AX$2,Risks!$A$2,Helper!$B$1,","),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_xlpm._shortenedList,IF($H99="",_xlpm._risksWithMaxValue,
  IF(LEN(_xlpm._risksWithMaxValue)-LEN(SUBSTITUTE(_xlpm._risksWithMaxValue,",",""))&lt;=$H99,_xlpm._risksWithMaxValue,
    LEFT(_xlpm._risksWithMaxValue,FIND(CHAR(1),SUBSTITUTE(_xlpm._risksWithMaxValue,",",CHAR(1),$H99))))),
IF(_xlpm._maxRiskValue="","",
  _xlpm._lineMainSeparator&amp;
  INDEX(Definitions!$AE:$AE,MATCH(_xlpm._maxRiskValue,Definitions!$AF:$AF,0))&amp;CHAR(10)&amp;
  _xlpm._lineMainSeparator&amp;
  RemoveDelimiter(GetValues(_xlpm._shortenedList,Risks!$A:$B," ",CHAR(10)&amp;_xlpm._lineMainSeparator,TRUE),CHAR(10)&amp;_xlpm._lineMainSeparator))))</f>
        <v/>
      </c>
      <c r="AQ99" s="11" t="str" cm="1">
        <f t="array" aca="1" ref="AQ99" ca="1">IF(NOT($O99),"",
_xlfn.LET(
_xlpm._potentialASID,$Y99,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_xlpm._commentsFiltered,SUBSTITUTE(GetValues(_xlpm._attackSteps,Mitigation!$A:$O,"","",FALSE),$X99,""),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99" s="11" t="str" cm="1">
        <f t="array" aca="1" ref="AR99" ca="1">IF(NOT($O99),"",_xlfn.LET(
_xlpm._listOfRisksAndLevels,SanitizeInput($AQ99),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_xlpm._shortenedList,IF($H99="",_xlpm._risksWithMaxValue,
  IF(LEN(_xlpm._risksWithMaxValue)-LEN(SUBSTITUTE(_xlpm._risksWithMaxValue,",",""))&lt;=$H99,_xlpm._risksWithMaxValue,
    LEFT(_xlpm._risksWithMaxValue,FIND(CHAR(1),SUBSTITUTE(_xlpm._risksWithMaxValue,",",CHAR(1),$H99))))),
IF(_xlpm._maxRiskValue="","",
  _xlpm._lineMainSeparator&amp;
  INDEX(Definitions!$AE:$AE,MATCH(_xlpm._maxRiskValue,Definitions!$AF:$AF,0))&amp;CHAR(10)&amp;
  _xlpm._lineMainSeparator&amp;
  RemoveDelimiter(GetValues(_xlpm._shortenedList,Risks!$A:$B," ",CHAR(10)&amp;_xlpm._lineMainSeparator,TRUE),CHAR(10)&amp;_xlpm._lineMainSeparator))))</f>
        <v/>
      </c>
      <c r="AS99" s="11" t="str" cm="1">
        <f t="array" aca="1" ref="AS99" ca="1">IF(NOT($O99),"",
_xlfn.LET(
_xlpm._lineMainSeparator,REPT(_xlfn.UNICHAR(9552),63)&amp;CHAR(10),
_xlpm._potentialASID,$Y99,
_xlpm._risk,IFERROR(SimpleLookup(_xlpm._potentialASID,Mitigation!$A:$N),""),
_xlpm._attackPaths,IFERROR(SimpleLookup(_xlpm._potentialASID,Mitigation!$A:$M),""),
IF(_xlpm._risk="","",
_xlpm._lineMainSeparator&amp;
_xlpm._risk&amp;CHAR(10)&amp;
_xlpm._lineMainSeparator&amp;
_xlpm._attackPaths)))</f>
        <v/>
      </c>
      <c r="AT99" s="11" t="str" cm="1">
        <f t="array" aca="1" ref="AT99" ca="1">InverseLookup($A99,Countermeasures!$AA$2,Countermeasures!$A$2,1,Helper!$B$4,",")</f>
        <v/>
      </c>
    </row>
    <row r="100" spans="1:46" x14ac:dyDescent="0.25">
      <c r="A100" s="106" t="str">
        <f ca="1">_xlfn.LET(
_xlpm._isAssumption,$M100,
_xlpm._row,$N100,
_xlpm._numActiveAssumptions,Helper!$B$8,
_xlpm._numActiveCountermeasures,Helper!$B$9,
_xlpm._numAdditionalAssumptions,Helper!$B$10,
_xlpm._numAdditionalCountermeasures,Helper!$B$11,
IF(_xlpm._isAssumption,
IF(_xlpm._row&gt;_xlpm._numActiveAssumptions,
$Y100&amp;"-A"&amp;$T100,
INDEX(Assumptions!A:A,MATCH(_xlpm._row,Assumptions!$AC:$AC,0))),
IF(_xlpm._row&gt;_xlpm._numActiveCountermeasures+_xlpm._numAdditionalCountermeasures,"",
IF(_xlpm._row&gt;_xlpm._numActiveCountermeasures,
$Y100&amp;"-C"&amp;$T100,
INDEX(Countermeasures!$A:$A,MATCH(_xlpm._row,Countermeasures!$AE:$AE,0))))))</f>
        <v/>
      </c>
      <c r="B100" s="106" t="str" cm="1">
        <f t="array" aca="1" ref="B100" ca="1">IF($A100="","",
_xlfn.LET(
_xlpm._isAssumption,$M100,
_xlpm._isAdditionalElement,$O100,
IF(_xlpm._isAdditionalElement,
IF(_xlpm._isAssumption,
ParseElementsFromComment($X100,Definitions!$AR$4,Definitions!$AS$4,Definitions!$AR$6,$T100),
ParseElementsFromComment($X100,Definitions!$AR$5,Definitions!$AS$5,Definitions!$AR$6,$T100)),
_xlfn.LET(_xlpm._value,IF($A100="","",IF($M100,SimpleLookup($A100,Assumptions!$A:$B),SimpleLookup($A100,Countermeasures!$A:$B))),IF(_xlpm._value="","",_xlpm._value)))))</f>
        <v/>
      </c>
      <c r="C100" s="106" t="str" cm="1">
        <f t="array" aca="1" ref="C100" ca="1">IF($A100="","",IF($M100,IFERROR(SimpleLookup($A100,Assumptions!$A:$E),""),Definitions!$AO$4))</f>
        <v/>
      </c>
      <c r="D100" s="103" t="str">
        <f t="shared" ca="1" si="16"/>
        <v/>
      </c>
      <c r="E100" s="107"/>
      <c r="F100" s="108" t="str">
        <f t="shared" ca="1" si="17"/>
        <v/>
      </c>
      <c r="G100" s="102" t="str" cm="1">
        <f t="array" aca="1" ref="G100" ca="1">_xlfn.LET(_xlpm._val,IFERROR(SimpleLookup($A100,Countermeasures!$A:$S),IFERROR(SimpleLookup($A100,Assumptions!$A:$S),"")),IF(_xlpm._val="","",_xlpm._val))</f>
        <v/>
      </c>
      <c r="H100" s="109" t="str">
        <f>""</f>
        <v/>
      </c>
      <c r="I100" s="102" t="str">
        <f t="shared" ca="1" si="18"/>
        <v/>
      </c>
      <c r="J100" s="102" t="str">
        <f t="shared" ca="1" si="19"/>
        <v/>
      </c>
      <c r="K100" s="106" t="str" cm="1">
        <f t="array" aca="1" ref="K100" ca="1">_xlfn.LET(_xlpm._value,IF($A100="","",IFERROR(IF($M100,SimpleLookup($A100,Assumptions!$A:$T),SimpleLookup($A100,Countermeasures!$A:$T)),"")),
IF(_xlpm._value="","",_xlpm._value))</f>
        <v/>
      </c>
      <c r="L100" s="9" cm="1">
        <f t="array" aca="1" ref="L100" ca="1">CreateID($L$17,$A100&lt;&gt;"")</f>
        <v>11</v>
      </c>
      <c r="M100" s="9" t="b">
        <f ca="1">_xlfn.LET(_xlpm._row,ROW()-ROW($N$17),
_xlpm._numActiveAssumptions,Helper!$B$8,
_xlpm._numAdditionalAssumptions,SUM(Table24['# Elements]),
_xlpm._row&lt;=_xlpm._numActiveAssumptions+_xlpm._numAdditionalAssumptions)</f>
        <v>0</v>
      </c>
      <c r="N100" s="9">
        <f ca="1">_xlfn.LET(_xlpm._row,ROW()-ROW($N$17),
_xlpm._numActiveAssumptions,Helper!$B$8,
_xlpm._numAdditionalAssumptions,Helper!$B$10,
_xlpm._isAssumption,$M100,
_xlpm._elementID,IF(_xlpm._isAssumption,_xlpm._row,_xlpm._row-_xlpm._numActiveAssumptions-_xlpm._numAdditionalAssumptions),
_xlpm._elementID)</f>
        <v>79</v>
      </c>
      <c r="O100"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100" s="11" cm="1">
        <f t="array" aca="1" ref="P100" ca="1">IF($O100,
IF(ROW()=ROW($P$17)+1,1,INDEX($P:$P,ROW()-1)+IF(INDEX($W:$W,ROW()-1),1,0)),
1)</f>
        <v>1</v>
      </c>
      <c r="Q100" s="11" t="str" cm="1">
        <f t="array" aca="1" ref="Q100" ca="1">IF($O100=TRUE,
_xlfn.LET(
_xlpm._isAssumption,$M100,
_xlpm._indexRange,IF(_xlpm._isAssumption,Table24['# Elements],Table25['# Elements]),
_xlpm._lookupRow,$Z100,
INDEX(_xlpm._indexRange,_xlpm._lookupRow)),
"")</f>
        <v/>
      </c>
      <c r="R100" s="11" t="str" cm="1">
        <f t="array" aca="1" ref="R100" ca="1">IF($Q100="","",_xlfn.LET(
_xlpm._prevRow,ROW()-1,
IF(OR(INDEX($Q:$Q,_xlpm._prevRow)&lt;&gt;$Q100,INDEX($P:$P,_xlpm._prevRow)&lt;&gt;$P100),
1,
INDEX($R:$R,_xlpm._prevRow)+IF(INDEX($V:$V,_xlpm._prevRow),1,0))))</f>
        <v/>
      </c>
      <c r="S100" s="11" t="str" cm="1">
        <f t="array" aca="1" ref="S100" ca="1">IF($R100="","",_xlfn.LET(
_xlpm._isAssumption,$M100,
_xlpm._sheetRow,$Z100,
_xlpm._sheetName,$AA100,
_xlpm._elementIDRange,IF(_xlpm._isAssumption,Table24[Element ID Column],Table25[Element ID Column]),
_xlpm._numberOfElementsRange,IF(_xlpm._isAssumption,Table24[Number of Elements Column],Table25[Number of Elements Column]),
SimpleLookup($R100,INDIRECT("'"&amp;_xlpm._sheetName&amp;"'!"&amp;INDEX(_xlpm._elementIDRange,_xlpm._sheetRow)&amp;":"&amp;INDEX(_xlpm._numberOfElementsRange,_xlpm._sheetRow)))))</f>
        <v/>
      </c>
      <c r="T100" s="11" t="str" cm="1">
        <f t="array" aca="1" ref="T100" ca="1">IF($R100="","",IF(OR(INDEX($R:$R,ROW()-1)&lt;&gt;$R100,INDEX($P:$P,ROW()-1)&lt;&gt;$P100),1,INDEX($T:$T,ROW()-1)+1))</f>
        <v/>
      </c>
      <c r="U100" s="11">
        <f t="shared" ca="1" si="26"/>
        <v>0</v>
      </c>
      <c r="V100" s="11" t="str">
        <f t="shared" ca="1" si="27"/>
        <v/>
      </c>
      <c r="W100" s="11" t="b">
        <f ca="1">_xlfn.LET(
_xlpm._isAssumption,$M100,
_xlpm._numberOfElementsRange,IF(_xlpm._isAssumption,Table24['# Elements],Table25['# Elements]),
_xlpm._sheetRow,$Z100,
IF($O100,AND($V100,$U100=$Q100),FALSE))</f>
        <v>0</v>
      </c>
      <c r="X100" s="11" t="str" cm="1">
        <f t="array" aca="1" ref="X100" ca="1">IF($O100,
_xlfn.LET(
_xlpm._elementID,$R100,
_xlpm._isAssumption,$M100,
_xlpm._sheetRow,$Z100,
_xlpm._sheetName,$AA100,
_xlpm._elementRow,$AB100,
_xlpm._resultColumnLetter,IF(_xlpm._isAssumption,INDEX(Table24[Comment Column],_xlpm._sheetRow),INDEX(Table25[Comment Column],_xlpm._sheetRow)),
INDEX(INDIRECT("'"&amp;_xlpm._sheetName&amp;"'!"&amp;_xlpm._resultColumnLetter&amp;":"&amp;_xlpm._resultColumnLetter),_xlpm._elementRow)),
"")</f>
        <v/>
      </c>
      <c r="Y100" s="11" t="str" cm="1">
        <f t="array" aca="1" ref="Y100" ca="1">IF($O100,
_xlfn.LET(
_xlpm._elementID,$R100,
_xlpm._isAssumption,$M100,
_xlpm._sheetRow,$Z100,
_xlpm._sheetName,$AA100,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100" s="11" t="str">
        <f ca="1">IF($O100=TRUE,
_xlfn.LET(
_xlpm._isAssumption,$M100,
_xlpm._searchRange,IF(_xlpm._isAssumption,Table24[Task Sheet Shadow ID],Table25[Task Sheet Shadow ID]),
MATCH($P100,_xlpm._searchRange,0)),
"")</f>
        <v/>
      </c>
      <c r="AA100" s="11" t="str" cm="1">
        <f t="array" aca="1" ref="AA100" ca="1">IF($O100,
_xlfn.LET(
_xlpm._isAssumption,$M100,
_xlpm._sheetRow,$Z100,
IF(_xlpm._isAssumption,INDEX(Table24[Sheet Name],_xlpm._sheetRow),INDEX(Table25[Sheet Name],_xlpm._sheetRow))),
"")</f>
        <v/>
      </c>
      <c r="AB100" s="11" t="str" cm="1">
        <f t="array" aca="1" ref="AB100" ca="1">IF($O100,
_xlfn.LET(
_xlpm._elementID,$R100,
_xlpm._isAssumption,$M100,
_xlpm._sheetRow,$Z100,
_xlpm._sheetName,$AA100,
_xlpm._elementIDColumnLetter,IF(_xlpm._isAssumption,INDEX(Table24[Element ID Column],_xlpm._sheetRow),INDEX(Table25[Element ID Column],_xlpm._sheetRow)),
MATCH(_xlpm._elementID,INDIRECT("'"&amp;_xlpm._sheetName&amp;"'!"&amp;_xlpm._elementIDColumnLetter&amp;":"&amp;_xlpm._elementIDColumnLetter),0)),
"")</f>
        <v/>
      </c>
      <c r="AC100" s="11" t="str" cm="1">
        <f t="array" aca="1" ref="AC100" ca="1">IF($A100="","",_xlfn.LET(
_xlpm._isAssumption,$M100,
_xlpm._isAdditionalElement,$O100,
_xlpm._sheetRow,$Z100,
_xlpm._sheetName,$AA100,
_xlpm._columnLetter,INDEX(IF(_xlpm._isAdditionalElement,Table24[Comment Column],Table25[Comment Column]),_xlpm._sheetRow),
_xlpm._sheetReference,IF(_xlpm._isAssumption,IF(_xlpm._isAdditionalElement,
CELL("address",INDEX(INDIRECT("'"&amp;_xlpm._sheetName&amp;"'!"&amp;_xlpm._columnLetter&amp;":"&amp;_xlpm._columnLetter),$AB100)),
CELL("address",INDEX(Assumptions!$A:$A,MATCH($A100,Assumptions!$A:$A,0),1))),
IF(_xlpm._isAdditionalElement,
CELL("address",INDEX(INDIRECT("'"&amp;_xlpm._sheetName&amp;"'!"&amp;_xlpm._columnLetter&amp;":"&amp;_xlpm._columnLetter),$AB100)),
CELL("address",INDEX(Countermeasures!$A:$A,MATCH($A100,Countermeasures!$A:$A,0),1)))),
_xlpm._start,FIND("]",_xlpm._sheetReference),
"'"&amp;SUBSTITUTE(SUBSTITUTE(RIGHT(_xlpm._sheetReference,LEN(_xlpm._sheetReference)-_xlpm._start),"'",""),"!","'!")))</f>
        <v/>
      </c>
      <c r="AD100" s="11" t="str" cm="1">
        <f t="array" aca="1" ref="AD100" ca="1">IF(NOT($O100),
_xlfn.LET(_xlpm._value,IF($A100="","",IF($M100,SimpleLookup($A100,Assumptions!$A:$AG),SimpleLookup($A100,Countermeasures!$A:$AJ))),
IF(_xlpm._value="","",_xlpm._value)),
"")</f>
        <v/>
      </c>
      <c r="AE100" s="11" t="str" cm="1">
        <f t="array" aca="1" ref="AE100" ca="1">LookupNames(InverseLookup($A100,Mitigation!$AD$2,Mitigation!$A$2,1,Helper!$B$5,","),'Attack Steps'!$A:$B)</f>
        <v/>
      </c>
      <c r="AF100" s="11" t="str" cm="1">
        <f t="array" aca="1" ref="AF100" ca="1">IF($O100,
_xlfn.LET(
_xlpm._in,$A100,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100" s="11" t="str" cm="1">
        <f t="array" aca="1" ref="AG100" ca="1">_xlfn.LET(
_xlpm._countermeasures,InverseLookup($A100,Countermeasures!$AC$2,Countermeasures!$A$2,1,Helper!$B$4,","),
LookupNames(_xlpm._countermeasures,Countermeasures!$A:$B))</f>
        <v/>
      </c>
      <c r="AH100" s="11" t="str" cm="1">
        <f t="array" aca="1" ref="AH100" ca="1">IF($E100="","",_xlfn.LET(
_xlpm._id,$E100,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100" s="11" t="str" cm="1">
        <f t="array" aca="1" ref="AI100" ca="1">IF(OR($A100="",$O100),"",_xlfn.LET(
_xlpm._answers,IF($M100,SimpleLookup($A100,Assumptions!$A:$F),SimpleLookup($A100,Countermeasures!$A:$D)),
IF(_xlpm._answers="*",IF($M100,SimpleLookup($A100,Assumptions!$A:$C),SimpleLookup($A100,Countermeasures!$A:$C)),"")))</f>
        <v/>
      </c>
      <c r="AJ100" s="11" t="str" cm="1">
        <f t="array" aca="1" ref="AJ100" ca="1">IF(NOT($O100),"",_xlfn.LET(
_xlpm._mappedInMitigation,IFERROR(VLOOKUP($Y100,'Attack Steps'!$A:$P,COLUMNS('Attack Steps'!$A:$P),FALSE),""),
CreateSearchString(_xlpm._mappedInMitigation)))</f>
        <v/>
      </c>
      <c r="AK100" s="11" t="b">
        <f ca="1">ROW()-ROW($AK$17)=Helper!$B$15</f>
        <v>0</v>
      </c>
      <c r="AL100" s="11" t="str">
        <f t="shared" ca="1" si="28"/>
        <v/>
      </c>
      <c r="AM100" s="11" cm="1">
        <f t="array" aca="1" ref="AM100" ca="1">CreateID($AM$17,$AL100&lt;&gt;"")</f>
        <v>0</v>
      </c>
      <c r="AN100" s="11" t="str" cm="1">
        <f t="array" aca="1" ref="AN100" ca="1">IF($O100,"",
_xlfn.LET(
_xlpm._this,SanitizeInput($A100)&amp;AT100,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100" s="11" t="str" cm="1">
        <f t="array" aca="1" ref="AO100" ca="1">IF($O100,"",_xlfn.LET(
_xlpm._listOfRisksAndLevels,SanitizeInput($AN100),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_xlpm._shortenedList,IF($H100="",_xlpm._risksWithMaxValue,
  IF(LEN(_xlpm._risksWithMaxValue)-LEN(SUBSTITUTE(_xlpm._risksWithMaxValue,",",""))&lt;=$H100,_xlpm._risksWithMaxValue,
    LEFT(_xlpm._risksWithMaxValue,FIND(CHAR(1),SUBSTITUTE(_xlpm._risksWithMaxValue,",",CHAR(1),$H100))))),
IF(_xlpm._maxRiskValue="","",
  _xlpm._lineMainSeparator&amp;
  INDEX(Definitions!$AE:$AE,MATCH(_xlpm._maxRiskValue,Definitions!$AF:$AF,0))&amp;CHAR(10)&amp;
  _xlpm._lineMainSeparator&amp;
  RemoveDelimiter(GetValues(_xlpm._shortenedList,Risks!$A:$B," ",CHAR(10)&amp;_xlpm._lineMainSeparator,TRUE),CHAR(10)&amp;_xlpm._lineMainSeparator))))</f>
        <v/>
      </c>
      <c r="AP100" s="11" t="str" cm="1">
        <f t="array" aca="1" ref="AP100" ca="1">IF($O100,"",_xlfn.LET(
_xlpm._lineMainSeparator,REPT(_xlfn.UNICHAR(9552),63)&amp;CHAR(10),
_xlpm._affectedRisks,InverseLookupList(SanitizeInput($A100)&amp;$AT100,Risks!$AX$2,Risks!$A$2,Helper!$B$1,","),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_xlpm._shortenedList,IF($H100="",_xlpm._risksWithMaxValue,
  IF(LEN(_xlpm._risksWithMaxValue)-LEN(SUBSTITUTE(_xlpm._risksWithMaxValue,",",""))&lt;=$H100,_xlpm._risksWithMaxValue,
    LEFT(_xlpm._risksWithMaxValue,FIND(CHAR(1),SUBSTITUTE(_xlpm._risksWithMaxValue,",",CHAR(1),$H100))))),
IF(_xlpm._maxRiskValue="","",
  _xlpm._lineMainSeparator&amp;
  INDEX(Definitions!$AE:$AE,MATCH(_xlpm._maxRiskValue,Definitions!$AF:$AF,0))&amp;CHAR(10)&amp;
  _xlpm._lineMainSeparator&amp;
  RemoveDelimiter(GetValues(_xlpm._shortenedList,Risks!$A:$B," ",CHAR(10)&amp;_xlpm._lineMainSeparator,TRUE),CHAR(10)&amp;_xlpm._lineMainSeparator))))</f>
        <v/>
      </c>
      <c r="AQ100" s="11" t="str" cm="1">
        <f t="array" aca="1" ref="AQ100" ca="1">IF(NOT($O100),"",
_xlfn.LET(
_xlpm._potentialASID,$Y100,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_xlpm._commentsFiltered,SUBSTITUTE(GetValues(_xlpm._attackSteps,Mitigation!$A:$O,"","",FALSE),$X100,""),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100" s="11" t="str" cm="1">
        <f t="array" aca="1" ref="AR100" ca="1">IF(NOT($O100),"",_xlfn.LET(
_xlpm._listOfRisksAndLevels,SanitizeInput($AQ100),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_xlpm._shortenedList,IF($H100="",_xlpm._risksWithMaxValue,
  IF(LEN(_xlpm._risksWithMaxValue)-LEN(SUBSTITUTE(_xlpm._risksWithMaxValue,",",""))&lt;=$H100,_xlpm._risksWithMaxValue,
    LEFT(_xlpm._risksWithMaxValue,FIND(CHAR(1),SUBSTITUTE(_xlpm._risksWithMaxValue,",",CHAR(1),$H100))))),
IF(_xlpm._maxRiskValue="","",
  _xlpm._lineMainSeparator&amp;
  INDEX(Definitions!$AE:$AE,MATCH(_xlpm._maxRiskValue,Definitions!$AF:$AF,0))&amp;CHAR(10)&amp;
  _xlpm._lineMainSeparator&amp;
  RemoveDelimiter(GetValues(_xlpm._shortenedList,Risks!$A:$B," ",CHAR(10)&amp;_xlpm._lineMainSeparator,TRUE),CHAR(10)&amp;_xlpm._lineMainSeparator))))</f>
        <v/>
      </c>
      <c r="AS100" s="11" t="str" cm="1">
        <f t="array" aca="1" ref="AS100" ca="1">IF(NOT($O100),"",
_xlfn.LET(
_xlpm._lineMainSeparator,REPT(_xlfn.UNICHAR(9552),63)&amp;CHAR(10),
_xlpm._potentialASID,$Y100,
_xlpm._risk,IFERROR(SimpleLookup(_xlpm._potentialASID,Mitigation!$A:$N),""),
_xlpm._attackPaths,IFERROR(SimpleLookup(_xlpm._potentialASID,Mitigation!$A:$M),""),
IF(_xlpm._risk="","",
_xlpm._lineMainSeparator&amp;
_xlpm._risk&amp;CHAR(10)&amp;
_xlpm._lineMainSeparator&amp;
_xlpm._attackPaths)))</f>
        <v/>
      </c>
      <c r="AT100" s="11" t="str" cm="1">
        <f t="array" aca="1" ref="AT100" ca="1">InverseLookup($A100,Countermeasures!$AA$2,Countermeasures!$A$2,1,Helper!$B$4,",")</f>
        <v/>
      </c>
    </row>
    <row r="101" spans="1:46" x14ac:dyDescent="0.25">
      <c r="A101" s="106" t="str">
        <f ca="1">_xlfn.LET(
_xlpm._isAssumption,$M101,
_xlpm._row,$N101,
_xlpm._numActiveAssumptions,Helper!$B$8,
_xlpm._numActiveCountermeasures,Helper!$B$9,
_xlpm._numAdditionalAssumptions,Helper!$B$10,
_xlpm._numAdditionalCountermeasures,Helper!$B$11,
IF(_xlpm._isAssumption,
IF(_xlpm._row&gt;_xlpm._numActiveAssumptions,
$Y101&amp;"-A"&amp;$T101,
INDEX(Assumptions!A:A,MATCH(_xlpm._row,Assumptions!$AC:$AC,0))),
IF(_xlpm._row&gt;_xlpm._numActiveCountermeasures+_xlpm._numAdditionalCountermeasures,"",
IF(_xlpm._row&gt;_xlpm._numActiveCountermeasures,
$Y101&amp;"-C"&amp;$T101,
INDEX(Countermeasures!$A:$A,MATCH(_xlpm._row,Countermeasures!$AE:$AE,0))))))</f>
        <v/>
      </c>
      <c r="B101" s="106" t="str" cm="1">
        <f t="array" aca="1" ref="B101" ca="1">IF($A101="","",
_xlfn.LET(
_xlpm._isAssumption,$M101,
_xlpm._isAdditionalElement,$O101,
IF(_xlpm._isAdditionalElement,
IF(_xlpm._isAssumption,
ParseElementsFromComment($X101,Definitions!$AR$4,Definitions!$AS$4,Definitions!$AR$6,$T101),
ParseElementsFromComment($X101,Definitions!$AR$5,Definitions!$AS$5,Definitions!$AR$6,$T101)),
_xlfn.LET(_xlpm._value,IF($A101="","",IF($M101,SimpleLookup($A101,Assumptions!$A:$B),SimpleLookup($A101,Countermeasures!$A:$B))),IF(_xlpm._value="","",_xlpm._value)))))</f>
        <v/>
      </c>
      <c r="C101" s="106" t="str" cm="1">
        <f t="array" aca="1" ref="C101" ca="1">IF($A101="","",IF($M101,IFERROR(SimpleLookup($A101,Assumptions!$A:$E),""),Definitions!$AO$4))</f>
        <v/>
      </c>
      <c r="D101" s="103" t="str">
        <f t="shared" ca="1" si="16"/>
        <v/>
      </c>
      <c r="E101" s="107"/>
      <c r="F101" s="108" t="str">
        <f t="shared" ca="1" si="17"/>
        <v/>
      </c>
      <c r="G101" s="102" t="str" cm="1">
        <f t="array" aca="1" ref="G101" ca="1">_xlfn.LET(_xlpm._val,IFERROR(SimpleLookup($A101,Countermeasures!$A:$S),IFERROR(SimpleLookup($A101,Assumptions!$A:$S),"")),IF(_xlpm._val="","",_xlpm._val))</f>
        <v/>
      </c>
      <c r="H101" s="109" t="str">
        <f>""</f>
        <v/>
      </c>
      <c r="I101" s="102" t="str">
        <f t="shared" ca="1" si="18"/>
        <v/>
      </c>
      <c r="J101" s="102" t="str">
        <f t="shared" ca="1" si="19"/>
        <v/>
      </c>
      <c r="K101" s="106" t="str" cm="1">
        <f t="array" aca="1" ref="K101" ca="1">_xlfn.LET(_xlpm._value,IF($A101="","",IFERROR(IF($M101,SimpleLookup($A101,Assumptions!$A:$T),SimpleLookup($A101,Countermeasures!$A:$T)),"")),
IF(_xlpm._value="","",_xlpm._value))</f>
        <v/>
      </c>
      <c r="L101" s="9" cm="1">
        <f t="array" aca="1" ref="L101" ca="1">CreateID($L$17,$A101&lt;&gt;"")</f>
        <v>11</v>
      </c>
      <c r="M101" s="9" t="b">
        <f ca="1">_xlfn.LET(_xlpm._row,ROW()-ROW($N$17),
_xlpm._numActiveAssumptions,Helper!$B$8,
_xlpm._numAdditionalAssumptions,SUM(Table24['# Elements]),
_xlpm._row&lt;=_xlpm._numActiveAssumptions+_xlpm._numAdditionalAssumptions)</f>
        <v>0</v>
      </c>
      <c r="N101" s="9">
        <f ca="1">_xlfn.LET(_xlpm._row,ROW()-ROW($N$17),
_xlpm._numActiveAssumptions,Helper!$B$8,
_xlpm._numAdditionalAssumptions,Helper!$B$10,
_xlpm._isAssumption,$M101,
_xlpm._elementID,IF(_xlpm._isAssumption,_xlpm._row,_xlpm._row-_xlpm._numActiveAssumptions-_xlpm._numAdditionalAssumptions),
_xlpm._elementID)</f>
        <v>80</v>
      </c>
      <c r="O101" s="11" t="b">
        <f ca="1">_xlfn.LET(_xlpm._row,ROW()-ROW($N$17),
_xlpm._numActiveAssumptions,Helper!$B$8,
_xlpm._numActiveCountermeasures,Helper!$B$9,
_xlpm._numAdditionalAssumptions,Helper!$B$10,
_xlpm._numAdditionalCountermeasures,Helper!$B$11,
OR(AND(_xlpm._row&gt;_xlpm._numActiveAssumptions,_xlpm._row&lt;=_xlpm._numActiveAssumptions+_xlpm._numAdditionalAssumptions),
AND(_xlpm._row&gt;_xlpm._numActiveAssumptions+_xlpm._numAdditionalAssumptions+_xlpm._numActiveCountermeasures,_xlpm._row&lt;=_xlpm._numActiveAssumptions+_xlpm._numAdditionalAssumptions+_xlpm._numActiveCountermeasures+_xlpm._numAdditionalCountermeasures)))</f>
        <v>0</v>
      </c>
      <c r="P101" s="11" cm="1">
        <f t="array" aca="1" ref="P101" ca="1">IF($O101,
IF(ROW()=ROW($P$17)+1,1,INDEX($P:$P,ROW()-1)+IF(INDEX($W:$W,ROW()-1),1,0)),
1)</f>
        <v>1</v>
      </c>
      <c r="Q101" s="11" t="str" cm="1">
        <f t="array" aca="1" ref="Q101" ca="1">IF($O101=TRUE,
_xlfn.LET(
_xlpm._isAssumption,$M101,
_xlpm._indexRange,IF(_xlpm._isAssumption,Table24['# Elements],Table25['# Elements]),
_xlpm._lookupRow,$Z101,
INDEX(_xlpm._indexRange,_xlpm._lookupRow)),
"")</f>
        <v/>
      </c>
      <c r="R101" s="11" t="str" cm="1">
        <f t="array" aca="1" ref="R101" ca="1">IF($Q101="","",_xlfn.LET(
_xlpm._prevRow,ROW()-1,
IF(OR(INDEX($Q:$Q,_xlpm._prevRow)&lt;&gt;$Q101,INDEX($P:$P,_xlpm._prevRow)&lt;&gt;$P101),
1,
INDEX($R:$R,_xlpm._prevRow)+IF(INDEX($V:$V,_xlpm._prevRow),1,0))))</f>
        <v/>
      </c>
      <c r="S101" s="11" t="str" cm="1">
        <f t="array" aca="1" ref="S101" ca="1">IF($R101="","",_xlfn.LET(
_xlpm._isAssumption,$M101,
_xlpm._sheetRow,$Z101,
_xlpm._sheetName,$AA101,
_xlpm._elementIDRange,IF(_xlpm._isAssumption,Table24[Element ID Column],Table25[Element ID Column]),
_xlpm._numberOfElementsRange,IF(_xlpm._isAssumption,Table24[Number of Elements Column],Table25[Number of Elements Column]),
SimpleLookup($R101,INDIRECT("'"&amp;_xlpm._sheetName&amp;"'!"&amp;INDEX(_xlpm._elementIDRange,_xlpm._sheetRow)&amp;":"&amp;INDEX(_xlpm._numberOfElementsRange,_xlpm._sheetRow)))))</f>
        <v/>
      </c>
      <c r="T101" s="11" t="str" cm="1">
        <f t="array" aca="1" ref="T101" ca="1">IF($R101="","",IF(OR(INDEX($R:$R,ROW()-1)&lt;&gt;$R101,INDEX($P:$P,ROW()-1)&lt;&gt;$P101),1,INDEX($T:$T,ROW()-1)+1))</f>
        <v/>
      </c>
      <c r="U101" s="11">
        <f t="shared" ca="1" si="26"/>
        <v>0</v>
      </c>
      <c r="V101" s="11" t="str">
        <f t="shared" ca="1" si="27"/>
        <v/>
      </c>
      <c r="W101" s="11" t="b">
        <f ca="1">_xlfn.LET(
_xlpm._isAssumption,$M101,
_xlpm._numberOfElementsRange,IF(_xlpm._isAssumption,Table24['# Elements],Table25['# Elements]),
_xlpm._sheetRow,$Z101,
IF($O101,AND($V101,$U101=$Q101),FALSE))</f>
        <v>0</v>
      </c>
      <c r="X101" s="11" t="str" cm="1">
        <f t="array" aca="1" ref="X101" ca="1">IF($O101,
_xlfn.LET(
_xlpm._elementID,$R101,
_xlpm._isAssumption,$M101,
_xlpm._sheetRow,$Z101,
_xlpm._sheetName,$AA101,
_xlpm._elementRow,$AB101,
_xlpm._resultColumnLetter,IF(_xlpm._isAssumption,INDEX(Table24[Comment Column],_xlpm._sheetRow),INDEX(Table25[Comment Column],_xlpm._sheetRow)),
INDEX(INDIRECT("'"&amp;_xlpm._sheetName&amp;"'!"&amp;_xlpm._resultColumnLetter&amp;":"&amp;_xlpm._resultColumnLetter),_xlpm._elementRow)),
"")</f>
        <v/>
      </c>
      <c r="Y101" s="11" t="str" cm="1">
        <f t="array" aca="1" ref="Y101" ca="1">IF($O101,
_xlfn.LET(
_xlpm._elementID,$R101,
_xlpm._isAssumption,$M101,
_xlpm._sheetRow,$Z101,
_xlpm._sheetName,$AA101,
_xlpm._resultColumnLetter,IF(_xlpm._isAssumption,INDEX(Table24[Sheet ID Column],_xlpm._sheetRow),INDEX(Table25[Sheet ID Column],_xlpm._sheetRow)),
_xlpm._elementIDColumnLetter,IF(_xlpm._isAssumption,INDEX(Table24[Element ID Column],_xlpm._sheetRow),INDEX(Table25[Element ID Column],_xlpm._sheetRow)),
INDEX(INDIRECT("'"&amp;_xlpm._sheetName&amp;"'!"&amp;_xlpm._resultColumnLetter&amp;":"&amp;_xlpm._resultColumnLetter),MATCH(_xlpm._elementID,INDIRECT("'"&amp;_xlpm._sheetName&amp;"'!"&amp;_xlpm._elementIDColumnLetter&amp;":"&amp;_xlpm._elementIDColumnLetter),0))),
"")</f>
        <v/>
      </c>
      <c r="Z101" s="11" t="str">
        <f ca="1">IF($O101=TRUE,
_xlfn.LET(
_xlpm._isAssumption,$M101,
_xlpm._searchRange,IF(_xlpm._isAssumption,Table24[Task Sheet Shadow ID],Table25[Task Sheet Shadow ID]),
MATCH($P101,_xlpm._searchRange,0)),
"")</f>
        <v/>
      </c>
      <c r="AA101" s="11" t="str" cm="1">
        <f t="array" aca="1" ref="AA101" ca="1">IF($O101,
_xlfn.LET(
_xlpm._isAssumption,$M101,
_xlpm._sheetRow,$Z101,
IF(_xlpm._isAssumption,INDEX(Table24[Sheet Name],_xlpm._sheetRow),INDEX(Table25[Sheet Name],_xlpm._sheetRow))),
"")</f>
        <v/>
      </c>
      <c r="AB101" s="11" t="str" cm="1">
        <f t="array" aca="1" ref="AB101" ca="1">IF($O101,
_xlfn.LET(
_xlpm._elementID,$R101,
_xlpm._isAssumption,$M101,
_xlpm._sheetRow,$Z101,
_xlpm._sheetName,$AA101,
_xlpm._elementIDColumnLetter,IF(_xlpm._isAssumption,INDEX(Table24[Element ID Column],_xlpm._sheetRow),INDEX(Table25[Element ID Column],_xlpm._sheetRow)),
MATCH(_xlpm._elementID,INDIRECT("'"&amp;_xlpm._sheetName&amp;"'!"&amp;_xlpm._elementIDColumnLetter&amp;":"&amp;_xlpm._elementIDColumnLetter),0)),
"")</f>
        <v/>
      </c>
      <c r="AC101" s="11" t="str" cm="1">
        <f t="array" aca="1" ref="AC101" ca="1">IF($A101="","",_xlfn.LET(
_xlpm._isAssumption,$M101,
_xlpm._isAdditionalElement,$O101,
_xlpm._sheetRow,$Z101,
_xlpm._sheetName,$AA101,
_xlpm._columnLetter,INDEX(IF(_xlpm._isAdditionalElement,Table24[Comment Column],Table25[Comment Column]),_xlpm._sheetRow),
_xlpm._sheetReference,IF(_xlpm._isAssumption,IF(_xlpm._isAdditionalElement,
CELL("address",INDEX(INDIRECT("'"&amp;_xlpm._sheetName&amp;"'!"&amp;_xlpm._columnLetter&amp;":"&amp;_xlpm._columnLetter),$AB101)),
CELL("address",INDEX(Assumptions!$A:$A,MATCH($A101,Assumptions!$A:$A,0),1))),
IF(_xlpm._isAdditionalElement,
CELL("address",INDEX(INDIRECT("'"&amp;_xlpm._sheetName&amp;"'!"&amp;_xlpm._columnLetter&amp;":"&amp;_xlpm._columnLetter),$AB101)),
CELL("address",INDEX(Countermeasures!$A:$A,MATCH($A101,Countermeasures!$A:$A,0),1)))),
_xlpm._start,FIND("]",_xlpm._sheetReference),
"'"&amp;SUBSTITUTE(SUBSTITUTE(RIGHT(_xlpm._sheetReference,LEN(_xlpm._sheetReference)-_xlpm._start),"'",""),"!","'!")))</f>
        <v/>
      </c>
      <c r="AD101" s="11" t="str" cm="1">
        <f t="array" aca="1" ref="AD101" ca="1">IF(NOT($O101),
_xlfn.LET(_xlpm._value,IF($A101="","",IF($M101,SimpleLookup($A101,Assumptions!$A:$AG),SimpleLookup($A101,Countermeasures!$A:$AJ))),
IF(_xlpm._value="","",_xlpm._value)),
"")</f>
        <v/>
      </c>
      <c r="AE101" s="11" t="str" cm="1">
        <f t="array" aca="1" ref="AE101" ca="1">LookupNames(InverseLookup($A101,Mitigation!$AD$2,Mitigation!$A$2,1,Helper!$B$5,","),'Attack Steps'!$A:$B)</f>
        <v/>
      </c>
      <c r="AF101" s="11" t="str" cm="1">
        <f t="array" aca="1" ref="AF101" ca="1">IF($O101,
_xlfn.LET(
_xlpm._in,$A101,
_xlpm._lastDashNum,LEN(_xlpm._in)-LEN(SUBSTITUTE(_xlpm._in,"-","")),
_xlpm._lastDashPos,FIND(CHAR(1),SUBSTITUTE(_xlpm._in,"-",CHAR(1),_xlpm._lastDashNum)),
_xlpm._id,LEFT(_xlpm._in,_xlpm._lastDashPos-1),
_xlpm._id&amp;" "&amp;IFERROR(SimpleLookup(_xlpm._id,Questions!$A:$B),IFERROR(SimpleLookup(_xlpm._id,Mitigation!$A:$B),IFERROR(SimpleLookup(_xlpm._id,'Risk Treatment'!$C:$D),"Error: Unknown ID: "&amp;_xlpm._id)))),
"")</f>
        <v/>
      </c>
      <c r="AG101" s="11" t="str" cm="1">
        <f t="array" aca="1" ref="AG101" ca="1">_xlfn.LET(
_xlpm._countermeasures,InverseLookup($A101,Countermeasures!$AC$2,Countermeasures!$A$2,1,Helper!$B$4,","),
LookupNames(_xlpm._countermeasures,Countermeasures!$A:$B))</f>
        <v/>
      </c>
      <c r="AH101" s="11" t="str" cm="1">
        <f t="array" aca="1" ref="AH101" ca="1">IF($E101="","",_xlfn.LET(
_xlpm._id,$E101,
_xlpm._sheetReference,
IF(IFERROR(MATCH(_xlpm._id,Countermeasures!$A:$A,0)&gt;0,FALSE),CELL("address",INDEX(Countermeasures!$A:$A,MATCH(_xlpm._id,Countermeasures!$A:$A,0))),
IF(IFERROR(MATCH(_xlpm._id,Questionnaire!$B:$B,0)&gt;0,FALSE),CELL("address",INDEX(Questionnaire!$B:$B,MATCH(_xlpm._id,Questionnaire!$B:$B,0))),
IF(IFERROR(MATCH(_xlpm._id,Mitigation!$A:$A,0)&gt;0,FALSE),CELL("address",INDEX(Mitigation!$A:$A,MATCH(_xlpm._id,Mitigation!$A:$A,0))),
IF(IFERROR(MATCH(_xlpm._id,'Risk Treatment'!$C:$C,0)&gt;0,FALSE),CELL("address",INDEX('Risk Treatment'!$C:$C,MATCH(_xlpm._id,'Risk Treatment'!$C:$C,0))),
IF(IFERROR(MATCH(_xlpm._id,Assumptions!$A:$A,0)&gt;0,FALSE),CELL("address",INDEX(Assumptions!$A:$A,MATCH(_xlpm._id,Assumptions!$A:$A,0))),
""))))),
_xlpm._start,IF(_xlpm._sheetReference="",0,FIND("]",_xlpm._sheetReference)),
IF(_xlpm._sheetReference="","","'"&amp;SUBSTITUTE(SUBSTITUTE(RIGHT(_xlpm._sheetReference,LEN(_xlpm._sheetReference)-_xlpm._start),"'",""),"!","'!"))))</f>
        <v/>
      </c>
      <c r="AI101" s="11" t="str" cm="1">
        <f t="array" aca="1" ref="AI101" ca="1">IF(OR($A101="",$O101),"",_xlfn.LET(
_xlpm._answers,IF($M101,SimpleLookup($A101,Assumptions!$A:$F),SimpleLookup($A101,Countermeasures!$A:$D)),
IF(_xlpm._answers="*",IF($M101,SimpleLookup($A101,Assumptions!$A:$C),SimpleLookup($A101,Countermeasures!$A:$C)),"")))</f>
        <v/>
      </c>
      <c r="AJ101" s="11" t="str" cm="1">
        <f t="array" aca="1" ref="AJ101" ca="1">IF(NOT($O101),"",_xlfn.LET(
_xlpm._mappedInMitigation,IFERROR(VLOOKUP($Y101,'Attack Steps'!$A:$P,COLUMNS('Attack Steps'!$A:$P),FALSE),""),
CreateSearchString(_xlpm._mappedInMitigation)))</f>
        <v/>
      </c>
      <c r="AK101" s="11" t="b">
        <f ca="1">ROW()-ROW($AK$17)=Helper!$B$15</f>
        <v>0</v>
      </c>
      <c r="AL101" s="11" t="str">
        <f t="shared" ca="1" si="28"/>
        <v/>
      </c>
      <c r="AM101" s="11" cm="1">
        <f t="array" aca="1" ref="AM101" ca="1">CreateID($AM$17,$AL101&lt;&gt;"")</f>
        <v>0</v>
      </c>
      <c r="AN101" s="11" t="str" cm="1">
        <f t="array" aca="1" ref="AN101" ca="1">IF($O101,"",
_xlfn.LET(
_xlpm._this,SanitizeInput($A101)&amp;AT101,
_xlpm._affectedRisks,InverseLookupList(_xlpm._this,Risks!$AX$2,Risks!$A$2,Helper!$B$1,","),
OperateOnList(_xlpm._affectedRisks,
_xlfn.LAMBDA(_xlpm._riskID,_xlfn.LET(
  _xlpm._as,SimpleLookup(_xlpm._riskID,Risks!$A:$K),
  _xlpm._ds,SimpleLookup(_xlpm._riskID,Risks!$A:$M),
  _xlpm._riskMitigations,SimpleLookup(_xlpm._riskID,Risks!$A:$AA),
  _xlpm._otherMitigations,FilterElementsFromList(_xlpm._riskMitigations,_xlpm._this,FALSE,","),
  _xlpm._damageMitigation,CreateSearchString(GetValuesWithFallback(_xlpm._otherMitigations,Assumptions!$A:$J,Countermeasures!$A:$J,"",",",FALSE)),
  _xlpm._dsTransformed,ApplyDamageMitigation(_xlpm._ds,_xlpm._damageMitigation,""),
  _xlpm._damageLevel,IF(_xlpm._dsTransformed="",0,OperateOnList(_xlpm._dsTransformed,_xlfn.LAMBDA(_xlpm._x,SimpleLookup(_xlpm._x,'Damage Scenarios'!$A:$U)),_xlfn.LAMBDA(_xlpm._x,_xlpm._y,MAX(_xlpm._x,_xlpm._y)))),
  _xlpm._damageName,IF(_xlpm._damageLevel=0,"",INDEX(Definitions!$Q:$Q,MATCH(_xlpm._damageLevel,Definitions!$R:$R,0))),
  _xlpm._sum,GetRAPSum('Attack Steps'!$H$2,MAX(Definitions!$AB:$AB),_xlpm._as&amp;_xlpm._otherMitigations,'Attack Steps'!$A:$L,'Attack Steps'!$A:$H,Countermeasures!$A:$P,Countermeasures!$A:$L,Assumptions!$A:$P,Assumptions!$A:$L),
  _xlpm._calculatedRAP,VLOOKUP(_xlpm._sum,Definitions!$V:$W,COLUMNS(Definitions!$V:$W),TRUE),
  _xlpm._calculatedRAPValue,IF(_xlpm._calculatedRAP="",0,MATCH(_xlpm._calculatedRAP,Definitions!$W:$W,0)-ROW(Definitions!$W$3)),
  _xlpm._comments,GetValues(_xlpm._as,Mitigation!$A:$O,"","",FALSE),
  _xlpm._attackPotentialsRange,OFFSET(Definitions!$W$3,1,0,COUNTA(Definitions!$W:$W),1),
  _xlpm._parsedAttackPotentialA,ParseAttackPotentialFromComment(_xlpm._comments,Definitions!$AR$6,Definitions!$AS$4,_xlpm._attackPotentialsRange,0),
  _xlpm._parsedAttackPotentialC,ParseAttackPotentialFromComment(_xlpm._comments,Definitions!$AR$6,Definitions!$AS$5,_xlpm._attackPotentialsRange,0),
  _xlpm._effectiveRAP,MAX(_xlpm._calculatedRAPValue,_xlpm._parsedAttackPotentialA,_xlpm._parsedAttackPotentialC),
  _xlpm._rapName,IF(_xlpm._effectiveRAP=0,"",OFFSET(Definitions!$W$3,_xlpm._effectiveRAP,0)),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O101" s="11" t="str" cm="1">
        <f t="array" aca="1" ref="AO101" ca="1">IF($O101,"",_xlfn.LET(
_xlpm._listOfRisksAndLevels,SanitizeInput($AN101),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_xlpm._shortenedList,IF($H101="",_xlpm._risksWithMaxValue,
  IF(LEN(_xlpm._risksWithMaxValue)-LEN(SUBSTITUTE(_xlpm._risksWithMaxValue,",",""))&lt;=$H101,_xlpm._risksWithMaxValue,
    LEFT(_xlpm._risksWithMaxValue,FIND(CHAR(1),SUBSTITUTE(_xlpm._risksWithMaxValue,",",CHAR(1),$H101))))),
IF(_xlpm._maxRiskValue="","",
  _xlpm._lineMainSeparator&amp;
  INDEX(Definitions!$AE:$AE,MATCH(_xlpm._maxRiskValue,Definitions!$AF:$AF,0))&amp;CHAR(10)&amp;
  _xlpm._lineMainSeparator&amp;
  RemoveDelimiter(GetValues(_xlpm._shortenedList,Risks!$A:$B," ",CHAR(10)&amp;_xlpm._lineMainSeparator,TRUE),CHAR(10)&amp;_xlpm._lineMainSeparator))))</f>
        <v/>
      </c>
      <c r="AP101" s="11" t="str" cm="1">
        <f t="array" aca="1" ref="AP101" ca="1">IF($O101,"",_xlfn.LET(
_xlpm._lineMainSeparator,REPT(_xlfn.UNICHAR(9552),63)&amp;CHAR(10),
_xlpm._affectedRisks,InverseLookupList(SanitizeInput($A101)&amp;$AT101,Risks!$AX$2,Risks!$A$2,Helper!$B$1,","),
_xlpm._maxRiskValue,OperateOnList(_xlpm._affectedRisks,_xlfn.LAMBDA(_xlpm._riskID,SimpleLookup(_xlpm._riskID,Risks!$A:$AG)),_xlfn.LAMBDA(_xlpm._x,_xlpm._y,MAX(_xlpm._x,_xlpm._y))),
_xlpm._maxRiskName,INDEX(Definitions!$AE:$AE,MATCH(_xlpm._maxRiskValue,Definitions!$AF:$AF,0)),
_xlpm._risksWithMaxValue,OperateOnList(_xlpm._affectedRisks,_xlfn.LAMBDA(_xlpm._riskID,IF(SimpleLookup(_xlpm._riskID,Risks!$A:$AG)=_xlpm._maxRiskValue,_xlpm._riskID&amp;",","")),_xlfn.LAMBDA(_xlpm._x,_xlpm._y,_xlpm._x&amp;_xlpm._y)),
_xlpm._shortenedList,IF($H101="",_xlpm._risksWithMaxValue,
  IF(LEN(_xlpm._risksWithMaxValue)-LEN(SUBSTITUTE(_xlpm._risksWithMaxValue,",",""))&lt;=$H101,_xlpm._risksWithMaxValue,
    LEFT(_xlpm._risksWithMaxValue,FIND(CHAR(1),SUBSTITUTE(_xlpm._risksWithMaxValue,",",CHAR(1),$H101))))),
IF(_xlpm._maxRiskValue="","",
  _xlpm._lineMainSeparator&amp;
  INDEX(Definitions!$AE:$AE,MATCH(_xlpm._maxRiskValue,Definitions!$AF:$AF,0))&amp;CHAR(10)&amp;
  _xlpm._lineMainSeparator&amp;
  RemoveDelimiter(GetValues(_xlpm._shortenedList,Risks!$A:$B," ",CHAR(10)&amp;_xlpm._lineMainSeparator,TRUE),CHAR(10)&amp;_xlpm._lineMainSeparator))))</f>
        <v/>
      </c>
      <c r="AQ101" s="11" t="str" cm="1">
        <f t="array" aca="1" ref="AQ101" ca="1">IF(NOT($O101),"",
_xlfn.LET(
_xlpm._potentialASID,$Y101,
_xlpm._affectedRisks,InverseLookup(_xlpm._potentialASID,Risks!$Y$2,Risks!$A$2,1,Helper!$B$1,","),
OperateOnList(_xlpm._affectedRisks,
  _xlfn.LAMBDA(_xlpm._riskID,_xlfn.LET(
    _xlpm._damageName,SimpleLookup(_xlpm._riskID,Risks!$A:$V),
    _xlpm._calculatedRAP,SimpleLookup(_xlpm._riskID,Risks!$A:$AC),
    _xlpm._attackSteps,SimpleLookup(_xlpm._riskID,Risks!$A:$K),
    _xlpm._commentsFiltered,SUBSTITUTE(GetValues(_xlpm._attackSteps,Mitigation!$A:$O,"","",FALSE),$X101,""),
    _xlpm._attackPotentialHeader,Definitions!$W$3,
    _xlpm._attackPotentialColumn,Definitions!$W:$W,
    _xlpm._attackPotentialsRange,OFFSET(_xlpm._attackPotentialHeader,1,0,COUNTA(_xlpm._attackPotentialColumn),1),
    _xlpm._parsedAttackPotentialA,ParseAttackPotentialFromComment(_xlpm._commentsFiltered,Definitions!$AR$6,Definitions!$AS$4,_xlpm._attackPotentialsRange,0),
    _xlpm._parsedAttackPotentialC,ParseAttackPotentialFromComment(_xlpm._commentsFiltered,Definitions!$AR$6,Definitions!$AS$5,_xlpm._attackPotentialsRange,0),
    _xlpm._parsedAttackPotentialValue,MAX(_xlpm._parsedAttackPotentialA,_xlpm._parsedAttackPotentialC),
    _xlpm._inlineRAP,IF(_xlpm._parsedAttackPotentialValue=0,"",OFFSET(_xlpm._attackPotentialHeader,_xlpm._parsedAttackPotentialValue,0)),
    _xlpm._rapRange,Definitions!$W:$W,
    _xlpm._calculatedRAPValue,IF(_xlpm._calculatedRAP="",0,MATCH(_xlpm._calculatedRAP,_xlpm._rapRange,0)),
    _xlpm._inlineRAPValue,IF(_xlpm._inlineRAP="",0,MATCH(_xlpm._inlineRAP,_xlpm._rapRange,0)),
    _xlpm._maxRAP,MAX(_xlpm._calculatedRAPValue,_xlpm._inlineRAPValue),
    _xlpm._rapName,IF(_xlpm._maxRAP=0,"",INDEX(_xlpm._rapRange,_xlpm._maxRAP)),
    _xlpm._riskLevel,IF(OR(_xlpm._damageName="",_xlpm._rapName=""),Definitions!$AE$4,VLOOKUP(_xlpm._damageName,Definitions!$AH:$AM,MATCH(_xlpm._rapName,Definitions!$AH$3:$AM$3,0),FALSE)),
    _xlpm._riskValue,SimpleLookup(_xlpm._riskLevel,Definitions!$AE:$AF),
    _xlpm._riskID&amp;":"&amp;_xlpm._riskValue)),
  _xlfn.LAMBDA(_xlpm._x,_xlpm._y,_xlpm._x&amp;","&amp;_xlpm._y))))</f>
        <v/>
      </c>
      <c r="AR101" s="11" t="str" cm="1">
        <f t="array" aca="1" ref="AR101" ca="1">IF(NOT($O101),"",_xlfn.LET(
_xlpm._listOfRisksAndLevels,SanitizeInput($AQ101),
_xlpm._lineMainSeparator,REPT(_xlfn.UNICHAR(9552),63)&amp;CHAR(10),
_xlpm._maxRiskValue,OperateOnList(
  _xlpm._listOfRisksAndLevels,
  _xlfn.LAMBDA(_xlpm._riskAndValue,VALUE(RIGHT(_xlpm._riskAndValue,LEN(_xlpm._riskAndValue)-FIND(":",_xlpm._riskAndValue)))),
  _xlfn.LAMBDA(_xlpm._x,_xlpm._y,MAX(_xlpm._x,_xlpm._y))),
_xlpm._risksWithMaxValue,OperateOnList(_xlpm._listOfRisksAndLevels,
  _xlfn.LAMBDA(_xlpm._riskAndValue,_xlfn.LET(
    _xlpm._colPos,FIND(":",_xlpm._riskAndValue),
    _xlpm._riskID,LEFT(_xlpm._riskAndValue,_xlpm._colPos-1),
    _xlpm._riskValue,VALUE(RIGHT(_xlpm._riskAndValue,LEN(_xlpm._riskAndValue)-_xlpm._colPos)),
    IF(_xlpm._riskValue=_xlpm._maxRiskValue,_xlpm._riskID&amp;",",""))),
  _xlfn.LAMBDA(_xlpm._x,_xlpm._y,_xlpm._x&amp;_xlpm._y)),
_xlpm._shortenedList,IF($H101="",_xlpm._risksWithMaxValue,
  IF(LEN(_xlpm._risksWithMaxValue)-LEN(SUBSTITUTE(_xlpm._risksWithMaxValue,",",""))&lt;=$H101,_xlpm._risksWithMaxValue,
    LEFT(_xlpm._risksWithMaxValue,FIND(CHAR(1),SUBSTITUTE(_xlpm._risksWithMaxValue,",",CHAR(1),$H101))))),
IF(_xlpm._maxRiskValue="","",
  _xlpm._lineMainSeparator&amp;
  INDEX(Definitions!$AE:$AE,MATCH(_xlpm._maxRiskValue,Definitions!$AF:$AF,0))&amp;CHAR(10)&amp;
  _xlpm._lineMainSeparator&amp;
  RemoveDelimiter(GetValues(_xlpm._shortenedList,Risks!$A:$B," ",CHAR(10)&amp;_xlpm._lineMainSeparator,TRUE),CHAR(10)&amp;_xlpm._lineMainSeparator))))</f>
        <v/>
      </c>
      <c r="AS101" s="11" t="str" cm="1">
        <f t="array" aca="1" ref="AS101" ca="1">IF(NOT($O101),"",
_xlfn.LET(
_xlpm._lineMainSeparator,REPT(_xlfn.UNICHAR(9552),63)&amp;CHAR(10),
_xlpm._potentialASID,$Y101,
_xlpm._risk,IFERROR(SimpleLookup(_xlpm._potentialASID,Mitigation!$A:$N),""),
_xlpm._attackPaths,IFERROR(SimpleLookup(_xlpm._potentialASID,Mitigation!$A:$M),""),
IF(_xlpm._risk="","",
_xlpm._lineMainSeparator&amp;
_xlpm._risk&amp;CHAR(10)&amp;
_xlpm._lineMainSeparator&amp;
_xlpm._attackPaths)))</f>
        <v/>
      </c>
      <c r="AT101" s="11" t="str" cm="1">
        <f t="array" aca="1" ref="AT101" ca="1">InverseLookup($A101,Countermeasures!$AA$2,Countermeasures!$A$2,1,Helper!$B$4,",")</f>
        <v/>
      </c>
    </row>
  </sheetData>
  <conditionalFormatting sqref="A1:K1048576">
    <cfRule type="expression" dxfId="36" priority="452">
      <formula>AND($M1=TRUE,$M2=FALSE)</formula>
    </cfRule>
  </conditionalFormatting>
  <conditionalFormatting sqref="A1048556:K1048576">
    <cfRule type="expression" dxfId="35" priority="459">
      <formula>AND($M1048556=TRUE,$M1=FALSE)</formula>
    </cfRule>
  </conditionalFormatting>
  <pageMargins left="0.7" right="0.7" top="0.75" bottom="0.75" header="0.3" footer="0.3"/>
  <pageSetup paperSize="9" scale="32" fitToHeight="0" orientation="landscape"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expression" priority="451" id="{98E38282-2256-41F0-8B5E-A1AFEA704837}">
            <xm:f>AND(ROW(A1)&gt;ROW($A$17),ROW(A1)-ROW($A$17)&lt;=Helper!$B$15,$A1="")</xm:f>
            <x14:dxf>
              <fill>
                <patternFill>
                  <bgColor rgb="FFFFB9B9"/>
                </patternFill>
              </fill>
            </x14:dxf>
          </x14:cfRule>
          <xm:sqref>A1:K1048576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00001-44BE-4993-9DE6-878422F50B2A}">
  <sheetPr>
    <tabColor theme="3"/>
    <pageSetUpPr fitToPage="1"/>
  </sheetPr>
  <dimension ref="A1:H15"/>
  <sheetViews>
    <sheetView workbookViewId="0">
      <selection activeCell="D6" sqref="D6"/>
    </sheetView>
  </sheetViews>
  <sheetFormatPr defaultColWidth="9.140625" defaultRowHeight="15" x14ac:dyDescent="0.25"/>
  <cols>
    <col min="1" max="1" width="9.140625" style="2"/>
    <col min="2" max="2" width="60.7109375" style="2" customWidth="1"/>
    <col min="3" max="3" width="17.85546875" style="2" customWidth="1"/>
    <col min="4" max="4" width="60.7109375" style="2" customWidth="1"/>
    <col min="5" max="5" width="60.7109375" style="7" customWidth="1"/>
    <col min="6" max="6" width="45.7109375" style="2" customWidth="1"/>
    <col min="7" max="7" width="12.5703125" style="2" hidden="1" customWidth="1"/>
    <col min="8" max="8" width="9.42578125" style="2" hidden="1" customWidth="1"/>
    <col min="9" max="16384" width="9.140625" style="2"/>
  </cols>
  <sheetData>
    <row r="1" spans="1:8" s="80" customFormat="1" x14ac:dyDescent="0.25">
      <c r="A1" s="80" t="str" cm="1">
        <f t="array" aca="1" ref="A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HYPERLINK("#'"&amp;Helper!$G$2&amp;"'!"&amp;CHAR(CODE("A")+COLUMN(_xlpm._columnNameHeader)-1)&amp;_xlpm._entryOffset,Definitions!$AY$4)))(Helper!$G$16,A$2,README!$E:$E,README!$I$35,README!$B$35)</f>
        <v>◈</v>
      </c>
      <c r="B1" s="80" t="str" cm="1">
        <f t="array" aca="1" ref="B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HYPERLINK("#'"&amp;Helper!$G$2&amp;"'!"&amp;CHAR(CODE("A")+COLUMN(_xlpm._columnNameHeader)-1)&amp;_xlpm._entryOffset,Definitions!$AY$4)))(Helper!$G$16,B$2,README!$E:$E,README!$I$35,README!$B$35)</f>
        <v>◈</v>
      </c>
      <c r="C1" s="80" t="str" cm="1">
        <f t="array" aca="1" ref="C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HYPERLINK("#'"&amp;Helper!$G$2&amp;"'!"&amp;CHAR(CODE("A")+COLUMN(_xlpm._columnNameHeader)-1)&amp;_xlpm._entryOffset,Definitions!$AY$4)))(Helper!$G$16,C$2,README!$E:$E,README!$I$35,README!$B$35)</f>
        <v>◈</v>
      </c>
      <c r="D1" s="80" t="str" cm="1">
        <f t="array" aca="1" ref="D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HYPERLINK("#'"&amp;Helper!$G$2&amp;"'!"&amp;CHAR(CODE("A")+COLUMN(_xlpm._columnNameHeader)-1)&amp;_xlpm._entryOffset,Definitions!$AY$4)))(Helper!$G$16,D$2,README!$E:$E,README!$I$35,README!$B$35)</f>
        <v>◈</v>
      </c>
      <c r="E1" s="80" t="str" cm="1">
        <f t="array" aca="1" ref="E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HYPERLINK("#'"&amp;Helper!$G$2&amp;"'!"&amp;CHAR(CODE("A")+COLUMN(_xlpm._columnNameHeader)-1)&amp;_xlpm._entryOffset,Definitions!$AY$4)))(Helper!$G$16,E$2,README!$E:$E,README!$I$35,README!$B$35)</f>
        <v>◈</v>
      </c>
      <c r="F1" s="80" t="str" cm="1">
        <f t="array" aca="1" ref="F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HYPERLINK("#'"&amp;Helper!$G$2&amp;"'!"&amp;CHAR(CODE("A")+COLUMN(_xlpm._columnNameHeader)-1)&amp;_xlpm._entryOffset,Definitions!$AY$4)))(Helper!$G$16,F$2,README!$E:$E,README!$I$35,README!$B$35)</f>
        <v>◈</v>
      </c>
    </row>
    <row r="2" spans="1:8" x14ac:dyDescent="0.25">
      <c r="A2" s="10" t="s">
        <v>465</v>
      </c>
      <c r="B2" s="10" t="s">
        <v>470</v>
      </c>
      <c r="C2" s="13" t="s">
        <v>466</v>
      </c>
      <c r="D2" s="12" t="s">
        <v>473</v>
      </c>
      <c r="E2" s="13" t="s">
        <v>479</v>
      </c>
      <c r="F2" s="10" t="s">
        <v>2</v>
      </c>
      <c r="G2" s="10" t="s">
        <v>47</v>
      </c>
      <c r="H2" s="10" t="s">
        <v>196</v>
      </c>
    </row>
    <row r="3" spans="1:8" ht="30" x14ac:dyDescent="0.25">
      <c r="A3" s="10" t="s">
        <v>448</v>
      </c>
      <c r="B3" s="10" t="s">
        <v>1387</v>
      </c>
      <c r="C3" s="13" t="str" cm="1">
        <f t="array" aca="1" ref="C3" ca="1">_xlfn.LET(
_xlpm._countermeasures,InverseLookup($A3,Countermeasures!$AF$2,Countermeasures!$A$2,1,Helper!$B$4,","),
_xlpm._assumptions,InverseLookup($A3,Assumptions!$AD$2,Assumptions!$A$2,1,Helper!$B$6,","),
_xlpm._indirectCountermeasures,InverseLookup($A3,Countermeasures!$AM$2,Countermeasures!$A$2,1,Helper!$B$4,","),
_xlpm._indirectAssumptions,InverseLookup($A3,Assumptions!$AJ$2,Assumptions!$A$2,1,Helper!$B$6,","),
_xlpm._sortedCountermeasures,SortList(_xlpm._countermeasures&amp;_xlpm._indirectCountermeasures,Countermeasures!$A:$U,Helper!$B$4,"",",",TRUE),
_xlpm._sortedAssumptions,SortList(_xlpm._assumptions&amp;_xlpm._indirectAssumptions,Assumptions!$A:$U,Helper!$B$6,"",",",TRUE),
SUBSTITUTE(RemoveDelimiter(_xlpm._sortedCountermeasures&amp;_xlpm._sortedAssumptions,","),",",", "))</f>
        <v/>
      </c>
      <c r="D3" s="25" t="str" cm="1">
        <f t="array" aca="1" ref="D3" ca="1">_xlfn.LET(
_xlpm._countermeasures,RemoveDelimiter(GetValuesIgnoreErrors(SanitizeInput($C3),Countermeasures!$A:$B," ",","&amp;CHAR(10),TRUE),","&amp;CHAR(10)),
_xlpm._assumptions,RemoveDelimiter(GetValuesIgnoreErrors(SanitizeInput($C3),Assumptions!$A:$AE," ",","&amp;CHAR(10),TRUE),","&amp;CHAR(10)),
_xlpm._delimiter,CHAR(10)&amp;REPT(CHAR(150),65)&amp;CHAR(10),
_xlpm._countermeasures&amp;IF(OR(_xlpm._countermeasures="",_xlpm._assumptions=""),"",_xlpm._delimiter)&amp;_xlpm._assumptions)</f>
        <v/>
      </c>
      <c r="E3" s="13" t="str" cm="1">
        <f t="array" aca="1" ref="E3" ca="1">RemoveDelimiter(InverseLookup($A3,'Risk Treatment'!$AF$4,'Risk Treatment'!$AG$4,1,10000,","&amp;CHAR(10)),","&amp;CHAR(10))</f>
        <v/>
      </c>
      <c r="F3" s="10"/>
      <c r="G3" s="10" cm="1">
        <f t="array" aca="1" ref="G3" ca="1">CreateID($G$2,$A3&lt;&gt;"")</f>
        <v>1</v>
      </c>
      <c r="H3" s="10" cm="1">
        <f t="array" ref="H3">CreateTaskID($H$2,$H:$H,Tasks!$B$17,$F3)</f>
        <v>0</v>
      </c>
    </row>
    <row r="4" spans="1:8" ht="75" x14ac:dyDescent="0.25">
      <c r="A4" s="10" t="s">
        <v>446</v>
      </c>
      <c r="B4" s="10" t="s">
        <v>1388</v>
      </c>
      <c r="C4" s="13" t="str" cm="1">
        <f t="array" aca="1" ref="C4" ca="1">_xlfn.LET(
_xlpm._countermeasures,InverseLookup($A4,Countermeasures!$AF$2,Countermeasures!$A$2,1,Helper!$B$4,","),
_xlpm._assumptions,InverseLookup($A4,Assumptions!$AD$2,Assumptions!$A$2,1,Helper!$B$6,","),
_xlpm._indirectCountermeasures,InverseLookup($A4,Countermeasures!$AM$2,Countermeasures!$A$2,1,Helper!$B$4,","),
_xlpm._indirectAssumptions,InverseLookup($A4,Assumptions!$AJ$2,Assumptions!$A$2,1,Helper!$B$6,","),
_xlpm._sortedCountermeasures,SortList(_xlpm._countermeasures&amp;_xlpm._indirectCountermeasures,Countermeasures!$A:$U,Helper!$B$4,"",",",TRUE),
_xlpm._sortedAssumptions,SortList(_xlpm._assumptions&amp;_xlpm._indirectAssumptions,Assumptions!$A:$U,Helper!$B$6,"",",",TRUE),
SUBSTITUTE(RemoveDelimiter(_xlpm._sortedCountermeasures&amp;_xlpm._sortedAssumptions,","),",",", "))</f>
        <v>A34</v>
      </c>
      <c r="D4" s="25" t="str" cm="1">
        <f t="array" aca="1" ref="D4" ca="1">_xlfn.LET(
_xlpm._countermeasures,RemoveDelimiter(GetValuesIgnoreErrors(SanitizeInput($C4),Countermeasures!$A:$B," ",","&amp;CHAR(10),TRUE),","&amp;CHAR(10)),
_xlpm._assumptions,RemoveDelimiter(GetValuesIgnoreErrors(SanitizeInput($C4),Assumptions!$A:$AE," ",","&amp;CHAR(10),TRUE),","&amp;CHAR(10)),
_xlpm._delimiter,CHAR(10)&amp;REPT(CHAR(150),65)&amp;CHAR(10),
_xlpm._countermeasures&amp;IF(OR(_xlpm._countermeasures="",_xlpm._assumptions=""),"",_xlpm._delimiter)&amp;_xlpm._assumptions)</f>
        <v>A34 SDR 2.10 - The product is delivered with a secure by default configuration [&lt;&lt; OEM Name &gt;&gt;]</v>
      </c>
      <c r="E4" s="13" t="str" cm="1">
        <f t="array" aca="1" ref="E4" ca="1">RemoveDelimiter(InverseLookup($A4,'Risk Treatment'!$AF$4,'Risk Treatment'!$AG$4,1,10000,","&amp;CHAR(10)),","&amp;CHAR(10))</f>
        <v/>
      </c>
      <c r="F4" s="10"/>
      <c r="G4" s="10" cm="1">
        <f t="array" aca="1" ref="G4" ca="1">CreateID($G$2,$A4&lt;&gt;"")</f>
        <v>2</v>
      </c>
      <c r="H4" s="10" cm="1">
        <f t="array" ref="H4">CreateTaskID($H$2,$H:$H,Tasks!$B$17,$F4)</f>
        <v>0</v>
      </c>
    </row>
    <row r="5" spans="1:8" ht="90" x14ac:dyDescent="0.25">
      <c r="A5" s="10" t="s">
        <v>451</v>
      </c>
      <c r="B5" s="10" t="s">
        <v>1389</v>
      </c>
      <c r="C5" s="13" t="str" cm="1">
        <f t="array" aca="1" ref="C5" ca="1">_xlfn.LET(
_xlpm._countermeasures,InverseLookup($A5,Countermeasures!$AF$2,Countermeasures!$A$2,1,Helper!$B$4,","),
_xlpm._assumptions,InverseLookup($A5,Assumptions!$AD$2,Assumptions!$A$2,1,Helper!$B$6,","),
_xlpm._indirectCountermeasures,InverseLookup($A5,Countermeasures!$AM$2,Countermeasures!$A$2,1,Helper!$B$4,","),
_xlpm._indirectAssumptions,InverseLookup($A5,Assumptions!$AJ$2,Assumptions!$A$2,1,Helper!$B$6,","),
_xlpm._sortedCountermeasures,SortList(_xlpm._countermeasures&amp;_xlpm._indirectCountermeasures,Countermeasures!$A:$U,Helper!$B$4,"",",",TRUE),
_xlpm._sortedAssumptions,SortList(_xlpm._assumptions&amp;_xlpm._indirectAssumptions,Assumptions!$A:$U,Helper!$B$6,"",",",TRUE),
SUBSTITUTE(RemoveDelimiter(_xlpm._sortedCountermeasures&amp;_xlpm._sortedAssumptions,","),",",", "))</f>
        <v/>
      </c>
      <c r="D5" s="25" t="str" cm="1">
        <f t="array" aca="1" ref="D5" ca="1">_xlfn.LET(
_xlpm._countermeasures,RemoveDelimiter(GetValuesIgnoreErrors(SanitizeInput($C5),Countermeasures!$A:$B," ",","&amp;CHAR(10),TRUE),","&amp;CHAR(10)),
_xlpm._assumptions,RemoveDelimiter(GetValuesIgnoreErrors(SanitizeInput($C5),Assumptions!$A:$AE," ",","&amp;CHAR(10),TRUE),","&amp;CHAR(10)),
_xlpm._delimiter,CHAR(10)&amp;REPT(CHAR(150),65)&amp;CHAR(10),
_xlpm._countermeasures&amp;IF(OR(_xlpm._countermeasures="",_xlpm._assumptions=""),"",_xlpm._delimiter)&amp;_xlpm._assumptions)</f>
        <v/>
      </c>
      <c r="E5" s="13" t="str" cm="1">
        <f t="array" aca="1" ref="E5" ca="1">RemoveDelimiter(InverseLookup($A5,'Risk Treatment'!$AF$4,'Risk Treatment'!$AG$4,1,10000,","&amp;CHAR(10)),","&amp;CHAR(10))</f>
        <v/>
      </c>
      <c r="F5" s="10"/>
      <c r="G5" s="10" cm="1">
        <f t="array" aca="1" ref="G5" ca="1">CreateID($G$2,$A5&lt;&gt;"")</f>
        <v>3</v>
      </c>
      <c r="H5" s="10" cm="1">
        <f t="array" ref="H5">CreateTaskID($H$2,$H:$H,Tasks!$B$17,$F5)</f>
        <v>0</v>
      </c>
    </row>
    <row r="6" spans="1:8" ht="60" x14ac:dyDescent="0.25">
      <c r="A6" s="10" t="s">
        <v>453</v>
      </c>
      <c r="B6" s="10" t="s">
        <v>1390</v>
      </c>
      <c r="C6" s="13" t="str" cm="1">
        <f t="array" aca="1" ref="C6" ca="1">_xlfn.LET(
_xlpm._countermeasures,InverseLookup($A6,Countermeasures!$AF$2,Countermeasures!$A$2,1,Helper!$B$4,","),
_xlpm._assumptions,InverseLookup($A6,Assumptions!$AD$2,Assumptions!$A$2,1,Helper!$B$6,","),
_xlpm._indirectCountermeasures,InverseLookup($A6,Countermeasures!$AM$2,Countermeasures!$A$2,1,Helper!$B$4,","),
_xlpm._indirectAssumptions,InverseLookup($A6,Assumptions!$AJ$2,Assumptions!$A$2,1,Helper!$B$6,","),
_xlpm._sortedCountermeasures,SortList(_xlpm._countermeasures&amp;_xlpm._indirectCountermeasures,Countermeasures!$A:$U,Helper!$B$4,"",",",TRUE),
_xlpm._sortedAssumptions,SortList(_xlpm._assumptions&amp;_xlpm._indirectAssumptions,Assumptions!$A:$U,Helper!$B$6,"",",",TRUE),
SUBSTITUTE(RemoveDelimiter(_xlpm._sortedCountermeasures&amp;_xlpm._sortedAssumptions,","),",",", "))</f>
        <v/>
      </c>
      <c r="D6" s="25" t="str" cm="1">
        <f t="array" aca="1" ref="D6" ca="1">_xlfn.LET(
_xlpm._countermeasures,RemoveDelimiter(GetValuesIgnoreErrors(SanitizeInput($C6),Countermeasures!$A:$B," ",","&amp;CHAR(10),TRUE),","&amp;CHAR(10)),
_xlpm._assumptions,RemoveDelimiter(GetValuesIgnoreErrors(SanitizeInput($C6),Assumptions!$A:$AE," ",","&amp;CHAR(10),TRUE),","&amp;CHAR(10)),
_xlpm._delimiter,CHAR(10)&amp;REPT(CHAR(150),65)&amp;CHAR(10),
_xlpm._countermeasures&amp;IF(OR(_xlpm._countermeasures="",_xlpm._assumptions=""),"",_xlpm._delimiter)&amp;_xlpm._assumptions)</f>
        <v/>
      </c>
      <c r="E6" s="13" t="str" cm="1">
        <f t="array" aca="1" ref="E6" ca="1">RemoveDelimiter(InverseLookup($A6,'Risk Treatment'!$AF$4,'Risk Treatment'!$AG$4,1,10000,","&amp;CHAR(10)),","&amp;CHAR(10))</f>
        <v/>
      </c>
      <c r="F6" s="10"/>
      <c r="G6" s="10" cm="1">
        <f t="array" aca="1" ref="G6" ca="1">CreateID($G$2,$A6&lt;&gt;"")</f>
        <v>4</v>
      </c>
      <c r="H6" s="10" cm="1">
        <f t="array" ref="H6">CreateTaskID($H$2,$H:$H,Tasks!$B$17,$F6)</f>
        <v>0</v>
      </c>
    </row>
    <row r="7" spans="1:8" ht="60" x14ac:dyDescent="0.25">
      <c r="A7" s="10" t="s">
        <v>454</v>
      </c>
      <c r="B7" s="10" t="s">
        <v>1391</v>
      </c>
      <c r="C7" s="13" t="str" cm="1">
        <f t="array" aca="1" ref="C7" ca="1">_xlfn.LET(
_xlpm._countermeasures,InverseLookup($A7,Countermeasures!$AF$2,Countermeasures!$A$2,1,Helper!$B$4,","),
_xlpm._assumptions,InverseLookup($A7,Assumptions!$AD$2,Assumptions!$A$2,1,Helper!$B$6,","),
_xlpm._indirectCountermeasures,InverseLookup($A7,Countermeasures!$AM$2,Countermeasures!$A$2,1,Helper!$B$4,","),
_xlpm._indirectAssumptions,InverseLookup($A7,Assumptions!$AJ$2,Assumptions!$A$2,1,Helper!$B$6,","),
_xlpm._sortedCountermeasures,SortList(_xlpm._countermeasures&amp;_xlpm._indirectCountermeasures,Countermeasures!$A:$U,Helper!$B$4,"",",",TRUE),
_xlpm._sortedAssumptions,SortList(_xlpm._assumptions&amp;_xlpm._indirectAssumptions,Assumptions!$A:$U,Helper!$B$6,"",",",TRUE),
SUBSTITUTE(RemoveDelimiter(_xlpm._sortedCountermeasures&amp;_xlpm._sortedAssumptions,","),",",", "))</f>
        <v/>
      </c>
      <c r="D7" s="25" t="str" cm="1">
        <f t="array" aca="1" ref="D7" ca="1">_xlfn.LET(
_xlpm._countermeasures,RemoveDelimiter(GetValuesIgnoreErrors(SanitizeInput($C7),Countermeasures!$A:$B," ",","&amp;CHAR(10),TRUE),","&amp;CHAR(10)),
_xlpm._assumptions,RemoveDelimiter(GetValuesIgnoreErrors(SanitizeInput($C7),Assumptions!$A:$AE," ",","&amp;CHAR(10),TRUE),","&amp;CHAR(10)),
_xlpm._delimiter,CHAR(10)&amp;REPT(CHAR(150),65)&amp;CHAR(10),
_xlpm._countermeasures&amp;IF(OR(_xlpm._countermeasures="",_xlpm._assumptions=""),"",_xlpm._delimiter)&amp;_xlpm._assumptions)</f>
        <v/>
      </c>
      <c r="E7" s="13" t="str" cm="1">
        <f t="array" aca="1" ref="E7" ca="1">RemoveDelimiter(InverseLookup($A7,'Risk Treatment'!$AF$4,'Risk Treatment'!$AG$4,1,10000,","&amp;CHAR(10)),","&amp;CHAR(10))</f>
        <v/>
      </c>
      <c r="F7" s="10"/>
      <c r="G7" s="10" cm="1">
        <f t="array" aca="1" ref="G7" ca="1">CreateID($G$2,$A7&lt;&gt;"")</f>
        <v>5</v>
      </c>
      <c r="H7" s="10" cm="1">
        <f t="array" ref="H7">CreateTaskID($H$2,$H:$H,Tasks!$B$17,$F7)</f>
        <v>0</v>
      </c>
    </row>
    <row r="8" spans="1:8" ht="60" x14ac:dyDescent="0.25">
      <c r="A8" s="10" t="s">
        <v>450</v>
      </c>
      <c r="B8" s="10" t="s">
        <v>1392</v>
      </c>
      <c r="C8" s="13" t="str" cm="1">
        <f t="array" aca="1" ref="C8" ca="1">_xlfn.LET(
_xlpm._countermeasures,InverseLookup($A8,Countermeasures!$AF$2,Countermeasures!$A$2,1,Helper!$B$4,","),
_xlpm._assumptions,InverseLookup($A8,Assumptions!$AD$2,Assumptions!$A$2,1,Helper!$B$6,","),
_xlpm._indirectCountermeasures,InverseLookup($A8,Countermeasures!$AM$2,Countermeasures!$A$2,1,Helper!$B$4,","),
_xlpm._indirectAssumptions,InverseLookup($A8,Assumptions!$AJ$2,Assumptions!$A$2,1,Helper!$B$6,","),
_xlpm._sortedCountermeasures,SortList(_xlpm._countermeasures&amp;_xlpm._indirectCountermeasures,Countermeasures!$A:$U,Helper!$B$4,"",",",TRUE),
_xlpm._sortedAssumptions,SortList(_xlpm._assumptions&amp;_xlpm._indirectAssumptions,Assumptions!$A:$U,Helper!$B$6,"",",",TRUE),
SUBSTITUTE(RemoveDelimiter(_xlpm._sortedCountermeasures&amp;_xlpm._sortedAssumptions,","),",",", "))</f>
        <v>C13</v>
      </c>
      <c r="D8" s="25" t="str" cm="1">
        <f t="array" aca="1" ref="D8" ca="1">_xlfn.LET(
_xlpm._countermeasures,RemoveDelimiter(GetValuesIgnoreErrors(SanitizeInput($C8),Countermeasures!$A:$B," ",","&amp;CHAR(10),TRUE),","&amp;CHAR(10)),
_xlpm._assumptions,RemoveDelimiter(GetValuesIgnoreErrors(SanitizeInput($C8),Assumptions!$A:$AE," ",","&amp;CHAR(10),TRUE),","&amp;CHAR(10)),
_xlpm._delimiter,CHAR(10)&amp;REPT(CHAR(150),65)&amp;CHAR(10),
_xlpm._countermeasures&amp;IF(OR(_xlpm._countermeasures="",_xlpm._assumptions=""),"",_xlpm._delimiter)&amp;_xlpm._assumptions)</f>
        <v>C13 CR 3.3 – Security functionality verification</v>
      </c>
      <c r="E8" s="13" t="str" cm="1">
        <f t="array" aca="1" ref="E8" ca="1">RemoveDelimiter(InverseLookup($A8,'Risk Treatment'!$AF$4,'Risk Treatment'!$AG$4,1,10000,","&amp;CHAR(10)),","&amp;CHAR(10))</f>
        <v/>
      </c>
      <c r="F8" s="10"/>
      <c r="G8" s="10" cm="1">
        <f t="array" aca="1" ref="G8" ca="1">CreateID($G$2,$A8&lt;&gt;"")</f>
        <v>6</v>
      </c>
      <c r="H8" s="10" cm="1">
        <f t="array" ref="H8">CreateTaskID($H$2,$H:$H,Tasks!$B$17,$F8)</f>
        <v>0</v>
      </c>
    </row>
    <row r="9" spans="1:8" ht="45" x14ac:dyDescent="0.25">
      <c r="A9" s="10" t="s">
        <v>455</v>
      </c>
      <c r="B9" s="10" t="s">
        <v>1393</v>
      </c>
      <c r="C9" s="13" t="str" cm="1">
        <f t="array" aca="1" ref="C9" ca="1">_xlfn.LET(
_xlpm._countermeasures,InverseLookup($A9,Countermeasures!$AF$2,Countermeasures!$A$2,1,Helper!$B$4,","),
_xlpm._assumptions,InverseLookup($A9,Assumptions!$AD$2,Assumptions!$A$2,1,Helper!$B$6,","),
_xlpm._indirectCountermeasures,InverseLookup($A9,Countermeasures!$AM$2,Countermeasures!$A$2,1,Helper!$B$4,","),
_xlpm._indirectAssumptions,InverseLookup($A9,Assumptions!$AJ$2,Assumptions!$A$2,1,Helper!$B$6,","),
_xlpm._sortedCountermeasures,SortList(_xlpm._countermeasures&amp;_xlpm._indirectCountermeasures,Countermeasures!$A:$U,Helper!$B$4,"",",",TRUE),
_xlpm._sortedAssumptions,SortList(_xlpm._assumptions&amp;_xlpm._indirectAssumptions,Assumptions!$A:$U,Helper!$B$6,"",",",TRUE),
SUBSTITUTE(RemoveDelimiter(_xlpm._sortedCountermeasures&amp;_xlpm._sortedAssumptions,","),",",", "))</f>
        <v>C33, C34</v>
      </c>
      <c r="D9" s="25" t="str" cm="1">
        <f t="array" aca="1" ref="D9" ca="1">_xlfn.LET(
_xlpm._countermeasures,RemoveDelimiter(GetValuesIgnoreErrors(SanitizeInput($C9),Countermeasures!$A:$B," ",","&amp;CHAR(10),TRUE),","&amp;CHAR(10)),
_xlpm._assumptions,RemoveDelimiter(GetValuesIgnoreErrors(SanitizeInput($C9),Assumptions!$A:$AE," ",","&amp;CHAR(10),TRUE),","&amp;CHAR(10)),
_xlpm._delimiter,CHAR(10)&amp;REPT(CHAR(150),65)&amp;CHAR(10),
_xlpm._countermeasures&amp;IF(OR(_xlpm._countermeasures="",_xlpm._assumptions=""),"",_xlpm._delimiter)&amp;_xlpm._assumptions)</f>
        <v>C33 SCR 1.1 - Processed personal data,
C34 SCR 1.2 - Telemetry data</v>
      </c>
      <c r="E9" s="13" t="str" cm="1">
        <f t="array" aca="1" ref="E9" ca="1">RemoveDelimiter(InverseLookup($A9,'Risk Treatment'!$AF$4,'Risk Treatment'!$AG$4,1,10000,","&amp;CHAR(10)),","&amp;CHAR(10))</f>
        <v/>
      </c>
      <c r="F9" s="10"/>
      <c r="G9" s="10" cm="1">
        <f t="array" aca="1" ref="G9" ca="1">CreateID($G$2,$A9&lt;&gt;"")</f>
        <v>7</v>
      </c>
      <c r="H9" s="10" cm="1">
        <f t="array" ref="H9">CreateTaskID($H$2,$H:$H,Tasks!$B$17,$F9)</f>
        <v>0</v>
      </c>
    </row>
    <row r="10" spans="1:8" ht="45" x14ac:dyDescent="0.25">
      <c r="A10" s="10" t="s">
        <v>449</v>
      </c>
      <c r="B10" s="10" t="s">
        <v>1394</v>
      </c>
      <c r="C10" s="13" t="str" cm="1">
        <f t="array" aca="1" ref="C10" ca="1">_xlfn.LET(
_xlpm._countermeasures,InverseLookup($A10,Countermeasures!$AF$2,Countermeasures!$A$2,1,Helper!$B$4,","),
_xlpm._assumptions,InverseLookup($A10,Assumptions!$AD$2,Assumptions!$A$2,1,Helper!$B$6,","),
_xlpm._indirectCountermeasures,InverseLookup($A10,Countermeasures!$AM$2,Countermeasures!$A$2,1,Helper!$B$4,","),
_xlpm._indirectAssumptions,InverseLookup($A10,Assumptions!$AJ$2,Assumptions!$A$2,1,Helper!$B$6,","),
_xlpm._sortedCountermeasures,SortList(_xlpm._countermeasures&amp;_xlpm._indirectCountermeasures,Countermeasures!$A:$U,Helper!$B$4,"",",",TRUE),
_xlpm._sortedAssumptions,SortList(_xlpm._assumptions&amp;_xlpm._indirectAssumptions,Assumptions!$A:$U,Helper!$B$6,"",",",TRUE),
SUBSTITUTE(RemoveDelimiter(_xlpm._sortedCountermeasures&amp;_xlpm._sortedAssumptions,","),",",", "))</f>
        <v/>
      </c>
      <c r="D10" s="25" t="str" cm="1">
        <f t="array" aca="1" ref="D10" ca="1">_xlfn.LET(
_xlpm._countermeasures,RemoveDelimiter(GetValuesIgnoreErrors(SanitizeInput($C10),Countermeasures!$A:$B," ",","&amp;CHAR(10),TRUE),","&amp;CHAR(10)),
_xlpm._assumptions,RemoveDelimiter(GetValuesIgnoreErrors(SanitizeInput($C10),Assumptions!$A:$AE," ",","&amp;CHAR(10),TRUE),","&amp;CHAR(10)),
_xlpm._delimiter,CHAR(10)&amp;REPT(CHAR(150),65)&amp;CHAR(10),
_xlpm._countermeasures&amp;IF(OR(_xlpm._countermeasures="",_xlpm._assumptions=""),"",_xlpm._delimiter)&amp;_xlpm._assumptions)</f>
        <v/>
      </c>
      <c r="E10" s="13" t="str" cm="1">
        <f t="array" aca="1" ref="E10" ca="1">RemoveDelimiter(InverseLookup($A10,'Risk Treatment'!$AF$4,'Risk Treatment'!$AG$4,1,10000,","&amp;CHAR(10)),","&amp;CHAR(10))</f>
        <v/>
      </c>
      <c r="F10" s="10"/>
      <c r="G10" s="10" cm="1">
        <f t="array" aca="1" ref="G10" ca="1">CreateID($G$2,$A10&lt;&gt;"")</f>
        <v>8</v>
      </c>
      <c r="H10" s="10" cm="1">
        <f t="array" ref="H10">CreateTaskID($H$2,$H:$H,Tasks!$B$17,$F10)</f>
        <v>0</v>
      </c>
    </row>
    <row r="11" spans="1:8" ht="45" x14ac:dyDescent="0.25">
      <c r="A11" s="10" t="s">
        <v>452</v>
      </c>
      <c r="B11" s="10" t="s">
        <v>1395</v>
      </c>
      <c r="C11" s="13" t="str" cm="1">
        <f t="array" aca="1" ref="C11" ca="1">_xlfn.LET(
_xlpm._countermeasures,InverseLookup($A11,Countermeasures!$AF$2,Countermeasures!$A$2,1,Helper!$B$4,","),
_xlpm._assumptions,InverseLookup($A11,Assumptions!$AD$2,Assumptions!$A$2,1,Helper!$B$6,","),
_xlpm._indirectCountermeasures,InverseLookup($A11,Countermeasures!$AM$2,Countermeasures!$A$2,1,Helper!$B$4,","),
_xlpm._indirectAssumptions,InverseLookup($A11,Assumptions!$AJ$2,Assumptions!$A$2,1,Helper!$B$6,","),
_xlpm._sortedCountermeasures,SortList(_xlpm._countermeasures&amp;_xlpm._indirectCountermeasures,Countermeasures!$A:$U,Helper!$B$4,"",",",TRUE),
_xlpm._sortedAssumptions,SortList(_xlpm._assumptions&amp;_xlpm._indirectAssumptions,Assumptions!$A:$U,Helper!$B$6,"",",",TRUE),
SUBSTITUTE(RemoveDelimiter(_xlpm._sortedCountermeasures&amp;_xlpm._sortedAssumptions,","),",",", "))</f>
        <v/>
      </c>
      <c r="D11" s="25" t="str" cm="1">
        <f t="array" aca="1" ref="D11" ca="1">_xlfn.LET(
_xlpm._countermeasures,RemoveDelimiter(GetValuesIgnoreErrors(SanitizeInput($C11),Countermeasures!$A:$B," ",","&amp;CHAR(10),TRUE),","&amp;CHAR(10)),
_xlpm._assumptions,RemoveDelimiter(GetValuesIgnoreErrors(SanitizeInput($C11),Assumptions!$A:$AE," ",","&amp;CHAR(10),TRUE),","&amp;CHAR(10)),
_xlpm._delimiter,CHAR(10)&amp;REPT(CHAR(150),65)&amp;CHAR(10),
_xlpm._countermeasures&amp;IF(OR(_xlpm._countermeasures="",_xlpm._assumptions=""),"",_xlpm._delimiter)&amp;_xlpm._assumptions)</f>
        <v/>
      </c>
      <c r="E11" s="13" t="str" cm="1">
        <f t="array" aca="1" ref="E11" ca="1">RemoveDelimiter(InverseLookup($A11,'Risk Treatment'!$AF$4,'Risk Treatment'!$AG$4,1,10000,","&amp;CHAR(10)),","&amp;CHAR(10))</f>
        <v/>
      </c>
      <c r="F11" s="10"/>
      <c r="G11" s="10" cm="1">
        <f t="array" aca="1" ref="G11" ca="1">CreateID($G$2,$A11&lt;&gt;"")</f>
        <v>9</v>
      </c>
      <c r="H11" s="10" cm="1">
        <f t="array" ref="H11">CreateTaskID($H$2,$H:$H,Tasks!$B$17,$F11)</f>
        <v>0</v>
      </c>
    </row>
    <row r="12" spans="1:8" ht="48.75" x14ac:dyDescent="0.25">
      <c r="A12" s="10" t="s">
        <v>467</v>
      </c>
      <c r="B12" s="10" t="s">
        <v>471</v>
      </c>
      <c r="C12" s="13" t="str" cm="1">
        <f t="array" aca="1" ref="C12" ca="1">_xlfn.LET(
_xlpm._countermeasures,InverseLookup($A12,Countermeasures!$AF$2,Countermeasures!$A$2,1,Helper!$B$4,","),
_xlpm._assumptions,InverseLookup($A12,Assumptions!$AD$2,Assumptions!$A$2,1,Helper!$B$6,","),
_xlpm._indirectCountermeasures,InverseLookup($A12,Countermeasures!$AM$2,Countermeasures!$A$2,1,Helper!$B$4,","),
_xlpm._indirectAssumptions,InverseLookup($A12,Assumptions!$AJ$2,Assumptions!$A$2,1,Helper!$B$6,","),
_xlpm._sortedCountermeasures,SortList(_xlpm._countermeasures&amp;_xlpm._indirectCountermeasures,Countermeasures!$A:$U,Helper!$B$4,"",",",TRUE),
_xlpm._sortedAssumptions,SortList(_xlpm._assumptions&amp;_xlpm._indirectAssumptions,Assumptions!$A:$U,Helper!$B$6,"",",",TRUE),
SUBSTITUTE(RemoveDelimiter(_xlpm._sortedCountermeasures&amp;_xlpm._sortedAssumptions,","),",",", "))</f>
        <v>C15, C24, A38</v>
      </c>
      <c r="D12" s="25" t="str" cm="1">
        <f t="array" aca="1" ref="D12" ca="1">_xlfn.LET(
_xlpm._countermeasures,RemoveDelimiter(GetValuesIgnoreErrors(SanitizeInput($C12),Countermeasures!$A:$B," ",","&amp;CHAR(10),TRUE),","&amp;CHAR(10)),
_xlpm._assumptions,RemoveDelimiter(GetValuesIgnoreErrors(SanitizeInput($C12),Assumptions!$A:$AE," ",","&amp;CHAR(10),TRUE),","&amp;CHAR(10)),
_xlpm._delimiter,CHAR(10)&amp;REPT(CHAR(150),65)&amp;CHAR(10),
_xlpm._countermeasures&amp;IF(OR(_xlpm._countermeasures="",_xlpm._assumptions=""),"",_xlpm._delimiter)&amp;_xlpm._assumptions)</f>
        <v>C15 CR 3.5 – Input validation,
C24 CR 7.7 – Least functionality
–––––––––––––––––––––––––––––––––––––––––––––––––––––––––––––––––
A38 SDR 1.20 - Least privilege for provided credentials [Customer]</v>
      </c>
      <c r="E12" s="13" t="str" cm="1">
        <f t="array" aca="1" ref="E12" ca="1">RemoveDelimiter(InverseLookup($A12,'Risk Treatment'!$AF$4,'Risk Treatment'!$AG$4,1,10000,","&amp;CHAR(10)),","&amp;CHAR(10))</f>
        <v/>
      </c>
      <c r="F12" s="10"/>
      <c r="G12" s="10" cm="1">
        <f t="array" aca="1" ref="G12" ca="1">CreateID($G$2,$A12&lt;&gt;"")</f>
        <v>10</v>
      </c>
      <c r="H12" s="10" cm="1">
        <f t="array" ref="H12">CreateTaskID($H$2,$H:$H,Tasks!$B$17,$F12)</f>
        <v>0</v>
      </c>
    </row>
    <row r="13" spans="1:8" ht="45" x14ac:dyDescent="0.25">
      <c r="A13" s="10" t="s">
        <v>447</v>
      </c>
      <c r="B13" s="10" t="s">
        <v>472</v>
      </c>
      <c r="C13" s="13" t="str" cm="1">
        <f t="array" aca="1" ref="C13" ca="1">_xlfn.LET(
_xlpm._countermeasures,InverseLookup($A13,Countermeasures!$AF$2,Countermeasures!$A$2,1,Helper!$B$4,","),
_xlpm._assumptions,InverseLookup($A13,Assumptions!$AD$2,Assumptions!$A$2,1,Helper!$B$6,","),
_xlpm._indirectCountermeasures,InverseLookup($A13,Countermeasures!$AM$2,Countermeasures!$A$2,1,Helper!$B$4,","),
_xlpm._indirectAssumptions,InverseLookup($A13,Assumptions!$AJ$2,Assumptions!$A$2,1,Helper!$B$6,","),
_xlpm._sortedCountermeasures,SortList(_xlpm._countermeasures&amp;_xlpm._indirectCountermeasures,Countermeasures!$A:$U,Helper!$B$4,"",",",TRUE),
_xlpm._sortedAssumptions,SortList(_xlpm._assumptions&amp;_xlpm._indirectAssumptions,Assumptions!$A:$U,Helper!$B$6,"",",",TRUE),
SUBSTITUTE(RemoveDelimiter(_xlpm._sortedCountermeasures&amp;_xlpm._sortedAssumptions,","),",",", "))</f>
        <v>C15</v>
      </c>
      <c r="D13" s="25" t="str" cm="1">
        <f t="array" aca="1" ref="D13" ca="1">_xlfn.LET(
_xlpm._countermeasures,RemoveDelimiter(GetValuesIgnoreErrors(SanitizeInput($C13),Countermeasures!$A:$B," ",","&amp;CHAR(10),TRUE),","&amp;CHAR(10)),
_xlpm._assumptions,RemoveDelimiter(GetValuesIgnoreErrors(SanitizeInput($C13),Assumptions!$A:$AE," ",","&amp;CHAR(10),TRUE),","&amp;CHAR(10)),
_xlpm._delimiter,CHAR(10)&amp;REPT(CHAR(150),65)&amp;CHAR(10),
_xlpm._countermeasures&amp;IF(OR(_xlpm._countermeasures="",_xlpm._assumptions=""),"",_xlpm._delimiter)&amp;_xlpm._assumptions)</f>
        <v>C15 CR 3.5 – Input validation</v>
      </c>
      <c r="E13" s="13" t="str" cm="1">
        <f t="array" aca="1" ref="E13" ca="1">RemoveDelimiter(InverseLookup($A13,'Risk Treatment'!$AF$4,'Risk Treatment'!$AG$4,1,10000,","&amp;CHAR(10)),","&amp;CHAR(10))</f>
        <v/>
      </c>
      <c r="F13" s="10"/>
      <c r="G13" s="10" cm="1">
        <f t="array" aca="1" ref="G13" ca="1">CreateID($G$2,$A13&lt;&gt;"")</f>
        <v>11</v>
      </c>
      <c r="H13" s="10" cm="1">
        <f t="array" ref="H13">CreateTaskID($H$2,$H:$H,Tasks!$B$17,$F13)</f>
        <v>0</v>
      </c>
    </row>
    <row r="14" spans="1:8" ht="60" x14ac:dyDescent="0.25">
      <c r="A14" s="10" t="s">
        <v>1384</v>
      </c>
      <c r="B14" s="10" t="s">
        <v>1396</v>
      </c>
      <c r="C14" s="13" t="str" cm="1">
        <f t="array" aca="1" ref="C14" ca="1">_xlfn.LET(
_xlpm._countermeasures,InverseLookup($A14,Countermeasures!$AF$2,Countermeasures!$A$2,1,Helper!$B$4,","),
_xlpm._assumptions,InverseLookup($A14,Assumptions!$AD$2,Assumptions!$A$2,1,Helper!$B$6,","),
_xlpm._indirectCountermeasures,InverseLookup($A14,Countermeasures!$AM$2,Countermeasures!$A$2,1,Helper!$B$4,","),
_xlpm._indirectAssumptions,InverseLookup($A14,Assumptions!$AJ$2,Assumptions!$A$2,1,Helper!$B$6,","),
_xlpm._sortedCountermeasures,SortList(_xlpm._countermeasures&amp;_xlpm._indirectCountermeasures,Countermeasures!$A:$U,Helper!$B$4,"",",",TRUE),
_xlpm._sortedAssumptions,SortList(_xlpm._assumptions&amp;_xlpm._indirectAssumptions,Assumptions!$A:$U,Helper!$B$6,"",",",TRUE),
SUBSTITUTE(RemoveDelimiter(_xlpm._sortedCountermeasures&amp;_xlpm._sortedAssumptions,","),",",", "))</f>
        <v/>
      </c>
      <c r="D14" s="25" t="str" cm="1">
        <f t="array" aca="1" ref="D14" ca="1">_xlfn.LET(
_xlpm._countermeasures,RemoveDelimiter(GetValuesIgnoreErrors(SanitizeInput($C14),Countermeasures!$A:$B," ",","&amp;CHAR(10),TRUE),","&amp;CHAR(10)),
_xlpm._assumptions,RemoveDelimiter(GetValuesIgnoreErrors(SanitizeInput($C14),Assumptions!$A:$AE," ",","&amp;CHAR(10),TRUE),","&amp;CHAR(10)),
_xlpm._delimiter,CHAR(10)&amp;REPT(CHAR(150),65)&amp;CHAR(10),
_xlpm._countermeasures&amp;IF(OR(_xlpm._countermeasures="",_xlpm._assumptions=""),"",_xlpm._delimiter)&amp;_xlpm._assumptions)</f>
        <v/>
      </c>
      <c r="E14" s="13" t="str" cm="1">
        <f t="array" aca="1" ref="E14" ca="1">RemoveDelimiter(InverseLookup($A14,'Risk Treatment'!$AF$4,'Risk Treatment'!$AG$4,1,10000,","&amp;CHAR(10)),","&amp;CHAR(10))</f>
        <v/>
      </c>
      <c r="F14" s="10"/>
      <c r="G14" s="10" cm="1">
        <f t="array" aca="1" ref="G14" ca="1">CreateID($G$2,$A14&lt;&gt;"")</f>
        <v>12</v>
      </c>
      <c r="H14" s="10" cm="1">
        <f t="array" ref="H14">CreateTaskID($H$2,$H:$H,Tasks!$B$17,$F14)</f>
        <v>0</v>
      </c>
    </row>
    <row r="15" spans="1:8" ht="60" x14ac:dyDescent="0.25">
      <c r="A15" s="10" t="s">
        <v>1385</v>
      </c>
      <c r="B15" s="10" t="s">
        <v>1386</v>
      </c>
      <c r="C15" s="13" t="str" cm="1">
        <f t="array" aca="1" ref="C15" ca="1">_xlfn.LET(
_xlpm._countermeasures,InverseLookup($A15,Countermeasures!$AF$2,Countermeasures!$A$2,1,Helper!$B$4,","),
_xlpm._assumptions,InverseLookup($A15,Assumptions!$AD$2,Assumptions!$A$2,1,Helper!$B$6,","),
_xlpm._indirectCountermeasures,InverseLookup($A15,Countermeasures!$AM$2,Countermeasures!$A$2,1,Helper!$B$4,","),
_xlpm._indirectAssumptions,InverseLookup($A15,Assumptions!$AJ$2,Assumptions!$A$2,1,Helper!$B$6,","),
_xlpm._sortedCountermeasures,SortList(_xlpm._countermeasures&amp;_xlpm._indirectCountermeasures,Countermeasures!$A:$U,Helper!$B$4,"",",",TRUE),
_xlpm._sortedAssumptions,SortList(_xlpm._assumptions&amp;_xlpm._indirectAssumptions,Assumptions!$A:$U,Helper!$B$6,"",",",TRUE),
SUBSTITUTE(RemoveDelimiter(_xlpm._sortedCountermeasures&amp;_xlpm._sortedAssumptions,","),",",", "))</f>
        <v/>
      </c>
      <c r="D15" s="25" t="str" cm="1">
        <f t="array" aca="1" ref="D15" ca="1">_xlfn.LET(
_xlpm._countermeasures,RemoveDelimiter(GetValuesIgnoreErrors(SanitizeInput($C15),Countermeasures!$A:$B," ",","&amp;CHAR(10),TRUE),","&amp;CHAR(10)),
_xlpm._assumptions,RemoveDelimiter(GetValuesIgnoreErrors(SanitizeInput($C15),Assumptions!$A:$AE," ",","&amp;CHAR(10),TRUE),","&amp;CHAR(10)),
_xlpm._delimiter,CHAR(10)&amp;REPT(CHAR(150),65)&amp;CHAR(10),
_xlpm._countermeasures&amp;IF(OR(_xlpm._countermeasures="",_xlpm._assumptions=""),"",_xlpm._delimiter)&amp;_xlpm._assumptions)</f>
        <v/>
      </c>
      <c r="E15" s="13" t="str" cm="1">
        <f t="array" aca="1" ref="E15" ca="1">RemoveDelimiter(InverseLookup($A15,'Risk Treatment'!$AF$4,'Risk Treatment'!$AG$4,1,10000,","&amp;CHAR(10)),","&amp;CHAR(10))</f>
        <v/>
      </c>
      <c r="F15" s="10"/>
      <c r="G15" s="10" cm="1">
        <f t="array" aca="1" ref="G15" ca="1">CreateID($G$2,$A15&lt;&gt;"")</f>
        <v>13</v>
      </c>
      <c r="H15" s="10" cm="1">
        <f t="array" ref="H15">CreateTaskID($H$2,$H:$H,Tasks!$B$17,$F15)</f>
        <v>0</v>
      </c>
    </row>
  </sheetData>
  <pageMargins left="0.7" right="0.7" top="0.75" bottom="0.75" header="0.3" footer="0.3"/>
  <pageSetup paperSize="9" scale="51" fitToHeight="0"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1" id="{BA12B5EA-8195-40D5-9E8D-B9B8FFDCC98F}">
            <xm:f>IFERROR(FIND(Tasks!$B$17,F2)&gt;0,FALSE)</xm:f>
            <x14:dxf>
              <font>
                <b/>
                <i val="0"/>
                <color rgb="FF99FFCC"/>
              </font>
            </x14:dxf>
          </x14:cfRule>
          <xm:sqref>F2:F1048576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15E6A-5FFD-4600-A3C1-F71A7DD7417F}">
  <sheetPr>
    <tabColor theme="1" tint="0.14999847407452621"/>
  </sheetPr>
  <dimension ref="A1:AF6"/>
  <sheetViews>
    <sheetView workbookViewId="0">
      <pane xSplit="3" ySplit="5" topLeftCell="D6" activePane="bottomRight" state="frozen"/>
      <selection pane="topRight" activeCell="E1" sqref="E1"/>
      <selection pane="bottomLeft" activeCell="A5" sqref="A5"/>
      <selection pane="bottomRight" activeCell="C1" sqref="C1"/>
    </sheetView>
  </sheetViews>
  <sheetFormatPr defaultColWidth="9.140625" defaultRowHeight="15" outlineLevelCol="1" x14ac:dyDescent="0.25"/>
  <cols>
    <col min="1" max="1" width="4.7109375" style="80" customWidth="1"/>
    <col min="2" max="2" width="15.7109375" style="4" customWidth="1"/>
    <col min="3" max="3" width="60.7109375" style="4" customWidth="1"/>
    <col min="4" max="4" width="60.7109375" style="4" customWidth="1" outlineLevel="1"/>
    <col min="5" max="5" width="15.7109375" style="4" customWidth="1"/>
    <col min="6" max="6" width="35.7109375" style="4" customWidth="1" outlineLevel="1"/>
    <col min="7" max="7" width="15.7109375" style="4" customWidth="1"/>
    <col min="8" max="8" width="45.7109375" style="4" customWidth="1"/>
    <col min="9" max="9" width="15.7109375" style="4" customWidth="1"/>
    <col min="10" max="10" width="45.7109375" style="4" customWidth="1"/>
    <col min="11" max="11" width="60.7109375" style="4" customWidth="1" outlineLevel="1"/>
    <col min="12" max="12" width="15.7109375" style="4" customWidth="1"/>
    <col min="13" max="13" width="35.7109375" style="4" customWidth="1" outlineLevel="1"/>
    <col min="14" max="18" width="15.7109375" style="4" customWidth="1"/>
    <col min="19" max="19" width="60.7109375" style="4" customWidth="1"/>
    <col min="20" max="20" width="45.7109375" style="4" customWidth="1"/>
    <col min="21" max="21" width="12.5703125" style="2" hidden="1" customWidth="1"/>
    <col min="22" max="22" width="9.140625" style="2" hidden="1" customWidth="1"/>
    <col min="23" max="23" width="15" style="2" hidden="1" customWidth="1"/>
    <col min="24" max="24" width="24.7109375" style="2" hidden="1" customWidth="1"/>
    <col min="25" max="25" width="20.85546875" style="2" hidden="1" customWidth="1"/>
    <col min="26" max="26" width="17.28515625" style="2" hidden="1" customWidth="1"/>
    <col min="27" max="27" width="23" style="2" hidden="1" customWidth="1"/>
    <col min="28" max="28" width="26.85546875" style="2" hidden="1" customWidth="1"/>
    <col min="29" max="29" width="9.140625" style="2" hidden="1" customWidth="1"/>
    <col min="30" max="30" width="34.140625" style="2" hidden="1" customWidth="1"/>
    <col min="31" max="31" width="19.140625" style="2" hidden="1" customWidth="1"/>
    <col min="32" max="32" width="10.42578125" style="2" hidden="1" customWidth="1"/>
    <col min="33" max="16384" width="9.140625" style="2"/>
  </cols>
  <sheetData>
    <row r="1" spans="1:32" x14ac:dyDescent="0.25">
      <c r="A1" s="80" t="str" cm="1">
        <f t="array" aca="1" ref="A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HYPERLINK("#'"&amp;Helper!$G$2&amp;"'!"&amp;CHAR(CODE("A")+COLUMN(_xlpm._columnNameHeader)-1)&amp;_xlpm._entryOffset,Definitions!$AY$4)))(Helper!$G$21,B1,README!$E:$E,README!$I$35,README!$B$35)</f>
        <v>◈</v>
      </c>
      <c r="B1" s="87" t="s">
        <v>1256</v>
      </c>
      <c r="C1" s="86"/>
    </row>
    <row r="2" spans="1:32" ht="30" x14ac:dyDescent="0.25">
      <c r="A2" s="80" t="str" cm="1">
        <f t="array" aca="1" ref="A2"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HYPERLINK("#'"&amp;Helper!$G$2&amp;"'!"&amp;CHAR(CODE("A")+COLUMN(_xlpm._columnNameHeader)-1)&amp;_xlpm._entryOffset,Definitions!$AY$4)))(Helper!$G$21,B2,README!$E:$E,README!$I$35,README!$B$35)</f>
        <v>◈</v>
      </c>
      <c r="B2" s="88" t="s">
        <v>1255</v>
      </c>
      <c r="C2" s="89" t="str" cm="1">
        <f t="array" aca="1" ref="C2" ca="1">RemoveDelimiter(FilterElementsFromList(Helper!$J$3,Helper!$J$4,FALSE,", "),", ")</f>
        <v>A21, A30, A34, A38, C0, DR1, C13, C15, C24, C33, C34</v>
      </c>
    </row>
    <row r="3" spans="1:32" x14ac:dyDescent="0.25">
      <c r="A3" s="80" t="str" cm="1">
        <f t="array" aca="1" ref="A3"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HYPERLINK("#'"&amp;Helper!$G$2&amp;"'!"&amp;CHAR(CODE("A")+COLUMN(_xlpm._columnNameHeader)-1)&amp;_xlpm._entryOffset,Definitions!$AY$4)))(Helper!$G$21,B3,README!$E:$E,README!$I$35,README!$B$35)</f>
        <v>◈</v>
      </c>
      <c r="B3" s="87" t="s">
        <v>1217</v>
      </c>
      <c r="C3" s="86"/>
    </row>
    <row r="4" spans="1:32" s="80" customFormat="1" x14ac:dyDescent="0.25">
      <c r="B4" s="79" t="str" cm="1">
        <f t="array" aca="1" ref="B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HYPERLINK("#'"&amp;Helper!$G$2&amp;"'!"&amp;CHAR(CODE("A")+COLUMN(_xlpm._columnNameHeader)-1)&amp;_xlpm._entryOffset,Definitions!$AY$4)))(Helper!$G$21,B$5,README!$E:$E,README!$I$35,README!$B$35)</f>
        <v>◈</v>
      </c>
      <c r="C4" s="79" t="str" cm="1">
        <f t="array" aca="1" ref="C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HYPERLINK("#'"&amp;Helper!$G$2&amp;"'!"&amp;CHAR(CODE("A")+COLUMN(_xlpm._columnNameHeader)-1)&amp;_xlpm._entryOffset,Definitions!$AY$4)))(Helper!$G$21,C$5,README!$E:$E,README!$I$35,README!$B$35)</f>
        <v>◈</v>
      </c>
      <c r="D4" s="79" t="str" cm="1">
        <f t="array" aca="1" ref="D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HYPERLINK("#'"&amp;Helper!$G$2&amp;"'!"&amp;CHAR(CODE("A")+COLUMN(_xlpm._columnNameHeader)-1)&amp;_xlpm._entryOffset,Definitions!$AY$4)))(Helper!$G$21,D$5,README!$E:$E,README!$I$35,README!$B$35)</f>
        <v>◈</v>
      </c>
      <c r="E4" s="79" t="str" cm="1">
        <f t="array" aca="1" ref="E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HYPERLINK("#'"&amp;Helper!$G$2&amp;"'!"&amp;CHAR(CODE("A")+COLUMN(_xlpm._columnNameHeader)-1)&amp;_xlpm._entryOffset,Definitions!$AY$4)))(Helper!$G$21,E$5,README!$E:$E,README!$I$35,README!$B$35)</f>
        <v>◈</v>
      </c>
      <c r="F4" s="79" t="str" cm="1">
        <f t="array" aca="1" ref="F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HYPERLINK("#'"&amp;Helper!$G$2&amp;"'!"&amp;CHAR(CODE("A")+COLUMN(_xlpm._columnNameHeader)-1)&amp;_xlpm._entryOffset,Definitions!$AY$4)))(Helper!$G$21,F$5,README!$E:$E,README!$I$35,README!$B$35)</f>
        <v>◈</v>
      </c>
      <c r="G4" s="79" t="str" cm="1">
        <f t="array" aca="1" ref="G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HYPERLINK("#'"&amp;Helper!$G$2&amp;"'!"&amp;CHAR(CODE("A")+COLUMN(_xlpm._columnNameHeader)-1)&amp;_xlpm._entryOffset,Definitions!$AY$4)))(Helper!$G$21,G$5,README!$E:$E,README!$I$35,README!$B$35)</f>
        <v>◈</v>
      </c>
      <c r="H4" s="79" t="str" cm="1">
        <f t="array" aca="1" ref="H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HYPERLINK("#'"&amp;Helper!$G$2&amp;"'!"&amp;CHAR(CODE("A")+COLUMN(_xlpm._columnNameHeader)-1)&amp;_xlpm._entryOffset,Definitions!$AY$4)))(Helper!$G$21,H$5,README!$E:$E,README!$I$35,README!$B$35)</f>
        <v>◈</v>
      </c>
      <c r="I4" s="79" t="str" cm="1">
        <f t="array" aca="1" ref="I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HYPERLINK("#'"&amp;Helper!$G$2&amp;"'!"&amp;CHAR(CODE("A")+COLUMN(_xlpm._columnNameHeader)-1)&amp;_xlpm._entryOffset,Definitions!$AY$4)))(Helper!$G$21,I$5,README!$E:$E,README!$I$35,README!$B$35)</f>
        <v>◈</v>
      </c>
      <c r="J4" s="79" t="str" cm="1">
        <f t="array" aca="1" ref="J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HYPERLINK("#'"&amp;Helper!$G$2&amp;"'!"&amp;CHAR(CODE("A")+COLUMN(_xlpm._columnNameHeader)-1)&amp;_xlpm._entryOffset,Definitions!$AY$4)))(Helper!$G$21,J$5,README!$E:$E,README!$I$35,README!$B$35)</f>
        <v>◈</v>
      </c>
      <c r="K4" s="79" t="str" cm="1">
        <f t="array" aca="1" ref="K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HYPERLINK("#'"&amp;Helper!$G$2&amp;"'!"&amp;CHAR(CODE("A")+COLUMN(_xlpm._columnNameHeader)-1)&amp;_xlpm._entryOffset,Definitions!$AY$4)))(Helper!$G$21,K$5,README!$E:$E,README!$I$35,README!$B$35)</f>
        <v>◈</v>
      </c>
      <c r="L4" s="79" t="str" cm="1">
        <f t="array" aca="1" ref="L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HYPERLINK("#'"&amp;Helper!$G$2&amp;"'!"&amp;CHAR(CODE("A")+COLUMN(_xlpm._columnNameHeader)-1)&amp;_xlpm._entryOffset,Definitions!$AY$4)))(Helper!$G$21,L$5,README!$E:$E,README!$I$35,README!$B$35)</f>
        <v>◈</v>
      </c>
      <c r="M4" s="79" t="str" cm="1">
        <f t="array" aca="1" ref="M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HYPERLINK("#'"&amp;Helper!$G$2&amp;"'!"&amp;CHAR(CODE("A")+COLUMN(_xlpm._columnNameHeader)-1)&amp;_xlpm._entryOffset,Definitions!$AY$4)))(Helper!$G$21,M$5,README!$E:$E,README!$I$35,README!$B$35)</f>
        <v>◈</v>
      </c>
      <c r="N4" s="79" t="str" cm="1">
        <f t="array" aca="1" ref="N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HYPERLINK("#'"&amp;Helper!$G$2&amp;"'!"&amp;CHAR(CODE("A")+COLUMN(_xlpm._columnNameHeader)-1)&amp;_xlpm._entryOffset,Definitions!$AY$4)))(Helper!$G$21,N$5,README!$E:$E,README!$I$35,README!$B$35)</f>
        <v>◈</v>
      </c>
      <c r="O4" s="79" t="str" cm="1">
        <f t="array" aca="1" ref="O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HYPERLINK("#'"&amp;Helper!$G$2&amp;"'!"&amp;CHAR(CODE("A")+COLUMN(_xlpm._columnNameHeader)-1)&amp;_xlpm._entryOffset,Definitions!$AY$4)))(Helper!$G$21,O$5,README!$E:$E,README!$I$35,README!$B$35)</f>
        <v>◈</v>
      </c>
      <c r="P4" s="79" t="str" cm="1">
        <f t="array" aca="1" ref="P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HYPERLINK("#'"&amp;Helper!$G$2&amp;"'!"&amp;CHAR(CODE("A")+COLUMN(_xlpm._columnNameHeader)-1)&amp;_xlpm._entryOffset,Definitions!$AY$4)))(Helper!$G$21,P$5,README!$E:$E,README!$I$35,README!$B$35)</f>
        <v>◈</v>
      </c>
      <c r="Q4" s="79" t="str" cm="1">
        <f t="array" aca="1" ref="Q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HYPERLINK("#'"&amp;Helper!$G$2&amp;"'!"&amp;CHAR(CODE("A")+COLUMN(_xlpm._columnNameHeader)-1)&amp;_xlpm._entryOffset,Definitions!$AY$4)))(Helper!$G$21,Q$5,README!$E:$E,README!$I$35,README!$B$35)</f>
        <v>◈</v>
      </c>
      <c r="R4" s="79" t="str" cm="1">
        <f t="array" aca="1" ref="R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HYPERLINK("#'"&amp;Helper!$G$2&amp;"'!"&amp;CHAR(CODE("A")+COLUMN(_xlpm._columnNameHeader)-1)&amp;_xlpm._entryOffset,Definitions!$AY$4)))(Helper!$G$21,R$5,README!$E:$E,README!$I$35,README!$B$35)</f>
        <v>◈</v>
      </c>
      <c r="S4" s="79" t="str" cm="1">
        <f t="array" aca="1" ref="S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HYPERLINK("#'"&amp;Helper!$G$2&amp;"'!"&amp;CHAR(CODE("A")+COLUMN(_xlpm._columnNameHeader)-1)&amp;_xlpm._entryOffset,Definitions!$AY$4)))(Helper!$G$21,S$5,README!$E:$E,README!$I$35,README!$B$35)</f>
        <v>◈</v>
      </c>
      <c r="T4" s="79" t="str" cm="1">
        <f t="array" aca="1" ref="T4"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HYPERLINK("#'"&amp;Helper!$G$2&amp;"'!"&amp;CHAR(CODE("A")+COLUMN(_xlpm._columnNameHeader)-1)&amp;_xlpm._entryOffset,Definitions!$AY$4)))(Helper!$G$21,T$5,README!$E:$E,README!$I$35,README!$B$35)</f>
        <v>◈</v>
      </c>
    </row>
    <row r="5" spans="1:32" ht="30" x14ac:dyDescent="0.25">
      <c r="B5" s="13" t="s">
        <v>147</v>
      </c>
      <c r="C5" s="13" t="s">
        <v>76</v>
      </c>
      <c r="D5" s="13" t="s">
        <v>128</v>
      </c>
      <c r="E5" s="13" t="s">
        <v>158</v>
      </c>
      <c r="F5" s="13" t="s">
        <v>423</v>
      </c>
      <c r="G5" s="13" t="s">
        <v>159</v>
      </c>
      <c r="H5" s="13" t="s">
        <v>1214</v>
      </c>
      <c r="I5" s="13" t="s">
        <v>1215</v>
      </c>
      <c r="J5" s="13" t="s">
        <v>1216</v>
      </c>
      <c r="K5" s="13" t="s">
        <v>366</v>
      </c>
      <c r="L5" s="13" t="s">
        <v>364</v>
      </c>
      <c r="M5" s="13" t="s">
        <v>422</v>
      </c>
      <c r="N5" s="13" t="s">
        <v>363</v>
      </c>
      <c r="O5" s="13" t="s">
        <v>414</v>
      </c>
      <c r="P5" s="13" t="s">
        <v>372</v>
      </c>
      <c r="Q5" s="10" t="s">
        <v>373</v>
      </c>
      <c r="R5" s="13" t="s">
        <v>374</v>
      </c>
      <c r="S5" s="10" t="s">
        <v>375</v>
      </c>
      <c r="T5" s="10" t="s">
        <v>2</v>
      </c>
      <c r="U5" s="9" t="s">
        <v>47</v>
      </c>
      <c r="V5" s="9" t="s">
        <v>196</v>
      </c>
      <c r="W5" s="9" t="s">
        <v>1232</v>
      </c>
      <c r="X5" s="9" t="s">
        <v>1249</v>
      </c>
      <c r="Y5" s="9" t="s">
        <v>1235</v>
      </c>
      <c r="Z5" s="9" t="s">
        <v>1236</v>
      </c>
      <c r="AA5" s="9" t="s">
        <v>1237</v>
      </c>
      <c r="AB5" s="9" t="s">
        <v>1250</v>
      </c>
      <c r="AC5" s="9" t="s">
        <v>75</v>
      </c>
      <c r="AD5" s="9" t="s">
        <v>1099</v>
      </c>
      <c r="AE5" s="9" t="s">
        <v>1100</v>
      </c>
      <c r="AF5" s="9" t="s">
        <v>376</v>
      </c>
    </row>
    <row r="6" spans="1:32" x14ac:dyDescent="0.25">
      <c r="B6" s="13" t="str">
        <f ca="1">OFFSET(Risks!$A$2,ROW()-ROW($B$5),0)</f>
        <v/>
      </c>
      <c r="C6" s="13" t="str" cm="1">
        <f t="array" aca="1" ref="C6" ca="1">IF($B6="","",IFERROR(SimpleLookup($B6,'Risk Treatment'!$C:D),"Please ensure that all risks are covered in the "&amp;Helper!$G$14&amp;" sheet. Currently, these risks are not covered: "&amp;'Risk Treatment'!$D$2&amp;"."))</f>
        <v/>
      </c>
      <c r="D6" s="25" t="str" cm="1">
        <f t="array" aca="1" ref="D6" ca="1">IF($B6="","",IFERROR(SimpleLookup($B6,'Risk Treatment'!$C:K),"Please ensure that all risks are covered in the "&amp;Helper!$G$14&amp;" sheet. Currently, these risks are not covered: "&amp;'Risk Treatment'!$D$2&amp;"."))</f>
        <v/>
      </c>
      <c r="E6" s="13" t="str" cm="1">
        <f t="array" aca="1" ref="E6" ca="1">IF($B6="","",IFERROR(SimpleLookup($B6,'Risk Treatment'!$C:L),"Please ensure that all risks are covered in the "&amp;Helper!$G$14&amp;" sheet. Currently, these risks are not covered: "&amp;'Risk Treatment'!$D$2&amp;"."))</f>
        <v/>
      </c>
      <c r="F6" s="16" t="str" cm="1">
        <f t="array" aca="1" ref="F6" ca="1">IF($B6="","",IFERROR(SimpleLookup($B6,'Risk Treatment'!$C:M),"Please ensure that all risks are covered in the "&amp;Helper!$G$14&amp;" sheet. Currently, these risks are not covered: "&amp;'Risk Treatment'!$D$2&amp;"."))</f>
        <v/>
      </c>
      <c r="G6" s="13" t="str" cm="1">
        <f t="array" aca="1" ref="G6" ca="1">IF($B6="","",IFERROR(SimpleLookup($B6,'Risk Treatment'!$C:N),"Please ensure that all risks are covered in the "&amp;Helper!$G$14&amp;" sheet. Currently, these risks are not covered: "&amp;'Risk Treatment'!$D$2&amp;"."))</f>
        <v/>
      </c>
      <c r="H6" s="13" t="str" cm="1">
        <f t="array" aca="1" ref="H6" ca="1">IF($B6="","",IFERROR(SimpleLookup($B6,'Risk Treatment'!$C:J),"Please ensure that all risks are covered in the "&amp;Helper!$G$14&amp;" sheet. Currently, these risks are not covered: "&amp;'Risk Treatment'!$D$2&amp;"."))</f>
        <v/>
      </c>
      <c r="I6" s="13" t="str" cm="1">
        <f t="array" aca="1" ref="I6" ca="1">IF($B6="","",IFERROR(SimpleLookup($B6,'Risk Treatment'!$C:O),"Please ensure that all risks are covered in the "&amp;Helper!$G$14&amp;" sheet. Currently, these risks are not covered: "&amp;'Risk Treatment'!$D$2&amp;"."))</f>
        <v/>
      </c>
      <c r="J6" s="13" t="str" cm="1">
        <f t="array" aca="1" ref="J6" ca="1">_xlfn.LET(
_xlpm._assignedMitigations,IF($B6="","",IFERROR(RemoveDelimiter(GetValuesWithFallback($Z6,Countermeasures!$A:$B,Assumptions!$A:$B," ",","&amp;CHAR(10),TRUE),","&amp;CHAR(10)),"Error: Unknown risk ID "&amp;$B6)),
_xlpm._inlineMitigations,$AE6,
_xlpm._assignedMitigations&amp;
IF(OR(_xlpm._assignedMitigations="",_xlpm._inlineMitigations=""),"",","&amp;CHAR(10))&amp;
_xlpm._inlineMitigations)</f>
        <v/>
      </c>
      <c r="K6" s="25" t="str" cm="1">
        <f t="array" aca="1" ref="K6" ca="1">IF($AC6=-1,"",RemoveDelimiter(GetValues(INDEX(Risks!AJ:AJ,$AC6),'DS Overview'!$A:$B," ",","&amp;CHAR(10),TRUE),","&amp;CHAR(10)))</f>
        <v/>
      </c>
      <c r="L6" s="13" t="str" cm="1">
        <f t="array" aca="1" ref="L6" ca="1">IF($AC6=-1,"",INDEX(Risks!AL:AL,$AC6))</f>
        <v/>
      </c>
      <c r="M6" s="16" t="str" cm="1">
        <f t="array" aca="1" ref="M6" ca="1">_xlfn.LET(
_xlpm._calculatedRAP,IFERROR(SimpleLookup($B6,Risks!$A:$AC),""),
_xlpm._inlineRAP,IFERROR(SimpleLookup($B6,Risks!$A:$AD),""),
_xlpm._calculatedValue,IFERROR(MATCH(_xlpm._calculatedRAP,Definitions!$W:$W,0),0),
_xlpm._inlineValue,IFERROR(MATCH(_xlpm._inlineRAP,Definitions!$W:$W,0),0),
_xlpm._mitigationSheetAddress,CELL("address",Mitigation!$A$2),
_xlpm._sheetNameStart,FIND("]",_xlpm._mitigationSheetAddress),
_xlpm._sheetNameEnd,FIND("!",_xlpm._mitigationSheetAddress),
_xlpm._mitigationSheetName,SUBSTITUTE(MID(_xlpm._mitigationSheetAddress,_xlpm._sheetNameStart+1,_xlpm._sheetNameEnd-_xlpm._sheetNameStart-1),"'",""),
IF(_xlpm._calculatedValue+_xlpm._inlineValue=0,"",
IF(_xlpm._calculatedValue&gt;=_xlpm._inlineValue,$AD6,
_xlpm._mitigationSheetName&amp;" sheet "&amp;_xlfn.UNICHAR(8702)&amp;" Comment column:"&amp;CHAR(10)&amp;$AE6)))</f>
        <v/>
      </c>
      <c r="N6" s="13" t="str" cm="1">
        <f t="array" aca="1" ref="N6" ca="1">IF($AC6=-1,"",INDEX(Risks!AP:AP,$AC6))</f>
        <v>Basic</v>
      </c>
      <c r="O6" s="13" t="str" cm="1">
        <f t="array" aca="1" ref="O6" ca="1">IF($AC6=-1,"",INDEX(Risks!AQ:AQ,$AC6))</f>
        <v>No Risk</v>
      </c>
      <c r="P6" s="13" t="str">
        <f ca="1">IF($C6="","",IF($AF6&lt;=Definitions!$AF$6,Definitions!$M$4,""))</f>
        <v/>
      </c>
      <c r="Q6" s="10"/>
      <c r="R6" s="13" t="str">
        <f t="shared" ref="R6" ca="1" si="0">IF($Q6="",$P6,$Q6)</f>
        <v/>
      </c>
      <c r="S6" s="10"/>
      <c r="T6" s="10"/>
      <c r="U6" s="9" cm="1">
        <f t="array" aca="1" ref="U6" ca="1">CreateID($U$5,B6&lt;&gt;"")</f>
        <v>0</v>
      </c>
      <c r="V6" s="9" cm="1">
        <f t="array" ref="V6">CreateTaskID($V$5,$V:$V,Tasks!$B$17,$T6)</f>
        <v>0</v>
      </c>
      <c r="W6" s="11" t="str" cm="1">
        <f t="array" aca="1" ref="W6" ca="1">IF($B6="","",SimpleLookup($B6,'Risk Treatment'!$C:$AW))</f>
        <v/>
      </c>
      <c r="X6" s="11" t="str" cm="1">
        <f t="array" aca="1" ref="X6" ca="1">IF($B6="","",_xlfn.LET(_xlpm._attackSteps,SimpleLookup($B6,'Risk Treatment'!$C:$Y),GetValues(_xlpm._attackSteps,Mitigation!$A:$AG,"",CHAR(1),FALSE)))</f>
        <v/>
      </c>
      <c r="Y6" s="11" t="str" cm="1">
        <f t="array" aca="1" ref="Y6" ca="1">_xlfn.LAMBDA(_xlpm._inlineMitigationString,_xlpm._delimiter,
IF(_xlpm._inlineMitigationString="","",
_xlfn.LET(
_xlpm._id,LEFT(_xlpm._inlineMitigationString,FIND(" ",_xlpm._inlineMitigationString)-1),
_xlpm._remainingString,RIGHT(_xlpm._inlineMitigationString,LEN(_xlpm._inlineMitigationString)-FIND(_xlpm._delimiter,_xlpm._inlineMitigationString)),
_xlpm._id&amp;","&amp;
ParseInlineMitigationString(_xlpm._remainingString,_xlpm._delimiter))))($X6,CHAR(1))</f>
        <v/>
      </c>
      <c r="Z6" s="11" t="str" cm="1">
        <f t="array" aca="1" ref="Z6" ca="1">FilterElementsFromList($W6,Helper!$J$4,TRUE,",")</f>
        <v/>
      </c>
      <c r="AA6" s="11" t="str" cm="1">
        <f t="array" aca="1" ref="AA6" ca="1">FilterElementsFromList($Y6,Helper!$J$4,TRUE,",")</f>
        <v/>
      </c>
      <c r="AB6" s="11" t="str" cm="1">
        <f t="array" aca="1" ref="AB6" ca="1">_xlfn.LAMBDA(_xlpm._inlineCandAString,_xlpm._confirmedCandAIDs,_xlpm._delimiterSearchString,_xlpm._delimiterResultString,
IF(_xlpm._inlineCandAString="","",_xlfn.LET(
_xlpm._delimiterPos,FIND(_xlpm._delimiterSearchString,_xlpm._inlineCandAString),
_xlpm._inlineCorA,LEFT(_xlpm._inlineCandAString,_xlpm._delimiterPos-1),
_xlpm._id,LEFT(_xlpm._inlineCorA,FIND(" ",_xlpm._inlineCorA)-1),
_xlpm._remainingString,RIGHT(_xlpm._inlineCandAString,LEN(_xlpm._inlineCandAString)-_xlpm._delimiterPos),
IF(IFERROR(FIND(","&amp;_xlpm._id&amp;",",_xlpm._confirmedCandAIDs)&gt;0,FALSE),"{"&amp;_xlpm._inlineCorA&amp;"}"&amp;_xlpm._delimiterResultString,"")&amp;
CreateConfirmedInlineMitigations(_xlpm._remainingString,_xlpm._confirmedCandAIDs,_xlpm._delimiterSearchString,_xlpm._delimiterResultString))))($X6,CreateSearchString($AA6),CHAR(1),","&amp;CHAR(10))</f>
        <v/>
      </c>
      <c r="AC6" s="11">
        <f ca="1">IFERROR(MATCH($B6,Risks!$A:$A,0),-1)</f>
        <v>3</v>
      </c>
      <c r="AD6" s="11" t="str" cm="1">
        <f t="array" aca="1" ref="AD6" ca="1">IF($B6="","",_xlfn.LET(
_xlpm._list,SimpleLookup($B6,Risks!$A:$K)&amp;SimpleLookup($B6,Risks!$A:$AH),
_xlpm._numberOfFactors,MAX(Definitions!$AB:$AB),
OperateOnRange(
  'Attack Steps'!$H$2,
  TRUE,
  _xlpm._numberOfFactors,
  0,
  _xlfn.LAMBDA(_xlpm._factorClass,_xlfn.LET(
    _xlpm._maxForFactor,OperateOnList(
      _xlpm._list,
      _xlfn.LAMBDA(_xlpm._element,_xlfn.LET(
        _xlpm._factorNum,COLUMN(_xlpm._factorClass)-COLUMN('Attack Steps'!$H$2),
        _xlpm._factorName,IFERROR(VLOOKUP(_xlpm._element,'Attack Steps'!$A:$L,COLUMNS('Attack Steps'!$A:$H)+_xlpm._factorNum,FALSE),
          IFERROR(VLOOKUP(_xlpm._element,Countermeasures!$A:$P,COLUMNS(Countermeasures!$A:$L)+_xlpm._factorNum,FALSE),
            VLOOKUP(_xlpm._element,Assumptions!$A:$P,COLUMNS(Assumptions!$A:$L)+_xlpm._factorNum,FALSE))),
        IF(_xlpm._factorName="",0,SimpleLookup(_xlpm._factorName,Definitions!$Z:$AA)))),
      _xlfn.LAMBDA(_xlpm._x,_xlpm._y,MAX(_xlpm._x,_xlpm._y))),
    _xlpm._elementsWithMaxFactor,FilterListByCriterion(_xlpm._list,_xlpm._maxForFactor,_xlfn.LAMBDA(_xlpm._element,_xlfn.LET(
      _xlpm._factorNum,COLUMN(_xlpm._factorClass)-COLUMN('Attack Steps'!$H$2),
      _xlpm._factorName,IFERROR(VLOOKUP(_xlpm._element,'Attack Steps'!$A:$L,COLUMNS('Attack Steps'!$A:$H)+_xlpm._factorNum,FALSE),
        IFERROR(VLOOKUP(_xlpm._element,Countermeasures!$A:$P,COLUMNS(Countermeasures!$A:$L)+_xlpm._factorNum,FALSE),
          VLOOKUP(_xlpm._element,Assumptions!$A:$P,COLUMNS(Assumptions!$A:$L)+_xlpm._factorNum,FALSE))),
      IF(_xlpm._factorName="",0,SimpleLookup(_xlpm._factorName,Definitions!$Z:$AA)))),
      _xlfn.LAMBDA(_xlpm._x,_xlpm._y,_xlpm._x=_xlpm._y),", "),
    _xlpm._factorClass&amp;" ["&amp;_xlpm._maxForFactor&amp;"]: "&amp;RemoveDelimiter(_xlpm._elementsWithMaxFactor,", "))),
  _xlfn.LAMBDA(_xlpm._x,_xlpm._y,_xlpm._x&amp;CHAR(10)&amp;_xlpm._y))))</f>
        <v/>
      </c>
      <c r="AE6" s="11" t="str" cm="1">
        <f t="array" aca="1" ref="AE6" ca="1">RemoveDelimiter(SUBSTITUTE(SUBSTITUTE($AB6,"{",""),"}",""),","&amp;CHAR(10))</f>
        <v/>
      </c>
      <c r="AF6" s="11" cm="1">
        <f t="array" aca="1" ref="AF6" ca="1">IF($O6="",0,SimpleLookup($O6,Definitions!$AE:$AF))</f>
        <v>0</v>
      </c>
    </row>
  </sheetData>
  <conditionalFormatting sqref="S1:S1048576">
    <cfRule type="expression" dxfId="26" priority="2">
      <formula>AND($Q1&lt;&gt;"",$S1="")</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423" id="{A0AE7825-4436-4A3C-9B74-E12469EE408E}">
            <xm:f>AND(ROW($B1)&gt;ROW($B$5),ROW($B1)-ROW($B$5)&lt;=Helper!$B$1,$B1="")</xm:f>
            <x14:dxf>
              <fill>
                <patternFill>
                  <bgColor rgb="FFFFB9B9"/>
                </patternFill>
              </fill>
            </x14:dxf>
          </x14:cfRule>
          <xm:sqref>B1:T1048576</xm:sqref>
        </x14:conditionalFormatting>
        <x14:conditionalFormatting xmlns:xm="http://schemas.microsoft.com/office/excel/2006/main">
          <x14:cfRule type="expression" priority="5" id="{51D82C85-4F0C-41C2-94AB-0B4AD0E7E005}">
            <xm:f>I1=Definitions!$AE$4</xm:f>
            <x14:dxf>
              <font>
                <color theme="3" tint="-0.499984740745262"/>
              </font>
              <fill>
                <patternFill>
                  <bgColor theme="3" tint="0.59996337778862885"/>
                </patternFill>
              </fill>
            </x14:dxf>
          </x14:cfRule>
          <x14:cfRule type="expression" priority="6" id="{5CBDFFAE-36F8-44BA-A37B-5F2B1238DCD7}">
            <xm:f>I1=Definitions!$AE$5</xm:f>
            <x14:dxf>
              <font>
                <color theme="1"/>
              </font>
              <fill>
                <patternFill>
                  <bgColor rgb="FF99FFCC"/>
                </patternFill>
              </fill>
            </x14:dxf>
          </x14:cfRule>
          <x14:cfRule type="expression" priority="7" id="{7813F2D9-D68D-4A61-9C16-2E42319EEF20}">
            <xm:f>I1=Definitions!$AE$6</xm:f>
            <x14:dxf>
              <font>
                <color theme="1"/>
              </font>
              <fill>
                <patternFill>
                  <bgColor rgb="FFCCFF33"/>
                </patternFill>
              </fill>
            </x14:dxf>
          </x14:cfRule>
          <x14:cfRule type="expression" priority="8" id="{2E09A6A2-C3EF-4509-B895-21191C77F968}">
            <xm:f>I1=Definitions!$AE$7</xm:f>
            <x14:dxf>
              <font>
                <color theme="1"/>
              </font>
              <fill>
                <patternFill>
                  <bgColor rgb="FFFFCC00"/>
                </patternFill>
              </fill>
            </x14:dxf>
          </x14:cfRule>
          <x14:cfRule type="expression" priority="9" id="{E80122AC-0E4D-44F4-82BA-7656024AA6A1}">
            <xm:f>I1=Definitions!$AE$8</xm:f>
            <x14:dxf>
              <font>
                <color theme="1"/>
              </font>
              <fill>
                <patternFill>
                  <bgColor rgb="FFFF3300"/>
                </patternFill>
              </fill>
            </x14:dxf>
          </x14:cfRule>
          <xm:sqref>I1:I1048576 O1:O1048576</xm:sqref>
        </x14:conditionalFormatting>
        <x14:conditionalFormatting xmlns:xm="http://schemas.microsoft.com/office/excel/2006/main">
          <x14:cfRule type="expression" priority="3" id="{29268026-C0CE-4083-BAF1-EED87ABFFF01}">
            <xm:f>AND($O1&lt;&gt;"",$Q1="",$P1&lt;&gt;Definitions!$M$4)</xm:f>
            <x14:dxf>
              <border>
                <left style="thin">
                  <color rgb="FFFFB9B9"/>
                </left>
                <right style="thin">
                  <color rgb="FFFFB9B9"/>
                </right>
                <top style="thin">
                  <color rgb="FFFFB9B9"/>
                </top>
                <bottom style="thin">
                  <color rgb="FFFFB9B9"/>
                </bottom>
                <vertical/>
                <horizontal/>
              </border>
            </x14:dxf>
          </x14:cfRule>
          <xm:sqref>Q1:Q1048576</xm:sqref>
        </x14:conditionalFormatting>
        <x14:conditionalFormatting xmlns:xm="http://schemas.microsoft.com/office/excel/2006/main">
          <x14:cfRule type="expression" priority="4" id="{83A99187-F159-4DAD-AD22-A04ED41FC8EE}">
            <xm:f>IFERROR(FIND(Tasks!$B$17,T1)&gt;0,FALSE)</xm:f>
            <x14:dxf>
              <font>
                <b/>
                <i val="0"/>
                <color rgb="FF99FFCC"/>
              </font>
            </x14:dxf>
          </x14:cfRule>
          <xm:sqref>T1:T1048576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6448D7F-7F40-49E1-AC66-DB9F77387CEF}">
          <x14:formula1>
            <xm:f>Definitions!$M$4:$M$7</xm:f>
          </x14:formula1>
          <xm:sqref>Q6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16375-2F51-4B8A-9942-370FFDD0D7A9}">
  <sheetPr>
    <tabColor theme="3"/>
  </sheetPr>
  <dimension ref="A1:L68"/>
  <sheetViews>
    <sheetView topLeftCell="A16" workbookViewId="0">
      <selection activeCell="B17" sqref="B17"/>
    </sheetView>
  </sheetViews>
  <sheetFormatPr defaultColWidth="9.140625" defaultRowHeight="15" x14ac:dyDescent="0.25"/>
  <cols>
    <col min="1" max="2" width="60.7109375" style="2" customWidth="1"/>
    <col min="3" max="4" width="60.7109375" style="2" hidden="1" customWidth="1"/>
    <col min="5" max="5" width="14" style="2" hidden="1" customWidth="1"/>
    <col min="6" max="6" width="12.42578125" style="2" hidden="1" customWidth="1"/>
    <col min="7" max="7" width="16" style="2" hidden="1" customWidth="1"/>
    <col min="8" max="8" width="19.5703125" style="2" hidden="1" customWidth="1"/>
    <col min="9" max="9" width="16.85546875" style="2" hidden="1" customWidth="1"/>
    <col min="10" max="10" width="18.140625" style="2" customWidth="1"/>
    <col min="11" max="11" width="22.7109375" style="2" customWidth="1"/>
    <col min="12" max="12" width="14" style="2" customWidth="1"/>
    <col min="13" max="16384" width="9.140625" style="2"/>
  </cols>
  <sheetData>
    <row r="1" spans="1:12" hidden="1" x14ac:dyDescent="0.25">
      <c r="A1" s="1" t="s">
        <v>197</v>
      </c>
      <c r="B1" s="1" t="s">
        <v>198</v>
      </c>
      <c r="C1" s="1" t="s">
        <v>199</v>
      </c>
      <c r="D1" s="1" t="s">
        <v>200</v>
      </c>
      <c r="E1" s="9" t="s">
        <v>201</v>
      </c>
      <c r="F1" s="9" t="s">
        <v>202</v>
      </c>
      <c r="G1" s="9" t="s">
        <v>203</v>
      </c>
      <c r="H1" s="9" t="s">
        <v>204</v>
      </c>
      <c r="I1" s="9" t="s">
        <v>205</v>
      </c>
      <c r="J1" s="9" t="s">
        <v>206</v>
      </c>
      <c r="K1" s="9" t="s">
        <v>208</v>
      </c>
      <c r="L1" s="9" t="s">
        <v>214</v>
      </c>
    </row>
    <row r="2" spans="1:12" hidden="1" x14ac:dyDescent="0.25">
      <c r="A2" s="2" t="str" cm="1">
        <f t="array" aca="1" ref="A2" ca="1">CELL("address",Questions!$A$3)</f>
        <v>'[QuBA-libre.xlsx]Questions'!$A$3</v>
      </c>
      <c r="B2" s="2" t="str" cm="1">
        <f t="array" aca="1" ref="B2" ca="1">CELL("address",Questions!$B$3)</f>
        <v>'[QuBA-libre.xlsx]Questions'!$B$3</v>
      </c>
      <c r="C2" s="2" t="str" cm="1">
        <f t="array" aca="1" ref="C2" ca="1">CELL("address",Questions!$N$3)</f>
        <v>'[QuBA-libre.xlsx]Questions'!$N$3</v>
      </c>
      <c r="D2" s="2" t="str" cm="1">
        <f t="array" aca="1" ref="D2" ca="1">CELL("address",Questions!$P$3)</f>
        <v>'[QuBA-libre.xlsx]Questions'!$P$3</v>
      </c>
      <c r="E2" s="9" t="str">
        <f ca="1">IF(A2="","",_xlfn.LET(
_xlpm._in,A2,
_xlpm._start,FIND("]",_xlpm._in)+1,
SUBSTITUTE(MID(_xlpm._in,_xlpm._start,FIND("!",_xlpm._in)-_xlpm._start),"'","")))</f>
        <v>Questions</v>
      </c>
      <c r="F2" s="9" t="str">
        <f ca="1">IF($E2="","",_xlfn.LET(
_xlpm._in,A2,
_xlpm._start,FIND("$",_xlpm._in)+1,
MID(_xlpm._in,_xlpm._start,FIND("$",SUBSTITUTE(_xlpm._in,"$","§",1))-_xlpm._start)))</f>
        <v>A</v>
      </c>
      <c r="G2" s="9" t="str">
        <f ca="1">IF($E2="","",_xlfn.LET(
_xlpm._in,B2,
_xlpm._start,FIND("$",_xlpm._in)+1,
MID(_xlpm._in,_xlpm._start,FIND("$",SUBSTITUTE(_xlpm._in,"$","§",1))-_xlpm._start)))</f>
        <v>B</v>
      </c>
      <c r="H2" s="9" t="str">
        <f ca="1">IF($E2="","",_xlfn.LET(
_xlpm._in,C2,
_xlpm._start,FIND("$",_xlpm._in)+1,
MID(_xlpm._in,_xlpm._start,FIND("$",SUBSTITUTE(_xlpm._in,"$","§",1))-_xlpm._start)))</f>
        <v>N</v>
      </c>
      <c r="I2" s="9" t="str">
        <f ca="1">IF($E2="","",_xlfn.LET(
_xlpm._in,D2,
_xlpm._start,FIND("$",_xlpm._in)+1,
MID(_xlpm._in,_xlpm._start,FIND("$",SUBSTITUTE(_xlpm._in,"$","§",1))-_xlpm._start)))</f>
        <v>P</v>
      </c>
      <c r="J2" s="9">
        <f ca="1">IF($E2="","",MAX(INDIRECT("'"&amp;$E2&amp;"'!"&amp;$I2&amp;":"&amp;$I2)))</f>
        <v>0</v>
      </c>
      <c r="K2" s="9" cm="1">
        <f t="array" aca="1" ref="K2" ca="1">CreateID($K$1,IF($J2="",FALSE,$J2&gt;0))</f>
        <v>0</v>
      </c>
      <c r="L2" s="9" t="str">
        <f ca="1">IF($A2="","",RIGHT($A2,LEN($A2)-FIND("$",SUBSTITUTE($A2,"$","§",1))))</f>
        <v>3</v>
      </c>
    </row>
    <row r="3" spans="1:12" hidden="1" x14ac:dyDescent="0.25">
      <c r="A3" s="2" t="str" cm="1">
        <f t="array" aca="1" ref="A3" ca="1">CELL("address",'Damage Scenarios'!$A$2)</f>
        <v>'[QuBA-libre.xlsx]Damage Scenarios'!$A$2</v>
      </c>
      <c r="B3" s="2" t="str" cm="1">
        <f t="array" aca="1" ref="B3" ca="1">CELL("address",'Damage Scenarios'!$J$2)</f>
        <v>'[QuBA-libre.xlsx]Damage Scenarios'!$J$2</v>
      </c>
      <c r="C3" s="2" t="str" cm="1">
        <f t="array" aca="1" ref="C3" ca="1">CELL("address",'Damage Scenarios'!$P$2)</f>
        <v>'[QuBA-libre.xlsx]Damage Scenarios'!$P$2</v>
      </c>
      <c r="D3" s="2" t="str" cm="1">
        <f t="array" aca="1" ref="D3" ca="1">CELL("address",'Damage Scenarios'!$R$2)</f>
        <v>'[QuBA-libre.xlsx]Damage Scenarios'!$R$2</v>
      </c>
      <c r="E3" s="9" t="str">
        <f t="shared" ref="E3:E15" ca="1" si="0">IF(A3="","",_xlfn.LET(
_xlpm._in,A3,
_xlpm._start,FIND("]",_xlpm._in)+1,
SUBSTITUTE(MID(_xlpm._in,_xlpm._start,FIND("!",_xlpm._in)-_xlpm._start),"'","")))</f>
        <v>Damage Scenarios</v>
      </c>
      <c r="F3" s="9" t="str">
        <f t="shared" ref="F3:F15" ca="1" si="1">IF($E3="","",_xlfn.LET(
_xlpm._in,A3,
_xlpm._start,FIND("$",_xlpm._in)+1,
MID(_xlpm._in,_xlpm._start,FIND("$",SUBSTITUTE(_xlpm._in,"$","§",1))-_xlpm._start)))</f>
        <v>A</v>
      </c>
      <c r="G3" s="9" t="str">
        <f t="shared" ref="G3:G15" ca="1" si="2">IF($E3="","",_xlfn.LET(
_xlpm._in,B3,
_xlpm._start,FIND("$",_xlpm._in)+1,
MID(_xlpm._in,_xlpm._start,FIND("$",SUBSTITUTE(_xlpm._in,"$","§",1))-_xlpm._start)))</f>
        <v>J</v>
      </c>
      <c r="H3" s="9" t="str">
        <f t="shared" ref="H3:H15" ca="1" si="3">IF($E3="","",_xlfn.LET(
_xlpm._in,C3,
_xlpm._start,FIND("$",_xlpm._in)+1,
MID(_xlpm._in,_xlpm._start,FIND("$",SUBSTITUTE(_xlpm._in,"$","§",1))-_xlpm._start)))</f>
        <v>P</v>
      </c>
      <c r="I3" s="9" t="str">
        <f t="shared" ref="I3:I15" ca="1" si="4">IF($E3="","",_xlfn.LET(
_xlpm._in,D3,
_xlpm._start,FIND("$",_xlpm._in)+1,
MID(_xlpm._in,_xlpm._start,FIND("$",SUBSTITUTE(_xlpm._in,"$","§",1))-_xlpm._start)))</f>
        <v>R</v>
      </c>
      <c r="J3" s="9">
        <f t="shared" ref="J3:J15" ca="1" si="5">IF($E3="","",MAX(INDIRECT("'"&amp;$E3&amp;"'!"&amp;$I3&amp;":"&amp;$I3)))</f>
        <v>0</v>
      </c>
      <c r="K3" s="9" cm="1">
        <f t="array" aca="1" ref="K3" ca="1">CreateID($K$1,IF($J3="",FALSE,$J3&gt;0))</f>
        <v>0</v>
      </c>
      <c r="L3" s="9" t="str">
        <f t="shared" ref="L3:L15" ca="1" si="6">IF($A3="","",RIGHT($A3,LEN($A3)-FIND("$",SUBSTITUTE($A3,"$","§",1))))</f>
        <v>2</v>
      </c>
    </row>
    <row r="4" spans="1:12" hidden="1" x14ac:dyDescent="0.25">
      <c r="A4" s="2" t="str" cm="1">
        <f t="array" aca="1" ref="A4" ca="1">CELL("address",'Attack Steps'!A$2)</f>
        <v>'[QuBA-libre.xlsx]Attack Steps'!$A$2</v>
      </c>
      <c r="B4" s="2" t="str" cm="1">
        <f t="array" aca="1" ref="B4" ca="1">CELL("address",'Attack Steps'!B$2)</f>
        <v>'[QuBA-libre.xlsx]Attack Steps'!$B$2</v>
      </c>
      <c r="C4" s="2" t="str" cm="1">
        <f t="array" aca="1" ref="C4" ca="1">CELL("address",'Attack Steps'!Q$2)</f>
        <v>'[QuBA-libre.xlsx]Attack Steps'!$Q$2</v>
      </c>
      <c r="D4" s="2" t="str" cm="1">
        <f t="array" aca="1" ref="D4" ca="1">CELL("address",'Attack Steps'!Z$2)</f>
        <v>'[QuBA-libre.xlsx]Attack Steps'!$Z$2</v>
      </c>
      <c r="E4" s="9" t="str">
        <f ca="1">IF(A4="","",_xlfn.LET(
_xlpm._in,A4,
_xlpm._start,FIND("]",_xlpm._in)+1,
SUBSTITUTE(MID(_xlpm._in,_xlpm._start,FIND("!",_xlpm._in)-_xlpm._start),"'","")))</f>
        <v>Attack Steps</v>
      </c>
      <c r="F4" s="9" t="str">
        <f t="shared" ca="1" si="1"/>
        <v>A</v>
      </c>
      <c r="G4" s="9" t="str">
        <f t="shared" ca="1" si="2"/>
        <v>B</v>
      </c>
      <c r="H4" s="9" t="str">
        <f t="shared" ca="1" si="3"/>
        <v>Q</v>
      </c>
      <c r="I4" s="9" t="str">
        <f t="shared" ca="1" si="4"/>
        <v>Z</v>
      </c>
      <c r="J4" s="9">
        <f ca="1">IF($E4="","",MAX(INDIRECT("'"&amp;$E4&amp;"'!"&amp;$I4&amp;":"&amp;$I4)))</f>
        <v>0</v>
      </c>
      <c r="K4" s="9" cm="1">
        <f t="array" aca="1" ref="K4" ca="1">CreateID($K$1,IF($J4="",FALSE,$J4&gt;0))</f>
        <v>0</v>
      </c>
      <c r="L4" s="9" t="str">
        <f ca="1">IF($A4="","",RIGHT($A4,LEN($A4)-FIND("$",SUBSTITUTE($A4,"$","§",1))))</f>
        <v>2</v>
      </c>
    </row>
    <row r="5" spans="1:12" hidden="1" x14ac:dyDescent="0.25">
      <c r="A5" s="2" t="str" cm="1">
        <f t="array" aca="1" ref="A5" ca="1">CELL("address",Assumptions!A$2)</f>
        <v>'[QuBA-libre.xlsx]Assumptions'!$A$2</v>
      </c>
      <c r="B5" s="2" t="str" cm="1">
        <f t="array" aca="1" ref="B5" ca="1">CELL("address",Assumptions!B$2)</f>
        <v>'[QuBA-libre.xlsx]Assumptions'!$B$2</v>
      </c>
      <c r="C5" s="2" t="str" cm="1">
        <f t="array" aca="1" ref="C5" ca="1">CELL("address",Assumptions!T$2)</f>
        <v>'[QuBA-libre.xlsx]Assumptions'!$T$2</v>
      </c>
      <c r="D5" s="2" t="str" cm="1">
        <f t="array" aca="1" ref="D5" ca="1">CELL("address",Assumptions!X$2)</f>
        <v>'[QuBA-libre.xlsx]Assumptions'!$X$2</v>
      </c>
      <c r="E5" s="9" t="str">
        <f t="shared" ca="1" si="0"/>
        <v>Assumptions</v>
      </c>
      <c r="F5" s="9" t="str">
        <f t="shared" ca="1" si="1"/>
        <v>A</v>
      </c>
      <c r="G5" s="9" t="str">
        <f t="shared" ca="1" si="2"/>
        <v>B</v>
      </c>
      <c r="H5" s="9" t="str">
        <f t="shared" ca="1" si="3"/>
        <v>T</v>
      </c>
      <c r="I5" s="9" t="str">
        <f t="shared" ca="1" si="4"/>
        <v>X</v>
      </c>
      <c r="J5" s="9">
        <f t="shared" ca="1" si="5"/>
        <v>0</v>
      </c>
      <c r="K5" s="9" cm="1">
        <f t="array" aca="1" ref="K5" ca="1">CreateID($K$1,IF($J5="",FALSE,$J5&gt;0))</f>
        <v>0</v>
      </c>
      <c r="L5" s="9" t="str">
        <f t="shared" ca="1" si="6"/>
        <v>2</v>
      </c>
    </row>
    <row r="6" spans="1:12" hidden="1" x14ac:dyDescent="0.25">
      <c r="A6" s="2" t="str" cm="1">
        <f t="array" aca="1" ref="A6" ca="1">CELL("address",Countermeasures!A$2)</f>
        <v>'[QuBA-libre.xlsx]Countermeasures'!$A$2</v>
      </c>
      <c r="B6" s="2" t="str" cm="1">
        <f t="array" aca="1" ref="B6" ca="1">CELL("address",Countermeasures!B$2)</f>
        <v>'[QuBA-libre.xlsx]Countermeasures'!$B$2</v>
      </c>
      <c r="C6" s="2" t="str" cm="1">
        <f t="array" aca="1" ref="C6" ca="1">CELL("address",Countermeasures!T$2)</f>
        <v>'[QuBA-libre.xlsx]Countermeasures'!$T$2</v>
      </c>
      <c r="D6" s="2" t="str" cm="1">
        <f t="array" aca="1" ref="D6" ca="1">CELL("address",Countermeasures!X$2)</f>
        <v>'[QuBA-libre.xlsx]Countermeasures'!$X$2</v>
      </c>
      <c r="E6" s="9" t="str">
        <f ca="1">IF(A6="","",_xlfn.LET(
_xlpm._in,A6,
_xlpm._start,FIND("]",_xlpm._in)+1,
SUBSTITUTE(MID(_xlpm._in,_xlpm._start,FIND("!",_xlpm._in)-_xlpm._start),"'","")))</f>
        <v>Countermeasures</v>
      </c>
      <c r="F6" s="9" t="str">
        <f t="shared" ca="1" si="1"/>
        <v>A</v>
      </c>
      <c r="G6" s="9" t="str">
        <f t="shared" ca="1" si="2"/>
        <v>B</v>
      </c>
      <c r="H6" s="9" t="str">
        <f t="shared" ca="1" si="3"/>
        <v>T</v>
      </c>
      <c r="I6" s="9" t="str">
        <f t="shared" ca="1" si="4"/>
        <v>X</v>
      </c>
      <c r="J6" s="9">
        <f ca="1">IF($E6="","",MAX(INDIRECT("'"&amp;$E6&amp;"'!"&amp;$I6&amp;":"&amp;$I6)))</f>
        <v>0</v>
      </c>
      <c r="K6" s="9" cm="1">
        <f t="array" aca="1" ref="K6" ca="1">CreateID($K$1,IF($J6="",FALSE,$J6&gt;0))</f>
        <v>0</v>
      </c>
      <c r="L6" s="9" t="str">
        <f ca="1">IF($A6="","",RIGHT($A6,LEN($A6)-FIND("$",SUBSTITUTE($A6,"$","§",1))))</f>
        <v>2</v>
      </c>
    </row>
    <row r="7" spans="1:12" hidden="1" x14ac:dyDescent="0.25">
      <c r="A7" s="2" t="str" cm="1">
        <f t="array" aca="1" ref="A7" ca="1">CELL("address",Questionnaire!$B$3)</f>
        <v>'[QuBA-libre.xlsx]Questionnaire'!$B$3</v>
      </c>
      <c r="B7" s="2" t="str" cm="1">
        <f t="array" aca="1" ref="B7" ca="1">CELL("address",Questionnaire!$L$3)</f>
        <v>'[QuBA-libre.xlsx]Questionnaire'!$L$3</v>
      </c>
      <c r="C7" s="2" t="str" cm="1">
        <f t="array" aca="1" ref="C7" ca="1">CELL("address",Questionnaire!$H$3)</f>
        <v>'[QuBA-libre.xlsx]Questionnaire'!$H$3</v>
      </c>
      <c r="D7" s="2" t="str" cm="1">
        <f t="array" aca="1" ref="D7" ca="1">CELL("address",Questionnaire!$N$3)</f>
        <v>'[QuBA-libre.xlsx]Questionnaire'!$N$3</v>
      </c>
      <c r="E7" s="9" t="str">
        <f ca="1">IF(A7="","",_xlfn.LET(
_xlpm._in,A7,
_xlpm._start,FIND("]",_xlpm._in)+1,
SUBSTITUTE(MID(_xlpm._in,_xlpm._start,FIND("!",_xlpm._in)-_xlpm._start),"'","")))</f>
        <v>Questionnaire</v>
      </c>
      <c r="F7" s="9" t="str">
        <f t="shared" ca="1" si="1"/>
        <v>B</v>
      </c>
      <c r="G7" s="9" t="str">
        <f t="shared" ca="1" si="2"/>
        <v>L</v>
      </c>
      <c r="H7" s="9" t="str">
        <f t="shared" ca="1" si="3"/>
        <v>H</v>
      </c>
      <c r="I7" s="9" t="str">
        <f t="shared" ca="1" si="4"/>
        <v>N</v>
      </c>
      <c r="J7" s="9">
        <f ca="1">IF($E7="","",MAX(INDIRECT("'"&amp;$E7&amp;"'!"&amp;$I7&amp;":"&amp;$I7)))</f>
        <v>0</v>
      </c>
      <c r="K7" s="9" cm="1">
        <f t="array" aca="1" ref="K7" ca="1">CreateID($K$1,IF($J7="",FALSE,$J7&gt;0))</f>
        <v>0</v>
      </c>
      <c r="L7" s="9" t="str">
        <f ca="1">IF($A7="","",RIGHT($A7,LEN($A7)-FIND("$",SUBSTITUTE($A7,"$","§",1))))</f>
        <v>3</v>
      </c>
    </row>
    <row r="8" spans="1:12" hidden="1" x14ac:dyDescent="0.25">
      <c r="A8" s="2" t="str" cm="1">
        <f t="array" aca="1" ref="A8" ca="1">CELL("address",'DS Overview'!A$2)</f>
        <v>'[QuBA-libre.xlsx]DS Overview'!$A$2</v>
      </c>
      <c r="B8" s="2" t="str" cm="1">
        <f t="array" aca="1" ref="B8" ca="1">CELL("address",'DS Overview'!B$2)</f>
        <v>'[QuBA-libre.xlsx]DS Overview'!$B$2</v>
      </c>
      <c r="C8" s="2" t="str" cm="1">
        <f t="array" aca="1" ref="C8" ca="1">CELL("address",'DS Overview'!E$2)</f>
        <v>'[QuBA-libre.xlsx]DS Overview'!$E$2</v>
      </c>
      <c r="D8" s="2" t="str" cm="1">
        <f t="array" aca="1" ref="D8" ca="1">CELL("address",'DS Overview'!H$2)</f>
        <v>'[QuBA-libre.xlsx]DS Overview'!$H$2</v>
      </c>
      <c r="E8" s="9" t="str">
        <f t="shared" ca="1" si="0"/>
        <v>DS Overview</v>
      </c>
      <c r="F8" s="9" t="str">
        <f t="shared" ca="1" si="1"/>
        <v>A</v>
      </c>
      <c r="G8" s="9" t="str">
        <f t="shared" ca="1" si="2"/>
        <v>B</v>
      </c>
      <c r="H8" s="9" t="str">
        <f t="shared" ca="1" si="3"/>
        <v>E</v>
      </c>
      <c r="I8" s="9" t="str">
        <f t="shared" ca="1" si="4"/>
        <v>H</v>
      </c>
      <c r="J8" s="9">
        <f t="shared" ca="1" si="5"/>
        <v>0</v>
      </c>
      <c r="K8" s="9" cm="1">
        <f t="array" aca="1" ref="K8" ca="1">CreateID($K$1,IF($J8="",FALSE,$J8&gt;0))</f>
        <v>0</v>
      </c>
      <c r="L8" s="9" t="str">
        <f t="shared" ca="1" si="6"/>
        <v>2</v>
      </c>
    </row>
    <row r="9" spans="1:12" hidden="1" x14ac:dyDescent="0.25">
      <c r="A9" s="2" t="str" cm="1">
        <f t="array" aca="1" ref="A9" ca="1">CELL("address",Mitigation!A$2)</f>
        <v>'[QuBA-libre.xlsx]Mitigation'!$A$2</v>
      </c>
      <c r="B9" s="2" t="str" cm="1">
        <f t="array" aca="1" ref="B9" ca="1">CELL("address",Mitigation!B$2)</f>
        <v>'[QuBA-libre.xlsx]Mitigation'!$B$2</v>
      </c>
      <c r="C9" s="2" t="str" cm="1">
        <f t="array" aca="1" ref="C9" ca="1">CELL("address",Mitigation!O$2)</f>
        <v>'[QuBA-libre.xlsx]Mitigation'!$O$2</v>
      </c>
      <c r="D9" s="2" t="str" cm="1">
        <f t="array" aca="1" ref="D9" ca="1">CELL("address",Mitigation!Q$2)</f>
        <v>'[QuBA-libre.xlsx]Mitigation'!$Q$2</v>
      </c>
      <c r="E9" s="9" t="str">
        <f ca="1">IF(A9="","",_xlfn.LET(
_xlpm._in,A9,
_xlpm._start,FIND("]",_xlpm._in)+1,
SUBSTITUTE(MID(_xlpm._in,_xlpm._start,FIND("!",_xlpm._in)-_xlpm._start),"'","")))</f>
        <v>Mitigation</v>
      </c>
      <c r="F9" s="9" t="str">
        <f t="shared" ca="1" si="1"/>
        <v>A</v>
      </c>
      <c r="G9" s="9" t="str">
        <f t="shared" ca="1" si="2"/>
        <v>B</v>
      </c>
      <c r="H9" s="9" t="str">
        <f t="shared" ca="1" si="3"/>
        <v>O</v>
      </c>
      <c r="I9" s="9" t="str">
        <f t="shared" ca="1" si="4"/>
        <v>Q</v>
      </c>
      <c r="J9" s="9">
        <f ca="1">IF($E9="","",MAX(INDIRECT("'"&amp;$E9&amp;"'!"&amp;$I9&amp;":"&amp;$I9)))</f>
        <v>0</v>
      </c>
      <c r="K9" s="9" cm="1">
        <f t="array" aca="1" ref="K9" ca="1">CreateID($K$1,IF($J9="",FALSE,$J9&gt;0))</f>
        <v>0</v>
      </c>
      <c r="L9" s="9" t="str">
        <f ca="1">IF($A9="","",RIGHT($A9,LEN($A9)-FIND("$",SUBSTITUTE($A9,"$","§",1))))</f>
        <v>2</v>
      </c>
    </row>
    <row r="10" spans="1:12" hidden="1" x14ac:dyDescent="0.25">
      <c r="A10" s="2" t="str" cm="1">
        <f t="array" aca="1" ref="A10" ca="1">CELL("address",'Risk Treatment'!C$4)</f>
        <v>'[QuBA-libre.xlsx]Risk Treatment'!$C$4</v>
      </c>
      <c r="B10" s="2" t="str" cm="1">
        <f t="array" aca="1" ref="B10" ca="1">CELL("address",'Risk Treatment'!D$4)</f>
        <v>'[QuBA-libre.xlsx]Risk Treatment'!$D$4</v>
      </c>
      <c r="C10" s="2" t="str" cm="1">
        <f t="array" aca="1" ref="C10" ca="1">CELL("address",'Risk Treatment'!T$4)</f>
        <v>'[QuBA-libre.xlsx]Risk Treatment'!$T$4</v>
      </c>
      <c r="D10" s="2" t="str" cm="1">
        <f t="array" aca="1" ref="D10" ca="1">CELL("address",'Risk Treatment'!V$4)</f>
        <v>'[QuBA-libre.xlsx]Risk Treatment'!$V$4</v>
      </c>
      <c r="E10" s="9" t="str">
        <f t="shared" ca="1" si="0"/>
        <v>Risk Treatment</v>
      </c>
      <c r="F10" s="9" t="str">
        <f t="shared" ca="1" si="1"/>
        <v>C</v>
      </c>
      <c r="G10" s="9" t="str">
        <f t="shared" ca="1" si="2"/>
        <v>D</v>
      </c>
      <c r="H10" s="9" t="str">
        <f t="shared" ca="1" si="3"/>
        <v>T</v>
      </c>
      <c r="I10" s="9" t="str">
        <f t="shared" ca="1" si="4"/>
        <v>V</v>
      </c>
      <c r="J10" s="9">
        <f t="shared" ca="1" si="5"/>
        <v>0</v>
      </c>
      <c r="K10" s="9" cm="1">
        <f t="array" aca="1" ref="K10" ca="1">CreateID($K$1,IF($J10="",FALSE,$J10&gt;0))</f>
        <v>0</v>
      </c>
      <c r="L10" s="9" t="str">
        <f t="shared" ca="1" si="6"/>
        <v>4</v>
      </c>
    </row>
    <row r="11" spans="1:12" hidden="1" x14ac:dyDescent="0.25">
      <c r="A11" s="2" t="str" cm="1">
        <f t="array" aca="1" ref="A11" ca="1">CELL("address",'Annex I 1.2 Report'!$A$2)</f>
        <v>'[QuBA-libre.xlsx]Annex I 1.2 Report'!$A$2</v>
      </c>
      <c r="B11" s="2" t="str" cm="1">
        <f t="array" aca="1" ref="B11" ca="1">CELL("address",'Annex I 1.2 Report'!$B$2)</f>
        <v>'[QuBA-libre.xlsx]Annex I 1.2 Report'!$B$2</v>
      </c>
      <c r="C11" s="2" t="str" cm="1">
        <f t="array" aca="1" ref="C11" ca="1">CELL("address",'Annex I 1.2 Report'!$F$2)</f>
        <v>'[QuBA-libre.xlsx]Annex I 1.2 Report'!$F$2</v>
      </c>
      <c r="D11" s="2" t="str" cm="1">
        <f t="array" aca="1" ref="D11" ca="1">CELL("address",'Annex I 1.2 Report'!$H$2)</f>
        <v>'[QuBA-libre.xlsx]Annex I 1.2 Report'!$H$2</v>
      </c>
      <c r="E11" s="9" t="str">
        <f t="shared" ca="1" si="0"/>
        <v>Annex I 1.2 Report</v>
      </c>
      <c r="F11" s="9" t="str">
        <f t="shared" ca="1" si="1"/>
        <v>A</v>
      </c>
      <c r="G11" s="9" t="str">
        <f t="shared" ca="1" si="2"/>
        <v>B</v>
      </c>
      <c r="H11" s="9" t="str">
        <f t="shared" ca="1" si="3"/>
        <v>F</v>
      </c>
      <c r="I11" s="9" t="str">
        <f t="shared" ca="1" si="4"/>
        <v>H</v>
      </c>
      <c r="J11" s="9">
        <f t="shared" ca="1" si="5"/>
        <v>0</v>
      </c>
      <c r="K11" s="9" cm="1">
        <f t="array" aca="1" ref="K11" ca="1">CreateID($K$1,IF($J11="",FALSE,$J11&gt;0))</f>
        <v>0</v>
      </c>
      <c r="L11" s="9" t="str">
        <f t="shared" ca="1" si="6"/>
        <v>2</v>
      </c>
    </row>
    <row r="12" spans="1:12" hidden="1" x14ac:dyDescent="0.25">
      <c r="A12" s="2" t="str" cm="1">
        <f t="array" aca="1" ref="A12" ca="1">CELL("address",Tracing!$B$5)</f>
        <v>'[QuBA-libre.xlsx]Tracing'!$B$5</v>
      </c>
      <c r="B12" s="2" t="str" cm="1">
        <f t="array" aca="1" ref="B12" ca="1">CELL("address",Tracing!$C$5)</f>
        <v>'[QuBA-libre.xlsx]Tracing'!$C$5</v>
      </c>
      <c r="C12" s="2" t="str" cm="1">
        <f t="array" aca="1" ref="C12" ca="1">CELL("address",Tracing!$T$5)</f>
        <v>'[QuBA-libre.xlsx]Tracing'!$T$5</v>
      </c>
      <c r="D12" s="2" t="str" cm="1">
        <f t="array" aca="1" ref="D12" ca="1">CELL("address",Tracing!$V$5)</f>
        <v>'[QuBA-libre.xlsx]Tracing'!$V$5</v>
      </c>
      <c r="E12" s="9" t="str">
        <f t="shared" ca="1" si="0"/>
        <v>Tracing</v>
      </c>
      <c r="F12" s="9" t="str">
        <f t="shared" ca="1" si="1"/>
        <v>B</v>
      </c>
      <c r="G12" s="9" t="str">
        <f t="shared" ca="1" si="2"/>
        <v>C</v>
      </c>
      <c r="H12" s="9" t="str">
        <f t="shared" ca="1" si="3"/>
        <v>T</v>
      </c>
      <c r="I12" s="9" t="str">
        <f t="shared" ca="1" si="4"/>
        <v>V</v>
      </c>
      <c r="J12" s="9">
        <f t="shared" ca="1" si="5"/>
        <v>0</v>
      </c>
      <c r="K12" s="9" cm="1">
        <f t="array" aca="1" ref="K12" ca="1">CreateID($K$1,IF($J12="",FALSE,$J12&gt;0))</f>
        <v>0</v>
      </c>
      <c r="L12" s="9" t="str">
        <f t="shared" ca="1" si="6"/>
        <v>5</v>
      </c>
    </row>
    <row r="13" spans="1:12" hidden="1" x14ac:dyDescent="0.25">
      <c r="E13" s="9" t="str">
        <f t="shared" si="0"/>
        <v/>
      </c>
      <c r="F13" s="9" t="str">
        <f t="shared" si="1"/>
        <v/>
      </c>
      <c r="G13" s="9" t="str">
        <f t="shared" si="2"/>
        <v/>
      </c>
      <c r="H13" s="9" t="str">
        <f t="shared" si="3"/>
        <v/>
      </c>
      <c r="I13" s="9" t="str">
        <f t="shared" si="4"/>
        <v/>
      </c>
      <c r="J13" s="9" t="str">
        <f t="shared" ca="1" si="5"/>
        <v/>
      </c>
      <c r="K13" s="9" cm="1">
        <f t="array" aca="1" ref="K13" ca="1">CreateID($K$1,IF($J13="",FALSE,$J13&gt;0))</f>
        <v>0</v>
      </c>
      <c r="L13" s="9" t="str">
        <f t="shared" si="6"/>
        <v/>
      </c>
    </row>
    <row r="14" spans="1:12" hidden="1" x14ac:dyDescent="0.25">
      <c r="E14" s="9" t="str">
        <f t="shared" si="0"/>
        <v/>
      </c>
      <c r="F14" s="9" t="str">
        <f t="shared" si="1"/>
        <v/>
      </c>
      <c r="G14" s="9" t="str">
        <f t="shared" si="2"/>
        <v/>
      </c>
      <c r="H14" s="9" t="str">
        <f t="shared" si="3"/>
        <v/>
      </c>
      <c r="I14" s="9" t="str">
        <f t="shared" si="4"/>
        <v/>
      </c>
      <c r="J14" s="9" t="str">
        <f t="shared" ca="1" si="5"/>
        <v/>
      </c>
      <c r="K14" s="9" cm="1">
        <f t="array" aca="1" ref="K14" ca="1">CreateID($K$1,IF($J14="",FALSE,$J14&gt;0))</f>
        <v>0</v>
      </c>
      <c r="L14" s="9" t="str">
        <f t="shared" si="6"/>
        <v/>
      </c>
    </row>
    <row r="15" spans="1:12" hidden="1" x14ac:dyDescent="0.25">
      <c r="E15" s="9" t="str">
        <f t="shared" si="0"/>
        <v/>
      </c>
      <c r="F15" s="9" t="str">
        <f t="shared" si="1"/>
        <v/>
      </c>
      <c r="G15" s="9" t="str">
        <f t="shared" si="2"/>
        <v/>
      </c>
      <c r="H15" s="9" t="str">
        <f t="shared" si="3"/>
        <v/>
      </c>
      <c r="I15" s="9" t="str">
        <f t="shared" si="4"/>
        <v/>
      </c>
      <c r="J15" s="9" t="str">
        <f t="shared" ca="1" si="5"/>
        <v/>
      </c>
      <c r="K15" s="9" cm="1">
        <f t="array" aca="1" ref="K15" ca="1">CreateID($K$1,IF($J15="",FALSE,$J15&gt;0))</f>
        <v>0</v>
      </c>
      <c r="L15" s="9" t="str">
        <f t="shared" si="6"/>
        <v/>
      </c>
    </row>
    <row r="16" spans="1:12" s="80" customFormat="1" x14ac:dyDescent="0.25">
      <c r="B16" s="80" t="str" cm="1">
        <f t="array" aca="1" ref="B16"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HYPERLINK("#'"&amp;Helper!$G$2&amp;"'!"&amp;CHAR(CODE("A")+COLUMN(_xlpm._columnNameHeader)-1)&amp;_xlpm._entryOffset,Definitions!$AY$4)))(Helper!$G$17,A$17,README!$E:$E,README!$I$35,README!$B$35)</f>
        <v>◈</v>
      </c>
    </row>
    <row r="17" spans="1:9" x14ac:dyDescent="0.25">
      <c r="A17" s="19" t="s">
        <v>194</v>
      </c>
      <c r="B17" s="20" t="s">
        <v>1056</v>
      </c>
    </row>
    <row r="18" spans="1:9" s="80" customFormat="1" x14ac:dyDescent="0.25">
      <c r="A18" s="80" t="str" cm="1">
        <f t="array" aca="1" ref="A18"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HYPERLINK("#'"&amp;Helper!$G$2&amp;"'!"&amp;CHAR(CODE("A")+COLUMN(_xlpm._columnNameHeader)-1)&amp;_xlpm._entryOffset,Definitions!$AY$4)))(Helper!$G$17,A$19,README!$E:$E,README!$I$35,README!$B$35)</f>
        <v>◈</v>
      </c>
      <c r="B18" s="80" t="str" cm="1">
        <f t="array" aca="1" ref="B18"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HYPERLINK("#'"&amp;Helper!$G$2&amp;"'!"&amp;CHAR(CODE("A")+COLUMN(_xlpm._columnNameHeader)-1)&amp;_xlpm._entryOffset,Definitions!$AY$4)))(Helper!$G$17,B$19,README!$E:$E,README!$I$35,README!$B$35)</f>
        <v>◈</v>
      </c>
    </row>
    <row r="19" spans="1:9" x14ac:dyDescent="0.25">
      <c r="A19" s="9" t="s">
        <v>195</v>
      </c>
      <c r="B19" s="9" t="s">
        <v>554</v>
      </c>
      <c r="C19" s="9" t="s">
        <v>209</v>
      </c>
      <c r="D19" s="9" t="s">
        <v>207</v>
      </c>
      <c r="E19" s="9" t="s">
        <v>210</v>
      </c>
      <c r="F19" s="9" t="s">
        <v>75</v>
      </c>
      <c r="G19" s="9" t="s">
        <v>213</v>
      </c>
      <c r="H19" s="9" t="s">
        <v>211</v>
      </c>
      <c r="I19" s="9" t="s">
        <v>212</v>
      </c>
    </row>
    <row r="20" spans="1:9" x14ac:dyDescent="0.25">
      <c r="A20" s="21" t="str" cm="1">
        <f t="array" aca="1" ref="A20" ca="1">IF($E20="","",
HYPERLINK("#'"&amp;INDEX(Table11[Sheet Name],$F20)&amp;"'!"&amp;INDEX(Table11[ID Column],$F20)&amp;$G20,
IF(LEN(H20)&gt;255,LEFT(H20,250)&amp;" …",H20)))</f>
        <v/>
      </c>
      <c r="B20" s="21" t="str" cm="1">
        <f t="array" aca="1" ref="B20" ca="1">IF($E20="","",HYPERLINK("#'"&amp;INDEX(Table11[Sheet Name],$F20)&amp;"'!"&amp;INDEX(Table11[Comment Column],$F20)&amp;$G20,
IF(LEN(I20)&gt;255,LEFT(I20,250)&amp;" …",I20)))</f>
        <v/>
      </c>
      <c r="C20" s="9" cm="1">
        <f t="array" ref="C20">IFERROR(IF(ROW()=ROW($C$19)+1,1,INDEX($C:$C,ROW()-1))+
IF(INDEX($E:$E,ROW()-1)=TRUE,1,0),"")</f>
        <v>1</v>
      </c>
      <c r="D20" s="9">
        <f t="shared" ref="D20:D33" ca="1" si="7">COUNTIF(OFFSET($C$19,1,0,ROW()-ROW($D$19),1),$C20)</f>
        <v>1</v>
      </c>
      <c r="E20" s="9" t="str" cm="1">
        <f t="array" aca="1" ref="E20" ca="1">IFERROR(INDEX(Table11[Number of Tasks],$F20)=$D20,"")</f>
        <v/>
      </c>
      <c r="F20" s="9" t="str">
        <f ca="1">IFERROR(MATCH($C20,Table11[Task Sheet Shadow ID],0),"")</f>
        <v/>
      </c>
      <c r="G20" s="9" t="str" cm="1">
        <f t="array" aca="1" ref="G20" ca="1">IFERROR(_xlfn.LET(
_xlpm._column,INDEX(Table11[Task ID Column],$F20),
MATCH($D20,INDIRECT("'"&amp;INDEX(Table11[Sheet Name],$F20)&amp;"'!"&amp;_xlpm._column&amp;":"&amp;_xlpm._column),0)),"")</f>
        <v/>
      </c>
      <c r="H20" s="9" t="str" cm="1">
        <f t="array" aca="1" ref="H20" ca="1">IF($G20="","",(_xlfn.LET(
_xlpm._columnID,INDEX(Table11[ID Column],$F20),
_xlpm._columnName,INDEX(Table11[Name Column],$F20),
INDEX(INDIRECT("'"&amp;INDEX(Table11[Sheet Name],$F20)&amp;"'!"&amp;_xlpm._columnID&amp;":"&amp;_xlpm._columnID),$G20)&amp;" "&amp;
INDEX(INDIRECT("'"&amp;INDEX(Table11[Sheet Name],$F20)&amp;"'!"&amp;_xlpm._columnName&amp;":"&amp;_xlpm._columnName),$G20))))</f>
        <v/>
      </c>
      <c r="I20" s="9" t="str" cm="1">
        <f t="array" aca="1" ref="I20" ca="1">IF($G20="","",(_xlfn.LET(
_xlpm._columnID,INDEX(Table11[Comment Column],$F20),
INDEX(INDIRECT("'"&amp;INDEX(Table11[Sheet Name],$F20)&amp;"'!"&amp;_xlpm._columnID&amp;":"&amp;_xlpm._columnID),$G20))))</f>
        <v/>
      </c>
    </row>
    <row r="21" spans="1:9" x14ac:dyDescent="0.25">
      <c r="A21" s="21" t="str" cm="1">
        <f t="array" aca="1" ref="A21" ca="1">IF($E21="","",
HYPERLINK("#'"&amp;INDEX(Table11[Sheet Name],$F21)&amp;"'!"&amp;INDEX(Table11[ID Column],$F21)&amp;$G21,
IF(LEN(H21)&gt;255,LEFT(H21,250)&amp;" …",H21)))</f>
        <v/>
      </c>
      <c r="B21" s="21" t="str" cm="1">
        <f t="array" aca="1" ref="B21" ca="1">IF($E21="","",HYPERLINK("#'"&amp;INDEX(Table11[Sheet Name],$F21)&amp;"'!"&amp;INDEX(Table11[Comment Column],$F21)&amp;$G21,
IF(LEN(I21)&gt;255,LEFT(I21,250)&amp;" …",I21)))</f>
        <v/>
      </c>
      <c r="C21" s="9" cm="1">
        <f t="array" aca="1" ref="C21" ca="1">IFERROR(IF(ROW()=ROW($C$19)+1,1,INDEX($C:$C,ROW()-1))+
IF(INDEX($E:$E,ROW()-1)=TRUE,1,0),"")</f>
        <v>1</v>
      </c>
      <c r="D21" s="9">
        <f t="shared" ca="1" si="7"/>
        <v>2</v>
      </c>
      <c r="E21" s="9" t="str" cm="1">
        <f t="array" aca="1" ref="E21" ca="1">IFERROR(INDEX(Table11[Number of Tasks],$F21)=$D21,"")</f>
        <v/>
      </c>
      <c r="F21" s="9" t="str">
        <f ca="1">IFERROR(MATCH($C21,Table11[Task Sheet Shadow ID],0),"")</f>
        <v/>
      </c>
      <c r="G21" s="9" t="str" cm="1">
        <f t="array" aca="1" ref="G21" ca="1">IFERROR(_xlfn.LET(
_xlpm._column,INDEX(Table11[Task ID Column],$F21),
MATCH($D21,INDIRECT("'"&amp;INDEX(Table11[Sheet Name],$F21)&amp;"'!"&amp;_xlpm._column&amp;":"&amp;_xlpm._column),0)),"")</f>
        <v/>
      </c>
      <c r="H21" s="9" t="str" cm="1">
        <f t="array" aca="1" ref="H21" ca="1">IF($G21="","",(_xlfn.LET(
_xlpm._columnID,INDEX(Table11[ID Column],$F21),
_xlpm._columnName,INDEX(Table11[Name Column],$F21),
INDEX(INDIRECT("'"&amp;INDEX(Table11[Sheet Name],$F21)&amp;"'!"&amp;_xlpm._columnID&amp;":"&amp;_xlpm._columnID),$G21)&amp;" "&amp;
INDEX(INDIRECT("'"&amp;INDEX(Table11[Sheet Name],$F21)&amp;"'!"&amp;_xlpm._columnName&amp;":"&amp;_xlpm._columnName),$G21))))</f>
        <v/>
      </c>
      <c r="I21" s="9" t="str" cm="1">
        <f t="array" aca="1" ref="I21" ca="1">IF($G21="","",(_xlfn.LET(
_xlpm._columnID,INDEX(Table11[Comment Column],$F21),
INDEX(INDIRECT("'"&amp;INDEX(Table11[Sheet Name],$F21)&amp;"'!"&amp;_xlpm._columnID&amp;":"&amp;_xlpm._columnID),$G21))))</f>
        <v/>
      </c>
    </row>
    <row r="22" spans="1:9" x14ac:dyDescent="0.25">
      <c r="A22" s="21" t="str" cm="1">
        <f t="array" aca="1" ref="A22" ca="1">IF($E22="","",
HYPERLINK("#'"&amp;INDEX(Table11[Sheet Name],$F22)&amp;"'!"&amp;INDEX(Table11[ID Column],$F22)&amp;$G22,
IF(LEN(H22)&gt;255,LEFT(H22,250)&amp;" …",H22)))</f>
        <v/>
      </c>
      <c r="B22" s="21" t="str" cm="1">
        <f t="array" aca="1" ref="B22" ca="1">IF($E22="","",HYPERLINK("#'"&amp;INDEX(Table11[Sheet Name],$F22)&amp;"'!"&amp;INDEX(Table11[Comment Column],$F22)&amp;$G22,
IF(LEN(I22)&gt;255,LEFT(I22,250)&amp;" …",I22)))</f>
        <v/>
      </c>
      <c r="C22" s="9" cm="1">
        <f t="array" aca="1" ref="C22" ca="1">IFERROR(IF(ROW()=ROW($C$19)+1,1,INDEX($C:$C,ROW()-1))+
IF(INDEX($E:$E,ROW()-1)=TRUE,1,0),"")</f>
        <v>1</v>
      </c>
      <c r="D22" s="9">
        <f t="shared" ca="1" si="7"/>
        <v>3</v>
      </c>
      <c r="E22" s="9" t="str" cm="1">
        <f t="array" aca="1" ref="E22" ca="1">IFERROR(INDEX(Table11[Number of Tasks],$F22)=$D22,"")</f>
        <v/>
      </c>
      <c r="F22" s="9" t="str">
        <f ca="1">IFERROR(MATCH($C22,Table11[Task Sheet Shadow ID],0),"")</f>
        <v/>
      </c>
      <c r="G22" s="9" t="str" cm="1">
        <f t="array" aca="1" ref="G22" ca="1">IFERROR(_xlfn.LET(
_xlpm._column,INDEX(Table11[Task ID Column],$F22),
MATCH($D22,INDIRECT("'"&amp;INDEX(Table11[Sheet Name],$F22)&amp;"'!"&amp;_xlpm._column&amp;":"&amp;_xlpm._column),0)),"")</f>
        <v/>
      </c>
      <c r="H22" s="9" t="str" cm="1">
        <f t="array" aca="1" ref="H22" ca="1">IF($G22="","",(_xlfn.LET(
_xlpm._columnID,INDEX(Table11[ID Column],$F22),
_xlpm._columnName,INDEX(Table11[Name Column],$F22),
INDEX(INDIRECT("'"&amp;INDEX(Table11[Sheet Name],$F22)&amp;"'!"&amp;_xlpm._columnID&amp;":"&amp;_xlpm._columnID),$G22)&amp;" "&amp;
INDEX(INDIRECT("'"&amp;INDEX(Table11[Sheet Name],$F22)&amp;"'!"&amp;_xlpm._columnName&amp;":"&amp;_xlpm._columnName),$G22))))</f>
        <v/>
      </c>
      <c r="I22" s="9" t="str" cm="1">
        <f t="array" aca="1" ref="I22" ca="1">IF($G22="","",(_xlfn.LET(
_xlpm._columnID,INDEX(Table11[Comment Column],$F22),
INDEX(INDIRECT("'"&amp;INDEX(Table11[Sheet Name],$F22)&amp;"'!"&amp;_xlpm._columnID&amp;":"&amp;_xlpm._columnID),$G22))))</f>
        <v/>
      </c>
    </row>
    <row r="23" spans="1:9" x14ac:dyDescent="0.25">
      <c r="A23" s="21" t="str" cm="1">
        <f t="array" aca="1" ref="A23" ca="1">IF($E23="","",
HYPERLINK("#'"&amp;INDEX(Table11[Sheet Name],$F23)&amp;"'!"&amp;INDEX(Table11[ID Column],$F23)&amp;$G23,
IF(LEN(H23)&gt;255,LEFT(H23,250)&amp;" …",H23)))</f>
        <v/>
      </c>
      <c r="B23" s="21" t="str" cm="1">
        <f t="array" aca="1" ref="B23" ca="1">IF($E23="","",HYPERLINK("#'"&amp;INDEX(Table11[Sheet Name],$F23)&amp;"'!"&amp;INDEX(Table11[Comment Column],$F23)&amp;$G23,
IF(LEN(I23)&gt;255,LEFT(I23,250)&amp;" …",I23)))</f>
        <v/>
      </c>
      <c r="C23" s="9" cm="1">
        <f t="array" aca="1" ref="C23" ca="1">IFERROR(IF(ROW()=ROW($C$19)+1,1,INDEX($C:$C,ROW()-1))+
IF(INDEX($E:$E,ROW()-1)=TRUE,1,0),"")</f>
        <v>1</v>
      </c>
      <c r="D23" s="9">
        <f t="shared" ca="1" si="7"/>
        <v>4</v>
      </c>
      <c r="E23" s="9" t="str" cm="1">
        <f t="array" aca="1" ref="E23" ca="1">IFERROR(INDEX(Table11[Number of Tasks],$F23)=$D23,"")</f>
        <v/>
      </c>
      <c r="F23" s="9" t="str">
        <f ca="1">IFERROR(MATCH($C23,Table11[Task Sheet Shadow ID],0),"")</f>
        <v/>
      </c>
      <c r="G23" s="9" t="str" cm="1">
        <f t="array" aca="1" ref="G23" ca="1">IFERROR(_xlfn.LET(
_xlpm._column,INDEX(Table11[Task ID Column],$F23),
MATCH($D23,INDIRECT("'"&amp;INDEX(Table11[Sheet Name],$F23)&amp;"'!"&amp;_xlpm._column&amp;":"&amp;_xlpm._column),0)),"")</f>
        <v/>
      </c>
      <c r="H23" s="9" t="str" cm="1">
        <f t="array" aca="1" ref="H23" ca="1">IF($G23="","",(_xlfn.LET(
_xlpm._columnID,INDEX(Table11[ID Column],$F23),
_xlpm._columnName,INDEX(Table11[Name Column],$F23),
INDEX(INDIRECT("'"&amp;INDEX(Table11[Sheet Name],$F23)&amp;"'!"&amp;_xlpm._columnID&amp;":"&amp;_xlpm._columnID),$G23)&amp;" "&amp;
INDEX(INDIRECT("'"&amp;INDEX(Table11[Sheet Name],$F23)&amp;"'!"&amp;_xlpm._columnName&amp;":"&amp;_xlpm._columnName),$G23))))</f>
        <v/>
      </c>
      <c r="I23" s="9" t="str" cm="1">
        <f t="array" aca="1" ref="I23" ca="1">IF($G23="","",(_xlfn.LET(
_xlpm._columnID,INDEX(Table11[Comment Column],$F23),
INDEX(INDIRECT("'"&amp;INDEX(Table11[Sheet Name],$F23)&amp;"'!"&amp;_xlpm._columnID&amp;":"&amp;_xlpm._columnID),$G23))))</f>
        <v/>
      </c>
    </row>
    <row r="24" spans="1:9" x14ac:dyDescent="0.25">
      <c r="A24" s="21" t="str" cm="1">
        <f t="array" aca="1" ref="A24" ca="1">IF($E24="","",
HYPERLINK("#'"&amp;INDEX(Table11[Sheet Name],$F24)&amp;"'!"&amp;INDEX(Table11[ID Column],$F24)&amp;$G24,
IF(LEN(H24)&gt;255,LEFT(H24,250)&amp;" …",H24)))</f>
        <v/>
      </c>
      <c r="B24" s="21" t="str" cm="1">
        <f t="array" aca="1" ref="B24" ca="1">IF($E24="","",HYPERLINK("#'"&amp;INDEX(Table11[Sheet Name],$F24)&amp;"'!"&amp;INDEX(Table11[Comment Column],$F24)&amp;$G24,
IF(LEN(I24)&gt;255,LEFT(I24,250)&amp;" …",I24)))</f>
        <v/>
      </c>
      <c r="C24" s="9" cm="1">
        <f t="array" aca="1" ref="C24" ca="1">IFERROR(IF(ROW()=ROW($C$19)+1,1,INDEX($C:$C,ROW()-1))+
IF(INDEX($E:$E,ROW()-1)=TRUE,1,0),"")</f>
        <v>1</v>
      </c>
      <c r="D24" s="9">
        <f t="shared" ca="1" si="7"/>
        <v>5</v>
      </c>
      <c r="E24" s="9" t="str" cm="1">
        <f t="array" aca="1" ref="E24" ca="1">IFERROR(INDEX(Table11[Number of Tasks],$F24)=$D24,"")</f>
        <v/>
      </c>
      <c r="F24" s="9" t="str">
        <f ca="1">IFERROR(MATCH($C24,Table11[Task Sheet Shadow ID],0),"")</f>
        <v/>
      </c>
      <c r="G24" s="9" t="str" cm="1">
        <f t="array" aca="1" ref="G24" ca="1">IFERROR(_xlfn.LET(
_xlpm._column,INDEX(Table11[Task ID Column],$F24),
MATCH($D24,INDIRECT("'"&amp;INDEX(Table11[Sheet Name],$F24)&amp;"'!"&amp;_xlpm._column&amp;":"&amp;_xlpm._column),0)),"")</f>
        <v/>
      </c>
      <c r="H24" s="9" t="str" cm="1">
        <f t="array" aca="1" ref="H24" ca="1">IF($G24="","",(_xlfn.LET(
_xlpm._columnID,INDEX(Table11[ID Column],$F24),
_xlpm._columnName,INDEX(Table11[Name Column],$F24),
INDEX(INDIRECT("'"&amp;INDEX(Table11[Sheet Name],$F24)&amp;"'!"&amp;_xlpm._columnID&amp;":"&amp;_xlpm._columnID),$G24)&amp;" "&amp;
INDEX(INDIRECT("'"&amp;INDEX(Table11[Sheet Name],$F24)&amp;"'!"&amp;_xlpm._columnName&amp;":"&amp;_xlpm._columnName),$G24))))</f>
        <v/>
      </c>
      <c r="I24" s="9" t="str" cm="1">
        <f t="array" aca="1" ref="I24" ca="1">IF($G24="","",(_xlfn.LET(
_xlpm._columnID,INDEX(Table11[Comment Column],$F24),
INDEX(INDIRECT("'"&amp;INDEX(Table11[Sheet Name],$F24)&amp;"'!"&amp;_xlpm._columnID&amp;":"&amp;_xlpm._columnID),$G24))))</f>
        <v/>
      </c>
    </row>
    <row r="25" spans="1:9" x14ac:dyDescent="0.25">
      <c r="A25" s="21" t="str" cm="1">
        <f t="array" aca="1" ref="A25" ca="1">IF($E25="","",
HYPERLINK("#'"&amp;INDEX(Table11[Sheet Name],$F25)&amp;"'!"&amp;INDEX(Table11[ID Column],$F25)&amp;$G25,
IF(LEN(H25)&gt;255,LEFT(H25,250)&amp;" …",H25)))</f>
        <v/>
      </c>
      <c r="B25" s="21" t="str" cm="1">
        <f t="array" aca="1" ref="B25" ca="1">IF($E25="","",HYPERLINK("#'"&amp;INDEX(Table11[Sheet Name],$F25)&amp;"'!"&amp;INDEX(Table11[Comment Column],$F25)&amp;$G25,
IF(LEN(I25)&gt;255,LEFT(I25,250)&amp;" …",I25)))</f>
        <v/>
      </c>
      <c r="C25" s="9" cm="1">
        <f t="array" aca="1" ref="C25" ca="1">IFERROR(IF(ROW()=ROW($C$19)+1,1,INDEX($C:$C,ROW()-1))+
IF(INDEX($E:$E,ROW()-1)=TRUE,1,0),"")</f>
        <v>1</v>
      </c>
      <c r="D25" s="9">
        <f t="shared" ca="1" si="7"/>
        <v>6</v>
      </c>
      <c r="E25" s="9" t="str" cm="1">
        <f t="array" aca="1" ref="E25" ca="1">IFERROR(INDEX(Table11[Number of Tasks],$F25)=$D25,"")</f>
        <v/>
      </c>
      <c r="F25" s="9" t="str">
        <f ca="1">IFERROR(MATCH($C25,Table11[Task Sheet Shadow ID],0),"")</f>
        <v/>
      </c>
      <c r="G25" s="9" t="str" cm="1">
        <f t="array" aca="1" ref="G25" ca="1">IFERROR(_xlfn.LET(
_xlpm._column,INDEX(Table11[Task ID Column],$F25),
MATCH($D25,INDIRECT("'"&amp;INDEX(Table11[Sheet Name],$F25)&amp;"'!"&amp;_xlpm._column&amp;":"&amp;_xlpm._column),0)),"")</f>
        <v/>
      </c>
      <c r="H25" s="9" t="str" cm="1">
        <f t="array" aca="1" ref="H25" ca="1">IF($G25="","",(_xlfn.LET(
_xlpm._columnID,INDEX(Table11[ID Column],$F25),
_xlpm._columnName,INDEX(Table11[Name Column],$F25),
INDEX(INDIRECT("'"&amp;INDEX(Table11[Sheet Name],$F25)&amp;"'!"&amp;_xlpm._columnID&amp;":"&amp;_xlpm._columnID),$G25)&amp;" "&amp;
INDEX(INDIRECT("'"&amp;INDEX(Table11[Sheet Name],$F25)&amp;"'!"&amp;_xlpm._columnName&amp;":"&amp;_xlpm._columnName),$G25))))</f>
        <v/>
      </c>
      <c r="I25" s="9" t="str" cm="1">
        <f t="array" aca="1" ref="I25" ca="1">IF($G25="","",(_xlfn.LET(
_xlpm._columnID,INDEX(Table11[Comment Column],$F25),
INDEX(INDIRECT("'"&amp;INDEX(Table11[Sheet Name],$F25)&amp;"'!"&amp;_xlpm._columnID&amp;":"&amp;_xlpm._columnID),$G25))))</f>
        <v/>
      </c>
    </row>
    <row r="26" spans="1:9" x14ac:dyDescent="0.25">
      <c r="A26" s="21" t="str" cm="1">
        <f t="array" aca="1" ref="A26" ca="1">IF($E26="","",
HYPERLINK("#'"&amp;INDEX(Table11[Sheet Name],$F26)&amp;"'!"&amp;INDEX(Table11[ID Column],$F26)&amp;$G26,
IF(LEN(H26)&gt;255,LEFT(H26,250)&amp;" …",H26)))</f>
        <v/>
      </c>
      <c r="B26" s="21" t="str" cm="1">
        <f t="array" aca="1" ref="B26" ca="1">IF($E26="","",HYPERLINK("#'"&amp;INDEX(Table11[Sheet Name],$F26)&amp;"'!"&amp;INDEX(Table11[Comment Column],$F26)&amp;$G26,
IF(LEN(I26)&gt;255,LEFT(I26,250)&amp;" …",I26)))</f>
        <v/>
      </c>
      <c r="C26" s="9" cm="1">
        <f t="array" aca="1" ref="C26" ca="1">IFERROR(IF(ROW()=ROW($C$19)+1,1,INDEX($C:$C,ROW()-1))+
IF(INDEX($E:$E,ROW()-1)=TRUE,1,0),"")</f>
        <v>1</v>
      </c>
      <c r="D26" s="9">
        <f t="shared" ca="1" si="7"/>
        <v>7</v>
      </c>
      <c r="E26" s="9" t="str" cm="1">
        <f t="array" aca="1" ref="E26" ca="1">IFERROR(INDEX(Table11[Number of Tasks],$F26)=$D26,"")</f>
        <v/>
      </c>
      <c r="F26" s="9" t="str">
        <f ca="1">IFERROR(MATCH($C26,Table11[Task Sheet Shadow ID],0),"")</f>
        <v/>
      </c>
      <c r="G26" s="9" t="str" cm="1">
        <f t="array" aca="1" ref="G26" ca="1">IFERROR(_xlfn.LET(
_xlpm._column,INDEX(Table11[Task ID Column],$F26),
MATCH($D26,INDIRECT("'"&amp;INDEX(Table11[Sheet Name],$F26)&amp;"'!"&amp;_xlpm._column&amp;":"&amp;_xlpm._column),0)),"")</f>
        <v/>
      </c>
      <c r="H26" s="9" t="str" cm="1">
        <f t="array" aca="1" ref="H26" ca="1">IF($G26="","",(_xlfn.LET(
_xlpm._columnID,INDEX(Table11[ID Column],$F26),
_xlpm._columnName,INDEX(Table11[Name Column],$F26),
INDEX(INDIRECT("'"&amp;INDEX(Table11[Sheet Name],$F26)&amp;"'!"&amp;_xlpm._columnID&amp;":"&amp;_xlpm._columnID),$G26)&amp;" "&amp;
INDEX(INDIRECT("'"&amp;INDEX(Table11[Sheet Name],$F26)&amp;"'!"&amp;_xlpm._columnName&amp;":"&amp;_xlpm._columnName),$G26))))</f>
        <v/>
      </c>
      <c r="I26" s="9" t="str" cm="1">
        <f t="array" aca="1" ref="I26" ca="1">IF($G26="","",(_xlfn.LET(
_xlpm._columnID,INDEX(Table11[Comment Column],$F26),
INDEX(INDIRECT("'"&amp;INDEX(Table11[Sheet Name],$F26)&amp;"'!"&amp;_xlpm._columnID&amp;":"&amp;_xlpm._columnID),$G26))))</f>
        <v/>
      </c>
    </row>
    <row r="27" spans="1:9" x14ac:dyDescent="0.25">
      <c r="A27" s="21" t="str" cm="1">
        <f t="array" aca="1" ref="A27" ca="1">IF($E27="","",
HYPERLINK("#'"&amp;INDEX(Table11[Sheet Name],$F27)&amp;"'!"&amp;INDEX(Table11[ID Column],$F27)&amp;$G27,
IF(LEN(H27)&gt;255,LEFT(H27,250)&amp;" …",H27)))</f>
        <v/>
      </c>
      <c r="B27" s="21" t="str" cm="1">
        <f t="array" aca="1" ref="B27" ca="1">IF($E27="","",HYPERLINK("#'"&amp;INDEX(Table11[Sheet Name],$F27)&amp;"'!"&amp;INDEX(Table11[Comment Column],$F27)&amp;$G27,
IF(LEN(I27)&gt;255,LEFT(I27,250)&amp;" …",I27)))</f>
        <v/>
      </c>
      <c r="C27" s="9" cm="1">
        <f t="array" aca="1" ref="C27" ca="1">IFERROR(IF(ROW()=ROW($C$19)+1,1,INDEX($C:$C,ROW()-1))+
IF(INDEX($E:$E,ROW()-1)=TRUE,1,0),"")</f>
        <v>1</v>
      </c>
      <c r="D27" s="9">
        <f t="shared" ca="1" si="7"/>
        <v>8</v>
      </c>
      <c r="E27" s="9" t="str" cm="1">
        <f t="array" aca="1" ref="E27" ca="1">IFERROR(INDEX(Table11[Number of Tasks],$F27)=$D27,"")</f>
        <v/>
      </c>
      <c r="F27" s="9" t="str">
        <f ca="1">IFERROR(MATCH($C27,Table11[Task Sheet Shadow ID],0),"")</f>
        <v/>
      </c>
      <c r="G27" s="9" t="str" cm="1">
        <f t="array" aca="1" ref="G27" ca="1">IFERROR(_xlfn.LET(
_xlpm._column,INDEX(Table11[Task ID Column],$F27),
MATCH($D27,INDIRECT("'"&amp;INDEX(Table11[Sheet Name],$F27)&amp;"'!"&amp;_xlpm._column&amp;":"&amp;_xlpm._column),0)),"")</f>
        <v/>
      </c>
      <c r="H27" s="9" t="str" cm="1">
        <f t="array" aca="1" ref="H27" ca="1">IF($G27="","",(_xlfn.LET(
_xlpm._columnID,INDEX(Table11[ID Column],$F27),
_xlpm._columnName,INDEX(Table11[Name Column],$F27),
INDEX(INDIRECT("'"&amp;INDEX(Table11[Sheet Name],$F27)&amp;"'!"&amp;_xlpm._columnID&amp;":"&amp;_xlpm._columnID),$G27)&amp;" "&amp;
INDEX(INDIRECT("'"&amp;INDEX(Table11[Sheet Name],$F27)&amp;"'!"&amp;_xlpm._columnName&amp;":"&amp;_xlpm._columnName),$G27))))</f>
        <v/>
      </c>
      <c r="I27" s="9" t="str" cm="1">
        <f t="array" aca="1" ref="I27" ca="1">IF($G27="","",(_xlfn.LET(
_xlpm._columnID,INDEX(Table11[Comment Column],$F27),
INDEX(INDIRECT("'"&amp;INDEX(Table11[Sheet Name],$F27)&amp;"'!"&amp;_xlpm._columnID&amp;":"&amp;_xlpm._columnID),$G27))))</f>
        <v/>
      </c>
    </row>
    <row r="28" spans="1:9" x14ac:dyDescent="0.25">
      <c r="A28" s="21" t="str" cm="1">
        <f t="array" aca="1" ref="A28" ca="1">IF($E28="","",
HYPERLINK("#'"&amp;INDEX(Table11[Sheet Name],$F28)&amp;"'!"&amp;INDEX(Table11[ID Column],$F28)&amp;$G28,
IF(LEN(H28)&gt;255,LEFT(H28,250)&amp;" …",H28)))</f>
        <v/>
      </c>
      <c r="B28" s="21" t="str" cm="1">
        <f t="array" aca="1" ref="B28" ca="1">IF($E28="","",HYPERLINK("#'"&amp;INDEX(Table11[Sheet Name],$F28)&amp;"'!"&amp;INDEX(Table11[Comment Column],$F28)&amp;$G28,
IF(LEN(I28)&gt;255,LEFT(I28,250)&amp;" …",I28)))</f>
        <v/>
      </c>
      <c r="C28" s="9" cm="1">
        <f t="array" aca="1" ref="C28" ca="1">IFERROR(IF(ROW()=ROW($C$19)+1,1,INDEX($C:$C,ROW()-1))+
IF(INDEX($E:$E,ROW()-1)=TRUE,1,0),"")</f>
        <v>1</v>
      </c>
      <c r="D28" s="9">
        <f t="shared" ca="1" si="7"/>
        <v>9</v>
      </c>
      <c r="E28" s="9" t="str" cm="1">
        <f t="array" aca="1" ref="E28" ca="1">IFERROR(INDEX(Table11[Number of Tasks],$F28)=$D28,"")</f>
        <v/>
      </c>
      <c r="F28" s="9" t="str">
        <f ca="1">IFERROR(MATCH($C28,Table11[Task Sheet Shadow ID],0),"")</f>
        <v/>
      </c>
      <c r="G28" s="9" t="str" cm="1">
        <f t="array" aca="1" ref="G28" ca="1">IFERROR(_xlfn.LET(
_xlpm._column,INDEX(Table11[Task ID Column],$F28),
MATCH($D28,INDIRECT("'"&amp;INDEX(Table11[Sheet Name],$F28)&amp;"'!"&amp;_xlpm._column&amp;":"&amp;_xlpm._column),0)),"")</f>
        <v/>
      </c>
      <c r="H28" s="9" t="str" cm="1">
        <f t="array" aca="1" ref="H28" ca="1">IF($G28="","",(_xlfn.LET(
_xlpm._columnID,INDEX(Table11[ID Column],$F28),
_xlpm._columnName,INDEX(Table11[Name Column],$F28),
INDEX(INDIRECT("'"&amp;INDEX(Table11[Sheet Name],$F28)&amp;"'!"&amp;_xlpm._columnID&amp;":"&amp;_xlpm._columnID),$G28)&amp;" "&amp;
INDEX(INDIRECT("'"&amp;INDEX(Table11[Sheet Name],$F28)&amp;"'!"&amp;_xlpm._columnName&amp;":"&amp;_xlpm._columnName),$G28))))</f>
        <v/>
      </c>
      <c r="I28" s="9" t="str" cm="1">
        <f t="array" aca="1" ref="I28" ca="1">IF($G28="","",(_xlfn.LET(
_xlpm._columnID,INDEX(Table11[Comment Column],$F28),
INDEX(INDIRECT("'"&amp;INDEX(Table11[Sheet Name],$F28)&amp;"'!"&amp;_xlpm._columnID&amp;":"&amp;_xlpm._columnID),$G28))))</f>
        <v/>
      </c>
    </row>
    <row r="29" spans="1:9" x14ac:dyDescent="0.25">
      <c r="A29" s="21" t="str" cm="1">
        <f t="array" aca="1" ref="A29" ca="1">IF($E29="","",
HYPERLINK("#'"&amp;INDEX(Table11[Sheet Name],$F29)&amp;"'!"&amp;INDEX(Table11[ID Column],$F29)&amp;$G29,
IF(LEN(H29)&gt;255,LEFT(H29,250)&amp;" …",H29)))</f>
        <v/>
      </c>
      <c r="B29" s="21" t="str" cm="1">
        <f t="array" aca="1" ref="B29" ca="1">IF($E29="","",HYPERLINK("#'"&amp;INDEX(Table11[Sheet Name],$F29)&amp;"'!"&amp;INDEX(Table11[Comment Column],$F29)&amp;$G29,
IF(LEN(I29)&gt;255,LEFT(I29,250)&amp;" …",I29)))</f>
        <v/>
      </c>
      <c r="C29" s="9" cm="1">
        <f t="array" aca="1" ref="C29" ca="1">IFERROR(IF(ROW()=ROW($C$19)+1,1,INDEX($C:$C,ROW()-1))+
IF(INDEX($E:$E,ROW()-1)=TRUE,1,0),"")</f>
        <v>1</v>
      </c>
      <c r="D29" s="9">
        <f t="shared" ca="1" si="7"/>
        <v>10</v>
      </c>
      <c r="E29" s="9" t="str" cm="1">
        <f t="array" aca="1" ref="E29" ca="1">IFERROR(INDEX(Table11[Number of Tasks],$F29)=$D29,"")</f>
        <v/>
      </c>
      <c r="F29" s="9" t="str">
        <f ca="1">IFERROR(MATCH($C29,Table11[Task Sheet Shadow ID],0),"")</f>
        <v/>
      </c>
      <c r="G29" s="9" t="str" cm="1">
        <f t="array" aca="1" ref="G29" ca="1">IFERROR(_xlfn.LET(
_xlpm._column,INDEX(Table11[Task ID Column],$F29),
MATCH($D29,INDIRECT("'"&amp;INDEX(Table11[Sheet Name],$F29)&amp;"'!"&amp;_xlpm._column&amp;":"&amp;_xlpm._column),0)),"")</f>
        <v/>
      </c>
      <c r="H29" s="9" t="str" cm="1">
        <f t="array" aca="1" ref="H29" ca="1">IF($G29="","",(_xlfn.LET(
_xlpm._columnID,INDEX(Table11[ID Column],$F29),
_xlpm._columnName,INDEX(Table11[Name Column],$F29),
INDEX(INDIRECT("'"&amp;INDEX(Table11[Sheet Name],$F29)&amp;"'!"&amp;_xlpm._columnID&amp;":"&amp;_xlpm._columnID),$G29)&amp;" "&amp;
INDEX(INDIRECT("'"&amp;INDEX(Table11[Sheet Name],$F29)&amp;"'!"&amp;_xlpm._columnName&amp;":"&amp;_xlpm._columnName),$G29))))</f>
        <v/>
      </c>
      <c r="I29" s="9" t="str" cm="1">
        <f t="array" aca="1" ref="I29" ca="1">IF($G29="","",(_xlfn.LET(
_xlpm._columnID,INDEX(Table11[Comment Column],$F29),
INDEX(INDIRECT("'"&amp;INDEX(Table11[Sheet Name],$F29)&amp;"'!"&amp;_xlpm._columnID&amp;":"&amp;_xlpm._columnID),$G29))))</f>
        <v/>
      </c>
    </row>
    <row r="30" spans="1:9" x14ac:dyDescent="0.25">
      <c r="A30" s="21" t="str" cm="1">
        <f t="array" aca="1" ref="A30" ca="1">IF($E30="","",
HYPERLINK("#'"&amp;INDEX(Table11[Sheet Name],$F30)&amp;"'!"&amp;INDEX(Table11[ID Column],$F30)&amp;$G30,
IF(LEN(H30)&gt;255,LEFT(H30,250)&amp;" …",H30)))</f>
        <v/>
      </c>
      <c r="B30" s="21" t="str" cm="1">
        <f t="array" aca="1" ref="B30" ca="1">IF($E30="","",HYPERLINK("#'"&amp;INDEX(Table11[Sheet Name],$F30)&amp;"'!"&amp;INDEX(Table11[Comment Column],$F30)&amp;$G30,
IF(LEN(I30)&gt;255,LEFT(I30,250)&amp;" …",I30)))</f>
        <v/>
      </c>
      <c r="C30" s="9" cm="1">
        <f t="array" aca="1" ref="C30" ca="1">IFERROR(IF(ROW()=ROW($C$19)+1,1,INDEX($C:$C,ROW()-1))+
IF(INDEX($E:$E,ROW()-1)=TRUE,1,0),"")</f>
        <v>1</v>
      </c>
      <c r="D30" s="9">
        <f t="shared" ca="1" si="7"/>
        <v>11</v>
      </c>
      <c r="E30" s="9" t="str" cm="1">
        <f t="array" aca="1" ref="E30" ca="1">IFERROR(INDEX(Table11[Number of Tasks],$F30)=$D30,"")</f>
        <v/>
      </c>
      <c r="F30" s="9" t="str">
        <f ca="1">IFERROR(MATCH($C30,Table11[Task Sheet Shadow ID],0),"")</f>
        <v/>
      </c>
      <c r="G30" s="9" t="str" cm="1">
        <f t="array" aca="1" ref="G30" ca="1">IFERROR(_xlfn.LET(
_xlpm._column,INDEX(Table11[Task ID Column],$F30),
MATCH($D30,INDIRECT("'"&amp;INDEX(Table11[Sheet Name],$F30)&amp;"'!"&amp;_xlpm._column&amp;":"&amp;_xlpm._column),0)),"")</f>
        <v/>
      </c>
      <c r="H30" s="9" t="str" cm="1">
        <f t="array" aca="1" ref="H30" ca="1">IF($G30="","",(_xlfn.LET(
_xlpm._columnID,INDEX(Table11[ID Column],$F30),
_xlpm._columnName,INDEX(Table11[Name Column],$F30),
INDEX(INDIRECT("'"&amp;INDEX(Table11[Sheet Name],$F30)&amp;"'!"&amp;_xlpm._columnID&amp;":"&amp;_xlpm._columnID),$G30)&amp;" "&amp;
INDEX(INDIRECT("'"&amp;INDEX(Table11[Sheet Name],$F30)&amp;"'!"&amp;_xlpm._columnName&amp;":"&amp;_xlpm._columnName),$G30))))</f>
        <v/>
      </c>
      <c r="I30" s="9" t="str" cm="1">
        <f t="array" aca="1" ref="I30" ca="1">IF($G30="","",(_xlfn.LET(
_xlpm._columnID,INDEX(Table11[Comment Column],$F30),
INDEX(INDIRECT("'"&amp;INDEX(Table11[Sheet Name],$F30)&amp;"'!"&amp;_xlpm._columnID&amp;":"&amp;_xlpm._columnID),$G30))))</f>
        <v/>
      </c>
    </row>
    <row r="31" spans="1:9" x14ac:dyDescent="0.25">
      <c r="A31" s="21" t="str" cm="1">
        <f t="array" aca="1" ref="A31" ca="1">IF($E31="","",
HYPERLINK("#'"&amp;INDEX(Table11[Sheet Name],$F31)&amp;"'!"&amp;INDEX(Table11[ID Column],$F31)&amp;$G31,
IF(LEN(H31)&gt;255,LEFT(H31,250)&amp;" …",H31)))</f>
        <v/>
      </c>
      <c r="B31" s="21" t="str" cm="1">
        <f t="array" aca="1" ref="B31" ca="1">IF($E31="","",HYPERLINK("#'"&amp;INDEX(Table11[Sheet Name],$F31)&amp;"'!"&amp;INDEX(Table11[Comment Column],$F31)&amp;$G31,
IF(LEN(I31)&gt;255,LEFT(I31,250)&amp;" …",I31)))</f>
        <v/>
      </c>
      <c r="C31" s="9" cm="1">
        <f t="array" aca="1" ref="C31" ca="1">IFERROR(IF(ROW()=ROW($C$19)+1,1,INDEX($C:$C,ROW()-1))+
IF(INDEX($E:$E,ROW()-1)=TRUE,1,0),"")</f>
        <v>1</v>
      </c>
      <c r="D31" s="9">
        <f t="shared" ca="1" si="7"/>
        <v>12</v>
      </c>
      <c r="E31" s="9" t="str" cm="1">
        <f t="array" aca="1" ref="E31" ca="1">IFERROR(INDEX(Table11[Number of Tasks],$F31)=$D31,"")</f>
        <v/>
      </c>
      <c r="F31" s="9" t="str">
        <f ca="1">IFERROR(MATCH($C31,Table11[Task Sheet Shadow ID],0),"")</f>
        <v/>
      </c>
      <c r="G31" s="9" t="str" cm="1">
        <f t="array" aca="1" ref="G31" ca="1">IFERROR(_xlfn.LET(
_xlpm._column,INDEX(Table11[Task ID Column],$F31),
MATCH($D31,INDIRECT("'"&amp;INDEX(Table11[Sheet Name],$F31)&amp;"'!"&amp;_xlpm._column&amp;":"&amp;_xlpm._column),0)),"")</f>
        <v/>
      </c>
      <c r="H31" s="9" t="str" cm="1">
        <f t="array" aca="1" ref="H31" ca="1">IF($G31="","",(_xlfn.LET(
_xlpm._columnID,INDEX(Table11[ID Column],$F31),
_xlpm._columnName,INDEX(Table11[Name Column],$F31),
INDEX(INDIRECT("'"&amp;INDEX(Table11[Sheet Name],$F31)&amp;"'!"&amp;_xlpm._columnID&amp;":"&amp;_xlpm._columnID),$G31)&amp;" "&amp;
INDEX(INDIRECT("'"&amp;INDEX(Table11[Sheet Name],$F31)&amp;"'!"&amp;_xlpm._columnName&amp;":"&amp;_xlpm._columnName),$G31))))</f>
        <v/>
      </c>
      <c r="I31" s="9" t="str" cm="1">
        <f t="array" aca="1" ref="I31" ca="1">IF($G31="","",(_xlfn.LET(
_xlpm._columnID,INDEX(Table11[Comment Column],$F31),
INDEX(INDIRECT("'"&amp;INDEX(Table11[Sheet Name],$F31)&amp;"'!"&amp;_xlpm._columnID&amp;":"&amp;_xlpm._columnID),$G31))))</f>
        <v/>
      </c>
    </row>
    <row r="32" spans="1:9" x14ac:dyDescent="0.25">
      <c r="A32" s="21" t="str" cm="1">
        <f t="array" aca="1" ref="A32" ca="1">IF($E32="","",
HYPERLINK("#'"&amp;INDEX(Table11[Sheet Name],$F32)&amp;"'!"&amp;INDEX(Table11[ID Column],$F32)&amp;$G32,
IF(LEN(H32)&gt;255,LEFT(H32,250)&amp;" …",H32)))</f>
        <v/>
      </c>
      <c r="B32" s="21" t="str" cm="1">
        <f t="array" aca="1" ref="B32" ca="1">IF($E32="","",HYPERLINK("#'"&amp;INDEX(Table11[Sheet Name],$F32)&amp;"'!"&amp;INDEX(Table11[Comment Column],$F32)&amp;$G32,
IF(LEN(I32)&gt;255,LEFT(I32,250)&amp;" …",I32)))</f>
        <v/>
      </c>
      <c r="C32" s="9" cm="1">
        <f t="array" aca="1" ref="C32" ca="1">IFERROR(IF(ROW()=ROW($C$19)+1,1,INDEX($C:$C,ROW()-1))+
IF(INDEX($E:$E,ROW()-1)=TRUE,1,0),"")</f>
        <v>1</v>
      </c>
      <c r="D32" s="9">
        <f t="shared" ca="1" si="7"/>
        <v>13</v>
      </c>
      <c r="E32" s="9" t="str" cm="1">
        <f t="array" aca="1" ref="E32" ca="1">IFERROR(INDEX(Table11[Number of Tasks],$F32)=$D32,"")</f>
        <v/>
      </c>
      <c r="F32" s="9" t="str">
        <f ca="1">IFERROR(MATCH($C32,Table11[Task Sheet Shadow ID],0),"")</f>
        <v/>
      </c>
      <c r="G32" s="9" t="str" cm="1">
        <f t="array" aca="1" ref="G32" ca="1">IFERROR(_xlfn.LET(
_xlpm._column,INDEX(Table11[Task ID Column],$F32),
MATCH($D32,INDIRECT("'"&amp;INDEX(Table11[Sheet Name],$F32)&amp;"'!"&amp;_xlpm._column&amp;":"&amp;_xlpm._column),0)),"")</f>
        <v/>
      </c>
      <c r="H32" s="9" t="str" cm="1">
        <f t="array" aca="1" ref="H32" ca="1">IF($G32="","",(_xlfn.LET(
_xlpm._columnID,INDEX(Table11[ID Column],$F32),
_xlpm._columnName,INDEX(Table11[Name Column],$F32),
INDEX(INDIRECT("'"&amp;INDEX(Table11[Sheet Name],$F32)&amp;"'!"&amp;_xlpm._columnID&amp;":"&amp;_xlpm._columnID),$G32)&amp;" "&amp;
INDEX(INDIRECT("'"&amp;INDEX(Table11[Sheet Name],$F32)&amp;"'!"&amp;_xlpm._columnName&amp;":"&amp;_xlpm._columnName),$G32))))</f>
        <v/>
      </c>
      <c r="I32" s="9" t="str" cm="1">
        <f t="array" aca="1" ref="I32" ca="1">IF($G32="","",(_xlfn.LET(
_xlpm._columnID,INDEX(Table11[Comment Column],$F32),
INDEX(INDIRECT("'"&amp;INDEX(Table11[Sheet Name],$F32)&amp;"'!"&amp;_xlpm._columnID&amp;":"&amp;_xlpm._columnID),$G32))))</f>
        <v/>
      </c>
    </row>
    <row r="33" spans="1:9" x14ac:dyDescent="0.25">
      <c r="A33" s="21" t="str" cm="1">
        <f t="array" aca="1" ref="A33" ca="1">IF($E33="","",
HYPERLINK("#'"&amp;INDEX(Table11[Sheet Name],$F33)&amp;"'!"&amp;INDEX(Table11[ID Column],$F33)&amp;$G33,
IF(LEN(H33)&gt;255,LEFT(H33,250)&amp;" …",H33)))</f>
        <v/>
      </c>
      <c r="B33" s="21" t="str" cm="1">
        <f t="array" aca="1" ref="B33" ca="1">IF($E33="","",HYPERLINK("#'"&amp;INDEX(Table11[Sheet Name],$F33)&amp;"'!"&amp;INDEX(Table11[Comment Column],$F33)&amp;$G33,
IF(LEN(I33)&gt;255,LEFT(I33,250)&amp;" …",I33)))</f>
        <v/>
      </c>
      <c r="C33" s="9" cm="1">
        <f t="array" aca="1" ref="C33" ca="1">IFERROR(IF(ROW()=ROW($C$19)+1,1,INDEX($C:$C,ROW()-1))+
IF(INDEX($E:$E,ROW()-1)=TRUE,1,0),"")</f>
        <v>1</v>
      </c>
      <c r="D33" s="9">
        <f t="shared" ca="1" si="7"/>
        <v>14</v>
      </c>
      <c r="E33" s="9" t="str" cm="1">
        <f t="array" aca="1" ref="E33" ca="1">IFERROR(INDEX(Table11[Number of Tasks],$F33)=$D33,"")</f>
        <v/>
      </c>
      <c r="F33" s="9" t="str">
        <f ca="1">IFERROR(MATCH($C33,Table11[Task Sheet Shadow ID],0),"")</f>
        <v/>
      </c>
      <c r="G33" s="9" t="str" cm="1">
        <f t="array" aca="1" ref="G33" ca="1">IFERROR(_xlfn.LET(
_xlpm._column,INDEX(Table11[Task ID Column],$F33),
MATCH($D33,INDIRECT("'"&amp;INDEX(Table11[Sheet Name],$F33)&amp;"'!"&amp;_xlpm._column&amp;":"&amp;_xlpm._column),0)),"")</f>
        <v/>
      </c>
      <c r="H33" s="9" t="str" cm="1">
        <f t="array" aca="1" ref="H33" ca="1">IF($G33="","",(_xlfn.LET(
_xlpm._columnID,INDEX(Table11[ID Column],$F33),
_xlpm._columnName,INDEX(Table11[Name Column],$F33),
INDEX(INDIRECT("'"&amp;INDEX(Table11[Sheet Name],$F33)&amp;"'!"&amp;_xlpm._columnID&amp;":"&amp;_xlpm._columnID),$G33)&amp;" "&amp;
INDEX(INDIRECT("'"&amp;INDEX(Table11[Sheet Name],$F33)&amp;"'!"&amp;_xlpm._columnName&amp;":"&amp;_xlpm._columnName),$G33))))</f>
        <v/>
      </c>
      <c r="I33" s="9" t="str" cm="1">
        <f t="array" aca="1" ref="I33" ca="1">IF($G33="","",(_xlfn.LET(
_xlpm._columnID,INDEX(Table11[Comment Column],$F33),
INDEX(INDIRECT("'"&amp;INDEX(Table11[Sheet Name],$F33)&amp;"'!"&amp;_xlpm._columnID&amp;":"&amp;_xlpm._columnID),$G33))))</f>
        <v/>
      </c>
    </row>
    <row r="34" spans="1:9" x14ac:dyDescent="0.25">
      <c r="A34" s="24" t="str" cm="1">
        <f t="array" aca="1" ref="A34" ca="1">IF($E34="","",
HYPERLINK("#'"&amp;INDEX(Table11[Sheet Name],$F34)&amp;"'!"&amp;INDEX(Table11[ID Column],$F34)&amp;$G34,
IF(LEN(H34)&gt;255,LEFT(H34,250)&amp;" …",H34)))</f>
        <v/>
      </c>
      <c r="B34" s="24" t="str" cm="1">
        <f t="array" aca="1" ref="B34" ca="1">IF($E34="","",HYPERLINK("#'"&amp;INDEX(Table11[Sheet Name],$F34)&amp;"'!"&amp;INDEX(Table11[Comment Column],$F34)&amp;$G34,
IF(LEN(I34)&gt;255,LEFT(I34,250)&amp;" …",I34)))</f>
        <v/>
      </c>
      <c r="C34" s="9" cm="1">
        <f t="array" aca="1" ref="C34" ca="1">IFERROR(IF(ROW()=ROW($C$19)+1,1,INDEX($C:$C,ROW()-1))+
IF(INDEX($E:$E,ROW()-1)=TRUE,1,0),"")</f>
        <v>1</v>
      </c>
      <c r="D34" s="9">
        <f t="shared" ref="D34:D49" ca="1" si="8">COUNTIF(OFFSET($C$19,1,0,ROW()-ROW($D$19),1),$C34)</f>
        <v>15</v>
      </c>
      <c r="E34" s="9" t="str" cm="1">
        <f t="array" aca="1" ref="E34" ca="1">IFERROR(INDEX(Table11[Number of Tasks],$F34)=$D34,"")</f>
        <v/>
      </c>
      <c r="F34" s="9" t="str">
        <f ca="1">IFERROR(MATCH($C34,Table11[Task Sheet Shadow ID],0),"")</f>
        <v/>
      </c>
      <c r="G34" s="9" t="str" cm="1">
        <f t="array" aca="1" ref="G34" ca="1">IFERROR(_xlfn.LET(
_xlpm._column,INDEX(Table11[Task ID Column],$F34),
MATCH($D34,INDIRECT("'"&amp;INDEX(Table11[Sheet Name],$F34)&amp;"'!"&amp;_xlpm._column&amp;":"&amp;_xlpm._column),0)),"")</f>
        <v/>
      </c>
      <c r="H34" s="9" t="str" cm="1">
        <f t="array" aca="1" ref="H34" ca="1">IF($G34="","",(_xlfn.LET(
_xlpm._columnID,INDEX(Table11[ID Column],$F34),
_xlpm._columnName,INDEX(Table11[Name Column],$F34),
INDEX(INDIRECT("'"&amp;INDEX(Table11[Sheet Name],$F34)&amp;"'!"&amp;_xlpm._columnID&amp;":"&amp;_xlpm._columnID),$G34)&amp;" "&amp;
INDEX(INDIRECT("'"&amp;INDEX(Table11[Sheet Name],$F34)&amp;"'!"&amp;_xlpm._columnName&amp;":"&amp;_xlpm._columnName),$G34))))</f>
        <v/>
      </c>
      <c r="I34" s="9" t="str" cm="1">
        <f t="array" aca="1" ref="I34" ca="1">IF($G34="","",(_xlfn.LET(
_xlpm._columnID,INDEX(Table11[Comment Column],$F34),
INDEX(INDIRECT("'"&amp;INDEX(Table11[Sheet Name],$F34)&amp;"'!"&amp;_xlpm._columnID&amp;":"&amp;_xlpm._columnID),$G34))))</f>
        <v/>
      </c>
    </row>
    <row r="35" spans="1:9" x14ac:dyDescent="0.25">
      <c r="A35" s="24" t="str" cm="1">
        <f t="array" aca="1" ref="A35" ca="1">IF($E35="","",
HYPERLINK("#'"&amp;INDEX(Table11[Sheet Name],$F35)&amp;"'!"&amp;INDEX(Table11[ID Column],$F35)&amp;$G35,
IF(LEN(H35)&gt;255,LEFT(H35,250)&amp;" …",H35)))</f>
        <v/>
      </c>
      <c r="B35" s="24" t="str" cm="1">
        <f t="array" aca="1" ref="B35" ca="1">IF($E35="","",HYPERLINK("#'"&amp;INDEX(Table11[Sheet Name],$F35)&amp;"'!"&amp;INDEX(Table11[Comment Column],$F35)&amp;$G35,
IF(LEN(I35)&gt;255,LEFT(I35,250)&amp;" …",I35)))</f>
        <v/>
      </c>
      <c r="C35" s="9" cm="1">
        <f t="array" aca="1" ref="C35" ca="1">IFERROR(IF(ROW()=ROW($C$19)+1,1,INDEX($C:$C,ROW()-1))+
IF(INDEX($E:$E,ROW()-1)=TRUE,1,0),"")</f>
        <v>1</v>
      </c>
      <c r="D35" s="9">
        <f t="shared" ca="1" si="8"/>
        <v>16</v>
      </c>
      <c r="E35" s="9" t="str" cm="1">
        <f t="array" aca="1" ref="E35" ca="1">IFERROR(INDEX(Table11[Number of Tasks],$F35)=$D35,"")</f>
        <v/>
      </c>
      <c r="F35" s="9" t="str">
        <f ca="1">IFERROR(MATCH($C35,Table11[Task Sheet Shadow ID],0),"")</f>
        <v/>
      </c>
      <c r="G35" s="9" t="str" cm="1">
        <f t="array" aca="1" ref="G35" ca="1">IFERROR(_xlfn.LET(
_xlpm._column,INDEX(Table11[Task ID Column],$F35),
MATCH($D35,INDIRECT("'"&amp;INDEX(Table11[Sheet Name],$F35)&amp;"'!"&amp;_xlpm._column&amp;":"&amp;_xlpm._column),0)),"")</f>
        <v/>
      </c>
      <c r="H35" s="9" t="str" cm="1">
        <f t="array" aca="1" ref="H35" ca="1">IF($G35="","",(_xlfn.LET(
_xlpm._columnID,INDEX(Table11[ID Column],$F35),
_xlpm._columnName,INDEX(Table11[Name Column],$F35),
INDEX(INDIRECT("'"&amp;INDEX(Table11[Sheet Name],$F35)&amp;"'!"&amp;_xlpm._columnID&amp;":"&amp;_xlpm._columnID),$G35)&amp;" "&amp;
INDEX(INDIRECT("'"&amp;INDEX(Table11[Sheet Name],$F35)&amp;"'!"&amp;_xlpm._columnName&amp;":"&amp;_xlpm._columnName),$G35))))</f>
        <v/>
      </c>
      <c r="I35" s="9" t="str" cm="1">
        <f t="array" aca="1" ref="I35" ca="1">IF($G35="","",(_xlfn.LET(
_xlpm._columnID,INDEX(Table11[Comment Column],$F35),
INDEX(INDIRECT("'"&amp;INDEX(Table11[Sheet Name],$F35)&amp;"'!"&amp;_xlpm._columnID&amp;":"&amp;_xlpm._columnID),$G35))))</f>
        <v/>
      </c>
    </row>
    <row r="36" spans="1:9" x14ac:dyDescent="0.25">
      <c r="A36" s="24" t="str" cm="1">
        <f t="array" aca="1" ref="A36" ca="1">IF($E36="","",
HYPERLINK("#'"&amp;INDEX(Table11[Sheet Name],$F36)&amp;"'!"&amp;INDEX(Table11[ID Column],$F36)&amp;$G36,
IF(LEN(H36)&gt;255,LEFT(H36,250)&amp;" …",H36)))</f>
        <v/>
      </c>
      <c r="B36" s="24" t="str" cm="1">
        <f t="array" aca="1" ref="B36" ca="1">IF($E36="","",HYPERLINK("#'"&amp;INDEX(Table11[Sheet Name],$F36)&amp;"'!"&amp;INDEX(Table11[Comment Column],$F36)&amp;$G36,
IF(LEN(I36)&gt;255,LEFT(I36,250)&amp;" …",I36)))</f>
        <v/>
      </c>
      <c r="C36" s="9" cm="1">
        <f t="array" aca="1" ref="C36" ca="1">IFERROR(IF(ROW()=ROW($C$19)+1,1,INDEX($C:$C,ROW()-1))+
IF(INDEX($E:$E,ROW()-1)=TRUE,1,0),"")</f>
        <v>1</v>
      </c>
      <c r="D36" s="9">
        <f t="shared" ca="1" si="8"/>
        <v>17</v>
      </c>
      <c r="E36" s="9" t="str" cm="1">
        <f t="array" aca="1" ref="E36" ca="1">IFERROR(INDEX(Table11[Number of Tasks],$F36)=$D36,"")</f>
        <v/>
      </c>
      <c r="F36" s="9" t="str">
        <f ca="1">IFERROR(MATCH($C36,Table11[Task Sheet Shadow ID],0),"")</f>
        <v/>
      </c>
      <c r="G36" s="9" t="str" cm="1">
        <f t="array" aca="1" ref="G36" ca="1">IFERROR(_xlfn.LET(
_xlpm._column,INDEX(Table11[Task ID Column],$F36),
MATCH($D36,INDIRECT("'"&amp;INDEX(Table11[Sheet Name],$F36)&amp;"'!"&amp;_xlpm._column&amp;":"&amp;_xlpm._column),0)),"")</f>
        <v/>
      </c>
      <c r="H36" s="9" t="str" cm="1">
        <f t="array" aca="1" ref="H36" ca="1">IF($G36="","",(_xlfn.LET(
_xlpm._columnID,INDEX(Table11[ID Column],$F36),
_xlpm._columnName,INDEX(Table11[Name Column],$F36),
INDEX(INDIRECT("'"&amp;INDEX(Table11[Sheet Name],$F36)&amp;"'!"&amp;_xlpm._columnID&amp;":"&amp;_xlpm._columnID),$G36)&amp;" "&amp;
INDEX(INDIRECT("'"&amp;INDEX(Table11[Sheet Name],$F36)&amp;"'!"&amp;_xlpm._columnName&amp;":"&amp;_xlpm._columnName),$G36))))</f>
        <v/>
      </c>
      <c r="I36" s="9" t="str" cm="1">
        <f t="array" aca="1" ref="I36" ca="1">IF($G36="","",(_xlfn.LET(
_xlpm._columnID,INDEX(Table11[Comment Column],$F36),
INDEX(INDIRECT("'"&amp;INDEX(Table11[Sheet Name],$F36)&amp;"'!"&amp;_xlpm._columnID&amp;":"&amp;_xlpm._columnID),$G36))))</f>
        <v/>
      </c>
    </row>
    <row r="37" spans="1:9" x14ac:dyDescent="0.25">
      <c r="A37" s="24" t="str" cm="1">
        <f t="array" aca="1" ref="A37" ca="1">IF($E37="","",
HYPERLINK("#'"&amp;INDEX(Table11[Sheet Name],$F37)&amp;"'!"&amp;INDEX(Table11[ID Column],$F37)&amp;$G37,
IF(LEN(H37)&gt;255,LEFT(H37,250)&amp;" …",H37)))</f>
        <v/>
      </c>
      <c r="B37" s="24" t="str" cm="1">
        <f t="array" aca="1" ref="B37" ca="1">IF($E37="","",HYPERLINK("#'"&amp;INDEX(Table11[Sheet Name],$F37)&amp;"'!"&amp;INDEX(Table11[Comment Column],$F37)&amp;$G37,
IF(LEN(I37)&gt;255,LEFT(I37,250)&amp;" …",I37)))</f>
        <v/>
      </c>
      <c r="C37" s="9" cm="1">
        <f t="array" aca="1" ref="C37" ca="1">IFERROR(IF(ROW()=ROW($C$19)+1,1,INDEX($C:$C,ROW()-1))+
IF(INDEX($E:$E,ROW()-1)=TRUE,1,0),"")</f>
        <v>1</v>
      </c>
      <c r="D37" s="9">
        <f t="shared" ca="1" si="8"/>
        <v>18</v>
      </c>
      <c r="E37" s="9" t="str" cm="1">
        <f t="array" aca="1" ref="E37" ca="1">IFERROR(INDEX(Table11[Number of Tasks],$F37)=$D37,"")</f>
        <v/>
      </c>
      <c r="F37" s="9" t="str">
        <f ca="1">IFERROR(MATCH($C37,Table11[Task Sheet Shadow ID],0),"")</f>
        <v/>
      </c>
      <c r="G37" s="9" t="str" cm="1">
        <f t="array" aca="1" ref="G37" ca="1">IFERROR(_xlfn.LET(
_xlpm._column,INDEX(Table11[Task ID Column],$F37),
MATCH($D37,INDIRECT("'"&amp;INDEX(Table11[Sheet Name],$F37)&amp;"'!"&amp;_xlpm._column&amp;":"&amp;_xlpm._column),0)),"")</f>
        <v/>
      </c>
      <c r="H37" s="9" t="str" cm="1">
        <f t="array" aca="1" ref="H37" ca="1">IF($G37="","",(_xlfn.LET(
_xlpm._columnID,INDEX(Table11[ID Column],$F37),
_xlpm._columnName,INDEX(Table11[Name Column],$F37),
INDEX(INDIRECT("'"&amp;INDEX(Table11[Sheet Name],$F37)&amp;"'!"&amp;_xlpm._columnID&amp;":"&amp;_xlpm._columnID),$G37)&amp;" "&amp;
INDEX(INDIRECT("'"&amp;INDEX(Table11[Sheet Name],$F37)&amp;"'!"&amp;_xlpm._columnName&amp;":"&amp;_xlpm._columnName),$G37))))</f>
        <v/>
      </c>
      <c r="I37" s="9" t="str" cm="1">
        <f t="array" aca="1" ref="I37" ca="1">IF($G37="","",(_xlfn.LET(
_xlpm._columnID,INDEX(Table11[Comment Column],$F37),
INDEX(INDIRECT("'"&amp;INDEX(Table11[Sheet Name],$F37)&amp;"'!"&amp;_xlpm._columnID&amp;":"&amp;_xlpm._columnID),$G37))))</f>
        <v/>
      </c>
    </row>
    <row r="38" spans="1:9" x14ac:dyDescent="0.25">
      <c r="A38" s="24" t="str" cm="1">
        <f t="array" aca="1" ref="A38" ca="1">IF($E38="","",
HYPERLINK("#'"&amp;INDEX(Table11[Sheet Name],$F38)&amp;"'!"&amp;INDEX(Table11[ID Column],$F38)&amp;$G38,
IF(LEN(H38)&gt;255,LEFT(H38,250)&amp;" …",H38)))</f>
        <v/>
      </c>
      <c r="B38" s="24" t="str" cm="1">
        <f t="array" aca="1" ref="B38" ca="1">IF($E38="","",HYPERLINK("#'"&amp;INDEX(Table11[Sheet Name],$F38)&amp;"'!"&amp;INDEX(Table11[Comment Column],$F38)&amp;$G38,
IF(LEN(I38)&gt;255,LEFT(I38,250)&amp;" …",I38)))</f>
        <v/>
      </c>
      <c r="C38" s="9" cm="1">
        <f t="array" aca="1" ref="C38" ca="1">IFERROR(IF(ROW()=ROW($C$19)+1,1,INDEX($C:$C,ROW()-1))+
IF(INDEX($E:$E,ROW()-1)=TRUE,1,0),"")</f>
        <v>1</v>
      </c>
      <c r="D38" s="9">
        <f t="shared" ca="1" si="8"/>
        <v>19</v>
      </c>
      <c r="E38" s="9" t="str" cm="1">
        <f t="array" aca="1" ref="E38" ca="1">IFERROR(INDEX(Table11[Number of Tasks],$F38)=$D38,"")</f>
        <v/>
      </c>
      <c r="F38" s="9" t="str">
        <f ca="1">IFERROR(MATCH($C38,Table11[Task Sheet Shadow ID],0),"")</f>
        <v/>
      </c>
      <c r="G38" s="9" t="str" cm="1">
        <f t="array" aca="1" ref="G38" ca="1">IFERROR(_xlfn.LET(
_xlpm._column,INDEX(Table11[Task ID Column],$F38),
MATCH($D38,INDIRECT("'"&amp;INDEX(Table11[Sheet Name],$F38)&amp;"'!"&amp;_xlpm._column&amp;":"&amp;_xlpm._column),0)),"")</f>
        <v/>
      </c>
      <c r="H38" s="9" t="str" cm="1">
        <f t="array" aca="1" ref="H38" ca="1">IF($G38="","",(_xlfn.LET(
_xlpm._columnID,INDEX(Table11[ID Column],$F38),
_xlpm._columnName,INDEX(Table11[Name Column],$F38),
INDEX(INDIRECT("'"&amp;INDEX(Table11[Sheet Name],$F38)&amp;"'!"&amp;_xlpm._columnID&amp;":"&amp;_xlpm._columnID),$G38)&amp;" "&amp;
INDEX(INDIRECT("'"&amp;INDEX(Table11[Sheet Name],$F38)&amp;"'!"&amp;_xlpm._columnName&amp;":"&amp;_xlpm._columnName),$G38))))</f>
        <v/>
      </c>
      <c r="I38" s="9" t="str" cm="1">
        <f t="array" aca="1" ref="I38" ca="1">IF($G38="","",(_xlfn.LET(
_xlpm._columnID,INDEX(Table11[Comment Column],$F38),
INDEX(INDIRECT("'"&amp;INDEX(Table11[Sheet Name],$F38)&amp;"'!"&amp;_xlpm._columnID&amp;":"&amp;_xlpm._columnID),$G38))))</f>
        <v/>
      </c>
    </row>
    <row r="39" spans="1:9" x14ac:dyDescent="0.25">
      <c r="A39" s="24" t="str" cm="1">
        <f t="array" aca="1" ref="A39" ca="1">IF($E39="","",
HYPERLINK("#'"&amp;INDEX(Table11[Sheet Name],$F39)&amp;"'!"&amp;INDEX(Table11[ID Column],$F39)&amp;$G39,
IF(LEN(H39)&gt;255,LEFT(H39,250)&amp;" …",H39)))</f>
        <v/>
      </c>
      <c r="B39" s="24" t="str" cm="1">
        <f t="array" aca="1" ref="B39" ca="1">IF($E39="","",HYPERLINK("#'"&amp;INDEX(Table11[Sheet Name],$F39)&amp;"'!"&amp;INDEX(Table11[Comment Column],$F39)&amp;$G39,
IF(LEN(I39)&gt;255,LEFT(I39,250)&amp;" …",I39)))</f>
        <v/>
      </c>
      <c r="C39" s="9" cm="1">
        <f t="array" aca="1" ref="C39" ca="1">IFERROR(IF(ROW()=ROW($C$19)+1,1,INDEX($C:$C,ROW()-1))+
IF(INDEX($E:$E,ROW()-1)=TRUE,1,0),"")</f>
        <v>1</v>
      </c>
      <c r="D39" s="9">
        <f t="shared" ca="1" si="8"/>
        <v>20</v>
      </c>
      <c r="E39" s="9" t="str" cm="1">
        <f t="array" aca="1" ref="E39" ca="1">IFERROR(INDEX(Table11[Number of Tasks],$F39)=$D39,"")</f>
        <v/>
      </c>
      <c r="F39" s="9" t="str">
        <f ca="1">IFERROR(MATCH($C39,Table11[Task Sheet Shadow ID],0),"")</f>
        <v/>
      </c>
      <c r="G39" s="9" t="str" cm="1">
        <f t="array" aca="1" ref="G39" ca="1">IFERROR(_xlfn.LET(
_xlpm._column,INDEX(Table11[Task ID Column],$F39),
MATCH($D39,INDIRECT("'"&amp;INDEX(Table11[Sheet Name],$F39)&amp;"'!"&amp;_xlpm._column&amp;":"&amp;_xlpm._column),0)),"")</f>
        <v/>
      </c>
      <c r="H39" s="9" t="str" cm="1">
        <f t="array" aca="1" ref="H39" ca="1">IF($G39="","",(_xlfn.LET(
_xlpm._columnID,INDEX(Table11[ID Column],$F39),
_xlpm._columnName,INDEX(Table11[Name Column],$F39),
INDEX(INDIRECT("'"&amp;INDEX(Table11[Sheet Name],$F39)&amp;"'!"&amp;_xlpm._columnID&amp;":"&amp;_xlpm._columnID),$G39)&amp;" "&amp;
INDEX(INDIRECT("'"&amp;INDEX(Table11[Sheet Name],$F39)&amp;"'!"&amp;_xlpm._columnName&amp;":"&amp;_xlpm._columnName),$G39))))</f>
        <v/>
      </c>
      <c r="I39" s="9" t="str" cm="1">
        <f t="array" aca="1" ref="I39" ca="1">IF($G39="","",(_xlfn.LET(
_xlpm._columnID,INDEX(Table11[Comment Column],$F39),
INDEX(INDIRECT("'"&amp;INDEX(Table11[Sheet Name],$F39)&amp;"'!"&amp;_xlpm._columnID&amp;":"&amp;_xlpm._columnID),$G39))))</f>
        <v/>
      </c>
    </row>
    <row r="40" spans="1:9" x14ac:dyDescent="0.25">
      <c r="A40" s="24" t="str" cm="1">
        <f t="array" aca="1" ref="A40" ca="1">IF($E40="","",
HYPERLINK("#'"&amp;INDEX(Table11[Sheet Name],$F40)&amp;"'!"&amp;INDEX(Table11[ID Column],$F40)&amp;$G40,
IF(LEN(H40)&gt;255,LEFT(H40,250)&amp;" …",H40)))</f>
        <v/>
      </c>
      <c r="B40" s="24" t="str" cm="1">
        <f t="array" aca="1" ref="B40" ca="1">IF($E40="","",HYPERLINK("#'"&amp;INDEX(Table11[Sheet Name],$F40)&amp;"'!"&amp;INDEX(Table11[Comment Column],$F40)&amp;$G40,
IF(LEN(I40)&gt;255,LEFT(I40,250)&amp;" …",I40)))</f>
        <v/>
      </c>
      <c r="C40" s="9" cm="1">
        <f t="array" aca="1" ref="C40" ca="1">IFERROR(IF(ROW()=ROW($C$19)+1,1,INDEX($C:$C,ROW()-1))+
IF(INDEX($E:$E,ROW()-1)=TRUE,1,0),"")</f>
        <v>1</v>
      </c>
      <c r="D40" s="9">
        <f t="shared" ca="1" si="8"/>
        <v>21</v>
      </c>
      <c r="E40" s="9" t="str" cm="1">
        <f t="array" aca="1" ref="E40" ca="1">IFERROR(INDEX(Table11[Number of Tasks],$F40)=$D40,"")</f>
        <v/>
      </c>
      <c r="F40" s="9" t="str">
        <f ca="1">IFERROR(MATCH($C40,Table11[Task Sheet Shadow ID],0),"")</f>
        <v/>
      </c>
      <c r="G40" s="9" t="str" cm="1">
        <f t="array" aca="1" ref="G40" ca="1">IFERROR(_xlfn.LET(
_xlpm._column,INDEX(Table11[Task ID Column],$F40),
MATCH($D40,INDIRECT("'"&amp;INDEX(Table11[Sheet Name],$F40)&amp;"'!"&amp;_xlpm._column&amp;":"&amp;_xlpm._column),0)),"")</f>
        <v/>
      </c>
      <c r="H40" s="9" t="str" cm="1">
        <f t="array" aca="1" ref="H40" ca="1">IF($G40="","",(_xlfn.LET(
_xlpm._columnID,INDEX(Table11[ID Column],$F40),
_xlpm._columnName,INDEX(Table11[Name Column],$F40),
INDEX(INDIRECT("'"&amp;INDEX(Table11[Sheet Name],$F40)&amp;"'!"&amp;_xlpm._columnID&amp;":"&amp;_xlpm._columnID),$G40)&amp;" "&amp;
INDEX(INDIRECT("'"&amp;INDEX(Table11[Sheet Name],$F40)&amp;"'!"&amp;_xlpm._columnName&amp;":"&amp;_xlpm._columnName),$G40))))</f>
        <v/>
      </c>
      <c r="I40" s="9" t="str" cm="1">
        <f t="array" aca="1" ref="I40" ca="1">IF($G40="","",(_xlfn.LET(
_xlpm._columnID,INDEX(Table11[Comment Column],$F40),
INDEX(INDIRECT("'"&amp;INDEX(Table11[Sheet Name],$F40)&amp;"'!"&amp;_xlpm._columnID&amp;":"&amp;_xlpm._columnID),$G40))))</f>
        <v/>
      </c>
    </row>
    <row r="41" spans="1:9" x14ac:dyDescent="0.25">
      <c r="A41" s="24" t="str" cm="1">
        <f t="array" aca="1" ref="A41" ca="1">IF($E41="","",
HYPERLINK("#'"&amp;INDEX(Table11[Sheet Name],$F41)&amp;"'!"&amp;INDEX(Table11[ID Column],$F41)&amp;$G41,
IF(LEN(H41)&gt;255,LEFT(H41,250)&amp;" …",H41)))</f>
        <v/>
      </c>
      <c r="B41" s="24" t="str" cm="1">
        <f t="array" aca="1" ref="B41" ca="1">IF($E41="","",HYPERLINK("#'"&amp;INDEX(Table11[Sheet Name],$F41)&amp;"'!"&amp;INDEX(Table11[Comment Column],$F41)&amp;$G41,
IF(LEN(I41)&gt;255,LEFT(I41,250)&amp;" …",I41)))</f>
        <v/>
      </c>
      <c r="C41" s="9" cm="1">
        <f t="array" aca="1" ref="C41" ca="1">IFERROR(IF(ROW()=ROW($C$19)+1,1,INDEX($C:$C,ROW()-1))+
IF(INDEX($E:$E,ROW()-1)=TRUE,1,0),"")</f>
        <v>1</v>
      </c>
      <c r="D41" s="9">
        <f t="shared" ca="1" si="8"/>
        <v>22</v>
      </c>
      <c r="E41" s="9" t="str" cm="1">
        <f t="array" aca="1" ref="E41" ca="1">IFERROR(INDEX(Table11[Number of Tasks],$F41)=$D41,"")</f>
        <v/>
      </c>
      <c r="F41" s="9" t="str">
        <f ca="1">IFERROR(MATCH($C41,Table11[Task Sheet Shadow ID],0),"")</f>
        <v/>
      </c>
      <c r="G41" s="9" t="str" cm="1">
        <f t="array" aca="1" ref="G41" ca="1">IFERROR(_xlfn.LET(
_xlpm._column,INDEX(Table11[Task ID Column],$F41),
MATCH($D41,INDIRECT("'"&amp;INDEX(Table11[Sheet Name],$F41)&amp;"'!"&amp;_xlpm._column&amp;":"&amp;_xlpm._column),0)),"")</f>
        <v/>
      </c>
      <c r="H41" s="9" t="str" cm="1">
        <f t="array" aca="1" ref="H41" ca="1">IF($G41="","",(_xlfn.LET(
_xlpm._columnID,INDEX(Table11[ID Column],$F41),
_xlpm._columnName,INDEX(Table11[Name Column],$F41),
INDEX(INDIRECT("'"&amp;INDEX(Table11[Sheet Name],$F41)&amp;"'!"&amp;_xlpm._columnID&amp;":"&amp;_xlpm._columnID),$G41)&amp;" "&amp;
INDEX(INDIRECT("'"&amp;INDEX(Table11[Sheet Name],$F41)&amp;"'!"&amp;_xlpm._columnName&amp;":"&amp;_xlpm._columnName),$G41))))</f>
        <v/>
      </c>
      <c r="I41" s="9" t="str" cm="1">
        <f t="array" aca="1" ref="I41" ca="1">IF($G41="","",(_xlfn.LET(
_xlpm._columnID,INDEX(Table11[Comment Column],$F41),
INDEX(INDIRECT("'"&amp;INDEX(Table11[Sheet Name],$F41)&amp;"'!"&amp;_xlpm._columnID&amp;":"&amp;_xlpm._columnID),$G41))))</f>
        <v/>
      </c>
    </row>
    <row r="42" spans="1:9" x14ac:dyDescent="0.25">
      <c r="A42" s="24" t="str" cm="1">
        <f t="array" aca="1" ref="A42" ca="1">IF($E42="","",
HYPERLINK("#'"&amp;INDEX(Table11[Sheet Name],$F42)&amp;"'!"&amp;INDEX(Table11[ID Column],$F42)&amp;$G42,
IF(LEN(H42)&gt;255,LEFT(H42,250)&amp;" …",H42)))</f>
        <v/>
      </c>
      <c r="B42" s="24" t="str" cm="1">
        <f t="array" aca="1" ref="B42" ca="1">IF($E42="","",HYPERLINK("#'"&amp;INDEX(Table11[Sheet Name],$F42)&amp;"'!"&amp;INDEX(Table11[Comment Column],$F42)&amp;$G42,
IF(LEN(I42)&gt;255,LEFT(I42,250)&amp;" …",I42)))</f>
        <v/>
      </c>
      <c r="C42" s="9" cm="1">
        <f t="array" aca="1" ref="C42" ca="1">IFERROR(IF(ROW()=ROW($C$19)+1,1,INDEX($C:$C,ROW()-1))+
IF(INDEX($E:$E,ROW()-1)=TRUE,1,0),"")</f>
        <v>1</v>
      </c>
      <c r="D42" s="9">
        <f t="shared" ca="1" si="8"/>
        <v>23</v>
      </c>
      <c r="E42" s="9" t="str" cm="1">
        <f t="array" aca="1" ref="E42" ca="1">IFERROR(INDEX(Table11[Number of Tasks],$F42)=$D42,"")</f>
        <v/>
      </c>
      <c r="F42" s="9" t="str">
        <f ca="1">IFERROR(MATCH($C42,Table11[Task Sheet Shadow ID],0),"")</f>
        <v/>
      </c>
      <c r="G42" s="9" t="str" cm="1">
        <f t="array" aca="1" ref="G42" ca="1">IFERROR(_xlfn.LET(
_xlpm._column,INDEX(Table11[Task ID Column],$F42),
MATCH($D42,INDIRECT("'"&amp;INDEX(Table11[Sheet Name],$F42)&amp;"'!"&amp;_xlpm._column&amp;":"&amp;_xlpm._column),0)),"")</f>
        <v/>
      </c>
      <c r="H42" s="9" t="str" cm="1">
        <f t="array" aca="1" ref="H42" ca="1">IF($G42="","",(_xlfn.LET(
_xlpm._columnID,INDEX(Table11[ID Column],$F42),
_xlpm._columnName,INDEX(Table11[Name Column],$F42),
INDEX(INDIRECT("'"&amp;INDEX(Table11[Sheet Name],$F42)&amp;"'!"&amp;_xlpm._columnID&amp;":"&amp;_xlpm._columnID),$G42)&amp;" "&amp;
INDEX(INDIRECT("'"&amp;INDEX(Table11[Sheet Name],$F42)&amp;"'!"&amp;_xlpm._columnName&amp;":"&amp;_xlpm._columnName),$G42))))</f>
        <v/>
      </c>
      <c r="I42" s="9" t="str" cm="1">
        <f t="array" aca="1" ref="I42" ca="1">IF($G42="","",(_xlfn.LET(
_xlpm._columnID,INDEX(Table11[Comment Column],$F42),
INDEX(INDIRECT("'"&amp;INDEX(Table11[Sheet Name],$F42)&amp;"'!"&amp;_xlpm._columnID&amp;":"&amp;_xlpm._columnID),$G42))))</f>
        <v/>
      </c>
    </row>
    <row r="43" spans="1:9" x14ac:dyDescent="0.25">
      <c r="A43" s="24" t="str" cm="1">
        <f t="array" aca="1" ref="A43" ca="1">IF($E43="","",
HYPERLINK("#'"&amp;INDEX(Table11[Sheet Name],$F43)&amp;"'!"&amp;INDEX(Table11[ID Column],$F43)&amp;$G43,
IF(LEN(H43)&gt;255,LEFT(H43,250)&amp;" …",H43)))</f>
        <v/>
      </c>
      <c r="B43" s="24" t="str" cm="1">
        <f t="array" aca="1" ref="B43" ca="1">IF($E43="","",HYPERLINK("#'"&amp;INDEX(Table11[Sheet Name],$F43)&amp;"'!"&amp;INDEX(Table11[Comment Column],$F43)&amp;$G43,
IF(LEN(I43)&gt;255,LEFT(I43,250)&amp;" …",I43)))</f>
        <v/>
      </c>
      <c r="C43" s="9" cm="1">
        <f t="array" aca="1" ref="C43" ca="1">IFERROR(IF(ROW()=ROW($C$19)+1,1,INDEX($C:$C,ROW()-1))+
IF(INDEX($E:$E,ROW()-1)=TRUE,1,0),"")</f>
        <v>1</v>
      </c>
      <c r="D43" s="9">
        <f t="shared" ca="1" si="8"/>
        <v>24</v>
      </c>
      <c r="E43" s="9" t="str" cm="1">
        <f t="array" aca="1" ref="E43" ca="1">IFERROR(INDEX(Table11[Number of Tasks],$F43)=$D43,"")</f>
        <v/>
      </c>
      <c r="F43" s="9" t="str">
        <f ca="1">IFERROR(MATCH($C43,Table11[Task Sheet Shadow ID],0),"")</f>
        <v/>
      </c>
      <c r="G43" s="9" t="str" cm="1">
        <f t="array" aca="1" ref="G43" ca="1">IFERROR(_xlfn.LET(
_xlpm._column,INDEX(Table11[Task ID Column],$F43),
MATCH($D43,INDIRECT("'"&amp;INDEX(Table11[Sheet Name],$F43)&amp;"'!"&amp;_xlpm._column&amp;":"&amp;_xlpm._column),0)),"")</f>
        <v/>
      </c>
      <c r="H43" s="9" t="str" cm="1">
        <f t="array" aca="1" ref="H43" ca="1">IF($G43="","",(_xlfn.LET(
_xlpm._columnID,INDEX(Table11[ID Column],$F43),
_xlpm._columnName,INDEX(Table11[Name Column],$F43),
INDEX(INDIRECT("'"&amp;INDEX(Table11[Sheet Name],$F43)&amp;"'!"&amp;_xlpm._columnID&amp;":"&amp;_xlpm._columnID),$G43)&amp;" "&amp;
INDEX(INDIRECT("'"&amp;INDEX(Table11[Sheet Name],$F43)&amp;"'!"&amp;_xlpm._columnName&amp;":"&amp;_xlpm._columnName),$G43))))</f>
        <v/>
      </c>
      <c r="I43" s="9" t="str" cm="1">
        <f t="array" aca="1" ref="I43" ca="1">IF($G43="","",(_xlfn.LET(
_xlpm._columnID,INDEX(Table11[Comment Column],$F43),
INDEX(INDIRECT("'"&amp;INDEX(Table11[Sheet Name],$F43)&amp;"'!"&amp;_xlpm._columnID&amp;":"&amp;_xlpm._columnID),$G43))))</f>
        <v/>
      </c>
    </row>
    <row r="44" spans="1:9" x14ac:dyDescent="0.25">
      <c r="A44" s="24" t="str" cm="1">
        <f t="array" aca="1" ref="A44" ca="1">IF($E44="","",
HYPERLINK("#'"&amp;INDEX(Table11[Sheet Name],$F44)&amp;"'!"&amp;INDEX(Table11[ID Column],$F44)&amp;$G44,
IF(LEN(H44)&gt;255,LEFT(H44,250)&amp;" …",H44)))</f>
        <v/>
      </c>
      <c r="B44" s="24" t="str" cm="1">
        <f t="array" aca="1" ref="B44" ca="1">IF($E44="","",HYPERLINK("#'"&amp;INDEX(Table11[Sheet Name],$F44)&amp;"'!"&amp;INDEX(Table11[Comment Column],$F44)&amp;$G44,
IF(LEN(I44)&gt;255,LEFT(I44,250)&amp;" …",I44)))</f>
        <v/>
      </c>
      <c r="C44" s="9" cm="1">
        <f t="array" aca="1" ref="C44" ca="1">IFERROR(IF(ROW()=ROW($C$19)+1,1,INDEX($C:$C,ROW()-1))+
IF(INDEX($E:$E,ROW()-1)=TRUE,1,0),"")</f>
        <v>1</v>
      </c>
      <c r="D44" s="9">
        <f t="shared" ca="1" si="8"/>
        <v>25</v>
      </c>
      <c r="E44" s="9" t="str" cm="1">
        <f t="array" aca="1" ref="E44" ca="1">IFERROR(INDEX(Table11[Number of Tasks],$F44)=$D44,"")</f>
        <v/>
      </c>
      <c r="F44" s="9" t="str">
        <f ca="1">IFERROR(MATCH($C44,Table11[Task Sheet Shadow ID],0),"")</f>
        <v/>
      </c>
      <c r="G44" s="9" t="str" cm="1">
        <f t="array" aca="1" ref="G44" ca="1">IFERROR(_xlfn.LET(
_xlpm._column,INDEX(Table11[Task ID Column],$F44),
MATCH($D44,INDIRECT("'"&amp;INDEX(Table11[Sheet Name],$F44)&amp;"'!"&amp;_xlpm._column&amp;":"&amp;_xlpm._column),0)),"")</f>
        <v/>
      </c>
      <c r="H44" s="9" t="str" cm="1">
        <f t="array" aca="1" ref="H44" ca="1">IF($G44="","",(_xlfn.LET(
_xlpm._columnID,INDEX(Table11[ID Column],$F44),
_xlpm._columnName,INDEX(Table11[Name Column],$F44),
INDEX(INDIRECT("'"&amp;INDEX(Table11[Sheet Name],$F44)&amp;"'!"&amp;_xlpm._columnID&amp;":"&amp;_xlpm._columnID),$G44)&amp;" "&amp;
INDEX(INDIRECT("'"&amp;INDEX(Table11[Sheet Name],$F44)&amp;"'!"&amp;_xlpm._columnName&amp;":"&amp;_xlpm._columnName),$G44))))</f>
        <v/>
      </c>
      <c r="I44" s="9" t="str" cm="1">
        <f t="array" aca="1" ref="I44" ca="1">IF($G44="","",(_xlfn.LET(
_xlpm._columnID,INDEX(Table11[Comment Column],$F44),
INDEX(INDIRECT("'"&amp;INDEX(Table11[Sheet Name],$F44)&amp;"'!"&amp;_xlpm._columnID&amp;":"&amp;_xlpm._columnID),$G44))))</f>
        <v/>
      </c>
    </row>
    <row r="45" spans="1:9" x14ac:dyDescent="0.25">
      <c r="A45" s="24" t="str" cm="1">
        <f t="array" aca="1" ref="A45" ca="1">IF($E45="","",
HYPERLINK("#'"&amp;INDEX(Table11[Sheet Name],$F45)&amp;"'!"&amp;INDEX(Table11[ID Column],$F45)&amp;$G45,
IF(LEN(H45)&gt;255,LEFT(H45,250)&amp;" …",H45)))</f>
        <v/>
      </c>
      <c r="B45" s="24" t="str" cm="1">
        <f t="array" aca="1" ref="B45" ca="1">IF($E45="","",HYPERLINK("#'"&amp;INDEX(Table11[Sheet Name],$F45)&amp;"'!"&amp;INDEX(Table11[Comment Column],$F45)&amp;$G45,
IF(LEN(I45)&gt;255,LEFT(I45,250)&amp;" …",I45)))</f>
        <v/>
      </c>
      <c r="C45" s="9" cm="1">
        <f t="array" aca="1" ref="C45" ca="1">IFERROR(IF(ROW()=ROW($C$19)+1,1,INDEX($C:$C,ROW()-1))+
IF(INDEX($E:$E,ROW()-1)=TRUE,1,0),"")</f>
        <v>1</v>
      </c>
      <c r="D45" s="9">
        <f t="shared" ca="1" si="8"/>
        <v>26</v>
      </c>
      <c r="E45" s="9" t="str" cm="1">
        <f t="array" aca="1" ref="E45" ca="1">IFERROR(INDEX(Table11[Number of Tasks],$F45)=$D45,"")</f>
        <v/>
      </c>
      <c r="F45" s="9" t="str">
        <f ca="1">IFERROR(MATCH($C45,Table11[Task Sheet Shadow ID],0),"")</f>
        <v/>
      </c>
      <c r="G45" s="9" t="str" cm="1">
        <f t="array" aca="1" ref="G45" ca="1">IFERROR(_xlfn.LET(
_xlpm._column,INDEX(Table11[Task ID Column],$F45),
MATCH($D45,INDIRECT("'"&amp;INDEX(Table11[Sheet Name],$F45)&amp;"'!"&amp;_xlpm._column&amp;":"&amp;_xlpm._column),0)),"")</f>
        <v/>
      </c>
      <c r="H45" s="9" t="str" cm="1">
        <f t="array" aca="1" ref="H45" ca="1">IF($G45="","",(_xlfn.LET(
_xlpm._columnID,INDEX(Table11[ID Column],$F45),
_xlpm._columnName,INDEX(Table11[Name Column],$F45),
INDEX(INDIRECT("'"&amp;INDEX(Table11[Sheet Name],$F45)&amp;"'!"&amp;_xlpm._columnID&amp;":"&amp;_xlpm._columnID),$G45)&amp;" "&amp;
INDEX(INDIRECT("'"&amp;INDEX(Table11[Sheet Name],$F45)&amp;"'!"&amp;_xlpm._columnName&amp;":"&amp;_xlpm._columnName),$G45))))</f>
        <v/>
      </c>
      <c r="I45" s="9" t="str" cm="1">
        <f t="array" aca="1" ref="I45" ca="1">IF($G45="","",(_xlfn.LET(
_xlpm._columnID,INDEX(Table11[Comment Column],$F45),
INDEX(INDIRECT("'"&amp;INDEX(Table11[Sheet Name],$F45)&amp;"'!"&amp;_xlpm._columnID&amp;":"&amp;_xlpm._columnID),$G45))))</f>
        <v/>
      </c>
    </row>
    <row r="46" spans="1:9" x14ac:dyDescent="0.25">
      <c r="A46" s="24" t="str" cm="1">
        <f t="array" aca="1" ref="A46" ca="1">IF($E46="","",
HYPERLINK("#'"&amp;INDEX(Table11[Sheet Name],$F46)&amp;"'!"&amp;INDEX(Table11[ID Column],$F46)&amp;$G46,
IF(LEN(H46)&gt;255,LEFT(H46,250)&amp;" …",H46)))</f>
        <v/>
      </c>
      <c r="B46" s="24" t="str" cm="1">
        <f t="array" aca="1" ref="B46" ca="1">IF($E46="","",HYPERLINK("#'"&amp;INDEX(Table11[Sheet Name],$F46)&amp;"'!"&amp;INDEX(Table11[Comment Column],$F46)&amp;$G46,
IF(LEN(I46)&gt;255,LEFT(I46,250)&amp;" …",I46)))</f>
        <v/>
      </c>
      <c r="C46" s="9" cm="1">
        <f t="array" aca="1" ref="C46" ca="1">IFERROR(IF(ROW()=ROW($C$19)+1,1,INDEX($C:$C,ROW()-1))+
IF(INDEX($E:$E,ROW()-1)=TRUE,1,0),"")</f>
        <v>1</v>
      </c>
      <c r="D46" s="9">
        <f t="shared" ca="1" si="8"/>
        <v>27</v>
      </c>
      <c r="E46" s="9" t="str" cm="1">
        <f t="array" aca="1" ref="E46" ca="1">IFERROR(INDEX(Table11[Number of Tasks],$F46)=$D46,"")</f>
        <v/>
      </c>
      <c r="F46" s="9" t="str">
        <f ca="1">IFERROR(MATCH($C46,Table11[Task Sheet Shadow ID],0),"")</f>
        <v/>
      </c>
      <c r="G46" s="9" t="str" cm="1">
        <f t="array" aca="1" ref="G46" ca="1">IFERROR(_xlfn.LET(
_xlpm._column,INDEX(Table11[Task ID Column],$F46),
MATCH($D46,INDIRECT("'"&amp;INDEX(Table11[Sheet Name],$F46)&amp;"'!"&amp;_xlpm._column&amp;":"&amp;_xlpm._column),0)),"")</f>
        <v/>
      </c>
      <c r="H46" s="9" t="str" cm="1">
        <f t="array" aca="1" ref="H46" ca="1">IF($G46="","",(_xlfn.LET(
_xlpm._columnID,INDEX(Table11[ID Column],$F46),
_xlpm._columnName,INDEX(Table11[Name Column],$F46),
INDEX(INDIRECT("'"&amp;INDEX(Table11[Sheet Name],$F46)&amp;"'!"&amp;_xlpm._columnID&amp;":"&amp;_xlpm._columnID),$G46)&amp;" "&amp;
INDEX(INDIRECT("'"&amp;INDEX(Table11[Sheet Name],$F46)&amp;"'!"&amp;_xlpm._columnName&amp;":"&amp;_xlpm._columnName),$G46))))</f>
        <v/>
      </c>
      <c r="I46" s="9" t="str" cm="1">
        <f t="array" aca="1" ref="I46" ca="1">IF($G46="","",(_xlfn.LET(
_xlpm._columnID,INDEX(Table11[Comment Column],$F46),
INDEX(INDIRECT("'"&amp;INDEX(Table11[Sheet Name],$F46)&amp;"'!"&amp;_xlpm._columnID&amp;":"&amp;_xlpm._columnID),$G46))))</f>
        <v/>
      </c>
    </row>
    <row r="47" spans="1:9" x14ac:dyDescent="0.25">
      <c r="A47" s="24" t="str" cm="1">
        <f t="array" aca="1" ref="A47" ca="1">IF($E47="","",
HYPERLINK("#'"&amp;INDEX(Table11[Sheet Name],$F47)&amp;"'!"&amp;INDEX(Table11[ID Column],$F47)&amp;$G47,
IF(LEN(H47)&gt;255,LEFT(H47,250)&amp;" …",H47)))</f>
        <v/>
      </c>
      <c r="B47" s="24" t="str" cm="1">
        <f t="array" aca="1" ref="B47" ca="1">IF($E47="","",HYPERLINK("#'"&amp;INDEX(Table11[Sheet Name],$F47)&amp;"'!"&amp;INDEX(Table11[Comment Column],$F47)&amp;$G47,
IF(LEN(I47)&gt;255,LEFT(I47,250)&amp;" …",I47)))</f>
        <v/>
      </c>
      <c r="C47" s="9" cm="1">
        <f t="array" aca="1" ref="C47" ca="1">IFERROR(IF(ROW()=ROW($C$19)+1,1,INDEX($C:$C,ROW()-1))+
IF(INDEX($E:$E,ROW()-1)=TRUE,1,0),"")</f>
        <v>1</v>
      </c>
      <c r="D47" s="9">
        <f t="shared" ca="1" si="8"/>
        <v>28</v>
      </c>
      <c r="E47" s="9" t="str" cm="1">
        <f t="array" aca="1" ref="E47" ca="1">IFERROR(INDEX(Table11[Number of Tasks],$F47)=$D47,"")</f>
        <v/>
      </c>
      <c r="F47" s="9" t="str">
        <f ca="1">IFERROR(MATCH($C47,Table11[Task Sheet Shadow ID],0),"")</f>
        <v/>
      </c>
      <c r="G47" s="9" t="str" cm="1">
        <f t="array" aca="1" ref="G47" ca="1">IFERROR(_xlfn.LET(
_xlpm._column,INDEX(Table11[Task ID Column],$F47),
MATCH($D47,INDIRECT("'"&amp;INDEX(Table11[Sheet Name],$F47)&amp;"'!"&amp;_xlpm._column&amp;":"&amp;_xlpm._column),0)),"")</f>
        <v/>
      </c>
      <c r="H47" s="9" t="str" cm="1">
        <f t="array" aca="1" ref="H47" ca="1">IF($G47="","",(_xlfn.LET(
_xlpm._columnID,INDEX(Table11[ID Column],$F47),
_xlpm._columnName,INDEX(Table11[Name Column],$F47),
INDEX(INDIRECT("'"&amp;INDEX(Table11[Sheet Name],$F47)&amp;"'!"&amp;_xlpm._columnID&amp;":"&amp;_xlpm._columnID),$G47)&amp;" "&amp;
INDEX(INDIRECT("'"&amp;INDEX(Table11[Sheet Name],$F47)&amp;"'!"&amp;_xlpm._columnName&amp;":"&amp;_xlpm._columnName),$G47))))</f>
        <v/>
      </c>
      <c r="I47" s="9" t="str" cm="1">
        <f t="array" aca="1" ref="I47" ca="1">IF($G47="","",(_xlfn.LET(
_xlpm._columnID,INDEX(Table11[Comment Column],$F47),
INDEX(INDIRECT("'"&amp;INDEX(Table11[Sheet Name],$F47)&amp;"'!"&amp;_xlpm._columnID&amp;":"&amp;_xlpm._columnID),$G47))))</f>
        <v/>
      </c>
    </row>
    <row r="48" spans="1:9" x14ac:dyDescent="0.25">
      <c r="A48" s="24" t="str" cm="1">
        <f t="array" aca="1" ref="A48" ca="1">IF($E48="","",
HYPERLINK("#'"&amp;INDEX(Table11[Sheet Name],$F48)&amp;"'!"&amp;INDEX(Table11[ID Column],$F48)&amp;$G48,
IF(LEN(H48)&gt;255,LEFT(H48,250)&amp;" …",H48)))</f>
        <v/>
      </c>
      <c r="B48" s="24" t="str" cm="1">
        <f t="array" aca="1" ref="B48" ca="1">IF($E48="","",HYPERLINK("#'"&amp;INDEX(Table11[Sheet Name],$F48)&amp;"'!"&amp;INDEX(Table11[Comment Column],$F48)&amp;$G48,
IF(LEN(I48)&gt;255,LEFT(I48,250)&amp;" …",I48)))</f>
        <v/>
      </c>
      <c r="C48" s="9" cm="1">
        <f t="array" aca="1" ref="C48" ca="1">IFERROR(IF(ROW()=ROW($C$19)+1,1,INDEX($C:$C,ROW()-1))+
IF(INDEX($E:$E,ROW()-1)=TRUE,1,0),"")</f>
        <v>1</v>
      </c>
      <c r="D48" s="9">
        <f t="shared" ca="1" si="8"/>
        <v>29</v>
      </c>
      <c r="E48" s="9" t="str" cm="1">
        <f t="array" aca="1" ref="E48" ca="1">IFERROR(INDEX(Table11[Number of Tasks],$F48)=$D48,"")</f>
        <v/>
      </c>
      <c r="F48" s="9" t="str">
        <f ca="1">IFERROR(MATCH($C48,Table11[Task Sheet Shadow ID],0),"")</f>
        <v/>
      </c>
      <c r="G48" s="9" t="str" cm="1">
        <f t="array" aca="1" ref="G48" ca="1">IFERROR(_xlfn.LET(
_xlpm._column,INDEX(Table11[Task ID Column],$F48),
MATCH($D48,INDIRECT("'"&amp;INDEX(Table11[Sheet Name],$F48)&amp;"'!"&amp;_xlpm._column&amp;":"&amp;_xlpm._column),0)),"")</f>
        <v/>
      </c>
      <c r="H48" s="9" t="str" cm="1">
        <f t="array" aca="1" ref="H48" ca="1">IF($G48="","",(_xlfn.LET(
_xlpm._columnID,INDEX(Table11[ID Column],$F48),
_xlpm._columnName,INDEX(Table11[Name Column],$F48),
INDEX(INDIRECT("'"&amp;INDEX(Table11[Sheet Name],$F48)&amp;"'!"&amp;_xlpm._columnID&amp;":"&amp;_xlpm._columnID),$G48)&amp;" "&amp;
INDEX(INDIRECT("'"&amp;INDEX(Table11[Sheet Name],$F48)&amp;"'!"&amp;_xlpm._columnName&amp;":"&amp;_xlpm._columnName),$G48))))</f>
        <v/>
      </c>
      <c r="I48" s="9" t="str" cm="1">
        <f t="array" aca="1" ref="I48" ca="1">IF($G48="","",(_xlfn.LET(
_xlpm._columnID,INDEX(Table11[Comment Column],$F48),
INDEX(INDIRECT("'"&amp;INDEX(Table11[Sheet Name],$F48)&amp;"'!"&amp;_xlpm._columnID&amp;":"&amp;_xlpm._columnID),$G48))))</f>
        <v/>
      </c>
    </row>
    <row r="49" spans="1:9" x14ac:dyDescent="0.25">
      <c r="A49" s="24" t="str" cm="1">
        <f t="array" aca="1" ref="A49" ca="1">IF($E49="","",
HYPERLINK("#'"&amp;INDEX(Table11[Sheet Name],$F49)&amp;"'!"&amp;INDEX(Table11[ID Column],$F49)&amp;$G49,
IF(LEN(H49)&gt;255,LEFT(H49,250)&amp;" …",H49)))</f>
        <v/>
      </c>
      <c r="B49" s="24" t="str" cm="1">
        <f t="array" aca="1" ref="B49" ca="1">IF($E49="","",HYPERLINK("#'"&amp;INDEX(Table11[Sheet Name],$F49)&amp;"'!"&amp;INDEX(Table11[Comment Column],$F49)&amp;$G49,
IF(LEN(I49)&gt;255,LEFT(I49,250)&amp;" …",I49)))</f>
        <v/>
      </c>
      <c r="C49" s="9" cm="1">
        <f t="array" aca="1" ref="C49" ca="1">IFERROR(IF(ROW()=ROW($C$19)+1,1,INDEX($C:$C,ROW()-1))+
IF(INDEX($E:$E,ROW()-1)=TRUE,1,0),"")</f>
        <v>1</v>
      </c>
      <c r="D49" s="9">
        <f t="shared" ca="1" si="8"/>
        <v>30</v>
      </c>
      <c r="E49" s="9" t="str" cm="1">
        <f t="array" aca="1" ref="E49" ca="1">IFERROR(INDEX(Table11[Number of Tasks],$F49)=$D49,"")</f>
        <v/>
      </c>
      <c r="F49" s="9" t="str">
        <f ca="1">IFERROR(MATCH($C49,Table11[Task Sheet Shadow ID],0),"")</f>
        <v/>
      </c>
      <c r="G49" s="9" t="str" cm="1">
        <f t="array" aca="1" ref="G49" ca="1">IFERROR(_xlfn.LET(
_xlpm._column,INDEX(Table11[Task ID Column],$F49),
MATCH($D49,INDIRECT("'"&amp;INDEX(Table11[Sheet Name],$F49)&amp;"'!"&amp;_xlpm._column&amp;":"&amp;_xlpm._column),0)),"")</f>
        <v/>
      </c>
      <c r="H49" s="9" t="str" cm="1">
        <f t="array" aca="1" ref="H49" ca="1">IF($G49="","",(_xlfn.LET(
_xlpm._columnID,INDEX(Table11[ID Column],$F49),
_xlpm._columnName,INDEX(Table11[Name Column],$F49),
INDEX(INDIRECT("'"&amp;INDEX(Table11[Sheet Name],$F49)&amp;"'!"&amp;_xlpm._columnID&amp;":"&amp;_xlpm._columnID),$G49)&amp;" "&amp;
INDEX(INDIRECT("'"&amp;INDEX(Table11[Sheet Name],$F49)&amp;"'!"&amp;_xlpm._columnName&amp;":"&amp;_xlpm._columnName),$G49))))</f>
        <v/>
      </c>
      <c r="I49" s="9" t="str" cm="1">
        <f t="array" aca="1" ref="I49" ca="1">IF($G49="","",(_xlfn.LET(
_xlpm._columnID,INDEX(Table11[Comment Column],$F49),
INDEX(INDIRECT("'"&amp;INDEX(Table11[Sheet Name],$F49)&amp;"'!"&amp;_xlpm._columnID&amp;":"&amp;_xlpm._columnID),$G49))))</f>
        <v/>
      </c>
    </row>
    <row r="50" spans="1:9" x14ac:dyDescent="0.25">
      <c r="A50" s="54" t="str" cm="1">
        <f t="array" aca="1" ref="A50" ca="1">IF($E50="","",
HYPERLINK("#'"&amp;INDEX(Table11[Sheet Name],$F50)&amp;"'!"&amp;INDEX(Table11[ID Column],$F50)&amp;$G50,
IF(LEN(H50)&gt;255,LEFT(H50,250)&amp;" …",H50)))</f>
        <v/>
      </c>
      <c r="B50" s="54" t="str" cm="1">
        <f t="array" aca="1" ref="B50" ca="1">IF($E50="","",HYPERLINK("#'"&amp;INDEX(Table11[Sheet Name],$F50)&amp;"'!"&amp;INDEX(Table11[Comment Column],$F50)&amp;$G50,
IF(LEN(I50)&gt;255,LEFT(I50,250)&amp;" …",I50)))</f>
        <v/>
      </c>
      <c r="C50" s="9" cm="1">
        <f t="array" aca="1" ref="C50" ca="1">IFERROR(IF(ROW()=ROW($C$19)+1,1,INDEX($C:$C,ROW()-1))+
IF(INDEX($E:$E,ROW()-1)=TRUE,1,0),"")</f>
        <v>1</v>
      </c>
      <c r="D50" s="9">
        <f t="shared" ref="D50:D68" ca="1" si="9">COUNTIF(OFFSET($C$19,1,0,ROW()-ROW($D$19),1),$C50)</f>
        <v>31</v>
      </c>
      <c r="E50" s="9" t="str" cm="1">
        <f t="array" aca="1" ref="E50" ca="1">IFERROR(INDEX(Table11[Number of Tasks],$F50)=$D50,"")</f>
        <v/>
      </c>
      <c r="F50" s="9" t="str">
        <f ca="1">IFERROR(MATCH($C50,Table11[Task Sheet Shadow ID],0),"")</f>
        <v/>
      </c>
      <c r="G50" s="9" t="str" cm="1">
        <f t="array" aca="1" ref="G50" ca="1">IFERROR(_xlfn.LET(
_xlpm._column,INDEX(Table11[Task ID Column],$F50),
MATCH($D50,INDIRECT("'"&amp;INDEX(Table11[Sheet Name],$F50)&amp;"'!"&amp;_xlpm._column&amp;":"&amp;_xlpm._column),0)),"")</f>
        <v/>
      </c>
      <c r="H50" s="9" t="str" cm="1">
        <f t="array" aca="1" ref="H50" ca="1">IF($G50="","",(_xlfn.LET(
_xlpm._columnID,INDEX(Table11[ID Column],$F50),
_xlpm._columnName,INDEX(Table11[Name Column],$F50),
INDEX(INDIRECT("'"&amp;INDEX(Table11[Sheet Name],$F50)&amp;"'!"&amp;_xlpm._columnID&amp;":"&amp;_xlpm._columnID),$G50)&amp;" "&amp;
INDEX(INDIRECT("'"&amp;INDEX(Table11[Sheet Name],$F50)&amp;"'!"&amp;_xlpm._columnName&amp;":"&amp;_xlpm._columnName),$G50))))</f>
        <v/>
      </c>
      <c r="I50" s="9" t="str" cm="1">
        <f t="array" aca="1" ref="I50" ca="1">IF($G50="","",(_xlfn.LET(
_xlpm._columnID,INDEX(Table11[Comment Column],$F50),
INDEX(INDIRECT("'"&amp;INDEX(Table11[Sheet Name],$F50)&amp;"'!"&amp;_xlpm._columnID&amp;":"&amp;_xlpm._columnID),$G50))))</f>
        <v/>
      </c>
    </row>
    <row r="51" spans="1:9" x14ac:dyDescent="0.25">
      <c r="A51" s="54" t="str" cm="1">
        <f t="array" aca="1" ref="A51" ca="1">IF($E51="","",
HYPERLINK("#'"&amp;INDEX(Table11[Sheet Name],$F51)&amp;"'!"&amp;INDEX(Table11[ID Column],$F51)&amp;$G51,
IF(LEN(H51)&gt;255,LEFT(H51,250)&amp;" …",H51)))</f>
        <v/>
      </c>
      <c r="B51" s="54" t="str" cm="1">
        <f t="array" aca="1" ref="B51" ca="1">IF($E51="","",HYPERLINK("#'"&amp;INDEX(Table11[Sheet Name],$F51)&amp;"'!"&amp;INDEX(Table11[Comment Column],$F51)&amp;$G51,
IF(LEN(I51)&gt;255,LEFT(I51,250)&amp;" …",I51)))</f>
        <v/>
      </c>
      <c r="C51" s="9" cm="1">
        <f t="array" aca="1" ref="C51" ca="1">IFERROR(IF(ROW()=ROW($C$19)+1,1,INDEX($C:$C,ROW()-1))+
IF(INDEX($E:$E,ROW()-1)=TRUE,1,0),"")</f>
        <v>1</v>
      </c>
      <c r="D51" s="9">
        <f t="shared" ca="1" si="9"/>
        <v>32</v>
      </c>
      <c r="E51" s="9" t="str" cm="1">
        <f t="array" aca="1" ref="E51" ca="1">IFERROR(INDEX(Table11[Number of Tasks],$F51)=$D51,"")</f>
        <v/>
      </c>
      <c r="F51" s="9" t="str">
        <f ca="1">IFERROR(MATCH($C51,Table11[Task Sheet Shadow ID],0),"")</f>
        <v/>
      </c>
      <c r="G51" s="9" t="str" cm="1">
        <f t="array" aca="1" ref="G51" ca="1">IFERROR(_xlfn.LET(
_xlpm._column,INDEX(Table11[Task ID Column],$F51),
MATCH($D51,INDIRECT("'"&amp;INDEX(Table11[Sheet Name],$F51)&amp;"'!"&amp;_xlpm._column&amp;":"&amp;_xlpm._column),0)),"")</f>
        <v/>
      </c>
      <c r="H51" s="9" t="str" cm="1">
        <f t="array" aca="1" ref="H51" ca="1">IF($G51="","",(_xlfn.LET(
_xlpm._columnID,INDEX(Table11[ID Column],$F51),
_xlpm._columnName,INDEX(Table11[Name Column],$F51),
INDEX(INDIRECT("'"&amp;INDEX(Table11[Sheet Name],$F51)&amp;"'!"&amp;_xlpm._columnID&amp;":"&amp;_xlpm._columnID),$G51)&amp;" "&amp;
INDEX(INDIRECT("'"&amp;INDEX(Table11[Sheet Name],$F51)&amp;"'!"&amp;_xlpm._columnName&amp;":"&amp;_xlpm._columnName),$G51))))</f>
        <v/>
      </c>
      <c r="I51" s="9" t="str" cm="1">
        <f t="array" aca="1" ref="I51" ca="1">IF($G51="","",(_xlfn.LET(
_xlpm._columnID,INDEX(Table11[Comment Column],$F51),
INDEX(INDIRECT("'"&amp;INDEX(Table11[Sheet Name],$F51)&amp;"'!"&amp;_xlpm._columnID&amp;":"&amp;_xlpm._columnID),$G51))))</f>
        <v/>
      </c>
    </row>
    <row r="52" spans="1:9" x14ac:dyDescent="0.25">
      <c r="A52" s="54" t="str" cm="1">
        <f t="array" aca="1" ref="A52" ca="1">IF($E52="","",
HYPERLINK("#'"&amp;INDEX(Table11[Sheet Name],$F52)&amp;"'!"&amp;INDEX(Table11[ID Column],$F52)&amp;$G52,
IF(LEN(H52)&gt;255,LEFT(H52,250)&amp;" …",H52)))</f>
        <v/>
      </c>
      <c r="B52" s="54" t="str" cm="1">
        <f t="array" aca="1" ref="B52" ca="1">IF($E52="","",HYPERLINK("#'"&amp;INDEX(Table11[Sheet Name],$F52)&amp;"'!"&amp;INDEX(Table11[Comment Column],$F52)&amp;$G52,
IF(LEN(I52)&gt;255,LEFT(I52,250)&amp;" …",I52)))</f>
        <v/>
      </c>
      <c r="C52" s="9" cm="1">
        <f t="array" aca="1" ref="C52" ca="1">IFERROR(IF(ROW()=ROW($C$19)+1,1,INDEX($C:$C,ROW()-1))+
IF(INDEX($E:$E,ROW()-1)=TRUE,1,0),"")</f>
        <v>1</v>
      </c>
      <c r="D52" s="9">
        <f t="shared" ca="1" si="9"/>
        <v>33</v>
      </c>
      <c r="E52" s="9" t="str" cm="1">
        <f t="array" aca="1" ref="E52" ca="1">IFERROR(INDEX(Table11[Number of Tasks],$F52)=$D52,"")</f>
        <v/>
      </c>
      <c r="F52" s="9" t="str">
        <f ca="1">IFERROR(MATCH($C52,Table11[Task Sheet Shadow ID],0),"")</f>
        <v/>
      </c>
      <c r="G52" s="9" t="str" cm="1">
        <f t="array" aca="1" ref="G52" ca="1">IFERROR(_xlfn.LET(
_xlpm._column,INDEX(Table11[Task ID Column],$F52),
MATCH($D52,INDIRECT("'"&amp;INDEX(Table11[Sheet Name],$F52)&amp;"'!"&amp;_xlpm._column&amp;":"&amp;_xlpm._column),0)),"")</f>
        <v/>
      </c>
      <c r="H52" s="9" t="str" cm="1">
        <f t="array" aca="1" ref="H52" ca="1">IF($G52="","",(_xlfn.LET(
_xlpm._columnID,INDEX(Table11[ID Column],$F52),
_xlpm._columnName,INDEX(Table11[Name Column],$F52),
INDEX(INDIRECT("'"&amp;INDEX(Table11[Sheet Name],$F52)&amp;"'!"&amp;_xlpm._columnID&amp;":"&amp;_xlpm._columnID),$G52)&amp;" "&amp;
INDEX(INDIRECT("'"&amp;INDEX(Table11[Sheet Name],$F52)&amp;"'!"&amp;_xlpm._columnName&amp;":"&amp;_xlpm._columnName),$G52))))</f>
        <v/>
      </c>
      <c r="I52" s="9" t="str" cm="1">
        <f t="array" aca="1" ref="I52" ca="1">IF($G52="","",(_xlfn.LET(
_xlpm._columnID,INDEX(Table11[Comment Column],$F52),
INDEX(INDIRECT("'"&amp;INDEX(Table11[Sheet Name],$F52)&amp;"'!"&amp;_xlpm._columnID&amp;":"&amp;_xlpm._columnID),$G52))))</f>
        <v/>
      </c>
    </row>
    <row r="53" spans="1:9" x14ac:dyDescent="0.25">
      <c r="A53" s="54" t="str" cm="1">
        <f t="array" aca="1" ref="A53" ca="1">IF($E53="","",
HYPERLINK("#'"&amp;INDEX(Table11[Sheet Name],$F53)&amp;"'!"&amp;INDEX(Table11[ID Column],$F53)&amp;$G53,
IF(LEN(H53)&gt;255,LEFT(H53,250)&amp;" …",H53)))</f>
        <v/>
      </c>
      <c r="B53" s="54" t="str" cm="1">
        <f t="array" aca="1" ref="B53" ca="1">IF($E53="","",HYPERLINK("#'"&amp;INDEX(Table11[Sheet Name],$F53)&amp;"'!"&amp;INDEX(Table11[Comment Column],$F53)&amp;$G53,
IF(LEN(I53)&gt;255,LEFT(I53,250)&amp;" …",I53)))</f>
        <v/>
      </c>
      <c r="C53" s="9" cm="1">
        <f t="array" aca="1" ref="C53" ca="1">IFERROR(IF(ROW()=ROW($C$19)+1,1,INDEX($C:$C,ROW()-1))+
IF(INDEX($E:$E,ROW()-1)=TRUE,1,0),"")</f>
        <v>1</v>
      </c>
      <c r="D53" s="9">
        <f t="shared" ca="1" si="9"/>
        <v>34</v>
      </c>
      <c r="E53" s="9" t="str" cm="1">
        <f t="array" aca="1" ref="E53" ca="1">IFERROR(INDEX(Table11[Number of Tasks],$F53)=$D53,"")</f>
        <v/>
      </c>
      <c r="F53" s="9" t="str">
        <f ca="1">IFERROR(MATCH($C53,Table11[Task Sheet Shadow ID],0),"")</f>
        <v/>
      </c>
      <c r="G53" s="9" t="str" cm="1">
        <f t="array" aca="1" ref="G53" ca="1">IFERROR(_xlfn.LET(
_xlpm._column,INDEX(Table11[Task ID Column],$F53),
MATCH($D53,INDIRECT("'"&amp;INDEX(Table11[Sheet Name],$F53)&amp;"'!"&amp;_xlpm._column&amp;":"&amp;_xlpm._column),0)),"")</f>
        <v/>
      </c>
      <c r="H53" s="9" t="str" cm="1">
        <f t="array" aca="1" ref="H53" ca="1">IF($G53="","",(_xlfn.LET(
_xlpm._columnID,INDEX(Table11[ID Column],$F53),
_xlpm._columnName,INDEX(Table11[Name Column],$F53),
INDEX(INDIRECT("'"&amp;INDEX(Table11[Sheet Name],$F53)&amp;"'!"&amp;_xlpm._columnID&amp;":"&amp;_xlpm._columnID),$G53)&amp;" "&amp;
INDEX(INDIRECT("'"&amp;INDEX(Table11[Sheet Name],$F53)&amp;"'!"&amp;_xlpm._columnName&amp;":"&amp;_xlpm._columnName),$G53))))</f>
        <v/>
      </c>
      <c r="I53" s="9" t="str" cm="1">
        <f t="array" aca="1" ref="I53" ca="1">IF($G53="","",(_xlfn.LET(
_xlpm._columnID,INDEX(Table11[Comment Column],$F53),
INDEX(INDIRECT("'"&amp;INDEX(Table11[Sheet Name],$F53)&amp;"'!"&amp;_xlpm._columnID&amp;":"&amp;_xlpm._columnID),$G53))))</f>
        <v/>
      </c>
    </row>
    <row r="54" spans="1:9" x14ac:dyDescent="0.25">
      <c r="A54" s="54" t="str" cm="1">
        <f t="array" aca="1" ref="A54" ca="1">IF($E54="","",
HYPERLINK("#'"&amp;INDEX(Table11[Sheet Name],$F54)&amp;"'!"&amp;INDEX(Table11[ID Column],$F54)&amp;$G54,
IF(LEN(H54)&gt;255,LEFT(H54,250)&amp;" …",H54)))</f>
        <v/>
      </c>
      <c r="B54" s="54" t="str" cm="1">
        <f t="array" aca="1" ref="B54" ca="1">IF($E54="","",HYPERLINK("#'"&amp;INDEX(Table11[Sheet Name],$F54)&amp;"'!"&amp;INDEX(Table11[Comment Column],$F54)&amp;$G54,
IF(LEN(I54)&gt;255,LEFT(I54,250)&amp;" …",I54)))</f>
        <v/>
      </c>
      <c r="C54" s="9" cm="1">
        <f t="array" aca="1" ref="C54" ca="1">IFERROR(IF(ROW()=ROW($C$19)+1,1,INDEX($C:$C,ROW()-1))+
IF(INDEX($E:$E,ROW()-1)=TRUE,1,0),"")</f>
        <v>1</v>
      </c>
      <c r="D54" s="9">
        <f t="shared" ca="1" si="9"/>
        <v>35</v>
      </c>
      <c r="E54" s="9" t="str" cm="1">
        <f t="array" aca="1" ref="E54" ca="1">IFERROR(INDEX(Table11[Number of Tasks],$F54)=$D54,"")</f>
        <v/>
      </c>
      <c r="F54" s="9" t="str">
        <f ca="1">IFERROR(MATCH($C54,Table11[Task Sheet Shadow ID],0),"")</f>
        <v/>
      </c>
      <c r="G54" s="9" t="str" cm="1">
        <f t="array" aca="1" ref="G54" ca="1">IFERROR(_xlfn.LET(
_xlpm._column,INDEX(Table11[Task ID Column],$F54),
MATCH($D54,INDIRECT("'"&amp;INDEX(Table11[Sheet Name],$F54)&amp;"'!"&amp;_xlpm._column&amp;":"&amp;_xlpm._column),0)),"")</f>
        <v/>
      </c>
      <c r="H54" s="9" t="str" cm="1">
        <f t="array" aca="1" ref="H54" ca="1">IF($G54="","",(_xlfn.LET(
_xlpm._columnID,INDEX(Table11[ID Column],$F54),
_xlpm._columnName,INDEX(Table11[Name Column],$F54),
INDEX(INDIRECT("'"&amp;INDEX(Table11[Sheet Name],$F54)&amp;"'!"&amp;_xlpm._columnID&amp;":"&amp;_xlpm._columnID),$G54)&amp;" "&amp;
INDEX(INDIRECT("'"&amp;INDEX(Table11[Sheet Name],$F54)&amp;"'!"&amp;_xlpm._columnName&amp;":"&amp;_xlpm._columnName),$G54))))</f>
        <v/>
      </c>
      <c r="I54" s="9" t="str" cm="1">
        <f t="array" aca="1" ref="I54" ca="1">IF($G54="","",(_xlfn.LET(
_xlpm._columnID,INDEX(Table11[Comment Column],$F54),
INDEX(INDIRECT("'"&amp;INDEX(Table11[Sheet Name],$F54)&amp;"'!"&amp;_xlpm._columnID&amp;":"&amp;_xlpm._columnID),$G54))))</f>
        <v/>
      </c>
    </row>
    <row r="55" spans="1:9" x14ac:dyDescent="0.25">
      <c r="A55" s="54" t="str" cm="1">
        <f t="array" aca="1" ref="A55" ca="1">IF($E55="","",
HYPERLINK("#'"&amp;INDEX(Table11[Sheet Name],$F55)&amp;"'!"&amp;INDEX(Table11[ID Column],$F55)&amp;$G55,
IF(LEN(H55)&gt;255,LEFT(H55,250)&amp;" …",H55)))</f>
        <v/>
      </c>
      <c r="B55" s="54" t="str" cm="1">
        <f t="array" aca="1" ref="B55" ca="1">IF($E55="","",HYPERLINK("#'"&amp;INDEX(Table11[Sheet Name],$F55)&amp;"'!"&amp;INDEX(Table11[Comment Column],$F55)&amp;$G55,
IF(LEN(I55)&gt;255,LEFT(I55,250)&amp;" …",I55)))</f>
        <v/>
      </c>
      <c r="C55" s="9" cm="1">
        <f t="array" aca="1" ref="C55" ca="1">IFERROR(IF(ROW()=ROW($C$19)+1,1,INDEX($C:$C,ROW()-1))+
IF(INDEX($E:$E,ROW()-1)=TRUE,1,0),"")</f>
        <v>1</v>
      </c>
      <c r="D55" s="9">
        <f t="shared" ca="1" si="9"/>
        <v>36</v>
      </c>
      <c r="E55" s="9" t="str" cm="1">
        <f t="array" aca="1" ref="E55" ca="1">IFERROR(INDEX(Table11[Number of Tasks],$F55)=$D55,"")</f>
        <v/>
      </c>
      <c r="F55" s="9" t="str">
        <f ca="1">IFERROR(MATCH($C55,Table11[Task Sheet Shadow ID],0),"")</f>
        <v/>
      </c>
      <c r="G55" s="9" t="str" cm="1">
        <f t="array" aca="1" ref="G55" ca="1">IFERROR(_xlfn.LET(
_xlpm._column,INDEX(Table11[Task ID Column],$F55),
MATCH($D55,INDIRECT("'"&amp;INDEX(Table11[Sheet Name],$F55)&amp;"'!"&amp;_xlpm._column&amp;":"&amp;_xlpm._column),0)),"")</f>
        <v/>
      </c>
      <c r="H55" s="9" t="str" cm="1">
        <f t="array" aca="1" ref="H55" ca="1">IF($G55="","",(_xlfn.LET(
_xlpm._columnID,INDEX(Table11[ID Column],$F55),
_xlpm._columnName,INDEX(Table11[Name Column],$F55),
INDEX(INDIRECT("'"&amp;INDEX(Table11[Sheet Name],$F55)&amp;"'!"&amp;_xlpm._columnID&amp;":"&amp;_xlpm._columnID),$G55)&amp;" "&amp;
INDEX(INDIRECT("'"&amp;INDEX(Table11[Sheet Name],$F55)&amp;"'!"&amp;_xlpm._columnName&amp;":"&amp;_xlpm._columnName),$G55))))</f>
        <v/>
      </c>
      <c r="I55" s="9" t="str" cm="1">
        <f t="array" aca="1" ref="I55" ca="1">IF($G55="","",(_xlfn.LET(
_xlpm._columnID,INDEX(Table11[Comment Column],$F55),
INDEX(INDIRECT("'"&amp;INDEX(Table11[Sheet Name],$F55)&amp;"'!"&amp;_xlpm._columnID&amp;":"&amp;_xlpm._columnID),$G55))))</f>
        <v/>
      </c>
    </row>
    <row r="56" spans="1:9" x14ac:dyDescent="0.25">
      <c r="A56" s="54" t="str" cm="1">
        <f t="array" aca="1" ref="A56" ca="1">IF($E56="","",
HYPERLINK("#'"&amp;INDEX(Table11[Sheet Name],$F56)&amp;"'!"&amp;INDEX(Table11[ID Column],$F56)&amp;$G56,
IF(LEN(H56)&gt;255,LEFT(H56,250)&amp;" …",H56)))</f>
        <v/>
      </c>
      <c r="B56" s="54" t="str" cm="1">
        <f t="array" aca="1" ref="B56" ca="1">IF($E56="","",HYPERLINK("#'"&amp;INDEX(Table11[Sheet Name],$F56)&amp;"'!"&amp;INDEX(Table11[Comment Column],$F56)&amp;$G56,
IF(LEN(I56)&gt;255,LEFT(I56,250)&amp;" …",I56)))</f>
        <v/>
      </c>
      <c r="C56" s="9" cm="1">
        <f t="array" aca="1" ref="C56" ca="1">IFERROR(IF(ROW()=ROW($C$19)+1,1,INDEX($C:$C,ROW()-1))+
IF(INDEX($E:$E,ROW()-1)=TRUE,1,0),"")</f>
        <v>1</v>
      </c>
      <c r="D56" s="9">
        <f t="shared" ca="1" si="9"/>
        <v>37</v>
      </c>
      <c r="E56" s="9" t="str" cm="1">
        <f t="array" aca="1" ref="E56" ca="1">IFERROR(INDEX(Table11[Number of Tasks],$F56)=$D56,"")</f>
        <v/>
      </c>
      <c r="F56" s="9" t="str">
        <f ca="1">IFERROR(MATCH($C56,Table11[Task Sheet Shadow ID],0),"")</f>
        <v/>
      </c>
      <c r="G56" s="9" t="str" cm="1">
        <f t="array" aca="1" ref="G56" ca="1">IFERROR(_xlfn.LET(
_xlpm._column,INDEX(Table11[Task ID Column],$F56),
MATCH($D56,INDIRECT("'"&amp;INDEX(Table11[Sheet Name],$F56)&amp;"'!"&amp;_xlpm._column&amp;":"&amp;_xlpm._column),0)),"")</f>
        <v/>
      </c>
      <c r="H56" s="9" t="str" cm="1">
        <f t="array" aca="1" ref="H56" ca="1">IF($G56="","",(_xlfn.LET(
_xlpm._columnID,INDEX(Table11[ID Column],$F56),
_xlpm._columnName,INDEX(Table11[Name Column],$F56),
INDEX(INDIRECT("'"&amp;INDEX(Table11[Sheet Name],$F56)&amp;"'!"&amp;_xlpm._columnID&amp;":"&amp;_xlpm._columnID),$G56)&amp;" "&amp;
INDEX(INDIRECT("'"&amp;INDEX(Table11[Sheet Name],$F56)&amp;"'!"&amp;_xlpm._columnName&amp;":"&amp;_xlpm._columnName),$G56))))</f>
        <v/>
      </c>
      <c r="I56" s="9" t="str" cm="1">
        <f t="array" aca="1" ref="I56" ca="1">IF($G56="","",(_xlfn.LET(
_xlpm._columnID,INDEX(Table11[Comment Column],$F56),
INDEX(INDIRECT("'"&amp;INDEX(Table11[Sheet Name],$F56)&amp;"'!"&amp;_xlpm._columnID&amp;":"&amp;_xlpm._columnID),$G56))))</f>
        <v/>
      </c>
    </row>
    <row r="57" spans="1:9" x14ac:dyDescent="0.25">
      <c r="A57" s="54" t="str" cm="1">
        <f t="array" aca="1" ref="A57" ca="1">IF($E57="","",
HYPERLINK("#'"&amp;INDEX(Table11[Sheet Name],$F57)&amp;"'!"&amp;INDEX(Table11[ID Column],$F57)&amp;$G57,
IF(LEN(H57)&gt;255,LEFT(H57,250)&amp;" …",H57)))</f>
        <v/>
      </c>
      <c r="B57" s="54" t="str" cm="1">
        <f t="array" aca="1" ref="B57" ca="1">IF($E57="","",HYPERLINK("#'"&amp;INDEX(Table11[Sheet Name],$F57)&amp;"'!"&amp;INDEX(Table11[Comment Column],$F57)&amp;$G57,
IF(LEN(I57)&gt;255,LEFT(I57,250)&amp;" …",I57)))</f>
        <v/>
      </c>
      <c r="C57" s="9" cm="1">
        <f t="array" aca="1" ref="C57" ca="1">IFERROR(IF(ROW()=ROW($C$19)+1,1,INDEX($C:$C,ROW()-1))+
IF(INDEX($E:$E,ROW()-1)=TRUE,1,0),"")</f>
        <v>1</v>
      </c>
      <c r="D57" s="9">
        <f t="shared" ca="1" si="9"/>
        <v>38</v>
      </c>
      <c r="E57" s="9" t="str" cm="1">
        <f t="array" aca="1" ref="E57" ca="1">IFERROR(INDEX(Table11[Number of Tasks],$F57)=$D57,"")</f>
        <v/>
      </c>
      <c r="F57" s="9" t="str">
        <f ca="1">IFERROR(MATCH($C57,Table11[Task Sheet Shadow ID],0),"")</f>
        <v/>
      </c>
      <c r="G57" s="9" t="str" cm="1">
        <f t="array" aca="1" ref="G57" ca="1">IFERROR(_xlfn.LET(
_xlpm._column,INDEX(Table11[Task ID Column],$F57),
MATCH($D57,INDIRECT("'"&amp;INDEX(Table11[Sheet Name],$F57)&amp;"'!"&amp;_xlpm._column&amp;":"&amp;_xlpm._column),0)),"")</f>
        <v/>
      </c>
      <c r="H57" s="9" t="str" cm="1">
        <f t="array" aca="1" ref="H57" ca="1">IF($G57="","",(_xlfn.LET(
_xlpm._columnID,INDEX(Table11[ID Column],$F57),
_xlpm._columnName,INDEX(Table11[Name Column],$F57),
INDEX(INDIRECT("'"&amp;INDEX(Table11[Sheet Name],$F57)&amp;"'!"&amp;_xlpm._columnID&amp;":"&amp;_xlpm._columnID),$G57)&amp;" "&amp;
INDEX(INDIRECT("'"&amp;INDEX(Table11[Sheet Name],$F57)&amp;"'!"&amp;_xlpm._columnName&amp;":"&amp;_xlpm._columnName),$G57))))</f>
        <v/>
      </c>
      <c r="I57" s="9" t="str" cm="1">
        <f t="array" aca="1" ref="I57" ca="1">IF($G57="","",(_xlfn.LET(
_xlpm._columnID,INDEX(Table11[Comment Column],$F57),
INDEX(INDIRECT("'"&amp;INDEX(Table11[Sheet Name],$F57)&amp;"'!"&amp;_xlpm._columnID&amp;":"&amp;_xlpm._columnID),$G57))))</f>
        <v/>
      </c>
    </row>
    <row r="58" spans="1:9" x14ac:dyDescent="0.25">
      <c r="A58" s="54" t="str" cm="1">
        <f t="array" aca="1" ref="A58" ca="1">IF($E58="","",
HYPERLINK("#'"&amp;INDEX(Table11[Sheet Name],$F58)&amp;"'!"&amp;INDEX(Table11[ID Column],$F58)&amp;$G58,
IF(LEN(H58)&gt;255,LEFT(H58,250)&amp;" …",H58)))</f>
        <v/>
      </c>
      <c r="B58" s="54" t="str" cm="1">
        <f t="array" aca="1" ref="B58" ca="1">IF($E58="","",HYPERLINK("#'"&amp;INDEX(Table11[Sheet Name],$F58)&amp;"'!"&amp;INDEX(Table11[Comment Column],$F58)&amp;$G58,
IF(LEN(I58)&gt;255,LEFT(I58,250)&amp;" …",I58)))</f>
        <v/>
      </c>
      <c r="C58" s="9" cm="1">
        <f t="array" aca="1" ref="C58" ca="1">IFERROR(IF(ROW()=ROW($C$19)+1,1,INDEX($C:$C,ROW()-1))+
IF(INDEX($E:$E,ROW()-1)=TRUE,1,0),"")</f>
        <v>1</v>
      </c>
      <c r="D58" s="9">
        <f t="shared" ca="1" si="9"/>
        <v>39</v>
      </c>
      <c r="E58" s="9" t="str" cm="1">
        <f t="array" aca="1" ref="E58" ca="1">IFERROR(INDEX(Table11[Number of Tasks],$F58)=$D58,"")</f>
        <v/>
      </c>
      <c r="F58" s="9" t="str">
        <f ca="1">IFERROR(MATCH($C58,Table11[Task Sheet Shadow ID],0),"")</f>
        <v/>
      </c>
      <c r="G58" s="9" t="str" cm="1">
        <f t="array" aca="1" ref="G58" ca="1">IFERROR(_xlfn.LET(
_xlpm._column,INDEX(Table11[Task ID Column],$F58),
MATCH($D58,INDIRECT("'"&amp;INDEX(Table11[Sheet Name],$F58)&amp;"'!"&amp;_xlpm._column&amp;":"&amp;_xlpm._column),0)),"")</f>
        <v/>
      </c>
      <c r="H58" s="9" t="str" cm="1">
        <f t="array" aca="1" ref="H58" ca="1">IF($G58="","",(_xlfn.LET(
_xlpm._columnID,INDEX(Table11[ID Column],$F58),
_xlpm._columnName,INDEX(Table11[Name Column],$F58),
INDEX(INDIRECT("'"&amp;INDEX(Table11[Sheet Name],$F58)&amp;"'!"&amp;_xlpm._columnID&amp;":"&amp;_xlpm._columnID),$G58)&amp;" "&amp;
INDEX(INDIRECT("'"&amp;INDEX(Table11[Sheet Name],$F58)&amp;"'!"&amp;_xlpm._columnName&amp;":"&amp;_xlpm._columnName),$G58))))</f>
        <v/>
      </c>
      <c r="I58" s="9" t="str" cm="1">
        <f t="array" aca="1" ref="I58" ca="1">IF($G58="","",(_xlfn.LET(
_xlpm._columnID,INDEX(Table11[Comment Column],$F58),
INDEX(INDIRECT("'"&amp;INDEX(Table11[Sheet Name],$F58)&amp;"'!"&amp;_xlpm._columnID&amp;":"&amp;_xlpm._columnID),$G58))))</f>
        <v/>
      </c>
    </row>
    <row r="59" spans="1:9" x14ac:dyDescent="0.25">
      <c r="A59" s="54" t="str" cm="1">
        <f t="array" aca="1" ref="A59" ca="1">IF($E59="","",
HYPERLINK("#'"&amp;INDEX(Table11[Sheet Name],$F59)&amp;"'!"&amp;INDEX(Table11[ID Column],$F59)&amp;$G59,
IF(LEN(H59)&gt;255,LEFT(H59,250)&amp;" …",H59)))</f>
        <v/>
      </c>
      <c r="B59" s="54" t="str" cm="1">
        <f t="array" aca="1" ref="B59" ca="1">IF($E59="","",HYPERLINK("#'"&amp;INDEX(Table11[Sheet Name],$F59)&amp;"'!"&amp;INDEX(Table11[Comment Column],$F59)&amp;$G59,
IF(LEN(I59)&gt;255,LEFT(I59,250)&amp;" …",I59)))</f>
        <v/>
      </c>
      <c r="C59" s="9" cm="1">
        <f t="array" aca="1" ref="C59" ca="1">IFERROR(IF(ROW()=ROW($C$19)+1,1,INDEX($C:$C,ROW()-1))+
IF(INDEX($E:$E,ROW()-1)=TRUE,1,0),"")</f>
        <v>1</v>
      </c>
      <c r="D59" s="9">
        <f t="shared" ca="1" si="9"/>
        <v>40</v>
      </c>
      <c r="E59" s="9" t="str" cm="1">
        <f t="array" aca="1" ref="E59" ca="1">IFERROR(INDEX(Table11[Number of Tasks],$F59)=$D59,"")</f>
        <v/>
      </c>
      <c r="F59" s="9" t="str">
        <f ca="1">IFERROR(MATCH($C59,Table11[Task Sheet Shadow ID],0),"")</f>
        <v/>
      </c>
      <c r="G59" s="9" t="str" cm="1">
        <f t="array" aca="1" ref="G59" ca="1">IFERROR(_xlfn.LET(
_xlpm._column,INDEX(Table11[Task ID Column],$F59),
MATCH($D59,INDIRECT("'"&amp;INDEX(Table11[Sheet Name],$F59)&amp;"'!"&amp;_xlpm._column&amp;":"&amp;_xlpm._column),0)),"")</f>
        <v/>
      </c>
      <c r="H59" s="9" t="str" cm="1">
        <f t="array" aca="1" ref="H59" ca="1">IF($G59="","",(_xlfn.LET(
_xlpm._columnID,INDEX(Table11[ID Column],$F59),
_xlpm._columnName,INDEX(Table11[Name Column],$F59),
INDEX(INDIRECT("'"&amp;INDEX(Table11[Sheet Name],$F59)&amp;"'!"&amp;_xlpm._columnID&amp;":"&amp;_xlpm._columnID),$G59)&amp;" "&amp;
INDEX(INDIRECT("'"&amp;INDEX(Table11[Sheet Name],$F59)&amp;"'!"&amp;_xlpm._columnName&amp;":"&amp;_xlpm._columnName),$G59))))</f>
        <v/>
      </c>
      <c r="I59" s="9" t="str" cm="1">
        <f t="array" aca="1" ref="I59" ca="1">IF($G59="","",(_xlfn.LET(
_xlpm._columnID,INDEX(Table11[Comment Column],$F59),
INDEX(INDIRECT("'"&amp;INDEX(Table11[Sheet Name],$F59)&amp;"'!"&amp;_xlpm._columnID&amp;":"&amp;_xlpm._columnID),$G59))))</f>
        <v/>
      </c>
    </row>
    <row r="60" spans="1:9" x14ac:dyDescent="0.25">
      <c r="A60" s="54" t="str" cm="1">
        <f t="array" aca="1" ref="A60" ca="1">IF($E60="","",
HYPERLINK("#'"&amp;INDEX(Table11[Sheet Name],$F60)&amp;"'!"&amp;INDEX(Table11[ID Column],$F60)&amp;$G60,
IF(LEN(H60)&gt;255,LEFT(H60,250)&amp;" …",H60)))</f>
        <v/>
      </c>
      <c r="B60" s="54" t="str" cm="1">
        <f t="array" aca="1" ref="B60" ca="1">IF($E60="","",HYPERLINK("#'"&amp;INDEX(Table11[Sheet Name],$F60)&amp;"'!"&amp;INDEX(Table11[Comment Column],$F60)&amp;$G60,
IF(LEN(I60)&gt;255,LEFT(I60,250)&amp;" …",I60)))</f>
        <v/>
      </c>
      <c r="C60" s="9" cm="1">
        <f t="array" aca="1" ref="C60" ca="1">IFERROR(IF(ROW()=ROW($C$19)+1,1,INDEX($C:$C,ROW()-1))+
IF(INDEX($E:$E,ROW()-1)=TRUE,1,0),"")</f>
        <v>1</v>
      </c>
      <c r="D60" s="9">
        <f t="shared" ca="1" si="9"/>
        <v>41</v>
      </c>
      <c r="E60" s="9" t="str" cm="1">
        <f t="array" aca="1" ref="E60" ca="1">IFERROR(INDEX(Table11[Number of Tasks],$F60)=$D60,"")</f>
        <v/>
      </c>
      <c r="F60" s="9" t="str">
        <f ca="1">IFERROR(MATCH($C60,Table11[Task Sheet Shadow ID],0),"")</f>
        <v/>
      </c>
      <c r="G60" s="9" t="str" cm="1">
        <f t="array" aca="1" ref="G60" ca="1">IFERROR(_xlfn.LET(
_xlpm._column,INDEX(Table11[Task ID Column],$F60),
MATCH($D60,INDIRECT("'"&amp;INDEX(Table11[Sheet Name],$F60)&amp;"'!"&amp;_xlpm._column&amp;":"&amp;_xlpm._column),0)),"")</f>
        <v/>
      </c>
      <c r="H60" s="9" t="str" cm="1">
        <f t="array" aca="1" ref="H60" ca="1">IF($G60="","",(_xlfn.LET(
_xlpm._columnID,INDEX(Table11[ID Column],$F60),
_xlpm._columnName,INDEX(Table11[Name Column],$F60),
INDEX(INDIRECT("'"&amp;INDEX(Table11[Sheet Name],$F60)&amp;"'!"&amp;_xlpm._columnID&amp;":"&amp;_xlpm._columnID),$G60)&amp;" "&amp;
INDEX(INDIRECT("'"&amp;INDEX(Table11[Sheet Name],$F60)&amp;"'!"&amp;_xlpm._columnName&amp;":"&amp;_xlpm._columnName),$G60))))</f>
        <v/>
      </c>
      <c r="I60" s="9" t="str" cm="1">
        <f t="array" aca="1" ref="I60" ca="1">IF($G60="","",(_xlfn.LET(
_xlpm._columnID,INDEX(Table11[Comment Column],$F60),
INDEX(INDIRECT("'"&amp;INDEX(Table11[Sheet Name],$F60)&amp;"'!"&amp;_xlpm._columnID&amp;":"&amp;_xlpm._columnID),$G60))))</f>
        <v/>
      </c>
    </row>
    <row r="61" spans="1:9" x14ac:dyDescent="0.25">
      <c r="A61" s="54" t="str" cm="1">
        <f t="array" aca="1" ref="A61" ca="1">IF($E61="","",
HYPERLINK("#'"&amp;INDEX(Table11[Sheet Name],$F61)&amp;"'!"&amp;INDEX(Table11[ID Column],$F61)&amp;$G61,
IF(LEN(H61)&gt;255,LEFT(H61,250)&amp;" …",H61)))</f>
        <v/>
      </c>
      <c r="B61" s="54" t="str" cm="1">
        <f t="array" aca="1" ref="B61" ca="1">IF($E61="","",HYPERLINK("#'"&amp;INDEX(Table11[Sheet Name],$F61)&amp;"'!"&amp;INDEX(Table11[Comment Column],$F61)&amp;$G61,
IF(LEN(I61)&gt;255,LEFT(I61,250)&amp;" …",I61)))</f>
        <v/>
      </c>
      <c r="C61" s="9" cm="1">
        <f t="array" aca="1" ref="C61" ca="1">IFERROR(IF(ROW()=ROW($C$19)+1,1,INDEX($C:$C,ROW()-1))+
IF(INDEX($E:$E,ROW()-1)=TRUE,1,0),"")</f>
        <v>1</v>
      </c>
      <c r="D61" s="9">
        <f t="shared" ca="1" si="9"/>
        <v>42</v>
      </c>
      <c r="E61" s="9" t="str" cm="1">
        <f t="array" aca="1" ref="E61" ca="1">IFERROR(INDEX(Table11[Number of Tasks],$F61)=$D61,"")</f>
        <v/>
      </c>
      <c r="F61" s="9" t="str">
        <f ca="1">IFERROR(MATCH($C61,Table11[Task Sheet Shadow ID],0),"")</f>
        <v/>
      </c>
      <c r="G61" s="9" t="str" cm="1">
        <f t="array" aca="1" ref="G61" ca="1">IFERROR(_xlfn.LET(
_xlpm._column,INDEX(Table11[Task ID Column],$F61),
MATCH($D61,INDIRECT("'"&amp;INDEX(Table11[Sheet Name],$F61)&amp;"'!"&amp;_xlpm._column&amp;":"&amp;_xlpm._column),0)),"")</f>
        <v/>
      </c>
      <c r="H61" s="9" t="str" cm="1">
        <f t="array" aca="1" ref="H61" ca="1">IF($G61="","",(_xlfn.LET(
_xlpm._columnID,INDEX(Table11[ID Column],$F61),
_xlpm._columnName,INDEX(Table11[Name Column],$F61),
INDEX(INDIRECT("'"&amp;INDEX(Table11[Sheet Name],$F61)&amp;"'!"&amp;_xlpm._columnID&amp;":"&amp;_xlpm._columnID),$G61)&amp;" "&amp;
INDEX(INDIRECT("'"&amp;INDEX(Table11[Sheet Name],$F61)&amp;"'!"&amp;_xlpm._columnName&amp;":"&amp;_xlpm._columnName),$G61))))</f>
        <v/>
      </c>
      <c r="I61" s="9" t="str" cm="1">
        <f t="array" aca="1" ref="I61" ca="1">IF($G61="","",(_xlfn.LET(
_xlpm._columnID,INDEX(Table11[Comment Column],$F61),
INDEX(INDIRECT("'"&amp;INDEX(Table11[Sheet Name],$F61)&amp;"'!"&amp;_xlpm._columnID&amp;":"&amp;_xlpm._columnID),$G61))))</f>
        <v/>
      </c>
    </row>
    <row r="62" spans="1:9" x14ac:dyDescent="0.25">
      <c r="A62" s="54" t="str" cm="1">
        <f t="array" aca="1" ref="A62" ca="1">IF($E62="","",
HYPERLINK("#'"&amp;INDEX(Table11[Sheet Name],$F62)&amp;"'!"&amp;INDEX(Table11[ID Column],$F62)&amp;$G62,
IF(LEN(H62)&gt;255,LEFT(H62,250)&amp;" …",H62)))</f>
        <v/>
      </c>
      <c r="B62" s="54" t="str" cm="1">
        <f t="array" aca="1" ref="B62" ca="1">IF($E62="","",HYPERLINK("#'"&amp;INDEX(Table11[Sheet Name],$F62)&amp;"'!"&amp;INDEX(Table11[Comment Column],$F62)&amp;$G62,
IF(LEN(I62)&gt;255,LEFT(I62,250)&amp;" …",I62)))</f>
        <v/>
      </c>
      <c r="C62" s="9" cm="1">
        <f t="array" aca="1" ref="C62" ca="1">IFERROR(IF(ROW()=ROW($C$19)+1,1,INDEX($C:$C,ROW()-1))+
IF(INDEX($E:$E,ROW()-1)=TRUE,1,0),"")</f>
        <v>1</v>
      </c>
      <c r="D62" s="9">
        <f t="shared" ca="1" si="9"/>
        <v>43</v>
      </c>
      <c r="E62" s="9" t="str" cm="1">
        <f t="array" aca="1" ref="E62" ca="1">IFERROR(INDEX(Table11[Number of Tasks],$F62)=$D62,"")</f>
        <v/>
      </c>
      <c r="F62" s="9" t="str">
        <f ca="1">IFERROR(MATCH($C62,Table11[Task Sheet Shadow ID],0),"")</f>
        <v/>
      </c>
      <c r="G62" s="9" t="str" cm="1">
        <f t="array" aca="1" ref="G62" ca="1">IFERROR(_xlfn.LET(
_xlpm._column,INDEX(Table11[Task ID Column],$F62),
MATCH($D62,INDIRECT("'"&amp;INDEX(Table11[Sheet Name],$F62)&amp;"'!"&amp;_xlpm._column&amp;":"&amp;_xlpm._column),0)),"")</f>
        <v/>
      </c>
      <c r="H62" s="9" t="str" cm="1">
        <f t="array" aca="1" ref="H62" ca="1">IF($G62="","",(_xlfn.LET(
_xlpm._columnID,INDEX(Table11[ID Column],$F62),
_xlpm._columnName,INDEX(Table11[Name Column],$F62),
INDEX(INDIRECT("'"&amp;INDEX(Table11[Sheet Name],$F62)&amp;"'!"&amp;_xlpm._columnID&amp;":"&amp;_xlpm._columnID),$G62)&amp;" "&amp;
INDEX(INDIRECT("'"&amp;INDEX(Table11[Sheet Name],$F62)&amp;"'!"&amp;_xlpm._columnName&amp;":"&amp;_xlpm._columnName),$G62))))</f>
        <v/>
      </c>
      <c r="I62" s="9" t="str" cm="1">
        <f t="array" aca="1" ref="I62" ca="1">IF($G62="","",(_xlfn.LET(
_xlpm._columnID,INDEX(Table11[Comment Column],$F62),
INDEX(INDIRECT("'"&amp;INDEX(Table11[Sheet Name],$F62)&amp;"'!"&amp;_xlpm._columnID&amp;":"&amp;_xlpm._columnID),$G62))))</f>
        <v/>
      </c>
    </row>
    <row r="63" spans="1:9" x14ac:dyDescent="0.25">
      <c r="A63" s="54" t="str" cm="1">
        <f t="array" aca="1" ref="A63" ca="1">IF($E63="","",
HYPERLINK("#'"&amp;INDEX(Table11[Sheet Name],$F63)&amp;"'!"&amp;INDEX(Table11[ID Column],$F63)&amp;$G63,
IF(LEN(H63)&gt;255,LEFT(H63,250)&amp;" …",H63)))</f>
        <v/>
      </c>
      <c r="B63" s="54" t="str" cm="1">
        <f t="array" aca="1" ref="B63" ca="1">IF($E63="","",HYPERLINK("#'"&amp;INDEX(Table11[Sheet Name],$F63)&amp;"'!"&amp;INDEX(Table11[Comment Column],$F63)&amp;$G63,
IF(LEN(I63)&gt;255,LEFT(I63,250)&amp;" …",I63)))</f>
        <v/>
      </c>
      <c r="C63" s="9" cm="1">
        <f t="array" aca="1" ref="C63" ca="1">IFERROR(IF(ROW()=ROW($C$19)+1,1,INDEX($C:$C,ROW()-1))+
IF(INDEX($E:$E,ROW()-1)=TRUE,1,0),"")</f>
        <v>1</v>
      </c>
      <c r="D63" s="9">
        <f t="shared" ca="1" si="9"/>
        <v>44</v>
      </c>
      <c r="E63" s="9" t="str" cm="1">
        <f t="array" aca="1" ref="E63" ca="1">IFERROR(INDEX(Table11[Number of Tasks],$F63)=$D63,"")</f>
        <v/>
      </c>
      <c r="F63" s="9" t="str">
        <f ca="1">IFERROR(MATCH($C63,Table11[Task Sheet Shadow ID],0),"")</f>
        <v/>
      </c>
      <c r="G63" s="9" t="str" cm="1">
        <f t="array" aca="1" ref="G63" ca="1">IFERROR(_xlfn.LET(
_xlpm._column,INDEX(Table11[Task ID Column],$F63),
MATCH($D63,INDIRECT("'"&amp;INDEX(Table11[Sheet Name],$F63)&amp;"'!"&amp;_xlpm._column&amp;":"&amp;_xlpm._column),0)),"")</f>
        <v/>
      </c>
      <c r="H63" s="9" t="str" cm="1">
        <f t="array" aca="1" ref="H63" ca="1">IF($G63="","",(_xlfn.LET(
_xlpm._columnID,INDEX(Table11[ID Column],$F63),
_xlpm._columnName,INDEX(Table11[Name Column],$F63),
INDEX(INDIRECT("'"&amp;INDEX(Table11[Sheet Name],$F63)&amp;"'!"&amp;_xlpm._columnID&amp;":"&amp;_xlpm._columnID),$G63)&amp;" "&amp;
INDEX(INDIRECT("'"&amp;INDEX(Table11[Sheet Name],$F63)&amp;"'!"&amp;_xlpm._columnName&amp;":"&amp;_xlpm._columnName),$G63))))</f>
        <v/>
      </c>
      <c r="I63" s="9" t="str" cm="1">
        <f t="array" aca="1" ref="I63" ca="1">IF($G63="","",(_xlfn.LET(
_xlpm._columnID,INDEX(Table11[Comment Column],$F63),
INDEX(INDIRECT("'"&amp;INDEX(Table11[Sheet Name],$F63)&amp;"'!"&amp;_xlpm._columnID&amp;":"&amp;_xlpm._columnID),$G63))))</f>
        <v/>
      </c>
    </row>
    <row r="64" spans="1:9" x14ac:dyDescent="0.25">
      <c r="A64" s="54" t="str" cm="1">
        <f t="array" aca="1" ref="A64" ca="1">IF($E64="","",
HYPERLINK("#'"&amp;INDEX(Table11[Sheet Name],$F64)&amp;"'!"&amp;INDEX(Table11[ID Column],$F64)&amp;$G64,
IF(LEN(H64)&gt;255,LEFT(H64,250)&amp;" …",H64)))</f>
        <v/>
      </c>
      <c r="B64" s="54" t="str" cm="1">
        <f t="array" aca="1" ref="B64" ca="1">IF($E64="","",HYPERLINK("#'"&amp;INDEX(Table11[Sheet Name],$F64)&amp;"'!"&amp;INDEX(Table11[Comment Column],$F64)&amp;$G64,
IF(LEN(I64)&gt;255,LEFT(I64,250)&amp;" …",I64)))</f>
        <v/>
      </c>
      <c r="C64" s="9" cm="1">
        <f t="array" aca="1" ref="C64" ca="1">IFERROR(IF(ROW()=ROW($C$19)+1,1,INDEX($C:$C,ROW()-1))+
IF(INDEX($E:$E,ROW()-1)=TRUE,1,0),"")</f>
        <v>1</v>
      </c>
      <c r="D64" s="9">
        <f t="shared" ca="1" si="9"/>
        <v>45</v>
      </c>
      <c r="E64" s="9" t="str" cm="1">
        <f t="array" aca="1" ref="E64" ca="1">IFERROR(INDEX(Table11[Number of Tasks],$F64)=$D64,"")</f>
        <v/>
      </c>
      <c r="F64" s="9" t="str">
        <f ca="1">IFERROR(MATCH($C64,Table11[Task Sheet Shadow ID],0),"")</f>
        <v/>
      </c>
      <c r="G64" s="9" t="str" cm="1">
        <f t="array" aca="1" ref="G64" ca="1">IFERROR(_xlfn.LET(
_xlpm._column,INDEX(Table11[Task ID Column],$F64),
MATCH($D64,INDIRECT("'"&amp;INDEX(Table11[Sheet Name],$F64)&amp;"'!"&amp;_xlpm._column&amp;":"&amp;_xlpm._column),0)),"")</f>
        <v/>
      </c>
      <c r="H64" s="9" t="str" cm="1">
        <f t="array" aca="1" ref="H64" ca="1">IF($G64="","",(_xlfn.LET(
_xlpm._columnID,INDEX(Table11[ID Column],$F64),
_xlpm._columnName,INDEX(Table11[Name Column],$F64),
INDEX(INDIRECT("'"&amp;INDEX(Table11[Sheet Name],$F64)&amp;"'!"&amp;_xlpm._columnID&amp;":"&amp;_xlpm._columnID),$G64)&amp;" "&amp;
INDEX(INDIRECT("'"&amp;INDEX(Table11[Sheet Name],$F64)&amp;"'!"&amp;_xlpm._columnName&amp;":"&amp;_xlpm._columnName),$G64))))</f>
        <v/>
      </c>
      <c r="I64" s="9" t="str" cm="1">
        <f t="array" aca="1" ref="I64" ca="1">IF($G64="","",(_xlfn.LET(
_xlpm._columnID,INDEX(Table11[Comment Column],$F64),
INDEX(INDIRECT("'"&amp;INDEX(Table11[Sheet Name],$F64)&amp;"'!"&amp;_xlpm._columnID&amp;":"&amp;_xlpm._columnID),$G64))))</f>
        <v/>
      </c>
    </row>
    <row r="65" spans="1:9" x14ac:dyDescent="0.25">
      <c r="A65" s="54" t="str" cm="1">
        <f t="array" aca="1" ref="A65" ca="1">IF($E65="","",
HYPERLINK("#'"&amp;INDEX(Table11[Sheet Name],$F65)&amp;"'!"&amp;INDEX(Table11[ID Column],$F65)&amp;$G65,
IF(LEN(H65)&gt;255,LEFT(H65,250)&amp;" …",H65)))</f>
        <v/>
      </c>
      <c r="B65" s="54" t="str" cm="1">
        <f t="array" aca="1" ref="B65" ca="1">IF($E65="","",HYPERLINK("#'"&amp;INDEX(Table11[Sheet Name],$F65)&amp;"'!"&amp;INDEX(Table11[Comment Column],$F65)&amp;$G65,
IF(LEN(I65)&gt;255,LEFT(I65,250)&amp;" …",I65)))</f>
        <v/>
      </c>
      <c r="C65" s="9" cm="1">
        <f t="array" aca="1" ref="C65" ca="1">IFERROR(IF(ROW()=ROW($C$19)+1,1,INDEX($C:$C,ROW()-1))+
IF(INDEX($E:$E,ROW()-1)=TRUE,1,0),"")</f>
        <v>1</v>
      </c>
      <c r="D65" s="9">
        <f t="shared" ca="1" si="9"/>
        <v>46</v>
      </c>
      <c r="E65" s="9" t="str" cm="1">
        <f t="array" aca="1" ref="E65" ca="1">IFERROR(INDEX(Table11[Number of Tasks],$F65)=$D65,"")</f>
        <v/>
      </c>
      <c r="F65" s="9" t="str">
        <f ca="1">IFERROR(MATCH($C65,Table11[Task Sheet Shadow ID],0),"")</f>
        <v/>
      </c>
      <c r="G65" s="9" t="str" cm="1">
        <f t="array" aca="1" ref="G65" ca="1">IFERROR(_xlfn.LET(
_xlpm._column,INDEX(Table11[Task ID Column],$F65),
MATCH($D65,INDIRECT("'"&amp;INDEX(Table11[Sheet Name],$F65)&amp;"'!"&amp;_xlpm._column&amp;":"&amp;_xlpm._column),0)),"")</f>
        <v/>
      </c>
      <c r="H65" s="9" t="str" cm="1">
        <f t="array" aca="1" ref="H65" ca="1">IF($G65="","",(_xlfn.LET(
_xlpm._columnID,INDEX(Table11[ID Column],$F65),
_xlpm._columnName,INDEX(Table11[Name Column],$F65),
INDEX(INDIRECT("'"&amp;INDEX(Table11[Sheet Name],$F65)&amp;"'!"&amp;_xlpm._columnID&amp;":"&amp;_xlpm._columnID),$G65)&amp;" "&amp;
INDEX(INDIRECT("'"&amp;INDEX(Table11[Sheet Name],$F65)&amp;"'!"&amp;_xlpm._columnName&amp;":"&amp;_xlpm._columnName),$G65))))</f>
        <v/>
      </c>
      <c r="I65" s="9" t="str" cm="1">
        <f t="array" aca="1" ref="I65" ca="1">IF($G65="","",(_xlfn.LET(
_xlpm._columnID,INDEX(Table11[Comment Column],$F65),
INDEX(INDIRECT("'"&amp;INDEX(Table11[Sheet Name],$F65)&amp;"'!"&amp;_xlpm._columnID&amp;":"&amp;_xlpm._columnID),$G65))))</f>
        <v/>
      </c>
    </row>
    <row r="66" spans="1:9" x14ac:dyDescent="0.25">
      <c r="A66" s="54" t="str" cm="1">
        <f t="array" aca="1" ref="A66" ca="1">IF($E66="","",
HYPERLINK("#'"&amp;INDEX(Table11[Sheet Name],$F66)&amp;"'!"&amp;INDEX(Table11[ID Column],$F66)&amp;$G66,
IF(LEN(H66)&gt;255,LEFT(H66,250)&amp;" …",H66)))</f>
        <v/>
      </c>
      <c r="B66" s="54" t="str" cm="1">
        <f t="array" aca="1" ref="B66" ca="1">IF($E66="","",HYPERLINK("#'"&amp;INDEX(Table11[Sheet Name],$F66)&amp;"'!"&amp;INDEX(Table11[Comment Column],$F66)&amp;$G66,
IF(LEN(I66)&gt;255,LEFT(I66,250)&amp;" …",I66)))</f>
        <v/>
      </c>
      <c r="C66" s="9" cm="1">
        <f t="array" aca="1" ref="C66" ca="1">IFERROR(IF(ROW()=ROW($C$19)+1,1,INDEX($C:$C,ROW()-1))+
IF(INDEX($E:$E,ROW()-1)=TRUE,1,0),"")</f>
        <v>1</v>
      </c>
      <c r="D66" s="9">
        <f t="shared" ca="1" si="9"/>
        <v>47</v>
      </c>
      <c r="E66" s="9" t="str" cm="1">
        <f t="array" aca="1" ref="E66" ca="1">IFERROR(INDEX(Table11[Number of Tasks],$F66)=$D66,"")</f>
        <v/>
      </c>
      <c r="F66" s="9" t="str">
        <f ca="1">IFERROR(MATCH($C66,Table11[Task Sheet Shadow ID],0),"")</f>
        <v/>
      </c>
      <c r="G66" s="9" t="str" cm="1">
        <f t="array" aca="1" ref="G66" ca="1">IFERROR(_xlfn.LET(
_xlpm._column,INDEX(Table11[Task ID Column],$F66),
MATCH($D66,INDIRECT("'"&amp;INDEX(Table11[Sheet Name],$F66)&amp;"'!"&amp;_xlpm._column&amp;":"&amp;_xlpm._column),0)),"")</f>
        <v/>
      </c>
      <c r="H66" s="9" t="str" cm="1">
        <f t="array" aca="1" ref="H66" ca="1">IF($G66="","",(_xlfn.LET(
_xlpm._columnID,INDEX(Table11[ID Column],$F66),
_xlpm._columnName,INDEX(Table11[Name Column],$F66),
INDEX(INDIRECT("'"&amp;INDEX(Table11[Sheet Name],$F66)&amp;"'!"&amp;_xlpm._columnID&amp;":"&amp;_xlpm._columnID),$G66)&amp;" "&amp;
INDEX(INDIRECT("'"&amp;INDEX(Table11[Sheet Name],$F66)&amp;"'!"&amp;_xlpm._columnName&amp;":"&amp;_xlpm._columnName),$G66))))</f>
        <v/>
      </c>
      <c r="I66" s="9" t="str" cm="1">
        <f t="array" aca="1" ref="I66" ca="1">IF($G66="","",(_xlfn.LET(
_xlpm._columnID,INDEX(Table11[Comment Column],$F66),
INDEX(INDIRECT("'"&amp;INDEX(Table11[Sheet Name],$F66)&amp;"'!"&amp;_xlpm._columnID&amp;":"&amp;_xlpm._columnID),$G66))))</f>
        <v/>
      </c>
    </row>
    <row r="67" spans="1:9" x14ac:dyDescent="0.25">
      <c r="A67" s="54" t="str" cm="1">
        <f t="array" aca="1" ref="A67" ca="1">IF($E67="","",
HYPERLINK("#'"&amp;INDEX(Table11[Sheet Name],$F67)&amp;"'!"&amp;INDEX(Table11[ID Column],$F67)&amp;$G67,
IF(LEN(H67)&gt;255,LEFT(H67,250)&amp;" …",H67)))</f>
        <v/>
      </c>
      <c r="B67" s="54" t="str" cm="1">
        <f t="array" aca="1" ref="B67" ca="1">IF($E67="","",HYPERLINK("#'"&amp;INDEX(Table11[Sheet Name],$F67)&amp;"'!"&amp;INDEX(Table11[Comment Column],$F67)&amp;$G67,
IF(LEN(I67)&gt;255,LEFT(I67,250)&amp;" …",I67)))</f>
        <v/>
      </c>
      <c r="C67" s="9" cm="1">
        <f t="array" aca="1" ref="C67" ca="1">IFERROR(IF(ROW()=ROW($C$19)+1,1,INDEX($C:$C,ROW()-1))+
IF(INDEX($E:$E,ROW()-1)=TRUE,1,0),"")</f>
        <v>1</v>
      </c>
      <c r="D67" s="9">
        <f t="shared" ca="1" si="9"/>
        <v>48</v>
      </c>
      <c r="E67" s="9" t="str" cm="1">
        <f t="array" aca="1" ref="E67" ca="1">IFERROR(INDEX(Table11[Number of Tasks],$F67)=$D67,"")</f>
        <v/>
      </c>
      <c r="F67" s="9" t="str">
        <f ca="1">IFERROR(MATCH($C67,Table11[Task Sheet Shadow ID],0),"")</f>
        <v/>
      </c>
      <c r="G67" s="9" t="str" cm="1">
        <f t="array" aca="1" ref="G67" ca="1">IFERROR(_xlfn.LET(
_xlpm._column,INDEX(Table11[Task ID Column],$F67),
MATCH($D67,INDIRECT("'"&amp;INDEX(Table11[Sheet Name],$F67)&amp;"'!"&amp;_xlpm._column&amp;":"&amp;_xlpm._column),0)),"")</f>
        <v/>
      </c>
      <c r="H67" s="9" t="str" cm="1">
        <f t="array" aca="1" ref="H67" ca="1">IF($G67="","",(_xlfn.LET(
_xlpm._columnID,INDEX(Table11[ID Column],$F67),
_xlpm._columnName,INDEX(Table11[Name Column],$F67),
INDEX(INDIRECT("'"&amp;INDEX(Table11[Sheet Name],$F67)&amp;"'!"&amp;_xlpm._columnID&amp;":"&amp;_xlpm._columnID),$G67)&amp;" "&amp;
INDEX(INDIRECT("'"&amp;INDEX(Table11[Sheet Name],$F67)&amp;"'!"&amp;_xlpm._columnName&amp;":"&amp;_xlpm._columnName),$G67))))</f>
        <v/>
      </c>
      <c r="I67" s="9" t="str" cm="1">
        <f t="array" aca="1" ref="I67" ca="1">IF($G67="","",(_xlfn.LET(
_xlpm._columnID,INDEX(Table11[Comment Column],$F67),
INDEX(INDIRECT("'"&amp;INDEX(Table11[Sheet Name],$F67)&amp;"'!"&amp;_xlpm._columnID&amp;":"&amp;_xlpm._columnID),$G67))))</f>
        <v/>
      </c>
    </row>
    <row r="68" spans="1:9" x14ac:dyDescent="0.25">
      <c r="A68" s="54" t="str" cm="1">
        <f t="array" aca="1" ref="A68" ca="1">IF($E68="","",
HYPERLINK("#'"&amp;INDEX(Table11[Sheet Name],$F68)&amp;"'!"&amp;INDEX(Table11[ID Column],$F68)&amp;$G68,
IF(LEN(H68)&gt;255,LEFT(H68,250)&amp;" …",H68)))</f>
        <v/>
      </c>
      <c r="B68" s="54" t="str" cm="1">
        <f t="array" aca="1" ref="B68" ca="1">IF($E68="","",HYPERLINK("#'"&amp;INDEX(Table11[Sheet Name],$F68)&amp;"'!"&amp;INDEX(Table11[Comment Column],$F68)&amp;$G68,
IF(LEN(I68)&gt;255,LEFT(I68,250)&amp;" …",I68)))</f>
        <v/>
      </c>
      <c r="C68" s="9" cm="1">
        <f t="array" aca="1" ref="C68" ca="1">IFERROR(IF(ROW()=ROW($C$19)+1,1,INDEX($C:$C,ROW()-1))+
IF(INDEX($E:$E,ROW()-1)=TRUE,1,0),"")</f>
        <v>1</v>
      </c>
      <c r="D68" s="9">
        <f t="shared" ca="1" si="9"/>
        <v>49</v>
      </c>
      <c r="E68" s="9" t="str" cm="1">
        <f t="array" aca="1" ref="E68" ca="1">IFERROR(INDEX(Table11[Number of Tasks],$F68)=$D68,"")</f>
        <v/>
      </c>
      <c r="F68" s="9" t="str">
        <f ca="1">IFERROR(MATCH($C68,Table11[Task Sheet Shadow ID],0),"")</f>
        <v/>
      </c>
      <c r="G68" s="9" t="str" cm="1">
        <f t="array" aca="1" ref="G68" ca="1">IFERROR(_xlfn.LET(
_xlpm._column,INDEX(Table11[Task ID Column],$F68),
MATCH($D68,INDIRECT("'"&amp;INDEX(Table11[Sheet Name],$F68)&amp;"'!"&amp;_xlpm._column&amp;":"&amp;_xlpm._column),0)),"")</f>
        <v/>
      </c>
      <c r="H68" s="9" t="str" cm="1">
        <f t="array" aca="1" ref="H68" ca="1">IF($G68="","",(_xlfn.LET(
_xlpm._columnID,INDEX(Table11[ID Column],$F68),
_xlpm._columnName,INDEX(Table11[Name Column],$F68),
INDEX(INDIRECT("'"&amp;INDEX(Table11[Sheet Name],$F68)&amp;"'!"&amp;_xlpm._columnID&amp;":"&amp;_xlpm._columnID),$G68)&amp;" "&amp;
INDEX(INDIRECT("'"&amp;INDEX(Table11[Sheet Name],$F68)&amp;"'!"&amp;_xlpm._columnName&amp;":"&amp;_xlpm._columnName),$G68))))</f>
        <v/>
      </c>
      <c r="I68" s="9" t="str" cm="1">
        <f t="array" aca="1" ref="I68" ca="1">IF($G68="","",(_xlfn.LET(
_xlpm._columnID,INDEX(Table11[Comment Column],$F68),
INDEX(INDIRECT("'"&amp;INDEX(Table11[Sheet Name],$F68)&amp;"'!"&amp;_xlpm._columnID&amp;":"&amp;_xlpm._columnID),$G68))))</f>
        <v/>
      </c>
    </row>
  </sheetData>
  <pageMargins left="0.7" right="0.7" top="0.75" bottom="0.75" header="0.3" footer="0.3"/>
  <pageSetup paperSize="9" orientation="portrait"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F5FC8-FB23-4BED-AB88-7D152A8E6C49}">
  <sheetPr>
    <tabColor theme="3"/>
  </sheetPr>
  <dimension ref="A1:Q27"/>
  <sheetViews>
    <sheetView zoomScaleNormal="100" workbookViewId="0">
      <pane ySplit="2" topLeftCell="A3" activePane="bottomLeft" state="frozen"/>
      <selection pane="bottomLeft" activeCell="F4" sqref="F4"/>
    </sheetView>
  </sheetViews>
  <sheetFormatPr defaultColWidth="9.140625" defaultRowHeight="15" x14ac:dyDescent="0.25"/>
  <cols>
    <col min="1" max="1" width="8.7109375" style="32" customWidth="1"/>
    <col min="2" max="2" width="45.7109375" style="4" customWidth="1"/>
    <col min="3" max="3" width="60.7109375" style="34" customWidth="1"/>
    <col min="4" max="4" width="25.7109375" style="37" customWidth="1"/>
    <col min="5" max="5" width="15.7109375" style="7" customWidth="1"/>
    <col min="6" max="6" width="15.7109375" style="2" customWidth="1"/>
    <col min="7" max="7" width="60.7109375" style="2" customWidth="1"/>
    <col min="8" max="8" width="0" style="2" hidden="1" customWidth="1"/>
    <col min="9" max="10" width="20.7109375" style="2" hidden="1" customWidth="1"/>
    <col min="11" max="11" width="23.140625" style="2" hidden="1" customWidth="1"/>
    <col min="12" max="15" width="20.7109375" style="2" hidden="1" customWidth="1"/>
    <col min="16" max="16" width="22.140625" style="2" hidden="1" customWidth="1"/>
    <col min="17" max="17" width="17" style="2" hidden="1" customWidth="1"/>
    <col min="18" max="16384" width="9.140625" style="2"/>
  </cols>
  <sheetData>
    <row r="1" spans="1:17" s="81" customFormat="1" x14ac:dyDescent="0.25">
      <c r="A1" s="80" t="str" cm="1">
        <f t="array" aca="1" ref="A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HYPERLINK("#'"&amp;Helper!$G$2&amp;"'!"&amp;CHAR(CODE("A")+COLUMN(_xlpm._columnNameHeader)-1)&amp;_xlpm._entryOffset,Definitions!$AY$4)))(Helper!$G$18,A$2,README!$E:$E,README!$I$35,README!$B$35)</f>
        <v>◈</v>
      </c>
      <c r="B1" s="80" t="str" cm="1">
        <f t="array" aca="1" ref="B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HYPERLINK("#'"&amp;Helper!$G$2&amp;"'!"&amp;CHAR(CODE("A")+COLUMN(_xlpm._columnNameHeader)-1)&amp;_xlpm._entryOffset,Definitions!$AY$4)))(Helper!$G$18,B$2,README!$E:$E,README!$I$35,README!$B$35)</f>
        <v>◈</v>
      </c>
      <c r="C1" s="80" t="str" cm="1">
        <f t="array" aca="1" ref="C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HYPERLINK("#'"&amp;Helper!$G$2&amp;"'!"&amp;CHAR(CODE("A")+COLUMN(_xlpm._columnNameHeader)-1)&amp;_xlpm._entryOffset,Definitions!$AY$4)))(Helper!$G$18,C$2,README!$E:$E,README!$I$35,README!$B$35)</f>
        <v>◈</v>
      </c>
      <c r="D1" s="80" t="str" cm="1">
        <f t="array" aca="1" ref="D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HYPERLINK("#'"&amp;Helper!$G$2&amp;"'!"&amp;CHAR(CODE("A")+COLUMN(_xlpm._columnNameHeader)-1)&amp;_xlpm._entryOffset,Definitions!$AY$4)))(Helper!$G$18,D$2,README!$E:$E,README!$I$35,README!$B$35)</f>
        <v>◈</v>
      </c>
      <c r="E1" s="80" t="str" cm="1">
        <f t="array" aca="1" ref="E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HYPERLINK("#'"&amp;Helper!$G$2&amp;"'!"&amp;CHAR(CODE("A")+COLUMN(_xlpm._columnNameHeader)-1)&amp;_xlpm._entryOffset,Definitions!$AY$4)))(Helper!$G$18,E$2,README!$E:$E,README!$I$35,README!$B$35)</f>
        <v>◈</v>
      </c>
      <c r="F1" s="80" t="str" cm="1">
        <f t="array" aca="1" ref="F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HYPERLINK("#'"&amp;Helper!$G$2&amp;"'!"&amp;CHAR(CODE("A")+COLUMN(_xlpm._columnNameHeader)-1)&amp;_xlpm._entryOffset,Definitions!$AY$4)))(Helper!$G$18,F$2,README!$E:$E,README!$I$35,README!$B$35)</f>
        <v>◈</v>
      </c>
      <c r="G1" s="80" t="str" cm="1">
        <f t="array" aca="1" ref="G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HYPERLINK("#'"&amp;Helper!$G$2&amp;"'!"&amp;CHAR(CODE("A")+COLUMN(_xlpm._columnNameHeader)-1)&amp;_xlpm._entryOffset,Definitions!$AY$4)))(Helper!$G$18,G$2,README!$E:$E,README!$I$35,README!$B$35)</f>
        <v>◈</v>
      </c>
    </row>
    <row r="2" spans="1:17" s="27" customFormat="1" ht="15.75" x14ac:dyDescent="0.25">
      <c r="A2" s="29" t="s">
        <v>389</v>
      </c>
      <c r="B2" s="51" t="s">
        <v>390</v>
      </c>
      <c r="C2" s="30" t="s">
        <v>391</v>
      </c>
      <c r="D2" s="30" t="s">
        <v>401</v>
      </c>
      <c r="E2" s="30" t="s">
        <v>397</v>
      </c>
      <c r="F2" s="31" t="s">
        <v>398</v>
      </c>
      <c r="G2" s="31" t="s">
        <v>399</v>
      </c>
      <c r="I2" s="26" t="s">
        <v>387</v>
      </c>
      <c r="J2" s="26" t="s">
        <v>386</v>
      </c>
      <c r="K2" s="26" t="s">
        <v>393</v>
      </c>
      <c r="L2" s="28" t="s">
        <v>388</v>
      </c>
      <c r="M2" s="28" t="s">
        <v>400</v>
      </c>
      <c r="N2" s="28" t="s">
        <v>396</v>
      </c>
      <c r="O2" s="28" t="s">
        <v>202</v>
      </c>
      <c r="P2" s="28" t="s">
        <v>394</v>
      </c>
      <c r="Q2" s="28" t="s">
        <v>395</v>
      </c>
    </row>
    <row r="3" spans="1:17" s="76" customFormat="1" ht="18.75" x14ac:dyDescent="0.3">
      <c r="A3" s="125" t="s">
        <v>1165</v>
      </c>
      <c r="B3" s="125"/>
      <c r="C3" s="125"/>
      <c r="D3" s="125"/>
      <c r="E3" s="125"/>
      <c r="F3" s="125"/>
      <c r="G3" s="125"/>
      <c r="I3" s="22"/>
      <c r="J3" s="22"/>
      <c r="K3" s="22"/>
      <c r="L3" s="83" t="str">
        <f>IF($I3="","",_xlfn.LET(_xlpm._in,$I3,_xlpm._start,FIND("]",_xlpm._in)+1,
"'"&amp;SUBSTITUTE(MID(_xlpm._in,_xlpm._start,FIND("!",_xlpm._in)-_xlpm._start),"'","")&amp;"'!"))</f>
        <v/>
      </c>
      <c r="M3" s="83" t="str">
        <f>IF(K3="","",
_xlfn.LET(_xlpm._in,K3,
_xlpm._start,FIND("$",_xlpm._in)+1,
_xlpm._column,SUBSTITUTE(MID(_xlpm._in,_xlpm._start,FIND("$",SUBSTITUTE(_xlpm._in,"$","§",1))-_xlpm._start),"'",""),
_xlpm._column))</f>
        <v/>
      </c>
      <c r="N3" s="83" t="str">
        <f>IF(I3="","",
_xlfn.LET(_xlpm._in,I3,
_xlpm._start,FIND("$",_xlpm._in)+1,
_xlpm._column,SUBSTITUTE(MID(_xlpm._in,_xlpm._start,FIND("$",SUBSTITUTE(_xlpm._in,"$","§",1))-_xlpm._start),"'",""),
$M3&amp;":"&amp;_xlpm._column))</f>
        <v/>
      </c>
      <c r="O3" s="83" t="str">
        <f>IF(J3="","",
_xlfn.LET(_xlpm._in,J3,
_xlpm._start,FIND("$",_xlpm._in)+1,
_xlpm._column,SUBSTITUTE(MID(_xlpm._in,_xlpm._start,FIND("$",SUBSTITUTE(_xlpm._in,"$","§",1))-_xlpm._start),"'",""),
_xlpm._column&amp;":"&amp;_xlpm._column))</f>
        <v/>
      </c>
      <c r="P3" s="83" t="str">
        <f>IF($L3="","",$M3&amp;":"&amp;$M3)</f>
        <v/>
      </c>
      <c r="Q3" s="83" t="str" cm="1">
        <f t="array" aca="1" ref="Q3" ca="1">GetQualityIssues($L3,$P3,$O3,1,",")</f>
        <v/>
      </c>
    </row>
    <row r="4" spans="1:17" ht="105" x14ac:dyDescent="0.25">
      <c r="A4" s="32">
        <f ca="1">IF($E4="",0,LEN($E4)-LEN(SUBSTITUTE($E4,",",""))+1)</f>
        <v>7</v>
      </c>
      <c r="B4" s="4" t="s">
        <v>1460</v>
      </c>
      <c r="C4" s="34" t="str" cm="1">
        <f t="array" aca="1" ref="C4" ca="1">RemoveDelimiter(GetValues($Q4,INDIRECT($L4&amp;$N4),"",","&amp;CHAR(10),FALSE),","&amp;CHAR(10))</f>
        <v>Target of Evaluation,
Author,
PM Contact,
RD Contact,
CSS,
CSTS,
QuBA Change History</v>
      </c>
      <c r="D4" s="36" t="str">
        <f ca="1">IF($E4="","",
_xlfn.LET(
_xlpm._in,SUBSTITUTE($E4,", ",",")&amp;",",
_xlpm._id,LEFT(_xlpm._in,FIND(",",_xlpm._in)-1),
_xlpm._sheet,$L4,
_xlpm._row,MATCH(_xlpm._id,INDIRECT(_xlpm._sheet&amp;$P4),0),
HYPERLINK("#"&amp;_xlpm._sheet&amp;$M4&amp;_xlpm._row,_xlpm._id)))</f>
        <v>Target of Evaluation</v>
      </c>
      <c r="E4" s="7" t="str" cm="1">
        <f t="array" aca="1" ref="E4" ca="1">SUBSTITUTE(RemoveDelimiter(IF($F4="",$Q4,FilterElementsFromList($Q4,SanitizeInput($F4),FALSE,",")),","),",",", ")</f>
        <v>Target of Evaluation, Author, PM Contact, RD Contact, CSS, CSTS, QuBA Change History</v>
      </c>
      <c r="I4" s="2" t="str" cm="1">
        <f t="array" aca="1" ref="I4" ca="1">CELL("address",Documentation!I1)</f>
        <v>'[QuBA-libre.xlsx]Documentation'!$I$1</v>
      </c>
      <c r="J4" s="2" t="str" cm="1">
        <f t="array" aca="1" ref="J4" ca="1">CELL("address",Documentation!J1)</f>
        <v>'[QuBA-libre.xlsx]Documentation'!$J$1</v>
      </c>
      <c r="K4" s="2" t="str" cm="1">
        <f t="array" aca="1" ref="K4" ca="1">CELL("address",Documentation!B1)</f>
        <v>'[QuBA-libre.xlsx]Documentation'!$B$1</v>
      </c>
      <c r="L4" s="9" t="str">
        <f t="shared" ref="L4:L16" ca="1" si="0">IF($I4="","",_xlfn.LET(_xlpm._in,$I4,_xlpm._start,FIND("]",_xlpm._in)+1,
"'"&amp;SUBSTITUTE(MID(_xlpm._in,_xlpm._start,FIND("!",_xlpm._in)-_xlpm._start),"'","")&amp;"'!"))</f>
        <v>'Documentation'!</v>
      </c>
      <c r="M4" s="9" t="str">
        <f t="shared" ref="M4:M16" ca="1" si="1">IF(K4="","",
_xlfn.LET(_xlpm._in,K4,
_xlpm._start,FIND("$",_xlpm._in)+1,
_xlpm._column,SUBSTITUTE(MID(_xlpm._in,_xlpm._start,FIND("$",SUBSTITUTE(_xlpm._in,"$","§",1))-_xlpm._start),"'",""),
_xlpm._column))</f>
        <v>B</v>
      </c>
      <c r="N4" s="9" t="str">
        <f t="shared" ref="N4:N16" ca="1" si="2">IF(I4="","",
_xlfn.LET(_xlpm._in,I4,
_xlpm._start,FIND("$",_xlpm._in)+1,
_xlpm._column,SUBSTITUTE(MID(_xlpm._in,_xlpm._start,FIND("$",SUBSTITUTE(_xlpm._in,"$","§",1))-_xlpm._start),"'",""),
$M4&amp;":"&amp;_xlpm._column))</f>
        <v>B:I</v>
      </c>
      <c r="O4" s="9" t="str">
        <f t="shared" ref="O4:O16" ca="1" si="3">IF(J4="","",
_xlfn.LET(_xlpm._in,J4,
_xlpm._start,FIND("$",_xlpm._in)+1,
_xlpm._column,SUBSTITUTE(MID(_xlpm._in,_xlpm._start,FIND("$",SUBSTITUTE(_xlpm._in,"$","§",1))-_xlpm._start),"'",""),
_xlpm._column&amp;":"&amp;_xlpm._column))</f>
        <v>J:J</v>
      </c>
      <c r="P4" s="9" t="str">
        <f t="shared" ref="P4:P16" ca="1" si="4">IF($L4="","",$M4&amp;":"&amp;$M4)</f>
        <v>B:B</v>
      </c>
      <c r="Q4" s="9" t="str" cm="1">
        <f t="array" aca="1" ref="Q4" ca="1">GetQualityIssues($L4,$P4,$O4,1,",")</f>
        <v>Target of Evaluation,Author,PM Contact,RD Contact,CSS,CSTS,QuBA Change History,</v>
      </c>
    </row>
    <row r="5" spans="1:17" ht="15" customHeight="1" x14ac:dyDescent="0.25">
      <c r="A5" s="32">
        <f t="shared" ref="A5:A27" ca="1" si="5">IF($E5="",0,LEN($E5)-LEN(SUBSTITUTE($E5,",",""))+1)</f>
        <v>39</v>
      </c>
      <c r="B5" s="4" t="s">
        <v>407</v>
      </c>
      <c r="C5" s="34" t="str" cm="1">
        <f t="array" aca="1" ref="C5" ca="1">RemoveDelimiter(GetValues($Q5,INDIRECT($L5&amp;$N5),"",","&amp;CHAR(10),FALSE),","&amp;CHAR(10))</f>
        <v>QI1 Does the product have / support cameras or other sensors that can potentially identify people? (Regarding "supporting a camera / sensor": only answer with Yes if attaching a camera / sensor is in the intended or foreseeable use of the product.),
QI2 Does the product process personal data?
Examples: address labels,
QI3 Does the product contain &lt;&lt; OEM Name &gt;&gt; or customer intellectual property?
Note: Only IP which is part of / accessible by the firmware / software in the product is in scope of this question. Gaining access to optical and mechanical IP are not covered by this question (and the cybersecurity risk analysis),
QI4 Is &lt;&lt; OEM Name &gt;&gt; (typically) obliged to keep the processed / stored data (including third-party IP) confidential by contract or law? (Note that this concerns individual obligations, not the standard product warranty).,
QI5 Does the product contain credentials / cryptographic keys that allow access to sensitive data or to systems in the product's operational environment? (Note: this includes cryptographic data introduced by the customer.),
QI6 Can a loss of availability of the product (or its communication) endanger the health of people?
(Consider how the operational environment reacts to a loss of availability of the product.),
QI7 Is the availability of the product relevant for its operational environment?,
QI8 Can a loss of availability allow an attacker access to assets of the customer (including physical access not detected by the &lt;&lt; OEM Name &gt;&gt; product)? Example: The product is used for access control.,
QI9 Can a loss of availability cause contract-related fines (e.g., based on a service level agreement)?,
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Note that this includes both &lt;&lt; OEM Name &gt;&gt; and customer IP.,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
QA1 Does the product have any connectivity?,
QA2 Does the product connect two networks to each other (e.g., as a gateway)?,
QA3 Does the product have a point-to-point connection to another device?,
QA4 Does the product have a direct connection to a local network?,
QA5 Does the product support wireless connections?,
QA6 Does the product have a direct connection to a mobile network / the Internet?,
QA7 Does the product offer services to other entities on the network?,
QA8 Does the product offer a configuration interface?,
QA9 Does the product have an IP stack (or another routable protocol)?,
QA10a Does the product communicate with an external system locally (e.g., a USB stick, an SD card, an RFID tag)?,
QA10b Does the product communicate with an external system on the Internet (e.g., an untrusted 3rd party backend, a &lt;&lt; OEM Name &gt;&gt; cloud service, a &lt;&lt; OEM Name &gt;&gt; server system)?,
QA11a Can the product's software be updated over an interface?,
QA11b Are software updates in the field (regularly or event-based) planned?,
QA12 Does the product have a logical connection to a local network over a gateway?,
QA13 Does the product have a logical connection to a wireless network over a gateway?,
QA14 Is the product typically installed in a physically accessible position?,
QA15 Is the product typically installed in an operational environment with public access?,
QA16 Are the product's physical connections (such as attached bus cables) typically installed in an environment with public access?,
QA17 Does the product have debug / development interfaces (e.g., JTAG, root access over ssh)?,
QA18 Is the product produced in a secure environment?,
QA19 Are the supply chain partners trustworthy and protected against attacks?,
QA20 What is the product's expected lifetime?,
QA21 What is the product's planned support duration?</v>
      </c>
      <c r="D5" s="36" t="str">
        <f t="shared" ref="D5:D27" ca="1" si="6">IF($E5="","",
_xlfn.LET(
_xlpm._in,SUBSTITUTE($E5,", ",",")&amp;",",
_xlpm._id,LEFT(_xlpm._in,FIND(",",_xlpm._in)-1),
_xlpm._sheet,$L5,
_xlpm._row,MATCH(_xlpm._id,INDIRECT(_xlpm._sheet&amp;$P5),0),
HYPERLINK("#"&amp;_xlpm._sheet&amp;$M5&amp;_xlpm._row,_xlpm._id)))</f>
        <v>QI1</v>
      </c>
      <c r="E5" s="7" t="str" cm="1">
        <f t="array" aca="1" ref="E5" ca="1">SUBSTITUTE(RemoveDelimiter(IF($F5="",$Q5,FilterElementsFromList($Q5,SanitizeInput($F5),FALSE,",")),","),",",", ")</f>
        <v>QI1, QI2, QI3, QI4, QI5, QI6, QI7, QI8, QI9, QI10, QI11, QI12, QI13, QI14, QI15, QI16, QA1, QA2, QA3, QA4, QA5, QA6, QA7, QA8, QA9, QA10a, QA10b, QA11a, QA11b, QA12, QA13, QA14, QA15, QA16, QA17, QA18, QA19, QA20, QA21</v>
      </c>
      <c r="I5" s="2" t="str" cm="1">
        <f t="array" aca="1" ref="I5" ca="1">CELL("address",Questionnaire!O3)</f>
        <v>'[QuBA-libre.xlsx]Questionnaire'!$O$3</v>
      </c>
      <c r="J5" s="2" t="str" cm="1">
        <f t="array" aca="1" ref="J5" ca="1">CELL("address",Questionnaire!P3)</f>
        <v>'[QuBA-libre.xlsx]Questionnaire'!$P$3</v>
      </c>
      <c r="K5" s="2" t="str" cm="1">
        <f t="array" aca="1" ref="K5" ca="1">CELL("address",Questionnaire!B3)</f>
        <v>'[QuBA-libre.xlsx]Questionnaire'!$B$3</v>
      </c>
      <c r="L5" s="9" t="str">
        <f t="shared" ca="1" si="0"/>
        <v>'Questionnaire'!</v>
      </c>
      <c r="M5" s="9" t="str">
        <f t="shared" ca="1" si="1"/>
        <v>B</v>
      </c>
      <c r="N5" s="9" t="str">
        <f t="shared" ca="1" si="2"/>
        <v>B:O</v>
      </c>
      <c r="O5" s="9" t="str">
        <f t="shared" ca="1" si="3"/>
        <v>P:P</v>
      </c>
      <c r="P5" s="9" t="str">
        <f t="shared" ca="1" si="4"/>
        <v>B:B</v>
      </c>
      <c r="Q5" s="9" t="str" cm="1">
        <f t="array" aca="1" ref="Q5" ca="1">GetQualityIssues($L5,$P5,$O5,1,",")</f>
        <v>QI1,QI2,QI3,QI4,QI5,QI6,QI7,QI8,QI9,QI10,QI11,QI12,QI13,QI14,QI15,QI16,QA1,QA2,QA3,QA4,QA5,QA6,QA7,QA8,QA9,QA10a,QA10b,QA11a,QA11b,QA12,QA13,QA14,QA15,QA16,QA17,QA18,QA19,QA20,QA21,</v>
      </c>
    </row>
    <row r="6" spans="1:17" x14ac:dyDescent="0.25">
      <c r="A6" s="32">
        <f t="shared" ca="1" si="5"/>
        <v>0</v>
      </c>
      <c r="B6" s="4" t="s">
        <v>408</v>
      </c>
      <c r="C6" s="34" t="str" cm="1">
        <f t="array" aca="1" ref="C6" ca="1">RemoveDelimiter(GetValues($Q6,INDIRECT($L6&amp;$N6),"",","&amp;CHAR(10),FALSE),","&amp;CHAR(10))</f>
        <v/>
      </c>
      <c r="D6" s="36" t="str">
        <f t="shared" ca="1" si="6"/>
        <v/>
      </c>
      <c r="E6" s="7" t="str" cm="1">
        <f t="array" aca="1" ref="E6" ca="1">SUBSTITUTE(RemoveDelimiter(IF($F6="",$Q6,FilterElementsFromList($Q6,SanitizeInput($F6),FALSE,",")),","),",",", ")</f>
        <v/>
      </c>
      <c r="I6" s="2" t="str" cm="1">
        <f t="array" aca="1" ref="I6" ca="1">CELL("address",Questionnaire!Q3)</f>
        <v>'[QuBA-libre.xlsx]Questionnaire'!$Q$3</v>
      </c>
      <c r="J6" s="2" t="str" cm="1">
        <f t="array" aca="1" ref="J6" ca="1">CELL("address",Questionnaire!R3)</f>
        <v>'[QuBA-libre.xlsx]Questionnaire'!$R$3</v>
      </c>
      <c r="K6" s="2" t="str" cm="1">
        <f t="array" aca="1" ref="K6" ca="1">CELL("address",Questionnaire!B3)</f>
        <v>'[QuBA-libre.xlsx]Questionnaire'!$B$3</v>
      </c>
      <c r="L6" s="9" t="str">
        <f t="shared" ca="1" si="0"/>
        <v>'Questionnaire'!</v>
      </c>
      <c r="M6" s="9" t="str">
        <f t="shared" ca="1" si="1"/>
        <v>B</v>
      </c>
      <c r="N6" s="9" t="str">
        <f t="shared" ca="1" si="2"/>
        <v>B:Q</v>
      </c>
      <c r="O6" s="9" t="str">
        <f t="shared" ca="1" si="3"/>
        <v>R:R</v>
      </c>
      <c r="P6" s="9" t="str">
        <f t="shared" ca="1" si="4"/>
        <v>B:B</v>
      </c>
      <c r="Q6" s="9" t="str" cm="1">
        <f t="array" aca="1" ref="Q6" ca="1">GetQualityIssues($L6,$P6,$O6,1,",")</f>
        <v/>
      </c>
    </row>
    <row r="7" spans="1:17" x14ac:dyDescent="0.25">
      <c r="A7" s="32">
        <f t="shared" ca="1" si="5"/>
        <v>0</v>
      </c>
      <c r="B7" s="4" t="s">
        <v>413</v>
      </c>
      <c r="C7" s="34" t="str" cm="1">
        <f t="array" aca="1" ref="C7" ca="1">RemoveDelimiter(GetValues($Q7,INDIRECT($L7&amp;$N7),"",","&amp;CHAR(10),FALSE),","&amp;CHAR(10))</f>
        <v/>
      </c>
      <c r="D7" s="36" t="str">
        <f t="shared" ca="1" si="6"/>
        <v/>
      </c>
      <c r="E7" s="7" t="str" cm="1">
        <f t="array" aca="1" ref="E7" ca="1">SUBSTITUTE(RemoveDelimiter(IF($F7="",$Q7,FilterElementsFromList($Q7,SanitizeInput($F7),FALSE,",")),","),",",", ")</f>
        <v/>
      </c>
      <c r="I7" s="2" t="str" cm="1">
        <f t="array" aca="1" ref="I7" ca="1">CELL("address",Questionnaire!S$3)</f>
        <v>'[QuBA-libre.xlsx]Questionnaire'!$S$3</v>
      </c>
      <c r="J7" s="2" t="str" cm="1">
        <f t="array" aca="1" ref="J7" ca="1">CELL("address",Questionnaire!T3)</f>
        <v>'[QuBA-libre.xlsx]Questionnaire'!$T$3</v>
      </c>
      <c r="K7" s="2" t="str" cm="1">
        <f t="array" aca="1" ref="K7" ca="1">CELL("address",Questionnaire!B3)</f>
        <v>'[QuBA-libre.xlsx]Questionnaire'!$B$3</v>
      </c>
      <c r="L7" s="9" t="str">
        <f t="shared" ca="1" si="0"/>
        <v>'Questionnaire'!</v>
      </c>
      <c r="M7" s="9" t="str">
        <f t="shared" ca="1" si="1"/>
        <v>B</v>
      </c>
      <c r="N7" s="9" t="str">
        <f t="shared" ca="1" si="2"/>
        <v>B:S</v>
      </c>
      <c r="O7" s="9" t="str">
        <f t="shared" ca="1" si="3"/>
        <v>T:T</v>
      </c>
      <c r="P7" s="9" t="str">
        <f t="shared" ca="1" si="4"/>
        <v>B:B</v>
      </c>
      <c r="Q7" s="9" t="str" cm="1">
        <f t="array" aca="1" ref="Q7" ca="1">GetQualityIssues($L7,$P7,$O7,1,",")</f>
        <v/>
      </c>
    </row>
    <row r="8" spans="1:17" x14ac:dyDescent="0.25">
      <c r="A8" s="32">
        <f t="shared" ca="1" si="5"/>
        <v>0</v>
      </c>
      <c r="B8" s="4" t="s">
        <v>420</v>
      </c>
      <c r="C8" s="34" t="str" cm="1">
        <f t="array" aca="1" ref="C8" ca="1">RemoveDelimiter(GetValues($Q8,INDIRECT($L8&amp;$N8),"",","&amp;CHAR(10),FALSE),","&amp;CHAR(10))</f>
        <v/>
      </c>
      <c r="D8" s="36" t="str">
        <f t="shared" ca="1" si="6"/>
        <v/>
      </c>
      <c r="E8" s="7" t="str" cm="1">
        <f t="array" aca="1" ref="E8" ca="1">SUBSTITUTE(RemoveDelimiter(IF($F8="",$Q8,FilterElementsFromList($Q8,SanitizeInput($F8),FALSE,",")),","),",",", ")</f>
        <v/>
      </c>
      <c r="I8" s="2" t="str" cm="1">
        <f t="array" aca="1" ref="I8" ca="1">CELL("address",Questionnaire!U$3)</f>
        <v>'[QuBA-libre.xlsx]Questionnaire'!$U$3</v>
      </c>
      <c r="J8" s="2" t="str" cm="1">
        <f t="array" aca="1" ref="J8" ca="1">CELL("address",Questionnaire!V$3)</f>
        <v>'[QuBA-libre.xlsx]Questionnaire'!$V$3</v>
      </c>
      <c r="K8" s="2" t="str" cm="1">
        <f t="array" aca="1" ref="K8" ca="1">CELL("address",Questionnaire!B$3)</f>
        <v>'[QuBA-libre.xlsx]Questionnaire'!$B$3</v>
      </c>
      <c r="L8" s="9" t="str">
        <f t="shared" ref="L8:L14" ca="1" si="7">IF($I8="","",_xlfn.LET(_xlpm._in,$I8,_xlpm._start,FIND("]",_xlpm._in)+1,
"'"&amp;SUBSTITUTE(MID(_xlpm._in,_xlpm._start,FIND("!",_xlpm._in)-_xlpm._start),"'","")&amp;"'!"))</f>
        <v>'Questionnaire'!</v>
      </c>
      <c r="M8" s="9" t="str">
        <f t="shared" ref="M8:M14" ca="1" si="8">IF(K8="","",
_xlfn.LET(_xlpm._in,K8,
_xlpm._start,FIND("$",_xlpm._in)+1,
_xlpm._column,SUBSTITUTE(MID(_xlpm._in,_xlpm._start,FIND("$",SUBSTITUTE(_xlpm._in,"$","§",1))-_xlpm._start),"'",""),
_xlpm._column))</f>
        <v>B</v>
      </c>
      <c r="N8" s="9" t="str">
        <f t="shared" ref="N8:N14" ca="1" si="9">IF(I8="","",
_xlfn.LET(_xlpm._in,I8,
_xlpm._start,FIND("$",_xlpm._in)+1,
_xlpm._column,SUBSTITUTE(MID(_xlpm._in,_xlpm._start,FIND("$",SUBSTITUTE(_xlpm._in,"$","§",1))-_xlpm._start),"'",""),
$M8&amp;":"&amp;_xlpm._column))</f>
        <v>B:U</v>
      </c>
      <c r="O8" s="9" t="str">
        <f t="shared" ref="O8:O14" ca="1" si="10">IF(J8="","",
_xlfn.LET(_xlpm._in,J8,
_xlpm._start,FIND("$",_xlpm._in)+1,
_xlpm._column,SUBSTITUTE(MID(_xlpm._in,_xlpm._start,FIND("$",SUBSTITUTE(_xlpm._in,"$","§",1))-_xlpm._start),"'",""),
_xlpm._column&amp;":"&amp;_xlpm._column))</f>
        <v>V:V</v>
      </c>
      <c r="P8" s="9" t="str">
        <f t="shared" ref="P8:P14" ca="1" si="11">IF($L8="","",$M8&amp;":"&amp;$M8)</f>
        <v>B:B</v>
      </c>
      <c r="Q8" s="9" t="str" cm="1">
        <f t="array" aca="1" ref="Q8" ca="1">GetQualityIssues($L8,$P8,$O8,1,",")</f>
        <v/>
      </c>
    </row>
    <row r="9" spans="1:17" x14ac:dyDescent="0.25">
      <c r="A9" s="32">
        <f t="shared" ca="1" si="5"/>
        <v>0</v>
      </c>
      <c r="B9" s="4" t="s">
        <v>462</v>
      </c>
      <c r="C9" s="34" t="str" cm="1">
        <f t="array" aca="1" ref="C9" ca="1">RemoveDelimiter(GetValues($Q9,INDIRECT($L9&amp;$N9),"",","&amp;CHAR(10),FALSE),","&amp;CHAR(10))</f>
        <v/>
      </c>
      <c r="D9" s="36" t="str">
        <f t="shared" ca="1" si="6"/>
        <v/>
      </c>
      <c r="E9" s="7" t="str" cm="1">
        <f t="array" aca="1" ref="E9" ca="1">SUBSTITUTE(RemoveDelimiter(IF($F9="",$Q9,FilterElementsFromList($Q9,SanitizeInput($F9),FALSE,",")),","),",",", ")</f>
        <v/>
      </c>
      <c r="I9" s="2" t="str" cm="1">
        <f t="array" aca="1" ref="I9" ca="1">CELL("address",Risks!$AT$2)</f>
        <v>'[QuBA-libre.xlsx]Risks'!$AT$2</v>
      </c>
      <c r="J9" s="2" t="str" cm="1">
        <f t="array" aca="1" ref="J9" ca="1">CELL("address",Risks!$AU$2)</f>
        <v>'[QuBA-libre.xlsx]Risks'!$AU$2</v>
      </c>
      <c r="K9" s="2" t="str" cm="1">
        <f t="array" aca="1" ref="K9" ca="1">CELL("address",Risks!$A$2)</f>
        <v>'[QuBA-libre.xlsx]Risks'!$A$2</v>
      </c>
      <c r="L9" s="9" t="str">
        <f t="shared" ca="1" si="7"/>
        <v>'Risks'!</v>
      </c>
      <c r="M9" s="9" t="str">
        <f t="shared" ca="1" si="8"/>
        <v>A</v>
      </c>
      <c r="N9" s="9" t="str">
        <f t="shared" ca="1" si="9"/>
        <v>A:AT</v>
      </c>
      <c r="O9" s="9" t="str">
        <f t="shared" ca="1" si="10"/>
        <v>AU:AU</v>
      </c>
      <c r="P9" s="9" t="str">
        <f t="shared" ca="1" si="11"/>
        <v>A:A</v>
      </c>
      <c r="Q9" s="9" t="str" cm="1">
        <f t="array" aca="1" ref="Q9" ca="1">GetQualityIssues($L9,$P9,$O9,1,",")</f>
        <v/>
      </c>
    </row>
    <row r="10" spans="1:17" ht="30" x14ac:dyDescent="0.25">
      <c r="A10" s="32">
        <f t="shared" ca="1" si="5"/>
        <v>0</v>
      </c>
      <c r="B10" s="4" t="s">
        <v>955</v>
      </c>
      <c r="C10" s="34" t="str" cm="1">
        <f t="array" aca="1" ref="C10" ca="1">RemoveDelimiter(GetValues($Q10,INDIRECT($L10&amp;$N10),"",","&amp;CHAR(10),FALSE),","&amp;CHAR(10))</f>
        <v/>
      </c>
      <c r="D10" s="36" t="str">
        <f t="shared" ca="1" si="6"/>
        <v/>
      </c>
      <c r="E10" s="7" t="str" cm="1">
        <f t="array" aca="1" ref="E10" ca="1">SUBSTITUTE(RemoveDelimiter(IF($F10="",$Q10,FilterElementsFromList($Q10,SanitizeInput($F10),FALSE,",")),","),",",", ")</f>
        <v/>
      </c>
      <c r="I10" s="2" t="str" cm="1">
        <f t="array" aca="1" ref="I10" ca="1">CELL("address",Mitigation!AE$2)</f>
        <v>'[QuBA-libre.xlsx]Mitigation'!$AE$2</v>
      </c>
      <c r="J10" s="2" t="str" cm="1">
        <f t="array" aca="1" ref="J10" ca="1">CELL("address",Mitigation!AF$2)</f>
        <v>'[QuBA-libre.xlsx]Mitigation'!$AF$2</v>
      </c>
      <c r="K10" s="2" t="str" cm="1">
        <f t="array" aca="1" ref="K10" ca="1">CELL("address",Mitigation!A$2)</f>
        <v>'[QuBA-libre.xlsx]Mitigation'!$A$2</v>
      </c>
      <c r="L10" s="9" t="str">
        <f t="shared" ca="1" si="7"/>
        <v>'Mitigation'!</v>
      </c>
      <c r="M10" s="9" t="str">
        <f t="shared" ca="1" si="8"/>
        <v>A</v>
      </c>
      <c r="N10" s="9" t="str">
        <f t="shared" ca="1" si="9"/>
        <v>A:AE</v>
      </c>
      <c r="O10" s="9" t="str">
        <f t="shared" ca="1" si="10"/>
        <v>AF:AF</v>
      </c>
      <c r="P10" s="9" t="str">
        <f t="shared" ca="1" si="11"/>
        <v>A:A</v>
      </c>
      <c r="Q10" s="9" t="str" cm="1">
        <f t="array" aca="1" ref="Q10" ca="1">GetQualityIssues($L10,$P10,$O10,1,",")</f>
        <v/>
      </c>
    </row>
    <row r="11" spans="1:17" x14ac:dyDescent="0.25">
      <c r="A11" s="32">
        <f t="shared" ca="1" si="5"/>
        <v>0</v>
      </c>
      <c r="B11" s="4" t="s">
        <v>1171</v>
      </c>
      <c r="C11" s="34" t="str" cm="1">
        <f t="array" aca="1" ref="C11" ca="1">RemoveDelimiter(GetValues($Q11,INDIRECT($L11&amp;$N11),"",","&amp;CHAR(10),FALSE),","&amp;CHAR(10))</f>
        <v/>
      </c>
      <c r="D11" s="36" t="str">
        <f t="shared" ca="1" si="6"/>
        <v/>
      </c>
      <c r="E11" s="7" t="str" cm="1">
        <f t="array" aca="1" ref="E11" ca="1">SUBSTITUTE(RemoveDelimiter(IF($F11="",$Q11,FilterElementsFromList($Q11,SanitizeInput($F11),FALSE,",")),","),",",", ")</f>
        <v/>
      </c>
      <c r="I11" s="2" t="str" cm="1">
        <f t="array" aca="1" ref="I11" ca="1">CELL("address",Mitigation!AK$2)</f>
        <v>'[QuBA-libre.xlsx]Mitigation'!$AK$2</v>
      </c>
      <c r="J11" s="2" t="str" cm="1">
        <f t="array" aca="1" ref="J11" ca="1">CELL("address",Mitigation!AL$2)</f>
        <v>'[QuBA-libre.xlsx]Mitigation'!$AL$2</v>
      </c>
      <c r="K11" s="2" t="str" cm="1">
        <f t="array" aca="1" ref="K11" ca="1">CELL("address",Mitigation!A$2)</f>
        <v>'[QuBA-libre.xlsx]Mitigation'!$A$2</v>
      </c>
      <c r="L11" s="9" t="str">
        <f ca="1">IF($I11="","",_xlfn.LET(_xlpm._in,$I11,_xlpm._start,FIND("]",_xlpm._in)+1,
"'"&amp;SUBSTITUTE(MID(_xlpm._in,_xlpm._start,FIND("!",_xlpm._in)-_xlpm._start),"'","")&amp;"'!"))</f>
        <v>'Mitigation'!</v>
      </c>
      <c r="M11" s="9" t="str">
        <f ca="1">IF(K11="","",
_xlfn.LET(_xlpm._in,K11,
_xlpm._start,FIND("$",_xlpm._in)+1,
_xlpm._column,SUBSTITUTE(MID(_xlpm._in,_xlpm._start,FIND("$",SUBSTITUTE(_xlpm._in,"$","§",1))-_xlpm._start),"'",""),
_xlpm._column))</f>
        <v>A</v>
      </c>
      <c r="N11" s="9" t="str">
        <f ca="1">IF(I11="","",
_xlfn.LET(_xlpm._in,I11,
_xlpm._start,FIND("$",_xlpm._in)+1,
_xlpm._column,SUBSTITUTE(MID(_xlpm._in,_xlpm._start,FIND("$",SUBSTITUTE(_xlpm._in,"$","§",1))-_xlpm._start),"'",""),
$M11&amp;":"&amp;_xlpm._column))</f>
        <v>A:AK</v>
      </c>
      <c r="O11" s="9" t="str">
        <f ca="1">IF(J11="","",
_xlfn.LET(_xlpm._in,J11,
_xlpm._start,FIND("$",_xlpm._in)+1,
_xlpm._column,SUBSTITUTE(MID(_xlpm._in,_xlpm._start,FIND("$",SUBSTITUTE(_xlpm._in,"$","§",1))-_xlpm._start),"'",""),
_xlpm._column&amp;":"&amp;_xlpm._column))</f>
        <v>AL:AL</v>
      </c>
      <c r="P11" s="9" t="str">
        <f ca="1">IF($L11="","",$M11&amp;":"&amp;$M11)</f>
        <v>A:A</v>
      </c>
      <c r="Q11" s="9" t="str" cm="1">
        <f t="array" aca="1" ref="Q11" ca="1">GetQualityIssues($L11,$P11,$O11,1,",")</f>
        <v/>
      </c>
    </row>
    <row r="12" spans="1:17" x14ac:dyDescent="0.25">
      <c r="A12" s="32">
        <f t="shared" ca="1" si="5"/>
        <v>0</v>
      </c>
      <c r="B12" s="4" t="s">
        <v>553</v>
      </c>
      <c r="C12" s="34" t="str" cm="1">
        <f t="array" aca="1" ref="C12" ca="1">RemoveDelimiter(GetValues($Q12,INDIRECT($L12&amp;$N12),"",","&amp;CHAR(10),FALSE),","&amp;CHAR(10))</f>
        <v/>
      </c>
      <c r="D12" s="36" t="str">
        <f ca="1">IF($E12="","",
_xlfn.LET(
_xlpm._id,$C12,
_xlpm._sheet,Helper!$G$14,
_xlpm._column,CHAR(CODE("A")-1+COLUMN('Risk Treatment'!$D$2)),
_xlpm._row,ROW('Risk Treatment'!$D$2),
HYPERLINK("#'"&amp;_xlpm._sheet&amp;"'!"&amp;_xlpm._column&amp;_xlpm._row,_xlpm._id)))</f>
        <v/>
      </c>
      <c r="E12" s="7" t="str" cm="1">
        <f t="array" aca="1" ref="E12" ca="1">SUBSTITUTE(RemoveDelimiter(IF($F12="",$Q12,FilterElementsFromList($Q12,SanitizeInput($F12),FALSE,",")),","),",",", ")</f>
        <v/>
      </c>
      <c r="I12" s="2" t="str" cm="1">
        <f t="array" aca="1" ref="I12" ca="1">CELL("address",Risks!$AV$2)</f>
        <v>'[QuBA-libre.xlsx]Risks'!$AV$2</v>
      </c>
      <c r="J12" s="2" t="str" cm="1">
        <f t="array" aca="1" ref="J12" ca="1">CELL("address",Risks!$AW$2)</f>
        <v>'[QuBA-libre.xlsx]Risks'!$AW$2</v>
      </c>
      <c r="K12" s="2" t="str" cm="1">
        <f t="array" aca="1" ref="K12" ca="1">CELL("address",Risks!$A$2)</f>
        <v>'[QuBA-libre.xlsx]Risks'!$A$2</v>
      </c>
      <c r="L12" s="9" t="str">
        <f t="shared" ca="1" si="7"/>
        <v>'Risks'!</v>
      </c>
      <c r="M12" s="9" t="str">
        <f t="shared" ca="1" si="8"/>
        <v>A</v>
      </c>
      <c r="N12" s="9" t="str">
        <f t="shared" ca="1" si="9"/>
        <v>A:AV</v>
      </c>
      <c r="O12" s="9" t="str">
        <f t="shared" ca="1" si="10"/>
        <v>AW:AW</v>
      </c>
      <c r="P12" s="9" t="str">
        <f t="shared" ca="1" si="11"/>
        <v>A:A</v>
      </c>
      <c r="Q12" s="9" t="str" cm="1">
        <f t="array" aca="1" ref="Q12" ca="1">GetQualityIssues($L12,$P12,$O12,1,",")</f>
        <v/>
      </c>
    </row>
    <row r="13" spans="1:17" x14ac:dyDescent="0.25">
      <c r="A13" s="32">
        <f t="shared" ca="1" si="5"/>
        <v>0</v>
      </c>
      <c r="B13" s="4" t="s">
        <v>1108</v>
      </c>
      <c r="C13" s="34" t="str" cm="1">
        <f t="array" aca="1" ref="C13" ca="1">RemoveDelimiter(GetValues($Q13,INDIRECT($L13&amp;$N13),"",","&amp;CHAR(10),FALSE),","&amp;CHAR(10))</f>
        <v/>
      </c>
      <c r="D13" s="36" t="str">
        <f t="shared" ca="1" si="6"/>
        <v/>
      </c>
      <c r="E13" s="7" t="str" cm="1">
        <f t="array" aca="1" ref="E13" ca="1">SUBSTITUTE(RemoveDelimiter(IF($F13="",$Q13,FilterElementsFromList($Q13,SanitizeInput($F13),FALSE,",")),","),",",", ")</f>
        <v/>
      </c>
      <c r="I13" s="2" t="str" cm="1">
        <f t="array" aca="1" ref="I13" ca="1">CELL("address",'Risk Treatment'!$AR$4)</f>
        <v>'[QuBA-libre.xlsx]Risk Treatment'!$AR$4</v>
      </c>
      <c r="J13" s="2" t="str" cm="1">
        <f t="array" aca="1" ref="J13" ca="1">CELL("address",'Risk Treatment'!$AS$4)</f>
        <v>'[QuBA-libre.xlsx]Risk Treatment'!$AS$4</v>
      </c>
      <c r="K13" s="2" t="str" cm="1">
        <f t="array" aca="1" ref="K13" ca="1">CELL("address",'Risk Treatment'!$C$4)</f>
        <v>'[QuBA-libre.xlsx]Risk Treatment'!$C$4</v>
      </c>
      <c r="L13" s="9" t="str">
        <f t="shared" ca="1" si="7"/>
        <v>'Risk Treatment'!</v>
      </c>
      <c r="M13" s="9" t="str">
        <f t="shared" ca="1" si="8"/>
        <v>C</v>
      </c>
      <c r="N13" s="9" t="str">
        <f t="shared" ca="1" si="9"/>
        <v>C:AR</v>
      </c>
      <c r="O13" s="9" t="str">
        <f t="shared" ca="1" si="10"/>
        <v>AS:AS</v>
      </c>
      <c r="P13" s="9" t="str">
        <f t="shared" ca="1" si="11"/>
        <v>C:C</v>
      </c>
      <c r="Q13" s="9" t="str" cm="1">
        <f t="array" aca="1" ref="Q13" ca="1">GetQualityIssues($L13,$P13,$O13,1,",")</f>
        <v/>
      </c>
    </row>
    <row r="14" spans="1:17" x14ac:dyDescent="0.25">
      <c r="A14" s="32">
        <f t="shared" ca="1" si="5"/>
        <v>0</v>
      </c>
      <c r="B14" s="4" t="s">
        <v>1146</v>
      </c>
      <c r="C14" s="34" t="str" cm="1">
        <f t="array" aca="1" ref="C14" ca="1">RemoveDelimiter(GetValues($Q14,INDIRECT($L14&amp;$N14),"",","&amp;CHAR(10),FALSE),","&amp;CHAR(10))</f>
        <v/>
      </c>
      <c r="D14" s="36" t="str">
        <f ca="1">IF($E14="","",
_xlfn.LET(
_xlpm._in,SUBSTITUTE($E14,", ",",")&amp;",",
_xlpm._id,LEFT(_xlpm._in,FIND(",",_xlpm._in)-1),
_xlpm._sheet,$L14,
_xlpm._row,MATCH(1,INDIRECT(_xlpm._sheet&amp;$O14),0),
HYPERLINK("#"&amp;_xlpm._sheet&amp;$M14&amp;_xlpm._row,_xlpm._id)))</f>
        <v/>
      </c>
      <c r="E14" s="7" t="str" cm="1">
        <f t="array" aca="1" ref="E14" ca="1">SUBSTITUTE(RemoveDelimiter(IF($F14="",$Q14,FilterElementsFromList($Q14,SanitizeInput($F14),FALSE,",")),","),",",", ")</f>
        <v/>
      </c>
      <c r="I14" s="2" t="str" cm="1">
        <f t="array" aca="1" ref="I14" ca="1">CELL("address",'Risk Treatment'!$AU$4)</f>
        <v>'[QuBA-libre.xlsx]Risk Treatment'!$AU$4</v>
      </c>
      <c r="J14" s="2" t="str" cm="1">
        <f t="array" aca="1" ref="J14" ca="1">CELL("address",'Risk Treatment'!$AV$4)</f>
        <v>'[QuBA-libre.xlsx]Risk Treatment'!$AV$4</v>
      </c>
      <c r="K14" s="2" t="str" cm="1">
        <f t="array" aca="1" ref="K14" ca="1">CELL("address",'Risk Treatment'!$C$4)</f>
        <v>'[QuBA-libre.xlsx]Risk Treatment'!$C$4</v>
      </c>
      <c r="L14" s="9" t="str">
        <f t="shared" ca="1" si="7"/>
        <v>'Risk Treatment'!</v>
      </c>
      <c r="M14" s="9" t="str">
        <f t="shared" ca="1" si="8"/>
        <v>C</v>
      </c>
      <c r="N14" s="9" t="str">
        <f t="shared" ca="1" si="9"/>
        <v>C:AU</v>
      </c>
      <c r="O14" s="9" t="str">
        <f t="shared" ca="1" si="10"/>
        <v>AV:AV</v>
      </c>
      <c r="P14" s="9" t="str">
        <f t="shared" ca="1" si="11"/>
        <v>C:C</v>
      </c>
      <c r="Q14" s="9" t="str" cm="1">
        <f t="array" aca="1" ref="Q14" ca="1">GetQualityIssues($L14,$P14,$O14,1,",")</f>
        <v/>
      </c>
    </row>
    <row r="15" spans="1:17" x14ac:dyDescent="0.25">
      <c r="A15" s="32">
        <f t="shared" ca="1" si="5"/>
        <v>0</v>
      </c>
      <c r="B15" s="4" t="s">
        <v>417</v>
      </c>
      <c r="C15" s="34" t="str" cm="1">
        <f t="array" aca="1" ref="C15" ca="1">RemoveDelimiter(GetValues($Q15,INDIRECT($L15&amp;$N15),"",","&amp;CHAR(10),FALSE),","&amp;CHAR(10))</f>
        <v/>
      </c>
      <c r="D15" s="36" t="str">
        <f t="shared" ca="1" si="6"/>
        <v/>
      </c>
      <c r="E15" s="7" t="str" cm="1">
        <f t="array" aca="1" ref="E15" ca="1">SUBSTITUTE(RemoveDelimiter(IF($F15="",$Q15,FilterElementsFromList($Q15,SanitizeInput($F15),FALSE,",")),","),",",", ")</f>
        <v/>
      </c>
      <c r="I15" s="2" t="str" cm="1">
        <f t="array" aca="1" ref="I15" ca="1">CELL("address",'Risk Treatment'!AD$4)</f>
        <v>'[QuBA-libre.xlsx]Risk Treatment'!$AD$4</v>
      </c>
      <c r="J15" s="2" t="str" cm="1">
        <f t="array" aca="1" ref="J15" ca="1">CELL("address",'Risk Treatment'!AE$4)</f>
        <v>'[QuBA-libre.xlsx]Risk Treatment'!$AE$4</v>
      </c>
      <c r="K15" s="2" t="str" cm="1">
        <f t="array" aca="1" ref="K15" ca="1">CELL("address",'Risk Treatment'!$C$4)</f>
        <v>'[QuBA-libre.xlsx]Risk Treatment'!$C$4</v>
      </c>
      <c r="L15" s="9" t="str">
        <f t="shared" ca="1" si="0"/>
        <v>'Risk Treatment'!</v>
      </c>
      <c r="M15" s="9" t="str">
        <f t="shared" ca="1" si="1"/>
        <v>C</v>
      </c>
      <c r="N15" s="9" t="str">
        <f t="shared" ca="1" si="2"/>
        <v>C:AD</v>
      </c>
      <c r="O15" s="9" t="str">
        <f t="shared" ca="1" si="3"/>
        <v>AE:AE</v>
      </c>
      <c r="P15" s="9" t="str">
        <f t="shared" ca="1" si="4"/>
        <v>C:C</v>
      </c>
      <c r="Q15" s="9" t="str" cm="1">
        <f t="array" aca="1" ref="Q15" ca="1">GetQualityIssues($L15,$P15,$O15,1,",")</f>
        <v/>
      </c>
    </row>
    <row r="16" spans="1:17" x14ac:dyDescent="0.25">
      <c r="A16" s="32">
        <f t="shared" ca="1" si="5"/>
        <v>0</v>
      </c>
      <c r="B16" s="4" t="s">
        <v>392</v>
      </c>
      <c r="C16" s="34" t="str" cm="1">
        <f t="array" aca="1" ref="C16" ca="1">RemoveDelimiter(GetValues($Q16,INDIRECT($L16&amp;$N16),"",","&amp;CHAR(10),FALSE),","&amp;CHAR(10))</f>
        <v/>
      </c>
      <c r="D16" s="36" t="str">
        <f t="shared" ca="1" si="6"/>
        <v/>
      </c>
      <c r="E16" s="7" t="str" cm="1">
        <f t="array" aca="1" ref="E16" ca="1">SUBSTITUTE(RemoveDelimiter(IF($F16="",$Q16,FilterElementsFromList($Q16,SanitizeInput($F16),FALSE,",")),","),",",", ")</f>
        <v/>
      </c>
      <c r="I16" s="2" t="str" cm="1">
        <f t="array" aca="1" ref="I16" ca="1">CELL("address",'Risk Treatment'!$AB$4)</f>
        <v>'[QuBA-libre.xlsx]Risk Treatment'!$AB$4</v>
      </c>
      <c r="J16" s="2" t="str" cm="1">
        <f t="array" aca="1" ref="J16" ca="1">CELL("address",'Risk Treatment'!$AC$4)</f>
        <v>'[QuBA-libre.xlsx]Risk Treatment'!$AC$4</v>
      </c>
      <c r="K16" s="2" t="str" cm="1">
        <f t="array" aca="1" ref="K16" ca="1">CELL("address",'Risk Treatment'!$C$4)</f>
        <v>'[QuBA-libre.xlsx]Risk Treatment'!$C$4</v>
      </c>
      <c r="L16" s="9" t="str">
        <f t="shared" ca="1" si="0"/>
        <v>'Risk Treatment'!</v>
      </c>
      <c r="M16" s="9" t="str">
        <f t="shared" ca="1" si="1"/>
        <v>C</v>
      </c>
      <c r="N16" s="9" t="str">
        <f t="shared" ca="1" si="2"/>
        <v>C:AB</v>
      </c>
      <c r="O16" s="9" t="str">
        <f t="shared" ca="1" si="3"/>
        <v>AC:AC</v>
      </c>
      <c r="P16" s="9" t="str">
        <f t="shared" ca="1" si="4"/>
        <v>C:C</v>
      </c>
      <c r="Q16" s="9" t="str" cm="1">
        <f t="array" aca="1" ref="Q16" ca="1">GetQualityIssues($L16,$P16,$O16,1,",")</f>
        <v/>
      </c>
    </row>
    <row r="17" spans="1:17" ht="30" x14ac:dyDescent="0.25">
      <c r="A17" s="32">
        <f t="shared" ca="1" si="5"/>
        <v>0</v>
      </c>
      <c r="B17" s="4" t="s">
        <v>1260</v>
      </c>
      <c r="C17" s="34" t="str" cm="1">
        <f t="array" aca="1" ref="C17" ca="1">RemoveDelimiter(GetValues($Q17,INDIRECT($L17&amp;$N17),"",","&amp;CHAR(10),FALSE),","&amp;CHAR(10))</f>
        <v/>
      </c>
      <c r="D17" s="36" t="str">
        <f t="shared" ca="1" si="6"/>
        <v/>
      </c>
      <c r="E17" s="7" t="str" cm="1">
        <f t="array" aca="1" ref="E17" ca="1">SUBSTITUTE(RemoveDelimiter(IF($F17="",$Q17,FilterElementsFromList($Q17,SanitizeInput($F17),FALSE,",")),","),",",", ")</f>
        <v/>
      </c>
      <c r="I17" s="2" t="str" cm="1">
        <f t="array" aca="1" ref="I17" ca="1">CELL("address",Result!$AL$17)</f>
        <v>'[QuBA-libre.xlsx]Result'!$AL$17</v>
      </c>
      <c r="J17" s="2" t="str" cm="1">
        <f t="array" aca="1" ref="J17" ca="1">CELL("address",Result!$AM$17)</f>
        <v>'[QuBA-libre.xlsx]Result'!$AM$17</v>
      </c>
      <c r="K17" s="2" t="str" cm="1">
        <f t="array" aca="1" ref="K17" ca="1">CELL("address",Result!$A$17)</f>
        <v>'[QuBA-libre.xlsx]Result'!$A$17</v>
      </c>
      <c r="L17" s="9" t="str">
        <f ca="1">IF($I17="","",_xlfn.LET(_xlpm._in,$I17,_xlpm._start,FIND("]",_xlpm._in)+1,
"'"&amp;SUBSTITUTE(MID(_xlpm._in,_xlpm._start,FIND("!",_xlpm._in)-_xlpm._start),"'","")&amp;"'!"))</f>
        <v>'Result'!</v>
      </c>
      <c r="M17" s="9" t="str">
        <f ca="1">IF(K17="","",
_xlfn.LET(_xlpm._in,K17,
_xlpm._start,FIND("$",_xlpm._in)+1,
_xlpm._column,SUBSTITUTE(MID(_xlpm._in,_xlpm._start,FIND("$",SUBSTITUTE(_xlpm._in,"$","§",1))-_xlpm._start),"'",""),
_xlpm._column))</f>
        <v>A</v>
      </c>
      <c r="N17" s="9" t="str">
        <f ca="1">IF(I17="","",
_xlfn.LET(_xlpm._in,I17,
_xlpm._start,FIND("$",_xlpm._in)+1,
_xlpm._column,SUBSTITUTE(MID(_xlpm._in,_xlpm._start,FIND("$",SUBSTITUTE(_xlpm._in,"$","§",1))-_xlpm._start),"'",""),
$M17&amp;":"&amp;_xlpm._column))</f>
        <v>A:AL</v>
      </c>
      <c r="O17" s="9" t="str">
        <f ca="1">IF(J17="","",
_xlfn.LET(_xlpm._in,J17,
_xlpm._start,FIND("$",_xlpm._in)+1,
_xlpm._column,SUBSTITUTE(MID(_xlpm._in,_xlpm._start,FIND("$",SUBSTITUTE(_xlpm._in,"$","§",1))-_xlpm._start),"'",""),
_xlpm._column&amp;":"&amp;_xlpm._column))</f>
        <v>AM:AM</v>
      </c>
      <c r="P17" s="9" t="str">
        <f ca="1">IF($L17="","",$M17&amp;":"&amp;$M17)</f>
        <v>A:A</v>
      </c>
      <c r="Q17" s="9" t="str" cm="1">
        <f t="array" aca="1" ref="Q17" ca="1">GetQualityIssues($L17,$P17,$O17,1,",")</f>
        <v/>
      </c>
    </row>
    <row r="18" spans="1:17" x14ac:dyDescent="0.25">
      <c r="A18" s="32">
        <f t="shared" ca="1" si="5"/>
        <v>0</v>
      </c>
      <c r="B18" s="4" t="str">
        <f ca="1">"Undefined IDs in the "&amp;Helper!$G$13&amp;" sheet"</f>
        <v>Undefined IDs in the Mitigation sheet</v>
      </c>
      <c r="C18" s="34" t="str" cm="1">
        <f t="array" aca="1" ref="C18" ca="1">RemoveDelimiter(GetValues($Q18,INDIRECT($L18&amp;$N18),"",","&amp;CHAR(10),FALSE),","&amp;CHAR(10))</f>
        <v/>
      </c>
      <c r="D18" s="36" t="str">
        <f t="shared" ca="1" si="6"/>
        <v/>
      </c>
      <c r="E18" s="7" t="str" cm="1">
        <f t="array" aca="1" ref="E18" ca="1">SUBSTITUTE(RemoveDelimiter(IF($F18="",$Q18,FilterElementsFromList($Q18,SanitizeInput($F18),FALSE,",")),","),",",", ")</f>
        <v/>
      </c>
      <c r="I18" s="2" t="str" cm="1">
        <f t="array" aca="1" ref="I18" ca="1">CELL("address",Mitigation!$AM$2)</f>
        <v>'[QuBA-libre.xlsx]Mitigation'!$AM$2</v>
      </c>
      <c r="J18" s="2" t="str" cm="1">
        <f t="array" aca="1" ref="J18" ca="1">CELL("address",Mitigation!$AN$2)</f>
        <v>'[QuBA-libre.xlsx]Mitigation'!$AN$2</v>
      </c>
      <c r="K18" s="2" t="str" cm="1">
        <f t="array" aca="1" ref="K18" ca="1">CELL("address",Mitigation!$A$2)</f>
        <v>'[QuBA-libre.xlsx]Mitigation'!$A$2</v>
      </c>
      <c r="L18" s="9" t="str">
        <f ca="1">IF($I18="","",_xlfn.LET(_xlpm._in,$I18,_xlpm._start,FIND("]",_xlpm._in)+1,
"'"&amp;SUBSTITUTE(MID(_xlpm._in,_xlpm._start,FIND("!",_xlpm._in)-_xlpm._start),"'","")&amp;"'!"))</f>
        <v>'Mitigation'!</v>
      </c>
      <c r="M18" s="9" t="str">
        <f ca="1">IF(K18="","",
_xlfn.LET(_xlpm._in,K18,
_xlpm._start,FIND("$",_xlpm._in)+1,
_xlpm._column,SUBSTITUTE(MID(_xlpm._in,_xlpm._start,FIND("$",SUBSTITUTE(_xlpm._in,"$","§",1))-_xlpm._start),"'",""),
_xlpm._column))</f>
        <v>A</v>
      </c>
      <c r="N18" s="9" t="str">
        <f ca="1">IF(I18="","",
_xlfn.LET(_xlpm._in,I18,
_xlpm._start,FIND("$",_xlpm._in)+1,
_xlpm._column,SUBSTITUTE(MID(_xlpm._in,_xlpm._start,FIND("$",SUBSTITUTE(_xlpm._in,"$","§",1))-_xlpm._start),"'",""),
$M18&amp;":"&amp;_xlpm._column))</f>
        <v>A:AM</v>
      </c>
      <c r="O18" s="9" t="str">
        <f ca="1">IF(J18="","",
_xlfn.LET(_xlpm._in,J18,
_xlpm._start,FIND("$",_xlpm._in)+1,
_xlpm._column,SUBSTITUTE(MID(_xlpm._in,_xlpm._start,FIND("$",SUBSTITUTE(_xlpm._in,"$","§",1))-_xlpm._start),"'",""),
_xlpm._column&amp;":"&amp;_xlpm._column))</f>
        <v>AN:AN</v>
      </c>
      <c r="P18" s="9" t="str">
        <f ca="1">IF($L18="","",$M18&amp;":"&amp;$M18)</f>
        <v>A:A</v>
      </c>
      <c r="Q18" s="9" t="str" cm="1">
        <f t="array" aca="1" ref="Q18" ca="1">GetQualityIssues($L18,$P18,$O18,1,",")</f>
        <v/>
      </c>
    </row>
    <row r="19" spans="1:17" s="76" customFormat="1" ht="18.75" x14ac:dyDescent="0.3">
      <c r="A19" s="126" t="s">
        <v>1164</v>
      </c>
      <c r="B19" s="126"/>
      <c r="C19" s="126"/>
      <c r="D19" s="126"/>
      <c r="E19" s="126"/>
      <c r="F19" s="126"/>
      <c r="G19" s="126"/>
      <c r="L19" s="83" t="str">
        <f t="shared" ref="L19:L21" si="12">IF($I19="","",_xlfn.LET(_xlpm._in,$I19,_xlpm._start,FIND("]",_xlpm._in)+1,
"'"&amp;SUBSTITUTE(MID(_xlpm._in,_xlpm._start,FIND("!",_xlpm._in)-_xlpm._start),"'","")&amp;"'!"))</f>
        <v/>
      </c>
      <c r="M19" s="83" t="str">
        <f t="shared" ref="M19:M21" si="13">IF(K19="","",
_xlfn.LET(_xlpm._in,K19,
_xlpm._start,FIND("$",_xlpm._in)+1,
_xlpm._column,SUBSTITUTE(MID(_xlpm._in,_xlpm._start,FIND("$",SUBSTITUTE(_xlpm._in,"$","§",1))-_xlpm._start),"'",""),
_xlpm._column))</f>
        <v/>
      </c>
      <c r="N19" s="83" t="str">
        <f t="shared" ref="N19:N21" si="14">IF(I19="","",
_xlfn.LET(_xlpm._in,I19,
_xlpm._start,FIND("$",_xlpm._in)+1,
_xlpm._column,SUBSTITUTE(MID(_xlpm._in,_xlpm._start,FIND("$",SUBSTITUTE(_xlpm._in,"$","§",1))-_xlpm._start),"'",""),
$M19&amp;":"&amp;_xlpm._column))</f>
        <v/>
      </c>
      <c r="O19" s="83" t="str">
        <f t="shared" ref="O19:O21" si="15">IF(J19="","",
_xlfn.LET(_xlpm._in,J19,
_xlpm._start,FIND("$",_xlpm._in)+1,
_xlpm._column,SUBSTITUTE(MID(_xlpm._in,_xlpm._start,FIND("$",SUBSTITUTE(_xlpm._in,"$","§",1))-_xlpm._start),"'",""),
_xlpm._column&amp;":"&amp;_xlpm._column))</f>
        <v/>
      </c>
      <c r="P19" s="83" t="str">
        <f t="shared" ref="P19:P21" si="16">IF($L19="","",$M19&amp;":"&amp;$M19)</f>
        <v/>
      </c>
      <c r="Q19" s="83" t="str" cm="1">
        <f t="array" aca="1" ref="Q19" ca="1">GetQualityIssues($L19,$P19,$O19,1,",")</f>
        <v/>
      </c>
    </row>
    <row r="20" spans="1:17" s="76" customFormat="1" ht="18.75" x14ac:dyDescent="0.3">
      <c r="A20" s="32">
        <f t="shared" ca="1" si="5"/>
        <v>0</v>
      </c>
      <c r="B20" s="4" t="s">
        <v>1754</v>
      </c>
      <c r="C20" s="34" t="str" cm="1">
        <f t="array" aca="1" ref="C20" ca="1">RemoveDelimiter(GetValues($Q20,INDIRECT($L20&amp;$N20),"",","&amp;CHAR(10),FALSE),","&amp;CHAR(10))</f>
        <v/>
      </c>
      <c r="D20" s="36" t="str">
        <f t="shared" ca="1" si="6"/>
        <v/>
      </c>
      <c r="E20" s="7" t="str" cm="1">
        <f t="array" aca="1" ref="E20" ca="1">SUBSTITUTE(RemoveDelimiter(IF($F20="",$Q20,FilterElementsFromList($Q20,SanitizeInput($F20),FALSE,",")),","),",",", ")</f>
        <v/>
      </c>
      <c r="F20" s="111"/>
      <c r="G20" s="111"/>
      <c r="I20" s="2" t="str" cm="1">
        <f t="array" aca="1" ref="I20" ca="1">CELL("address",Questionnaire!$AQ$3)</f>
        <v>'[QuBA-libre.xlsx]Questionnaire'!$AQ$3</v>
      </c>
      <c r="J20" s="2" t="str" cm="1">
        <f t="array" aca="1" ref="J20" ca="1">CELL("address",Questionnaire!$AR$3)</f>
        <v>'[QuBA-libre.xlsx]Questionnaire'!$AR$3</v>
      </c>
      <c r="K20" s="2" t="str" cm="1">
        <f t="array" aca="1" ref="K20" ca="1">CELL("address",Questionnaire!$B$3)</f>
        <v>'[QuBA-libre.xlsx]Questionnaire'!$B$3</v>
      </c>
      <c r="L20" s="9" t="str">
        <f ca="1">IF($I20="","",_xlfn.LET(_xlpm._in,$I20,_xlpm._start,FIND("]",_xlpm._in)+1,
"'"&amp;SUBSTITUTE(MID(_xlpm._in,_xlpm._start,FIND("!",_xlpm._in)-_xlpm._start),"'","")&amp;"'!"))</f>
        <v>'Questionnaire'!</v>
      </c>
      <c r="M20" s="9" t="str">
        <f ca="1">IF(K20="","",
_xlfn.LET(_xlpm._in,K20,
_xlpm._start,FIND("$",_xlpm._in)+1,
_xlpm._column,SUBSTITUTE(MID(_xlpm._in,_xlpm._start,FIND("$",SUBSTITUTE(_xlpm._in,"$","§",1))-_xlpm._start),"'",""),
_xlpm._column))</f>
        <v>B</v>
      </c>
      <c r="N20" s="9" t="str">
        <f ca="1">IF(I20="","",
_xlfn.LET(_xlpm._in,I20,
_xlpm._start,FIND("$",_xlpm._in)+1,
_xlpm._column,SUBSTITUTE(MID(_xlpm._in,_xlpm._start,FIND("$",SUBSTITUTE(_xlpm._in,"$","§",1))-_xlpm._start),"'",""),
$M20&amp;":"&amp;_xlpm._column))</f>
        <v>B:AQ</v>
      </c>
      <c r="O20" s="9" t="str">
        <f ca="1">IF(J20="","",
_xlfn.LET(_xlpm._in,J20,
_xlpm._start,FIND("$",_xlpm._in)+1,
_xlpm._column,SUBSTITUTE(MID(_xlpm._in,_xlpm._start,FIND("$",SUBSTITUTE(_xlpm._in,"$","§",1))-_xlpm._start),"'",""),
_xlpm._column&amp;":"&amp;_xlpm._column))</f>
        <v>AR:AR</v>
      </c>
      <c r="P20" s="9" t="str">
        <f ca="1">IF($L20="","",$M20&amp;":"&amp;$M20)</f>
        <v>B:B</v>
      </c>
      <c r="Q20" s="9" t="str" cm="1">
        <f t="array" aca="1" ref="Q20" ca="1">GetQualityIssues($L20,$P20,$O20,1,",")</f>
        <v/>
      </c>
    </row>
    <row r="21" spans="1:17" x14ac:dyDescent="0.25">
      <c r="A21" s="32">
        <f t="shared" ca="1" si="5"/>
        <v>0</v>
      </c>
      <c r="B21" s="4" t="s">
        <v>1103</v>
      </c>
      <c r="C21" s="34" t="str" cm="1">
        <f t="array" aca="1" ref="C21" ca="1">RemoveDelimiter(GetValues($Q21,INDIRECT($L21&amp;$N21),"",","&amp;CHAR(10),FALSE),","&amp;CHAR(10))</f>
        <v/>
      </c>
      <c r="D21" s="36" t="str">
        <f t="shared" ca="1" si="6"/>
        <v/>
      </c>
      <c r="E21" s="7" t="str" cm="1">
        <f t="array" aca="1" ref="E21" ca="1">SUBSTITUTE(RemoveDelimiter(IF($F21="",$Q21,FilterElementsFromList($Q21,SanitizeInput($F21),FALSE,",")),","),",",", ")</f>
        <v/>
      </c>
      <c r="I21" s="2" t="str" cm="1">
        <f t="array" aca="1" ref="I21" ca="1">CELL("address",Questionnaire!$AM$3)</f>
        <v>'[QuBA-libre.xlsx]Questionnaire'!$AM$3</v>
      </c>
      <c r="J21" s="2" t="str" cm="1">
        <f t="array" aca="1" ref="J21" ca="1">CELL("address",Questionnaire!$AN$3)</f>
        <v>'[QuBA-libre.xlsx]Questionnaire'!$AN$3</v>
      </c>
      <c r="K21" s="2" t="str" cm="1">
        <f t="array" aca="1" ref="K21" ca="1">CELL("address",Questionnaire!$B$3)</f>
        <v>'[QuBA-libre.xlsx]Questionnaire'!$B$3</v>
      </c>
      <c r="L21" s="9" t="str">
        <f t="shared" ca="1" si="12"/>
        <v>'Questionnaire'!</v>
      </c>
      <c r="M21" s="9" t="str">
        <f t="shared" ca="1" si="13"/>
        <v>B</v>
      </c>
      <c r="N21" s="9" t="str">
        <f t="shared" ca="1" si="14"/>
        <v>B:AM</v>
      </c>
      <c r="O21" s="9" t="str">
        <f t="shared" ca="1" si="15"/>
        <v>AN:AN</v>
      </c>
      <c r="P21" s="9" t="str">
        <f t="shared" ca="1" si="16"/>
        <v>B:B</v>
      </c>
      <c r="Q21" s="9" t="str" cm="1">
        <f t="array" aca="1" ref="Q21" ca="1">GetQualityIssues($L21,$P21,$O21,1,",")</f>
        <v/>
      </c>
    </row>
    <row r="22" spans="1:17" ht="75" x14ac:dyDescent="0.25">
      <c r="A22" s="32">
        <f t="shared" ca="1" si="5"/>
        <v>0</v>
      </c>
      <c r="B22" s="4" t="str">
        <f>Countermeasures!$A31&amp;" is active, but "&amp;Questions!$A$48&amp;" was answered with "&amp;Definitions!$A$5&amp;CHAR(10)&amp;
"NOTE: "&amp;Countermeasures!$A31&amp;" might be active as prerequisite of another countermeasure. This indicator links to the cases where such a countermeasure is assigned."</f>
        <v>C27 is active, but QA11a was answered with No
NOTE: C27 might be active as prerequisite of another countermeasure. This indicator links to the cases where such a countermeasure is assigned.</v>
      </c>
      <c r="C22" s="34" t="str" cm="1">
        <f t="array" aca="1" ref="C22" ca="1">RemoveDelimiter(GetValues($Q22,INDIRECT($L22&amp;$N22),"",","&amp;CHAR(10),FALSE),","&amp;CHAR(10))</f>
        <v/>
      </c>
      <c r="D22" s="36" t="str">
        <f t="shared" ca="1" si="6"/>
        <v/>
      </c>
      <c r="E22" s="7" t="str" cm="1">
        <f t="array" aca="1" ref="E22" ca="1">SUBSTITUTE(RemoveDelimiter(IF($F22="",$Q22,FilterElementsFromList($Q22,SanitizeInput($F22),FALSE,",")),","),",",", ")</f>
        <v/>
      </c>
      <c r="I22" s="2" t="str" cm="1">
        <f t="array" aca="1" ref="I22" ca="1">CELL("address",Mitigation!$AI$2)</f>
        <v>'[QuBA-libre.xlsx]Mitigation'!$AI$2</v>
      </c>
      <c r="J22" s="2" t="str" cm="1">
        <f t="array" aca="1" ref="J22" ca="1">CELL("address",Mitigation!$AJ$2)</f>
        <v>'[QuBA-libre.xlsx]Mitigation'!$AJ$2</v>
      </c>
      <c r="K22" s="2" t="str" cm="1">
        <f t="array" aca="1" ref="K22" ca="1">CELL("address",Mitigation!$A$2)</f>
        <v>'[QuBA-libre.xlsx]Mitigation'!$A$2</v>
      </c>
      <c r="L22" s="9" t="str">
        <f ca="1">IF($I22="","",_xlfn.LET(_xlpm._in,$I22,_xlpm._start,FIND("]",_xlpm._in)+1,
"'"&amp;SUBSTITUTE(MID(_xlpm._in,_xlpm._start,FIND("!",_xlpm._in)-_xlpm._start),"'","")&amp;"'!"))</f>
        <v>'Mitigation'!</v>
      </c>
      <c r="M22" s="9" t="str">
        <f ca="1">IF(K22="","",
_xlfn.LET(_xlpm._in,K22,
_xlpm._start,FIND("$",_xlpm._in)+1,
_xlpm._column,SUBSTITUTE(MID(_xlpm._in,_xlpm._start,FIND("$",SUBSTITUTE(_xlpm._in,"$","§",1))-_xlpm._start),"'",""),
_xlpm._column))</f>
        <v>A</v>
      </c>
      <c r="N22" s="9" t="str">
        <f ca="1">IF(I22="","",
_xlfn.LET(_xlpm._in,I22,
_xlpm._start,FIND("$",_xlpm._in)+1,
_xlpm._column,SUBSTITUTE(MID(_xlpm._in,_xlpm._start,FIND("$",SUBSTITUTE(_xlpm._in,"$","§",1))-_xlpm._start),"'",""),
$M22&amp;":"&amp;_xlpm._column))</f>
        <v>A:AI</v>
      </c>
      <c r="O22" s="9" t="str">
        <f ca="1">IF(J22="","",
_xlfn.LET(_xlpm._in,J22,
_xlpm._start,FIND("$",_xlpm._in)+1,
_xlpm._column,SUBSTITUTE(MID(_xlpm._in,_xlpm._start,FIND("$",SUBSTITUTE(_xlpm._in,"$","§",1))-_xlpm._start),"'",""),
_xlpm._column&amp;":"&amp;_xlpm._column))</f>
        <v>AJ:AJ</v>
      </c>
      <c r="P22" s="9" t="str">
        <f ca="1">IF($L22="","",$M22&amp;":"&amp;$M22)</f>
        <v>A:A</v>
      </c>
      <c r="Q22" s="9" t="str" cm="1">
        <f t="array" aca="1" ref="Q22" ca="1">GetQualityIssues($L22,$P22,$O22,1,",")</f>
        <v/>
      </c>
    </row>
    <row r="23" spans="1:17" ht="30" x14ac:dyDescent="0.25">
      <c r="A23" s="32">
        <f t="shared" ca="1" si="5"/>
        <v>0</v>
      </c>
      <c r="B23" s="4" t="s">
        <v>1204</v>
      </c>
      <c r="C23" s="34" t="str" cm="1">
        <f t="array" aca="1" ref="C23" ca="1">RemoveDelimiter(GetValues($Q23,INDIRECT($L23&amp;$N23),"",","&amp;CHAR(10),FALSE),","&amp;CHAR(10))</f>
        <v/>
      </c>
      <c r="D23" s="36" t="str">
        <f t="shared" ca="1" si="6"/>
        <v/>
      </c>
      <c r="E23" s="7" t="str" cm="1">
        <f t="array" aca="1" ref="E23" ca="1">SUBSTITUTE(RemoveDelimiter(IF($F23="",$Q23,FilterElementsFromList($Q23,SanitizeInput($F23),FALSE,",")),","),",",", ")</f>
        <v/>
      </c>
      <c r="I23" s="2" t="str" cm="1">
        <f t="array" aca="1" ref="I23" ca="1">CELL("address",Questionnaire!$AO$3)</f>
        <v>'[QuBA-libre.xlsx]Questionnaire'!$AO$3</v>
      </c>
      <c r="J23" s="2" t="str" cm="1">
        <f t="array" aca="1" ref="J23" ca="1">CELL("address",Questionnaire!$AP$3)</f>
        <v>'[QuBA-libre.xlsx]Questionnaire'!$AP$3</v>
      </c>
      <c r="K23" s="2" t="str" cm="1">
        <f t="array" aca="1" ref="K23" ca="1">CELL("address",Questionnaire!$B$3)</f>
        <v>'[QuBA-libre.xlsx]Questionnaire'!$B$3</v>
      </c>
      <c r="L23" s="9" t="str">
        <f ca="1">IF($I23="","",_xlfn.LET(_xlpm._in,$I23,_xlpm._start,FIND("]",_xlpm._in)+1,
"'"&amp;SUBSTITUTE(MID(_xlpm._in,_xlpm._start,FIND("!",_xlpm._in)-_xlpm._start),"'","")&amp;"'!"))</f>
        <v>'Questionnaire'!</v>
      </c>
      <c r="M23" s="9" t="str">
        <f ca="1">IF(K23="","",
_xlfn.LET(_xlpm._in,K23,
_xlpm._start,FIND("$",_xlpm._in)+1,
_xlpm._column,SUBSTITUTE(MID(_xlpm._in,_xlpm._start,FIND("$",SUBSTITUTE(_xlpm._in,"$","§",1))-_xlpm._start),"'",""),
_xlpm._column))</f>
        <v>B</v>
      </c>
      <c r="N23" s="9" t="str">
        <f ca="1">IF(I23="","",
_xlfn.LET(_xlpm._in,I23,
_xlpm._start,FIND("$",_xlpm._in)+1,
_xlpm._column,SUBSTITUTE(MID(_xlpm._in,_xlpm._start,FIND("$",SUBSTITUTE(_xlpm._in,"$","§",1))-_xlpm._start),"'",""),
$M23&amp;":"&amp;_xlpm._column))</f>
        <v>B:AO</v>
      </c>
      <c r="O23" s="9" t="str">
        <f ca="1">IF(J23="","",
_xlfn.LET(_xlpm._in,J23,
_xlpm._start,FIND("$",_xlpm._in)+1,
_xlpm._column,SUBSTITUTE(MID(_xlpm._in,_xlpm._start,FIND("$",SUBSTITUTE(_xlpm._in,"$","§",1))-_xlpm._start),"'",""),
_xlpm._column&amp;":"&amp;_xlpm._column))</f>
        <v>AP:AP</v>
      </c>
      <c r="P23" s="9" t="str">
        <f ca="1">IF($L23="","",$M23&amp;":"&amp;$M23)</f>
        <v>B:B</v>
      </c>
      <c r="Q23" s="9" t="str" cm="1">
        <f t="array" aca="1" ref="Q23" ca="1">GetQualityIssues($L23,$P23,$O23,1,",")</f>
        <v/>
      </c>
    </row>
    <row r="24" spans="1:17" ht="18.75" x14ac:dyDescent="0.25">
      <c r="A24" s="126" t="s">
        <v>1517</v>
      </c>
      <c r="B24" s="126"/>
      <c r="C24" s="126"/>
      <c r="D24" s="126"/>
      <c r="E24" s="126"/>
      <c r="F24" s="126"/>
      <c r="G24" s="126"/>
      <c r="L24" s="9" t="str">
        <f t="shared" ref="L24:L26" si="17">IF($I24="","",_xlfn.LET(_xlpm._in,$I24,_xlpm._start,FIND("]",_xlpm._in)+1,
"'"&amp;SUBSTITUTE(MID(_xlpm._in,_xlpm._start,FIND("!",_xlpm._in)-_xlpm._start),"'","")&amp;"'!"))</f>
        <v/>
      </c>
      <c r="M24" s="9" t="str">
        <f t="shared" ref="M24:M26" si="18">IF(K24="","",
_xlfn.LET(_xlpm._in,K24,
_xlpm._start,FIND("$",_xlpm._in)+1,
_xlpm._column,SUBSTITUTE(MID(_xlpm._in,_xlpm._start,FIND("$",SUBSTITUTE(_xlpm._in,"$","§",1))-_xlpm._start),"'",""),
_xlpm._column))</f>
        <v/>
      </c>
      <c r="N24" s="9" t="str">
        <f t="shared" ref="N24:N26" si="19">IF(I24="","",
_xlfn.LET(_xlpm._in,I24,
_xlpm._start,FIND("$",_xlpm._in)+1,
_xlpm._column,SUBSTITUTE(MID(_xlpm._in,_xlpm._start,FIND("$",SUBSTITUTE(_xlpm._in,"$","§",1))-_xlpm._start),"'",""),
$M24&amp;":"&amp;_xlpm._column))</f>
        <v/>
      </c>
      <c r="O24" s="9" t="str">
        <f t="shared" ref="O24:O26" si="20">IF(J24="","",
_xlfn.LET(_xlpm._in,J24,
_xlpm._start,FIND("$",_xlpm._in)+1,
_xlpm._column,SUBSTITUTE(MID(_xlpm._in,_xlpm._start,FIND("$",SUBSTITUTE(_xlpm._in,"$","§",1))-_xlpm._start),"'",""),
_xlpm._column&amp;":"&amp;_xlpm._column))</f>
        <v/>
      </c>
      <c r="P24" s="9" t="str">
        <f t="shared" ref="P24:P26" si="21">IF($L24="","",$M24&amp;":"&amp;$M24)</f>
        <v/>
      </c>
      <c r="Q24" s="9" t="str" cm="1">
        <f t="array" aca="1" ref="Q24" ca="1">GetQualityIssues($L24,$P24,$O24,1,",")</f>
        <v/>
      </c>
    </row>
    <row r="25" spans="1:17" ht="18.75" x14ac:dyDescent="0.25">
      <c r="A25" s="32">
        <f t="shared" ca="1" si="5"/>
        <v>0</v>
      </c>
      <c r="B25" s="4" t="s">
        <v>1520</v>
      </c>
      <c r="C25" s="34" t="str" cm="1">
        <f t="array" aca="1" ref="C25" ca="1">RemoveDelimiter(GetValues($Q25,INDIRECT($L25&amp;$N25),"",","&amp;CHAR(10),FALSE),","&amp;CHAR(10))</f>
        <v/>
      </c>
      <c r="D25" s="36" t="str">
        <f t="shared" ca="1" si="6"/>
        <v/>
      </c>
      <c r="E25" s="7" t="str" cm="1">
        <f t="array" aca="1" ref="E25" ca="1">SUBSTITUTE(RemoveDelimiter(IF($F25="",$Q25,FilterElementsFromList($Q25,SanitizeInput($F25),FALSE,",")),","),",",", ")</f>
        <v/>
      </c>
      <c r="F25" s="111"/>
      <c r="G25" s="111"/>
      <c r="I25" s="2" t="str" cm="1">
        <f t="array" aca="1" ref="I25" ca="1">CELL("address",'Attack Steps'!$AF$2)</f>
        <v>'[QuBA-libre.xlsx]Attack Steps'!$AF$2</v>
      </c>
      <c r="J25" s="2" t="str" cm="1">
        <f t="array" aca="1" ref="J25" ca="1">CELL("address",'Attack Steps'!$AG$2)</f>
        <v>'[QuBA-libre.xlsx]Attack Steps'!$AG$2</v>
      </c>
      <c r="K25" s="2" t="str" cm="1">
        <f t="array" aca="1" ref="K25" ca="1">CELL("address",'Attack Steps'!$A$2)</f>
        <v>'[QuBA-libre.xlsx]Attack Steps'!$A$2</v>
      </c>
      <c r="L25" s="9" t="str">
        <f t="shared" ref="L25" ca="1" si="22">IF($I25="","",_xlfn.LET(_xlpm._in,$I25,_xlpm._start,FIND("]",_xlpm._in)+1,
"'"&amp;SUBSTITUTE(MID(_xlpm._in,_xlpm._start,FIND("!",_xlpm._in)-_xlpm._start),"'","")&amp;"'!"))</f>
        <v>'Attack Steps'!</v>
      </c>
      <c r="M25" s="9" t="str">
        <f t="shared" ref="M25" ca="1" si="23">IF(K25="","",
_xlfn.LET(_xlpm._in,K25,
_xlpm._start,FIND("$",_xlpm._in)+1,
_xlpm._column,SUBSTITUTE(MID(_xlpm._in,_xlpm._start,FIND("$",SUBSTITUTE(_xlpm._in,"$","§",1))-_xlpm._start),"'",""),
_xlpm._column))</f>
        <v>A</v>
      </c>
      <c r="N25" s="9" t="str">
        <f t="shared" ref="N25" ca="1" si="24">IF(I25="","",
_xlfn.LET(_xlpm._in,I25,
_xlpm._start,FIND("$",_xlpm._in)+1,
_xlpm._column,SUBSTITUTE(MID(_xlpm._in,_xlpm._start,FIND("$",SUBSTITUTE(_xlpm._in,"$","§",1))-_xlpm._start),"'",""),
$M25&amp;":"&amp;_xlpm._column))</f>
        <v>A:AF</v>
      </c>
      <c r="O25" s="9" t="str">
        <f t="shared" ref="O25" ca="1" si="25">IF(J25="","",
_xlfn.LET(_xlpm._in,J25,
_xlpm._start,FIND("$",_xlpm._in)+1,
_xlpm._column,SUBSTITUTE(MID(_xlpm._in,_xlpm._start,FIND("$",SUBSTITUTE(_xlpm._in,"$","§",1))-_xlpm._start),"'",""),
_xlpm._column&amp;":"&amp;_xlpm._column))</f>
        <v>AG:AG</v>
      </c>
      <c r="P25" s="9" t="str">
        <f t="shared" ref="P25" ca="1" si="26">IF($L25="","",$M25&amp;":"&amp;$M25)</f>
        <v>A:A</v>
      </c>
      <c r="Q25" s="9" t="str" cm="1">
        <f t="array" aca="1" ref="Q25" ca="1">GetQualityIssues($L25,$P25,$O25,1,",")</f>
        <v/>
      </c>
    </row>
    <row r="26" spans="1:17" x14ac:dyDescent="0.25">
      <c r="A26" s="32">
        <f t="shared" ca="1" si="5"/>
        <v>0</v>
      </c>
      <c r="B26" s="4" t="s">
        <v>1519</v>
      </c>
      <c r="C26" s="34" t="str" cm="1">
        <f t="array" aca="1" ref="C26" ca="1">RemoveDelimiter(GetValues($Q26,INDIRECT($L26&amp;$N26),"",","&amp;CHAR(10),FALSE),","&amp;CHAR(10))</f>
        <v/>
      </c>
      <c r="D26" s="36" t="str">
        <f t="shared" ca="1" si="6"/>
        <v/>
      </c>
      <c r="E26" s="7" t="str" cm="1">
        <f t="array" aca="1" ref="E26" ca="1">SUBSTITUTE(RemoveDelimiter(IF($F26="",$Q26,FilterElementsFromList($Q26,SanitizeInput($F26),FALSE,",")),","),",",", ")</f>
        <v/>
      </c>
      <c r="I26" s="2" t="str" cm="1">
        <f t="array" aca="1" ref="I26" ca="1">CELL("address",Assumptions!$AL$2)</f>
        <v>'[QuBA-libre.xlsx]Assumptions'!$AL$2</v>
      </c>
      <c r="J26" s="2" t="str" cm="1">
        <f t="array" aca="1" ref="J26" ca="1">CELL("address",Assumptions!$AM$2)</f>
        <v>'[QuBA-libre.xlsx]Assumptions'!$AM$2</v>
      </c>
      <c r="K26" s="2" t="str" cm="1">
        <f t="array" aca="1" ref="K26" ca="1">CELL("address",Assumptions!$A$2)</f>
        <v>'[QuBA-libre.xlsx]Assumptions'!$A$2</v>
      </c>
      <c r="L26" s="9" t="str">
        <f t="shared" ca="1" si="17"/>
        <v>'Assumptions'!</v>
      </c>
      <c r="M26" s="9" t="str">
        <f t="shared" ca="1" si="18"/>
        <v>A</v>
      </c>
      <c r="N26" s="9" t="str">
        <f t="shared" ca="1" si="19"/>
        <v>A:AL</v>
      </c>
      <c r="O26" s="9" t="str">
        <f t="shared" ca="1" si="20"/>
        <v>AM:AM</v>
      </c>
      <c r="P26" s="9" t="str">
        <f t="shared" ca="1" si="21"/>
        <v>A:A</v>
      </c>
      <c r="Q26" s="9" t="str" cm="1">
        <f t="array" aca="1" ref="Q26" ca="1">GetQualityIssues($L26,$P26,$O26,1,",")</f>
        <v/>
      </c>
    </row>
    <row r="27" spans="1:17" x14ac:dyDescent="0.25">
      <c r="A27" s="32">
        <f t="shared" ca="1" si="5"/>
        <v>0</v>
      </c>
      <c r="B27" s="4" t="s">
        <v>1518</v>
      </c>
      <c r="C27" s="34" t="str" cm="1">
        <f t="array" aca="1" ref="C27" ca="1">RemoveDelimiter(GetValues($Q27,INDIRECT($L27&amp;$N27),"",","&amp;CHAR(10),FALSE),","&amp;CHAR(10))</f>
        <v/>
      </c>
      <c r="D27" s="36" t="str">
        <f t="shared" ca="1" si="6"/>
        <v/>
      </c>
      <c r="E27" s="7" t="str" cm="1">
        <f t="array" aca="1" ref="E27" ca="1">SUBSTITUTE(RemoveDelimiter(IF($F27="",$Q27,FilterElementsFromList($Q27,SanitizeInput($F27),FALSE,",")),","),",",", ")</f>
        <v/>
      </c>
      <c r="I27" s="2" t="str" cm="1">
        <f t="array" aca="1" ref="I27" ca="1">CELL("address",Countermeasures!$AO$2)</f>
        <v>'[QuBA-libre.xlsx]Countermeasures'!$AO$2</v>
      </c>
      <c r="J27" s="2" t="str" cm="1">
        <f t="array" aca="1" ref="J27" ca="1">CELL("address",Countermeasures!$AP$2)</f>
        <v>'[QuBA-libre.xlsx]Countermeasures'!$AP$2</v>
      </c>
      <c r="K27" s="2" t="str" cm="1">
        <f t="array" aca="1" ref="K27" ca="1">CELL("address",Countermeasures!$A$2)</f>
        <v>'[QuBA-libre.xlsx]Countermeasures'!$A$2</v>
      </c>
      <c r="L27" s="9" t="str">
        <f ca="1">IF($I27="","",_xlfn.LET(_xlpm._in,$I27,_xlpm._start,FIND("]",_xlpm._in)+1,
"'"&amp;SUBSTITUTE(MID(_xlpm._in,_xlpm._start,FIND("!",_xlpm._in)-_xlpm._start),"'","")&amp;"'!"))</f>
        <v>'Countermeasures'!</v>
      </c>
      <c r="M27" s="9" t="str">
        <f ca="1">IF(K27="","",
_xlfn.LET(_xlpm._in,K27,
_xlpm._start,FIND("$",_xlpm._in)+1,
_xlpm._column,SUBSTITUTE(MID(_xlpm._in,_xlpm._start,FIND("$",SUBSTITUTE(_xlpm._in,"$","§",1))-_xlpm._start),"'",""),
_xlpm._column))</f>
        <v>A</v>
      </c>
      <c r="N27" s="9" t="str">
        <f ca="1">IF(I27="","",
_xlfn.LET(_xlpm._in,I27,
_xlpm._start,FIND("$",_xlpm._in)+1,
_xlpm._column,SUBSTITUTE(MID(_xlpm._in,_xlpm._start,FIND("$",SUBSTITUTE(_xlpm._in,"$","§",1))-_xlpm._start),"'",""),
$M27&amp;":"&amp;_xlpm._column))</f>
        <v>A:AO</v>
      </c>
      <c r="O27" s="9" t="str">
        <f ca="1">IF(J27="","",
_xlfn.LET(_xlpm._in,J27,
_xlpm._start,FIND("$",_xlpm._in)+1,
_xlpm._column,SUBSTITUTE(MID(_xlpm._in,_xlpm._start,FIND("$",SUBSTITUTE(_xlpm._in,"$","§",1))-_xlpm._start),"'",""),
_xlpm._column&amp;":"&amp;_xlpm._column))</f>
        <v>AP:AP</v>
      </c>
      <c r="P27" s="9" t="str">
        <f ca="1">IF($L27="","",$M27&amp;":"&amp;$M27)</f>
        <v>A:A</v>
      </c>
      <c r="Q27" s="9" t="str" cm="1">
        <f t="array" aca="1" ref="Q27" ca="1">GetQualityIssues($L27,$P27,$O27,1,",")</f>
        <v/>
      </c>
    </row>
  </sheetData>
  <mergeCells count="3">
    <mergeCell ref="A3:G3"/>
    <mergeCell ref="A19:G19"/>
    <mergeCell ref="A24:G24"/>
  </mergeCells>
  <phoneticPr fontId="4" type="noConversion"/>
  <conditionalFormatting sqref="A1:A1048576 B1:G1">
    <cfRule type="expression" dxfId="24" priority="389">
      <formula>AND($A1&lt;&gt;"",$A1=0)</formula>
    </cfRule>
  </conditionalFormatting>
  <conditionalFormatting sqref="A1:A1048576">
    <cfRule type="expression" dxfId="23" priority="388">
      <formula>AND(ISNUMBER($A1),$A1&gt;0)</formula>
    </cfRule>
  </conditionalFormatting>
  <conditionalFormatting sqref="A1:G1048576">
    <cfRule type="expression" dxfId="22" priority="390">
      <formula>AND(ROW(A1)&gt;ROW(A$2),MOD(ROW(A1),2)=MOD(ROW($A$2)+1,2),$A1&lt;&gt;"")</formula>
    </cfRule>
  </conditionalFormatting>
  <conditionalFormatting sqref="G1:G1048576">
    <cfRule type="expression" dxfId="21" priority="387">
      <formula>AND(ROW($F1)&gt;ROW($F$2),$F1&lt;&gt;"",$G1="")</formula>
    </cfRule>
  </conditionalFormatting>
  <pageMargins left="0.7" right="0.7" top="0.75" bottom="0.75" header="0.3" footer="0.3"/>
  <pageSetup paperSize="9" orientation="portrait" r:id="rId1"/>
  <ignoredErrors>
    <ignoredError sqref="D12 D14" formula="1"/>
  </ignoredErrors>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23BD9-FA30-4F75-8C87-563947263A0C}">
  <sheetPr>
    <tabColor theme="3"/>
  </sheetPr>
  <dimension ref="A1:H30"/>
  <sheetViews>
    <sheetView topLeftCell="A5" workbookViewId="0">
      <selection activeCell="C7" sqref="C7"/>
    </sheetView>
  </sheetViews>
  <sheetFormatPr defaultColWidth="9.140625" defaultRowHeight="15" x14ac:dyDescent="0.25"/>
  <cols>
    <col min="1" max="1" width="18.28515625" style="2" bestFit="1" customWidth="1"/>
    <col min="2" max="2" width="33" style="2" bestFit="1" customWidth="1"/>
    <col min="3" max="3" width="31.42578125" style="2" customWidth="1"/>
    <col min="4" max="4" width="20.5703125" style="2" bestFit="1" customWidth="1"/>
    <col min="5" max="5" width="9.140625" style="2" customWidth="1"/>
    <col min="6" max="16384" width="9.140625" style="2"/>
  </cols>
  <sheetData>
    <row r="1" spans="1:8" ht="90" hidden="1" x14ac:dyDescent="0.25">
      <c r="A1" s="2" t="s">
        <v>1145</v>
      </c>
      <c r="B1" s="4" t="s">
        <v>1461</v>
      </c>
      <c r="C1" s="2" t="str">
        <f>""</f>
        <v/>
      </c>
      <c r="D1" s="2" t="s">
        <v>1152</v>
      </c>
      <c r="E1" s="2" t="str" cm="1">
        <f t="array" aca="1" ref="E1" ca="1">_xlfn.LAMBDA(_xlpm._sheetName,_xlpm._headerRow,_xlpm._row,_xlpm._template,_xlpm._delimiter,_xlpm._columnList,
IF(_xlpm._columnList="","",_xlfn.LET(
_xlpm._columnLetter,LEFT(_xlpm._columnList,1),
_xlpm._header,SUBSTITUTE(INDIRECT("'"&amp;_xlpm._sheetName&amp;"'!"&amp;_xlpm._columnLetter&amp;_xlpm._headerRow),CHAR(10)," "),
_xlpm._value,SUBSTITUTE(INDIRECT("'"&amp;_xlpm._sheetName&amp;"'!"&amp;_xlpm._columnLetter&amp;_xlpm._row),CHAR(10)," "),
SUBSTITUTE(SUBSTITUTE(_xlpm._template,"[#1]",_xlpm._header),"[#2]",_xlpm._value)&amp;_xlpm._delimiter&amp;
JSONParseAttributes(_xlpm._sheetName,_xlpm._headerRow,_xlpm._row,_xlpm._template,_xlpm._delimiter,RIGHT(_xlpm._columnList,LEN(_xlpm._columnList)-1)))))("Questionnaire",2,6,$B$3,","&amp;CHAR(10),GetColumnLetter(Questionnaire!$B$2)&amp;GetColumnLetter(Questionnaire!$L$2)&amp;GetColumnLetter(Questionnaire!$D$2)&amp;GetColumnLetter(Questionnaire!$E$2)&amp;GetColumnLetter(Questionnaire!$F$2)&amp;GetColumnLetter(Questionnaire!$G$2)&amp;GetColumnLetter(Questionnaire!$H$2))</f>
        <v xml:space="preserve">"ID": "QI1",
"Question": "Does the product have / support cameras or other sensors that can potentially identify people? (Regarding 'supporting a camera / sensor': only answer with Yes if attaching a camera / sensor is in the intended or foreseeable use of the product.)",
"Answer 1": "",
"Additional Question": "",
"Answer 2": "",
"Additional information and instructions": "",
"Rationale / provide details on the processed data": "",
</v>
      </c>
      <c r="F1" s="2" t="str">
        <f>""</f>
        <v/>
      </c>
      <c r="H1" s="4"/>
    </row>
    <row r="2" spans="1:8" ht="60" hidden="1" x14ac:dyDescent="0.25">
      <c r="A2" s="2" t="s">
        <v>1149</v>
      </c>
      <c r="B2" s="4" t="s">
        <v>1154</v>
      </c>
      <c r="D2" s="2" t="s">
        <v>1153</v>
      </c>
      <c r="E2" s="2" t="str" cm="1">
        <f t="array" aca="1" ref="E2" ca="1">_xlfn.LAMBDA(_xlpm._shadowID,_xlpm._sheetName,_xlpm._shadowIDHeader,_xlpm._elementTemplate,_xlpm._attributeTemplate,_xlpm._delimiter,_xlpm._columnList,
_xlfn.LET(
_xlpm._shadowIDColumnLetter,GetColumnLetter(_xlpm._shadowIDHeader),
_xlpm._shadowIDColumn,"'"&amp;_xlpm._sheetName&amp;"'!"&amp;_xlpm._shadowIDColumnLetter&amp;":"&amp;_xlpm._shadowIDColumnLetter,
_xlpm._row,IFERROR(MATCH(_xlpm._shadowID,INDIRECT(_xlpm._shadowIDColumn),0),0),
IF(_xlpm._row=0,"",_xlfn.LET(
_xlpm._element,SUBSTITUTE(_xlpm._elementTemplate,"[#1]",RemoveDelimiter(JSONParseAttributes(_xlpm._sheetName,ROW(_xlpm._shadowIDHeader),_xlpm._row,_xlpm._attributeTemplate,_xlpm._delimiter,_xlpm._columnList),_xlpm._delimiter)),
_xlpm._element&amp;
JSONParseSheet(_xlpm._shadowID+1,_xlpm._sheetName,_xlpm._shadowIDHeader,_xlpm._elementTemplate,_xlpm._attributeTemplate,_xlpm._delimiter,_xlpm._columnList)))))(1,"Questionnaire",Questionnaire!$M$2,$B$2,$B$3,","&amp;CHAR(10),GetColumnLetter(Questionnaire!$B$2)&amp;GetColumnLetter(Questionnaire!$L$2)&amp;GetColumnLetter(Questionnaire!$D$2)&amp;GetColumnLetter(Questionnaire!$E$2)&amp;GetColumnLetter(Questionnaire!$F$2)&amp;GetColumnLetter(Questionnaire!$G$2)&amp;GetColumnLetter(Questionnaire!$H$2))</f>
        <v xml:space="preserve">{
"ID": "QI1",
"Question": "Does the product have / support cameras or other sensors that can potentially identify people? (Regarding 'supporting a camera / sensor': only answer with Yes if attaching a camera / sensor is in the intended or foreseeable use of the product.)",
"Answer 1": "",
"Additional Question": "",
"Answer 2": "",
"Additional information and instructions": "",
"Rationale / provide details on the processed data": ""
},
{
"ID": "QI2",
"Question": "Does the product process personal data? Examples: address labels",
"Answer 1": "",
"Additional Question": "",
"Answer 2": "",
"Additional information and instructions": "",
"Rationale / provide details on the processed data": ""
},
{
"ID": "QI3",
"Question": "Does the product contain &lt;&lt; OEM Name &gt;&gt; or customer intellectual property? Note: Only IP which is part of / accessible by the firmware / software in the product is in scope of this question. Gaining access to optical and mechanical IP are not covered by this question (and the cybersecurity risk analysis)",
"Answer 1": "",
"Additional Question": "",
"Answer 2": "",
"Additional information and instructions": "",
"Rationale / provide details on the processed data": ""
},
{
"ID": "QI4",
"Question": "Is &lt;&lt; OEM Name &gt;&gt; (typically) obliged to keep the processed / stored data (including third-party IP) confidential by contract or law? (Note that this concerns individual obligations, not the standard product warranty).",
"Answer 1": "",
"Additional Question": "",
"Answer 2": "",
"Additional information and instructions": "",
"Rationale / provide details on the processed data": ""
},
{
"ID": "QI5",
"Question": "Does the product contain credentials / cryptographic keys that allow access to sensitive data or to systems in the product's operational environment? (Note: this includes cryptographic data introduced by the customer.)",
"Answer 1": "",
"Additional Question": "",
"Answer 2": "",
"Additional information and instructions": "",
"Rationale / provide details on the processed data": ""
},
{
"ID": "QI6",
"Question": "Can a loss of availability of the product (or its communication) endanger the health of people? (Consider how the operational environment reacts to a loss of availability of the product.)",
"Answer 1": "",
"Additional Question": "",
"Answer 2": "",
"Additional information and instructions": "",
"Rationale / provide details on the processed data": ""
},
{
"ID": "QI7",
"Question": "Is the availability of the product relevant for its operational environment?",
"Answer 1": "",
"Additional Question": "",
"Answer 2": "",
"Additional information and instructions": "",
"Rationale / provide details on the processed data": ""
},
{
"ID": "QI8",
"Question": "Can a loss of availability allow an attacker access to assets of the customer (including physical access not detected by the &lt;&lt; OEM Name &gt;&gt; product)? Example: The product is used for access control.",
"Answer 1": "",
"Additional Question": "",
"Answer 2": "",
"Additional information and instructions": "",
"Rationale / provide details on the processed data": ""
},
{
"ID": "QI9",
"Question": "Can a loss of availability cause contract-related fines (e.g., based on a service level agreement)?",
"Answer 1": "",
"Additional Question": "",
"Answer 2": "",
"Additional information and instructions": "",
"Rationale / provide details on the processed data": ""
},
{
"ID": "QI10",
"Question": "Can a manipulated product (or its communication) endanger the health of people? Also consider cases where the product is used against its intended use or misconfigured!",
"Answer 1": "",
"Additional Question": "",
"Answer 2": "",
"Additional information and instructions": "",
"Rationale / provide details on the processed data": ""
},
{
"ID": "QI11",
"Question": "Can a manipulated product disclose personal data to an attacker? Also consider cases where the product is used against its intended use or misconfigured!",
"Answer 1": "",
"Additional Question": "",
"Answer 2": "",
"Additional information and instructions": "",
"Rationale / provide details on the processed data": ""
},
{
"ID": "QI12",
"Question": "Can a manipulated product disclose intellectual property to an attacker? Also consider cases where the product is used against its intended use or misconfigured!  Note that this includes both &lt;&lt; OEM Name &gt;&gt; and customer IP.",
"Answer 1": "",
"Additional Question": "",
"Answer 2": "",
"Additional information and instructions": "",
"Rationale / provide details on the processed data": ""
},
{
"ID": "QI13",
"Question": "Can a manipulated product disclose credentials / cryptographic material to an attacker? Also consider cases where the product does not disclose the material but misuses its access to other systems! (E.g., product contains access credentials to store data on a server.)",
"Answer 1": "",
"Additional Question": "",
"Answer 2": "",
"Additional information and instructions": "",
"Rationale / provide details on the processed data": ""
},
{
"ID": "QI14",
"Question": "Can a manipulated product affect the operation of its operational environment?",
"Answer 1": "",
"Additional Question": "",
"Answer 2": "",
"Additional information and instructions": "",
"Rationale / provide details on the processed data": ""
},
{
"ID": "QI15",
"Question": "Can a manipulated product allow an attacker access to assets of the customer or allow the attacker to attack the customer's network?",
"Answer 1": "",
"Additional Question": "",
"Answer 2": "",
"Additional information and instructions": "",
"Rationale / provide details on the processed data": ""
},
{
"ID": "QI16",
"Question": "Can a manipulated product cause contract-related / legal fines? (Note that this concerns individual obligations, not the standard product warranty).",
"Answer 1": "",
"Additional Question": "",
"Answer 2": "",
"Additional information and instructions": "",
"Rationale / provide details on the processed data": ""
},
{
"ID": "QA1",
"Question": "Does the product have any connectivity?",
"Answer 1": "",
"Additional Question": "",
"Answer 2": "",
"Additional information and instructions": "",
"Rationale / provide details on the processed data": ""
},
{
"ID": "QA2",
"Question": "Does the product connect two networks to each other (e.g., as a gateway)?",
"Answer 1": "",
"Additional Question": "",
"Answer 2": "",
"Additional information and instructions": "",
"Rationale / provide details on the processed data": ""
},
{
"ID": "QA3",
"Question": "Does the product have a point-to-point connection to another device?",
"Answer 1": "",
"Additional Question": "",
"Answer 2": "",
"Additional information and instructions": "",
"Rationale / provide details on the processed data": ""
},
{
"ID": "QA4",
"Question": "Does the product have a direct connection to a local network?",
"Answer 1": "",
"Additional Question": "",
"Answer 2": "",
"Additional information and instructions": "",
"Rationale / provide details on the processed data": ""
},
{
"ID": "QA5",
"Question": "Does the product support wireless connections?",
"Answer 1": "",
"Additional Question": "",
"Answer 2": "",
"Additional information and instructions": "",
"Rationale / provide details on the processed data": ""
},
{
"ID": "QA6",
"Question": "Does the product have a direct connection to a mobile network / the Internet?",
"Answer 1": "",
"Additional Question": "",
"Answer 2": "",
"Additional information and instructions": "",
"Rationale / provide details on the processed data": ""
},
{
"ID": "QA7",
"Question": "Does the product offer services to other entities on the network?",
"Answer 1": "",
"Additional Question": "",
"Answer 2": "",
"Additional information and instructions": "",
"Rationale / provide details on the processed data": ""
},
{
"ID": "QA8",
"Question": "Does the product offer a configuration interface?",
"Answer 1": "",
"Additional Question": "",
"Answer 2": "",
"Additional information and instructions": "",
"Rationale / provide details on the processed data": ""
},
{
"ID": "QA9",
"Question": "Does the product have an IP stack (or another routable protocol)?",
"Answer 1": "",
"Additional Question": "",
"Answer 2": "",
"Additional information and instructions": "",
"Rationale / provide details on the processed data": ""
},
{
"ID": "QA10a",
"Question": "Does the product communicate with an external system locally (e.g., a USB stick, an SD card, an RFID tag)?",
"Answer 1": "",
"Additional Question": "",
"Answer 2": "",
"Additional information and instructions": "",
"Rationale / provide details on the processed data": ""
},
{
"ID": "QA10b",
"Question": "Does the product communicate with an external system on the Internet (e.g., an untrusted 3rd party backend, a &lt;&lt; OEM Name &gt;&gt; cloud service, a &lt;&lt; OEM Name &gt;&gt; server system)?",
"Answer 1": "",
"Additional Question": "",
"Answer 2": "",
"Additional information and instructions": "",
"Rationale / provide details on the processed data": ""
},
{
"ID": "QA11a",
"Question": "Can the product's software be updated over an interface?",
"Answer 1": "",
"Additional Question": "",
"Answer 2": "",
"Additional information and instructions": "",
"Rationale / provide details on the processed data": ""
},
{
"ID": "QA11b",
"Question": "Are software updates in the field (regularly or event-based) planned?",
"Answer 1": "",
"Additional Question": "",
"Answer 2": "",
"Additional information and instructions": "",
"Rationale / provide details on the processed data": ""
},
{
"ID": "QA12",
"Question": "Does the product have a logical connection to a local network over a gateway?",
"Answer 1": "",
"Additional Question": "",
"Answer 2": "",
"Additional information and instructions": "",
"Rationale / provide details on the processed data": ""
},
{
"ID": "QA13",
"Question": "Does the product have a logical connection to a wireless network over a gateway?",
"Answer 1": "",
"Additional Question": "",
"Answer 2": "",
"Additional information and instructions": "",
"Rationale / provide details on the processed data": ""
},
{
"ID": "QA14",
"Question": "Is the product typically installed in a physically accessible position?",
"Answer 1": "",
"Additional Question": "",
"Answer 2": "",
"Additional information and instructions": "",
"Rationale / provide details on the processed data": ""
},
{
"ID": "QA15",
"Question": "Is the product typically installed in an operational environment with public access?",
"Answer 1": "",
"Additional Question": "",
"Answer 2": "",
"Additional information and instructions": "",
"Rationale / provide details on the processed data": ""
},
{
"ID": "QA16",
"Question": "Are the product's physical connections (such as attached bus cables) typically installed in an environment with public access?",
"Answer 1": "",
"Additional Question": "",
"Answer 2": "",
"Additional information and instructions": "",
"Rationale / provide details on the processed data": ""
},
{
"ID": "QA17",
"Question": "Does the product have debug / development interfaces (e.g., JTAG, root access over ssh)?",
"Answer 1": "",
"Additional Question": "",
"Answer 2": "",
"Additional information and instructions": "",
"Rationale / provide details on the processed data": ""
},
{
"ID": "QA18",
"Question": "Is the product produced in a secure environment?",
"Answer 1": "",
"Additional Question": "",
"Answer 2": "",
"Additional information and instructions": "",
"Rationale / provide details on the processed data": ""
},
{
"ID": "QA19",
"Question": "Are the supply chain partners trustworthy and protected against attacks?",
"Answer 1": "",
"Additional Question": "",
"Answer 2": "",
"Additional information and instructions": "",
"Rationale / provide details on the processed data": ""
},
{
"ID": "QA20",
"Question": "What is the product's expected lifetime?",
"Answer 1": "",
"Additional Question": "",
"Answer 2": "",
"Additional information and instructions": "",
"Rationale / provide details on the processed data": ""
},
{
"ID": "QA21",
"Question": "What is the product's planned support duration?",
"Answer 1": "",
"Additional Question": "",
"Answer 2": "",
"Additional information and instructions": "",
"Rationale / provide details on the processed data": ""
},
</v>
      </c>
      <c r="F2" s="2" t="str">
        <f>""</f>
        <v/>
      </c>
    </row>
    <row r="3" spans="1:8" hidden="1" x14ac:dyDescent="0.25">
      <c r="A3" s="2" t="s">
        <v>1150</v>
      </c>
      <c r="B3" s="2" t="s">
        <v>1151</v>
      </c>
      <c r="D3" s="4" t="s">
        <v>1157</v>
      </c>
      <c r="E3" s="2" t="str" cm="1">
        <f t="array" aca="1" ref="E3" ca="1">_xlfn.LAMBDA(_xlpm._sheetIndex,_xlpm._definitionsSheetNameHeader,_xlpm._definitionsColumnsHeader,_xlpm._definitionsShadowIDColumnHeader,_xlpm._definitionsShadowIDHeaderHeader,_xlpm._jsonTemplate,_xlpm._elementTemplate,_xlpm._attributeTemplate,_xlpm._delimiter,
_xlfn.LET(
_xlpm._sheetName,OFFSET(_xlpm._definitionsSheetNameHeader,_xlpm._sheetIndex,0),
_xlpm._columnList,OFFSET(_xlpm._definitionsColumnsHeader,_xlpm._sheetIndex,0),
_xlpm._shadowIDColumnLetter,OFFSET(_xlpm._definitionsShadowIDColumnHeader,_xlpm._sheetIndex,0),
_xlpm._shadowIDHeaderRow,OFFSET(_xlpm._definitionsShadowIDHeaderHeader,_xlpm._sheetIndex,0),
_xlpm._shadowIDHeader,INDIRECT("'"&amp;_xlpm._sheetName&amp;"'!$"&amp;_xlpm._shadowIDColumnLetter&amp;"$"&amp;_xlpm._shadowIDHeaderRow),
IF(_xlpm._sheetName="","",
SUBSTITUTE(SUBSTITUTE(_xlpm._jsonTemplate,
"[#1]",_xlpm._sheetName),
"[#2]",JSONParseSheet(1,_xlpm._sheetName,_xlpm._shadowIDHeader,_xlpm._elementTemplate,_xlpm._attributeTemplate,_xlpm._delimiter,_xlpm._columnList)))))(1,Definitions!$BA$3,Definitions!$BB$3,Definitions!$BC$3,Definitions!$BD$3,$B$1,$B$2,$B$3,","&amp;CHAR(10))</f>
        <v xml:space="preserve">{
"Questionnaire": [
{
"ID": "QI1",
"Question": "Does the product have / support cameras or other sensors that can potentially identify people? (Regarding 'supporting a camera / sensor': only answer with Yes if attaching a camera / sensor is in the intended or foreseeable use of the product.)",
"Answer 1": "",
"Additional Question": "",
"Answer 2": "",
"Additional information and instructions": "",
"Rationale / provide details on the processed data": ""
},
{
"ID": "QI2",
"Question": "Does the product process personal data? Examples: address labels",
"Answer 1": "",
"Additional Question": "",
"Answer 2": "",
"Additional information and instructions": "",
"Rationale / provide details on the processed data": ""
},
{
"ID": "QI3",
"Question": "Does the product contain &lt;&lt; OEM Name &gt;&gt; or customer intellectual property? Note: Only IP which is part of / accessible by the firmware / software in the product is in scope of this question. Gaining access to optical and mechanical IP are not covered by this question (and the cybersecurity risk analysis)",
"Answer 1": "",
"Additional Question": "",
"Answer 2": "",
"Additional information and instructions": "",
"Rationale / provide details on the processed data": ""
},
{
"ID": "QI4",
"Question": "Is &lt;&lt; OEM Name &gt;&gt; (typically) obliged to keep the processed / stored data (including third-party IP) confidential by contract or law? (Note that this concerns individual obligations, not the standard product warranty).",
"Answer 1": "",
"Additional Question": "",
"Answer 2": "",
"Additional information and instructions": "",
"Rationale / provide details on the processed data": ""
},
{
"ID": "QI5",
"Question": "Does the product contain credentials / cryptographic keys that allow access to sensitive data or to systems in the product's operational environment? (Note: this includes cryptographic data introduced by the customer.)",
"Answer 1": "",
"Additional Question": "",
"Answer 2": "",
"Additional information and instructions": "",
"Rationale / provide details on the processed data": ""
},
{
"ID": "QI6",
"Question": "Can a loss of availability of the product (or its communication) endanger the health of people? (Consider how the operational environment reacts to a loss of availability of the product.)",
"Answer 1": "",
"Additional Question": "",
"Answer 2": "",
"Additional information and instructions": "",
"Rationale / provide details on the processed data": ""
},
{
"ID": "QI7",
"Question": "Is the availability of the product relevant for its operational environment?",
"Answer 1": "",
"Additional Question": "",
"Answer 2": "",
"Additional information and instructions": "",
"Rationale / provide details on the processed data": ""
},
{
"ID": "QI8",
"Question": "Can a loss of availability allow an attacker access to assets of the customer (including physical access not detected by the &lt;&lt; OEM Name &gt;&gt; product)? Example: The product is used for access control.",
"Answer 1": "",
"Additional Question": "",
"Answer 2": "",
"Additional information and instructions": "",
"Rationale / provide details on the processed data": ""
},
{
"ID": "QI9",
"Question": "Can a loss of availability cause contract-related fines (e.g., based on a service level agreement)?",
"Answer 1": "",
"Additional Question": "",
"Answer 2": "",
"Additional information and instructions": "",
"Rationale / provide details on the processed data": ""
},
{
"ID": "QI10",
"Question": "Can a manipulated product (or its communication) endanger the health of people? Also consider cases where the product is used against its intended use or misconfigured!",
"Answer 1": "",
"Additional Question": "",
"Answer 2": "",
"Additional information and instructions": "",
"Rationale / provide details on the processed data": ""
},
{
"ID": "QI11",
"Question": "Can a manipulated product disclose personal data to an attacker? Also consider cases where the product is used against its intended use or misconfigured!",
"Answer 1": "",
"Additional Question": "",
"Answer 2": "",
"Additional information and instructions": "",
"Rationale / provide details on the processed data": ""
},
{
"ID": "QI12",
"Question": "Can a manipulated product disclose intellectual property to an attacker? Also consider cases where the product is used against its intended use or misconfigured!  Note that this includes both &lt;&lt; OEM Name &gt;&gt; and customer IP.",
"Answer 1": "",
"Additional Question": "",
"Answer 2": "",
"Additional information and instructions": "",
"Rationale / provide details on the processed data": ""
},
{
"ID": "QI13",
"Question": "Can a manipulated product disclose credentials / cryptographic material to an attacker? Also consider cases where the product does not disclose the material but misuses its access to other systems! (E.g., product contains access credentials to store data on a server.)",
"Answer 1": "",
"Additional Question": "",
"Answer 2": "",
"Additional information and instructions": "",
"Rationale / provide details on the processed data": ""
},
{
"ID": "QI14",
"Question": "Can a manipulated product affect the operation of its operational environment?",
"Answer 1": "",
"Additional Question": "",
"Answer 2": "",
"Additional information and instructions": "",
"Rationale / provide details on the processed data": ""
},
{
"ID": "QI15",
"Question": "Can a manipulated product allow an attacker access to assets of the customer or allow the attacker to attack the customer's network?",
"Answer 1": "",
"Additional Question": "",
"Answer 2": "",
"Additional information and instructions": "",
"Rationale / provide details on the processed data": ""
},
{
"ID": "QI16",
"Question": "Can a manipulated product cause contract-related / legal fines? (Note that this concerns individual obligations, not the standard product warranty).",
"Answer 1": "",
"Additional Question": "",
"Answer 2": "",
"Additional information and instructions": "",
"Rationale / provide details on the processed data": ""
},
{
"ID": "QA1",
"Question": "Does the product have any connectivity?",
"Answer 1": "",
"Additional Question": "",
"Answer 2": "",
"Additional information and instructions": "",
"Rationale / provide details on the processed data": ""
},
{
"ID": "QA2",
"Question": "Does the product connect two networks to each other (e.g., as a gateway)?",
"Answer 1": "",
"Additional Question": "",
"Answer 2": "",
"Additional information and instructions": "",
"Rationale / provide details on the processed data": ""
},
{
"ID": "QA3",
"Question": "Does the product have a point-to-point connection to another device?",
"Answer 1": "",
"Additional Question": "",
"Answer 2": "",
"Additional information and instructions": "",
"Rationale / provide details on the processed data": ""
},
{
"ID": "QA4",
"Question": "Does the product have a direct connection to a local network?",
"Answer 1": "",
"Additional Question": "",
"Answer 2": "",
"Additional information and instructions": "",
"Rationale / provide details on the processed data": ""
},
{
"ID": "QA5",
"Question": "Does the product support wireless connections?",
"Answer 1": "",
"Additional Question": "",
"Answer 2": "",
"Additional information and instructions": "",
"Rationale / provide details on the processed data": ""
},
{
"ID": "QA6",
"Question": "Does the product have a direct connection to a mobile network / the Internet?",
"Answer 1": "",
"Additional Question": "",
"Answer 2": "",
"Additional information and instructions": "",
"Rationale / provide details on the processed data": ""
},
{
"ID": "QA7",
"Question": "Does the product offer services to other entities on the network?",
"Answer 1": "",
"Additional Question": "",
"Answer 2": "",
"Additional information and instructions": "",
"Rationale / provide details on the processed data": ""
},
{
"ID": "QA8",
"Question": "Does the product offer a configuration interface?",
"Answer 1": "",
"Additional Question": "",
"Answer 2": "",
"Additional information and instructions": "",
"Rationale / provide details on the processed data": ""
},
{
"ID": "QA9",
"Question": "Does the product have an IP stack (or another routable protocol)?",
"Answer 1": "",
"Additional Question": "",
"Answer 2": "",
"Additional information and instructions": "",
"Rationale / provide details on the processed data": ""
},
{
"ID": "QA10a",
"Question": "Does the product communicate with an external system locally (e.g., a USB stick, an SD card, an RFID tag)?",
"Answer 1": "",
"Additional Question": "",
"Answer 2": "",
"Additional information and instructions": "",
"Rationale / provide details on the processed data": ""
},
{
"ID": "QA10b",
"Question": "Does the product communicate with an external system on the Internet (e.g., an untrusted 3rd party backend, a &lt;&lt; OEM Name &gt;&gt; cloud service, a &lt;&lt; OEM Name &gt;&gt; server system)?",
"Answer 1": "",
"Additional Question": "",
"Answer 2": "",
"Additional information and instructions": "",
"Rationale / provide details on the processed data": ""
},
{
"ID": "QA11a",
"Question": "Can the product's software be updated over an interface?",
"Answer 1": "",
"Additional Question": "",
"Answer 2": "",
"Additional information and instructions": "",
"Rationale / provide details on the processed data": ""
},
{
"ID": "QA11b",
"Question": "Are software updates in the field (regularly or event-based) planned?",
"Answer 1": "",
"Additional Question": "",
"Answer 2": "",
"Additional information and instructions": "",
"Rationale / provide details on the processed data": ""
},
{
"ID": "QA12",
"Question": "Does the product have a logical connection to a local network over a gateway?",
"Answer 1": "",
"Additional Question": "",
"Answer 2": "",
"Additional information and instructions": "",
"Rationale / provide details on the processed data": ""
},
{
"ID": "QA13",
"Question": "Does the product have a logical connection to a wireless network over a gateway?",
"Answer 1": "",
"Additional Question": "",
"Answer 2": "",
"Additional information and instructions": "",
"Rationale / provide details on the processed data": ""
},
{
"ID": "QA14",
"Question": "Is the product typically installed in a physically accessible position?",
"Answer 1": "",
"Additional Question": "",
"Answer 2": "",
"Additional information and instructions": "",
"Rationale / provide details on the processed data": ""
},
{
"ID": "QA15",
"Question": "Is the product typically installed in an operational environment with public access?",
"Answer 1": "",
"Additional Question": "",
"Answer 2": "",
"Additional information and instructions": "",
"Rationale / provide details on the processed data": ""
},
{
"ID": "QA16",
"Question": "Are the product's physical connections (such as attached bus cables) typically installed in an environment with public access?",
"Answer 1": "",
"Additional Question": "",
"Answer 2": "",
"Additional information and instructions": "",
"Rationale / provide details on the processed data": ""
},
{
"ID": "QA17",
"Question": "Does the product have debug / development interfaces (e.g., JTAG, root access over ssh)?",
"Answer 1": "",
"Additional Question": "",
"Answer 2": "",
"Additional information and instructions": "",
"Rationale / provide details on the processed data": ""
},
{
"ID": "QA18",
"Question": "Is the product produced in a secure environment?",
"Answer 1": "",
"Additional Question": "",
"Answer 2": "",
"Additional information and instructions": "",
"Rationale / provide details on the processed data": ""
},
{
"ID": "QA19",
"Question": "Are the supply chain partners trustworthy and protected against attacks?",
"Answer 1": "",
"Additional Question": "",
"Answer 2": "",
"Additional information and instructions": "",
"Rationale / provide details on the processed data": ""
},
{
"ID": "QA20",
"Question": "What is the product's expected lifetime?",
"Answer 1": "",
"Additional Question": "",
"Answer 2": "",
"Additional information and instructions": "",
"Rationale / provide details on the processed data": ""
},
{
"ID": "QA21",
"Question": "What is the product's planned support duration?",
"Answer 1": "",
"Additional Question": "",
"Answer 2": "",
"Additional information and instructions": "",
"Rationale / provide details on the processed data": ""
},
]
},
</v>
      </c>
      <c r="F3" s="2" t="str">
        <f>""</f>
        <v/>
      </c>
    </row>
    <row r="4" spans="1:8" hidden="1" x14ac:dyDescent="0.25"/>
    <row r="5" spans="1:8" x14ac:dyDescent="0.25">
      <c r="B5" s="80" t="str" cm="1">
        <f t="array" aca="1" ref="B5"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HYPERLINK("#'"&amp;Helper!$G$2&amp;"'!"&amp;CHAR(CODE("A")+COLUMN(_xlpm._columnNameHeader)-1)&amp;_xlpm._entryOffset,Definitions!$AY$4)))(Helper!$G$19,B$6,README!$E:$E,README!$I$35,README!$B$35)</f>
        <v>◈</v>
      </c>
      <c r="C5" s="80" t="str" cm="1">
        <f t="array" aca="1" ref="C5"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HYPERLINK("#'"&amp;Helper!$G$2&amp;"'!"&amp;CHAR(CODE("A")+COLUMN(_xlpm._columnNameHeader)-1)&amp;_xlpm._entryOffset,Definitions!$AY$4)))(Helper!$G$19,C$6,README!$E:$E,README!$I$35,README!$B$35)</f>
        <v>◈</v>
      </c>
    </row>
    <row r="6" spans="1:8" ht="21" x14ac:dyDescent="0.35">
      <c r="A6" s="84" t="s">
        <v>1155</v>
      </c>
      <c r="B6" s="69" t="s">
        <v>388</v>
      </c>
      <c r="C6" s="69" t="s">
        <v>1173</v>
      </c>
    </row>
    <row r="7" spans="1:8" x14ac:dyDescent="0.25">
      <c r="B7" s="12" t="str">
        <f ca="1">_xlfn.LET(
_xlpm._sheetName,OFFSET(Definitions!$BA$3,ROW()-ROW($B$6),0),
IF(_xlpm._sheetName="","",_xlpm._sheetName))</f>
        <v>Questionnaire</v>
      </c>
      <c r="C7" s="12" t="str" cm="1">
        <f t="array" aca="1" ref="C7" ca="1">_xlfn.LET(
_xlpm._delimiter,","&amp;CHAR(10),
_xlpm._isLast,AND($B7&lt;&gt;"",OFFSET($B7,1,0)=""),
_xlpm._result,JSONParseSheets(ROW()-ROW($C$6),Definitions!$BA$3,Definitions!$BB$3,Definitions!$BC$3,Definitions!$BD$3,$B$1,$B$2,$B$3,_xlpm._delimiter),
SUBSTITUTE(IF(_xlpm._isLast,RemoveDelimiter(_xlpm._result,_xlpm._delimiter),_xlpm._result),","&amp;CHAR(10)&amp;CHAR(10)&amp;"]",CHAR(10)&amp;"]"))</f>
        <v xml:space="preserve">{
"Questionnaire": [
{
"ID": "QI1",
"Question": "Does the product have / support cameras or other sensors that can potentially identify people? (Regarding 'supporting a camera / sensor': only answer with Yes if attaching a camera / sensor is in the intended or foreseeable use of the product.)",
"Answer 1": "",
"Additional Question": "",
"Answer 2": "",
"Additional information and instructions": "",
"Rationale / provide details on the processed data": ""
},
{
"ID": "QI2",
"Question": "Does the product process personal data? Examples: address labels",
"Answer 1": "",
"Additional Question": "",
"Answer 2": "",
"Additional information and instructions": "",
"Rationale / provide details on the processed data": ""
},
{
"ID": "QI3",
"Question": "Does the product contain &lt;&lt; OEM Name &gt;&gt; or customer intellectual property? Note: Only IP which is part of / accessible by the firmware / software in the product is in scope of this question. Gaining access to optical and mechanical IP are not covered by this question (and the cybersecurity risk analysis)",
"Answer 1": "",
"Additional Question": "",
"Answer 2": "",
"Additional information and instructions": "",
"Rationale / provide details on the processed data": ""
},
{
"ID": "QI4",
"Question": "Is &lt;&lt; OEM Name &gt;&gt; (typically) obliged to keep the processed / stored data (including third-party IP) confidential by contract or law? (Note that this concerns individual obligations, not the standard product warranty).",
"Answer 1": "",
"Additional Question": "",
"Answer 2": "",
"Additional information and instructions": "",
"Rationale / provide details on the processed data": ""
},
{
"ID": "QI5",
"Question": "Does the product contain credentials / cryptographic keys that allow access to sensitive data or to systems in the product's operational environment? (Note: this includes cryptographic data introduced by the customer.)",
"Answer 1": "",
"Additional Question": "",
"Answer 2": "",
"Additional information and instructions": "",
"Rationale / provide details on the processed data": ""
},
{
"ID": "QI6",
"Question": "Can a loss of availability of the product (or its communication) endanger the health of people? (Consider how the operational environment reacts to a loss of availability of the product.)",
"Answer 1": "",
"Additional Question": "",
"Answer 2": "",
"Additional information and instructions": "",
"Rationale / provide details on the processed data": ""
},
{
"ID": "QI7",
"Question": "Is the availability of the product relevant for its operational environment?",
"Answer 1": "",
"Additional Question": "",
"Answer 2": "",
"Additional information and instructions": "",
"Rationale / provide details on the processed data": ""
},
{
"ID": "QI8",
"Question": "Can a loss of availability allow an attacker access to assets of the customer (including physical access not detected by the &lt;&lt; OEM Name &gt;&gt; product)? Example: The product is used for access control.",
"Answer 1": "",
"Additional Question": "",
"Answer 2": "",
"Additional information and instructions": "",
"Rationale / provide details on the processed data": ""
},
{
"ID": "QI9",
"Question": "Can a loss of availability cause contract-related fines (e.g., based on a service level agreement)?",
"Answer 1": "",
"Additional Question": "",
"Answer 2": "",
"Additional information and instructions": "",
"Rationale / provide details on the processed data": ""
},
{
"ID": "QI10",
"Question": "Can a manipulated product (or its communication) endanger the health of people? Also consider cases where the product is used against its intended use or misconfigured!",
"Answer 1": "",
"Additional Question": "",
"Answer 2": "",
"Additional information and instructions": "",
"Rationale / provide details on the processed data": ""
},
{
"ID": "QI11",
"Question": "Can a manipulated product disclose personal data to an attacker? Also consider cases where the product is used against its intended use or misconfigured!",
"Answer 1": "",
"Additional Question": "",
"Answer 2": "",
"Additional information and instructions": "",
"Rationale / provide details on the processed data": ""
},
{
"ID": "QI12",
"Question": "Can a manipulated product disclose intellectual property to an attacker? Also consider cases where the product is used against its intended use or misconfigured!  Note that this includes both &lt;&lt; OEM Name &gt;&gt; and customer IP.",
"Answer 1": "",
"Additional Question": "",
"Answer 2": "",
"Additional information and instructions": "",
"Rationale / provide details on the processed data": ""
},
{
"ID": "QI13",
"Question": "Can a manipulated product disclose credentials / cryptographic material to an attacker? Also consider cases where the product does not disclose the material but misuses its access to other systems! (E.g., product contains access credentials to store data on a server.)",
"Answer 1": "",
"Additional Question": "",
"Answer 2": "",
"Additional information and instructions": "",
"Rationale / provide details on the processed data": ""
},
{
"ID": "QI14",
"Question": "Can a manipulated product affect the operation of its operational environment?",
"Answer 1": "",
"Additional Question": "",
"Answer 2": "",
"Additional information and instructions": "",
"Rationale / provide details on the processed data": ""
},
{
"ID": "QI15",
"Question": "Can a manipulated product allow an attacker access to assets of the customer or allow the attacker to attack the customer's network?",
"Answer 1": "",
"Additional Question": "",
"Answer 2": "",
"Additional information and instructions": "",
"Rationale / provide details on the processed data": ""
},
{
"ID": "QI16",
"Question": "Can a manipulated product cause contract-related / legal fines? (Note that this concerns individual obligations, not the standard product warranty).",
"Answer 1": "",
"Additional Question": "",
"Answer 2": "",
"Additional information and instructions": "",
"Rationale / provide details on the processed data": ""
},
{
"ID": "QA1",
"Question": "Does the product have any connectivity?",
"Answer 1": "",
"Additional Question": "",
"Answer 2": "",
"Additional information and instructions": "",
"Rationale / provide details on the processed data": ""
},
{
"ID": "QA2",
"Question": "Does the product connect two networks to each other (e.g., as a gateway)?",
"Answer 1": "",
"Additional Question": "",
"Answer 2": "",
"Additional information and instructions": "",
"Rationale / provide details on the processed data": ""
},
{
"ID": "QA3",
"Question": "Does the product have a point-to-point connection to another device?",
"Answer 1": "",
"Additional Question": "",
"Answer 2": "",
"Additional information and instructions": "",
"Rationale / provide details on the processed data": ""
},
{
"ID": "QA4",
"Question": "Does the product have a direct connection to a local network?",
"Answer 1": "",
"Additional Question": "",
"Answer 2": "",
"Additional information and instructions": "",
"Rationale / provide details on the processed data": ""
},
{
"ID": "QA5",
"Question": "Does the product support wireless connections?",
"Answer 1": "",
"Additional Question": "",
"Answer 2": "",
"Additional information and instructions": "",
"Rationale / provide details on the processed data": ""
},
{
"ID": "QA6",
"Question": "Does the product have a direct connection to a mobile network / the Internet?",
"Answer 1": "",
"Additional Question": "",
"Answer 2": "",
"Additional information and instructions": "",
"Rationale / provide details on the processed data": ""
},
{
"ID": "QA7",
"Question": "Does the product offer services to other entities on the network?",
"Answer 1": "",
"Additional Question": "",
"Answer 2": "",
"Additional information and instructions": "",
"Rationale / provide details on the processed data": ""
},
{
"ID": "QA8",
"Question": "Does the product offer a configuration interface?",
"Answer 1": "",
"Additional Question": "",
"Answer 2": "",
"Additional information and instructions": "",
"Rationale / provide details on the processed data": ""
},
{
"ID": "QA9",
"Question": "Does the product have an IP stack (or another routable protocol)?",
"Answer 1": "",
"Additional Question": "",
"Answer 2": "",
"Additional information and instructions": "",
"Rationale / provide details on the processed data": ""
},
{
"ID": "QA10a",
"Question": "Does the product communicate with an external system locally (e.g., a USB stick, an SD card, an RFID tag)?",
"Answer 1": "",
"Additional Question": "",
"Answer 2": "",
"Additional information and instructions": "",
"Rationale / provide details on the processed data": ""
},
{
"ID": "QA10b",
"Question": "Does the product communicate with an external system on the Internet (e.g., an untrusted 3rd party backend, a &lt;&lt; OEM Name &gt;&gt; cloud service, a &lt;&lt; OEM Name &gt;&gt; server system)?",
"Answer 1": "",
"Additional Question": "",
"Answer 2": "",
"Additional information and instructions": "",
"Rationale / provide details on the processed data": ""
},
{
"ID": "QA11a",
"Question": "Can the product's software be updated over an interface?",
"Answer 1": "",
"Additional Question": "",
"Answer 2": "",
"Additional information and instructions": "",
"Rationale / provide details on the processed data": ""
},
{
"ID": "QA11b",
"Question": "Are software updates in the field (regularly or event-based) planned?",
"Answer 1": "",
"Additional Question": "",
"Answer 2": "",
"Additional information and instructions": "",
"Rationale / provide details on the processed data": ""
},
{
"ID": "QA12",
"Question": "Does the product have a logical connection to a local network over a gateway?",
"Answer 1": "",
"Additional Question": "",
"Answer 2": "",
"Additional information and instructions": "",
"Rationale / provide details on the processed data": ""
},
{
"ID": "QA13",
"Question": "Does the product have a logical connection to a wireless network over a gateway?",
"Answer 1": "",
"Additional Question": "",
"Answer 2": "",
"Additional information and instructions": "",
"Rationale / provide details on the processed data": ""
},
{
"ID": "QA14",
"Question": "Is the product typically installed in a physically accessible position?",
"Answer 1": "",
"Additional Question": "",
"Answer 2": "",
"Additional information and instructions": "",
"Rationale / provide details on the processed data": ""
},
{
"ID": "QA15",
"Question": "Is the product typically installed in an operational environment with public access?",
"Answer 1": "",
"Additional Question": "",
"Answer 2": "",
"Additional information and instructions": "",
"Rationale / provide details on the processed data": ""
},
{
"ID": "QA16",
"Question": "Are the product's physical connections (such as attached bus cables) typically installed in an environment with public access?",
"Answer 1": "",
"Additional Question": "",
"Answer 2": "",
"Additional information and instructions": "",
"Rationale / provide details on the processed data": ""
},
{
"ID": "QA17",
"Question": "Does the product have debug / development interfaces (e.g., JTAG, root access over ssh)?",
"Answer 1": "",
"Additional Question": "",
"Answer 2": "",
"Additional information and instructions": "",
"Rationale / provide details on the processed data": ""
},
{
"ID": "QA18",
"Question": "Is the product produced in a secure environment?",
"Answer 1": "",
"Additional Question": "",
"Answer 2": "",
"Additional information and instructions": "",
"Rationale / provide details on the processed data": ""
},
{
"ID": "QA19",
"Question": "Are the supply chain partners trustworthy and protected against attacks?",
"Answer 1": "",
"Additional Question": "",
"Answer 2": "",
"Additional information and instructions": "",
"Rationale / provide details on the processed data": ""
},
{
"ID": "QA20",
"Question": "What is the product's expected lifetime?",
"Answer 1": "",
"Additional Question": "",
"Answer 2": "",
"Additional information and instructions": "",
"Rationale / provide details on the processed data": ""
},
{
"ID": "QA21",
"Question": "What is the product's planned support duration?",
"Answer 1": "",
"Additional Question": "",
"Answer 2": "",
"Additional information and instructions": "",
"Rationale / provide details on the processed data": ""
}
]
},
</v>
      </c>
      <c r="D7" s="2" t="str">
        <f>""</f>
        <v/>
      </c>
    </row>
    <row r="8" spans="1:8" x14ac:dyDescent="0.25">
      <c r="B8" s="12" t="str">
        <f ca="1">_xlfn.LET(
_xlpm._sheetName,OFFSET(Definitions!$BA$3,ROW()-ROW($B$6),0),
IF(_xlpm._sheetName="","",_xlpm._sheetName))</f>
        <v>Risk Treatment</v>
      </c>
      <c r="C8" s="12" t="str" cm="1">
        <f t="array" aca="1" ref="C8" ca="1">_xlfn.LET(
_xlpm._delimiter,","&amp;CHAR(10),
_xlpm._isLast,AND($B8&lt;&gt;"",OFFSET($B8,1,0)=""),
_xlpm._result,JSONParseSheets(ROW()-ROW($C$6),Definitions!$BA$3,Definitions!$BB$3,Definitions!$BC$3,Definitions!$BD$3,$B$1,$B$2,$B$3,_xlpm._delimiter),
SUBSTITUTE(IF(_xlpm._isLast,RemoveDelimiter(_xlpm._result,_xlpm._delimiter),_xlpm._result),","&amp;CHAR(10)&amp;CHAR(10)&amp;"]",CHAR(10)&amp;"]"))</f>
        <v xml:space="preserve">{
"Risk Treatment": [
]
},
</v>
      </c>
      <c r="D8" s="2" t="str">
        <f>""</f>
        <v/>
      </c>
    </row>
    <row r="9" spans="1:8" x14ac:dyDescent="0.25">
      <c r="B9" s="12" t="str">
        <f ca="1">_xlfn.LET(
_xlpm._sheetName,OFFSET(Definitions!$BA$3,ROW()-ROW($B$6),0),
IF(_xlpm._sheetName="","",_xlpm._sheetName))</f>
        <v>Result</v>
      </c>
      <c r="C9" s="12" t="str" cm="1">
        <f t="array" aca="1" ref="C9" ca="1">_xlfn.LET(
_xlpm._delimiter,","&amp;CHAR(10),
_xlpm._isLast,AND($B9&lt;&gt;"",OFFSET($B9,1,0)=""),
_xlpm._result,JSONParseSheets(ROW()-ROW($C$6),Definitions!$BA$3,Definitions!$BB$3,Definitions!$BC$3,Definitions!$BD$3,$B$1,$B$2,$B$3,_xlpm._delimiter),
SUBSTITUTE(IF(_xlpm._isLast,RemoveDelimiter(_xlpm._result,_xlpm._delimiter),_xlpm._result),","&amp;CHAR(10)&amp;CHAR(10)&amp;"]",CHAR(10)&amp;"]"))</f>
        <v>{
"Result": [
{
"ID": "A21",
"Name": "SDR 2.7 - Scope for customer-based attacks",
"Stakeholder": "&lt;&lt; OEM Name &gt;&gt;"
},
{
"ID": "A30",
"Name": "SDR 1.19 - Physical destruction",
"Stakeholder": "Other (see comment)"
},
{
"ID": "A34",
"Name": "SDR 2.10 - The product is delivered with a secure by default configuration",
"Stakeholder": "&lt;&lt; OEM Name &gt;&gt;"
},
{
"ID": "A38",
"Name": "SDR 1.20 - Least privilege for provided credentials",
"Stakeholder": "Customer"
},
{
"ID": "C0",
"Name": "CR 7.8 - Control system component inventory",
"Stakeholder": "&lt;&lt; OEM Name &gt;&gt;"
},
{
"ID": "DR1",
"Name": "Required product documentation",
"Stakeholder": "&lt;&lt; OEM Name &gt;&gt;"
},
{
"ID": "C13",
"Name": "CR 3.3 – Security functionality verification",
"Stakeholder": "&lt;&lt; OEM Name &gt;&gt;"
},
{
"ID": "C15",
"Name": "CR 3.5 – Input validation",
"Stakeholder": "&lt;&lt; OEM Name &gt;&gt;"
},
{
"ID": "C24",
"Name": "CR 7.7 – Least functionality",
"Stakeholder": "&lt;&lt; OEM Name &gt;&gt;"
},
{
"ID": "C33",
"Name": "SCR 1.1 - Processed personal data",
"Stakeholder": "&lt;&lt; OEM Name &gt;&gt;"
},
{
"ID": "C34",
"Name": "SCR 1.2 - Telemetry data",
"Stakeholder": "&lt;&lt; OEM Name &gt;&gt;"
}
]
}</v>
      </c>
      <c r="D9" s="2" t="str">
        <f>""</f>
        <v/>
      </c>
    </row>
    <row r="10" spans="1:8" x14ac:dyDescent="0.25">
      <c r="B10" s="9" t="str">
        <f ca="1">_xlfn.LET(
_xlpm._sheetName,OFFSET(Definitions!$BA$3,ROW()-ROW($B$6),0),
IF(_xlpm._sheetName="","",_xlpm._sheetName))</f>
        <v/>
      </c>
      <c r="C10" s="12" t="str" cm="1">
        <f t="array" aca="1" ref="C10" ca="1">_xlfn.LET(
_xlpm._delimiter,","&amp;CHAR(10),
_xlpm._isLast,AND($B10&lt;&gt;"",OFFSET($B10,1,0)=""),
_xlpm._result,JSONParseSheets(ROW()-ROW($C$6),Definitions!$BA$3,Definitions!$BB$3,Definitions!$BC$3,Definitions!$BD$3,$B$1,$B$2,$B$3,_xlpm._delimiter),
SUBSTITUTE(IF(_xlpm._isLast,RemoveDelimiter(_xlpm._result,_xlpm._delimiter),_xlpm._result),","&amp;CHAR(10)&amp;CHAR(10)&amp;"]",CHAR(10)&amp;"]"))</f>
        <v/>
      </c>
      <c r="D10" s="2" t="str">
        <f>""</f>
        <v/>
      </c>
    </row>
    <row r="11" spans="1:8" x14ac:dyDescent="0.25">
      <c r="B11" s="9" t="str">
        <f ca="1">_xlfn.LET(
_xlpm._sheetName,OFFSET(Definitions!$BA$3,ROW()-ROW($B$6),0),
IF(_xlpm._sheetName="","",_xlpm._sheetName))</f>
        <v/>
      </c>
      <c r="C11" s="12" t="str" cm="1">
        <f t="array" aca="1" ref="C11" ca="1">_xlfn.LET(
_xlpm._delimiter,","&amp;CHAR(10),
_xlpm._isLast,AND($B11&lt;&gt;"",OFFSET($B11,1,0)=""),
_xlpm._result,JSONParseSheets(ROW()-ROW($C$6),Definitions!$BA$3,Definitions!$BB$3,Definitions!$BC$3,Definitions!$BD$3,$B$1,$B$2,$B$3,_xlpm._delimiter),
SUBSTITUTE(IF(_xlpm._isLast,RemoveDelimiter(_xlpm._result,_xlpm._delimiter),_xlpm._result),","&amp;CHAR(10)&amp;CHAR(10)&amp;"]",CHAR(10)&amp;"]"))</f>
        <v/>
      </c>
      <c r="D11" s="2" t="str">
        <f>""</f>
        <v/>
      </c>
    </row>
    <row r="12" spans="1:8" x14ac:dyDescent="0.25">
      <c r="B12" s="9" t="str">
        <f ca="1">_xlfn.LET(
_xlpm._sheetName,OFFSET(Definitions!$BA$3,ROW()-ROW($B$6),0),
IF(_xlpm._sheetName="","",_xlpm._sheetName))</f>
        <v/>
      </c>
      <c r="C12" s="12" t="str" cm="1">
        <f t="array" aca="1" ref="C12" ca="1">_xlfn.LET(
_xlpm._delimiter,","&amp;CHAR(10),
_xlpm._isLast,AND($B12&lt;&gt;"",OFFSET($B12,1,0)=""),
_xlpm._result,JSONParseSheets(ROW()-ROW($C$6),Definitions!$BA$3,Definitions!$BB$3,Definitions!$BC$3,Definitions!$BD$3,$B$1,$B$2,$B$3,_xlpm._delimiter),
SUBSTITUTE(IF(_xlpm._isLast,RemoveDelimiter(_xlpm._result,_xlpm._delimiter),_xlpm._result),","&amp;CHAR(10)&amp;CHAR(10)&amp;"]",CHAR(10)&amp;"]"))</f>
        <v/>
      </c>
      <c r="D12" s="2" t="str">
        <f>""</f>
        <v/>
      </c>
    </row>
    <row r="13" spans="1:8" x14ac:dyDescent="0.25">
      <c r="B13" s="9" t="str">
        <f ca="1">_xlfn.LET(
_xlpm._sheetName,OFFSET(Definitions!$BA$3,ROW()-ROW($B$6),0),
IF(_xlpm._sheetName="","",_xlpm._sheetName))</f>
        <v/>
      </c>
      <c r="C13" s="12" t="str" cm="1">
        <f t="array" aca="1" ref="C13" ca="1">_xlfn.LET(
_xlpm._delimiter,","&amp;CHAR(10),
_xlpm._isLast,AND($B13&lt;&gt;"",OFFSET($B13,1,0)=""),
_xlpm._result,JSONParseSheets(ROW()-ROW($C$6),Definitions!$BA$3,Definitions!$BB$3,Definitions!$BC$3,Definitions!$BD$3,$B$1,$B$2,$B$3,_xlpm._delimiter),
SUBSTITUTE(IF(_xlpm._isLast,RemoveDelimiter(_xlpm._result,_xlpm._delimiter),_xlpm._result),","&amp;CHAR(10)&amp;CHAR(10)&amp;"]",CHAR(10)&amp;"]"))</f>
        <v/>
      </c>
      <c r="D13" s="2" t="str">
        <f>""</f>
        <v/>
      </c>
    </row>
    <row r="14" spans="1:8" x14ac:dyDescent="0.25">
      <c r="B14" s="9" t="str">
        <f ca="1">_xlfn.LET(
_xlpm._sheetName,OFFSET(Definitions!$BA$3,ROW()-ROW($B$6),0),
IF(_xlpm._sheetName="","",_xlpm._sheetName))</f>
        <v/>
      </c>
      <c r="C14" s="12" t="str" cm="1">
        <f t="array" aca="1" ref="C14" ca="1">_xlfn.LET(
_xlpm._delimiter,","&amp;CHAR(10),
_xlpm._isLast,AND($B14&lt;&gt;"",OFFSET($B14,1,0)=""),
_xlpm._result,JSONParseSheets(ROW()-ROW($C$6),Definitions!$BA$3,Definitions!$BB$3,Definitions!$BC$3,Definitions!$BD$3,$B$1,$B$2,$B$3,_xlpm._delimiter),
SUBSTITUTE(IF(_xlpm._isLast,RemoveDelimiter(_xlpm._result,_xlpm._delimiter),_xlpm._result),","&amp;CHAR(10)&amp;CHAR(10)&amp;"]",CHAR(10)&amp;"]"))</f>
        <v/>
      </c>
      <c r="D14" s="2" t="str">
        <f>""</f>
        <v/>
      </c>
    </row>
    <row r="15" spans="1:8" x14ac:dyDescent="0.25">
      <c r="B15" s="9" t="str">
        <f ca="1">_xlfn.LET(
_xlpm._sheetName,OFFSET(Definitions!$BA$3,ROW()-ROW($B$6),0),
IF(_xlpm._sheetName="","",_xlpm._sheetName))</f>
        <v/>
      </c>
      <c r="C15" s="12" t="str" cm="1">
        <f t="array" aca="1" ref="C15" ca="1">_xlfn.LET(
_xlpm._delimiter,","&amp;CHAR(10),
_xlpm._isLast,AND($B15&lt;&gt;"",OFFSET($B15,1,0)=""),
_xlpm._result,JSONParseSheets(ROW()-ROW($C$6),Definitions!$BA$3,Definitions!$BB$3,Definitions!$BC$3,Definitions!$BD$3,$B$1,$B$2,$B$3,_xlpm._delimiter),
SUBSTITUTE(IF(_xlpm._isLast,RemoveDelimiter(_xlpm._result,_xlpm._delimiter),_xlpm._result),","&amp;CHAR(10)&amp;CHAR(10)&amp;"]",CHAR(10)&amp;"]"))</f>
        <v/>
      </c>
      <c r="D15" s="2" t="str">
        <f>""</f>
        <v/>
      </c>
    </row>
    <row r="16" spans="1:8" x14ac:dyDescent="0.25">
      <c r="B16" s="9" t="str">
        <f ca="1">_xlfn.LET(
_xlpm._sheetName,OFFSET(Definitions!$BA$3,ROW()-ROW($B$6),0),
IF(_xlpm._sheetName="","",_xlpm._sheetName))</f>
        <v/>
      </c>
      <c r="C16" s="12" t="str" cm="1">
        <f t="array" aca="1" ref="C16" ca="1">_xlfn.LET(
_xlpm._delimiter,","&amp;CHAR(10),
_xlpm._isLast,AND($B16&lt;&gt;"",OFFSET($B16,1,0)=""),
_xlpm._result,JSONParseSheets(ROW()-ROW($C$6),Definitions!$BA$3,Definitions!$BB$3,Definitions!$BC$3,Definitions!$BD$3,$B$1,$B$2,$B$3,_xlpm._delimiter),
SUBSTITUTE(IF(_xlpm._isLast,RemoveDelimiter(_xlpm._result,_xlpm._delimiter),_xlpm._result),","&amp;CHAR(10)&amp;CHAR(10)&amp;"]",CHAR(10)&amp;"]"))</f>
        <v/>
      </c>
      <c r="D16" s="2" t="str">
        <f>""</f>
        <v/>
      </c>
    </row>
    <row r="17" spans="2:4" x14ac:dyDescent="0.25">
      <c r="B17" s="9" t="str">
        <f ca="1">_xlfn.LET(
_xlpm._sheetName,OFFSET(Definitions!$BA$3,ROW()-ROW($B$6),0),
IF(_xlpm._sheetName="","",_xlpm._sheetName))</f>
        <v/>
      </c>
      <c r="C17" s="12" t="str" cm="1">
        <f t="array" aca="1" ref="C17" ca="1">_xlfn.LET(
_xlpm._delimiter,","&amp;CHAR(10),
_xlpm._isLast,AND($B17&lt;&gt;"",OFFSET($B17,1,0)=""),
_xlpm._result,JSONParseSheets(ROW()-ROW($C$6),Definitions!$BA$3,Definitions!$BB$3,Definitions!$BC$3,Definitions!$BD$3,$B$1,$B$2,$B$3,_xlpm._delimiter),
SUBSTITUTE(IF(_xlpm._isLast,RemoveDelimiter(_xlpm._result,_xlpm._delimiter),_xlpm._result),","&amp;CHAR(10)&amp;CHAR(10)&amp;"]",CHAR(10)&amp;"]"))</f>
        <v/>
      </c>
      <c r="D17" s="2" t="str">
        <f>""</f>
        <v/>
      </c>
    </row>
    <row r="18" spans="2:4" x14ac:dyDescent="0.25">
      <c r="B18" s="9" t="str">
        <f ca="1">_xlfn.LET(
_xlpm._sheetName,OFFSET(Definitions!$BA$3,ROW()-ROW($B$6),0),
IF(_xlpm._sheetName="","",_xlpm._sheetName))</f>
        <v/>
      </c>
      <c r="C18" s="12" t="str" cm="1">
        <f t="array" aca="1" ref="C18" ca="1">_xlfn.LET(
_xlpm._delimiter,","&amp;CHAR(10),
_xlpm._isLast,AND($B18&lt;&gt;"",OFFSET($B18,1,0)=""),
_xlpm._result,JSONParseSheets(ROW()-ROW($C$6),Definitions!$BA$3,Definitions!$BB$3,Definitions!$BC$3,Definitions!$BD$3,$B$1,$B$2,$B$3,_xlpm._delimiter),
SUBSTITUTE(IF(_xlpm._isLast,RemoveDelimiter(_xlpm._result,_xlpm._delimiter),_xlpm._result),","&amp;CHAR(10)&amp;CHAR(10)&amp;"]",CHAR(10)&amp;"]"))</f>
        <v/>
      </c>
      <c r="D18" s="2" t="str">
        <f>""</f>
        <v/>
      </c>
    </row>
    <row r="19" spans="2:4" x14ac:dyDescent="0.25">
      <c r="B19" s="9" t="str">
        <f ca="1">_xlfn.LET(
_xlpm._sheetName,OFFSET(Definitions!$BA$3,ROW()-ROW($B$6),0),
IF(_xlpm._sheetName="","",_xlpm._sheetName))</f>
        <v/>
      </c>
      <c r="C19" s="12" t="str" cm="1">
        <f t="array" aca="1" ref="C19" ca="1">_xlfn.LET(
_xlpm._delimiter,","&amp;CHAR(10),
_xlpm._isLast,AND($B19&lt;&gt;"",OFFSET($B19,1,0)=""),
_xlpm._result,JSONParseSheets(ROW()-ROW($C$6),Definitions!$BA$3,Definitions!$BB$3,Definitions!$BC$3,Definitions!$BD$3,$B$1,$B$2,$B$3,_xlpm._delimiter),
SUBSTITUTE(IF(_xlpm._isLast,RemoveDelimiter(_xlpm._result,_xlpm._delimiter),_xlpm._result),","&amp;CHAR(10)&amp;CHAR(10)&amp;"]",CHAR(10)&amp;"]"))</f>
        <v/>
      </c>
      <c r="D19" s="2" t="str">
        <f>""</f>
        <v/>
      </c>
    </row>
    <row r="20" spans="2:4" x14ac:dyDescent="0.25">
      <c r="B20" s="9" t="str">
        <f ca="1">_xlfn.LET(
_xlpm._sheetName,OFFSET(Definitions!$BA$3,ROW()-ROW($B$6),0),
IF(_xlpm._sheetName="","",_xlpm._sheetName))</f>
        <v/>
      </c>
      <c r="C20" s="12" t="str" cm="1">
        <f t="array" aca="1" ref="C20" ca="1">_xlfn.LET(
_xlpm._delimiter,","&amp;CHAR(10),
_xlpm._isLast,AND($B20&lt;&gt;"",OFFSET($B20,1,0)=""),
_xlpm._result,JSONParseSheets(ROW()-ROW($C$6),Definitions!$BA$3,Definitions!$BB$3,Definitions!$BC$3,Definitions!$BD$3,$B$1,$B$2,$B$3,_xlpm._delimiter),
SUBSTITUTE(IF(_xlpm._isLast,RemoveDelimiter(_xlpm._result,_xlpm._delimiter),_xlpm._result),","&amp;CHAR(10)&amp;CHAR(10)&amp;"]",CHAR(10)&amp;"]"))</f>
        <v/>
      </c>
      <c r="D20" s="2" t="str">
        <f>""</f>
        <v/>
      </c>
    </row>
    <row r="21" spans="2:4" x14ac:dyDescent="0.25">
      <c r="B21" s="9" t="str">
        <f ca="1">_xlfn.LET(
_xlpm._sheetName,OFFSET(Definitions!$BA$3,ROW()-ROW($B$6),0),
IF(_xlpm._sheetName="","",_xlpm._sheetName))</f>
        <v/>
      </c>
      <c r="C21" s="12" t="str" cm="1">
        <f t="array" aca="1" ref="C21" ca="1">_xlfn.LET(
_xlpm._delimiter,","&amp;CHAR(10),
_xlpm._isLast,AND($B21&lt;&gt;"",OFFSET($B21,1,0)=""),
_xlpm._result,JSONParseSheets(ROW()-ROW($C$6),Definitions!$BA$3,Definitions!$BB$3,Definitions!$BC$3,Definitions!$BD$3,$B$1,$B$2,$B$3,_xlpm._delimiter),
SUBSTITUTE(IF(_xlpm._isLast,RemoveDelimiter(_xlpm._result,_xlpm._delimiter),_xlpm._result),","&amp;CHAR(10)&amp;CHAR(10)&amp;"]",CHAR(10)&amp;"]"))</f>
        <v/>
      </c>
      <c r="D21" s="2" t="str">
        <f>""</f>
        <v/>
      </c>
    </row>
    <row r="22" spans="2:4" x14ac:dyDescent="0.25">
      <c r="B22" s="9" t="str">
        <f ca="1">_xlfn.LET(
_xlpm._sheetName,OFFSET(Definitions!$BA$3,ROW()-ROW($B$6),0),
IF(_xlpm._sheetName="","",_xlpm._sheetName))</f>
        <v/>
      </c>
      <c r="C22" s="12" t="str" cm="1">
        <f t="array" aca="1" ref="C22" ca="1">_xlfn.LET(
_xlpm._delimiter,","&amp;CHAR(10),
_xlpm._isLast,AND($B22&lt;&gt;"",OFFSET($B22,1,0)=""),
_xlpm._result,JSONParseSheets(ROW()-ROW($C$6),Definitions!$BA$3,Definitions!$BB$3,Definitions!$BC$3,Definitions!$BD$3,$B$1,$B$2,$B$3,_xlpm._delimiter),
SUBSTITUTE(IF(_xlpm._isLast,RemoveDelimiter(_xlpm._result,_xlpm._delimiter),_xlpm._result),","&amp;CHAR(10)&amp;CHAR(10)&amp;"]",CHAR(10)&amp;"]"))</f>
        <v/>
      </c>
      <c r="D22" s="2" t="str">
        <f>""</f>
        <v/>
      </c>
    </row>
    <row r="23" spans="2:4" x14ac:dyDescent="0.25">
      <c r="B23" s="9" t="str">
        <f ca="1">_xlfn.LET(
_xlpm._sheetName,OFFSET(Definitions!$BA$3,ROW()-ROW($B$6),0),
IF(_xlpm._sheetName="","",_xlpm._sheetName))</f>
        <v/>
      </c>
      <c r="C23" s="12" t="str" cm="1">
        <f t="array" aca="1" ref="C23" ca="1">_xlfn.LET(
_xlpm._delimiter,","&amp;CHAR(10),
_xlpm._isLast,AND($B23&lt;&gt;"",OFFSET($B23,1,0)=""),
_xlpm._result,JSONParseSheets(ROW()-ROW($C$6),Definitions!$BA$3,Definitions!$BB$3,Definitions!$BC$3,Definitions!$BD$3,$B$1,$B$2,$B$3,_xlpm._delimiter),
SUBSTITUTE(IF(_xlpm._isLast,RemoveDelimiter(_xlpm._result,_xlpm._delimiter),_xlpm._result),","&amp;CHAR(10)&amp;CHAR(10)&amp;"]",CHAR(10)&amp;"]"))</f>
        <v/>
      </c>
      <c r="D23" s="2" t="str">
        <f>""</f>
        <v/>
      </c>
    </row>
    <row r="24" spans="2:4" x14ac:dyDescent="0.25">
      <c r="B24" s="9" t="str">
        <f ca="1">_xlfn.LET(
_xlpm._sheetName,OFFSET(Definitions!$BA$3,ROW()-ROW($B$6),0),
IF(_xlpm._sheetName="","",_xlpm._sheetName))</f>
        <v/>
      </c>
      <c r="C24" s="12" t="str" cm="1">
        <f t="array" aca="1" ref="C24" ca="1">_xlfn.LET(
_xlpm._delimiter,","&amp;CHAR(10),
_xlpm._isLast,AND($B24&lt;&gt;"",OFFSET($B24,1,0)=""),
_xlpm._result,JSONParseSheets(ROW()-ROW($C$6),Definitions!$BA$3,Definitions!$BB$3,Definitions!$BC$3,Definitions!$BD$3,$B$1,$B$2,$B$3,_xlpm._delimiter),
SUBSTITUTE(IF(_xlpm._isLast,RemoveDelimiter(_xlpm._result,_xlpm._delimiter),_xlpm._result),","&amp;CHAR(10)&amp;CHAR(10)&amp;"]",CHAR(10)&amp;"]"))</f>
        <v/>
      </c>
      <c r="D24" s="2" t="str">
        <f>""</f>
        <v/>
      </c>
    </row>
    <row r="25" spans="2:4" x14ac:dyDescent="0.25">
      <c r="B25" s="9" t="str">
        <f ca="1">_xlfn.LET(
_xlpm._sheetName,OFFSET(Definitions!$BA$3,ROW()-ROW($B$6),0),
IF(_xlpm._sheetName="","",_xlpm._sheetName))</f>
        <v/>
      </c>
      <c r="C25" s="12" t="str" cm="1">
        <f t="array" aca="1" ref="C25" ca="1">_xlfn.LET(
_xlpm._delimiter,","&amp;CHAR(10),
_xlpm._isLast,AND($B25&lt;&gt;"",OFFSET($B25,1,0)=""),
_xlpm._result,JSONParseSheets(ROW()-ROW($C$6),Definitions!$BA$3,Definitions!$BB$3,Definitions!$BC$3,Definitions!$BD$3,$B$1,$B$2,$B$3,_xlpm._delimiter),
SUBSTITUTE(IF(_xlpm._isLast,RemoveDelimiter(_xlpm._result,_xlpm._delimiter),_xlpm._result),","&amp;CHAR(10)&amp;CHAR(10)&amp;"]",CHAR(10)&amp;"]"))</f>
        <v/>
      </c>
      <c r="D25" s="2" t="str">
        <f>""</f>
        <v/>
      </c>
    </row>
    <row r="26" spans="2:4" x14ac:dyDescent="0.25">
      <c r="B26" s="9" t="str">
        <f ca="1">_xlfn.LET(
_xlpm._sheetName,OFFSET(Definitions!$BA$3,ROW()-ROW($B$6),0),
IF(_xlpm._sheetName="","",_xlpm._sheetName))</f>
        <v/>
      </c>
      <c r="C26" s="12" t="str" cm="1">
        <f t="array" aca="1" ref="C26" ca="1">_xlfn.LET(
_xlpm._delimiter,","&amp;CHAR(10),
_xlpm._isLast,AND($B26&lt;&gt;"",OFFSET($B26,1,0)=""),
_xlpm._result,JSONParseSheets(ROW()-ROW($C$6),Definitions!$BA$3,Definitions!$BB$3,Definitions!$BC$3,Definitions!$BD$3,$B$1,$B$2,$B$3,_xlpm._delimiter),
SUBSTITUTE(IF(_xlpm._isLast,RemoveDelimiter(_xlpm._result,_xlpm._delimiter),_xlpm._result),","&amp;CHAR(10)&amp;CHAR(10)&amp;"]",CHAR(10)&amp;"]"))</f>
        <v/>
      </c>
      <c r="D26" s="2" t="str">
        <f>""</f>
        <v/>
      </c>
    </row>
    <row r="27" spans="2:4" x14ac:dyDescent="0.25">
      <c r="B27" s="9" t="str">
        <f ca="1">_xlfn.LET(
_xlpm._sheetName,OFFSET(Definitions!$BA$3,ROW()-ROW($B$6),0),
IF(_xlpm._sheetName="","",_xlpm._sheetName))</f>
        <v/>
      </c>
      <c r="C27" s="12" t="str" cm="1">
        <f t="array" aca="1" ref="C27" ca="1">_xlfn.LET(
_xlpm._delimiter,","&amp;CHAR(10),
_xlpm._isLast,AND($B27&lt;&gt;"",OFFSET($B27,1,0)=""),
_xlpm._result,JSONParseSheets(ROW()-ROW($C$6),Definitions!$BA$3,Definitions!$BB$3,Definitions!$BC$3,Definitions!$BD$3,$B$1,$B$2,$B$3,_xlpm._delimiter),
SUBSTITUTE(IF(_xlpm._isLast,RemoveDelimiter(_xlpm._result,_xlpm._delimiter),_xlpm._result),","&amp;CHAR(10)&amp;CHAR(10)&amp;"]",CHAR(10)&amp;"]"))</f>
        <v/>
      </c>
      <c r="D27" s="2" t="str">
        <f>""</f>
        <v/>
      </c>
    </row>
    <row r="28" spans="2:4" x14ac:dyDescent="0.25">
      <c r="B28" s="9" t="str">
        <f ca="1">_xlfn.LET(
_xlpm._sheetName,OFFSET(Definitions!$BA$3,ROW()-ROW($B$6),0),
IF(_xlpm._sheetName="","",_xlpm._sheetName))</f>
        <v/>
      </c>
      <c r="C28" s="12" t="str" cm="1">
        <f t="array" aca="1" ref="C28" ca="1">_xlfn.LET(
_xlpm._delimiter,","&amp;CHAR(10),
_xlpm._isLast,AND($B28&lt;&gt;"",OFFSET($B28,1,0)=""),
_xlpm._result,JSONParseSheets(ROW()-ROW($C$6),Definitions!$BA$3,Definitions!$BB$3,Definitions!$BC$3,Definitions!$BD$3,$B$1,$B$2,$B$3,_xlpm._delimiter),
SUBSTITUTE(IF(_xlpm._isLast,RemoveDelimiter(_xlpm._result,_xlpm._delimiter),_xlpm._result),","&amp;CHAR(10)&amp;CHAR(10)&amp;"]",CHAR(10)&amp;"]"))</f>
        <v/>
      </c>
      <c r="D28" s="2" t="str">
        <f>""</f>
        <v/>
      </c>
    </row>
    <row r="29" spans="2:4" x14ac:dyDescent="0.25">
      <c r="B29" s="9" t="str">
        <f ca="1">_xlfn.LET(
_xlpm._sheetName,OFFSET(Definitions!$BA$3,ROW()-ROW($B$6),0),
IF(_xlpm._sheetName="","",_xlpm._sheetName))</f>
        <v/>
      </c>
      <c r="C29" s="12" t="str" cm="1">
        <f t="array" aca="1" ref="C29" ca="1">_xlfn.LET(
_xlpm._delimiter,","&amp;CHAR(10),
_xlpm._isLast,AND($B29&lt;&gt;"",OFFSET($B29,1,0)=""),
_xlpm._result,JSONParseSheets(ROW()-ROW($C$6),Definitions!$BA$3,Definitions!$BB$3,Definitions!$BC$3,Definitions!$BD$3,$B$1,$B$2,$B$3,_xlpm._delimiter),
SUBSTITUTE(IF(_xlpm._isLast,RemoveDelimiter(_xlpm._result,_xlpm._delimiter),_xlpm._result),","&amp;CHAR(10)&amp;CHAR(10)&amp;"]",CHAR(10)&amp;"]"))</f>
        <v/>
      </c>
      <c r="D29" s="2" t="str">
        <f>""</f>
        <v/>
      </c>
    </row>
    <row r="30" spans="2:4" x14ac:dyDescent="0.25">
      <c r="B30" s="9" t="str">
        <f ca="1">_xlfn.LET(
_xlpm._sheetName,OFFSET(Definitions!$BA$3,ROW()-ROW($B$6),0),
IF(_xlpm._sheetName="","",_xlpm._sheetName))</f>
        <v/>
      </c>
      <c r="C30" s="12" t="str" cm="1">
        <f t="array" aca="1" ref="C30" ca="1">_xlfn.LET(
_xlpm._delimiter,","&amp;CHAR(10),
_xlpm._isLast,AND($B30&lt;&gt;"",OFFSET($B30,1,0)=""),
_xlpm._result,JSONParseSheets(ROW()-ROW($C$6),Definitions!$BA$3,Definitions!$BB$3,Definitions!$BC$3,Definitions!$BD$3,$B$1,$B$2,$B$3,_xlpm._delimiter),
SUBSTITUTE(IF(_xlpm._isLast,RemoveDelimiter(_xlpm._result,_xlpm._delimiter),_xlpm._result),","&amp;CHAR(10)&amp;CHAR(10)&amp;"]",CHAR(10)&amp;"]"))</f>
        <v/>
      </c>
      <c r="D30" s="2" t="str">
        <f>""</f>
        <v/>
      </c>
    </row>
  </sheetData>
  <conditionalFormatting sqref="B1:C1048576">
    <cfRule type="expression" dxfId="20" priority="1">
      <formula>AND(ROW(B1)&gt;ROW($B$6),B1="")</formula>
    </cfRule>
  </conditionalFormatting>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DC066-7050-4654-BD8D-03729623D18A}">
  <sheetPr>
    <tabColor theme="6"/>
  </sheetPr>
  <dimension ref="A1:BK26"/>
  <sheetViews>
    <sheetView workbookViewId="0">
      <pane ySplit="3" topLeftCell="A4" activePane="bottomLeft" state="frozen"/>
      <selection pane="bottomLeft" activeCell="A2" sqref="A2"/>
    </sheetView>
  </sheetViews>
  <sheetFormatPr defaultColWidth="9.140625" defaultRowHeight="15" x14ac:dyDescent="0.25"/>
  <cols>
    <col min="1" max="1" width="11.85546875" style="4" bestFit="1" customWidth="1"/>
    <col min="2" max="2" width="9.140625" style="4"/>
    <col min="3" max="3" width="21.28515625" style="4" bestFit="1" customWidth="1"/>
    <col min="4" max="4" width="9.140625" style="4"/>
    <col min="5" max="5" width="25.5703125" style="4" bestFit="1" customWidth="1"/>
    <col min="6" max="6" width="9.140625" style="4"/>
    <col min="7" max="7" width="15.7109375" style="4" customWidth="1"/>
    <col min="8" max="8" width="25.7109375" style="4" customWidth="1"/>
    <col min="9" max="9" width="45.7109375" style="4" customWidth="1"/>
    <col min="10" max="10" width="15.7109375" style="4" customWidth="1"/>
    <col min="11" max="11" width="21" style="4" hidden="1" customWidth="1"/>
    <col min="12" max="12" width="9.140625" style="4"/>
    <col min="13" max="13" width="18.85546875" style="4" bestFit="1" customWidth="1"/>
    <col min="14" max="14" width="9.140625" style="4"/>
    <col min="15" max="15" width="22.5703125" style="4" bestFit="1" customWidth="1"/>
    <col min="16" max="16" width="9.140625" style="4"/>
    <col min="17" max="17" width="10.7109375" style="4" bestFit="1" customWidth="1"/>
    <col min="18" max="19" width="9.140625" style="4"/>
    <col min="20" max="20" width="13.7109375" style="4" bestFit="1" customWidth="1"/>
    <col min="21" max="21" width="9.140625" style="4"/>
    <col min="22" max="22" width="18" style="4" customWidth="1"/>
    <col min="23" max="23" width="14.85546875" style="4" bestFit="1" customWidth="1"/>
    <col min="24" max="24" width="9.140625" style="4"/>
    <col min="25" max="25" width="22.42578125" style="4" bestFit="1" customWidth="1"/>
    <col min="26" max="26" width="29.140625" style="4" bestFit="1" customWidth="1"/>
    <col min="27" max="27" width="9.140625" style="4"/>
    <col min="28" max="28" width="9.85546875" style="4" hidden="1" customWidth="1"/>
    <col min="29" max="29" width="21" style="4" hidden="1" customWidth="1"/>
    <col min="30" max="30" width="9.140625" style="4"/>
    <col min="31" max="31" width="14.28515625" style="4" bestFit="1" customWidth="1"/>
    <col min="32" max="33" width="9.140625" style="4"/>
    <col min="34" max="39" width="15.7109375" style="4" customWidth="1"/>
    <col min="40" max="40" width="9.140625" style="4"/>
    <col min="41" max="41" width="20.28515625" style="4" bestFit="1" customWidth="1"/>
    <col min="42" max="42" width="9.140625" style="4"/>
    <col min="43" max="43" width="25.140625" style="4" bestFit="1" customWidth="1"/>
    <col min="44" max="44" width="11.42578125" style="4" bestFit="1" customWidth="1"/>
    <col min="45" max="45" width="10.5703125" style="4" bestFit="1" customWidth="1"/>
    <col min="46" max="46" width="9.140625" style="4"/>
    <col min="47" max="47" width="73.42578125" style="4" bestFit="1" customWidth="1"/>
    <col min="48" max="48" width="9.140625" style="4"/>
    <col min="49" max="49" width="48.140625" style="4" bestFit="1" customWidth="1"/>
    <col min="50" max="50" width="9.140625" style="4"/>
    <col min="51" max="51" width="25.85546875" style="4" bestFit="1" customWidth="1"/>
    <col min="52" max="52" width="9.140625" style="4"/>
    <col min="53" max="53" width="16.5703125" style="4" bestFit="1" customWidth="1"/>
    <col min="54" max="54" width="9.140625" style="4"/>
    <col min="55" max="55" width="17.85546875" style="4" bestFit="1" customWidth="1"/>
    <col min="56" max="56" width="17.42578125" style="4" bestFit="1" customWidth="1"/>
    <col min="57" max="57" width="9.140625" style="4"/>
    <col min="58" max="58" width="29" style="4" bestFit="1" customWidth="1"/>
    <col min="59" max="59" width="29" style="4" customWidth="1"/>
    <col min="60" max="60" width="9.140625" style="4"/>
    <col min="61" max="61" width="24.28515625" style="4" bestFit="1" customWidth="1"/>
    <col min="62" max="62" width="9.140625" style="4"/>
    <col min="63" max="63" width="28.42578125" style="4" bestFit="1" customWidth="1"/>
    <col min="64" max="16384" width="9.140625" style="4"/>
  </cols>
  <sheetData>
    <row r="1" spans="1:63" s="79" customFormat="1" x14ac:dyDescent="0.25">
      <c r="A1" s="79" t="str" cm="1">
        <f t="array" aca="1" ref="A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HYPERLINK("#'"&amp;Helper!$G$2&amp;"'!"&amp;CHAR(CODE("A")+COLUMN(_xlpm._columnNameHeader)-1)&amp;_xlpm._entryOffset,Definitions!$AY$4)))(Helper!$G$3,A$2,README!$E:$E,README!$I$35,README!$B$35)</f>
        <v>◈</v>
      </c>
      <c r="C1" s="79" t="str" cm="1">
        <f t="array" aca="1" ref="C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HYPERLINK("#'"&amp;Helper!$G$2&amp;"'!"&amp;CHAR(CODE("A")+COLUMN(_xlpm._columnNameHeader)-1)&amp;_xlpm._entryOffset,Definitions!$AY$4)))(Helper!$G$3,C$2,README!$E:$E,README!$I$35,README!$B$35)</f>
        <v>◈</v>
      </c>
      <c r="E1" s="79" t="str" cm="1">
        <f t="array" aca="1" ref="E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HYPERLINK("#'"&amp;Helper!$G$2&amp;"'!"&amp;CHAR(CODE("A")+COLUMN(_xlpm._columnNameHeader)-1)&amp;_xlpm._entryOffset,Definitions!$AY$4)))(Helper!$G$3,E$2,README!$E:$E,README!$I$35,README!$B$35)</f>
        <v>◈</v>
      </c>
      <c r="G1" s="79" t="str" cm="1">
        <f t="array" aca="1" ref="G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HYPERLINK("#'"&amp;Helper!$G$2&amp;"'!"&amp;CHAR(CODE("A")+COLUMN(_xlpm._columnNameHeader)-1)&amp;_xlpm._entryOffset,Definitions!$AY$4)))(Helper!$G$3,G$2,README!$E:$E,README!$I$35,README!$B$35)</f>
        <v>◈</v>
      </c>
      <c r="M1" s="79" t="str" cm="1">
        <f t="array" aca="1" ref="M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HYPERLINK("#'"&amp;Helper!$G$2&amp;"'!"&amp;CHAR(CODE("A")+COLUMN(_xlpm._columnNameHeader)-1)&amp;_xlpm._entryOffset,Definitions!$AY$4)))(Helper!$G$3,M$2,README!$E:$E,README!$I$35,README!$B$35)</f>
        <v>◈</v>
      </c>
      <c r="O1" s="79" t="str" cm="1">
        <f t="array" aca="1" ref="O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HYPERLINK("#'"&amp;Helper!$G$2&amp;"'!"&amp;CHAR(CODE("A")+COLUMN(_xlpm._columnNameHeader)-1)&amp;_xlpm._entryOffset,Definitions!$AY$4)))(Helper!$G$3,O$2,README!$E:$E,README!$I$35,README!$B$35)</f>
        <v>◈</v>
      </c>
      <c r="Q1" s="79" t="str" cm="1">
        <f t="array" aca="1" ref="Q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HYPERLINK("#'"&amp;Helper!$G$2&amp;"'!"&amp;CHAR(CODE("A")+COLUMN(_xlpm._columnNameHeader)-1)&amp;_xlpm._entryOffset,Definitions!$AY$4)))(Helper!$G$3,Q$2,README!$E:$E,README!$I$35,README!$B$35)</f>
        <v>◈</v>
      </c>
      <c r="T1" s="79" t="str" cm="1">
        <f t="array" aca="1" ref="T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HYPERLINK("#'"&amp;Helper!$G$2&amp;"'!"&amp;CHAR(CODE("A")+COLUMN(_xlpm._columnNameHeader)-1)&amp;_xlpm._entryOffset,Definitions!$AY$4)))(Helper!$G$3,T$2,README!$E:$E,README!$I$35,README!$B$35)</f>
        <v>◈</v>
      </c>
      <c r="V1" s="79" t="str" cm="1">
        <f t="array" aca="1" ref="V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HYPERLINK("#'"&amp;Helper!$G$2&amp;"'!"&amp;CHAR(CODE("A")+COLUMN(_xlpm._columnNameHeader)-1)&amp;_xlpm._entryOffset,Definitions!$AY$4)))(Helper!$G$3,V$2,README!$E:$E,README!$I$35,README!$B$35)</f>
        <v>◈</v>
      </c>
      <c r="Y1" s="79" t="str" cm="1">
        <f t="array" aca="1" ref="Y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HYPERLINK("#'"&amp;Helper!$G$2&amp;"'!"&amp;CHAR(CODE("A")+COLUMN(_xlpm._columnNameHeader)-1)&amp;_xlpm._entryOffset,Definitions!$AY$4)))(Helper!$G$3,Y$2,README!$E:$E,README!$I$35,README!$B$35)</f>
        <v>◈</v>
      </c>
      <c r="AE1" s="79" t="str" cm="1">
        <f t="array" aca="1" ref="AE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HYPERLINK("#'"&amp;Helper!$G$2&amp;"'!"&amp;CHAR(CODE("A")+COLUMN(_xlpm._columnNameHeader)-1)&amp;_xlpm._entryOffset,Definitions!$AY$4)))(Helper!$G$3,AE$2,README!$E:$E,README!$I$35,README!$B$35)</f>
        <v>◈</v>
      </c>
      <c r="AH1" s="79" t="str" cm="1">
        <f t="array" aca="1" ref="AH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HYPERLINK("#'"&amp;Helper!$G$2&amp;"'!"&amp;CHAR(CODE("A")+COLUMN(_xlpm._columnNameHeader)-1)&amp;_xlpm._entryOffset,Definitions!$AY$4)))(Helper!$G$3,AH$2,README!$E:$E,README!$I$35,README!$B$35)</f>
        <v>◈</v>
      </c>
      <c r="AO1" s="79" t="str" cm="1">
        <f t="array" aca="1" ref="AO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HYPERLINK("#'"&amp;Helper!$G$2&amp;"'!"&amp;CHAR(CODE("A")+COLUMN(_xlpm._columnNameHeader)-1)&amp;_xlpm._entryOffset,Definitions!$AY$4)))(Helper!$G$3,AO$2,README!$E:$E,README!$I$35,README!$B$35)</f>
        <v>◈</v>
      </c>
      <c r="AQ1" s="79" t="str" cm="1">
        <f t="array" aca="1" ref="AQ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HYPERLINK("#'"&amp;Helper!$G$2&amp;"'!"&amp;CHAR(CODE("A")+COLUMN(_xlpm._columnNameHeader)-1)&amp;_xlpm._entryOffset,Definitions!$AY$4)))(Helper!$G$3,AQ$2,README!$E:$E,README!$I$35,README!$B$35)</f>
        <v>◈</v>
      </c>
      <c r="AU1" s="79" t="str" cm="1">
        <f t="array" aca="1" ref="AU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HYPERLINK("#'"&amp;Helper!$G$2&amp;"'!"&amp;CHAR(CODE("A")+COLUMN(_xlpm._columnNameHeader)-1)&amp;_xlpm._entryOffset,Definitions!$AY$4)))(Helper!$G$3,AU$2,README!$E:$E,README!$I$35,README!$B$35)</f>
        <v>◈</v>
      </c>
      <c r="AW1" s="79" t="str" cm="1">
        <f t="array" aca="1" ref="AW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HYPERLINK("#'"&amp;Helper!$G$2&amp;"'!"&amp;CHAR(CODE("A")+COLUMN(_xlpm._columnNameHeader)-1)&amp;_xlpm._entryOffset,Definitions!$AY$4)))(Helper!$G$3,AW$2,README!$E:$E,README!$I$35,README!$B$35)</f>
        <v>◈</v>
      </c>
      <c r="AY1" s="79" t="str" cm="1">
        <f t="array" aca="1" ref="AY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HYPERLINK("#'"&amp;Helper!$G$2&amp;"'!"&amp;CHAR(CODE("A")+COLUMN(_xlpm._columnNameHeader)-1)&amp;_xlpm._entryOffset,Definitions!$AY$4)))(Helper!$G$3,AY$2,README!$E:$E,README!$I$35,README!$B$35)</f>
        <v>◈</v>
      </c>
      <c r="BA1" s="79" t="str" cm="1">
        <f t="array" aca="1" ref="BA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HYPERLINK("#'"&amp;Helper!$G$2&amp;"'!"&amp;CHAR(CODE("A")+COLUMN(_xlpm._columnNameHeader)-1)&amp;_xlpm._entryOffset,Definitions!$AY$4)))(Helper!$G$3,BA$2,README!$E:$E,README!$I$35,README!$B$35)</f>
        <v>◈</v>
      </c>
      <c r="BF1" s="79" t="str" cm="1">
        <f t="array" aca="1" ref="BF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HYPERLINK("#'"&amp;Helper!$G$2&amp;"'!"&amp;CHAR(CODE("A")+COLUMN(_xlpm._columnNameHeader)-1)&amp;_xlpm._entryOffset,Definitions!$AY$4)))(Helper!$G$3,BF$2,README!$E:$E,README!$I$35,README!$B$35)</f>
        <v>◈</v>
      </c>
      <c r="BI1" s="79" t="str" cm="1">
        <f t="array" aca="1" ref="BI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HYPERLINK("#'"&amp;Helper!$G$2&amp;"'!"&amp;CHAR(CODE("A")+COLUMN(_xlpm._columnNameHeader)-1)&amp;_xlpm._entryOffset,Definitions!$AY$4)))(Helper!$G$3,BI$2,README!$E:$E,README!$I$35,README!$B$35)</f>
        <v>◈</v>
      </c>
      <c r="BK1" s="79" t="str" cm="1">
        <f t="array" aca="1" ref="BK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HYPERLINK("#'"&amp;Helper!$G$2&amp;"'!"&amp;CHAR(CODE("A")+COLUMN(_xlpm._columnNameHeader)-1)&amp;_xlpm._entryOffset,Definitions!$AY$4)))(Helper!$G$3,BK$2,README!$E:$E,README!$I$35,README!$B$35)</f>
        <v>◈</v>
      </c>
    </row>
    <row r="2" spans="1:63" s="18" customFormat="1" ht="21" x14ac:dyDescent="0.35">
      <c r="A2" s="18" t="s">
        <v>165</v>
      </c>
      <c r="C2" s="18" t="s">
        <v>950</v>
      </c>
      <c r="E2" s="18" t="s">
        <v>743</v>
      </c>
      <c r="G2" s="18" t="s">
        <v>741</v>
      </c>
      <c r="M2" s="18" t="s">
        <v>186</v>
      </c>
      <c r="O2" s="18" t="s">
        <v>187</v>
      </c>
      <c r="Q2" s="18" t="s">
        <v>164</v>
      </c>
      <c r="T2" s="18" t="s">
        <v>69</v>
      </c>
      <c r="V2" s="18" t="s">
        <v>1</v>
      </c>
      <c r="Y2" s="18" t="s">
        <v>162</v>
      </c>
      <c r="AE2" s="18" t="s">
        <v>166</v>
      </c>
      <c r="AH2" s="18" t="s">
        <v>163</v>
      </c>
      <c r="AO2" s="18" t="s">
        <v>295</v>
      </c>
      <c r="AQ2" s="18" t="s">
        <v>496</v>
      </c>
      <c r="AU2" s="18" t="s">
        <v>535</v>
      </c>
      <c r="AW2" s="18" t="s">
        <v>1266</v>
      </c>
      <c r="AY2" s="18" t="s">
        <v>1106</v>
      </c>
      <c r="BA2" s="18" t="s">
        <v>1155</v>
      </c>
      <c r="BF2" s="18" t="s">
        <v>1448</v>
      </c>
      <c r="BI2" s="18" t="s">
        <v>1180</v>
      </c>
      <c r="BK2" s="18" t="s">
        <v>1181</v>
      </c>
    </row>
    <row r="3" spans="1:63" s="1" customFormat="1" ht="30" x14ac:dyDescent="0.25">
      <c r="A3" s="1" t="s">
        <v>182</v>
      </c>
      <c r="C3" s="1" t="s">
        <v>183</v>
      </c>
      <c r="E3" s="1" t="s">
        <v>183</v>
      </c>
      <c r="G3" s="1" t="s">
        <v>742</v>
      </c>
      <c r="H3" s="1" t="s">
        <v>183</v>
      </c>
      <c r="I3" s="1" t="s">
        <v>184</v>
      </c>
      <c r="J3" s="1" t="s">
        <v>158</v>
      </c>
      <c r="K3" s="1" t="s">
        <v>749</v>
      </c>
      <c r="M3" s="1" t="s">
        <v>185</v>
      </c>
      <c r="O3" s="1" t="s">
        <v>185</v>
      </c>
      <c r="Q3" s="1" t="s">
        <v>183</v>
      </c>
      <c r="R3" s="1" t="s">
        <v>188</v>
      </c>
      <c r="T3" s="1" t="s">
        <v>189</v>
      </c>
      <c r="V3" s="1" t="s">
        <v>190</v>
      </c>
      <c r="W3" s="1" t="s">
        <v>159</v>
      </c>
      <c r="Y3" s="1" t="s">
        <v>191</v>
      </c>
      <c r="Z3" s="1" t="s">
        <v>192</v>
      </c>
      <c r="AA3" s="1" t="s">
        <v>188</v>
      </c>
      <c r="AB3" s="1" t="s">
        <v>193</v>
      </c>
      <c r="AC3" s="1" t="s">
        <v>749</v>
      </c>
      <c r="AE3" s="1" t="s">
        <v>183</v>
      </c>
      <c r="AF3" s="1" t="s">
        <v>188</v>
      </c>
      <c r="AH3" s="57" t="s">
        <v>383</v>
      </c>
      <c r="AI3" s="3" t="str">
        <f ca="1">OFFSET($W$4,COLUMN()-COLUMN($AI$2),0)</f>
        <v>Basic</v>
      </c>
      <c r="AJ3" s="3" t="str">
        <f ca="1">OFFSET($W$4,COLUMN()-COLUMN($AI$2),0)</f>
        <v>Enhanced-Basic</v>
      </c>
      <c r="AK3" s="3" t="str">
        <f ca="1">OFFSET($W$4,COLUMN()-COLUMN($AI$2),0)</f>
        <v>Moderate</v>
      </c>
      <c r="AL3" s="3" t="str">
        <f ca="1">OFFSET($W$4,COLUMN()-COLUMN($AI$2),0)</f>
        <v>High</v>
      </c>
      <c r="AM3" s="3" t="str">
        <f ca="1">OFFSET($W$4,COLUMN()-COLUMN($AI$2),0)</f>
        <v>Beyond High</v>
      </c>
      <c r="AO3" s="1" t="s">
        <v>298</v>
      </c>
      <c r="AQ3" s="1" t="s">
        <v>492</v>
      </c>
      <c r="AR3" s="1" t="s">
        <v>490</v>
      </c>
      <c r="AS3" s="1" t="s">
        <v>491</v>
      </c>
      <c r="AU3" s="1" t="s">
        <v>536</v>
      </c>
      <c r="AW3" s="1" t="s">
        <v>1088</v>
      </c>
      <c r="AY3" s="1" t="s">
        <v>1137</v>
      </c>
      <c r="BA3" s="1" t="s">
        <v>201</v>
      </c>
      <c r="BB3" s="1" t="s">
        <v>1156</v>
      </c>
      <c r="BC3" s="1" t="s">
        <v>1158</v>
      </c>
      <c r="BD3" s="1" t="s">
        <v>1159</v>
      </c>
      <c r="BF3" s="1" t="s">
        <v>1449</v>
      </c>
      <c r="BG3" s="1" t="s">
        <v>609</v>
      </c>
      <c r="BI3" s="1" t="s">
        <v>185</v>
      </c>
      <c r="BK3" s="1" t="s">
        <v>185</v>
      </c>
    </row>
    <row r="4" spans="1:63" ht="75" x14ac:dyDescent="0.25">
      <c r="A4" s="4" t="s">
        <v>9</v>
      </c>
      <c r="C4" s="4" t="s">
        <v>1706</v>
      </c>
      <c r="E4" s="4" t="s">
        <v>744</v>
      </c>
      <c r="G4" s="4" t="str">
        <f>$E$4</f>
        <v>Personal Data</v>
      </c>
      <c r="H4" s="4" t="s">
        <v>13</v>
      </c>
      <c r="I4" s="4" t="s">
        <v>842</v>
      </c>
      <c r="J4" s="4" t="str">
        <f>$Q$5</f>
        <v>Low</v>
      </c>
      <c r="K4" s="4" t="b">
        <f ca="1">OFFSET($G4,-1,0)=$G4</f>
        <v>0</v>
      </c>
      <c r="M4" s="4" t="s">
        <v>38</v>
      </c>
      <c r="O4" s="4" t="s">
        <v>42</v>
      </c>
      <c r="Q4" s="4" t="s">
        <v>156</v>
      </c>
      <c r="R4" s="4">
        <v>1</v>
      </c>
      <c r="T4" s="4">
        <v>60</v>
      </c>
      <c r="V4" s="4">
        <v>0</v>
      </c>
      <c r="W4" s="4" t="s">
        <v>71</v>
      </c>
      <c r="Y4" s="4" t="s">
        <v>102</v>
      </c>
      <c r="Z4" s="4" t="s">
        <v>103</v>
      </c>
      <c r="AA4" s="4">
        <v>0</v>
      </c>
      <c r="AB4" s="4" cm="1">
        <f t="array" ref="AB4">IF(ROW()=ROW($AB$3)+1,0,INDEX($AB:$AB,ROW()-1))+
IF($Y4=INDEX($Y:$Y,ROW()-1),0,1)</f>
        <v>1</v>
      </c>
      <c r="AC4" s="4" t="b">
        <f ca="1">OFFSET($AB4,-1,0)=$AB4</f>
        <v>0</v>
      </c>
      <c r="AE4" s="4" t="s">
        <v>1055</v>
      </c>
      <c r="AF4" s="4">
        <v>0</v>
      </c>
      <c r="AH4" s="57" t="str">
        <f>Q4</f>
        <v>Immaterial</v>
      </c>
      <c r="AI4" s="4" t="str">
        <f>$AE$5</f>
        <v>Low</v>
      </c>
      <c r="AJ4" s="4" t="str">
        <f>$AE$5</f>
        <v>Low</v>
      </c>
      <c r="AK4" s="4" t="str">
        <f>$AE$5</f>
        <v>Low</v>
      </c>
      <c r="AL4" s="4" t="str">
        <f>$AE$5</f>
        <v>Low</v>
      </c>
      <c r="AM4" s="4" t="str">
        <f>$AE$5</f>
        <v>Low</v>
      </c>
      <c r="AO4" s="4" t="str">
        <f>$C$4</f>
        <v>&lt;&lt; OEM Name &gt;&gt;</v>
      </c>
      <c r="AQ4" s="4" t="s">
        <v>225</v>
      </c>
      <c r="AR4" s="4" t="s">
        <v>493</v>
      </c>
      <c r="AS4" s="4" t="s">
        <v>495</v>
      </c>
      <c r="AU4" s="4" t="s">
        <v>9</v>
      </c>
      <c r="AW4" s="4" t="s">
        <v>1089</v>
      </c>
      <c r="AY4" s="4" t="str">
        <f>_xlfn.UNICHAR(9672)</f>
        <v>◈</v>
      </c>
      <c r="BA4" s="4" t="str" cm="1">
        <f t="array" aca="1" ref="BA4" ca="1">GetSheetName(Questionnaire!$M$3)</f>
        <v>Questionnaire</v>
      </c>
      <c r="BB4" s="4" t="str" cm="1">
        <f t="array" aca="1" ref="BB4" ca="1">GetColumnLetter(Questionnaire!$B$2)&amp;
GetColumnLetter(Questionnaire!$L$2)&amp;
GetColumnLetter(Questionnaire!$D$2)&amp;
GetColumnLetter(Questionnaire!$E$2)&amp;
GetColumnLetter(Questionnaire!$F$2)&amp;
GetColumnLetter(Questionnaire!$G$2)&amp;
GetColumnLetter(Questionnaire!$H$2)</f>
        <v>BLDEFGH</v>
      </c>
      <c r="BC4" s="4" t="str" cm="1">
        <f t="array" aca="1" ref="BC4" ca="1">GetColumnLetter(Questionnaire!$M$3)</f>
        <v>M</v>
      </c>
      <c r="BD4" s="4">
        <f>ROW(Questionnaire!$M$2)</f>
        <v>2</v>
      </c>
      <c r="BF4" s="4" t="s">
        <v>9</v>
      </c>
      <c r="BG4" s="4" t="s">
        <v>1453</v>
      </c>
      <c r="BI4" s="4" t="s">
        <v>1416</v>
      </c>
      <c r="BK4" s="4" t="s">
        <v>1423</v>
      </c>
    </row>
    <row r="5" spans="1:63" ht="60" x14ac:dyDescent="0.25">
      <c r="A5" s="4" t="s">
        <v>10</v>
      </c>
      <c r="E5" s="4" t="s">
        <v>745</v>
      </c>
      <c r="G5" s="4" t="str">
        <f>$E$4</f>
        <v>Personal Data</v>
      </c>
      <c r="H5" s="4" t="s">
        <v>14</v>
      </c>
      <c r="I5" s="4" t="s">
        <v>11</v>
      </c>
      <c r="J5" s="4" t="str">
        <f>$Q$7</f>
        <v>High</v>
      </c>
      <c r="K5" s="4" t="b">
        <f t="shared" ref="K5:K22" ca="1" si="0">OFFSET($G5,-1,0)=$G5</f>
        <v>1</v>
      </c>
      <c r="M5" s="4" t="s">
        <v>39</v>
      </c>
      <c r="O5" s="4" t="s">
        <v>43</v>
      </c>
      <c r="Q5" s="4" t="s">
        <v>16</v>
      </c>
      <c r="R5" s="4">
        <v>2</v>
      </c>
      <c r="V5" s="4">
        <v>10</v>
      </c>
      <c r="W5" s="4" t="s">
        <v>72</v>
      </c>
      <c r="Y5" s="4" t="s">
        <v>102</v>
      </c>
      <c r="Z5" s="4" t="s">
        <v>104</v>
      </c>
      <c r="AA5" s="4">
        <v>1</v>
      </c>
      <c r="AB5" s="4" cm="1">
        <f t="array" ref="AB5">IF(ROW()=ROW($AB$3)+1,0,INDEX($AB:$AB,ROW()-1))+
IF($Y5=INDEX($Y:$Y,ROW()-1),0,1)</f>
        <v>1</v>
      </c>
      <c r="AC5" s="4" t="b">
        <f t="shared" ref="AC5:AC26" ca="1" si="1">OFFSET($AB5,-1,0)=$AB5</f>
        <v>1</v>
      </c>
      <c r="AE5" s="4" t="s">
        <v>16</v>
      </c>
      <c r="AF5" s="4">
        <v>1</v>
      </c>
      <c r="AH5" s="57" t="str">
        <f>Q5</f>
        <v>Low</v>
      </c>
      <c r="AI5" s="4" t="str">
        <f>$AE$7</f>
        <v>High</v>
      </c>
      <c r="AJ5" s="4" t="str">
        <f>$AE$6</f>
        <v>Moderate</v>
      </c>
      <c r="AK5" s="4" t="str">
        <f>$AE$6</f>
        <v>Moderate</v>
      </c>
      <c r="AL5" s="4" t="str">
        <f>$AE$6</f>
        <v>Moderate</v>
      </c>
      <c r="AM5" s="4" t="str">
        <f>$AE$5</f>
        <v>Low</v>
      </c>
      <c r="AO5" s="4" t="s">
        <v>296</v>
      </c>
      <c r="AQ5" s="4" t="s">
        <v>229</v>
      </c>
      <c r="AR5" s="4" t="s">
        <v>494</v>
      </c>
      <c r="AS5" s="4" t="s">
        <v>495</v>
      </c>
      <c r="AW5" s="4" t="s">
        <v>1090</v>
      </c>
      <c r="BA5" s="4" t="str" cm="1">
        <f t="array" aca="1" ref="BA5" ca="1">GetSheetName('Risk Treatment'!$U$4)</f>
        <v>Risk Treatment</v>
      </c>
      <c r="BB5" s="4" t="str" cm="1">
        <f t="array" aca="1" ref="BB5" ca="1">GetColumnLetter('Risk Treatment'!$C$4)&amp;
GetColumnLetter('Risk Treatment'!$F$4)&amp;
GetColumnLetter('Risk Treatment'!$H$4)&amp;
GetColumnLetter('Risk Treatment'!$I$4)&amp;
GetColumnLetter('Risk Treatment'!$J$4)&amp;
GetColumnLetter('Risk Treatment'!$O$4)&amp;
GetColumnLetter('Risk Treatment'!$R$4)</f>
        <v>CFHIJOR</v>
      </c>
      <c r="BC5" s="4" t="str" cm="1">
        <f t="array" aca="1" ref="BC5" ca="1">GetColumnLetter('Risk Treatment'!$U$4)</f>
        <v>U</v>
      </c>
      <c r="BD5" s="4">
        <f>ROW('Risk Treatment'!$U$4)</f>
        <v>4</v>
      </c>
      <c r="BF5" s="4" t="s">
        <v>10</v>
      </c>
      <c r="BG5" s="4" t="s">
        <v>1454</v>
      </c>
      <c r="BI5" s="4" t="s">
        <v>1417</v>
      </c>
      <c r="BK5" s="4" t="s">
        <v>1424</v>
      </c>
    </row>
    <row r="6" spans="1:63" ht="75" x14ac:dyDescent="0.25">
      <c r="E6" s="4" t="s">
        <v>746</v>
      </c>
      <c r="G6" s="4" t="str">
        <f>$E$4</f>
        <v>Personal Data</v>
      </c>
      <c r="H6" s="4" t="s">
        <v>15</v>
      </c>
      <c r="I6" s="4" t="s">
        <v>12</v>
      </c>
      <c r="J6" s="4" t="str">
        <f>$Q$8</f>
        <v>Critical</v>
      </c>
      <c r="K6" s="4" t="b">
        <f t="shared" ca="1" si="0"/>
        <v>1</v>
      </c>
      <c r="M6" s="4" t="s">
        <v>41</v>
      </c>
      <c r="Q6" s="4" t="s">
        <v>23</v>
      </c>
      <c r="R6" s="4">
        <v>3</v>
      </c>
      <c r="V6" s="4">
        <v>14</v>
      </c>
      <c r="W6" s="4" t="s">
        <v>73</v>
      </c>
      <c r="Y6" s="4" t="s">
        <v>102</v>
      </c>
      <c r="Z6" s="4" t="s">
        <v>105</v>
      </c>
      <c r="AA6" s="4">
        <v>4</v>
      </c>
      <c r="AB6" s="4" cm="1">
        <f t="array" ref="AB6">IF(ROW()=ROW($AB$3)+1,0,INDEX($AB:$AB,ROW()-1))+
IF($Y6=INDEX($Y:$Y,ROW()-1),0,1)</f>
        <v>1</v>
      </c>
      <c r="AC6" s="4" t="b">
        <f t="shared" ca="1" si="1"/>
        <v>1</v>
      </c>
      <c r="AE6" s="4" t="s">
        <v>73</v>
      </c>
      <c r="AF6" s="4">
        <v>2</v>
      </c>
      <c r="AH6" s="57" t="str">
        <f>Q6</f>
        <v>Medium</v>
      </c>
      <c r="AI6" s="4" t="str">
        <f>$AE$8</f>
        <v>Very High</v>
      </c>
      <c r="AJ6" s="4" t="str">
        <f>$AE$7</f>
        <v>High</v>
      </c>
      <c r="AK6" s="4" t="str">
        <f>$AE$7</f>
        <v>High</v>
      </c>
      <c r="AL6" s="4" t="str">
        <f>$AE$6</f>
        <v>Moderate</v>
      </c>
      <c r="AM6" s="4" t="str">
        <f>$AE$6</f>
        <v>Moderate</v>
      </c>
      <c r="AO6" s="4" t="s">
        <v>297</v>
      </c>
      <c r="AQ6" s="4" t="s">
        <v>1097</v>
      </c>
      <c r="AR6" s="4" t="s">
        <v>1095</v>
      </c>
      <c r="AW6" s="4" t="s">
        <v>1091</v>
      </c>
      <c r="BA6" s="4" t="str" cm="1">
        <f t="array" aca="1" ref="BA6" ca="1">GetSheetName(Result!$L$17)</f>
        <v>Result</v>
      </c>
      <c r="BB6" s="4" t="str" cm="1">
        <f t="array" aca="1" ref="BB6" ca="1">GetColumnLetter(Result!$A$17)&amp;
GetColumnLetter(Result!$B$17)&amp;
GetColumnLetter(Result!$C$17)</f>
        <v>ABC</v>
      </c>
      <c r="BC6" s="4" t="str" cm="1">
        <f t="array" aca="1" ref="BC6" ca="1">GetColumnLetter(Result!$L$17)</f>
        <v>L</v>
      </c>
      <c r="BD6" s="4">
        <f>ROW(Result!$L$17)</f>
        <v>17</v>
      </c>
      <c r="BF6" s="4" t="s">
        <v>1451</v>
      </c>
      <c r="BG6" s="4" t="s">
        <v>1452</v>
      </c>
      <c r="BI6" s="4" t="s">
        <v>1418</v>
      </c>
      <c r="BK6" s="4" t="s">
        <v>1425</v>
      </c>
    </row>
    <row r="7" spans="1:63" ht="45" x14ac:dyDescent="0.25">
      <c r="E7" s="4" t="s">
        <v>52</v>
      </c>
      <c r="G7" s="4" t="str">
        <f>$E$5</f>
        <v>Loss of Intellectual Property</v>
      </c>
      <c r="H7" s="4" t="s">
        <v>19</v>
      </c>
      <c r="I7" s="4" t="s">
        <v>20</v>
      </c>
      <c r="J7" s="4" t="str">
        <f>$Q$5</f>
        <v>Low</v>
      </c>
      <c r="K7" s="4" t="b">
        <f t="shared" ca="1" si="0"/>
        <v>0</v>
      </c>
      <c r="M7" s="4" t="s">
        <v>40</v>
      </c>
      <c r="Q7" s="4" t="s">
        <v>17</v>
      </c>
      <c r="R7" s="4">
        <v>4</v>
      </c>
      <c r="V7" s="4">
        <v>20</v>
      </c>
      <c r="W7" s="4" t="s">
        <v>17</v>
      </c>
      <c r="Y7" s="4" t="s">
        <v>102</v>
      </c>
      <c r="Z7" s="4" t="s">
        <v>106</v>
      </c>
      <c r="AA7" s="4">
        <v>10</v>
      </c>
      <c r="AB7" s="4" cm="1">
        <f t="array" ref="AB7">IF(ROW()=ROW($AB$3)+1,0,INDEX($AB:$AB,ROW()-1))+
IF($Y7=INDEX($Y:$Y,ROW()-1),0,1)</f>
        <v>1</v>
      </c>
      <c r="AC7" s="4" t="b">
        <f t="shared" ca="1" si="1"/>
        <v>1</v>
      </c>
      <c r="AE7" s="4" t="s">
        <v>17</v>
      </c>
      <c r="AF7" s="4">
        <v>3</v>
      </c>
      <c r="AH7" s="57" t="str">
        <f>Q7</f>
        <v>High</v>
      </c>
      <c r="AI7" s="4" t="str">
        <f>$AE$8</f>
        <v>Very High</v>
      </c>
      <c r="AJ7" s="4" t="str">
        <f>$AE$8</f>
        <v>Very High</v>
      </c>
      <c r="AK7" s="4" t="str">
        <f>$AE$7</f>
        <v>High</v>
      </c>
      <c r="AL7" s="4" t="str">
        <f>$AE$7</f>
        <v>High</v>
      </c>
      <c r="AM7" s="4" t="str">
        <f>$AE$6</f>
        <v>Moderate</v>
      </c>
      <c r="AW7" s="4" t="s">
        <v>1092</v>
      </c>
      <c r="BI7" s="4" t="s">
        <v>1419</v>
      </c>
      <c r="BK7" s="4" t="s">
        <v>1426</v>
      </c>
    </row>
    <row r="8" spans="1:63" ht="45" customHeight="1" x14ac:dyDescent="0.25">
      <c r="E8" s="4" t="s">
        <v>747</v>
      </c>
      <c r="G8" s="4" t="str">
        <f>$E$5</f>
        <v>Loss of Intellectual Property</v>
      </c>
      <c r="H8" s="4" t="s">
        <v>21</v>
      </c>
      <c r="I8" s="4" t="s">
        <v>22</v>
      </c>
      <c r="J8" s="4" t="str">
        <f>$Q$6</f>
        <v>Medium</v>
      </c>
      <c r="K8" s="4" t="b">
        <f t="shared" ca="1" si="0"/>
        <v>1</v>
      </c>
      <c r="Q8" s="4" t="s">
        <v>18</v>
      </c>
      <c r="R8" s="4">
        <v>5</v>
      </c>
      <c r="V8" s="4">
        <v>25</v>
      </c>
      <c r="W8" s="4" t="s">
        <v>74</v>
      </c>
      <c r="Y8" s="4" t="s">
        <v>102</v>
      </c>
      <c r="Z8" s="4" t="s">
        <v>107</v>
      </c>
      <c r="AA8" s="4">
        <v>19</v>
      </c>
      <c r="AB8" s="4" cm="1">
        <f t="array" ref="AB8">IF(ROW()=ROW($AB$3)+1,0,INDEX($AB:$AB,ROW()-1))+
IF($Y8=INDEX($Y:$Y,ROW()-1),0,1)</f>
        <v>1</v>
      </c>
      <c r="AC8" s="4" t="b">
        <f t="shared" ca="1" si="1"/>
        <v>1</v>
      </c>
      <c r="AE8" s="4" t="s">
        <v>157</v>
      </c>
      <c r="AF8" s="4">
        <v>4</v>
      </c>
      <c r="AH8" s="57" t="str">
        <f>Q8</f>
        <v>Critical</v>
      </c>
      <c r="AI8" s="4" t="str">
        <f>$AE$8</f>
        <v>Very High</v>
      </c>
      <c r="AJ8" s="4" t="str">
        <f>$AE$8</f>
        <v>Very High</v>
      </c>
      <c r="AK8" s="4" t="str">
        <f>$AE$8</f>
        <v>Very High</v>
      </c>
      <c r="AL8" s="4" t="str">
        <f>$AE$7</f>
        <v>High</v>
      </c>
      <c r="AM8" s="4" t="str">
        <f>$AE$6</f>
        <v>Moderate</v>
      </c>
      <c r="BI8" s="4" t="s">
        <v>1420</v>
      </c>
      <c r="BK8" s="4" t="s">
        <v>1427</v>
      </c>
    </row>
    <row r="9" spans="1:63" ht="45" customHeight="1" x14ac:dyDescent="0.25">
      <c r="G9" s="4" t="str">
        <f>$E$5</f>
        <v>Loss of Intellectual Property</v>
      </c>
      <c r="H9" s="4" t="s">
        <v>24</v>
      </c>
      <c r="I9" s="4" t="s">
        <v>25</v>
      </c>
      <c r="J9" s="4" t="str">
        <f>$Q$7</f>
        <v>High</v>
      </c>
      <c r="K9" s="4" t="b">
        <f t="shared" ca="1" si="0"/>
        <v>1</v>
      </c>
      <c r="Y9" s="4" t="s">
        <v>102</v>
      </c>
      <c r="Z9" s="4" t="s">
        <v>108</v>
      </c>
      <c r="AA9" s="4">
        <v>25</v>
      </c>
      <c r="AB9" s="4" cm="1">
        <f t="array" ref="AB9">IF(ROW()=ROW($AB$3)+1,0,INDEX($AB:$AB,ROW()-1))+
IF($Y9=INDEX($Y:$Y,ROW()-1),0,1)</f>
        <v>1</v>
      </c>
      <c r="AC9" s="4" t="b">
        <f t="shared" ca="1" si="1"/>
        <v>1</v>
      </c>
      <c r="BI9" s="4" t="s">
        <v>1184</v>
      </c>
    </row>
    <row r="10" spans="1:63" ht="45" customHeight="1" x14ac:dyDescent="0.25">
      <c r="G10" s="4" t="str">
        <f>$E$6</f>
        <v>Financial and Legal</v>
      </c>
      <c r="H10" s="4" t="s">
        <v>1721</v>
      </c>
      <c r="I10" s="4" t="s">
        <v>1717</v>
      </c>
      <c r="J10" s="4" t="str">
        <f>$Q$5</f>
        <v>Low</v>
      </c>
      <c r="K10" s="4" t="b">
        <f t="shared" ca="1" si="0"/>
        <v>0</v>
      </c>
      <c r="Y10" s="4" t="s">
        <v>109</v>
      </c>
      <c r="Z10" s="4" t="s">
        <v>110</v>
      </c>
      <c r="AA10" s="4">
        <v>0</v>
      </c>
      <c r="AB10" s="4" cm="1">
        <f t="array" ref="AB10">IF(ROW()=ROW($AB$3)+1,0,INDEX($AB:$AB,ROW()-1))+
IF($Y10=INDEX($Y:$Y,ROW()-1),0,1)</f>
        <v>2</v>
      </c>
      <c r="AC10" s="4" t="b">
        <f t="shared" ca="1" si="1"/>
        <v>0</v>
      </c>
      <c r="BI10" s="4" t="s">
        <v>1421</v>
      </c>
    </row>
    <row r="11" spans="1:63" ht="30" customHeight="1" x14ac:dyDescent="0.25">
      <c r="G11" s="4" t="str">
        <f>$E$6</f>
        <v>Financial and Legal</v>
      </c>
      <c r="H11" s="4" t="s">
        <v>1722</v>
      </c>
      <c r="I11" s="4" t="s">
        <v>1718</v>
      </c>
      <c r="J11" s="4" t="str">
        <f>$Q$6</f>
        <v>Medium</v>
      </c>
      <c r="K11" s="4" t="b">
        <f t="shared" ca="1" si="0"/>
        <v>1</v>
      </c>
      <c r="Y11" s="4" t="s">
        <v>109</v>
      </c>
      <c r="Z11" s="4" t="s">
        <v>111</v>
      </c>
      <c r="AA11" s="4">
        <v>3</v>
      </c>
      <c r="AB11" s="4" cm="1">
        <f t="array" ref="AB11">IF(ROW()=ROW($AB$3)+1,0,INDEX($AB:$AB,ROW()-1))+
IF($Y11=INDEX($Y:$Y,ROW()-1),0,1)</f>
        <v>2</v>
      </c>
      <c r="AC11" s="4" t="b">
        <f t="shared" ca="1" si="1"/>
        <v>1</v>
      </c>
      <c r="BI11" s="4" t="s">
        <v>1422</v>
      </c>
    </row>
    <row r="12" spans="1:63" ht="30" customHeight="1" x14ac:dyDescent="0.25">
      <c r="G12" s="4" t="str">
        <f>$E$6</f>
        <v>Financial and Legal</v>
      </c>
      <c r="H12" s="4" t="s">
        <v>1723</v>
      </c>
      <c r="I12" s="4" t="s">
        <v>1719</v>
      </c>
      <c r="J12" s="4" t="str">
        <f>$Q$7</f>
        <v>High</v>
      </c>
      <c r="K12" s="4" t="b">
        <f t="shared" ca="1" si="0"/>
        <v>1</v>
      </c>
      <c r="Y12" s="4" t="s">
        <v>109</v>
      </c>
      <c r="Z12" s="4" t="s">
        <v>112</v>
      </c>
      <c r="AA12" s="4">
        <v>6</v>
      </c>
      <c r="AB12" s="4" cm="1">
        <f t="array" ref="AB12">IF(ROW()=ROW($AB$3)+1,0,INDEX($AB:$AB,ROW()-1))+
IF($Y12=INDEX($Y:$Y,ROW()-1),0,1)</f>
        <v>2</v>
      </c>
      <c r="AC12" s="4" t="b">
        <f t="shared" ca="1" si="1"/>
        <v>1</v>
      </c>
    </row>
    <row r="13" spans="1:63" ht="30" customHeight="1" x14ac:dyDescent="0.25">
      <c r="G13" s="4" t="str">
        <f>$E$6</f>
        <v>Financial and Legal</v>
      </c>
      <c r="H13" s="4" t="s">
        <v>1724</v>
      </c>
      <c r="I13" s="4" t="s">
        <v>1720</v>
      </c>
      <c r="J13" s="4" t="str">
        <f>$Q$8</f>
        <v>Critical</v>
      </c>
      <c r="K13" s="4" t="b">
        <f t="shared" ca="1" si="0"/>
        <v>1</v>
      </c>
      <c r="Y13" s="4" t="s">
        <v>109</v>
      </c>
      <c r="Z13" s="4" t="s">
        <v>113</v>
      </c>
      <c r="AA13" s="4">
        <v>8</v>
      </c>
      <c r="AB13" s="4" cm="1">
        <f t="array" ref="AB13">IF(ROW()=ROW($AB$3)+1,0,INDEX($AB:$AB,ROW()-1))+
IF($Y13=INDEX($Y:$Y,ROW()-1),0,1)</f>
        <v>2</v>
      </c>
      <c r="AC13" s="4" t="b">
        <f t="shared" ca="1" si="1"/>
        <v>1</v>
      </c>
    </row>
    <row r="14" spans="1:63" ht="45" customHeight="1" x14ac:dyDescent="0.25">
      <c r="G14" s="4" t="str">
        <f>$E$7</f>
        <v>Safety</v>
      </c>
      <c r="H14" s="4" t="s">
        <v>27</v>
      </c>
      <c r="I14" s="4" t="s">
        <v>27</v>
      </c>
      <c r="J14" s="4" t="str">
        <f>$Q$5</f>
        <v>Low</v>
      </c>
      <c r="K14" s="4" t="b">
        <f t="shared" ca="1" si="0"/>
        <v>0</v>
      </c>
      <c r="Y14" s="4" t="s">
        <v>114</v>
      </c>
      <c r="Z14" s="4" t="s">
        <v>115</v>
      </c>
      <c r="AA14" s="4">
        <v>0</v>
      </c>
      <c r="AB14" s="4" cm="1">
        <f t="array" ref="AB14">IF(ROW()=ROW($AB$3)+1,0,INDEX($AB:$AB,ROW()-1))+
IF($Y14=INDEX($Y:$Y,ROW()-1),0,1)</f>
        <v>3</v>
      </c>
      <c r="AC14" s="4" t="b">
        <f t="shared" ca="1" si="1"/>
        <v>0</v>
      </c>
    </row>
    <row r="15" spans="1:63" x14ac:dyDescent="0.25">
      <c r="G15" s="4" t="str">
        <f>$E$7</f>
        <v>Safety</v>
      </c>
      <c r="H15" s="4" t="s">
        <v>28</v>
      </c>
      <c r="I15" s="4" t="s">
        <v>28</v>
      </c>
      <c r="J15" s="4" t="str">
        <f>$Q$6</f>
        <v>Medium</v>
      </c>
      <c r="K15" s="4" t="b">
        <f t="shared" ca="1" si="0"/>
        <v>1</v>
      </c>
      <c r="Y15" s="4" t="s">
        <v>114</v>
      </c>
      <c r="Z15" s="4" t="s">
        <v>116</v>
      </c>
      <c r="AA15" s="4">
        <v>3</v>
      </c>
      <c r="AB15" s="4" cm="1">
        <f t="array" ref="AB15">IF(ROW()=ROW($AB$3)+1,0,INDEX($AB:$AB,ROW()-1))+
IF($Y15=INDEX($Y:$Y,ROW()-1),0,1)</f>
        <v>3</v>
      </c>
      <c r="AC15" s="4" t="b">
        <f t="shared" ca="1" si="1"/>
        <v>1</v>
      </c>
    </row>
    <row r="16" spans="1:63" ht="30" x14ac:dyDescent="0.25">
      <c r="G16" s="4" t="str">
        <f>$E$7</f>
        <v>Safety</v>
      </c>
      <c r="H16" s="4" t="s">
        <v>29</v>
      </c>
      <c r="I16" s="4" t="s">
        <v>29</v>
      </c>
      <c r="J16" s="4" t="str">
        <f>$Q$7</f>
        <v>High</v>
      </c>
      <c r="K16" s="4" t="b">
        <f t="shared" ca="1" si="0"/>
        <v>1</v>
      </c>
      <c r="Y16" s="4" t="s">
        <v>114</v>
      </c>
      <c r="Z16" s="4" t="s">
        <v>117</v>
      </c>
      <c r="AA16" s="4">
        <v>7</v>
      </c>
      <c r="AB16" s="4" cm="1">
        <f t="array" ref="AB16">IF(ROW()=ROW($AB$3)+1,0,INDEX($AB:$AB,ROW()-1))+
IF($Y16=INDEX($Y:$Y,ROW()-1),0,1)</f>
        <v>3</v>
      </c>
      <c r="AC16" s="4" t="b">
        <f t="shared" ca="1" si="1"/>
        <v>1</v>
      </c>
    </row>
    <row r="17" spans="7:29" x14ac:dyDescent="0.25">
      <c r="G17" s="4" t="str">
        <f>$E$7</f>
        <v>Safety</v>
      </c>
      <c r="H17" s="4" t="s">
        <v>30</v>
      </c>
      <c r="I17" s="4" t="s">
        <v>30</v>
      </c>
      <c r="J17" s="4" t="str">
        <f>$Q$8</f>
        <v>Critical</v>
      </c>
      <c r="K17" s="4" t="b">
        <f t="shared" ca="1" si="0"/>
        <v>1</v>
      </c>
      <c r="Y17" s="4" t="s">
        <v>114</v>
      </c>
      <c r="Z17" s="4" t="s">
        <v>18</v>
      </c>
      <c r="AA17" s="4">
        <v>11</v>
      </c>
      <c r="AB17" s="4" cm="1">
        <f t="array" ref="AB17">IF(ROW()=ROW($AB$3)+1,0,INDEX($AB:$AB,ROW()-1))+
IF($Y17=INDEX($Y:$Y,ROW()-1),0,1)</f>
        <v>3</v>
      </c>
      <c r="AC17" s="4" t="b">
        <f t="shared" ca="1" si="1"/>
        <v>1</v>
      </c>
    </row>
    <row r="18" spans="7:29" ht="30" x14ac:dyDescent="0.25">
      <c r="G18" s="4" t="str">
        <f t="shared" ref="G18:G23" si="2">$E$8</f>
        <v>Function and Availability</v>
      </c>
      <c r="H18" s="4" t="s">
        <v>31</v>
      </c>
      <c r="I18" s="4" t="s">
        <v>32</v>
      </c>
      <c r="J18" s="4" t="str">
        <f>$Q$5</f>
        <v>Low</v>
      </c>
      <c r="K18" s="4" t="b">
        <f t="shared" ca="1" si="0"/>
        <v>0</v>
      </c>
      <c r="Y18" s="4" t="s">
        <v>118</v>
      </c>
      <c r="Z18" s="4" t="s">
        <v>119</v>
      </c>
      <c r="AA18" s="4">
        <v>0</v>
      </c>
      <c r="AB18" s="4" cm="1">
        <f t="array" ref="AB18">IF(ROW()=ROW($AB$3)+1,0,INDEX($AB:$AB,ROW()-1))+
IF($Y18=INDEX($Y:$Y,ROW()-1),0,1)</f>
        <v>4</v>
      </c>
      <c r="AC18" s="4" t="b">
        <f t="shared" ca="1" si="1"/>
        <v>0</v>
      </c>
    </row>
    <row r="19" spans="7:29" ht="30" x14ac:dyDescent="0.25">
      <c r="G19" s="4" t="str">
        <f t="shared" si="2"/>
        <v>Function and Availability</v>
      </c>
      <c r="H19" s="4" t="s">
        <v>33</v>
      </c>
      <c r="I19" s="4" t="s">
        <v>34</v>
      </c>
      <c r="J19" s="4" t="str">
        <f>$Q$6</f>
        <v>Medium</v>
      </c>
      <c r="K19" s="4" t="b">
        <f t="shared" ca="1" si="0"/>
        <v>1</v>
      </c>
      <c r="Y19" s="4" t="s">
        <v>118</v>
      </c>
      <c r="Z19" s="4" t="s">
        <v>120</v>
      </c>
      <c r="AA19" s="4">
        <v>1</v>
      </c>
      <c r="AB19" s="4" cm="1">
        <f t="array" ref="AB19">IF(ROW()=ROW($AB$3)+1,0,INDEX($AB:$AB,ROW()-1))+
IF($Y19=INDEX($Y:$Y,ROW()-1),0,1)</f>
        <v>4</v>
      </c>
      <c r="AC19" s="4" t="b">
        <f t="shared" ca="1" si="1"/>
        <v>1</v>
      </c>
    </row>
    <row r="20" spans="7:29" ht="30" x14ac:dyDescent="0.25">
      <c r="G20" s="4" t="str">
        <f t="shared" si="2"/>
        <v>Function and Availability</v>
      </c>
      <c r="H20" s="4" t="s">
        <v>35</v>
      </c>
      <c r="I20" s="4" t="s">
        <v>36</v>
      </c>
      <c r="J20" s="4" t="str">
        <f>$Q$7</f>
        <v>High</v>
      </c>
      <c r="K20" s="4" t="b">
        <f t="shared" ca="1" si="0"/>
        <v>1</v>
      </c>
      <c r="Y20" s="4" t="s">
        <v>118</v>
      </c>
      <c r="Z20" s="4" t="s">
        <v>73</v>
      </c>
      <c r="AA20" s="4">
        <v>4</v>
      </c>
      <c r="AB20" s="4" cm="1">
        <f t="array" ref="AB20">IF(ROW()=ROW($AB$3)+1,0,INDEX($AB:$AB,ROW()-1))+
IF($Y20=INDEX($Y:$Y,ROW()-1),0,1)</f>
        <v>4</v>
      </c>
      <c r="AC20" s="4" t="b">
        <f t="shared" ca="1" si="1"/>
        <v>1</v>
      </c>
    </row>
    <row r="21" spans="7:29" ht="30" x14ac:dyDescent="0.25">
      <c r="G21" s="4" t="str">
        <f t="shared" si="2"/>
        <v>Function and Availability</v>
      </c>
      <c r="H21" s="4" t="s">
        <v>959</v>
      </c>
      <c r="I21" s="4" t="s">
        <v>957</v>
      </c>
      <c r="J21" s="4" t="str">
        <f>$Q$7</f>
        <v>High</v>
      </c>
      <c r="K21" s="4" t="b">
        <f t="shared" ca="1" si="0"/>
        <v>1</v>
      </c>
      <c r="Y21" s="4" t="s">
        <v>118</v>
      </c>
      <c r="Z21" s="4" t="s">
        <v>121</v>
      </c>
      <c r="AA21" s="4">
        <v>10</v>
      </c>
      <c r="AB21" s="4" cm="1">
        <f t="array" ref="AB21">IF(ROW()=ROW($AB$3)+1,0,INDEX($AB:$AB,ROW()-1))+
IF($Y21=INDEX($Y:$Y,ROW()-1),0,1)</f>
        <v>4</v>
      </c>
      <c r="AC21" s="4" t="b">
        <f t="shared" ca="1" si="1"/>
        <v>1</v>
      </c>
    </row>
    <row r="22" spans="7:29" ht="45" x14ac:dyDescent="0.25">
      <c r="G22" s="4" t="str">
        <f t="shared" si="2"/>
        <v>Function and Availability</v>
      </c>
      <c r="H22" s="4" t="s">
        <v>37</v>
      </c>
      <c r="I22" s="4" t="s">
        <v>956</v>
      </c>
      <c r="J22" s="4" t="str">
        <f>$Q$8</f>
        <v>Critical</v>
      </c>
      <c r="K22" s="4" t="b">
        <f t="shared" ca="1" si="0"/>
        <v>1</v>
      </c>
      <c r="Y22" s="4" t="s">
        <v>118</v>
      </c>
      <c r="Z22" s="4" t="s">
        <v>122</v>
      </c>
      <c r="AA22" s="4">
        <v>25</v>
      </c>
      <c r="AB22" s="4" cm="1">
        <f t="array" ref="AB22">IF(ROW()=ROW($AB$3)+1,0,INDEX($AB:$AB,ROW()-1))+
IF($Y22=INDEX($Y:$Y,ROW()-1),0,1)</f>
        <v>4</v>
      </c>
      <c r="AC22" s="4" t="b">
        <f t="shared" ca="1" si="1"/>
        <v>1</v>
      </c>
    </row>
    <row r="23" spans="7:29" ht="45" x14ac:dyDescent="0.25">
      <c r="G23" s="4" t="str">
        <f t="shared" si="2"/>
        <v>Function and Availability</v>
      </c>
      <c r="H23" s="4" t="s">
        <v>960</v>
      </c>
      <c r="I23" s="4" t="s">
        <v>961</v>
      </c>
      <c r="J23" s="4" t="str">
        <f>$Q$8</f>
        <v>Critical</v>
      </c>
      <c r="K23" s="4" t="b">
        <f ca="1">OFFSET($G23,-1,0)=$G23</f>
        <v>1</v>
      </c>
      <c r="Y23" s="4" t="s">
        <v>123</v>
      </c>
      <c r="Z23" s="4" t="s">
        <v>124</v>
      </c>
      <c r="AA23" s="4">
        <v>0</v>
      </c>
      <c r="AB23" s="4" cm="1">
        <f t="array" ref="AB23">IF(ROW()=ROW($AB$3)+1,0,INDEX($AB:$AB,ROW()-1))+
IF($Y23=INDEX($Y:$Y,ROW()-1),0,1)</f>
        <v>5</v>
      </c>
      <c r="AC23" s="4" t="b">
        <f t="shared" ca="1" si="1"/>
        <v>0</v>
      </c>
    </row>
    <row r="24" spans="7:29" x14ac:dyDescent="0.25">
      <c r="Y24" s="4" t="s">
        <v>123</v>
      </c>
      <c r="Z24" s="4" t="s">
        <v>125</v>
      </c>
      <c r="AA24" s="4">
        <v>4</v>
      </c>
      <c r="AB24" s="4" cm="1">
        <f t="array" ref="AB24">IF(ROW()=ROW($AB$3)+1,0,INDEX($AB:$AB,ROW()-1))+
IF($Y24=INDEX($Y:$Y,ROW()-1),0,1)</f>
        <v>5</v>
      </c>
      <c r="AC24" s="4" t="b">
        <f t="shared" ca="1" si="1"/>
        <v>1</v>
      </c>
    </row>
    <row r="25" spans="7:29" x14ac:dyDescent="0.25">
      <c r="Y25" s="4" t="s">
        <v>123</v>
      </c>
      <c r="Z25" s="4" t="s">
        <v>126</v>
      </c>
      <c r="AA25" s="4">
        <v>7</v>
      </c>
      <c r="AB25" s="4" cm="1">
        <f t="array" ref="AB25">IF(ROW()=ROW($AB$3)+1,0,INDEX($AB:$AB,ROW()-1))+
IF($Y25=INDEX($Y:$Y,ROW()-1),0,1)</f>
        <v>5</v>
      </c>
      <c r="AC25" s="4" t="b">
        <f t="shared" ca="1" si="1"/>
        <v>1</v>
      </c>
    </row>
    <row r="26" spans="7:29" x14ac:dyDescent="0.25">
      <c r="Y26" s="4" t="s">
        <v>123</v>
      </c>
      <c r="Z26" s="4" t="s">
        <v>127</v>
      </c>
      <c r="AA26" s="4">
        <v>9</v>
      </c>
      <c r="AB26" s="4" cm="1">
        <f t="array" ref="AB26">IF(ROW()=ROW($AB$3)+1,0,INDEX($AB:$AB,ROW()-1))+
IF($Y26=INDEX($Y:$Y,ROW()-1),0,1)</f>
        <v>5</v>
      </c>
      <c r="AC26" s="4" t="b">
        <f t="shared" ca="1" si="1"/>
        <v>1</v>
      </c>
    </row>
  </sheetData>
  <phoneticPr fontId="4" type="noConversion"/>
  <conditionalFormatting sqref="A1:XFD10001">
    <cfRule type="expression" dxfId="19" priority="1">
      <formula>AND(A1&lt;&gt;"",MOD(ROW(A1),2)=MOD(ROW(A$3),2),ROW(A1)&gt;ROW(A$1))</formula>
    </cfRule>
  </conditionalFormatting>
  <conditionalFormatting sqref="A2:XFD3">
    <cfRule type="expression" dxfId="18" priority="12">
      <formula>A$3&lt;&gt;""</formula>
    </cfRule>
  </conditionalFormatting>
  <conditionalFormatting sqref="G1:G1048576">
    <cfRule type="expression" dxfId="17" priority="368">
      <formula>AND($H1&lt;&gt;"",$G1="",ROW($G1)&gt;ROW($G$3))</formula>
    </cfRule>
    <cfRule type="expression" dxfId="16" priority="369">
      <formula>AND($K1,MOD(ROW($G1),2)=MOD(ROW($G$3),2),ROW($G1)&gt;ROW($G$3))</formula>
    </cfRule>
    <cfRule type="expression" dxfId="15" priority="370">
      <formula>AND($K1,MOD(ROW($G1),2)=MOD(ROW($G$3)+1,2),ROW($G1)&gt;ROW($G$3))</formula>
    </cfRule>
  </conditionalFormatting>
  <conditionalFormatting sqref="G1:K1048576">
    <cfRule type="expression" dxfId="14" priority="367">
      <formula>AND(ROW($G1)&gt;ROW($G$3),$G1&lt;&gt;$G2)</formula>
    </cfRule>
  </conditionalFormatting>
  <conditionalFormatting sqref="Y1:Y1048576">
    <cfRule type="expression" dxfId="13" priority="371">
      <formula>AND($Z1&lt;&gt;"",$Y1="",ROW($Y1)&gt;ROW($Y$3))</formula>
    </cfRule>
    <cfRule type="expression" dxfId="12" priority="372">
      <formula>AND($AC1,ROW($Y1)&gt;ROW($Y$3),MOD(ROW($Y1),2)=MOD(ROW($Y$3),2))</formula>
    </cfRule>
    <cfRule type="expression" dxfId="11" priority="373">
      <formula>AND($AC1,ROW($Y1)&gt;ROW($Y$3),MOD(ROW($Y1),2)=MOD(ROW($Y$3)+1,2))</formula>
    </cfRule>
  </conditionalFormatting>
  <conditionalFormatting sqref="Y1:AA1048576">
    <cfRule type="expression" dxfId="10" priority="375">
      <formula>AND(ROW($AB1)&gt;ROW($AB$3),$AB1&lt;&gt;$AB2)</formula>
    </cfRule>
  </conditionalFormatting>
  <dataValidations count="1">
    <dataValidation type="list" allowBlank="1" showInputMessage="1" showErrorMessage="1" sqref="AU4" xr:uid="{02FB5547-9257-4C73-AB53-0893682F3326}">
      <formula1>$A$4:$A$5</formula1>
    </dataValidation>
  </dataValidations>
  <pageMargins left="0.7" right="0.7" top="0.75" bottom="0.75" header="0.3" footer="0.3"/>
  <pageSetup paperSize="9" orientation="portrait" r:id="rId1"/>
  <ignoredErrors>
    <ignoredError sqref="G4:G23" calculatedColumn="1"/>
  </ignoredErrors>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B548-CACB-4911-B1B8-594ED37E14CE}">
  <sheetPr>
    <tabColor theme="6"/>
  </sheetPr>
  <dimension ref="A1:V60"/>
  <sheetViews>
    <sheetView workbookViewId="0">
      <pane xSplit="2" ySplit="3" topLeftCell="C4" activePane="bottomRight" state="frozen"/>
      <selection pane="topRight" activeCell="C1" sqref="C1"/>
      <selection pane="bottomLeft" activeCell="A3" sqref="A3"/>
      <selection pane="bottomRight" activeCell="A3" sqref="A3"/>
    </sheetView>
  </sheetViews>
  <sheetFormatPr defaultColWidth="9.140625" defaultRowHeight="15" x14ac:dyDescent="0.25"/>
  <cols>
    <col min="1" max="1" width="9.140625" style="2"/>
    <col min="2" max="2" width="45.7109375" style="2" customWidth="1"/>
    <col min="3" max="3" width="13.7109375" style="2" bestFit="1" customWidth="1"/>
    <col min="4" max="4" width="14.7109375" style="2" bestFit="1" customWidth="1"/>
    <col min="5" max="5" width="24.5703125" style="2" bestFit="1" customWidth="1"/>
    <col min="6" max="6" width="10.7109375" style="2" customWidth="1"/>
    <col min="7" max="7" width="20.7109375" style="2" customWidth="1"/>
    <col min="8" max="8" width="45.7109375" style="2" customWidth="1"/>
    <col min="9" max="9" width="26.7109375" style="2" customWidth="1"/>
    <col min="10" max="10" width="10.7109375" style="2" customWidth="1"/>
    <col min="11" max="11" width="30.7109375" style="2" customWidth="1"/>
    <col min="12" max="12" width="90.7109375" style="2" customWidth="1"/>
    <col min="13" max="13" width="13.28515625" style="2" bestFit="1" customWidth="1"/>
    <col min="14" max="14" width="45.7109375" style="2" customWidth="1"/>
    <col min="15" max="16" width="12.5703125" style="2" hidden="1" customWidth="1"/>
    <col min="17" max="17" width="12.140625" style="2" hidden="1" customWidth="1"/>
    <col min="18" max="18" width="21.42578125" style="2" hidden="1" customWidth="1"/>
    <col min="19" max="16384" width="9.140625" style="2"/>
  </cols>
  <sheetData>
    <row r="1" spans="1:22" s="80" customFormat="1" x14ac:dyDescent="0.25">
      <c r="A1" s="80" t="str" cm="1">
        <f t="array" aca="1" ref="A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HYPERLINK("#'"&amp;Helper!$G$2&amp;"'!"&amp;CHAR(CODE("A")+COLUMN(_xlpm._columnNameHeader)-1)&amp;_xlpm._entryOffset,Definitions!$AY$4)))(Helper!$G$4,A$3,README!$E:$E,README!$I$35,README!$B$35)</f>
        <v>◈</v>
      </c>
      <c r="B1" s="80" t="str" cm="1">
        <f t="array" aca="1" ref="B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HYPERLINK("#'"&amp;Helper!$G$2&amp;"'!"&amp;CHAR(CODE("A")+COLUMN(_xlpm._columnNameHeader)-1)&amp;_xlpm._entryOffset,Definitions!$AY$4)))(Helper!$G$4,B$3,README!$E:$E,README!$I$35,README!$B$35)</f>
        <v>◈</v>
      </c>
      <c r="C1" s="80" t="str" cm="1">
        <f t="array" aca="1" ref="C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HYPERLINK("#'"&amp;Helper!$G$2&amp;"'!"&amp;CHAR(CODE("A")+COLUMN(_xlpm._columnNameHeader)-1)&amp;_xlpm._entryOffset,Definitions!$AY$4)))(Helper!$G$4,C$3,README!$E:$E,README!$I$35,README!$B$35)</f>
        <v>◈</v>
      </c>
      <c r="D1" s="80" t="str" cm="1">
        <f t="array" aca="1" ref="D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HYPERLINK("#'"&amp;Helper!$G$2&amp;"'!"&amp;CHAR(CODE("A")+COLUMN(_xlpm._columnNameHeader)-1)&amp;_xlpm._entryOffset,Definitions!$AY$4)))(Helper!$G$4,D$3,README!$E:$E,README!$I$35,README!$B$35)</f>
        <v>◈</v>
      </c>
      <c r="E1" s="80" t="str" cm="1">
        <f t="array" aca="1" ref="E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HYPERLINK("#'"&amp;Helper!$G$2&amp;"'!"&amp;CHAR(CODE("A")+COLUMN(_xlpm._columnNameHeader)-1)&amp;_xlpm._entryOffset,Definitions!$AY$4)))(Helper!$G$4,E$3,README!$E:$E,README!$I$35,README!$B$35)</f>
        <v>◈</v>
      </c>
      <c r="F1" s="80" t="str" cm="1">
        <f t="array" aca="1" ref="F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HYPERLINK("#'"&amp;Helper!$G$2&amp;"'!"&amp;CHAR(CODE("A")+COLUMN(_xlpm._columnNameHeader)-1)&amp;_xlpm._entryOffset,Definitions!$AY$4)))(Helper!$G$4,F$3,README!$E:$E,README!$I$35,README!$B$35)</f>
        <v>◈</v>
      </c>
      <c r="G1" s="80" t="str" cm="1">
        <f t="array" aca="1" ref="G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HYPERLINK("#'"&amp;Helper!$G$2&amp;"'!"&amp;CHAR(CODE("A")+COLUMN(_xlpm._columnNameHeader)-1)&amp;_xlpm._entryOffset,Definitions!$AY$4)))(Helper!$G$4,G$3,README!$E:$E,README!$I$35,README!$B$35)</f>
        <v>◈</v>
      </c>
      <c r="H1" s="80" t="str" cm="1">
        <f t="array" aca="1" ref="H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HYPERLINK("#'"&amp;Helper!$G$2&amp;"'!"&amp;CHAR(CODE("A")+COLUMN(_xlpm._columnNameHeader)-1)&amp;_xlpm._entryOffset,Definitions!$AY$4)))(Helper!$G$4,H$3,README!$E:$E,README!$I$35,README!$B$35)</f>
        <v>◈</v>
      </c>
      <c r="I1" s="80" t="str" cm="1">
        <f t="array" aca="1" ref="I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HYPERLINK("#'"&amp;Helper!$G$2&amp;"'!"&amp;CHAR(CODE("A")+COLUMN(_xlpm._columnNameHeader)-1)&amp;_xlpm._entryOffset,Definitions!$AY$4)))(Helper!$G$4,I$3,README!$E:$E,README!$I$35,README!$B$35)</f>
        <v>◈</v>
      </c>
      <c r="J1" s="80" t="str" cm="1">
        <f t="array" aca="1" ref="J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HYPERLINK("#'"&amp;Helper!$G$2&amp;"'!"&amp;CHAR(CODE("A")+COLUMN(_xlpm._columnNameHeader)-1)&amp;_xlpm._entryOffset,Definitions!$AY$4)))(Helper!$G$4,J$3,README!$E:$E,README!$I$35,README!$B$35)</f>
        <v>◈</v>
      </c>
      <c r="K1" s="80" t="str" cm="1">
        <f t="array" aca="1" ref="K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HYPERLINK("#'"&amp;Helper!$G$2&amp;"'!"&amp;CHAR(CODE("A")+COLUMN(_xlpm._columnNameHeader)-1)&amp;_xlpm._entryOffset,Definitions!$AY$4)))(Helper!$G$4,K$3,README!$E:$E,README!$I$35,README!$B$35)</f>
        <v>◈</v>
      </c>
      <c r="L1" s="80" t="str" cm="1">
        <f t="array" aca="1" ref="L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HYPERLINK("#'"&amp;Helper!$G$2&amp;"'!"&amp;CHAR(CODE("A")+COLUMN(_xlpm._columnNameHeader)-1)&amp;_xlpm._entryOffset,Definitions!$AY$4)))(Helper!$G$4,L$3,README!$E:$E,README!$I$35,README!$B$35)</f>
        <v>◈</v>
      </c>
      <c r="M1" s="80" t="str" cm="1">
        <f t="array" aca="1" ref="M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HYPERLINK("#'"&amp;Helper!$G$2&amp;"'!"&amp;CHAR(CODE("A")+COLUMN(_xlpm._columnNameHeader)-1)&amp;_xlpm._entryOffset,Definitions!$AY$4)))(Helper!$G$4,M$3,README!$E:$E,README!$I$35,README!$B$35)</f>
        <v>◈</v>
      </c>
      <c r="N1" s="80" t="str" cm="1">
        <f t="array" aca="1" ref="N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HYPERLINK("#'"&amp;Helper!$G$2&amp;"'!"&amp;CHAR(CODE("A")+COLUMN(_xlpm._columnNameHeader)-1)&amp;_xlpm._entryOffset,Definitions!$AY$4)))(Helper!$G$4,N$3,README!$E:$E,README!$I$35,README!$B$35)</f>
        <v>◈</v>
      </c>
    </row>
    <row r="2" spans="1:22" s="1" customFormat="1" x14ac:dyDescent="0.25">
      <c r="E2" s="127" t="s">
        <v>986</v>
      </c>
      <c r="F2" s="128"/>
      <c r="G2" s="128"/>
      <c r="H2" s="129"/>
      <c r="I2" s="127" t="s">
        <v>987</v>
      </c>
      <c r="J2" s="128"/>
      <c r="K2" s="128"/>
      <c r="L2" s="129"/>
    </row>
    <row r="3" spans="1:22" x14ac:dyDescent="0.25">
      <c r="A3" s="9" t="s">
        <v>46</v>
      </c>
      <c r="B3" s="9" t="s">
        <v>983</v>
      </c>
      <c r="C3" s="9" t="s">
        <v>57</v>
      </c>
      <c r="D3" s="9" t="s">
        <v>995</v>
      </c>
      <c r="E3" s="62" t="s">
        <v>976</v>
      </c>
      <c r="F3" s="10" t="s">
        <v>984</v>
      </c>
      <c r="G3" s="12" t="s">
        <v>977</v>
      </c>
      <c r="H3" s="63" t="s">
        <v>978</v>
      </c>
      <c r="I3" s="62" t="s">
        <v>979</v>
      </c>
      <c r="J3" s="10" t="s">
        <v>985</v>
      </c>
      <c r="K3" s="12" t="s">
        <v>980</v>
      </c>
      <c r="L3" s="63" t="s">
        <v>981</v>
      </c>
      <c r="M3" s="9" t="s">
        <v>1013</v>
      </c>
      <c r="N3" s="9" t="s">
        <v>2</v>
      </c>
      <c r="O3" s="9" t="s">
        <v>47</v>
      </c>
      <c r="P3" s="9" t="s">
        <v>196</v>
      </c>
      <c r="Q3" s="9" t="s">
        <v>1015</v>
      </c>
      <c r="R3" s="9" t="s">
        <v>1144</v>
      </c>
    </row>
    <row r="4" spans="1:22" x14ac:dyDescent="0.25">
      <c r="A4" s="10" t="s">
        <v>982</v>
      </c>
      <c r="B4" s="10" t="s">
        <v>0</v>
      </c>
      <c r="C4" s="10">
        <v>0</v>
      </c>
      <c r="D4" s="78" t="str">
        <f t="shared" ref="D4:D35" si="0">IF($A4="","",IF(LEFT($A4,1)="Q","x",""))</f>
        <v/>
      </c>
      <c r="E4" s="64"/>
      <c r="F4" s="10"/>
      <c r="G4" s="25" t="str" cm="1">
        <f t="array" aca="1" ref="G4" ca="1">IF($F4=0,"",RemoveDelimiter(OperateOnRange(INDIRECT($E4),FALSE,$F4,0,_xlfn.LAMBDA(_xlpm._x,_xlpm._x),_xlfn.LAMBDA(_xlpm._x,_xlpm._y,_xlpm._x&amp;CHAR(10)&amp;_xlpm._y)),CHAR(10)))</f>
        <v/>
      </c>
      <c r="H4" s="65"/>
      <c r="I4" s="64"/>
      <c r="J4" s="70"/>
      <c r="K4" s="25" t="str" cm="1">
        <f t="array" aca="1" ref="K4"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IF(LEN(_xlpm._optionsRanges)&lt;=_xlpm._endOfFirstElement,"",CHAR(10)&amp;ShowResultingOptions(RIGHT(_xlpm._optionsRanges,LEN(_xlpm._optionsRanges)-_xlpm._endOfFirstElement),RIGHT(_xlpm._optionsHeights,LEN(_xlpm._optionsHeights)-_xlpm._endOfFirstElementH))))))($I4,$J4),
CHAR(10))</f>
        <v/>
      </c>
      <c r="L4" s="65"/>
      <c r="M4" s="10"/>
      <c r="N4" s="10"/>
      <c r="O4" s="10" cm="1">
        <f t="array" aca="1" ref="O4" ca="1">CreateID($O$3,$A4&lt;&gt;"")</f>
        <v>1</v>
      </c>
      <c r="P4" s="10" cm="1">
        <f t="array" ref="P4">CreateTaskID($P$3,$P:$P,Tasks!$B$17,$N4)</f>
        <v>0</v>
      </c>
      <c r="Q4" s="10" t="b" cm="1">
        <f t="array" ref="Q4">IF($M4="",FALSE,CheckRelevance(SanitizeInput($M4),Questionnaire!$AB:$AB))</f>
        <v>0</v>
      </c>
      <c r="R4" s="10" cm="1">
        <f t="array" aca="1" ref="R4" ca="1">CreateID($R$3,AND($A4&lt;&gt;"",$D4&lt;&gt;""))</f>
        <v>0</v>
      </c>
    </row>
    <row r="5" spans="1:22" x14ac:dyDescent="0.25">
      <c r="A5" s="10" t="s">
        <v>988</v>
      </c>
      <c r="B5" s="10" t="s">
        <v>3</v>
      </c>
      <c r="C5" s="10">
        <v>0</v>
      </c>
      <c r="D5" s="78" t="str">
        <f t="shared" si="0"/>
        <v/>
      </c>
      <c r="E5" s="64"/>
      <c r="F5" s="10"/>
      <c r="G5" s="25" t="str" cm="1">
        <f t="array" aca="1" ref="G5" ca="1">IF($F5=0,"",RemoveDelimiter(OperateOnRange(INDIRECT($E5),FALSE,$F5,0,_xlfn.LAMBDA(_xlpm._x,_xlpm._x),_xlfn.LAMBDA(_xlpm._x,_xlpm._y,_xlpm._x&amp;CHAR(10)&amp;_xlpm._y)),CHAR(10)))</f>
        <v/>
      </c>
      <c r="H5" s="65"/>
      <c r="I5" s="64"/>
      <c r="J5" s="70"/>
      <c r="K5" s="25" t="str" cm="1">
        <f t="array" aca="1" ref="K5"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IF(LEN(_xlpm._optionsRanges)&lt;=_xlpm._endOfFirstElement,"",CHAR(10)&amp;ShowResultingOptions(RIGHT(_xlpm._optionsRanges,LEN(_xlpm._optionsRanges)-_xlpm._endOfFirstElement),RIGHT(_xlpm._optionsHeights,LEN(_xlpm._optionsHeights)-_xlpm._endOfFirstElementH))))))($I5,$J5),
CHAR(10))</f>
        <v/>
      </c>
      <c r="L5" s="65"/>
      <c r="M5" s="10"/>
      <c r="N5" s="10"/>
      <c r="O5" s="10" cm="1">
        <f t="array" aca="1" ref="O5" ca="1">CreateID($O$3,$A5&lt;&gt;"")</f>
        <v>2</v>
      </c>
      <c r="P5" s="10" cm="1">
        <f t="array" ref="P5">CreateTaskID($P$3,$P:$P,Tasks!$B$17,$N5)</f>
        <v>0</v>
      </c>
      <c r="Q5" s="10" t="b" cm="1">
        <f t="array" ref="Q5">IF($M5="",FALSE,CheckRelevance(SanitizeInput($M5),Questionnaire!$AB:$AB))</f>
        <v>0</v>
      </c>
      <c r="R5" s="10" cm="1">
        <f t="array" aca="1" ref="R5" ca="1">CreateID($R$3,AND($A5&lt;&gt;"",$D5&lt;&gt;""))</f>
        <v>0</v>
      </c>
    </row>
    <row r="6" spans="1:22" x14ac:dyDescent="0.25">
      <c r="A6" s="10" t="s">
        <v>996</v>
      </c>
      <c r="B6" s="10" t="s">
        <v>49</v>
      </c>
      <c r="C6" s="10">
        <v>3</v>
      </c>
      <c r="D6" s="78" t="str">
        <f t="shared" si="0"/>
        <v/>
      </c>
      <c r="E6" s="64"/>
      <c r="F6" s="10"/>
      <c r="G6" s="25" t="str" cm="1">
        <f t="array" aca="1" ref="G6" ca="1">IF($F6=0,"",RemoveDelimiter(OperateOnRange(INDIRECT($E6),FALSE,$F6,0,_xlfn.LAMBDA(_xlpm._x,_xlpm._x),_xlfn.LAMBDA(_xlpm._x,_xlpm._y,_xlpm._x&amp;CHAR(10)&amp;_xlpm._y)),CHAR(10)))</f>
        <v/>
      </c>
      <c r="H6" s="65"/>
      <c r="I6" s="64"/>
      <c r="J6" s="70"/>
      <c r="K6" s="25" t="str" cm="1">
        <f t="array" aca="1" ref="K6"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IF(LEN(_xlpm._optionsRanges)&lt;=_xlpm._endOfFirstElement,"",CHAR(10)&amp;ShowResultingOptions(RIGHT(_xlpm._optionsRanges,LEN(_xlpm._optionsRanges)-_xlpm._endOfFirstElement),RIGHT(_xlpm._optionsHeights,LEN(_xlpm._optionsHeights)-_xlpm._endOfFirstElementH))))))($I6,$J6),
CHAR(10))</f>
        <v/>
      </c>
      <c r="L6" s="65"/>
      <c r="M6" s="10"/>
      <c r="N6" s="10"/>
      <c r="O6" s="10" cm="1">
        <f t="array" aca="1" ref="O6" ca="1">CreateID($O$3,$A6&lt;&gt;"")</f>
        <v>3</v>
      </c>
      <c r="P6" s="10" cm="1">
        <f t="array" ref="P6">CreateTaskID($P$3,$P:$P,Tasks!$B$17,$N6)</f>
        <v>0</v>
      </c>
      <c r="Q6" s="10" t="b" cm="1">
        <f t="array" ref="Q6">IF($M6="",FALSE,CheckRelevance(SanitizeInput($M6),Questionnaire!$AB:$AB))</f>
        <v>0</v>
      </c>
      <c r="R6" s="10" cm="1">
        <f t="array" aca="1" ref="R6" ca="1">CreateID($R$3,AND($A6&lt;&gt;"",$D6&lt;&gt;""))</f>
        <v>0</v>
      </c>
    </row>
    <row r="7" spans="1:22" ht="90" x14ac:dyDescent="0.25">
      <c r="A7" s="10" t="s">
        <v>926</v>
      </c>
      <c r="B7" s="10" t="s">
        <v>1548</v>
      </c>
      <c r="C7" s="10">
        <v>6</v>
      </c>
      <c r="D7" s="78" t="str">
        <f t="shared" si="0"/>
        <v>x</v>
      </c>
      <c r="E7" s="64" t="str" cm="1">
        <f t="array" aca="1" ref="E7" ca="1">CELL("address",Definitions!$A$4)</f>
        <v>'[QuBA-libre.xlsx]Definitions'!$A$4</v>
      </c>
      <c r="F7" s="10">
        <f>ROWS(Definitions!$A$4:$A$5)</f>
        <v>2</v>
      </c>
      <c r="G7" s="25" t="str" cm="1">
        <f t="array" aca="1" ref="G7" ca="1">IF($F7=0,"",RemoveDelimiter(OperateOnRange(INDIRECT($E7),FALSE,$F7,0,_xlfn.LAMBDA(_xlpm._x,_xlpm._x),_xlfn.LAMBDA(_xlpm._x,_xlpm._y,_xlpm._x&amp;CHAR(10)&amp;_xlpm._y)),CHAR(10)))</f>
        <v>Yes
No</v>
      </c>
      <c r="H7" s="65" t="str">
        <f>Definitions!$A$4&amp;": Can you argue that the product cannot identify people in its operational environment?"&amp;CHAR(10)&amp;
Definitions!$A$5&amp;":"</f>
        <v>Yes: Can you argue that the product cannot identify people in its operational environment?
No:</v>
      </c>
      <c r="I7" s="64" t="str" cm="1">
        <f t="array" aca="1" ref="I7" ca="1">Definitions!$A$4&amp;": "&amp;CELL("address",Definitions!$A$4)</f>
        <v>Yes: '[QuBA-libre.xlsx]Definitions'!$A$4</v>
      </c>
      <c r="J7" s="70" t="str">
        <f>Definitions!$A$4&amp;": "&amp;ROWS(Definitions!$A$4:$A$5)</f>
        <v>Yes: 2</v>
      </c>
      <c r="K7" s="25" t="str" cm="1">
        <f t="array" aca="1" ref="K7"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IF(LEN(_xlpm._optionsRanges)&lt;=_xlpm._endOfFirstElement,"",CHAR(10)&amp;ShowResultingOptions(RIGHT(_xlpm._optionsRanges,LEN(_xlpm._optionsRanges)-_xlpm._endOfFirstElement),RIGHT(_xlpm._optionsHeights,LEN(_xlpm._optionsHeights)-_xlpm._endOfFirstElementH))))))($I7,$J7),
CHAR(10))</f>
        <v>___Yes___
Yes
No</v>
      </c>
      <c r="L7" s="65" t="str">
        <f ca="1">LEFT($K7,FIND(CHAR(10),$K7&amp;CHAR(10)))&amp;
Definitions!$A$4&amp;": Please provide a rationale:"&amp;CHAR(10)&amp;
Definitions!$A$5&amp;":"</f>
        <v>___Yes___
Yes: Please provide a rationale:
No:</v>
      </c>
      <c r="M7" s="10"/>
      <c r="N7" s="10"/>
      <c r="O7" s="10" cm="1">
        <f t="array" aca="1" ref="O7" ca="1">CreateID($O$3,$A7&lt;&gt;"")</f>
        <v>4</v>
      </c>
      <c r="P7" s="10" cm="1">
        <f t="array" ref="P7">CreateTaskID($P$3,$P:$P,Tasks!$B$17,$N7)</f>
        <v>0</v>
      </c>
      <c r="Q7" s="10" t="b" cm="1">
        <f t="array" ref="Q7">IF($M7="",FALSE,CheckRelevance(SanitizeInput($M7),Questionnaire!$AB:$AB))</f>
        <v>0</v>
      </c>
      <c r="R7" s="10" cm="1">
        <f t="array" aca="1" ref="R7" ca="1">CreateID($R$3,AND($A7&lt;&gt;"",$D7&lt;&gt;""))</f>
        <v>1</v>
      </c>
      <c r="V7" s="4"/>
    </row>
    <row r="8" spans="1:22" ht="120.75" x14ac:dyDescent="0.25">
      <c r="A8" s="10" t="s">
        <v>923</v>
      </c>
      <c r="B8" s="10" t="s">
        <v>1707</v>
      </c>
      <c r="C8" s="10">
        <v>6</v>
      </c>
      <c r="D8" s="78" t="str">
        <f t="shared" si="0"/>
        <v>x</v>
      </c>
      <c r="E8" s="64" t="str" cm="1">
        <f t="array" aca="1" ref="E8" ca="1">CELL("address",Definitions!$A$4)</f>
        <v>'[QuBA-libre.xlsx]Definitions'!$A$4</v>
      </c>
      <c r="F8" s="10">
        <f>ROWS(Definitions!$A$4:$A$5)</f>
        <v>2</v>
      </c>
      <c r="G8" s="25" t="str" cm="1">
        <f t="array" aca="1" ref="G8" ca="1">IF($F8=0,"",RemoveDelimiter(OperateOnRange(INDIRECT($E8),FALSE,$F8,0,_xlfn.LAMBDA(_xlpm._x,_xlpm._x),_xlfn.LAMBDA(_xlpm._x,_xlpm._y,_xlpm._x&amp;CHAR(10)&amp;_xlpm._y)),CHAR(10)))</f>
        <v>Yes
No</v>
      </c>
      <c r="H8" s="65" t="str">
        <f>Definitions!$A$4&amp;": What is the criticality of the processed data?"&amp;CHAR(10)&amp;
Definitions!$A$5&amp;":"</f>
        <v>Yes: What is the criticality of the processed data?
No:</v>
      </c>
      <c r="I8" s="64" t="str" cm="1">
        <f t="array" aca="1" ref="I8" ca="1">Definitions!$A$4&amp;": "&amp;CELL("address",INDEX(Definitions!$H:$H,MATCH(Definitions!$E$4,Definitions!$G:$G,0)))</f>
        <v>Yes: '[QuBA-libre.xlsx]Definitions'!$H$4</v>
      </c>
      <c r="J8" s="70" t="str">
        <f ca="1">Definitions!$A$4&amp;": "&amp;COUNTIF(Definitions!$G:$G,Definitions!$E$4)</f>
        <v>Yes: 3</v>
      </c>
      <c r="K8" s="25" t="str" cm="1">
        <f t="array" aca="1" ref="K8"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IF(LEN(_xlpm._optionsRanges)&lt;=_xlpm._endOfFirstElement,"",CHAR(10)&amp;ShowResultingOptions(RIGHT(_xlpm._optionsRanges,LEN(_xlpm._optionsRanges)-_xlpm._endOfFirstElement),RIGHT(_xlpm._optionsHeights,LEN(_xlpm._optionsHeights)-_xlpm._endOfFirstElementH))))))($I8,$J8),
CHAR(10))</f>
        <v>___Yes___
Personal data (low)
Personal data (significant)
Personal data (ruinous)</v>
      </c>
      <c r="L8" s="65" t="str">
        <f ca="1">LEFT($K8,FIND(CHAR(10),$K8&amp;CHAR(10)))&amp;
Definitions!$H$5&amp;": It is possible that the person affected will be negatively affected in his or her social status or economic situation (e.g., user name, business e-mail address, business phone number). Please list the affected data:"&amp;CHAR(10)&amp;
Definitions!$H$6&amp;": The person affected can be significantly impaired in his or her social status or economic circumstances (e.g., home address, bank account number, credit card details, private phone number, work history). Please list the affected data:"&amp;CHAR(10)&amp;
Definitions!$H$7&amp;": The person affected can be ruinously impaired in his social status and economic circumstances. "&amp;"The freedom of the person concerned is threatened (e.g., health data, biometric data, racial or ethnic origin, political opinions, religious beliefs). Please list the affected data:"</f>
        <v>___Yes___
Personal data (significant): It is possible that the person affected will be negatively affected in his or her social status or economic situation (e.g., user name, business e-mail address, business phone number). Please list the affected data:
Personal data (ruinous): The person affected can be significantly impaired in his or her social status or economic circumstances (e.g., home address, bank account number, credit card details, private phone number, work history). Please list the affected data:
IP (slightly innovative): The person affected can be ruinously impaired in his social status and economic circumstances. The freedom of the person concerned is threatened (e.g., health data, biometric data, racial or ethnic origin, political opinions, religious beliefs). Please list the affected data:</v>
      </c>
      <c r="M8" s="10"/>
      <c r="N8" s="10"/>
      <c r="O8" s="10" cm="1">
        <f t="array" aca="1" ref="O8" ca="1">CreateID($O$3,$A8&lt;&gt;"")</f>
        <v>5</v>
      </c>
      <c r="P8" s="10" cm="1">
        <f t="array" ref="P8">CreateTaskID($P$3,$P:$P,Tasks!$B$17,$N8)</f>
        <v>0</v>
      </c>
      <c r="Q8" s="10" t="b" cm="1">
        <f t="array" ref="Q8">IF($M8="",FALSE,CheckRelevance(SanitizeInput($M8),Questionnaire!$AB:$AB))</f>
        <v>0</v>
      </c>
      <c r="R8" s="10" cm="1">
        <f t="array" aca="1" ref="R8" ca="1">CreateID($R$3,AND($A8&lt;&gt;"",$D8&lt;&gt;""))</f>
        <v>2</v>
      </c>
    </row>
    <row r="9" spans="1:22" x14ac:dyDescent="0.25">
      <c r="A9" s="10" t="s">
        <v>997</v>
      </c>
      <c r="B9" s="10" t="s">
        <v>50</v>
      </c>
      <c r="C9" s="10">
        <v>3</v>
      </c>
      <c r="D9" s="78" t="str">
        <f t="shared" si="0"/>
        <v/>
      </c>
      <c r="E9" s="64"/>
      <c r="F9" s="10"/>
      <c r="G9" s="25" t="str" cm="1">
        <f t="array" aca="1" ref="G9" ca="1">IF($F9=0,"",RemoveDelimiter(OperateOnRange(INDIRECT($E9),FALSE,$F9,0,_xlfn.LAMBDA(_xlpm._x,_xlpm._x),_xlfn.LAMBDA(_xlpm._x,_xlpm._y,_xlpm._x&amp;CHAR(10)&amp;_xlpm._y)),CHAR(10)))</f>
        <v/>
      </c>
      <c r="H9" s="65"/>
      <c r="I9" s="64"/>
      <c r="J9" s="70"/>
      <c r="K9" s="25" t="str" cm="1">
        <f t="array" aca="1" ref="K9"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IF(LEN(_xlpm._optionsRanges)&lt;=_xlpm._endOfFirstElement,"",CHAR(10)&amp;ShowResultingOptions(RIGHT(_xlpm._optionsRanges,LEN(_xlpm._optionsRanges)-_xlpm._endOfFirstElement),RIGHT(_xlpm._optionsHeights,LEN(_xlpm._optionsHeights)-_xlpm._endOfFirstElementH))))))($I9,$J9),
CHAR(10))</f>
        <v/>
      </c>
      <c r="L9" s="65"/>
      <c r="M9" s="10"/>
      <c r="N9" s="10"/>
      <c r="O9" s="10" cm="1">
        <f t="array" aca="1" ref="O9" ca="1">CreateID($O$3,$A9&lt;&gt;"")</f>
        <v>6</v>
      </c>
      <c r="P9" s="10" cm="1">
        <f t="array" ref="P9">CreateTaskID($P$3,$P:$P,Tasks!$B$17,$N9)</f>
        <v>0</v>
      </c>
      <c r="Q9" s="10" t="b" cm="1">
        <f t="array" ref="Q9">IF($M9="",FALSE,CheckRelevance(SanitizeInput($M9),Questionnaire!$AB:$AB))</f>
        <v>0</v>
      </c>
      <c r="R9" s="10" cm="1">
        <f t="array" aca="1" ref="R9" ca="1">CreateID($R$3,AND($A9&lt;&gt;"",$D9&lt;&gt;""))</f>
        <v>2</v>
      </c>
    </row>
    <row r="10" spans="1:22" ht="105" x14ac:dyDescent="0.25">
      <c r="A10" s="10" t="s">
        <v>921</v>
      </c>
      <c r="B10" s="10" t="str">
        <f>"Does the product contain "&amp;Definitions!$C$4&amp;" or customer intellectual property?"&amp;CHAR(10)&amp;
"Note: Only IP which is part of / accessible by the firmware / software in the product is in scope of this question. Gaining access to optical and mechanical IP are not covered by this question (and the cybersecurity risk analysis)"</f>
        <v>Does the product contain &lt;&lt; OEM Name &gt;&gt; or customer intellectual property?
Note: Only IP which is part of / accessible by the firmware / software in the product is in scope of this question. Gaining access to optical and mechanical IP are not covered by this question (and the cybersecurity risk analysis)</v>
      </c>
      <c r="C10" s="10">
        <v>6</v>
      </c>
      <c r="D10" s="78" t="str">
        <f t="shared" si="0"/>
        <v>x</v>
      </c>
      <c r="E10" s="64" t="str" cm="1">
        <f t="array" aca="1" ref="E10" ca="1">CELL("address",Definitions!$A$4)</f>
        <v>'[QuBA-libre.xlsx]Definitions'!$A$4</v>
      </c>
      <c r="F10" s="10">
        <f>ROWS(Definitions!$A$4:$A$5)</f>
        <v>2</v>
      </c>
      <c r="G10" s="25" t="str" cm="1">
        <f t="array" aca="1" ref="G10" ca="1">IF($F10=0,"",RemoveDelimiter(OperateOnRange(INDIRECT($E10),FALSE,$F10,0,_xlfn.LAMBDA(_xlpm._x,_xlpm._x),_xlfn.LAMBDA(_xlpm._x,_xlpm._y,_xlpm._x&amp;CHAR(10)&amp;_xlpm._y)),CHAR(10)))</f>
        <v>Yes
No</v>
      </c>
      <c r="H10" s="65" t="str">
        <f>Definitions!$A$4&amp;": What is the criticality of the intellectual property?"&amp;CHAR(10)&amp;
Definitions!$A$5&amp;":"</f>
        <v>Yes: What is the criticality of the intellectual property?
No:</v>
      </c>
      <c r="I10" s="64" t="str" cm="1">
        <f t="array" aca="1" ref="I10" ca="1">Definitions!$A$4&amp;": "&amp;CELL("address",INDEX(Definitions!$H:$H,MATCH(Definitions!$E$5,Definitions!$G:$G,0)))</f>
        <v>Yes: '[QuBA-libre.xlsx]Definitions'!$H$7</v>
      </c>
      <c r="J10" s="70" t="str">
        <f ca="1">Definitions!$A$4&amp;": "&amp;COUNTIF(Definitions!$G:$G,Definitions!$E$5)</f>
        <v>Yes: 3</v>
      </c>
      <c r="K10" s="25" t="str" cm="1">
        <f t="array" aca="1" ref="K10"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IF(LEN(_xlpm._optionsRanges)&lt;=_xlpm._endOfFirstElement,"",CHAR(10)&amp;ShowResultingOptions(RIGHT(_xlpm._optionsRanges,LEN(_xlpm._optionsRanges)-_xlpm._endOfFirstElement),RIGHT(_xlpm._optionsHeights,LEN(_xlpm._optionsHeights)-_xlpm._endOfFirstElementH))))))($I10,$J10),
CHAR(10))</f>
        <v>___Yes___
IP (slightly innovative)
IP (moderately innovative)
IP (highly innovative)</v>
      </c>
      <c r="L10" s="65" t="str" cm="1">
        <f t="array" aca="1" ref="L10" ca="1">LEFT($K10,FIND(CHAR(10),$K10&amp;CHAR(10)))&amp;
RemoveDelimiter(GetValuesIgnoreErrors(SUBSTITUTE($K10,CHAR(10),",")&amp;",",Definitions!$H:$I,": ",". Please list the affected data:"&amp;CHAR(10),TRUE),CHAR(10))</f>
        <v>___Yes___
IP (slightly innovative): Loss of general idea how product works or low impact on markets (little innovation / very small market). Please list the affected data:
IP (moderately innovative): Relevant aspects of system is comprehensible or moderate impact on markets (some innovation in the product / medium size market). Please list the affected data:
IP (highly innovative): Can be copied / technology available or high impact on markets (highly innovative product / high-volume market). Please list the affected data:</v>
      </c>
      <c r="M10" s="10"/>
      <c r="N10" s="10"/>
      <c r="O10" s="10" cm="1">
        <f t="array" aca="1" ref="O10" ca="1">CreateID($O$3,$A10&lt;&gt;"")</f>
        <v>7</v>
      </c>
      <c r="P10" s="10" cm="1">
        <f t="array" ref="P10">CreateTaskID($P$3,$P:$P,Tasks!$B$17,$N10)</f>
        <v>0</v>
      </c>
      <c r="Q10" s="10" t="b" cm="1">
        <f t="array" ref="Q10">IF($M10="",FALSE,CheckRelevance(SanitizeInput($M10),Questionnaire!$AB:$AB))</f>
        <v>0</v>
      </c>
      <c r="R10" s="10" cm="1">
        <f t="array" aca="1" ref="R10" ca="1">CreateID($R$3,AND($A10&lt;&gt;"",$D10&lt;&gt;""))</f>
        <v>3</v>
      </c>
    </row>
    <row r="11" spans="1:22" x14ac:dyDescent="0.25">
      <c r="A11" s="10" t="s">
        <v>998</v>
      </c>
      <c r="B11" s="10" t="s">
        <v>51</v>
      </c>
      <c r="C11" s="10">
        <v>3</v>
      </c>
      <c r="D11" s="78" t="str">
        <f t="shared" si="0"/>
        <v/>
      </c>
      <c r="E11" s="64"/>
      <c r="F11" s="10"/>
      <c r="G11" s="25" t="str" cm="1">
        <f t="array" aca="1" ref="G11" ca="1">IF($F11=0,"",RemoveDelimiter(OperateOnRange(INDIRECT($E11),FALSE,$F11,0,_xlfn.LAMBDA(_xlpm._x,_xlpm._x),_xlfn.LAMBDA(_xlpm._x,_xlpm._y,_xlpm._x&amp;CHAR(10)&amp;_xlpm._y)),CHAR(10)))</f>
        <v/>
      </c>
      <c r="H11" s="65"/>
      <c r="I11" s="64"/>
      <c r="J11" s="70"/>
      <c r="K11" s="25" t="str" cm="1">
        <f t="array" aca="1" ref="K11"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IF(LEN(_xlpm._optionsRanges)&lt;=_xlpm._endOfFirstElement,"",CHAR(10)&amp;ShowResultingOptions(RIGHT(_xlpm._optionsRanges,LEN(_xlpm._optionsRanges)-_xlpm._endOfFirstElement),RIGHT(_xlpm._optionsHeights,LEN(_xlpm._optionsHeights)-_xlpm._endOfFirstElementH))))))($I11,$J11),
CHAR(10))</f>
        <v/>
      </c>
      <c r="L11" s="65"/>
      <c r="M11" s="10"/>
      <c r="N11" s="10"/>
      <c r="O11" s="10" cm="1">
        <f t="array" aca="1" ref="O11" ca="1">CreateID($O$3,$A11&lt;&gt;"")</f>
        <v>8</v>
      </c>
      <c r="P11" s="10" cm="1">
        <f t="array" ref="P11">CreateTaskID($P$3,$P:$P,Tasks!$B$17,$N11)</f>
        <v>0</v>
      </c>
      <c r="Q11" s="10" t="b" cm="1">
        <f t="array" ref="Q11">IF($M11="",FALSE,CheckRelevance(SanitizeInput($M11),Questionnaire!$AB:$AB))</f>
        <v>0</v>
      </c>
      <c r="R11" s="10" cm="1">
        <f t="array" aca="1" ref="R11" ca="1">CreateID($R$3,AND($A11&lt;&gt;"",$D11&lt;&gt;""))</f>
        <v>3</v>
      </c>
    </row>
    <row r="12" spans="1:22" ht="108.75" x14ac:dyDescent="0.25">
      <c r="A12" s="10" t="s">
        <v>919</v>
      </c>
      <c r="B12" s="10" t="str">
        <f>"Is "&amp;Definitions!$C$4&amp;" (typically) obliged to keep the processed / stored data (including third-party IP) confidential by contract or law? (Note that this concerns individual obligations, not the standard product warranty)."</f>
        <v>Is &lt;&lt; OEM Name &gt;&gt; (typically) obliged to keep the processed / stored data (including third-party IP) confidential by contract or law? (Note that this concerns individual obligations, not the standard product warranty).</v>
      </c>
      <c r="C12" s="10">
        <v>6</v>
      </c>
      <c r="D12" s="78" t="str">
        <f t="shared" si="0"/>
        <v>x</v>
      </c>
      <c r="E12" s="64" t="str" cm="1">
        <f t="array" aca="1" ref="E12" ca="1">CELL("address",Definitions!$A$4)</f>
        <v>'[QuBA-libre.xlsx]Definitions'!$A$4</v>
      </c>
      <c r="F12" s="10">
        <f>ROWS(Definitions!$A$4:$A$5)</f>
        <v>2</v>
      </c>
      <c r="G12" s="25" t="str" cm="1">
        <f t="array" aca="1" ref="G12" ca="1">IF($F12=0,"",RemoveDelimiter(OperateOnRange(INDIRECT($E12),FALSE,$F12,0,_xlfn.LAMBDA(_xlpm._x,_xlpm._x),_xlfn.LAMBDA(_xlpm._x,_xlpm._y,_xlpm._x&amp;CHAR(10)&amp;_xlpm._y)),CHAR(10)))</f>
        <v>Yes
No</v>
      </c>
      <c r="H12" s="65" t="str">
        <f>Definitions!$A$4&amp;": What is the typical / expected value of direct loss, fines for infringements of laws, or violations of contracts?"&amp;CHAR(10)&amp;
Definitions!$A$5&amp;":"</f>
        <v>Yes: What is the typical / expected value of direct loss, fines for infringements of laws, or violations of contracts?
No:</v>
      </c>
      <c r="I12" s="64" t="str" cm="1">
        <f t="array" aca="1" ref="I12" ca="1">Definitions!$A$4&amp;": "&amp;CELL("address",INDEX(Definitions!$H:$H,MATCH(Definitions!$E$6,Definitions!$G:$G,0)))</f>
        <v>Yes: '[QuBA-libre.xlsx]Definitions'!$H$10</v>
      </c>
      <c r="J12" s="70" t="str">
        <f ca="1">Definitions!$A$4&amp;": "&amp;COUNTIF(Definitions!$G:$G,Definitions!$E$6)</f>
        <v>Yes: 4</v>
      </c>
      <c r="K12" s="25" t="str" cm="1">
        <f t="array" aca="1" ref="K12"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IF(LEN(_xlpm._optionsRanges)&lt;=_xlpm._endOfFirstElement,"",CHAR(10)&amp;ShowResultingOptions(RIGHT(_xlpm._optionsRanges,LEN(_xlpm._optionsRanges)-_xlpm._endOfFirstElement),RIGHT(_xlpm._optionsHeights,LEN(_xlpm._optionsHeights)-_xlpm._endOfFirstElementH))))))($I12,$J12),
CHAR(10))</f>
        <v>___Yes___
Low financial damage
Medium financial damage
High financial damage
Critical financial damage</v>
      </c>
      <c r="L12" s="65" t="str" cm="1">
        <f t="array" aca="1" ref="L12" ca="1">LEFT($K12,FIND(CHAR(10),$K12&amp;CHAR(10)))&amp;
RemoveDelimiter(GetValuesIgnoreErrors(SUBSTITUTE($K12,CHAR(10),",")&amp;",",Definitions!$H:$I,": ",". Please list the affected data:"&amp;CHAR(10),TRUE),CHAR(10))</f>
        <v>___Yes___
Low financial damage: Direct loss, fines for infringements of laws, or violations of contracts (low volume). Please list the affected data:
Medium financial damage: Direct loss, fines for infringements of laws, or violations of contracts (medium volume). Please list the affected data:
High financial damage: Direct loss, fines for infringements of laws, or violations of contracts (high volume). Please list the affected data:
Critical financial damage: Loss of freedom for employees, direct loss, fines for infringements of laws, or violations of contracts (critical volume). Please list the affected data:</v>
      </c>
      <c r="M12" s="10"/>
      <c r="N12" s="10"/>
      <c r="O12" s="10" cm="1">
        <f t="array" aca="1" ref="O12" ca="1">CreateID($O$3,$A12&lt;&gt;"")</f>
        <v>9</v>
      </c>
      <c r="P12" s="10" cm="1">
        <f t="array" ref="P12">CreateTaskID($P$3,$P:$P,Tasks!$B$17,$N12)</f>
        <v>0</v>
      </c>
      <c r="Q12" s="10" t="b" cm="1">
        <f t="array" ref="Q12">IF($M12="",FALSE,CheckRelevance(SanitizeInput($M12),Questionnaire!$AB:$AB))</f>
        <v>0</v>
      </c>
      <c r="R12" s="10" cm="1">
        <f t="array" aca="1" ref="R12" ca="1">CreateID($R$3,AND($A12&lt;&gt;"",$D12&lt;&gt;""))</f>
        <v>4</v>
      </c>
    </row>
    <row r="13" spans="1:22" ht="408.75" x14ac:dyDescent="0.25">
      <c r="A13" s="10" t="s">
        <v>917</v>
      </c>
      <c r="B13" s="10" t="s">
        <v>1197</v>
      </c>
      <c r="C13" s="10">
        <v>6</v>
      </c>
      <c r="D13" s="78" t="str">
        <f t="shared" si="0"/>
        <v>x</v>
      </c>
      <c r="E13" s="64" t="str" cm="1">
        <f t="array" aca="1" ref="E13" ca="1">CELL("address",Definitions!$A$4)</f>
        <v>'[QuBA-libre.xlsx]Definitions'!$A$4</v>
      </c>
      <c r="F13" s="10">
        <f>ROWS(Definitions!$A$4:$A$5)</f>
        <v>2</v>
      </c>
      <c r="G13" s="25" t="str" cm="1">
        <f t="array" aca="1" ref="G13" ca="1">IF($F13=0,"",RemoveDelimiter(OperateOnRange(INDIRECT($E13),FALSE,$F13,0,_xlfn.LAMBDA(_xlpm._x,_xlpm._x),_xlfn.LAMBDA(_xlpm._x,_xlpm._y,_xlpm._x&amp;CHAR(10)&amp;_xlpm._y)),CHAR(10)))</f>
        <v>Yes
No</v>
      </c>
      <c r="H13" s="65" t="str">
        <f>Definitions!$A$4&amp;": What is the worst-case criticality of the data that can be accessed with these credentials / cryptographic keys?"&amp;CHAR(10)&amp;
Definitions!$A$5&amp;":"</f>
        <v>Yes: What is the worst-case criticality of the data that can be accessed with these credentials / cryptographic keys?
No:</v>
      </c>
      <c r="I13" s="64" t="str" cm="1">
        <f t="array" aca="1" ref="I13" ca="1">Definitions!$A$4&amp;": "&amp;CELL("address",Definitions!$H$4)</f>
        <v>Yes: '[QuBA-libre.xlsx]Definitions'!$H$4</v>
      </c>
      <c r="J13" s="70" t="str">
        <f ca="1">Definitions!$A$4&amp;": "&amp;COUNTA(Definitions!$K:$K)-1</f>
        <v>Yes: 20</v>
      </c>
      <c r="K13" s="25" t="str" cm="1">
        <f t="array" aca="1" ref="K13"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IF(LEN(_xlpm._optionsRanges)&lt;=_xlpm._endOfFirstElement,"",CHAR(10)&amp;ShowResultingOptions(RIGHT(_xlpm._optionsRanges,LEN(_xlpm._optionsRanges)-_xlpm._endOfFirstElement),RIGHT(_xlpm._optionsHeights,LEN(_xlpm._optionsHeights)-_xlpm._endOfFirstElementH))))))($I13,$J13),
CHAR(10))</f>
        <v>___Yes___
Personal data (low)
Personal data (significant)
Personal data (ruinous)
IP (slightly innovative)
IP (moderately innovative)
IP (highly innovative)
Low financial damage
Medium financial damage
High financial damage
Critical financial damage
Potentially dangerous situation
Light or moderate injury
Severe injury (survival probable)
Life-threatening injury
Disturbance
Service required
Major disturbance
Environmental damage
Critical disturbance (destruction)
Critical environmental damage</v>
      </c>
      <c r="L13" s="65" t="str" cm="1">
        <f t="array" aca="1" ref="L13" ca="1">LEFT($K13,FIND(CHAR(10),$K13&amp;CHAR(10)))&amp;
RemoveDelimiter(GetValuesIgnoreErrors(SUBSTITUTE($K13,CHAR(10),",")&amp;",",Definitions!$H:$I,": ",". Please list the affected assets:"&amp;CHAR(10),TRUE),CHAR(10))</f>
        <v>___Yes___
Personal data (low): It is possible that the person affected will be negatively affected in his or her social status or economic situation. Please list the affected assets:
Personal data (significant): The person affected can be significantly impaired in his or her social status or economic circumstances. Please list the affected assets:
Personal data (ruinous): The person affected can be ruinously impaired in his social status and economic circumstances. The freedom of the person concerned is threatened. Please list the affected assets:
IP (slightly innovative): Loss of general idea how product works or low impact on markets (little innovation / very small market). Please list the affected assets:
IP (moderately innovative): Relevant aspects of system is comprehensible or moderate impact on markets (some innovation in the product / medium size market). Please list the affected assets:
IP (highly innovative): Can be copied / technology available or high impact on markets (highly innovative product / high-volume market). Please list the affected assets:
Low financial damage: Direct loss, fines for infringements of laws, or violations of contracts (low volume). Please list the affected assets:
Medium financial damage: Direct loss, fines for infringements of laws, or violations of contracts (medium volume). Please list the affected assets:
High financial damage: Direct loss, fines for infringements of laws, or violations of contracts (high volume). Please list the affected assets:
Critical financial damage: Loss of freedom for employees, direct loss, fines for infringements of laws, or violations of contracts (critical volume). Please list the affected assets:
Potentially dangerous situation: Potentially dangerous situation. Please list the affected assets:
Light or moderate injury: Light or moderate injury. Please list the affected assets:
Severe injury (survival probable): Severe injury (survival probable). Please list the affected assets:
Life-threatening injury: Life-threatening injury. Please list the affected assets:
Disturbance: Minor disturbance, customer can quickly fix issue himself (e.g. reset). Please list the affected assets:
Service required: Disturbance of function, service required. Please list the affected assets:
Major disturbance: Major disturbance of function. Please list the affected assets:
Environmental damage: Singular incident with limited environmental damage. Please list the affected assets:
Critical disturbance (destruction): Destruction of plant, severe damage to assets or operational environment, critical disturbance of function. Please list the affected assets:
Critical environmental damage: Environmental damages that accumulate to critical impact over time as well as critical damages that happen in a single incident. Please list the affected assets:</v>
      </c>
      <c r="M13" s="10"/>
      <c r="N13" s="10"/>
      <c r="O13" s="10" cm="1">
        <f t="array" aca="1" ref="O13" ca="1">CreateID($O$3,$A13&lt;&gt;"")</f>
        <v>10</v>
      </c>
      <c r="P13" s="10" cm="1">
        <f t="array" ref="P13">CreateTaskID($P$3,$P:$P,Tasks!$B$17,$N13)</f>
        <v>0</v>
      </c>
      <c r="Q13" s="10" t="b" cm="1">
        <f t="array" ref="Q13">IF($M13="",FALSE,CheckRelevance(SanitizeInput($M13),Questionnaire!$AB:$AB))</f>
        <v>0</v>
      </c>
      <c r="R13" s="10" cm="1">
        <f t="array" aca="1" ref="R13" ca="1">CreateID($R$3,AND($A13&lt;&gt;"",$D13&lt;&gt;""))</f>
        <v>5</v>
      </c>
    </row>
    <row r="14" spans="1:22" x14ac:dyDescent="0.25">
      <c r="A14" s="10" t="s">
        <v>989</v>
      </c>
      <c r="B14" s="10" t="s">
        <v>4</v>
      </c>
      <c r="C14" s="10">
        <v>0</v>
      </c>
      <c r="D14" s="78" t="str">
        <f t="shared" si="0"/>
        <v/>
      </c>
      <c r="E14" s="64"/>
      <c r="F14" s="10"/>
      <c r="G14" s="25" t="str" cm="1">
        <f t="array" aca="1" ref="G14" ca="1">IF($F14=0,"",RemoveDelimiter(OperateOnRange(INDIRECT($E14),FALSE,$F14,0,_xlfn.LAMBDA(_xlpm._x,_xlpm._x),_xlfn.LAMBDA(_xlpm._x,_xlpm._y,_xlpm._x&amp;CHAR(10)&amp;_xlpm._y)),CHAR(10)))</f>
        <v/>
      </c>
      <c r="H14" s="65"/>
      <c r="I14" s="64"/>
      <c r="J14" s="70"/>
      <c r="K14" s="25" t="str" cm="1">
        <f t="array" aca="1" ref="K14"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IF(LEN(_xlpm._optionsRanges)&lt;=_xlpm._endOfFirstElement,"",CHAR(10)&amp;ShowResultingOptions(RIGHT(_xlpm._optionsRanges,LEN(_xlpm._optionsRanges)-_xlpm._endOfFirstElement),RIGHT(_xlpm._optionsHeights,LEN(_xlpm._optionsHeights)-_xlpm._endOfFirstElementH))))))($I14,$J14),
CHAR(10))</f>
        <v/>
      </c>
      <c r="L14" s="65"/>
      <c r="M14" s="10"/>
      <c r="N14" s="10"/>
      <c r="O14" s="10" cm="1">
        <f t="array" aca="1" ref="O14" ca="1">CreateID($O$3,$A14&lt;&gt;"")</f>
        <v>11</v>
      </c>
      <c r="P14" s="10" cm="1">
        <f t="array" ref="P14">CreateTaskID($P$3,$P:$P,Tasks!$B$17,$N14)</f>
        <v>0</v>
      </c>
      <c r="Q14" s="10" t="b" cm="1">
        <f t="array" ref="Q14">IF($M14="",FALSE,CheckRelevance(SanitizeInput($M14),Questionnaire!$AB:$AB))</f>
        <v>0</v>
      </c>
      <c r="R14" s="10" cm="1">
        <f t="array" aca="1" ref="R14" ca="1">CreateID($R$3,AND($A14&lt;&gt;"",$D14&lt;&gt;""))</f>
        <v>5</v>
      </c>
    </row>
    <row r="15" spans="1:22" x14ac:dyDescent="0.25">
      <c r="A15" s="10" t="s">
        <v>999</v>
      </c>
      <c r="B15" s="10" t="s">
        <v>52</v>
      </c>
      <c r="C15" s="10">
        <v>3</v>
      </c>
      <c r="D15" s="78" t="str">
        <f t="shared" si="0"/>
        <v/>
      </c>
      <c r="E15" s="64"/>
      <c r="F15" s="10"/>
      <c r="G15" s="25" t="str" cm="1">
        <f t="array" aca="1" ref="G15" ca="1">IF($F15=0,"",RemoveDelimiter(OperateOnRange(INDIRECT($E15),FALSE,$F15,0,_xlfn.LAMBDA(_xlpm._x,_xlpm._x),_xlfn.LAMBDA(_xlpm._x,_xlpm._y,_xlpm._x&amp;CHAR(10)&amp;_xlpm._y)),CHAR(10)))</f>
        <v/>
      </c>
      <c r="H15" s="65"/>
      <c r="I15" s="64"/>
      <c r="J15" s="70"/>
      <c r="K15" s="25" t="str" cm="1">
        <f t="array" aca="1" ref="K15"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IF(LEN(_xlpm._optionsRanges)&lt;=_xlpm._endOfFirstElement,"",CHAR(10)&amp;ShowResultingOptions(RIGHT(_xlpm._optionsRanges,LEN(_xlpm._optionsRanges)-_xlpm._endOfFirstElement),RIGHT(_xlpm._optionsHeights,LEN(_xlpm._optionsHeights)-_xlpm._endOfFirstElementH))))))($I15,$J15),
CHAR(10))</f>
        <v/>
      </c>
      <c r="L15" s="65"/>
      <c r="M15" s="10"/>
      <c r="N15" s="10"/>
      <c r="O15" s="10" cm="1">
        <f t="array" aca="1" ref="O15" ca="1">CreateID($O$3,$A15&lt;&gt;"")</f>
        <v>12</v>
      </c>
      <c r="P15" s="10" cm="1">
        <f t="array" ref="P15">CreateTaskID($P$3,$P:$P,Tasks!$B$17,$N15)</f>
        <v>0</v>
      </c>
      <c r="Q15" s="10" t="b" cm="1">
        <f t="array" ref="Q15">IF($M15="",FALSE,CheckRelevance(SanitizeInput($M15),Questionnaire!$AB:$AB))</f>
        <v>0</v>
      </c>
      <c r="R15" s="10" cm="1">
        <f t="array" aca="1" ref="R15" ca="1">CreateID($R$3,AND($A15&lt;&gt;"",$D15&lt;&gt;""))</f>
        <v>5</v>
      </c>
    </row>
    <row r="16" spans="1:22" ht="96.75" x14ac:dyDescent="0.25">
      <c r="A16" s="10" t="s">
        <v>914</v>
      </c>
      <c r="B16" s="10" t="s">
        <v>840</v>
      </c>
      <c r="C16" s="10">
        <v>6</v>
      </c>
      <c r="D16" s="78" t="str">
        <f t="shared" si="0"/>
        <v>x</v>
      </c>
      <c r="E16" s="64" t="str" cm="1">
        <f t="array" aca="1" ref="E16" ca="1">CELL("address",Definitions!$A$4)</f>
        <v>'[QuBA-libre.xlsx]Definitions'!$A$4</v>
      </c>
      <c r="F16" s="10">
        <f>ROWS(Definitions!$A$4:$A$5)</f>
        <v>2</v>
      </c>
      <c r="G16" s="25" t="str" cm="1">
        <f t="array" aca="1" ref="G16" ca="1">IF($F16=0,"",RemoveDelimiter(OperateOnRange(INDIRECT($E16),FALSE,$F16,0,_xlfn.LAMBDA(_xlpm._x,_xlpm._x),_xlfn.LAMBDA(_xlpm._x,_xlpm._y,_xlpm._x&amp;CHAR(10)&amp;_xlpm._y)),CHAR(10)))</f>
        <v>Yes
No</v>
      </c>
      <c r="H16" s="65" t="str">
        <f>Definitions!$A$4&amp;": What is the worst case severity of the injury for the intended use of the product?"&amp;CHAR(10)&amp;
Definitions!$A$5&amp;": Is the product a safety product?"</f>
        <v>Yes: What is the worst case severity of the injury for the intended use of the product?
No: Is the product a safety product?</v>
      </c>
      <c r="I16" s="64" t="str" cm="1">
        <f t="array" aca="1" ref="I16" ca="1">Definitions!$A$4&amp;": "&amp;CELL("address",INDEX(Definitions!$H:$H,MATCH(Definitions!$E$7,Definitions!$G:$G,0)))&amp;CHAR(10)&amp;
Definitions!$A$5&amp;": "&amp;CELL("address",Definitions!$A$4)</f>
        <v>Yes: '[QuBA-libre.xlsx]Definitions'!$H$14
No: '[QuBA-libre.xlsx]Definitions'!$A$4</v>
      </c>
      <c r="J16" s="70" t="str">
        <f ca="1">Definitions!$A$4&amp;": "&amp;COUNTIF(Definitions!$G:$G,Definitions!$E$7)&amp;CHAR(10)&amp;
Definitions!$A$5&amp;": "&amp;ROWS(Definitions!$A$4:$A$5)</f>
        <v>Yes: 4
No: 2</v>
      </c>
      <c r="K16" s="25" t="str" cm="1">
        <f t="array" aca="1" ref="K16"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IF(LEN(_xlpm._optionsRanges)&lt;=_xlpm._endOfFirstElement,"",CHAR(10)&amp;ShowResultingOptions(RIGHT(_xlpm._optionsRanges,LEN(_xlpm._optionsRanges)-_xlpm._endOfFirstElement),RIGHT(_xlpm._optionsHeights,LEN(_xlpm._optionsHeights)-_xlpm._endOfFirstElementH))))))($I16,$J16),
CHAR(10))</f>
        <v>___Yes___
Potentially dangerous situation
Light or moderate injury
Severe injury (survival probable)
Life-threatening injury
___No___
Yes
No</v>
      </c>
      <c r="L16" s="65" t="str" cm="1">
        <f t="array" aca="1" ref="L16" ca="1">LEFT($K16,FIND(CHAR(10),$K16&amp;CHAR(10)))&amp;
RemoveDelimiter(GetValuesIgnoreErrors(SUBSTITUTE($K16,CHAR(10),",")&amp;",",Definitions!$H:$I,": ",". Please provide a rationale:"&amp;CHAR(10),TRUE),CHAR(10))&amp;CHAR(10)&amp;
"___"&amp;Definitions!$A$5&amp;"___"&amp;CHAR(10)&amp;
Definitions!$A$4&amp;":"&amp;CHAR(10)&amp;
Definitions!$A$5&amp;":"</f>
        <v>___Yes___
Potentially dangerous situation: Potentially dangerous situation. Please provide a rationale:
Light or moderate injury: Light or moderate injury. Please provide a rationale:
Severe injury (survival probable): Severe injury (survival probable). Please provide a rationale:
Life-threatening injury: Life-threatening injury. Please provide a rationale:
___No___
Yes:
No:</v>
      </c>
      <c r="M16" s="10"/>
      <c r="N16" s="10"/>
      <c r="O16" s="10" cm="1">
        <f t="array" aca="1" ref="O16" ca="1">CreateID($O$3,$A16&lt;&gt;"")</f>
        <v>13</v>
      </c>
      <c r="P16" s="10" cm="1">
        <f t="array" ref="P16">CreateTaskID($P$3,$P:$P,Tasks!$B$17,$N16)</f>
        <v>0</v>
      </c>
      <c r="Q16" s="10" t="b" cm="1">
        <f t="array" ref="Q16">IF($M16="",FALSE,CheckRelevance(SanitizeInput($M16),Questionnaire!$AB:$AB))</f>
        <v>0</v>
      </c>
      <c r="R16" s="10" cm="1">
        <f t="array" aca="1" ref="R16" ca="1">CreateID($R$3,AND($A16&lt;&gt;"",$D16&lt;&gt;""))</f>
        <v>6</v>
      </c>
    </row>
    <row r="17" spans="1:18" x14ac:dyDescent="0.25">
      <c r="A17" s="10" t="s">
        <v>1000</v>
      </c>
      <c r="B17" s="10" t="s">
        <v>53</v>
      </c>
      <c r="C17" s="10">
        <v>3</v>
      </c>
      <c r="D17" s="78" t="str">
        <f t="shared" si="0"/>
        <v/>
      </c>
      <c r="E17" s="64"/>
      <c r="F17" s="10"/>
      <c r="G17" s="25" t="str" cm="1">
        <f t="array" aca="1" ref="G17" ca="1">IF($F17=0,"",RemoveDelimiter(OperateOnRange(INDIRECT($E17),FALSE,$F17,0,_xlfn.LAMBDA(_xlpm._x,_xlpm._x),_xlfn.LAMBDA(_xlpm._x,_xlpm._y,_xlpm._x&amp;CHAR(10)&amp;_xlpm._y)),CHAR(10)))</f>
        <v/>
      </c>
      <c r="H17" s="65"/>
      <c r="I17" s="64"/>
      <c r="J17" s="70"/>
      <c r="K17" s="25" t="str" cm="1">
        <f t="array" aca="1" ref="K17"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IF(LEN(_xlpm._optionsRanges)&lt;=_xlpm._endOfFirstElement,"",CHAR(10)&amp;ShowResultingOptions(RIGHT(_xlpm._optionsRanges,LEN(_xlpm._optionsRanges)-_xlpm._endOfFirstElement),RIGHT(_xlpm._optionsHeights,LEN(_xlpm._optionsHeights)-_xlpm._endOfFirstElementH))))))($I17,$J17),
CHAR(10))</f>
        <v/>
      </c>
      <c r="L17" s="65"/>
      <c r="M17" s="10"/>
      <c r="N17" s="10"/>
      <c r="O17" s="10" cm="1">
        <f t="array" aca="1" ref="O17" ca="1">CreateID($O$3,$A17&lt;&gt;"")</f>
        <v>14</v>
      </c>
      <c r="P17" s="10" cm="1">
        <f t="array" ref="P17">CreateTaskID($P$3,$P:$P,Tasks!$B$17,$N17)</f>
        <v>0</v>
      </c>
      <c r="Q17" s="10" t="b" cm="1">
        <f t="array" ref="Q17">IF($M17="",FALSE,CheckRelevance(SanitizeInput($M17),Questionnaire!$AB:$AB))</f>
        <v>0</v>
      </c>
      <c r="R17" s="10" cm="1">
        <f t="array" aca="1" ref="R17" ca="1">CreateID($R$3,AND($A17&lt;&gt;"",$D17&lt;&gt;""))</f>
        <v>6</v>
      </c>
    </row>
    <row r="18" spans="1:18" ht="132.75" x14ac:dyDescent="0.25">
      <c r="A18" s="10" t="s">
        <v>913</v>
      </c>
      <c r="B18" s="10" t="s">
        <v>551</v>
      </c>
      <c r="C18" s="10">
        <v>6</v>
      </c>
      <c r="D18" s="78" t="str">
        <f t="shared" si="0"/>
        <v>x</v>
      </c>
      <c r="E18" s="64" t="str" cm="1">
        <f t="array" aca="1" ref="E18" ca="1">CELL("address",Definitions!$A$4)</f>
        <v>'[QuBA-libre.xlsx]Definitions'!$A$4</v>
      </c>
      <c r="F18" s="10">
        <f>ROWS(Definitions!$A$4:$A$5)</f>
        <v>2</v>
      </c>
      <c r="G18" s="25" t="str" cm="1">
        <f t="array" aca="1" ref="G18" ca="1">IF($F18=0,"",RemoveDelimiter(OperateOnRange(INDIRECT($E18),FALSE,$F18,0,_xlfn.LAMBDA(_xlpm._x,_xlpm._x),_xlfn.LAMBDA(_xlpm._x,_xlpm._y,_xlpm._x&amp;CHAR(10)&amp;_xlpm._y)),CHAR(10)))</f>
        <v>Yes
No</v>
      </c>
      <c r="H18" s="65" t="str">
        <f>Definitions!$A$4&amp;": What is the worst case effect on the operational environment for the intended use of the product?"&amp;CHAR(10)&amp;
Definitions!$A$5&amp;":"</f>
        <v>Yes: What is the worst case effect on the operational environment for the intended use of the product?
No:</v>
      </c>
      <c r="I18" s="64" t="str" cm="1">
        <f t="array" aca="1" ref="I18" ca="1">Definitions!$A$4&amp;": "&amp;CELL("address",INDEX(Definitions!$H:$H,MATCH(Definitions!$E$8,Definitions!$G:$G,0)))</f>
        <v>Yes: '[QuBA-libre.xlsx]Definitions'!$H$18</v>
      </c>
      <c r="J18" s="70" t="str">
        <f ca="1">Definitions!$A$4&amp;": "&amp;COUNTIF(Definitions!$G:$G,Definitions!$E$8)</f>
        <v>Yes: 6</v>
      </c>
      <c r="K18" s="25" t="str" cm="1">
        <f t="array" aca="1" ref="K18"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IF(LEN(_xlpm._optionsRanges)&lt;=_xlpm._endOfFirstElement,"",CHAR(10)&amp;ShowResultingOptions(RIGHT(_xlpm._optionsRanges,LEN(_xlpm._optionsRanges)-_xlpm._endOfFirstElement),RIGHT(_xlpm._optionsHeights,LEN(_xlpm._optionsHeights)-_xlpm._endOfFirstElementH))))))($I18,$J18),
CHAR(10))</f>
        <v>___Yes___
Disturbance
Service required
Major disturbance
Environmental damage
Critical disturbance (destruction)
Critical environmental damage</v>
      </c>
      <c r="L18" s="65" t="str" cm="1">
        <f t="array" aca="1" ref="L18" ca="1">LEFT($K18,FIND(CHAR(10),$K18&amp;CHAR(10)))&amp;
RemoveDelimiter(GetValuesIgnoreErrors(SUBSTITUTE($K18,CHAR(10),",")&amp;",",Definitions!$H:$I,": ",". Please explain the expected effects:"&amp;CHAR(10),TRUE),CHAR(10))</f>
        <v>___Yes___
Disturbance: Minor disturbance, customer can quickly fix issue himself (e.g. reset). Please explain the expected effects:
Service required: Disturbance of function, service required. Please explain the expected effects:
Major disturbance: Major disturbance of function. Please explain the expected effects:
Environmental damage: Singular incident with limited environmental damage. Please explain the expected effects:
Critical disturbance (destruction): Destruction of plant, severe damage to assets or operational environment, critical disturbance of function. Please explain the expected effects:
Critical environmental damage: Environmental damages that accumulate to critical impact over time as well as critical damages that happen in a single incident. Please explain the expected effects:</v>
      </c>
      <c r="M18" s="10"/>
      <c r="N18" s="10"/>
      <c r="O18" s="10" cm="1">
        <f t="array" aca="1" ref="O18" ca="1">CreateID($O$3,$A18&lt;&gt;"")</f>
        <v>15</v>
      </c>
      <c r="P18" s="10" cm="1">
        <f t="array" ref="P18">CreateTaskID($P$3,$P:$P,Tasks!$B$17,$N18)</f>
        <v>0</v>
      </c>
      <c r="Q18" s="10" t="b" cm="1">
        <f t="array" ref="Q18">IF($M18="",FALSE,CheckRelevance(SanitizeInput($M18),Questionnaire!$AB:$AB))</f>
        <v>0</v>
      </c>
      <c r="R18" s="10" cm="1">
        <f t="array" aca="1" ref="R18" ca="1">CreateID($R$3,AND($A18&lt;&gt;"",$D18&lt;&gt;""))</f>
        <v>7</v>
      </c>
    </row>
    <row r="19" spans="1:18" x14ac:dyDescent="0.25">
      <c r="A19" s="10" t="s">
        <v>1001</v>
      </c>
      <c r="B19" s="10" t="s">
        <v>51</v>
      </c>
      <c r="C19" s="10">
        <v>3</v>
      </c>
      <c r="D19" s="78" t="str">
        <f t="shared" si="0"/>
        <v/>
      </c>
      <c r="E19" s="64"/>
      <c r="F19" s="10"/>
      <c r="G19" s="25" t="str" cm="1">
        <f t="array" aca="1" ref="G19" ca="1">IF($F19=0,"",RemoveDelimiter(OperateOnRange(INDIRECT($E19),FALSE,$F19,0,_xlfn.LAMBDA(_xlpm._x,_xlpm._x),_xlfn.LAMBDA(_xlpm._x,_xlpm._y,_xlpm._x&amp;CHAR(10)&amp;_xlpm._y)),CHAR(10)))</f>
        <v/>
      </c>
      <c r="H19" s="65"/>
      <c r="I19" s="64"/>
      <c r="J19" s="70"/>
      <c r="K19" s="25" t="str" cm="1">
        <f t="array" aca="1" ref="K19"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IF(LEN(_xlpm._optionsRanges)&lt;=_xlpm._endOfFirstElement,"",CHAR(10)&amp;ShowResultingOptions(RIGHT(_xlpm._optionsRanges,LEN(_xlpm._optionsRanges)-_xlpm._endOfFirstElement),RIGHT(_xlpm._optionsHeights,LEN(_xlpm._optionsHeights)-_xlpm._endOfFirstElementH))))))($I19,$J19),
CHAR(10))</f>
        <v/>
      </c>
      <c r="L19" s="65"/>
      <c r="M19" s="10"/>
      <c r="N19" s="10"/>
      <c r="O19" s="10" cm="1">
        <f t="array" aca="1" ref="O19" ca="1">CreateID($O$3,$A19&lt;&gt;"")</f>
        <v>16</v>
      </c>
      <c r="P19" s="10" cm="1">
        <f t="array" ref="P19">CreateTaskID($P$3,$P:$P,Tasks!$B$17,$N19)</f>
        <v>0</v>
      </c>
      <c r="Q19" s="10" t="b" cm="1">
        <f t="array" ref="Q19">IF($M19="",FALSE,CheckRelevance(SanitizeInput($M19),Questionnaire!$AB:$AB))</f>
        <v>0</v>
      </c>
      <c r="R19" s="10" cm="1">
        <f t="array" aca="1" ref="R19" ca="1">CreateID($R$3,AND($A19&lt;&gt;"",$D19&lt;&gt;""))</f>
        <v>7</v>
      </c>
    </row>
    <row r="20" spans="1:18" ht="108.75" x14ac:dyDescent="0.25">
      <c r="A20" s="10" t="s">
        <v>911</v>
      </c>
      <c r="B20" s="10" t="str">
        <f>"Can a loss of availability allow an attacker access to assets of the customer (including physical access not detected by the "&amp;Definitions!$C$4&amp;" product)? Example: The product is used for access control."</f>
        <v>Can a loss of availability allow an attacker access to assets of the customer (including physical access not detected by the &lt;&lt; OEM Name &gt;&gt; product)? Example: The product is used for access control.</v>
      </c>
      <c r="C20" s="10">
        <v>6</v>
      </c>
      <c r="D20" s="78" t="str">
        <f t="shared" si="0"/>
        <v>x</v>
      </c>
      <c r="E20" s="64" t="str" cm="1">
        <f t="array" aca="1" ref="E20" ca="1">CELL("address",Definitions!$A$4)</f>
        <v>'[QuBA-libre.xlsx]Definitions'!$A$4</v>
      </c>
      <c r="F20" s="10">
        <f>ROWS(Definitions!$A$4:$A$5)</f>
        <v>2</v>
      </c>
      <c r="G20" s="25" t="str" cm="1">
        <f t="array" aca="1" ref="G20" ca="1">IF($F20=0,"",RemoveDelimiter(OperateOnRange(INDIRECT($E20),FALSE,$F20,0,_xlfn.LAMBDA(_xlpm._x,_xlpm._x),_xlfn.LAMBDA(_xlpm._x,_xlpm._y,_xlpm._x&amp;CHAR(10)&amp;_xlpm._y)),CHAR(10)))</f>
        <v>Yes
No</v>
      </c>
      <c r="H20" s="65" t="str">
        <f>Definitions!$A$4&amp;": What is the worst case value of these assets for the intended use of the product?"&amp;CHAR(10)&amp;
Definitions!$A$5&amp;":"</f>
        <v>Yes: What is the worst case value of these assets for the intended use of the product?
No:</v>
      </c>
      <c r="I20" s="64" t="str" cm="1">
        <f t="array" aca="1" ref="I20" ca="1">Definitions!$A$4&amp;": "&amp;CELL("address",INDEX(Definitions!$H:$H,MATCH(Definitions!$E$6,Definitions!$G:$G,0)))</f>
        <v>Yes: '[QuBA-libre.xlsx]Definitions'!$H$10</v>
      </c>
      <c r="J20" s="70" t="str">
        <f ca="1">Definitions!$A$4&amp;": "&amp;COUNTIF(Definitions!$G:$G,Definitions!$E$6)</f>
        <v>Yes: 4</v>
      </c>
      <c r="K20" s="25" t="str" cm="1">
        <f t="array" aca="1" ref="K20"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IF(LEN(_xlpm._optionsRanges)&lt;=_xlpm._endOfFirstElement,"",CHAR(10)&amp;ShowResultingOptions(RIGHT(_xlpm._optionsRanges,LEN(_xlpm._optionsRanges)-_xlpm._endOfFirstElement),RIGHT(_xlpm._optionsHeights,LEN(_xlpm._optionsHeights)-_xlpm._endOfFirstElementH))))))($I20,$J20),
CHAR(10))</f>
        <v>___Yes___
Low financial damage
Medium financial damage
High financial damage
Critical financial damage</v>
      </c>
      <c r="L20" s="65" t="str" cm="1">
        <f t="array" aca="1" ref="L20" ca="1">LEFT($K20,FIND(CHAR(10),$K20&amp;CHAR(10)))&amp;
RemoveDelimiter(GetValuesIgnoreErrors(SUBSTITUTE($K20,CHAR(10),",")&amp;",",Definitions!$H:$I,": ",". Please characterize the affected assets:"&amp;CHAR(10),TRUE),CHAR(10))</f>
        <v>___Yes___
Low financial damage: Direct loss, fines for infringements of laws, or violations of contracts (low volume). Please characterize the affected assets:
Medium financial damage: Direct loss, fines for infringements of laws, or violations of contracts (medium volume). Please characterize the affected assets:
High financial damage: Direct loss, fines for infringements of laws, or violations of contracts (high volume). Please characterize the affected assets:
Critical financial damage: Loss of freedom for employees, direct loss, fines for infringements of laws, or violations of contracts (critical volume). Please characterize the affected assets:</v>
      </c>
      <c r="M20" s="10"/>
      <c r="N20" s="10"/>
      <c r="O20" s="10" cm="1">
        <f t="array" aca="1" ref="O20" ca="1">CreateID($O$3,$A20&lt;&gt;"")</f>
        <v>17</v>
      </c>
      <c r="P20" s="10" cm="1">
        <f t="array" ref="P20">CreateTaskID($P$3,$P:$P,Tasks!$B$17,$N20)</f>
        <v>0</v>
      </c>
      <c r="Q20" s="10" t="b" cm="1">
        <f t="array" ref="Q20">IF($M20="",FALSE,CheckRelevance(SanitizeInput($M20),Questionnaire!$AB:$AB))</f>
        <v>0</v>
      </c>
      <c r="R20" s="10" cm="1">
        <f t="array" aca="1" ref="R20" ca="1">CreateID($R$3,AND($A20&lt;&gt;"",$D20&lt;&gt;""))</f>
        <v>8</v>
      </c>
    </row>
    <row r="21" spans="1:18" ht="108.75" x14ac:dyDescent="0.25">
      <c r="A21" s="10" t="s">
        <v>909</v>
      </c>
      <c r="B21" s="10" t="s">
        <v>1546</v>
      </c>
      <c r="C21" s="10">
        <v>6</v>
      </c>
      <c r="D21" s="78" t="str">
        <f t="shared" si="0"/>
        <v>x</v>
      </c>
      <c r="E21" s="64" t="str" cm="1">
        <f t="array" aca="1" ref="E21" ca="1">CELL("address",Definitions!$A$4)</f>
        <v>'[QuBA-libre.xlsx]Definitions'!$A$4</v>
      </c>
      <c r="F21" s="10">
        <f>ROWS(Definitions!$A$4:$A$5)</f>
        <v>2</v>
      </c>
      <c r="G21" s="25" t="str" cm="1">
        <f t="array" aca="1" ref="G21" ca="1">IF($F21=0,"",RemoveDelimiter(OperateOnRange(INDIRECT($E21),FALSE,$F21,0,_xlfn.LAMBDA(_xlpm._x,_xlpm._x),_xlfn.LAMBDA(_xlpm._x,_xlpm._y,_xlpm._x&amp;CHAR(10)&amp;_xlpm._y)),CHAR(10)))</f>
        <v>Yes
No</v>
      </c>
      <c r="H21" s="65" t="str">
        <f>Definitions!$A$4&amp;": What is the typical / expected value of the fines for contract violation?"&amp;CHAR(10)&amp;
Definitions!$A$5&amp;":"</f>
        <v>Yes: What is the typical / expected value of the fines for contract violation?
No:</v>
      </c>
      <c r="I21" s="64" t="str" cm="1">
        <f t="array" aca="1" ref="I21" ca="1">Definitions!$A$4&amp;": "&amp;CELL("address",INDEX(Definitions!$H:$H,MATCH(Definitions!$E$6,Definitions!$G:$G,0)))</f>
        <v>Yes: '[QuBA-libre.xlsx]Definitions'!$H$10</v>
      </c>
      <c r="J21" s="70" t="str">
        <f ca="1">Definitions!$A$4&amp;": "&amp;COUNTIF(Definitions!$G:$G,Definitions!$E$6)</f>
        <v>Yes: 4</v>
      </c>
      <c r="K21" s="25" t="str" cm="1">
        <f t="array" aca="1" ref="K21"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IF(LEN(_xlpm._optionsRanges)&lt;=_xlpm._endOfFirstElement,"",CHAR(10)&amp;ShowResultingOptions(RIGHT(_xlpm._optionsRanges,LEN(_xlpm._optionsRanges)-_xlpm._endOfFirstElement),RIGHT(_xlpm._optionsHeights,LEN(_xlpm._optionsHeights)-_xlpm._endOfFirstElementH))))))($I21,$J21),
CHAR(10))</f>
        <v>___Yes___
Low financial damage
Medium financial damage
High financial damage
Critical financial damage</v>
      </c>
      <c r="L21" s="65" t="str" cm="1">
        <f t="array" aca="1" ref="L21" ca="1">LEFT($K21,FIND(CHAR(10),$K21&amp;CHAR(10)))&amp;
RemoveDelimiter(GetValuesIgnoreErrors(SUBSTITUTE($K21,CHAR(10),",")&amp;",",Definitions!$H:$I,": ",". Please describe the reason of the contract violation:"&amp;CHAR(10),TRUE),CHAR(10))</f>
        <v>___Yes___
Low financial damage: Direct loss, fines for infringements of laws, or violations of contracts (low volume). Please describe the reason of the contract violation:
Medium financial damage: Direct loss, fines for infringements of laws, or violations of contracts (medium volume). Please describe the reason of the contract violation:
High financial damage: Direct loss, fines for infringements of laws, or violations of contracts (high volume). Please describe the reason of the contract violation:
Critical financial damage: Loss of freedom for employees, direct loss, fines for infringements of laws, or violations of contracts (critical volume). Please describe the reason of the contract violation:</v>
      </c>
      <c r="M21" s="10"/>
      <c r="N21" s="10"/>
      <c r="O21" s="10" cm="1">
        <f t="array" aca="1" ref="O21" ca="1">CreateID($O$3,$A21&lt;&gt;"")</f>
        <v>18</v>
      </c>
      <c r="P21" s="10" cm="1">
        <f t="array" ref="P21">CreateTaskID($P$3,$P:$P,Tasks!$B$17,$N21)</f>
        <v>0</v>
      </c>
      <c r="Q21" s="10" t="b" cm="1">
        <f t="array" ref="Q21">IF($M21="",FALSE,CheckRelevance(SanitizeInput($M21),Questionnaire!$AB:$AB))</f>
        <v>0</v>
      </c>
      <c r="R21" s="10" cm="1">
        <f t="array" aca="1" ref="R21" ca="1">CreateID($R$3,AND($A21&lt;&gt;"",$D21&lt;&gt;""))</f>
        <v>9</v>
      </c>
    </row>
    <row r="22" spans="1:18" x14ac:dyDescent="0.25">
      <c r="A22" s="10" t="s">
        <v>990</v>
      </c>
      <c r="B22" s="10" t="s">
        <v>5</v>
      </c>
      <c r="C22" s="10">
        <v>0</v>
      </c>
      <c r="D22" s="78" t="str">
        <f t="shared" si="0"/>
        <v/>
      </c>
      <c r="E22" s="64"/>
      <c r="F22" s="10"/>
      <c r="G22" s="25" t="str" cm="1">
        <f t="array" aca="1" ref="G22" ca="1">IF($F22=0,"",RemoveDelimiter(OperateOnRange(INDIRECT($E22),FALSE,$F22,0,_xlfn.LAMBDA(_xlpm._x,_xlpm._x),_xlfn.LAMBDA(_xlpm._x,_xlpm._y,_xlpm._x&amp;CHAR(10)&amp;_xlpm._y)),CHAR(10)))</f>
        <v/>
      </c>
      <c r="H22" s="65"/>
      <c r="I22" s="64"/>
      <c r="J22" s="70"/>
      <c r="K22" s="25" t="str" cm="1">
        <f t="array" aca="1" ref="K22"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IF(LEN(_xlpm._optionsRanges)&lt;=_xlpm._endOfFirstElement,"",CHAR(10)&amp;ShowResultingOptions(RIGHT(_xlpm._optionsRanges,LEN(_xlpm._optionsRanges)-_xlpm._endOfFirstElement),RIGHT(_xlpm._optionsHeights,LEN(_xlpm._optionsHeights)-_xlpm._endOfFirstElementH))))))($I22,$J22),
CHAR(10))</f>
        <v/>
      </c>
      <c r="L22" s="65"/>
      <c r="M22" s="10"/>
      <c r="N22" s="10"/>
      <c r="O22" s="10" cm="1">
        <f t="array" aca="1" ref="O22" ca="1">CreateID($O$3,$A22&lt;&gt;"")</f>
        <v>19</v>
      </c>
      <c r="P22" s="10" cm="1">
        <f t="array" ref="P22">CreateTaskID($P$3,$P:$P,Tasks!$B$17,$N22)</f>
        <v>0</v>
      </c>
      <c r="Q22" s="10" t="b" cm="1">
        <f t="array" ref="Q22">IF($M22="",FALSE,CheckRelevance(SanitizeInput($M22),Questionnaire!$AB:$AB))</f>
        <v>0</v>
      </c>
      <c r="R22" s="10" cm="1">
        <f t="array" aca="1" ref="R22" ca="1">CreateID($R$3,AND($A22&lt;&gt;"",$D22&lt;&gt;""))</f>
        <v>9</v>
      </c>
    </row>
    <row r="23" spans="1:18" x14ac:dyDescent="0.25">
      <c r="A23" s="10" t="s">
        <v>1002</v>
      </c>
      <c r="B23" s="10" t="s">
        <v>52</v>
      </c>
      <c r="C23" s="10">
        <v>3</v>
      </c>
      <c r="D23" s="78" t="str">
        <f t="shared" si="0"/>
        <v/>
      </c>
      <c r="E23" s="64"/>
      <c r="F23" s="10"/>
      <c r="G23" s="25" t="str" cm="1">
        <f t="array" aca="1" ref="G23" ca="1">IF($F23=0,"",RemoveDelimiter(OperateOnRange(INDIRECT($E23),FALSE,$F23,0,_xlfn.LAMBDA(_xlpm._x,_xlpm._x),_xlfn.LAMBDA(_xlpm._x,_xlpm._y,_xlpm._x&amp;CHAR(10)&amp;_xlpm._y)),CHAR(10)))</f>
        <v/>
      </c>
      <c r="H23" s="65"/>
      <c r="I23" s="64"/>
      <c r="J23" s="70"/>
      <c r="K23" s="25" t="str" cm="1">
        <f t="array" aca="1" ref="K23"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IF(LEN(_xlpm._optionsRanges)&lt;=_xlpm._endOfFirstElement,"",CHAR(10)&amp;ShowResultingOptions(RIGHT(_xlpm._optionsRanges,LEN(_xlpm._optionsRanges)-_xlpm._endOfFirstElement),RIGHT(_xlpm._optionsHeights,LEN(_xlpm._optionsHeights)-_xlpm._endOfFirstElementH))))))($I23,$J23),
CHAR(10))</f>
        <v/>
      </c>
      <c r="L23" s="65"/>
      <c r="M23" s="10"/>
      <c r="N23" s="10"/>
      <c r="O23" s="10" cm="1">
        <f t="array" aca="1" ref="O23" ca="1">CreateID($O$3,$A23&lt;&gt;"")</f>
        <v>20</v>
      </c>
      <c r="P23" s="10" cm="1">
        <f t="array" ref="P23">CreateTaskID($P$3,$P:$P,Tasks!$B$17,$N23)</f>
        <v>0</v>
      </c>
      <c r="Q23" s="10" t="b" cm="1">
        <f t="array" ref="Q23">IF($M23="",FALSE,CheckRelevance(SanitizeInput($M23),Questionnaire!$AB:$AB))</f>
        <v>0</v>
      </c>
      <c r="R23" s="10" cm="1">
        <f t="array" aca="1" ref="R23" ca="1">CreateID($R$3,AND($A23&lt;&gt;"",$D23&lt;&gt;""))</f>
        <v>9</v>
      </c>
    </row>
    <row r="24" spans="1:18" ht="60.75" x14ac:dyDescent="0.25">
      <c r="A24" s="10" t="s">
        <v>906</v>
      </c>
      <c r="B24" s="10" t="s">
        <v>58</v>
      </c>
      <c r="C24" s="10">
        <v>6</v>
      </c>
      <c r="D24" s="78" t="str">
        <f t="shared" si="0"/>
        <v>x</v>
      </c>
      <c r="E24" s="64" t="str" cm="1">
        <f t="array" aca="1" ref="E24" ca="1">CELL("address",Definitions!$A$4)</f>
        <v>'[QuBA-libre.xlsx]Definitions'!$A$4</v>
      </c>
      <c r="F24" s="10">
        <f>ROWS(Definitions!$A$4:$A$5)</f>
        <v>2</v>
      </c>
      <c r="G24" s="25" t="str" cm="1">
        <f t="array" aca="1" ref="G24" ca="1">IF($F24=0,"",RemoveDelimiter(OperateOnRange(INDIRECT($E24),FALSE,$F24,0,_xlfn.LAMBDA(_xlpm._x,_xlpm._x),_xlfn.LAMBDA(_xlpm._x,_xlpm._y,_xlpm._x&amp;CHAR(10)&amp;_xlpm._y)),CHAR(10)))</f>
        <v>Yes
No</v>
      </c>
      <c r="H24" s="65" t="str">
        <f>Definitions!$A$4&amp;": What is the worst case severity of the injury for the intended use of the product?"&amp;CHAR(10)&amp;
Definitions!$A$5&amp;":"</f>
        <v>Yes: What is the worst case severity of the injury for the intended use of the product?
No:</v>
      </c>
      <c r="I24" s="64" t="str" cm="1">
        <f t="array" aca="1" ref="I24" ca="1">Definitions!$A$4&amp;": "&amp;CELL("address",INDEX(Definitions!$H:$H,MATCH(Definitions!$E$7,Definitions!$G:$G,0)))</f>
        <v>Yes: '[QuBA-libre.xlsx]Definitions'!$H$14</v>
      </c>
      <c r="J24" s="70" t="str">
        <f ca="1">Definitions!$A$4&amp;": "&amp;COUNTIF(Definitions!$G:$G,Definitions!$E$7)</f>
        <v>Yes: 4</v>
      </c>
      <c r="K24" s="25" t="str" cm="1">
        <f t="array" aca="1" ref="K24"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IF(LEN(_xlpm._optionsRanges)&lt;=_xlpm._endOfFirstElement,"",CHAR(10)&amp;ShowResultingOptions(RIGHT(_xlpm._optionsRanges,LEN(_xlpm._optionsRanges)-_xlpm._endOfFirstElement),RIGHT(_xlpm._optionsHeights,LEN(_xlpm._optionsHeights)-_xlpm._endOfFirstElementH))))))($I24,$J24),
CHAR(10))</f>
        <v>___Yes___
Potentially dangerous situation
Light or moderate injury
Severe injury (survival probable)
Life-threatening injury</v>
      </c>
      <c r="L24" s="65" t="str" cm="1">
        <f t="array" aca="1" ref="L24" ca="1">LEFT($K24,FIND(CHAR(10),$K24&amp;CHAR(10)))&amp;
RemoveDelimiter(GetValuesIgnoreErrors(SUBSTITUTE($K24,CHAR(10),",")&amp;",",Definitions!$H:$I,": ",". Please provide a rationale:"&amp;CHAR(10),TRUE),CHAR(10))</f>
        <v>___Yes___
Potentially dangerous situation: Potentially dangerous situation. Please provide a rationale:
Light or moderate injury: Light or moderate injury. Please provide a rationale:
Severe injury (survival probable): Severe injury (survival probable). Please provide a rationale:
Life-threatening injury: Life-threatening injury. Please provide a rationale:</v>
      </c>
      <c r="M24" s="10"/>
      <c r="N24" s="10"/>
      <c r="O24" s="10" cm="1">
        <f t="array" aca="1" ref="O24" ca="1">CreateID($O$3,$A24&lt;&gt;"")</f>
        <v>21</v>
      </c>
      <c r="P24" s="10" cm="1">
        <f t="array" ref="P24">CreateTaskID($P$3,$P:$P,Tasks!$B$17,$N24)</f>
        <v>0</v>
      </c>
      <c r="Q24" s="10" t="b" cm="1">
        <f t="array" ref="Q24">IF($M24="",FALSE,CheckRelevance(SanitizeInput($M24),Questionnaire!$AB:$AB))</f>
        <v>0</v>
      </c>
      <c r="R24" s="10" cm="1">
        <f t="array" aca="1" ref="R24" ca="1">CreateID($R$3,AND($A24&lt;&gt;"",$D24&lt;&gt;""))</f>
        <v>10</v>
      </c>
    </row>
    <row r="25" spans="1:18" x14ac:dyDescent="0.25">
      <c r="A25" s="10" t="s">
        <v>1003</v>
      </c>
      <c r="B25" s="10" t="s">
        <v>54</v>
      </c>
      <c r="C25" s="10">
        <v>3</v>
      </c>
      <c r="D25" s="78" t="str">
        <f t="shared" si="0"/>
        <v/>
      </c>
      <c r="E25" s="64"/>
      <c r="F25" s="10"/>
      <c r="G25" s="25" t="str" cm="1">
        <f t="array" aca="1" ref="G25" ca="1">IF($F25=0,"",RemoveDelimiter(OperateOnRange(INDIRECT($E25),FALSE,$F25,0,_xlfn.LAMBDA(_xlpm._x,_xlpm._x),_xlfn.LAMBDA(_xlpm._x,_xlpm._y,_xlpm._x&amp;CHAR(10)&amp;_xlpm._y)),CHAR(10)))</f>
        <v/>
      </c>
      <c r="H25" s="65"/>
      <c r="I25" s="64"/>
      <c r="J25" s="70"/>
      <c r="K25" s="25" t="str" cm="1">
        <f t="array" aca="1" ref="K25"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IF(LEN(_xlpm._optionsRanges)&lt;=_xlpm._endOfFirstElement,"",CHAR(10)&amp;ShowResultingOptions(RIGHT(_xlpm._optionsRanges,LEN(_xlpm._optionsRanges)-_xlpm._endOfFirstElement),RIGHT(_xlpm._optionsHeights,LEN(_xlpm._optionsHeights)-_xlpm._endOfFirstElementH))))))($I25,$J25),
CHAR(10))</f>
        <v/>
      </c>
      <c r="L25" s="65"/>
      <c r="M25" s="10"/>
      <c r="N25" s="10"/>
      <c r="O25" s="10" cm="1">
        <f t="array" aca="1" ref="O25" ca="1">CreateID($O$3,$A25&lt;&gt;"")</f>
        <v>22</v>
      </c>
      <c r="P25" s="10" cm="1">
        <f t="array" ref="P25">CreateTaskID($P$3,$P:$P,Tasks!$B$17,$N25)</f>
        <v>0</v>
      </c>
      <c r="Q25" s="10" t="b" cm="1">
        <f t="array" ref="Q25">IF($M25="",FALSE,CheckRelevance(SanitizeInput($M25),Questionnaire!$AB:$AB))</f>
        <v>0</v>
      </c>
      <c r="R25" s="10" cm="1">
        <f t="array" aca="1" ref="R25" ca="1">CreateID($R$3,AND($A25&lt;&gt;"",$D25&lt;&gt;""))</f>
        <v>10</v>
      </c>
    </row>
    <row r="26" spans="1:18" ht="120.75" x14ac:dyDescent="0.25">
      <c r="A26" s="10" t="s">
        <v>905</v>
      </c>
      <c r="B26" s="10" t="s">
        <v>59</v>
      </c>
      <c r="C26" s="10">
        <v>6</v>
      </c>
      <c r="D26" s="78" t="str">
        <f t="shared" si="0"/>
        <v>x</v>
      </c>
      <c r="E26" s="64" t="str" cm="1">
        <f t="array" aca="1" ref="E26" ca="1">CELL("address",Definitions!$A$4)</f>
        <v>'[QuBA-libre.xlsx]Definitions'!$A$4</v>
      </c>
      <c r="F26" s="10">
        <f>ROWS(Definitions!$A$4:$A$5)</f>
        <v>2</v>
      </c>
      <c r="G26" s="25" t="str" cm="1">
        <f t="array" aca="1" ref="G26" ca="1">IF($F26=0,"",RemoveDelimiter(OperateOnRange(INDIRECT($E26),FALSE,$F26,0,_xlfn.LAMBDA(_xlpm._x,_xlpm._x),_xlfn.LAMBDA(_xlpm._x,_xlpm._y,_xlpm._x&amp;CHAR(10)&amp;_xlpm._y)),CHAR(10)))</f>
        <v>Yes
No</v>
      </c>
      <c r="H26" s="65" t="str">
        <f>Definitions!$A$4&amp;": What is the criticality of the disclosed data?"&amp;CHAR(10)&amp;
Definitions!$A$5&amp;":"</f>
        <v>Yes: What is the criticality of the disclosed data?
No:</v>
      </c>
      <c r="I26" s="64" t="str" cm="1">
        <f t="array" aca="1" ref="I26" ca="1">Definitions!$A$4&amp;": "&amp;CELL("address",INDEX(Definitions!$H:$H,MATCH(Definitions!$E$4,Definitions!$G:$G,0)))</f>
        <v>Yes: '[QuBA-libre.xlsx]Definitions'!$H$4</v>
      </c>
      <c r="J26" s="70" t="str">
        <f ca="1">Definitions!$A$4&amp;": "&amp;COUNTIF(Definitions!$G:$G,Definitions!$E$4)</f>
        <v>Yes: 3</v>
      </c>
      <c r="K26" s="25" t="str" cm="1">
        <f t="array" aca="1" ref="K26"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IF(LEN(_xlpm._optionsRanges)&lt;=_xlpm._endOfFirstElement,"",CHAR(10)&amp;ShowResultingOptions(RIGHT(_xlpm._optionsRanges,LEN(_xlpm._optionsRanges)-_xlpm._endOfFirstElement),RIGHT(_xlpm._optionsHeights,LEN(_xlpm._optionsHeights)-_xlpm._endOfFirstElementH))))))($I26,$J26),
CHAR(10))</f>
        <v>___Yes___
Personal data (low)
Personal data (significant)
Personal data (ruinous)</v>
      </c>
      <c r="L26" s="65" t="str">
        <f ca="1">LEFT($K26,FIND(CHAR(10),$K26&amp;CHAR(10)))&amp;
Definitions!$H$5&amp;": It is possible that the person affected will be negatively affected in his or her social status or economic situation (e.g., user name, business e-mail address, business phone number). Please list the affected data:"&amp;CHAR(10)&amp;
Definitions!$H$6&amp;": The person affected can be significantly impaired in his or her social status or economic circumstances (e.g., home address, bank account number, credit card details, private phone number, work history). Please list the affected data:"&amp;CHAR(10)&amp;
Definitions!$H$7&amp;": The person affected can be ruinously impaired in his social status and economic circumstances. "&amp;"The freedom of the person concerned is threatened (e.g., health data, biometric data, racial or ethnic origin, political opinions, religious beliefs). Please list the affected data:"</f>
        <v>___Yes___
Personal data (significant): It is possible that the person affected will be negatively affected in his or her social status or economic situation (e.g., user name, business e-mail address, business phone number). Please list the affected data:
Personal data (ruinous): The person affected can be significantly impaired in his or her social status or economic circumstances (e.g., home address, bank account number, credit card details, private phone number, work history). Please list the affected data:
IP (slightly innovative): The person affected can be ruinously impaired in his social status and economic circumstances. The freedom of the person concerned is threatened (e.g., health data, biometric data, racial or ethnic origin, political opinions, religious beliefs). Please list the affected data:</v>
      </c>
      <c r="M26" s="10"/>
      <c r="N26" s="10"/>
      <c r="O26" s="10" cm="1">
        <f t="array" aca="1" ref="O26" ca="1">CreateID($O$3,$A26&lt;&gt;"")</f>
        <v>23</v>
      </c>
      <c r="P26" s="10" cm="1">
        <f t="array" ref="P26">CreateTaskID($P$3,$P:$P,Tasks!$B$17,$N26)</f>
        <v>0</v>
      </c>
      <c r="Q26" s="10" t="b" cm="1">
        <f t="array" ref="Q26">IF($M26="",FALSE,CheckRelevance(SanitizeInput($M26),Questionnaire!$AB:$AB))</f>
        <v>0</v>
      </c>
      <c r="R26" s="10" cm="1">
        <f t="array" aca="1" ref="R26" ca="1">CreateID($R$3,AND($A26&lt;&gt;"",$D26&lt;&gt;""))</f>
        <v>11</v>
      </c>
    </row>
    <row r="27" spans="1:18" ht="105" x14ac:dyDescent="0.25">
      <c r="A27" s="10" t="s">
        <v>904</v>
      </c>
      <c r="B27" s="10" t="str">
        <f>"Can a manipulated product disclose intellectual property to an attacker? Also consider cases where the product is used against its intended use or misconfigured!
Note that this includes both "&amp;Definitions!$C$4&amp;" and customer IP."</f>
        <v>Can a manipulated product disclose intellectual property to an attacker? Also consider cases where the product is used against its intended use or misconfigured!
Note that this includes both &lt;&lt; OEM Name &gt;&gt; and customer IP.</v>
      </c>
      <c r="C27" s="10">
        <v>6</v>
      </c>
      <c r="D27" s="78" t="str">
        <f t="shared" si="0"/>
        <v>x</v>
      </c>
      <c r="E27" s="64" t="str" cm="1">
        <f t="array" aca="1" ref="E27" ca="1">CELL("address",Definitions!$A$4)</f>
        <v>'[QuBA-libre.xlsx]Definitions'!$A$4</v>
      </c>
      <c r="F27" s="10">
        <f>ROWS(Definitions!$A$4:$A$5)</f>
        <v>2</v>
      </c>
      <c r="G27" s="25" t="str" cm="1">
        <f t="array" aca="1" ref="G27" ca="1">IF($F27=0,"",RemoveDelimiter(OperateOnRange(INDIRECT($E27),FALSE,$F27,0,_xlfn.LAMBDA(_xlpm._x,_xlpm._x),_xlfn.LAMBDA(_xlpm._x,_xlpm._y,_xlpm._x&amp;CHAR(10)&amp;_xlpm._y)),CHAR(10)))</f>
        <v>Yes
No</v>
      </c>
      <c r="H27" s="65" t="str">
        <f>Definitions!$A$4&amp;": What is the criticality of the disclosed data?"&amp;CHAR(10)&amp;
Definitions!$A$5&amp;":"</f>
        <v>Yes: What is the criticality of the disclosed data?
No:</v>
      </c>
      <c r="I27" s="64" t="str" cm="1">
        <f t="array" aca="1" ref="I27" ca="1">Definitions!$A$4&amp;": "&amp;CELL("address",INDEX(Definitions!$H:$H,MATCH(Definitions!$E$5,Definitions!$G:$G,0)))</f>
        <v>Yes: '[QuBA-libre.xlsx]Definitions'!$H$7</v>
      </c>
      <c r="J27" s="70" t="str">
        <f ca="1">Definitions!$A$4&amp;": "&amp;COUNTIF(Definitions!$G:$G,Definitions!$E$5)</f>
        <v>Yes: 3</v>
      </c>
      <c r="K27" s="25" t="str" cm="1">
        <f t="array" aca="1" ref="K27"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IF(LEN(_xlpm._optionsRanges)&lt;=_xlpm._endOfFirstElement,"",CHAR(10)&amp;ShowResultingOptions(RIGHT(_xlpm._optionsRanges,LEN(_xlpm._optionsRanges)-_xlpm._endOfFirstElement),RIGHT(_xlpm._optionsHeights,LEN(_xlpm._optionsHeights)-_xlpm._endOfFirstElementH))))))($I27,$J27),
CHAR(10))</f>
        <v>___Yes___
IP (slightly innovative)
IP (moderately innovative)
IP (highly innovative)</v>
      </c>
      <c r="L27" s="65" t="str" cm="1">
        <f t="array" aca="1" ref="L27" ca="1">LEFT($K27,FIND(CHAR(10),$K27&amp;CHAR(10)))&amp;
RemoveDelimiter(GetValuesIgnoreErrors(SUBSTITUTE($K27,CHAR(10),",")&amp;",",Definitions!$H:$I,": ",". Please list the affected data:"&amp;CHAR(10),TRUE),CHAR(10))</f>
        <v>___Yes___
IP (slightly innovative): Loss of general idea how product works or low impact on markets (little innovation / very small market). Please list the affected data:
IP (moderately innovative): Relevant aspects of system is comprehensible or moderate impact on markets (some innovation in the product / medium size market). Please list the affected data:
IP (highly innovative): Can be copied / technology available or high impact on markets (highly innovative product / high-volume market). Please list the affected data:</v>
      </c>
      <c r="M27" s="10"/>
      <c r="N27" s="10"/>
      <c r="O27" s="10" cm="1">
        <f t="array" aca="1" ref="O27" ca="1">CreateID($O$3,$A27&lt;&gt;"")</f>
        <v>24</v>
      </c>
      <c r="P27" s="10" cm="1">
        <f t="array" ref="P27">CreateTaskID($P$3,$P:$P,Tasks!$B$17,$N27)</f>
        <v>0</v>
      </c>
      <c r="Q27" s="10" t="b" cm="1">
        <f t="array" ref="Q27">IF($M27="",FALSE,CheckRelevance(SanitizeInput($M27),Questionnaire!$AB:$AB))</f>
        <v>0</v>
      </c>
      <c r="R27" s="10" cm="1">
        <f t="array" aca="1" ref="R27" ca="1">CreateID($R$3,AND($A27&lt;&gt;"",$D27&lt;&gt;""))</f>
        <v>12</v>
      </c>
    </row>
    <row r="28" spans="1:18" ht="408.75" x14ac:dyDescent="0.25">
      <c r="A28" s="10" t="s">
        <v>903</v>
      </c>
      <c r="B28" s="10" t="s">
        <v>1057</v>
      </c>
      <c r="C28" s="10">
        <v>6</v>
      </c>
      <c r="D28" s="78" t="str">
        <f t="shared" si="0"/>
        <v>x</v>
      </c>
      <c r="E28" s="64" t="str" cm="1">
        <f t="array" aca="1" ref="E28" ca="1">CELL("address",Definitions!$A$4)</f>
        <v>'[QuBA-libre.xlsx]Definitions'!$A$4</v>
      </c>
      <c r="F28" s="10">
        <f>ROWS(Definitions!$A$4:$A$5)</f>
        <v>2</v>
      </c>
      <c r="G28" s="25" t="str" cm="1">
        <f t="array" aca="1" ref="G28" ca="1">IF($F28=0,"",RemoveDelimiter(OperateOnRange(INDIRECT($E28),FALSE,$F28,0,_xlfn.LAMBDA(_xlpm._x,_xlpm._x),_xlfn.LAMBDA(_xlpm._x,_xlpm._y,_xlpm._x&amp;CHAR(10)&amp;_xlpm._y)),CHAR(10)))</f>
        <v>Yes
No</v>
      </c>
      <c r="H28" s="65" t="str">
        <f>Definitions!$A$4&amp;": What is the criticality of the disclosed data / what are the consequences of the malicious access?"&amp;CHAR(10)&amp;
Definitions!$A$5&amp;":"</f>
        <v>Yes: What is the criticality of the disclosed data / what are the consequences of the malicious access?
No:</v>
      </c>
      <c r="I28" s="64" t="str" cm="1">
        <f t="array" aca="1" ref="I28" ca="1">Definitions!$A$4&amp;": "&amp;CELL("address",Definitions!$H$4)</f>
        <v>Yes: '[QuBA-libre.xlsx]Definitions'!$H$4</v>
      </c>
      <c r="J28" s="70" t="str">
        <f ca="1">Definitions!$A$4&amp;": "&amp;COUNTA(Definitions!$K:$K)-1</f>
        <v>Yes: 20</v>
      </c>
      <c r="K28" s="25" t="str" cm="1">
        <f t="array" aca="1" ref="K28"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IF(LEN(_xlpm._optionsRanges)&lt;=_xlpm._endOfFirstElement,"",CHAR(10)&amp;ShowResultingOptions(RIGHT(_xlpm._optionsRanges,LEN(_xlpm._optionsRanges)-_xlpm._endOfFirstElement),RIGHT(_xlpm._optionsHeights,LEN(_xlpm._optionsHeights)-_xlpm._endOfFirstElementH))))))($I28,$J28),
CHAR(10))</f>
        <v>___Yes___
Personal data (low)
Personal data (significant)
Personal data (ruinous)
IP (slightly innovative)
IP (moderately innovative)
IP (highly innovative)
Low financial damage
Medium financial damage
High financial damage
Critical financial damage
Potentially dangerous situation
Light or moderate injury
Severe injury (survival probable)
Life-threatening injury
Disturbance
Service required
Major disturbance
Environmental damage
Critical disturbance (destruction)
Critical environmental damage</v>
      </c>
      <c r="L28" s="65" t="str" cm="1">
        <f t="array" aca="1" ref="L28" ca="1">LEFT($K28,FIND(CHAR(10),$K28&amp;CHAR(10)))&amp;
RemoveDelimiter(GetValuesIgnoreErrors(SUBSTITUTE($K28,CHAR(10),",")&amp;",",Definitions!$H:$I,": ",". Please list the affected data:"&amp;CHAR(10),TRUE),CHAR(10))</f>
        <v>___Yes___
Personal data (low): It is possible that the person affected will be negatively affected in his or her social status or economic situation. Please list the affected data:
Personal data (significant): The person affected can be significantly impaired in his or her social status or economic circumstances. Please list the affected data:
Personal data (ruinous): The person affected can be ruinously impaired in his social status and economic circumstances. The freedom of the person concerned is threatened. Please list the affected data:
IP (slightly innovative): Loss of general idea how product works or low impact on markets (little innovation / very small market). Please list the affected data:
IP (moderately innovative): Relevant aspects of system is comprehensible or moderate impact on markets (some innovation in the product / medium size market). Please list the affected data:
IP (highly innovative): Can be copied / technology available or high impact on markets (highly innovative product / high-volume market). Please list the affected data:
Low financial damage: Direct loss, fines for infringements of laws, or violations of contracts (low volume). Please list the affected data:
Medium financial damage: Direct loss, fines for infringements of laws, or violations of contracts (medium volume). Please list the affected data:
High financial damage: Direct loss, fines for infringements of laws, or violations of contracts (high volume). Please list the affected data:
Critical financial damage: Loss of freedom for employees, direct loss, fines for infringements of laws, or violations of contracts (critical volume). Please list the affected data:
Potentially dangerous situation: Potentially dangerous situation. Please list the affected data:
Light or moderate injury: Light or moderate injury. Please list the affected data:
Severe injury (survival probable): Severe injury (survival probable). Please list the affected data:
Life-threatening injury: Life-threatening injury. Please list the affected data:
Disturbance: Minor disturbance, customer can quickly fix issue himself (e.g. reset). Please list the affected data:
Service required: Disturbance of function, service required. Please list the affected data:
Major disturbance: Major disturbance of function. Please list the affected data:
Environmental damage: Singular incident with limited environmental damage. Please list the affected data:
Critical disturbance (destruction): Destruction of plant, severe damage to assets or operational environment, critical disturbance of function. Please list the affected data:
Critical environmental damage: Environmental damages that accumulate to critical impact over time as well as critical damages that happen in a single incident. Please list the affected data:</v>
      </c>
      <c r="M28" s="10"/>
      <c r="N28" s="10"/>
      <c r="O28" s="10" cm="1">
        <f t="array" aca="1" ref="O28" ca="1">CreateID($O$3,$A28&lt;&gt;"")</f>
        <v>25</v>
      </c>
      <c r="P28" s="10" cm="1">
        <f t="array" ref="P28">CreateTaskID($P$3,$P:$P,Tasks!$B$17,$N28)</f>
        <v>0</v>
      </c>
      <c r="Q28" s="10" t="b" cm="1">
        <f t="array" ref="Q28">IF($M28="",FALSE,CheckRelevance(SanitizeInput($M28),Questionnaire!$AB:$AB))</f>
        <v>0</v>
      </c>
      <c r="R28" s="10" cm="1">
        <f t="array" aca="1" ref="R28" ca="1">CreateID($R$3,AND($A28&lt;&gt;"",$D28&lt;&gt;""))</f>
        <v>13</v>
      </c>
    </row>
    <row r="29" spans="1:18" x14ac:dyDescent="0.25">
      <c r="A29" s="10" t="s">
        <v>1004</v>
      </c>
      <c r="B29" s="10" t="s">
        <v>53</v>
      </c>
      <c r="C29" s="10">
        <v>3</v>
      </c>
      <c r="D29" s="78" t="str">
        <f t="shared" si="0"/>
        <v/>
      </c>
      <c r="E29" s="64"/>
      <c r="F29" s="10"/>
      <c r="G29" s="25" t="str" cm="1">
        <f t="array" aca="1" ref="G29" ca="1">IF($F29=0,"",RemoveDelimiter(OperateOnRange(INDIRECT($E29),FALSE,$F29,0,_xlfn.LAMBDA(_xlpm._x,_xlpm._x),_xlfn.LAMBDA(_xlpm._x,_xlpm._y,_xlpm._x&amp;CHAR(10)&amp;_xlpm._y)),CHAR(10)))</f>
        <v/>
      </c>
      <c r="H29" s="65"/>
      <c r="I29" s="64"/>
      <c r="J29" s="70"/>
      <c r="K29" s="25" t="str" cm="1">
        <f t="array" aca="1" ref="K29"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IF(LEN(_xlpm._optionsRanges)&lt;=_xlpm._endOfFirstElement,"",CHAR(10)&amp;ShowResultingOptions(RIGHT(_xlpm._optionsRanges,LEN(_xlpm._optionsRanges)-_xlpm._endOfFirstElement),RIGHT(_xlpm._optionsHeights,LEN(_xlpm._optionsHeights)-_xlpm._endOfFirstElementH))))))($I29,$J29),
CHAR(10))</f>
        <v/>
      </c>
      <c r="L29" s="65"/>
      <c r="M29" s="10"/>
      <c r="N29" s="10"/>
      <c r="O29" s="10" cm="1">
        <f t="array" aca="1" ref="O29" ca="1">CreateID($O$3,$A29&lt;&gt;"")</f>
        <v>26</v>
      </c>
      <c r="P29" s="10" cm="1">
        <f t="array" ref="P29">CreateTaskID($P$3,$P:$P,Tasks!$B$17,$N29)</f>
        <v>0</v>
      </c>
      <c r="Q29" s="10" t="b" cm="1">
        <f t="array" ref="Q29">IF($M29="",FALSE,CheckRelevance(SanitizeInput($M29),Questionnaire!$AB:$AB))</f>
        <v>0</v>
      </c>
      <c r="R29" s="10" cm="1">
        <f t="array" aca="1" ref="R29" ca="1">CreateID($R$3,AND($A29&lt;&gt;"",$D29&lt;&gt;""))</f>
        <v>13</v>
      </c>
    </row>
    <row r="30" spans="1:18" ht="132.75" x14ac:dyDescent="0.25">
      <c r="A30" s="10" t="s">
        <v>902</v>
      </c>
      <c r="B30" s="10" t="s">
        <v>552</v>
      </c>
      <c r="C30" s="10">
        <v>6</v>
      </c>
      <c r="D30" s="78" t="str">
        <f t="shared" si="0"/>
        <v>x</v>
      </c>
      <c r="E30" s="64" t="str" cm="1">
        <f t="array" aca="1" ref="E30" ca="1">CELL("address",Definitions!$A$4)</f>
        <v>'[QuBA-libre.xlsx]Definitions'!$A$4</v>
      </c>
      <c r="F30" s="10">
        <f>ROWS(Definitions!$A$4:$A$5)</f>
        <v>2</v>
      </c>
      <c r="G30" s="25" t="str" cm="1">
        <f t="array" aca="1" ref="G30" ca="1">IF($F30=0,"",RemoveDelimiter(OperateOnRange(INDIRECT($E30),FALSE,$F30,0,_xlfn.LAMBDA(_xlpm._x,_xlpm._x),_xlfn.LAMBDA(_xlpm._x,_xlpm._y,_xlpm._x&amp;CHAR(10)&amp;_xlpm._y)),CHAR(10)))</f>
        <v>Yes
No</v>
      </c>
      <c r="H30" s="65" t="str">
        <f>Definitions!$A$4&amp;": What is the worst case effect on the operational environment for the intended use of the product?"&amp;CHAR(10)&amp;
Definitions!$A$5&amp;":"</f>
        <v>Yes: What is the worst case effect on the operational environment for the intended use of the product?
No:</v>
      </c>
      <c r="I30" s="64" t="str" cm="1">
        <f t="array" aca="1" ref="I30" ca="1">Definitions!$A$4&amp;": "&amp;CELL("address",INDEX(Definitions!$H:$H,MATCH(Definitions!$E$8,Definitions!$G:$G,0)))</f>
        <v>Yes: '[QuBA-libre.xlsx]Definitions'!$H$18</v>
      </c>
      <c r="J30" s="70" t="str">
        <f ca="1">Definitions!$A$4&amp;": "&amp;COUNTIF(Definitions!$G:$G,Definitions!$E$8)</f>
        <v>Yes: 6</v>
      </c>
      <c r="K30" s="25" t="str" cm="1">
        <f t="array" aca="1" ref="K30"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IF(LEN(_xlpm._optionsRanges)&lt;=_xlpm._endOfFirstElement,"",CHAR(10)&amp;ShowResultingOptions(RIGHT(_xlpm._optionsRanges,LEN(_xlpm._optionsRanges)-_xlpm._endOfFirstElement),RIGHT(_xlpm._optionsHeights,LEN(_xlpm._optionsHeights)-_xlpm._endOfFirstElementH))))))($I30,$J30),
CHAR(10))</f>
        <v>___Yes___
Disturbance
Service required
Major disturbance
Environmental damage
Critical disturbance (destruction)
Critical environmental damage</v>
      </c>
      <c r="L30" s="65" t="str" cm="1">
        <f t="array" aca="1" ref="L30" ca="1">LEFT($K30,FIND(CHAR(10),$K30&amp;CHAR(10)))&amp;
RemoveDelimiter(GetValuesIgnoreErrors(SUBSTITUTE($K30,CHAR(10),",")&amp;",",Definitions!$H:$I,": ",". Please explain the expected effects:"&amp;CHAR(10),TRUE),CHAR(10))</f>
        <v>___Yes___
Disturbance: Minor disturbance, customer can quickly fix issue himself (e.g. reset). Please explain the expected effects:
Service required: Disturbance of function, service required. Please explain the expected effects:
Major disturbance: Major disturbance of function. Please explain the expected effects:
Environmental damage: Singular incident with limited environmental damage. Please explain the expected effects:
Critical disturbance (destruction): Destruction of plant, severe damage to assets or operational environment, critical disturbance of function. Please explain the expected effects:
Critical environmental damage: Environmental damages that accumulate to critical impact over time as well as critical damages that happen in a single incident. Please explain the expected effects:</v>
      </c>
      <c r="M30" s="10"/>
      <c r="N30" s="10"/>
      <c r="O30" s="10" cm="1">
        <f t="array" aca="1" ref="O30" ca="1">CreateID($O$3,$A30&lt;&gt;"")</f>
        <v>27</v>
      </c>
      <c r="P30" s="10" cm="1">
        <f t="array" ref="P30">CreateTaskID($P$3,$P:$P,Tasks!$B$17,$N30)</f>
        <v>0</v>
      </c>
      <c r="Q30" s="10" t="b" cm="1">
        <f t="array" ref="Q30">IF($M30="",FALSE,CheckRelevance(SanitizeInput($M30),Questionnaire!$AB:$AB))</f>
        <v>0</v>
      </c>
      <c r="R30" s="10" cm="1">
        <f t="array" aca="1" ref="R30" ca="1">CreateID($R$3,AND($A30&lt;&gt;"",$D30&lt;&gt;""))</f>
        <v>14</v>
      </c>
    </row>
    <row r="31" spans="1:18" x14ac:dyDescent="0.25">
      <c r="A31" s="10" t="s">
        <v>1005</v>
      </c>
      <c r="B31" s="10" t="s">
        <v>51</v>
      </c>
      <c r="C31" s="10">
        <v>3</v>
      </c>
      <c r="D31" s="78" t="str">
        <f t="shared" si="0"/>
        <v/>
      </c>
      <c r="E31" s="64"/>
      <c r="F31" s="10"/>
      <c r="G31" s="25" t="str" cm="1">
        <f t="array" aca="1" ref="G31" ca="1">IF($F31=0,"",RemoveDelimiter(OperateOnRange(INDIRECT($E31),FALSE,$F31,0,_xlfn.LAMBDA(_xlpm._x,_xlpm._x),_xlfn.LAMBDA(_xlpm._x,_xlpm._y,_xlpm._x&amp;CHAR(10)&amp;_xlpm._y)),CHAR(10)))</f>
        <v/>
      </c>
      <c r="H31" s="65"/>
      <c r="I31" s="64"/>
      <c r="J31" s="70"/>
      <c r="K31" s="25" t="str" cm="1">
        <f t="array" aca="1" ref="K31"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IF(LEN(_xlpm._optionsRanges)&lt;=_xlpm._endOfFirstElement,"",CHAR(10)&amp;ShowResultingOptions(RIGHT(_xlpm._optionsRanges,LEN(_xlpm._optionsRanges)-_xlpm._endOfFirstElement),RIGHT(_xlpm._optionsHeights,LEN(_xlpm._optionsHeights)-_xlpm._endOfFirstElementH))))))($I31,$J31),
CHAR(10))</f>
        <v/>
      </c>
      <c r="L31" s="65"/>
      <c r="M31" s="10"/>
      <c r="N31" s="10"/>
      <c r="O31" s="10" cm="1">
        <f t="array" aca="1" ref="O31" ca="1">CreateID($O$3,$A31&lt;&gt;"")</f>
        <v>28</v>
      </c>
      <c r="P31" s="10" cm="1">
        <f t="array" ref="P31">CreateTaskID($P$3,$P:$P,Tasks!$B$17,$N31)</f>
        <v>0</v>
      </c>
      <c r="Q31" s="10" t="b" cm="1">
        <f t="array" ref="Q31">IF($M31="",FALSE,CheckRelevance(SanitizeInput($M31),Questionnaire!$AB:$AB))</f>
        <v>0</v>
      </c>
      <c r="R31" s="10" cm="1">
        <f t="array" aca="1" ref="R31" ca="1">CreateID($R$3,AND($A31&lt;&gt;"",$D31&lt;&gt;""))</f>
        <v>14</v>
      </c>
    </row>
    <row r="32" spans="1:18" ht="228.75" x14ac:dyDescent="0.25">
      <c r="A32" s="10" t="s">
        <v>901</v>
      </c>
      <c r="B32" s="10" t="s">
        <v>60</v>
      </c>
      <c r="C32" s="10">
        <v>6</v>
      </c>
      <c r="D32" s="78" t="str">
        <f t="shared" si="0"/>
        <v>x</v>
      </c>
      <c r="E32" s="64" t="str" cm="1">
        <f t="array" aca="1" ref="E32" ca="1">CELL("address",Definitions!$A$4)</f>
        <v>'[QuBA-libre.xlsx]Definitions'!$A$4</v>
      </c>
      <c r="F32" s="10">
        <f>ROWS(Definitions!$A$4:$A$5)</f>
        <v>2</v>
      </c>
      <c r="G32" s="25" t="str" cm="1">
        <f t="array" aca="1" ref="G32" ca="1">IF($F32=0,"",RemoveDelimiter(OperateOnRange(INDIRECT($E32),FALSE,$F32,0,_xlfn.LAMBDA(_xlpm._x,_xlpm._x),_xlfn.LAMBDA(_xlpm._x,_xlpm._y,_xlpm._x&amp;CHAR(10)&amp;_xlpm._y)),CHAR(10)))</f>
        <v>Yes
No</v>
      </c>
      <c r="H32" s="65" t="str">
        <f>Definitions!$A$4&amp;": What is the worst case damage caused by the manipulation for the intended use of the product?"&amp;CHAR(10)&amp;
Definitions!$A$5&amp;":"</f>
        <v>Yes: What is the worst case damage caused by the manipulation for the intended use of the product?
No:</v>
      </c>
      <c r="I32" s="64" t="str" cm="1">
        <f t="array" aca="1" ref="I32" ca="1">Definitions!$A$4&amp;": "&amp;CELL("address",Helper!$D$2)</f>
        <v>Yes: '[QuBA-libre.xlsx]Helper'!$D$2</v>
      </c>
      <c r="J32" s="70" t="str">
        <f ca="1">Definitions!$A$4&amp;": "&amp;COUNTA(Helper!$D:$D)-1</f>
        <v>Yes: 10</v>
      </c>
      <c r="K32" s="25" t="str" cm="1">
        <f t="array" aca="1" ref="K32"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IF(LEN(_xlpm._optionsRanges)&lt;=_xlpm._endOfFirstElement,"",CHAR(10)&amp;ShowResultingOptions(RIGHT(_xlpm._optionsRanges,LEN(_xlpm._optionsRanges)-_xlpm._endOfFirstElement),RIGHT(_xlpm._optionsHeights,LEN(_xlpm._optionsHeights)-_xlpm._endOfFirstElementH))))))($I32,$J32),
CHAR(10))</f>
        <v>___Yes___
Low financial damage
Medium financial damage
High financial damage
Critical financial damage
Disturbance
Service required
Major disturbance
Environmental damage
Critical disturbance (destruction)
Critical environmental damage</v>
      </c>
      <c r="L32" s="65" t="str" cm="1">
        <f t="array" aca="1" ref="L32" ca="1">LEFT($K32,FIND(CHAR(10),$K32&amp;CHAR(10)))&amp;
RemoveDelimiter(GetValuesIgnoreErrors(SUBSTITUTE($K32,CHAR(10),",")&amp;",",Definitions!$H:$I,": ",". Please characterize the affected assets:"&amp;CHAR(10),TRUE),CHAR(10))</f>
        <v>___Yes___
Low financial damage: Direct loss, fines for infringements of laws, or violations of contracts (low volume). Please characterize the affected assets:
Medium financial damage: Direct loss, fines for infringements of laws, or violations of contracts (medium volume). Please characterize the affected assets:
High financial damage: Direct loss, fines for infringements of laws, or violations of contracts (high volume). Please characterize the affected assets:
Critical financial damage: Loss of freedom for employees, direct loss, fines for infringements of laws, or violations of contracts (critical volume). Please characterize the affected assets:
Disturbance: Minor disturbance, customer can quickly fix issue himself (e.g. reset). Please characterize the affected assets:
Service required: Disturbance of function, service required. Please characterize the affected assets:
Major disturbance: Major disturbance of function. Please characterize the affected assets:
Environmental damage: Singular incident with limited environmental damage. Please characterize the affected assets:
Critical disturbance (destruction): Destruction of plant, severe damage to assets or operational environment, critical disturbance of function. Please characterize the affected assets:
Critical environmental damage: Environmental damages that accumulate to critical impact over time as well as critical damages that happen in a single incident. Please characterize the affected assets:</v>
      </c>
      <c r="M32" s="10"/>
      <c r="N32" s="10"/>
      <c r="O32" s="10" cm="1">
        <f t="array" aca="1" ref="O32" ca="1">CreateID($O$3,$A32&lt;&gt;"")</f>
        <v>29</v>
      </c>
      <c r="P32" s="10" cm="1">
        <f t="array" ref="P32">CreateTaskID($P$3,$P:$P,Tasks!$B$17,$N32)</f>
        <v>0</v>
      </c>
      <c r="Q32" s="10" t="b" cm="1">
        <f t="array" ref="Q32">IF($M32="",FALSE,CheckRelevance(SanitizeInput($M32),Questionnaire!$AB:$AB))</f>
        <v>0</v>
      </c>
      <c r="R32" s="10" cm="1">
        <f t="array" aca="1" ref="R32" ca="1">CreateID($R$3,AND($A32&lt;&gt;"",$D32&lt;&gt;""))</f>
        <v>15</v>
      </c>
    </row>
    <row r="33" spans="1:18" ht="108.75" x14ac:dyDescent="0.25">
      <c r="A33" s="10" t="s">
        <v>899</v>
      </c>
      <c r="B33" s="10" t="s">
        <v>1547</v>
      </c>
      <c r="C33" s="10">
        <v>6</v>
      </c>
      <c r="D33" s="78" t="str">
        <f t="shared" si="0"/>
        <v>x</v>
      </c>
      <c r="E33" s="64" t="str" cm="1">
        <f t="array" aca="1" ref="E33" ca="1">CELL("address",Definitions!$A$4)</f>
        <v>'[QuBA-libre.xlsx]Definitions'!$A$4</v>
      </c>
      <c r="F33" s="10">
        <f>ROWS(Definitions!$A$4:$A$5)</f>
        <v>2</v>
      </c>
      <c r="G33" s="25" t="str" cm="1">
        <f t="array" aca="1" ref="G33" ca="1">IF($F33=0,"",RemoveDelimiter(OperateOnRange(INDIRECT($E33),FALSE,$F33,0,_xlfn.LAMBDA(_xlpm._x,_xlpm._x),_xlfn.LAMBDA(_xlpm._x,_xlpm._y,_xlpm._x&amp;CHAR(10)&amp;_xlpm._y)),CHAR(10)))</f>
        <v>Yes
No</v>
      </c>
      <c r="H33" s="65" t="str">
        <f>Definitions!$A$4&amp;": What is the typical / expected value of the fines for contract / legal violation?"&amp;CHAR(10)&amp;
Definitions!$A$5&amp;":"</f>
        <v>Yes: What is the typical / expected value of the fines for contract / legal violation?
No:</v>
      </c>
      <c r="I33" s="64" t="str" cm="1">
        <f t="array" aca="1" ref="I33" ca="1">Definitions!$A$4&amp;": "&amp;CELL("address",INDEX(Definitions!$H:$H,MATCH(Definitions!$E$6,Definitions!$G:$G,0)))</f>
        <v>Yes: '[QuBA-libre.xlsx]Definitions'!$H$10</v>
      </c>
      <c r="J33" s="70" t="str">
        <f ca="1">Definitions!$A$4&amp;": "&amp;COUNTIF(Definitions!$G:$G,Definitions!$E$6)</f>
        <v>Yes: 4</v>
      </c>
      <c r="K33" s="25" t="str" cm="1">
        <f t="array" aca="1" ref="K33"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IF(LEN(_xlpm._optionsRanges)&lt;=_xlpm._endOfFirstElement,"",CHAR(10)&amp;ShowResultingOptions(RIGHT(_xlpm._optionsRanges,LEN(_xlpm._optionsRanges)-_xlpm._endOfFirstElement),RIGHT(_xlpm._optionsHeights,LEN(_xlpm._optionsHeights)-_xlpm._endOfFirstElementH))))))($I33,$J33),
CHAR(10))</f>
        <v>___Yes___
Low financial damage
Medium financial damage
High financial damage
Critical financial damage</v>
      </c>
      <c r="L33" s="65" t="str" cm="1">
        <f t="array" aca="1" ref="L33" ca="1">LEFT($K33,FIND(CHAR(10),$K33&amp;CHAR(10)))&amp;
RemoveDelimiter(GetValuesIgnoreErrors(SUBSTITUTE($K33,CHAR(10),",")&amp;",",Definitions!$H:$I,": ",". Please describe the reason of the contract violation:"&amp;CHAR(10),TRUE),CHAR(10))</f>
        <v>___Yes___
Low financial damage: Direct loss, fines for infringements of laws, or violations of contracts (low volume). Please describe the reason of the contract violation:
Medium financial damage: Direct loss, fines for infringements of laws, or violations of contracts (medium volume). Please describe the reason of the contract violation:
High financial damage: Direct loss, fines for infringements of laws, or violations of contracts (high volume). Please describe the reason of the contract violation:
Critical financial damage: Loss of freedom for employees, direct loss, fines for infringements of laws, or violations of contracts (critical volume). Please describe the reason of the contract violation:</v>
      </c>
      <c r="M33" s="10"/>
      <c r="N33" s="10"/>
      <c r="O33" s="10" cm="1">
        <f t="array" aca="1" ref="O33" ca="1">CreateID($O$3,$A33&lt;&gt;"")</f>
        <v>30</v>
      </c>
      <c r="P33" s="10" cm="1">
        <f t="array" ref="P33">CreateTaskID($P$3,$P:$P,Tasks!$B$17,$N33)</f>
        <v>0</v>
      </c>
      <c r="Q33" s="10" t="b" cm="1">
        <f t="array" ref="Q33">IF($M33="",FALSE,CheckRelevance(SanitizeInput($M33),Questionnaire!$AB:$AB))</f>
        <v>0</v>
      </c>
      <c r="R33" s="10" cm="1">
        <f t="array" aca="1" ref="R33" ca="1">CreateID($R$3,AND($A33&lt;&gt;"",$D33&lt;&gt;""))</f>
        <v>16</v>
      </c>
    </row>
    <row r="34" spans="1:18" x14ac:dyDescent="0.25">
      <c r="A34" s="10" t="s">
        <v>991</v>
      </c>
      <c r="B34" s="10" t="s">
        <v>1</v>
      </c>
      <c r="C34" s="10">
        <v>0</v>
      </c>
      <c r="D34" s="78" t="str">
        <f t="shared" si="0"/>
        <v/>
      </c>
      <c r="E34" s="64"/>
      <c r="F34" s="10"/>
      <c r="G34" s="25" t="str" cm="1">
        <f t="array" aca="1" ref="G34" ca="1">IF($F34=0,"",RemoveDelimiter(OperateOnRange(INDIRECT($E34),FALSE,$F34,0,_xlfn.LAMBDA(_xlpm._x,_xlpm._x),_xlfn.LAMBDA(_xlpm._x,_xlpm._y,_xlpm._x&amp;CHAR(10)&amp;_xlpm._y)),CHAR(10)))</f>
        <v/>
      </c>
      <c r="H34" s="65"/>
      <c r="I34" s="64"/>
      <c r="J34" s="70"/>
      <c r="K34" s="25" t="str" cm="1">
        <f t="array" aca="1" ref="K34"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IF(LEN(_xlpm._optionsRanges)&lt;=_xlpm._endOfFirstElement,"",CHAR(10)&amp;ShowResultingOptions(RIGHT(_xlpm._optionsRanges,LEN(_xlpm._optionsRanges)-_xlpm._endOfFirstElement),RIGHT(_xlpm._optionsHeights,LEN(_xlpm._optionsHeights)-_xlpm._endOfFirstElementH))))))($I34,$J34),
CHAR(10))</f>
        <v/>
      </c>
      <c r="L34" s="65"/>
      <c r="M34" s="10"/>
      <c r="N34" s="10"/>
      <c r="O34" s="10" cm="1">
        <f t="array" aca="1" ref="O34" ca="1">CreateID($O$3,$A34&lt;&gt;"")</f>
        <v>31</v>
      </c>
      <c r="P34" s="10" cm="1">
        <f t="array" ref="P34">CreateTaskID($P$3,$P:$P,Tasks!$B$17,$N34)</f>
        <v>0</v>
      </c>
      <c r="Q34" s="10" t="b" cm="1">
        <f t="array" ref="Q34">IF($M34="",FALSE,CheckRelevance(SanitizeInput($M34),Questionnaire!$AB:$AB))</f>
        <v>0</v>
      </c>
      <c r="R34" s="10" cm="1">
        <f t="array" aca="1" ref="R34" ca="1">CreateID($R$3,AND($A34&lt;&gt;"",$D34&lt;&gt;""))</f>
        <v>16</v>
      </c>
    </row>
    <row r="35" spans="1:18" ht="24.75" x14ac:dyDescent="0.25">
      <c r="A35" s="10" t="s">
        <v>865</v>
      </c>
      <c r="B35" s="10" t="s">
        <v>44</v>
      </c>
      <c r="C35" s="10">
        <v>0</v>
      </c>
      <c r="D35" s="78" t="str">
        <f t="shared" si="0"/>
        <v>x</v>
      </c>
      <c r="E35" s="64" t="str" cm="1">
        <f t="array" aca="1" ref="E35" ca="1">CELL("address",Definitions!$A$4)</f>
        <v>'[QuBA-libre.xlsx]Definitions'!$A$4</v>
      </c>
      <c r="F35" s="10">
        <f>ROWS(Definitions!$A$4:$A$5)</f>
        <v>2</v>
      </c>
      <c r="G35" s="25" t="str" cm="1">
        <f t="array" aca="1" ref="G35" ca="1">IF($F35=0,"",RemoveDelimiter(OperateOnRange(INDIRECT($E35),FALSE,$F35,0,_xlfn.LAMBDA(_xlpm._x,_xlpm._x),_xlfn.LAMBDA(_xlpm._x,_xlpm._y,_xlpm._x&amp;CHAR(10)&amp;_xlpm._y)),CHAR(10)))</f>
        <v>Yes
No</v>
      </c>
      <c r="H35" s="65" t="str">
        <f>Definitions!$A$4&amp;":"&amp;CHAR(10)&amp;
Definitions!$A$5&amp;":"</f>
        <v>Yes:
No:</v>
      </c>
      <c r="I35" s="64"/>
      <c r="J35" s="70"/>
      <c r="K35" s="25" t="str" cm="1">
        <f t="array" aca="1" ref="K35"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IF(LEN(_xlpm._optionsRanges)&lt;=_xlpm._endOfFirstElement,"",CHAR(10)&amp;ShowResultingOptions(RIGHT(_xlpm._optionsRanges,LEN(_xlpm._optionsRanges)-_xlpm._endOfFirstElement),RIGHT(_xlpm._optionsHeights,LEN(_xlpm._optionsHeights)-_xlpm._endOfFirstElementH))))))($I35,$J35),
CHAR(10))</f>
        <v/>
      </c>
      <c r="L35" s="65"/>
      <c r="M35" s="10"/>
      <c r="N35" s="10"/>
      <c r="O35" s="10" cm="1">
        <f t="array" aca="1" ref="O35" ca="1">CreateID($O$3,$A35&lt;&gt;"")</f>
        <v>32</v>
      </c>
      <c r="P35" s="10" cm="1">
        <f t="array" ref="P35">CreateTaskID($P$3,$P:$P,Tasks!$B$17,$N35)</f>
        <v>0</v>
      </c>
      <c r="Q35" s="10" t="b" cm="1">
        <f t="array" ref="Q35">IF($M35="",FALSE,CheckRelevance(SanitizeInput($M35),Questionnaire!$AB:$AB))</f>
        <v>0</v>
      </c>
      <c r="R35" s="10" cm="1">
        <f t="array" aca="1" ref="R35" ca="1">CreateID($R$3,AND($A35&lt;&gt;"",$D35&lt;&gt;""))</f>
        <v>17</v>
      </c>
    </row>
    <row r="36" spans="1:18" ht="36.75" x14ac:dyDescent="0.25">
      <c r="A36" s="10" t="s">
        <v>868</v>
      </c>
      <c r="B36" s="10" t="s">
        <v>1466</v>
      </c>
      <c r="C36" s="10">
        <v>0</v>
      </c>
      <c r="D36" s="78" t="str">
        <f t="shared" ref="D36:D58" si="1">IF($A36="","",IF(LEFT($A36,1)="Q","x",""))</f>
        <v>x</v>
      </c>
      <c r="E36" s="64" t="str" cm="1">
        <f t="array" aca="1" ref="E36" ca="1">CELL("address",Definitions!$A$4)</f>
        <v>'[QuBA-libre.xlsx]Definitions'!$A$4</v>
      </c>
      <c r="F36" s="10">
        <f>ROWS(Definitions!$A$4:$A$5)</f>
        <v>2</v>
      </c>
      <c r="G36" s="25" t="str" cm="1">
        <f t="array" aca="1" ref="G36" ca="1">IF($F36=0,"",RemoveDelimiter(OperateOnRange(INDIRECT($E36),FALSE,$F36,0,_xlfn.LAMBDA(_xlpm._x,_xlpm._x),_xlfn.LAMBDA(_xlpm._x,_xlpm._y,_xlpm._x&amp;CHAR(10)&amp;_xlpm._y)),CHAR(10)))</f>
        <v>Yes
No</v>
      </c>
      <c r="H36" s="65" t="str">
        <f>Definitions!$A$4&amp;": Please select the kind of connectivity:"&amp;CHAR(10)&amp;
Definitions!$A$5&amp;":"</f>
        <v>Yes: Please select the kind of connectivity:
No:</v>
      </c>
      <c r="I36" s="64" t="str" cm="1">
        <f t="array" aca="1" ref="I36" ca="1">Definitions!$A$4&amp;": "&amp;CELL("address",Definitions!$O$4)</f>
        <v>Yes: '[QuBA-libre.xlsx]Definitions'!$O$4</v>
      </c>
      <c r="J36" s="70" t="str">
        <f>Definitions!$A$4&amp;": "&amp;ROWS(Definitions!$O$4:$O$5)</f>
        <v>Yes: 2</v>
      </c>
      <c r="K36" s="25" t="str" cm="1">
        <f t="array" aca="1" ref="K36"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IF(LEN(_xlpm._optionsRanges)&lt;=_xlpm._endOfFirstElement,"",CHAR(10)&amp;ShowResultingOptions(RIGHT(_xlpm._optionsRanges,LEN(_xlpm._optionsRanges)-_xlpm._endOfFirstElement),RIGHT(_xlpm._optionsHeights,LEN(_xlpm._optionsHeights)-_xlpm._endOfFirstElementH))))))($I36,$J36),
CHAR(10))</f>
        <v>___Yes___
Local network gateway
Internet-facing gateway</v>
      </c>
      <c r="L36" s="65" t="str">
        <f ca="1">LEFT($K36,FIND(CHAR(10),$K36&amp;CHAR(10)))&amp;
Definitions!$O$4&amp;":"&amp;CHAR(10)&amp;
Definitions!$O$5&amp;":"</f>
        <v>___Yes___
Local network gateway:
Internet-facing gateway:</v>
      </c>
      <c r="M36" s="10" t="s">
        <v>1014</v>
      </c>
      <c r="N36" s="10"/>
      <c r="O36" s="10" cm="1">
        <f t="array" aca="1" ref="O36" ca="1">CreateID($O$3,$A36&lt;&gt;"")</f>
        <v>33</v>
      </c>
      <c r="P36" s="10" cm="1">
        <f t="array" ref="P36">CreateTaskID($P$3,$P:$P,Tasks!$B$17,$N36)</f>
        <v>0</v>
      </c>
      <c r="Q36" s="10" t="b" cm="1">
        <f t="array" aca="1" ref="Q36" ca="1">IF($M36="",FALSE,CheckRelevance(SanitizeInput($M36),Questionnaire!$AB:$AB))</f>
        <v>0</v>
      </c>
      <c r="R36" s="10" cm="1">
        <f t="array" aca="1" ref="R36" ca="1">CreateID($R$3,AND($A36&lt;&gt;"",$D36&lt;&gt;""))</f>
        <v>18</v>
      </c>
    </row>
    <row r="37" spans="1:18" x14ac:dyDescent="0.25">
      <c r="A37" s="10" t="s">
        <v>992</v>
      </c>
      <c r="B37" s="10" t="s">
        <v>6</v>
      </c>
      <c r="C37" s="10">
        <v>0</v>
      </c>
      <c r="D37" s="78" t="str">
        <f t="shared" si="1"/>
        <v/>
      </c>
      <c r="E37" s="64"/>
      <c r="F37" s="10"/>
      <c r="G37" s="25" t="str" cm="1">
        <f t="array" aca="1" ref="G37" ca="1">IF($F37=0,"",RemoveDelimiter(OperateOnRange(INDIRECT($E37),FALSE,$F37,0,_xlfn.LAMBDA(_xlpm._x,_xlpm._x),_xlfn.LAMBDA(_xlpm._x,_xlpm._y,_xlpm._x&amp;CHAR(10)&amp;_xlpm._y)),CHAR(10)))</f>
        <v/>
      </c>
      <c r="H37" s="65"/>
      <c r="I37" s="64"/>
      <c r="J37" s="70"/>
      <c r="K37" s="25" t="str" cm="1">
        <f t="array" aca="1" ref="K37"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IF(LEN(_xlpm._optionsRanges)&lt;=_xlpm._endOfFirstElement,"",CHAR(10)&amp;ShowResultingOptions(RIGHT(_xlpm._optionsRanges,LEN(_xlpm._optionsRanges)-_xlpm._endOfFirstElement),RIGHT(_xlpm._optionsHeights,LEN(_xlpm._optionsHeights)-_xlpm._endOfFirstElementH))))))($I37,$J37),
CHAR(10))</f>
        <v/>
      </c>
      <c r="L37" s="65"/>
      <c r="M37" s="10" t="s">
        <v>1014</v>
      </c>
      <c r="N37" s="10"/>
      <c r="O37" s="10" cm="1">
        <f t="array" aca="1" ref="O37" ca="1">CreateID($O$3,$A37&lt;&gt;"")</f>
        <v>34</v>
      </c>
      <c r="P37" s="10" cm="1">
        <f t="array" ref="P37">CreateTaskID($P$3,$P:$P,Tasks!$B$17,$N37)</f>
        <v>0</v>
      </c>
      <c r="Q37" s="10" t="b" cm="1">
        <f t="array" aca="1" ref="Q37" ca="1">IF($M37="",FALSE,CheckRelevance(SanitizeInput($M37),Questionnaire!$AB:$AB))</f>
        <v>0</v>
      </c>
      <c r="R37" s="10" cm="1">
        <f t="array" aca="1" ref="R37" ca="1">CreateID($R$3,AND($A37&lt;&gt;"",$D37&lt;&gt;""))</f>
        <v>18</v>
      </c>
    </row>
    <row r="38" spans="1:18" ht="36.75" x14ac:dyDescent="0.25">
      <c r="A38" s="10" t="s">
        <v>870</v>
      </c>
      <c r="B38" s="10" t="s">
        <v>61</v>
      </c>
      <c r="C38" s="10">
        <v>3</v>
      </c>
      <c r="D38" s="78" t="str">
        <f t="shared" si="1"/>
        <v>x</v>
      </c>
      <c r="E38" s="64" t="str" cm="1">
        <f t="array" aca="1" ref="E38" ca="1">CELL("address",Definitions!$A$4)</f>
        <v>'[QuBA-libre.xlsx]Definitions'!$A$4</v>
      </c>
      <c r="F38" s="10">
        <f>ROWS(Definitions!$A$4:$A$5)</f>
        <v>2</v>
      </c>
      <c r="G38" s="25" t="str" cm="1">
        <f t="array" aca="1" ref="G38" ca="1">IF($F38=0,"",RemoveDelimiter(OperateOnRange(INDIRECT($E38),FALSE,$F38,0,_xlfn.LAMBDA(_xlpm._x,_xlpm._x),_xlfn.LAMBDA(_xlpm._x,_xlpm._y,_xlpm._x&amp;CHAR(10)&amp;_xlpm._y)),CHAR(10)))</f>
        <v>Yes
No</v>
      </c>
      <c r="H38" s="65" t="str">
        <f>Definitions!$A$4&amp;": Is the connected device typically considered as trustworthy?"&amp;CHAR(10)&amp;
Definitions!$A$5&amp;":"</f>
        <v>Yes: Is the connected device typically considered as trustworthy?
No:</v>
      </c>
      <c r="I38" s="64" t="str" cm="1">
        <f t="array" aca="1" ref="I38" ca="1">Definitions!$A$4&amp;": "&amp;CELL("address",Definitions!$A$4)</f>
        <v>Yes: '[QuBA-libre.xlsx]Definitions'!$A$4</v>
      </c>
      <c r="J38" s="70" t="str">
        <f>Definitions!$A$4&amp;": "&amp;ROWS(Definitions!$A$4:$A$5)</f>
        <v>Yes: 2</v>
      </c>
      <c r="K38" s="25" t="str" cm="1">
        <f t="array" aca="1" ref="K38"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IF(LEN(_xlpm._optionsRanges)&lt;=_xlpm._endOfFirstElement,"",CHAR(10)&amp;ShowResultingOptions(RIGHT(_xlpm._optionsRanges,LEN(_xlpm._optionsRanges)-_xlpm._endOfFirstElement),RIGHT(_xlpm._optionsHeights,LEN(_xlpm._optionsHeights)-_xlpm._endOfFirstElementH))))))($I38,$J38),
CHAR(10))</f>
        <v>___Yes___
Yes
No</v>
      </c>
      <c r="L38" s="65" t="str">
        <f ca="1">LEFT($K38,FIND(CHAR(10),$K38&amp;CHAR(10)))&amp;
Definitions!$A$4&amp;": Please name the party responsible for the trusted device:"&amp;CHAR(10)&amp;
Definitions!$A$5&amp;":"</f>
        <v>___Yes___
Yes: Please name the party responsible for the trusted device:
No:</v>
      </c>
      <c r="M38" s="10" t="s">
        <v>1014</v>
      </c>
      <c r="N38" s="10"/>
      <c r="O38" s="10" cm="1">
        <f t="array" aca="1" ref="O38" ca="1">CreateID($O$3,$A38&lt;&gt;"")</f>
        <v>35</v>
      </c>
      <c r="P38" s="10" cm="1">
        <f t="array" ref="P38">CreateTaskID($P$3,$P:$P,Tasks!$B$17,$N38)</f>
        <v>0</v>
      </c>
      <c r="Q38" s="10" t="b" cm="1">
        <f t="array" aca="1" ref="Q38" ca="1">IF($M38="",FALSE,CheckRelevance(SanitizeInput($M38),Questionnaire!$AB:$AB))</f>
        <v>0</v>
      </c>
      <c r="R38" s="10" cm="1">
        <f t="array" aca="1" ref="R38" ca="1">CreateID($R$3,AND($A38&lt;&gt;"",$D38&lt;&gt;""))</f>
        <v>19</v>
      </c>
    </row>
    <row r="39" spans="1:18" ht="48.75" x14ac:dyDescent="0.25">
      <c r="A39" s="10" t="s">
        <v>872</v>
      </c>
      <c r="B39" s="10" t="s">
        <v>62</v>
      </c>
      <c r="C39" s="10">
        <v>3</v>
      </c>
      <c r="D39" s="78" t="str">
        <f t="shared" si="1"/>
        <v>x</v>
      </c>
      <c r="E39" s="64" t="str" cm="1">
        <f t="array" aca="1" ref="E39" ca="1">CELL("address",Definitions!$A$4)</f>
        <v>'[QuBA-libre.xlsx]Definitions'!$A$4</v>
      </c>
      <c r="F39" s="10">
        <f>ROWS(Definitions!$A$4:$A$5)</f>
        <v>2</v>
      </c>
      <c r="G39" s="25" t="str" cm="1">
        <f t="array" aca="1" ref="G39" ca="1">IF($F39=0,"",RemoveDelimiter(OperateOnRange(INDIRECT($E39),FALSE,$F39,0,_xlfn.LAMBDA(_xlpm._x,_xlpm._x),_xlfn.LAMBDA(_xlpm._x,_xlpm._y,_xlpm._x&amp;CHAR(10)&amp;_xlpm._y)),CHAR(10)))</f>
        <v>Yes
No</v>
      </c>
      <c r="H39" s="65" t="str">
        <f>Definitions!$A$4&amp;": Are the devices in the local network considered as trustworthy according to the intended use of the product?"&amp;CHAR(10)&amp;
Definitions!$A$5&amp;":"</f>
        <v>Yes: Are the devices in the local network considered as trustworthy according to the intended use of the product?
No:</v>
      </c>
      <c r="I39" s="64" t="str" cm="1">
        <f t="array" aca="1" ref="I39" ca="1">Definitions!$A$4&amp;": "&amp;CELL("address",Definitions!$A$4)</f>
        <v>Yes: '[QuBA-libre.xlsx]Definitions'!$A$4</v>
      </c>
      <c r="J39" s="70" t="str">
        <f>Definitions!$A$4&amp;": "&amp;ROWS(Definitions!$A$4:$A$5)</f>
        <v>Yes: 2</v>
      </c>
      <c r="K39" s="25" t="str" cm="1">
        <f t="array" aca="1" ref="K39"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IF(LEN(_xlpm._optionsRanges)&lt;=_xlpm._endOfFirstElement,"",CHAR(10)&amp;ShowResultingOptions(RIGHT(_xlpm._optionsRanges,LEN(_xlpm._optionsRanges)-_xlpm._endOfFirstElement),RIGHT(_xlpm._optionsHeights,LEN(_xlpm._optionsHeights)-_xlpm._endOfFirstElementH))))))($I39,$J39),
CHAR(10))</f>
        <v>___Yes___
Yes
No</v>
      </c>
      <c r="L39" s="65" t="str">
        <f ca="1">LEFT($K39,FIND(CHAR(10),$K39&amp;CHAR(10)))&amp;
Definitions!$A$4&amp;": Please name the party responsible for the trusted network:"&amp;CHAR(10)&amp;
Definitions!$A$5&amp;":"</f>
        <v>___Yes___
Yes: Please name the party responsible for the trusted network:
No:</v>
      </c>
      <c r="M39" s="10" t="s">
        <v>1014</v>
      </c>
      <c r="N39" s="10"/>
      <c r="O39" s="10" cm="1">
        <f t="array" aca="1" ref="O39" ca="1">CreateID($O$3,$A39&lt;&gt;"")</f>
        <v>36</v>
      </c>
      <c r="P39" s="10" cm="1">
        <f t="array" ref="P39">CreateTaskID($P$3,$P:$P,Tasks!$B$17,$N39)</f>
        <v>0</v>
      </c>
      <c r="Q39" s="10" t="b" cm="1">
        <f t="array" aca="1" ref="Q39" ca="1">IF($M39="",FALSE,CheckRelevance(SanitizeInput($M39),Questionnaire!$AB:$AB))</f>
        <v>0</v>
      </c>
      <c r="R39" s="10" cm="1">
        <f t="array" aca="1" ref="R39" ca="1">CreateID($R$3,AND($A39&lt;&gt;"",$D39&lt;&gt;""))</f>
        <v>20</v>
      </c>
    </row>
    <row r="40" spans="1:18" ht="48.75" x14ac:dyDescent="0.25">
      <c r="A40" s="10" t="s">
        <v>874</v>
      </c>
      <c r="B40" s="10" t="s">
        <v>63</v>
      </c>
      <c r="C40" s="10">
        <v>3</v>
      </c>
      <c r="D40" s="78" t="str">
        <f t="shared" si="1"/>
        <v>x</v>
      </c>
      <c r="E40" s="64" t="str" cm="1">
        <f t="array" aca="1" ref="E40" ca="1">CELL("address",Definitions!$A$4)</f>
        <v>'[QuBA-libre.xlsx]Definitions'!$A$4</v>
      </c>
      <c r="F40" s="10">
        <f>ROWS(Definitions!$A$4:$A$5)</f>
        <v>2</v>
      </c>
      <c r="G40" s="25" t="str" cm="1">
        <f t="array" aca="1" ref="G40" ca="1">IF($F40=0,"",RemoveDelimiter(OperateOnRange(INDIRECT($E40),FALSE,$F40,0,_xlfn.LAMBDA(_xlpm._x,_xlpm._x),_xlfn.LAMBDA(_xlpm._x,_xlpm._y,_xlpm._x&amp;CHAR(10)&amp;_xlpm._y)),CHAR(10)))</f>
        <v>Yes
No</v>
      </c>
      <c r="H40" s="65" t="str">
        <f>Definitions!$A$4&amp;": Is the access to the wireless connection restricted and are the devices the product communicates with considered as trustworthy?"&amp;CHAR(10)&amp;
Definitions!$A$5&amp;":"</f>
        <v>Yes: Is the access to the wireless connection restricted and are the devices the product communicates with considered as trustworthy?
No:</v>
      </c>
      <c r="I40" s="64" t="str" cm="1">
        <f t="array" aca="1" ref="I40" ca="1">Definitions!$A$4&amp;": "&amp;CELL("address",Definitions!$A$4)</f>
        <v>Yes: '[QuBA-libre.xlsx]Definitions'!$A$4</v>
      </c>
      <c r="J40" s="70" t="str">
        <f>Definitions!$A$4&amp;": "&amp;ROWS(Definitions!$A$4:$A$5)</f>
        <v>Yes: 2</v>
      </c>
      <c r="K40" s="25" t="str" cm="1">
        <f t="array" aca="1" ref="K40"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IF(LEN(_xlpm._optionsRanges)&lt;=_xlpm._endOfFirstElement,"",CHAR(10)&amp;ShowResultingOptions(RIGHT(_xlpm._optionsRanges,LEN(_xlpm._optionsRanges)-_xlpm._endOfFirstElement),RIGHT(_xlpm._optionsHeights,LEN(_xlpm._optionsHeights)-_xlpm._endOfFirstElementH))))))($I40,$J40),
CHAR(10))</f>
        <v>___Yes___
Yes
No</v>
      </c>
      <c r="L40" s="65" t="str">
        <f ca="1">LEFT($K40,FIND(CHAR(10),$K40&amp;CHAR(10)))&amp;
Definitions!$A$4&amp;": Please describe the wireless technologies and the device's role in the network (client / access point / …)  as well as the party responsible for the trusted network:"&amp;CHAR(10)&amp;
Definitions!$A$5&amp;": Please describe the wireless technologies and the device's role in the network (client / access point / …):"</f>
        <v>___Yes___
Yes: Please describe the wireless technologies and the device's role in the network (client / access point / …)  as well as the party responsible for the trusted network:
No: Please describe the wireless technologies and the device's role in the network (client / access point / …):</v>
      </c>
      <c r="M40" s="10" t="s">
        <v>1014</v>
      </c>
      <c r="N40" s="10"/>
      <c r="O40" s="10" cm="1">
        <f t="array" aca="1" ref="O40" ca="1">CreateID($O$3,$A40&lt;&gt;"")</f>
        <v>37</v>
      </c>
      <c r="P40" s="10" cm="1">
        <f t="array" ref="P40">CreateTaskID($P$3,$P:$P,Tasks!$B$17,$N40)</f>
        <v>0</v>
      </c>
      <c r="Q40" s="10" t="b" cm="1">
        <f t="array" aca="1" ref="Q40" ca="1">IF($M40="",FALSE,CheckRelevance(SanitizeInput($M40),Questionnaire!$AB:$AB))</f>
        <v>0</v>
      </c>
      <c r="R40" s="10" cm="1">
        <f t="array" aca="1" ref="R40" ca="1">CreateID($R$3,AND($A40&lt;&gt;"",$D40&lt;&gt;""))</f>
        <v>21</v>
      </c>
    </row>
    <row r="41" spans="1:18" ht="30" x14ac:dyDescent="0.25">
      <c r="A41" s="10" t="s">
        <v>875</v>
      </c>
      <c r="B41" s="10" t="s">
        <v>64</v>
      </c>
      <c r="C41" s="10">
        <v>3</v>
      </c>
      <c r="D41" s="78" t="str">
        <f t="shared" si="1"/>
        <v>x</v>
      </c>
      <c r="E41" s="64" t="str" cm="1">
        <f t="array" aca="1" ref="E41" ca="1">CELL("address",Definitions!$A$4)</f>
        <v>'[QuBA-libre.xlsx]Definitions'!$A$4</v>
      </c>
      <c r="F41" s="10">
        <f>ROWS(Definitions!$A$4:$A$5)</f>
        <v>2</v>
      </c>
      <c r="G41" s="25" t="str" cm="1">
        <f t="array" aca="1" ref="G41" ca="1">IF($F41=0,"",RemoveDelimiter(OperateOnRange(INDIRECT($E41),FALSE,$F41,0,_xlfn.LAMBDA(_xlpm._x,_xlpm._x),_xlfn.LAMBDA(_xlpm._x,_xlpm._y,_xlpm._x&amp;CHAR(10)&amp;_xlpm._y)),CHAR(10)))</f>
        <v>Yes
No</v>
      </c>
      <c r="H41" s="65" t="str">
        <f>Definitions!$A$4&amp;":"&amp;CHAR(10)&amp;
Definitions!$A$5&amp;":"</f>
        <v>Yes:
No:</v>
      </c>
      <c r="I41" s="64" t="str">
        <f>Definitions!$A$4&amp;":"</f>
        <v>Yes:</v>
      </c>
      <c r="J41" s="70" t="str">
        <f>Definitions!$A$4&amp;": 0"</f>
        <v>Yes: 0</v>
      </c>
      <c r="K41" s="25" t="str" cm="1">
        <f t="array" aca="1" ref="K41"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IF(LEN(_xlpm._optionsRanges)&lt;=_xlpm._endOfFirstElement,"",CHAR(10)&amp;ShowResultingOptions(RIGHT(_xlpm._optionsRanges,LEN(_xlpm._optionsRanges)-_xlpm._endOfFirstElement),RIGHT(_xlpm._optionsHeights,LEN(_xlpm._optionsHeights)-_xlpm._endOfFirstElementH))))))($I41,$J41),
CHAR(10))</f>
        <v>___Yes___</v>
      </c>
      <c r="L41" s="65" t="str">
        <f ca="1">LEFT($K41,FIND(CHAR(10),$K41&amp;CHAR(10)))&amp;
"
*: Please describe the network technologies in use:"</f>
        <v>___Yes___
*: Please describe the network technologies in use:</v>
      </c>
      <c r="M41" s="10" t="s">
        <v>1014</v>
      </c>
      <c r="N41" s="10"/>
      <c r="O41" s="10" cm="1">
        <f t="array" aca="1" ref="O41" ca="1">CreateID($O$3,$A41&lt;&gt;"")</f>
        <v>38</v>
      </c>
      <c r="P41" s="10" cm="1">
        <f t="array" ref="P41">CreateTaskID($P$3,$P:$P,Tasks!$B$17,$N41)</f>
        <v>0</v>
      </c>
      <c r="Q41" s="10" t="b" cm="1">
        <f t="array" aca="1" ref="Q41" ca="1">IF($M41="",FALSE,CheckRelevance(SanitizeInput($M41),Questionnaire!$AB:$AB))</f>
        <v>0</v>
      </c>
      <c r="R41" s="10" cm="1">
        <f t="array" aca="1" ref="R41" ca="1">CreateID($R$3,AND($A41&lt;&gt;"",$D41&lt;&gt;""))</f>
        <v>22</v>
      </c>
    </row>
    <row r="42" spans="1:18" x14ac:dyDescent="0.25">
      <c r="A42" s="10" t="s">
        <v>993</v>
      </c>
      <c r="B42" s="10" t="s">
        <v>7</v>
      </c>
      <c r="C42" s="10">
        <v>0</v>
      </c>
      <c r="D42" s="78" t="str">
        <f t="shared" si="1"/>
        <v/>
      </c>
      <c r="E42" s="64"/>
      <c r="F42" s="10"/>
      <c r="G42" s="25" t="str" cm="1">
        <f t="array" aca="1" ref="G42" ca="1">IF($F42=0,"",RemoveDelimiter(OperateOnRange(INDIRECT($E42),FALSE,$F42,0,_xlfn.LAMBDA(_xlpm._x,_xlpm._x),_xlfn.LAMBDA(_xlpm._x,_xlpm._y,_xlpm._x&amp;CHAR(10)&amp;_xlpm._y)),CHAR(10)))</f>
        <v/>
      </c>
      <c r="H42" s="65"/>
      <c r="I42" s="64"/>
      <c r="J42" s="70"/>
      <c r="K42" s="25" t="str" cm="1">
        <f t="array" aca="1" ref="K42"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IF(LEN(_xlpm._optionsRanges)&lt;=_xlpm._endOfFirstElement,"",CHAR(10)&amp;ShowResultingOptions(RIGHT(_xlpm._optionsRanges,LEN(_xlpm._optionsRanges)-_xlpm._endOfFirstElement),RIGHT(_xlpm._optionsHeights,LEN(_xlpm._optionsHeights)-_xlpm._endOfFirstElementH))))))($I42,$J42),
CHAR(10))</f>
        <v/>
      </c>
      <c r="L42" s="65"/>
      <c r="M42" s="10" t="s">
        <v>1014</v>
      </c>
      <c r="N42" s="10"/>
      <c r="O42" s="10" cm="1">
        <f t="array" aca="1" ref="O42" ca="1">CreateID($O$3,$A42&lt;&gt;"")</f>
        <v>39</v>
      </c>
      <c r="P42" s="10" cm="1">
        <f t="array" ref="P42">CreateTaskID($P$3,$P:$P,Tasks!$B$17,$N42)</f>
        <v>0</v>
      </c>
      <c r="Q42" s="10" t="b" cm="1">
        <f t="array" aca="1" ref="Q42" ca="1">IF($M42="",FALSE,CheckRelevance(SanitizeInput($M42),Questionnaire!$AB:$AB))</f>
        <v>0</v>
      </c>
      <c r="R42" s="10" cm="1">
        <f t="array" aca="1" ref="R42" ca="1">CreateID($R$3,AND($A42&lt;&gt;"",$D42&lt;&gt;""))</f>
        <v>22</v>
      </c>
    </row>
    <row r="43" spans="1:18" ht="30" x14ac:dyDescent="0.25">
      <c r="A43" s="10" t="s">
        <v>876</v>
      </c>
      <c r="B43" s="10" t="s">
        <v>65</v>
      </c>
      <c r="C43" s="10">
        <v>3</v>
      </c>
      <c r="D43" s="78" t="str">
        <f t="shared" si="1"/>
        <v>x</v>
      </c>
      <c r="E43" s="64" t="str" cm="1">
        <f t="array" aca="1" ref="E43" ca="1">CELL("address",Definitions!$A$4)</f>
        <v>'[QuBA-libre.xlsx]Definitions'!$A$4</v>
      </c>
      <c r="F43" s="10">
        <f>ROWS(Definitions!$A$4:$A$5)</f>
        <v>2</v>
      </c>
      <c r="G43" s="25" t="str" cm="1">
        <f t="array" aca="1" ref="G43" ca="1">IF($F43=0,"",RemoveDelimiter(OperateOnRange(INDIRECT($E43),FALSE,$F43,0,_xlfn.LAMBDA(_xlpm._x,_xlpm._x),_xlfn.LAMBDA(_xlpm._x,_xlpm._y,_xlpm._x&amp;CHAR(10)&amp;_xlpm._y)),CHAR(10)))</f>
        <v>Yes
No</v>
      </c>
      <c r="H43" s="65" t="str">
        <f>Definitions!$A$4&amp;":"&amp;CHAR(10)&amp;
Definitions!$A$5&amp;":"</f>
        <v>Yes:
No:</v>
      </c>
      <c r="I43" s="64"/>
      <c r="J43" s="70"/>
      <c r="K43" s="25" t="str" cm="1">
        <f t="array" aca="1" ref="K43"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IF(LEN(_xlpm._optionsRanges)&lt;=_xlpm._endOfFirstElement,"",CHAR(10)&amp;ShowResultingOptions(RIGHT(_xlpm._optionsRanges,LEN(_xlpm._optionsRanges)-_xlpm._endOfFirstElement),RIGHT(_xlpm._optionsHeights,LEN(_xlpm._optionsHeights)-_xlpm._endOfFirstElementH))))))($I43,$J43),
CHAR(10))</f>
        <v/>
      </c>
      <c r="L43" s="65"/>
      <c r="M43" s="10" t="s">
        <v>1014</v>
      </c>
      <c r="N43" s="10"/>
      <c r="O43" s="10" cm="1">
        <f t="array" aca="1" ref="O43" ca="1">CreateID($O$3,$A43&lt;&gt;"")</f>
        <v>40</v>
      </c>
      <c r="P43" s="10" cm="1">
        <f t="array" ref="P43">CreateTaskID($P$3,$P:$P,Tasks!$B$17,$N43)</f>
        <v>0</v>
      </c>
      <c r="Q43" s="10" t="b" cm="1">
        <f t="array" aca="1" ref="Q43" ca="1">IF($M43="",FALSE,CheckRelevance(SanitizeInput($M43),Questionnaire!$AB:$AB))</f>
        <v>0</v>
      </c>
      <c r="R43" s="10" cm="1">
        <f t="array" aca="1" ref="R43" ca="1">CreateID($R$3,AND($A43&lt;&gt;"",$D43&lt;&gt;""))</f>
        <v>23</v>
      </c>
    </row>
    <row r="44" spans="1:18" ht="36.75" x14ac:dyDescent="0.25">
      <c r="A44" s="10" t="s">
        <v>879</v>
      </c>
      <c r="B44" s="10" t="s">
        <v>66</v>
      </c>
      <c r="C44" s="10">
        <v>3</v>
      </c>
      <c r="D44" s="78" t="str">
        <f t="shared" si="1"/>
        <v>x</v>
      </c>
      <c r="E44" s="64" t="str" cm="1">
        <f t="array" aca="1" ref="E44" ca="1">CELL("address",Definitions!$A$4)</f>
        <v>'[QuBA-libre.xlsx]Definitions'!$A$4</v>
      </c>
      <c r="F44" s="10">
        <f>ROWS(Definitions!$A$4:$A$5)</f>
        <v>2</v>
      </c>
      <c r="G44" s="25" t="str" cm="1">
        <f t="array" aca="1" ref="G44" ca="1">IF($F44=0,"",RemoveDelimiter(OperateOnRange(INDIRECT($E44),FALSE,$F44,0,_xlfn.LAMBDA(_xlpm._x,_xlpm._x),_xlfn.LAMBDA(_xlpm._x,_xlpm._y,_xlpm._x&amp;CHAR(10)&amp;_xlpm._y)),CHAR(10)))</f>
        <v>Yes
No</v>
      </c>
      <c r="H44" s="65" t="str">
        <f>Definitions!$A$4&amp;": Is the configuration interface protected against unwanted write access?"&amp;CHAR(10)&amp;
Definitions!$A$5&amp;":"</f>
        <v>Yes: Is the configuration interface protected against unwanted write access?
No:</v>
      </c>
      <c r="I44" s="64" t="str" cm="1">
        <f t="array" aca="1" ref="I44" ca="1">Definitions!$A$4&amp;": "&amp;CELL("address",Definitions!$A$4)</f>
        <v>Yes: '[QuBA-libre.xlsx]Definitions'!$A$4</v>
      </c>
      <c r="J44" s="70" t="str">
        <f>Definitions!$A$4&amp;": "&amp;ROWS(Definitions!$A$4:$A$5)</f>
        <v>Yes: 2</v>
      </c>
      <c r="K44" s="25" t="str" cm="1">
        <f t="array" aca="1" ref="K44"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IF(LEN(_xlpm._optionsRanges)&lt;=_xlpm._endOfFirstElement,"",CHAR(10)&amp;ShowResultingOptions(RIGHT(_xlpm._optionsRanges,LEN(_xlpm._optionsRanges)-_xlpm._endOfFirstElement),RIGHT(_xlpm._optionsHeights,LEN(_xlpm._optionsHeights)-_xlpm._endOfFirstElementH))))))($I44,$J44),
CHAR(10))</f>
        <v>___Yes___
Yes
No</v>
      </c>
      <c r="L44" s="65" t="str">
        <f ca="1">LEFT($K44,FIND(CHAR(10),$K44&amp;CHAR(10)))&amp;
Definitions!$A$4&amp;": Please describe the kind of protection and the parties allowed to access the configuration interface:"&amp;CHAR(10)&amp;
Definitions!$A$5&amp;":"</f>
        <v>___Yes___
Yes: Please describe the kind of protection and the parties allowed to access the configuration interface:
No:</v>
      </c>
      <c r="M44" s="10" t="s">
        <v>1014</v>
      </c>
      <c r="N44" s="10"/>
      <c r="O44" s="10" cm="1">
        <f t="array" aca="1" ref="O44" ca="1">CreateID($O$3,$A44&lt;&gt;"")</f>
        <v>41</v>
      </c>
      <c r="P44" s="10" cm="1">
        <f t="array" ref="P44">CreateTaskID($P$3,$P:$P,Tasks!$B$17,$N44)</f>
        <v>0</v>
      </c>
      <c r="Q44" s="10" t="b" cm="1">
        <f t="array" aca="1" ref="Q44" ca="1">IF($M44="",FALSE,CheckRelevance(SanitizeInput($M44),Questionnaire!$AB:$AB))</f>
        <v>0</v>
      </c>
      <c r="R44" s="10" cm="1">
        <f t="array" aca="1" ref="R44" ca="1">CreateID($R$3,AND($A44&lt;&gt;"",$D44&lt;&gt;""))</f>
        <v>24</v>
      </c>
    </row>
    <row r="45" spans="1:18" ht="30" x14ac:dyDescent="0.25">
      <c r="A45" s="10" t="s">
        <v>881</v>
      </c>
      <c r="B45" s="10" t="s">
        <v>67</v>
      </c>
      <c r="C45" s="10">
        <v>3</v>
      </c>
      <c r="D45" s="78" t="str">
        <f t="shared" si="1"/>
        <v>x</v>
      </c>
      <c r="E45" s="64" t="str" cm="1">
        <f t="array" aca="1" ref="E45" ca="1">CELL("address",Definitions!$A$4)</f>
        <v>'[QuBA-libre.xlsx]Definitions'!$A$4</v>
      </c>
      <c r="F45" s="10">
        <f>ROWS(Definitions!$A$4:$A$5)</f>
        <v>2</v>
      </c>
      <c r="G45" s="25" t="str" cm="1">
        <f t="array" aca="1" ref="G45" ca="1">IF($F45=0,"",RemoveDelimiter(OperateOnRange(INDIRECT($E45),FALSE,$F45,0,_xlfn.LAMBDA(_xlpm._x,_xlpm._x),_xlfn.LAMBDA(_xlpm._x,_xlpm._y,_xlpm._x&amp;CHAR(10)&amp;_xlpm._y)),CHAR(10)))</f>
        <v>Yes
No</v>
      </c>
      <c r="H45" s="65" t="str">
        <f>Definitions!$A$4&amp;":"&amp;CHAR(10)&amp;
Definitions!$A$5&amp;":"</f>
        <v>Yes:
No:</v>
      </c>
      <c r="I45" s="64" t="str">
        <f>Definitions!$A$4&amp;":"</f>
        <v>Yes:</v>
      </c>
      <c r="J45" s="70" t="str">
        <f>Definitions!$A$4&amp;": 0"</f>
        <v>Yes: 0</v>
      </c>
      <c r="K45" s="25" t="str" cm="1">
        <f t="array" aca="1" ref="K45"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IF(LEN(_xlpm._optionsRanges)&lt;=_xlpm._endOfFirstElement,"",CHAR(10)&amp;ShowResultingOptions(RIGHT(_xlpm._optionsRanges,LEN(_xlpm._optionsRanges)-_xlpm._endOfFirstElement),RIGHT(_xlpm._optionsHeights,LEN(_xlpm._optionsHeights)-_xlpm._endOfFirstElementH))))))($I45,$J45),
CHAR(10))</f>
        <v>___Yes___</v>
      </c>
      <c r="L45" s="65" t="str">
        <f ca="1">LEFT($K45,FIND(CHAR(10),$K45&amp;CHAR(10)))&amp;
"
*: Please name the supported protocols:"</f>
        <v>___Yes___
*: Please name the supported protocols:</v>
      </c>
      <c r="M45" s="10" t="s">
        <v>1017</v>
      </c>
      <c r="N45" s="10"/>
      <c r="O45" s="10" cm="1">
        <f t="array" aca="1" ref="O45" ca="1">CreateID($O$3,$A45&lt;&gt;"")</f>
        <v>42</v>
      </c>
      <c r="P45" s="10" cm="1">
        <f t="array" ref="P45">CreateTaskID($P$3,$P:$P,Tasks!$B$17,$N45)</f>
        <v>0</v>
      </c>
      <c r="Q45" s="10" t="b" cm="1">
        <f t="array" aca="1" ref="Q45" ca="1">IF($M45="",FALSE,CheckRelevance(SanitizeInput($M45),Questionnaire!$AB:$AB))</f>
        <v>0</v>
      </c>
      <c r="R45" s="10" cm="1">
        <f t="array" aca="1" ref="R45" ca="1">CreateID($R$3,AND($A45&lt;&gt;"",$D45&lt;&gt;""))</f>
        <v>25</v>
      </c>
    </row>
    <row r="46" spans="1:18" ht="45" x14ac:dyDescent="0.25">
      <c r="A46" s="10" t="s">
        <v>1058</v>
      </c>
      <c r="B46" s="10" t="s">
        <v>1060</v>
      </c>
      <c r="C46" s="10">
        <v>3</v>
      </c>
      <c r="D46" s="78" t="str">
        <f t="shared" si="1"/>
        <v>x</v>
      </c>
      <c r="E46" s="64" t="str" cm="1">
        <f t="array" aca="1" ref="E46" ca="1">CELL("address",Definitions!$A$4)</f>
        <v>'[QuBA-libre.xlsx]Definitions'!$A$4</v>
      </c>
      <c r="F46" s="10">
        <f>ROWS(Definitions!$A$4:$A$5)</f>
        <v>2</v>
      </c>
      <c r="G46" s="25" t="str" cm="1">
        <f t="array" aca="1" ref="G46" ca="1">IF($F46=0,"",RemoveDelimiter(OperateOnRange(INDIRECT($E46),FALSE,$F46,0,_xlfn.LAMBDA(_xlpm._x,_xlpm._x),_xlfn.LAMBDA(_xlpm._x,_xlpm._y,_xlpm._x&amp;CHAR(10)&amp;_xlpm._y)),CHAR(10)))</f>
        <v>Yes
No</v>
      </c>
      <c r="H46" s="65" t="str">
        <f>Definitions!$A$4&amp;": Is the external system considered as trustworthy? In case of several systems, consider the worst case."&amp;CHAR(10)&amp;
Definitions!$A$5&amp;":"</f>
        <v>Yes: Is the external system considered as trustworthy? In case of several systems, consider the worst case.
No:</v>
      </c>
      <c r="I46" s="64" t="str" cm="1">
        <f t="array" aca="1" ref="I46" ca="1">Definitions!$A$4&amp;": "&amp;CELL("address",Definitions!$A$4)</f>
        <v>Yes: '[QuBA-libre.xlsx]Definitions'!$A$4</v>
      </c>
      <c r="J46" s="70" t="str">
        <f>Definitions!$A$4&amp;": "&amp;ROWS(Definitions!$A$4:$A$5)</f>
        <v>Yes: 2</v>
      </c>
      <c r="K46" s="25" t="str" cm="1">
        <f t="array" aca="1" ref="K46"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IF(LEN(_xlpm._optionsRanges)&lt;=_xlpm._endOfFirstElement,"",CHAR(10)&amp;ShowResultingOptions(RIGHT(_xlpm._optionsRanges,LEN(_xlpm._optionsRanges)-_xlpm._endOfFirstElement),RIGHT(_xlpm._optionsHeights,LEN(_xlpm._optionsHeights)-_xlpm._endOfFirstElementH))))))($I46,$J46),
CHAR(10))</f>
        <v>___Yes___
Yes
No</v>
      </c>
      <c r="L46" s="65" t="str">
        <f ca="1">LEFT($K46,FIND(CHAR(10),$K46&amp;CHAR(10)))&amp;
Definitions!$A$4&amp;": Please describe the interactions and the exchanged data:"&amp;CHAR(10)&amp;
Definitions!$A$5&amp;": Please describe the interactions and the exchanged data:"</f>
        <v>___Yes___
Yes: Please describe the interactions and the exchanged data:
No: Please describe the interactions and the exchanged data:</v>
      </c>
      <c r="M46" s="10" t="s">
        <v>1014</v>
      </c>
      <c r="N46" s="10"/>
      <c r="O46" s="10" cm="1">
        <f t="array" aca="1" ref="O46" ca="1">CreateID($O$3,$A46&lt;&gt;"")</f>
        <v>43</v>
      </c>
      <c r="P46" s="10" cm="1">
        <f t="array" ref="P46">CreateTaskID($P$3,$P:$P,Tasks!$B$17,$N46)</f>
        <v>0</v>
      </c>
      <c r="Q46" s="10" t="b" cm="1">
        <f t="array" aca="1" ref="Q46" ca="1">IF($M46="",FALSE,CheckRelevance(SanitizeInput($M46),Questionnaire!$AB:$AB))</f>
        <v>0</v>
      </c>
      <c r="R46" s="10" cm="1">
        <f t="array" aca="1" ref="R46" ca="1">CreateID($R$3,AND($A46&lt;&gt;"",$D46&lt;&gt;""))</f>
        <v>26</v>
      </c>
    </row>
    <row r="47" spans="1:18" ht="60" x14ac:dyDescent="0.25">
      <c r="A47" s="10" t="s">
        <v>1059</v>
      </c>
      <c r="B47" s="10" t="str">
        <f>"Does the product communicate with an external system on the Internet (e.g., an untrusted 3rd party backend, a "&amp;Definitions!$C$4&amp;" cloud service, a "&amp;Definitions!$C$4&amp;" server system)?"</f>
        <v>Does the product communicate with an external system on the Internet (e.g., an untrusted 3rd party backend, a &lt;&lt; OEM Name &gt;&gt; cloud service, a &lt;&lt; OEM Name &gt;&gt; server system)?</v>
      </c>
      <c r="C47" s="10">
        <v>3</v>
      </c>
      <c r="D47" s="78" t="str">
        <f>IF($A47="","",IF(LEFT($A47,1)="Q","x",""))</f>
        <v>x</v>
      </c>
      <c r="E47" s="64" t="str" cm="1">
        <f t="array" aca="1" ref="E47" ca="1">CELL("address",Definitions!$A$4)</f>
        <v>'[QuBA-libre.xlsx]Definitions'!$A$4</v>
      </c>
      <c r="F47" s="10">
        <f>ROWS(Definitions!$A$4:$A$5)</f>
        <v>2</v>
      </c>
      <c r="G47" s="25" t="str" cm="1">
        <f t="array" aca="1" ref="G47" ca="1">IF($F47=0,"",RemoveDelimiter(OperateOnRange(INDIRECT($E47),FALSE,$F47,0,_xlfn.LAMBDA(_xlpm._x,_xlpm._x),_xlfn.LAMBDA(_xlpm._x,_xlpm._y,_xlpm._x&amp;CHAR(10)&amp;_xlpm._y)),CHAR(10)))</f>
        <v>Yes
No</v>
      </c>
      <c r="H47" s="65" t="str">
        <f>Definitions!$A$4&amp;": Is the external system considered as trustworthy? In case of several systems, consider the worst case."&amp;CHAR(10)&amp;
Definitions!$A$5&amp;":"</f>
        <v>Yes: Is the external system considered as trustworthy? In case of several systems, consider the worst case.
No:</v>
      </c>
      <c r="I47" s="64" t="str" cm="1">
        <f t="array" aca="1" ref="I47" ca="1">Definitions!$A$4&amp;": "&amp;CELL("address",Definitions!$A$4)</f>
        <v>Yes: '[QuBA-libre.xlsx]Definitions'!$A$4</v>
      </c>
      <c r="J47" s="70" t="str">
        <f>Definitions!$A$4&amp;": "&amp;ROWS(Definitions!$A$4:$A$5)</f>
        <v>Yes: 2</v>
      </c>
      <c r="K47" s="25" t="str" cm="1">
        <f t="array" aca="1" ref="K47"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IF(LEN(_xlpm._optionsRanges)&lt;=_xlpm._endOfFirstElement,"",CHAR(10)&amp;ShowResultingOptions(RIGHT(_xlpm._optionsRanges,LEN(_xlpm._optionsRanges)-_xlpm._endOfFirstElement),RIGHT(_xlpm._optionsHeights,LEN(_xlpm._optionsHeights)-_xlpm._endOfFirstElementH))))))($I47,$J47),
CHAR(10))</f>
        <v>___Yes___
Yes
No</v>
      </c>
      <c r="L47" s="65" t="str">
        <f ca="1">LEFT($K47,FIND(CHAR(10),$K47&amp;CHAR(10)))&amp;
Definitions!$A$4&amp;": Please describe the interactions and the exchanged data:"&amp;CHAR(10)&amp;
Definitions!$A$5&amp;": Please describe the interactions and the exchanged data:"</f>
        <v>___Yes___
Yes: Please describe the interactions and the exchanged data:
No: Please describe the interactions and the exchanged data:</v>
      </c>
      <c r="M47" s="10" t="s">
        <v>1014</v>
      </c>
      <c r="N47" s="10"/>
      <c r="O47" s="10" cm="1">
        <f t="array" aca="1" ref="O47" ca="1">CreateID($O$3,$A47&lt;&gt;"")</f>
        <v>44</v>
      </c>
      <c r="P47" s="10" cm="1">
        <f t="array" ref="P47">CreateTaskID($P$3,$P:$P,Tasks!$B$17,$N47)</f>
        <v>0</v>
      </c>
      <c r="Q47" s="10" t="b" cm="1">
        <f t="array" aca="1" ref="Q47" ca="1">IF($M47="",FALSE,CheckRelevance(SanitizeInput($M47),Questionnaire!$AB:$AB))</f>
        <v>0</v>
      </c>
      <c r="R47" s="10" cm="1">
        <f t="array" aca="1" ref="R47" ca="1">CreateID($R$3,AND($A47&lt;&gt;"",$D47&lt;&gt;""))</f>
        <v>27</v>
      </c>
    </row>
    <row r="48" spans="1:18" ht="48.75" x14ac:dyDescent="0.25">
      <c r="A48" s="10" t="s">
        <v>1185</v>
      </c>
      <c r="B48" s="10" t="s">
        <v>68</v>
      </c>
      <c r="C48" s="10">
        <v>3</v>
      </c>
      <c r="D48" s="78" t="str">
        <f t="shared" si="1"/>
        <v>x</v>
      </c>
      <c r="E48" s="64" t="str" cm="1">
        <f t="array" aca="1" ref="E48" ca="1">CELL("address",Definitions!$A$4)</f>
        <v>'[QuBA-libre.xlsx]Definitions'!$A$4</v>
      </c>
      <c r="F48" s="10">
        <f>ROWS(Definitions!$A$4:$A$5)</f>
        <v>2</v>
      </c>
      <c r="G48" s="25" t="str" cm="1">
        <f t="array" aca="1" ref="G48" ca="1">IF($F48=0,"",RemoveDelimiter(OperateOnRange(INDIRECT($E48),FALSE,$F48,0,_xlfn.LAMBDA(_xlpm._x,_xlpm._x),_xlfn.LAMBDA(_xlpm._x,_xlpm._y,_xlpm._x&amp;CHAR(10)&amp;_xlpm._y)),CHAR(10)))</f>
        <v>Yes
No</v>
      </c>
      <c r="H48" s="65" t="str">
        <f>Definitions!$A$4&amp;": Does the software originate from a trustworthy source (e.g., the "&amp;Definitions!$C$4&amp;" backend, potentially over multiple communication media)?"&amp;CHAR(10)&amp;
Definitions!$A$5&amp;":"</f>
        <v>Yes: Does the software originate from a trustworthy source (e.g., the &lt;&lt; OEM Name &gt;&gt; backend, potentially over multiple communication media)?
No:</v>
      </c>
      <c r="I48" s="64" t="str" cm="1">
        <f t="array" aca="1" ref="I48" ca="1">Definitions!$A$4&amp;": "&amp;CELL("address",Definitions!$A$4)</f>
        <v>Yes: '[QuBA-libre.xlsx]Definitions'!$A$4</v>
      </c>
      <c r="J48" s="70" t="str">
        <f>Definitions!$A$4&amp;": "&amp;ROWS(Definitions!$A$4:$A$5)</f>
        <v>Yes: 2</v>
      </c>
      <c r="K48" s="25" t="str" cm="1">
        <f t="array" aca="1" ref="K48"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IF(LEN(_xlpm._optionsRanges)&lt;=_xlpm._endOfFirstElement,"",CHAR(10)&amp;ShowResultingOptions(RIGHT(_xlpm._optionsRanges,LEN(_xlpm._optionsRanges)-_xlpm._endOfFirstElement),RIGHT(_xlpm._optionsHeights,LEN(_xlpm._optionsHeights)-_xlpm._endOfFirstElementH))))))($I48,$J48),
CHAR(10))</f>
        <v>___Yes___
Yes
No</v>
      </c>
      <c r="L48" s="65" t="str">
        <f ca="1">LEFT($K48,FIND(CHAR(10),$K48&amp;CHAR(10)))&amp;
Definitions!$A$4&amp;": Who is the trustworthy party creating and providing the updates?"&amp;CHAR(10)&amp;
Definitions!$A$5&amp;":"</f>
        <v>___Yes___
Yes: Who is the trustworthy party creating and providing the updates?
No:</v>
      </c>
      <c r="M48" s="10" t="s">
        <v>1014</v>
      </c>
      <c r="N48" s="10"/>
      <c r="O48" s="10" cm="1">
        <f t="array" aca="1" ref="O48" ca="1">CreateID($O$3,$A48&lt;&gt;"")</f>
        <v>45</v>
      </c>
      <c r="P48" s="10" cm="1">
        <f t="array" ref="P48">CreateTaskID($P$3,$P:$P,Tasks!$B$17,$N48)</f>
        <v>0</v>
      </c>
      <c r="Q48" s="10" t="b" cm="1">
        <f t="array" aca="1" ref="Q48" ca="1">IF($M48="",FALSE,CheckRelevance(SanitizeInput($M48),Questionnaire!$AB:$AB))</f>
        <v>0</v>
      </c>
      <c r="R48" s="10" cm="1">
        <f t="array" aca="1" ref="R48" ca="1">CreateID($R$3,AND($A48&lt;&gt;"",$D48&lt;&gt;""))</f>
        <v>28</v>
      </c>
    </row>
    <row r="49" spans="1:18" ht="36.75" x14ac:dyDescent="0.25">
      <c r="A49" s="10" t="s">
        <v>1186</v>
      </c>
      <c r="B49" s="10" t="s">
        <v>1187</v>
      </c>
      <c r="C49" s="10">
        <v>3</v>
      </c>
      <c r="D49" s="78" t="str">
        <f>IF($A49="","",IF(LEFT($A49,1)="Q","x",""))</f>
        <v>x</v>
      </c>
      <c r="E49" s="64" t="str" cm="1">
        <f t="array" aca="1" ref="E49" ca="1">CELL("address",Definitions!$A$4)</f>
        <v>'[QuBA-libre.xlsx]Definitions'!$A$4</v>
      </c>
      <c r="F49" s="10">
        <f>ROWS(Definitions!$A$4:$A$5)</f>
        <v>2</v>
      </c>
      <c r="G49" s="25" t="str" cm="1">
        <f t="array" aca="1" ref="G49" ca="1">IF($F49=0,"",RemoveDelimiter(OperateOnRange(INDIRECT($E49),FALSE,$F49,0,_xlfn.LAMBDA(_xlpm._x,_xlpm._x),_xlfn.LAMBDA(_xlpm._x,_xlpm._y,_xlpm._x&amp;CHAR(10)&amp;_xlpm._y)),CHAR(10)))</f>
        <v>Yes
No</v>
      </c>
      <c r="H49" s="65" t="str">
        <f>Definitions!$A$4&amp;":"&amp;CHAR(10)&amp;
Definitions!$A$5&amp;": Will the product be exchanged to handle vulnerabilities or security incidents?"</f>
        <v>Yes:
No: Will the product be exchanged to handle vulnerabilities or security incidents?</v>
      </c>
      <c r="I49" s="64" t="str" cm="1">
        <f t="array" aca="1" ref="I49" ca="1">Definitions!$A$5&amp;": "&amp;CELL("address",Definitions!$A$4)</f>
        <v>No: '[QuBA-libre.xlsx]Definitions'!$A$4</v>
      </c>
      <c r="J49" s="70" t="str">
        <f>Definitions!$A$5&amp;": "&amp;ROWS(Definitions!$A$4:$A$5)</f>
        <v>No: 2</v>
      </c>
      <c r="K49" s="25" t="str" cm="1">
        <f t="array" aca="1" ref="K49"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IF(LEN(_xlpm._optionsRanges)&lt;=_xlpm._endOfFirstElement,"",CHAR(10)&amp;ShowResultingOptions(RIGHT(_xlpm._optionsRanges,LEN(_xlpm._optionsRanges)-_xlpm._endOfFirstElement),RIGHT(_xlpm._optionsHeights,LEN(_xlpm._optionsHeights)-_xlpm._endOfFirstElementH))))))($I49,$J49),
CHAR(10))</f>
        <v>___No___
Yes
No</v>
      </c>
      <c r="L49" s="65" t="str">
        <f ca="1">LEFT($K49,FIND(CHAR(10),$K49&amp;CHAR(10)))&amp;
Definitions!$A$4&amp;":"&amp;CHAR(10)&amp;
Definitions!$A$5&amp;":"</f>
        <v>___No___
Yes:
No:</v>
      </c>
      <c r="M49" s="10" t="s">
        <v>1014</v>
      </c>
      <c r="N49" s="10"/>
      <c r="O49" s="10" cm="1">
        <f t="array" aca="1" ref="O49" ca="1">CreateID($O$3,$A49&lt;&gt;"")</f>
        <v>46</v>
      </c>
      <c r="P49" s="10" cm="1">
        <f t="array" ref="P49">CreateTaskID($P$3,$P:$P,Tasks!$B$17,$N49)</f>
        <v>0</v>
      </c>
      <c r="Q49" s="10" t="b" cm="1">
        <f t="array" aca="1" ref="Q49" ca="1">IF($M49="",FALSE,CheckRelevance(SanitizeInput($M49),Questionnaire!$AB:$AB))</f>
        <v>0</v>
      </c>
      <c r="R49" s="10" cm="1">
        <f t="array" aca="1" ref="R49" ca="1">CreateID($R$3,AND($A49&lt;&gt;"",$D49&lt;&gt;""))</f>
        <v>29</v>
      </c>
    </row>
    <row r="50" spans="1:18" ht="36.75" x14ac:dyDescent="0.25">
      <c r="A50" s="10" t="s">
        <v>883</v>
      </c>
      <c r="B50" s="10" t="s">
        <v>488</v>
      </c>
      <c r="C50" s="10">
        <v>3</v>
      </c>
      <c r="D50" s="78" t="str">
        <f t="shared" si="1"/>
        <v>x</v>
      </c>
      <c r="E50" s="64" t="str" cm="1">
        <f t="array" aca="1" ref="E50" ca="1">CELL("address",Definitions!$A$4)</f>
        <v>'[QuBA-libre.xlsx]Definitions'!$A$4</v>
      </c>
      <c r="F50" s="10">
        <f>ROWS(Definitions!$A$4:$A$5)</f>
        <v>2</v>
      </c>
      <c r="G50" s="25" t="str" cm="1">
        <f t="array" aca="1" ref="G50" ca="1">IF($F50=0,"",RemoveDelimiter(OperateOnRange(INDIRECT($E50),FALSE,$F50,0,_xlfn.LAMBDA(_xlpm._x,_xlpm._x),_xlfn.LAMBDA(_xlpm._x,_xlpm._y,_xlpm._x&amp;CHAR(10)&amp;_xlpm._y)),CHAR(10)))</f>
        <v>Yes
No</v>
      </c>
      <c r="H50" s="65" t="str">
        <f>Definitions!$A$4&amp;": Are the local network and the gateway considered as trustworthy?"&amp;CHAR(10)&amp;
Definitions!$A$5&amp;":"</f>
        <v>Yes: Are the local network and the gateway considered as trustworthy?
No:</v>
      </c>
      <c r="I50" s="64" t="str" cm="1">
        <f t="array" aca="1" ref="I50" ca="1">Definitions!$A$4&amp;": "&amp;CELL("address",Definitions!$A$4)</f>
        <v>Yes: '[QuBA-libre.xlsx]Definitions'!$A$4</v>
      </c>
      <c r="J50" s="70" t="str">
        <f>Definitions!$A$4&amp;": "&amp;ROWS(Definitions!$A$4:$A$5)</f>
        <v>Yes: 2</v>
      </c>
      <c r="K50" s="25" t="str" cm="1">
        <f t="array" aca="1" ref="K50"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IF(LEN(_xlpm._optionsRanges)&lt;=_xlpm._endOfFirstElement,"",CHAR(10)&amp;ShowResultingOptions(RIGHT(_xlpm._optionsRanges,LEN(_xlpm._optionsRanges)-_xlpm._endOfFirstElement),RIGHT(_xlpm._optionsHeights,LEN(_xlpm._optionsHeights)-_xlpm._endOfFirstElementH))))))($I50,$J50),
CHAR(10))</f>
        <v>___Yes___
Yes
No</v>
      </c>
      <c r="L50" s="65" t="str">
        <f ca="1">LEFT($K50,FIND(CHAR(10),$K50&amp;CHAR(10)))&amp;
Definitions!$A$4&amp;": Who is responsible for the secure operation of the network?"&amp;CHAR(10)&amp;
Definitions!$A$5&amp;":"</f>
        <v>___Yes___
Yes: Who is responsible for the secure operation of the network?
No:</v>
      </c>
      <c r="M50" s="10" t="s">
        <v>1014</v>
      </c>
      <c r="N50" s="10"/>
      <c r="O50" s="10" cm="1">
        <f t="array" aca="1" ref="O50" ca="1">CreateID($O$3,$A50&lt;&gt;"")</f>
        <v>47</v>
      </c>
      <c r="P50" s="10" cm="1">
        <f t="array" ref="P50">CreateTaskID($P$3,$P:$P,Tasks!$B$17,$N50)</f>
        <v>0</v>
      </c>
      <c r="Q50" s="10" t="b" cm="1">
        <f t="array" aca="1" ref="Q50" ca="1">IF($M50="",FALSE,CheckRelevance(SanitizeInput($M50),Questionnaire!$AB:$AB))</f>
        <v>0</v>
      </c>
      <c r="R50" s="10" cm="1">
        <f t="array" aca="1" ref="R50" ca="1">CreateID($R$3,AND($A50&lt;&gt;"",$D50&lt;&gt;""))</f>
        <v>30</v>
      </c>
    </row>
    <row r="51" spans="1:18" ht="36.75" x14ac:dyDescent="0.25">
      <c r="A51" s="10" t="s">
        <v>886</v>
      </c>
      <c r="B51" s="10" t="s">
        <v>489</v>
      </c>
      <c r="C51" s="10">
        <v>3</v>
      </c>
      <c r="D51" s="78" t="str">
        <f t="shared" si="1"/>
        <v>x</v>
      </c>
      <c r="E51" s="64" t="str" cm="1">
        <f t="array" aca="1" ref="E51" ca="1">CELL("address",Definitions!$A$4)</f>
        <v>'[QuBA-libre.xlsx]Definitions'!$A$4</v>
      </c>
      <c r="F51" s="10">
        <f>ROWS(Definitions!$A$4:$A$5)</f>
        <v>2</v>
      </c>
      <c r="G51" s="25" t="str" cm="1">
        <f t="array" aca="1" ref="G51" ca="1">IF($F51=0,"",RemoveDelimiter(OperateOnRange(INDIRECT($E51),FALSE,$F51,0,_xlfn.LAMBDA(_xlpm._x,_xlpm._x),_xlfn.LAMBDA(_xlpm._x,_xlpm._y,_xlpm._x&amp;CHAR(10)&amp;_xlpm._y)),CHAR(10)))</f>
        <v>Yes
No</v>
      </c>
      <c r="H51" s="65" t="str">
        <f>Definitions!$A$4&amp;": Are the wireless network and the gateway considered as trustworthy?"&amp;CHAR(10)&amp;
Definitions!$A$5&amp;":"</f>
        <v>Yes: Are the wireless network and the gateway considered as trustworthy?
No:</v>
      </c>
      <c r="I51" s="64" t="str" cm="1">
        <f t="array" aca="1" ref="I51" ca="1">Definitions!$A$4&amp;": "&amp;CELL("address",Definitions!$A$4)</f>
        <v>Yes: '[QuBA-libre.xlsx]Definitions'!$A$4</v>
      </c>
      <c r="J51" s="70" t="str">
        <f>Definitions!$A$4&amp;": "&amp;ROWS(Definitions!$A$4:$A$5)</f>
        <v>Yes: 2</v>
      </c>
      <c r="K51" s="25" t="str" cm="1">
        <f t="array" aca="1" ref="K51"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IF(LEN(_xlpm._optionsRanges)&lt;=_xlpm._endOfFirstElement,"",CHAR(10)&amp;ShowResultingOptions(RIGHT(_xlpm._optionsRanges,LEN(_xlpm._optionsRanges)-_xlpm._endOfFirstElement),RIGHT(_xlpm._optionsHeights,LEN(_xlpm._optionsHeights)-_xlpm._endOfFirstElementH))))))($I51,$J51),
CHAR(10))</f>
        <v>___Yes___
Yes
No</v>
      </c>
      <c r="L51" s="65" t="str">
        <f ca="1">LEFT($K51,FIND(CHAR(10),$K51&amp;CHAR(10)))&amp;
Definitions!$A$4&amp;": Who is responsible for the secure operation of the network?"&amp;CHAR(10)&amp;
Definitions!$A$5&amp;":"</f>
        <v>___Yes___
Yes: Who is responsible for the secure operation of the network?
No:</v>
      </c>
      <c r="M51" s="10" t="s">
        <v>1014</v>
      </c>
      <c r="N51" s="10"/>
      <c r="O51" s="10" cm="1">
        <f t="array" aca="1" ref="O51" ca="1">CreateID($O$3,$A51&lt;&gt;"")</f>
        <v>48</v>
      </c>
      <c r="P51" s="10" cm="1">
        <f t="array" ref="P51">CreateTaskID($P$3,$P:$P,Tasks!$B$17,$N51)</f>
        <v>0</v>
      </c>
      <c r="Q51" s="10" t="b" cm="1">
        <f t="array" aca="1" ref="Q51" ca="1">IF($M51="",FALSE,CheckRelevance(SanitizeInput($M51),Questionnaire!$AB:$AB))</f>
        <v>0</v>
      </c>
      <c r="R51" s="10" cm="1">
        <f t="array" aca="1" ref="R51" ca="1">CreateID($R$3,AND($A51&lt;&gt;"",$D51&lt;&gt;""))</f>
        <v>31</v>
      </c>
    </row>
    <row r="52" spans="1:18" x14ac:dyDescent="0.25">
      <c r="A52" s="10" t="s">
        <v>994</v>
      </c>
      <c r="B52" s="10" t="s">
        <v>8</v>
      </c>
      <c r="C52" s="10">
        <v>0</v>
      </c>
      <c r="D52" s="78" t="str">
        <f t="shared" si="1"/>
        <v/>
      </c>
      <c r="E52" s="64"/>
      <c r="F52" s="10"/>
      <c r="G52" s="25" t="str" cm="1">
        <f t="array" aca="1" ref="G52" ca="1">IF($F52=0,"",RemoveDelimiter(OperateOnRange(INDIRECT($E52),FALSE,$F52,0,_xlfn.LAMBDA(_xlpm._x,_xlpm._x),_xlfn.LAMBDA(_xlpm._x,_xlpm._y,_xlpm._x&amp;CHAR(10)&amp;_xlpm._y)),CHAR(10)))</f>
        <v/>
      </c>
      <c r="H52" s="65"/>
      <c r="I52" s="64"/>
      <c r="J52" s="70"/>
      <c r="K52" s="25" t="str" cm="1">
        <f t="array" aca="1" ref="K52"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IF(LEN(_xlpm._optionsRanges)&lt;=_xlpm._endOfFirstElement,"",CHAR(10)&amp;ShowResultingOptions(RIGHT(_xlpm._optionsRanges,LEN(_xlpm._optionsRanges)-_xlpm._endOfFirstElement),RIGHT(_xlpm._optionsHeights,LEN(_xlpm._optionsHeights)-_xlpm._endOfFirstElementH))))))($I52,$J52),
CHAR(10))</f>
        <v/>
      </c>
      <c r="L52" s="65"/>
      <c r="M52" s="10"/>
      <c r="N52" s="10"/>
      <c r="O52" s="10" cm="1">
        <f t="array" aca="1" ref="O52" ca="1">CreateID($O$3,$A52&lt;&gt;"")</f>
        <v>49</v>
      </c>
      <c r="P52" s="10" cm="1">
        <f t="array" ref="P52">CreateTaskID($P$3,$P:$P,Tasks!$B$17,$N52)</f>
        <v>0</v>
      </c>
      <c r="Q52" s="10" t="b" cm="1">
        <f t="array" ref="Q52">IF($M52="",FALSE,CheckRelevance(SanitizeInput($M52),Questionnaire!$AB:$AB))</f>
        <v>0</v>
      </c>
      <c r="R52" s="10" cm="1">
        <f t="array" aca="1" ref="R52" ca="1">CreateID($R$3,AND($A52&lt;&gt;"",$D52&lt;&gt;""))</f>
        <v>31</v>
      </c>
    </row>
    <row r="53" spans="1:18" ht="30" x14ac:dyDescent="0.25">
      <c r="A53" s="10" t="s">
        <v>890</v>
      </c>
      <c r="B53" s="10" t="s">
        <v>56</v>
      </c>
      <c r="C53" s="10">
        <v>3</v>
      </c>
      <c r="D53" s="78" t="str">
        <f t="shared" si="1"/>
        <v>x</v>
      </c>
      <c r="E53" s="64" t="str" cm="1">
        <f t="array" aca="1" ref="E53" ca="1">CELL("address",Definitions!$A$4)</f>
        <v>'[QuBA-libre.xlsx]Definitions'!$A$4</v>
      </c>
      <c r="F53" s="10">
        <f>ROWS(Definitions!$A$4:$A$5)</f>
        <v>2</v>
      </c>
      <c r="G53" s="25" t="str" cm="1">
        <f t="array" aca="1" ref="G53" ca="1">IF($F53=0,"",RemoveDelimiter(OperateOnRange(INDIRECT($E53),FALSE,$F53,0,_xlfn.LAMBDA(_xlpm._x,_xlpm._x),_xlfn.LAMBDA(_xlpm._x,_xlpm._y,_xlpm._x&amp;CHAR(10)&amp;_xlpm._y)),CHAR(10)))</f>
        <v>Yes
No</v>
      </c>
      <c r="H53" s="65" t="str">
        <f>Definitions!$A$4&amp;":"&amp;CHAR(10)&amp;
Definitions!$A$5&amp;":"</f>
        <v>Yes:
No:</v>
      </c>
      <c r="I53" s="64" t="str">
        <f>Definitions!$A$5&amp;":"</f>
        <v>No:</v>
      </c>
      <c r="J53" s="70" t="str">
        <f>Definitions!$A$5&amp;": 0"</f>
        <v>No: 0</v>
      </c>
      <c r="K53" s="25" t="str" cm="1">
        <f t="array" aca="1" ref="K53"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IF(LEN(_xlpm._optionsRanges)&lt;=_xlpm._endOfFirstElement,"",CHAR(10)&amp;ShowResultingOptions(RIGHT(_xlpm._optionsRanges,LEN(_xlpm._optionsRanges)-_xlpm._endOfFirstElement),RIGHT(_xlpm._optionsHeights,LEN(_xlpm._optionsHeights)-_xlpm._endOfFirstElementH))))))($I53,$J53),
CHAR(10))</f>
        <v>___No___</v>
      </c>
      <c r="L53" s="65" t="str">
        <f ca="1">LEFT($K53,FIND(CHAR(10),$K53&amp;CHAR(10)))&amp;
"
*: Please describe how the product is protected from physical access:"</f>
        <v>___No___
*: Please describe how the product is protected from physical access:</v>
      </c>
      <c r="M53" s="10"/>
      <c r="N53" s="10"/>
      <c r="O53" s="10" cm="1">
        <f t="array" aca="1" ref="O53" ca="1">CreateID($O$3,$A53&lt;&gt;"")</f>
        <v>50</v>
      </c>
      <c r="P53" s="10" cm="1">
        <f t="array" ref="P53">CreateTaskID($P$3,$P:$P,Tasks!$B$17,$N53)</f>
        <v>0</v>
      </c>
      <c r="Q53" s="10" t="b" cm="1">
        <f t="array" ref="Q53">IF($M53="",FALSE,CheckRelevance(SanitizeInput($M53),Questionnaire!$AB:$AB))</f>
        <v>0</v>
      </c>
      <c r="R53" s="10" cm="1">
        <f t="array" aca="1" ref="R53" ca="1">CreateID($R$3,AND($A53&lt;&gt;"",$D53&lt;&gt;""))</f>
        <v>32</v>
      </c>
    </row>
    <row r="54" spans="1:18" ht="60.75" x14ac:dyDescent="0.25">
      <c r="A54" s="10" t="s">
        <v>892</v>
      </c>
      <c r="B54" s="10" t="s">
        <v>1476</v>
      </c>
      <c r="C54" s="10">
        <v>3</v>
      </c>
      <c r="D54" s="78" t="str">
        <f t="shared" si="1"/>
        <v>x</v>
      </c>
      <c r="E54" s="64" t="str" cm="1">
        <f t="array" aca="1" ref="E54" ca="1">CELL("address",Definitions!$A$4)</f>
        <v>'[QuBA-libre.xlsx]Definitions'!$A$4</v>
      </c>
      <c r="F54" s="10">
        <f>ROWS(Definitions!$A$4:$A$5)</f>
        <v>2</v>
      </c>
      <c r="G54" s="25" t="str" cm="1">
        <f t="array" aca="1" ref="G54" ca="1">IF($F54=0,"",RemoveDelimiter(OperateOnRange(INDIRECT($E54),FALSE,$F54,0,_xlfn.LAMBDA(_xlpm._x,_xlpm._x),_xlfn.LAMBDA(_xlpm._x,_xlpm._y,_xlpm._x&amp;CHAR(10)&amp;_xlpm._y)),CHAR(10)))</f>
        <v>Yes
No</v>
      </c>
      <c r="H54" s="65" t="str">
        <f>Definitions!$A$4&amp;": Can an attacker plausibly tamper with the hardware without being detected?"&amp;CHAR(10)&amp;
Definitions!$A$5&amp;":"</f>
        <v>Yes: Can an attacker plausibly tamper with the hardware without being detected?
No:</v>
      </c>
      <c r="I54" s="64" t="str" cm="1">
        <f t="array" aca="1" ref="I54" ca="1">Definitions!$A$4&amp;": "&amp;CELL("address",Definitions!$A$4)&amp;CHAR(10)&amp;
Definitions!$A$5&amp;":"</f>
        <v>Yes: '[QuBA-libre.xlsx]Definitions'!$A$4
No:</v>
      </c>
      <c r="J54" s="70" t="str">
        <f>Definitions!$A$4&amp;": "&amp;ROWS(Definitions!$A$4:$A$5)&amp;CHAR(10)&amp;
Definitions!$A$5&amp;": 0"</f>
        <v>Yes: 2
No: 0</v>
      </c>
      <c r="K54" s="25" t="str" cm="1">
        <f t="array" aca="1" ref="K54"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IF(LEN(_xlpm._optionsRanges)&lt;=_xlpm._endOfFirstElement,"",CHAR(10)&amp;ShowResultingOptions(RIGHT(_xlpm._optionsRanges,LEN(_xlpm._optionsRanges)-_xlpm._endOfFirstElement),RIGHT(_xlpm._optionsHeights,LEN(_xlpm._optionsHeights)-_xlpm._endOfFirstElementH))))))($I54,$J54),
CHAR(10))</f>
        <v>___Yes___
Yes
No
___No___</v>
      </c>
      <c r="L54" s="65" t="str">
        <f ca="1">LEFT($K54,FIND(CHAR(10),$K54&amp;CHAR(10)))&amp;
Definitions!$A$4&amp;":"&amp;CHAR(10)&amp;
Definitions!$A$5&amp;": Please explain why this is not plausible:"&amp;CHAR(10)&amp;
"___"&amp;Definitions!$A$5&amp;"___"&amp;CHAR(10)&amp;
"*: Please name the parties with access:"</f>
        <v>___Yes___
Yes:
No: Please explain why this is not plausible:
___No___
*: Please name the parties with access:</v>
      </c>
      <c r="M54" s="10"/>
      <c r="N54" s="10"/>
      <c r="O54" s="10" cm="1">
        <f t="array" aca="1" ref="O54" ca="1">CreateID($O$3,$A54&lt;&gt;"")</f>
        <v>51</v>
      </c>
      <c r="P54" s="10" cm="1">
        <f t="array" ref="P54">CreateTaskID($P$3,$P:$P,Tasks!$B$17,$N54)</f>
        <v>0</v>
      </c>
      <c r="Q54" s="10" t="b" cm="1">
        <f t="array" ref="Q54">IF($M54="",FALSE,CheckRelevance(SanitizeInput($M54),Questionnaire!$AB:$AB))</f>
        <v>0</v>
      </c>
      <c r="R54" s="10" cm="1">
        <f t="array" aca="1" ref="R54" ca="1">CreateID($R$3,AND($A54&lt;&gt;"",$D54&lt;&gt;""))</f>
        <v>33</v>
      </c>
    </row>
    <row r="55" spans="1:18" ht="45" x14ac:dyDescent="0.25">
      <c r="A55" s="10" t="s">
        <v>895</v>
      </c>
      <c r="B55" s="10" t="s">
        <v>952</v>
      </c>
      <c r="C55" s="10">
        <v>3</v>
      </c>
      <c r="D55" s="78" t="str">
        <f t="shared" si="1"/>
        <v>x</v>
      </c>
      <c r="E55" s="64" t="str" cm="1">
        <f t="array" aca="1" ref="E55" ca="1">CELL("address",Definitions!$A$4)</f>
        <v>'[QuBA-libre.xlsx]Definitions'!$A$4</v>
      </c>
      <c r="F55" s="10">
        <f>ROWS(Definitions!$A$4:$A$5)</f>
        <v>2</v>
      </c>
      <c r="G55" s="25" t="str" cm="1">
        <f t="array" aca="1" ref="G55" ca="1">IF($F55=0,"",RemoveDelimiter(OperateOnRange(INDIRECT($E55),FALSE,$F55,0,_xlfn.LAMBDA(_xlpm._x,_xlpm._x),_xlfn.LAMBDA(_xlpm._x,_xlpm._y,_xlpm._x&amp;CHAR(10)&amp;_xlpm._y)),CHAR(10)))</f>
        <v>Yes
No</v>
      </c>
      <c r="H55" s="65" t="str">
        <f>Definitions!$A$4&amp;":"&amp;CHAR(10)&amp;
Definitions!$A$5&amp;":"</f>
        <v>Yes:
No:</v>
      </c>
      <c r="I55" s="64" t="str">
        <f>Definitions!$A$5&amp;":"</f>
        <v>No:</v>
      </c>
      <c r="J55" s="70" t="str">
        <f>Definitions!$A$5&amp;": 0"</f>
        <v>No: 0</v>
      </c>
      <c r="K55" s="25" t="str" cm="1">
        <f t="array" aca="1" ref="K55"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IF(LEN(_xlpm._optionsRanges)&lt;=_xlpm._endOfFirstElement,"",CHAR(10)&amp;ShowResultingOptions(RIGHT(_xlpm._optionsRanges,LEN(_xlpm._optionsRanges)-_xlpm._endOfFirstElement),RIGHT(_xlpm._optionsHeights,LEN(_xlpm._optionsHeights)-_xlpm._endOfFirstElementH))))))($I55,$J55),
CHAR(10))</f>
        <v>___No___</v>
      </c>
      <c r="L55" s="65" t="str">
        <f ca="1">LEFT($K55,FIND(CHAR(10),$K55&amp;CHAR(10)))&amp;
"
*: Please name the parties with access:"</f>
        <v>___No___
*: Please name the parties with access:</v>
      </c>
      <c r="M55" s="10"/>
      <c r="N55" s="10"/>
      <c r="O55" s="10" cm="1">
        <f t="array" aca="1" ref="O55" ca="1">CreateID($O$3,$A55&lt;&gt;"")</f>
        <v>52</v>
      </c>
      <c r="P55" s="10" cm="1">
        <f t="array" ref="P55">CreateTaskID($P$3,$P:$P,Tasks!$B$17,$N55)</f>
        <v>0</v>
      </c>
      <c r="Q55" s="10" t="b" cm="1">
        <f t="array" ref="Q55">IF($M55="",FALSE,CheckRelevance(SanitizeInput($M55),Questionnaire!$AB:$AB))</f>
        <v>0</v>
      </c>
      <c r="R55" s="10" cm="1">
        <f t="array" aca="1" ref="R55" ca="1">CreateID($R$3,AND($A55&lt;&gt;"",$D55&lt;&gt;""))</f>
        <v>34</v>
      </c>
    </row>
    <row r="56" spans="1:18" ht="36.75" x14ac:dyDescent="0.25">
      <c r="A56" s="10" t="s">
        <v>898</v>
      </c>
      <c r="B56" s="10" t="s">
        <v>1065</v>
      </c>
      <c r="C56" s="10">
        <v>3</v>
      </c>
      <c r="D56" s="78" t="str">
        <f t="shared" si="1"/>
        <v>x</v>
      </c>
      <c r="E56" s="64" t="str" cm="1">
        <f t="array" aca="1" ref="E56" ca="1">CELL("address",Definitions!$A$4)</f>
        <v>'[QuBA-libre.xlsx]Definitions'!$A$4</v>
      </c>
      <c r="F56" s="10">
        <f>ROWS(Definitions!$A$4:$A$5)</f>
        <v>2</v>
      </c>
      <c r="G56" s="25" t="str" cm="1">
        <f t="array" aca="1" ref="G56" ca="1">IF($F56=0,"",RemoveDelimiter(OperateOnRange(INDIRECT($E56),FALSE,$F56,0,_xlfn.LAMBDA(_xlpm._x,_xlpm._x),_xlfn.LAMBDA(_xlpm._x,_xlpm._y,_xlpm._x&amp;CHAR(10)&amp;_xlpm._y)),CHAR(10)))</f>
        <v>Yes
No</v>
      </c>
      <c r="H56" s="65" t="str">
        <f>Definitions!$A$4&amp;": Is network access to the debug interface(s) possible?"&amp;CHAR(10)&amp;
Definitions!$A$5&amp;":"</f>
        <v>Yes: Is network access to the debug interface(s) possible?
No:</v>
      </c>
      <c r="I56" s="64" t="str" cm="1">
        <f t="array" aca="1" ref="I56" ca="1">Definitions!$A$4&amp;": "&amp;CELL("address",Definitions!$A$4)</f>
        <v>Yes: '[QuBA-libre.xlsx]Definitions'!$A$4</v>
      </c>
      <c r="J56" s="70" t="str">
        <f>Definitions!$A$4&amp;": "&amp;ROWS(Definitions!$A$4:$A$5)</f>
        <v>Yes: 2</v>
      </c>
      <c r="K56" s="25" t="str" cm="1">
        <f t="array" aca="1" ref="K56"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IF(LEN(_xlpm._optionsRanges)&lt;=_xlpm._endOfFirstElement,"",CHAR(10)&amp;ShowResultingOptions(RIGHT(_xlpm._optionsRanges,LEN(_xlpm._optionsRanges)-_xlpm._endOfFirstElement),RIGHT(_xlpm._optionsHeights,LEN(_xlpm._optionsHeights)-_xlpm._endOfFirstElementH))))))($I56,$J56),
CHAR(10))</f>
        <v>___Yes___
Yes
No</v>
      </c>
      <c r="L56" s="65" t="str">
        <f ca="1">LEFT($K56,FIND(CHAR(10),$K56&amp;CHAR(10)))&amp;
Definitions!$A$4&amp;":"&amp;CHAR(10)&amp;
Definitions!$A$5&amp;":"</f>
        <v>___Yes___
Yes:
No:</v>
      </c>
      <c r="M56" s="10"/>
      <c r="N56" s="10"/>
      <c r="O56" s="10" cm="1">
        <f t="array" aca="1" ref="O56" ca="1">CreateID($O$3,$A56&lt;&gt;"")</f>
        <v>53</v>
      </c>
      <c r="P56" s="10" cm="1">
        <f t="array" ref="P56">CreateTaskID($P$3,$P:$P,Tasks!$B$17,$N56)</f>
        <v>0</v>
      </c>
      <c r="Q56" s="10" t="b" cm="1">
        <f t="array" ref="Q56">IF($M56="",FALSE,CheckRelevance(SanitizeInput($M56),Questionnaire!$AB:$AB))</f>
        <v>0</v>
      </c>
      <c r="R56" s="10" cm="1">
        <f t="array" aca="1" ref="R56" ca="1">CreateID($R$3,AND($A56&lt;&gt;"",$D56&lt;&gt;""))</f>
        <v>35</v>
      </c>
    </row>
    <row r="57" spans="1:18" ht="30" x14ac:dyDescent="0.25">
      <c r="A57" s="10" t="s">
        <v>964</v>
      </c>
      <c r="B57" s="10" t="s">
        <v>966</v>
      </c>
      <c r="C57" s="10">
        <v>0</v>
      </c>
      <c r="D57" s="78" t="str">
        <f t="shared" si="1"/>
        <v>x</v>
      </c>
      <c r="E57" s="64" t="str" cm="1">
        <f t="array" aca="1" ref="E57" ca="1">CELL("address",Definitions!$A$4)</f>
        <v>'[QuBA-libre.xlsx]Definitions'!$A$4</v>
      </c>
      <c r="F57" s="10">
        <f>ROWS(Definitions!$A$4:$A$5)</f>
        <v>2</v>
      </c>
      <c r="G57" s="25" t="str" cm="1">
        <f t="array" aca="1" ref="G57" ca="1">IF($F57=0,"",RemoveDelimiter(OperateOnRange(INDIRECT($E57),FALSE,$F57,0,_xlfn.LAMBDA(_xlpm._x,_xlpm._x),_xlfn.LAMBDA(_xlpm._x,_xlpm._y,_xlpm._x&amp;CHAR(10)&amp;_xlpm._y)),CHAR(10)))</f>
        <v>Yes
No</v>
      </c>
      <c r="H57" s="65" t="str">
        <f>Definitions!$A$4&amp;":"&amp;CHAR(10)&amp;
Definitions!$A$5&amp;":"</f>
        <v>Yes:
No:</v>
      </c>
      <c r="I57" s="64" t="str">
        <f>Definitions!$A$4&amp;":"</f>
        <v>Yes:</v>
      </c>
      <c r="J57" s="70" t="str">
        <f>Definitions!$A$4&amp;": 0"</f>
        <v>Yes: 0</v>
      </c>
      <c r="K57" s="25" t="str" cm="1">
        <f t="array" aca="1" ref="K57"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IF(LEN(_xlpm._optionsRanges)&lt;=_xlpm._endOfFirstElement,"",CHAR(10)&amp;ShowResultingOptions(RIGHT(_xlpm._optionsRanges,LEN(_xlpm._optionsRanges)-_xlpm._endOfFirstElement),RIGHT(_xlpm._optionsHeights,LEN(_xlpm._optionsHeights)-_xlpm._endOfFirstElementH))))))($I57,$J57),
CHAR(10))</f>
        <v>___Yes___</v>
      </c>
      <c r="L57" s="65" t="str">
        <f ca="1">LEFT($K57,FIND(CHAR(10),$K57&amp;CHAR(10)))&amp;
"
*: Please provide details on the secure production environment:"</f>
        <v>___Yes___
*: Please provide details on the secure production environment:</v>
      </c>
      <c r="M57" s="10"/>
      <c r="N57" s="10"/>
      <c r="O57" s="10" cm="1">
        <f t="array" aca="1" ref="O57" ca="1">CreateID($O$3,$A57&lt;&gt;"")</f>
        <v>54</v>
      </c>
      <c r="P57" s="10" cm="1">
        <f t="array" ref="P57">CreateTaskID($P$3,$P:$P,Tasks!$B$17,$N57)</f>
        <v>0</v>
      </c>
      <c r="Q57" s="10" t="b" cm="1">
        <f t="array" ref="Q57">IF($M57="",FALSE,CheckRelevance(SanitizeInput($M57),Questionnaire!$AB:$AB))</f>
        <v>0</v>
      </c>
      <c r="R57" s="10" cm="1">
        <f t="array" aca="1" ref="R57" ca="1">CreateID($R$3,AND($A57&lt;&gt;"",$D57&lt;&gt;""))</f>
        <v>36</v>
      </c>
    </row>
    <row r="58" spans="1:18" ht="48.75" x14ac:dyDescent="0.25">
      <c r="A58" s="10" t="s">
        <v>965</v>
      </c>
      <c r="B58" s="10" t="s">
        <v>1072</v>
      </c>
      <c r="C58" s="10">
        <v>0</v>
      </c>
      <c r="D58" s="78" t="str">
        <f t="shared" si="1"/>
        <v>x</v>
      </c>
      <c r="E58" s="64" t="str" cm="1">
        <f t="array" aca="1" ref="E58" ca="1">CELL("address",Definitions!$BF$4)</f>
        <v>'[QuBA-libre.xlsx]Definitions'!$BF$4</v>
      </c>
      <c r="F58" s="10">
        <f ca="1">COUNTA(Definitions!$BF:$BF)-3</f>
        <v>3</v>
      </c>
      <c r="G58" s="25" t="str" cm="1">
        <f t="array" aca="1" ref="G58" ca="1">IF($F58=0,"",RemoveDelimiter(OperateOnRange(INDIRECT($E58),FALSE,$F58,0,_xlfn.LAMBDA(_xlpm._x,_xlpm._x),_xlfn.LAMBDA(_xlpm._x,_xlpm._y,_xlpm._x&amp;CHAR(10)&amp;_xlpm._y)),CHAR(10)))</f>
        <v>Yes
No
N/A</v>
      </c>
      <c r="H58" s="65" t="str">
        <f>Definitions!$BF$4&amp;": Will the supplier provide regular updates for the product?"&amp;CHAR(10)&amp;
Definitions!$BF$5&amp;":"&amp;CHAR(10)&amp;
Definitions!$BF$6&amp;":"</f>
        <v>Yes: Will the supplier provide regular updates for the product?
No:
N/A:</v>
      </c>
      <c r="I58" s="64" t="str" cm="1">
        <f t="array" aca="1" ref="I58" ca="1">Definitions!$A$4&amp;": "&amp;CELL("address",Definitions!$A$4)</f>
        <v>Yes: '[QuBA-libre.xlsx]Definitions'!$A$4</v>
      </c>
      <c r="J58" s="70" t="str">
        <f>Definitions!$A$4&amp;": "&amp;ROWS(Definitions!$A$4:$A$5)</f>
        <v>Yes: 2</v>
      </c>
      <c r="K58" s="25" t="str" cm="1">
        <f t="array" aca="1" ref="K58"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IF(LEN(_xlpm._optionsRanges)&lt;=_xlpm._endOfFirstElement,"",CHAR(10)&amp;ShowResultingOptions(RIGHT(_xlpm._optionsRanges,LEN(_xlpm._optionsRanges)-_xlpm._endOfFirstElement),RIGHT(_xlpm._optionsHeights,LEN(_xlpm._optionsHeights)-_xlpm._endOfFirstElementH))))))($I58,$J58),
CHAR(10))</f>
        <v>___Yes___
Yes
No</v>
      </c>
      <c r="L58" s="65" t="str">
        <f ca="1">LEFT($K58,FIND(CHAR(10),$K58&amp;CHAR(10)))&amp;
Definitions!$A$4&amp;": Please provide details on the trustworthy supplier:"&amp;CHAR(10)&amp;
Definitions!$A$5&amp;": Please provide details on the trustworthy supplier:"</f>
        <v>___Yes___
Yes: Please provide details on the trustworthy supplier:
No: Please provide details on the trustworthy supplier:</v>
      </c>
      <c r="M58" s="10"/>
      <c r="N58" s="10"/>
      <c r="O58" s="10" cm="1">
        <f t="array" aca="1" ref="O58" ca="1">CreateID($O$3,$A58&lt;&gt;"")</f>
        <v>55</v>
      </c>
      <c r="P58" s="10" cm="1">
        <f t="array" ref="P58">CreateTaskID($P$3,$P:$P,Tasks!$B$17,$N58)</f>
        <v>0</v>
      </c>
      <c r="Q58" s="10" t="b" cm="1">
        <f t="array" ref="Q58">IF($M58="",FALSE,CheckRelevance(SanitizeInput($M58),Questionnaire!$AB:$AB))</f>
        <v>0</v>
      </c>
      <c r="R58" s="10" cm="1">
        <f t="array" aca="1" ref="R58" ca="1">CreateID($R$3,AND($A58&lt;&gt;"",$D58&lt;&gt;""))</f>
        <v>37</v>
      </c>
    </row>
    <row r="59" spans="1:18" ht="48.75" x14ac:dyDescent="0.25">
      <c r="A59" s="10" t="s">
        <v>1084</v>
      </c>
      <c r="B59" s="10" t="s">
        <v>1086</v>
      </c>
      <c r="C59" s="10">
        <v>0</v>
      </c>
      <c r="D59" s="78" t="str">
        <f>IF($A59="","",IF(LEFT($A59,1)="Q","x",""))</f>
        <v>x</v>
      </c>
      <c r="E59" s="70" t="str" cm="1">
        <f t="array" aca="1" ref="E59" ca="1">CELL("address",Definitions!$AW$4)</f>
        <v>'[QuBA-libre.xlsx]Definitions'!$AW$4</v>
      </c>
      <c r="F59" s="10">
        <f>ROWS(Definitions!AW4:AW7)</f>
        <v>4</v>
      </c>
      <c r="G59" s="25" t="str" cm="1">
        <f t="array" aca="1" ref="G59" ca="1">IF($F59=0,"",RemoveDelimiter(OperateOnRange(INDIRECT($E59),FALSE,$F59,0,_xlfn.LAMBDA(_xlpm._x,_xlpm._x),_xlfn.LAMBDA(_xlpm._x,_xlpm._y,_xlpm._x&amp;CHAR(10)&amp;_xlpm._y)),CHAR(10)))</f>
        <v>0 - 5 years
5 - 10 years
10 - 20 years
20+ years</v>
      </c>
      <c r="H59" s="65" t="s">
        <v>1093</v>
      </c>
      <c r="I59" s="64"/>
      <c r="J59" s="70"/>
      <c r="K59" s="25" t="str" cm="1">
        <f t="array" aca="1" ref="K59"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IF(LEN(_xlpm._optionsRanges)&lt;=_xlpm._endOfFirstElement,"",CHAR(10)&amp;ShowResultingOptions(RIGHT(_xlpm._optionsRanges,LEN(_xlpm._optionsRanges)-_xlpm._endOfFirstElement),RIGHT(_xlpm._optionsHeights,LEN(_xlpm._optionsHeights)-_xlpm._endOfFirstElementH))))))($I59,$J59),
CHAR(10))</f>
        <v/>
      </c>
      <c r="L59" s="65"/>
      <c r="M59" s="10"/>
      <c r="N59" s="10"/>
      <c r="O59" s="10" cm="1">
        <f t="array" aca="1" ref="O59" ca="1">CreateID($O$3,$A59&lt;&gt;"")</f>
        <v>56</v>
      </c>
      <c r="P59" s="10" cm="1">
        <f t="array" ref="P59">CreateTaskID($P$3,$P:$P,Tasks!$B$17,$N59)</f>
        <v>0</v>
      </c>
      <c r="Q59" s="10" t="b" cm="1">
        <f t="array" ref="Q59">IF($M59="",FALSE,CheckRelevance(SanitizeInput($M59),Questionnaire!$AB:$AB))</f>
        <v>0</v>
      </c>
      <c r="R59" s="10" cm="1">
        <f t="array" aca="1" ref="R59" ca="1">CreateID($R$3,AND($A59&lt;&gt;"",$D59&lt;&gt;""))</f>
        <v>38</v>
      </c>
    </row>
    <row r="60" spans="1:18" ht="48.75" x14ac:dyDescent="0.25">
      <c r="A60" s="10" t="s">
        <v>1085</v>
      </c>
      <c r="B60" s="10" t="s">
        <v>1087</v>
      </c>
      <c r="C60" s="10">
        <v>0</v>
      </c>
      <c r="D60" s="78" t="str">
        <f>IF($A60="","",IF(LEFT($A60,1)="Q","x",""))</f>
        <v>x</v>
      </c>
      <c r="E60" s="64" t="str" cm="1">
        <f t="array" aca="1" ref="E60" ca="1">CELL("address",Definitions!$AW$4)</f>
        <v>'[QuBA-libre.xlsx]Definitions'!$AW$4</v>
      </c>
      <c r="F60" s="10">
        <f>ROWS(Definitions!AW4:AW7)</f>
        <v>4</v>
      </c>
      <c r="G60" s="25" t="str" cm="1">
        <f t="array" aca="1" ref="G60" ca="1">IF($F60=0,"",RemoveDelimiter(OperateOnRange(INDIRECT($E60),FALSE,$F60,0,_xlfn.LAMBDA(_xlpm._x,_xlpm._x),_xlfn.LAMBDA(_xlpm._x,_xlpm._y,_xlpm._x&amp;CHAR(10)&amp;_xlpm._y)),CHAR(10)))</f>
        <v>0 - 5 years
5 - 10 years
10 - 20 years
20+ years</v>
      </c>
      <c r="H60" s="65" t="s">
        <v>1093</v>
      </c>
      <c r="I60" s="64"/>
      <c r="J60" s="70"/>
      <c r="K60" s="25" t="str" cm="1">
        <f t="array" aca="1" ref="K60" ca="1">RemoveDelimiter(
_xlfn.LAMBDA(_xlpm._optionsRanges,_xlpm._optionsHeights,
IF(_xlpm._optionsRanges="","",_xlfn.LET(
_xlpm._endOfFirstElement,FIND(CHAR(10),_xlpm._optionsRanges&amp;CHAR(10)),
_xlpm._optionsRangeWithPrefix,SUBSTITUTE(LEFT(_xlpm._optionsRanges,_xlpm._endOfFirstElement-1),": ",":"),
_xlpm._colPos,FIND(":",_xlpm._optionsRangeWithPrefix),
_xlpm._prefix,LEFT(_xlpm._optionsRangeWithPrefix,_xlpm._colPos-1),
_xlpm._optionsRange,RIGHT(_xlpm._optionsRangeWithPrefix,LEN(_xlpm._optionsRangeWithPrefix)-_xlpm._colPos),
_xlpm._endOfFirstElementH,FIND(CHAR(10),_xlpm._optionsHeights&amp;CHAR(10)),
_xlpm._optionsHeightWithPrefix,SUBSTITUTE(LEFT(_xlpm._optionsHeights,_xlpm._endOfFirstElementH-1),": ",":"),
_xlpm._colPosH,FIND(":",_xlpm._optionsHeightWithPrefix),
_xlpm._prefixH,LEFT(_xlpm._optionsHeightWithPrefix,_xlpm._colPosH-1),
_xlpm._optionsHeight,VALUE(RIGHT(_xlpm._optionsHeightWithPrefix,LEN(_xlpm._optionsHeightWithPrefix)-_xlpm._colPosH)),
IF(_xlpm._prefix&lt;&gt;_xlpm._prefixH,"ERROR: Prefix list is inconsistent.",
"___"&amp;_xlpm._prefix&amp;"___"&amp;CHAR(10)&amp;
IFERROR(IF(_xlpm._optionsHeight=0,"",RemoveDelimiter(OperateOnRange(INDIRECT(_xlpm._optionsRange),FALSE,_xlpm._optionsHeight,0,_xlfn.LAMBDA(_xlpm._x,_xlpm._x),_xlfn.LAMBDA(_xlpm._x,_xlpm._y,_xlpm._x&amp;CHAR(10)&amp;_xlpm._y)),CHAR(10))),
  "ERROR: Check the README for the correct input format"))&amp;
IF(LEN(_xlpm._optionsRanges)&lt;=_xlpm._endOfFirstElement,"",CHAR(10)&amp;ShowResultingOptions(RIGHT(_xlpm._optionsRanges,LEN(_xlpm._optionsRanges)-_xlpm._endOfFirstElement),RIGHT(_xlpm._optionsHeights,LEN(_xlpm._optionsHeights)-_xlpm._endOfFirstElementH))))))($I60,$J60),
CHAR(10))</f>
        <v/>
      </c>
      <c r="L60" s="65"/>
      <c r="M60" s="10"/>
      <c r="N60" s="10"/>
      <c r="O60" s="10" cm="1">
        <f t="array" aca="1" ref="O60" ca="1">CreateID($O$3,$A60&lt;&gt;"")</f>
        <v>57</v>
      </c>
      <c r="P60" s="10" cm="1">
        <f t="array" ref="P60">CreateTaskID($P$3,$P:$P,Tasks!$B$17,$N60)</f>
        <v>0</v>
      </c>
      <c r="Q60" s="10" t="b" cm="1">
        <f t="array" ref="Q60">IF($M60="",FALSE,CheckRelevance(SanitizeInput($M60),Questionnaire!$AB:$AB))</f>
        <v>0</v>
      </c>
      <c r="R60" s="10" cm="1">
        <f t="array" aca="1" ref="R60" ca="1">CreateID($R$3,AND($A60&lt;&gt;"",$D60&lt;&gt;""))</f>
        <v>39</v>
      </c>
    </row>
  </sheetData>
  <mergeCells count="2">
    <mergeCell ref="E2:H2"/>
    <mergeCell ref="I2:L2"/>
  </mergeCells>
  <phoneticPr fontId="4" type="noConversion"/>
  <pageMargins left="0.7" right="0.7" top="0.75" bottom="0.75" header="0.3" footer="0.3"/>
  <pageSetup paperSize="9" orientation="portrait" r:id="rId1"/>
  <ignoredErrors>
    <ignoredError sqref="I54:J54 I57:J57 I49:J49 I45:J45" formula="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1" id="{EF26FA7B-9ADC-4D8B-AC59-7AD2EDCCDEE4}">
            <xm:f>IFERROR(FIND(Tasks!$B$17,N1)&gt;0,FALSE)</xm:f>
            <x14:dxf>
              <font>
                <b/>
                <i val="0"/>
                <color rgb="FF99FFCC"/>
              </font>
            </x14:dxf>
          </x14:cfRule>
          <xm:sqref>N1:N1048576</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4F2FB-817A-44C4-A643-5AAC7432DEAF}">
  <sheetPr>
    <tabColor theme="6"/>
  </sheetPr>
  <dimension ref="A1:V21"/>
  <sheetViews>
    <sheetView workbookViewId="0">
      <pane xSplit="3" ySplit="2" topLeftCell="D3" activePane="bottomRight" state="frozen"/>
      <selection pane="topRight" activeCell="D1" sqref="D1"/>
      <selection pane="bottomLeft" activeCell="A2" sqref="A2"/>
      <selection pane="bottomRight" activeCell="A2" sqref="A2"/>
    </sheetView>
  </sheetViews>
  <sheetFormatPr defaultColWidth="9.140625" defaultRowHeight="15" outlineLevelCol="1" x14ac:dyDescent="0.25"/>
  <cols>
    <col min="1" max="2" width="9.140625" style="2" customWidth="1"/>
    <col min="3" max="3" width="45.7109375" style="2" customWidth="1"/>
    <col min="4" max="4" width="15.7109375" style="2" customWidth="1" outlineLevel="1"/>
    <col min="5" max="5" width="25.7109375" style="2" customWidth="1" outlineLevel="1"/>
    <col min="6" max="6" width="18.7109375" style="4" bestFit="1" customWidth="1" outlineLevel="1"/>
    <col min="7" max="7" width="25.7109375" style="4" customWidth="1" outlineLevel="1"/>
    <col min="8" max="8" width="15.7109375" style="4" customWidth="1"/>
    <col min="9" max="9" width="25.7109375" style="4" customWidth="1"/>
    <col min="10" max="10" width="30.7109375" style="7" customWidth="1"/>
    <col min="11" max="11" width="26" style="7" customWidth="1" outlineLevel="1"/>
    <col min="12" max="12" width="18.85546875" style="7" bestFit="1" customWidth="1"/>
    <col min="13" max="13" width="15.7109375" style="7" customWidth="1"/>
    <col min="14" max="14" width="45.7109375" style="7" customWidth="1" outlineLevel="1"/>
    <col min="15" max="15" width="60.7109375" style="7" customWidth="1"/>
    <col min="16" max="16" width="45.7109375" style="2" customWidth="1"/>
    <col min="17" max="17" width="15.42578125" style="2" hidden="1" customWidth="1"/>
    <col min="18" max="18" width="9.140625" style="2" hidden="1" customWidth="1"/>
    <col min="19" max="19" width="21.5703125" style="2" hidden="1" customWidth="1"/>
    <col min="20" max="20" width="13.85546875" style="2" hidden="1" customWidth="1"/>
    <col min="21" max="21" width="16.140625" style="2" hidden="1" customWidth="1"/>
    <col min="22" max="22" width="36.42578125" style="2" hidden="1" customWidth="1"/>
    <col min="23" max="16384" width="9.140625" style="2"/>
  </cols>
  <sheetData>
    <row r="1" spans="1:22" s="80" customFormat="1" x14ac:dyDescent="0.25">
      <c r="A1" s="80" t="str" cm="1">
        <f t="array" aca="1" ref="A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HYPERLINK("#'"&amp;Helper!$G$2&amp;"'!"&amp;CHAR(CODE("A")+COLUMN(_xlpm._columnNameHeader)-1)&amp;_xlpm._entryOffset,Definitions!$AY$4)))(Helper!$G$5,A$2,README!$E:$E,README!$I$35,README!$B$35)</f>
        <v>◈</v>
      </c>
      <c r="B1" s="80" t="str" cm="1">
        <f t="array" aca="1" ref="B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HYPERLINK("#'"&amp;Helper!$G$2&amp;"'!"&amp;CHAR(CODE("A")+COLUMN(_xlpm._columnNameHeader)-1)&amp;_xlpm._entryOffset,Definitions!$AY$4)))(Helper!$G$5,B$2,README!$E:$E,README!$I$35,README!$B$35)</f>
        <v>◈</v>
      </c>
      <c r="C1" s="80" t="str" cm="1">
        <f t="array" aca="1" ref="C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HYPERLINK("#'"&amp;Helper!$G$2&amp;"'!"&amp;CHAR(CODE("A")+COLUMN(_xlpm._columnNameHeader)-1)&amp;_xlpm._entryOffset,Definitions!$AY$4)))(Helper!$G$5,C$2,README!$E:$E,README!$I$35,README!$B$35)</f>
        <v>◈</v>
      </c>
      <c r="D1" s="80" t="str" cm="1">
        <f t="array" aca="1" ref="D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HYPERLINK("#'"&amp;Helper!$G$2&amp;"'!"&amp;CHAR(CODE("A")+COLUMN(_xlpm._columnNameHeader)-1)&amp;_xlpm._entryOffset,Definitions!$AY$4)))(Helper!$G$5,D$2,README!$E:$E,README!$I$35,README!$B$35)</f>
        <v>◈</v>
      </c>
      <c r="E1" s="80" t="str" cm="1">
        <f t="array" aca="1" ref="E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HYPERLINK("#'"&amp;Helper!$G$2&amp;"'!"&amp;CHAR(CODE("A")+COLUMN(_xlpm._columnNameHeader)-1)&amp;_xlpm._entryOffset,Definitions!$AY$4)))(Helper!$G$5,E$2,README!$E:$E,README!$I$35,README!$B$35)</f>
        <v>◈</v>
      </c>
      <c r="F1" s="80" t="str" cm="1">
        <f t="array" aca="1" ref="F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HYPERLINK("#'"&amp;Helper!$G$2&amp;"'!"&amp;CHAR(CODE("A")+COLUMN(_xlpm._columnNameHeader)-1)&amp;_xlpm._entryOffset,Definitions!$AY$4)))(Helper!$G$5,F$2,README!$E:$E,README!$I$35,README!$B$35)</f>
        <v>◈</v>
      </c>
      <c r="G1" s="80" t="str" cm="1">
        <f t="array" aca="1" ref="G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HYPERLINK("#'"&amp;Helper!$G$2&amp;"'!"&amp;CHAR(CODE("A")+COLUMN(_xlpm._columnNameHeader)-1)&amp;_xlpm._entryOffset,Definitions!$AY$4)))(Helper!$G$5,G$2,README!$E:$E,README!$I$35,README!$B$35)</f>
        <v>◈</v>
      </c>
      <c r="H1" s="80" t="str" cm="1">
        <f t="array" aca="1" ref="H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HYPERLINK("#'"&amp;Helper!$G$2&amp;"'!"&amp;CHAR(CODE("A")+COLUMN(_xlpm._columnNameHeader)-1)&amp;_xlpm._entryOffset,Definitions!$AY$4)))(Helper!$G$5,H$2,README!$E:$E,README!$I$35,README!$B$35)</f>
        <v>◈</v>
      </c>
      <c r="I1" s="80" t="str" cm="1">
        <f t="array" aca="1" ref="I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HYPERLINK("#'"&amp;Helper!$G$2&amp;"'!"&amp;CHAR(CODE("A")+COLUMN(_xlpm._columnNameHeader)-1)&amp;_xlpm._entryOffset,Definitions!$AY$4)))(Helper!$G$5,I$2,README!$E:$E,README!$I$35,README!$B$35)</f>
        <v>◈</v>
      </c>
      <c r="J1" s="80" t="str" cm="1">
        <f t="array" aca="1" ref="J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HYPERLINK("#'"&amp;Helper!$G$2&amp;"'!"&amp;CHAR(CODE("A")+COLUMN(_xlpm._columnNameHeader)-1)&amp;_xlpm._entryOffset,Definitions!$AY$4)))(Helper!$G$5,J$2,README!$E:$E,README!$I$35,README!$B$35)</f>
        <v>◈</v>
      </c>
      <c r="K1" s="80" t="str" cm="1">
        <f t="array" aca="1" ref="K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HYPERLINK("#'"&amp;Helper!$G$2&amp;"'!"&amp;CHAR(CODE("A")+COLUMN(_xlpm._columnNameHeader)-1)&amp;_xlpm._entryOffset,Definitions!$AY$4)))(Helper!$G$5,K$2,README!$E:$E,README!$I$35,README!$B$35)</f>
        <v>◈</v>
      </c>
      <c r="L1" s="80" t="str" cm="1">
        <f t="array" aca="1" ref="L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HYPERLINK("#'"&amp;Helper!$G$2&amp;"'!"&amp;CHAR(CODE("A")+COLUMN(_xlpm._columnNameHeader)-1)&amp;_xlpm._entryOffset,Definitions!$AY$4)))(Helper!$G$5,L$2,README!$E:$E,README!$I$35,README!$B$35)</f>
        <v>◈</v>
      </c>
      <c r="M1" s="80" t="str" cm="1">
        <f t="array" aca="1" ref="M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HYPERLINK("#'"&amp;Helper!$G$2&amp;"'!"&amp;CHAR(CODE("A")+COLUMN(_xlpm._columnNameHeader)-1)&amp;_xlpm._entryOffset,Definitions!$AY$4)))(Helper!$G$5,M$2,README!$E:$E,README!$I$35,README!$B$35)</f>
        <v>◈</v>
      </c>
      <c r="N1" s="80" t="str" cm="1">
        <f t="array" aca="1" ref="N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HYPERLINK("#'"&amp;Helper!$G$2&amp;"'!"&amp;CHAR(CODE("A")+COLUMN(_xlpm._columnNameHeader)-1)&amp;_xlpm._entryOffset,Definitions!$AY$4)))(Helper!$G$5,N$2,README!$E:$E,README!$I$35,README!$B$35)</f>
        <v>◈</v>
      </c>
      <c r="O1" s="80" t="str" cm="1">
        <f t="array" aca="1" ref="O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HYPERLINK("#'"&amp;Helper!$G$2&amp;"'!"&amp;CHAR(CODE("A")+COLUMN(_xlpm._columnNameHeader)-1)&amp;_xlpm._entryOffset,Definitions!$AY$4)))(Helper!$G$5,O$2,README!$E:$E,README!$I$35,README!$B$35)</f>
        <v>◈</v>
      </c>
      <c r="P1" s="80" t="str" cm="1">
        <f t="array" aca="1" ref="P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HYPERLINK("#'"&amp;Helper!$G$2&amp;"'!"&amp;CHAR(CODE("A")+COLUMN(_xlpm._columnNameHeader)-1)&amp;_xlpm._entryOffset,Definitions!$AY$4)))(Helper!$G$5,P$2,README!$E:$E,README!$I$35,README!$B$35)</f>
        <v>◈</v>
      </c>
    </row>
    <row r="2" spans="1:22" ht="45" x14ac:dyDescent="0.25">
      <c r="A2" s="10" t="s">
        <v>46</v>
      </c>
      <c r="B2" s="10" t="s">
        <v>425</v>
      </c>
      <c r="C2" s="13" t="s">
        <v>48</v>
      </c>
      <c r="D2" s="10" t="s">
        <v>753</v>
      </c>
      <c r="E2" s="10" t="s">
        <v>427</v>
      </c>
      <c r="F2" s="10" t="s">
        <v>786</v>
      </c>
      <c r="G2" s="10" t="s">
        <v>428</v>
      </c>
      <c r="H2" s="13" t="s">
        <v>439</v>
      </c>
      <c r="I2" s="13" t="s">
        <v>440</v>
      </c>
      <c r="J2" s="13" t="s">
        <v>783</v>
      </c>
      <c r="K2" s="10" t="s">
        <v>788</v>
      </c>
      <c r="L2" s="13" t="s">
        <v>793</v>
      </c>
      <c r="M2" s="13" t="s">
        <v>158</v>
      </c>
      <c r="N2" s="10" t="s">
        <v>790</v>
      </c>
      <c r="O2" s="13" t="s">
        <v>357</v>
      </c>
      <c r="P2" s="10" t="s">
        <v>2</v>
      </c>
      <c r="Q2" s="9" t="s">
        <v>47</v>
      </c>
      <c r="R2" s="9" t="s">
        <v>196</v>
      </c>
      <c r="S2" s="9" t="s">
        <v>760</v>
      </c>
      <c r="T2" s="9" t="s">
        <v>752</v>
      </c>
      <c r="U2" s="9" t="s">
        <v>441</v>
      </c>
      <c r="V2" s="9" t="s">
        <v>1437</v>
      </c>
    </row>
    <row r="3" spans="1:22" ht="90" x14ac:dyDescent="0.25">
      <c r="A3" s="10" t="s">
        <v>129</v>
      </c>
      <c r="B3" s="10" t="s">
        <v>926</v>
      </c>
      <c r="C3" s="13" t="str" cm="1">
        <f t="array" aca="1" ref="C3" ca="1">IF($B3="","",IFERROR(SimpleLookup($B3,Questions!$A:$B),"Error: Unknown ID: "&amp;$B3))</f>
        <v>Does the product have / support cameras or other sensors that can potentially identify people? (Regarding "supporting a camera / sensor": only answer with Yes if attaching a camera / sensor is in the intended or foreseeable use of the product.)</v>
      </c>
      <c r="D3" s="38" t="str">
        <f ca="1">_xlfn.LET(
_xlpm._dsID,$A3,_xlpm._qID,$B3,_xlpm._dynamicReference,$F3,_xlpm._firstAnswer,$H3,_xlpm._secondAnswer,$I3,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3" s="10" t="str">
        <f>IF(Questionnaire!$D$6=Definitions!$A$4,"Disclosure of camera data","")</f>
        <v/>
      </c>
      <c r="F3" s="38"/>
      <c r="G3" s="10"/>
      <c r="H3" s="13" t="str" cm="1">
        <f t="array" aca="1" ref="H3" ca="1">IF($B3="","",_xlfn.LET(_xlpm._value,SimpleLookup($B3,Questionnaire!$B:$D),IF(_xlpm._value="","",_xlpm._value)))</f>
        <v/>
      </c>
      <c r="I3" s="13" t="str" cm="1">
        <f t="array" aca="1" ref="I3" ca="1">IF($B3="","",_xlfn.LET(_xlpm._value,SimpleLookup($B3,Questionnaire!$B:$F),IF(_xlpm._value="","",_xlpm._value)))</f>
        <v/>
      </c>
      <c r="J3" s="13" t="str">
        <f t="shared" ref="J3:J21" ca="1" si="0">IF($D3="","",_xlfn.LET(
_xlpm._dynamicText,$I3,
_xlpm._ds,$E3&amp;IF($F3="","",_xlpm._dynamicText)&amp;$G3,
IF(_xlpm._ds="","",IF(AND($F3&lt;&gt;"",_xlpm._dynamicText=""),"",_xlpm._ds))))</f>
        <v/>
      </c>
      <c r="K3" s="10" t="s">
        <v>14</v>
      </c>
      <c r="L3" s="13" t="str">
        <f t="shared" ref="L3:L21" ca="1" si="1">IF($D3="x",
IF($K3="",$I3,$K3),
"")</f>
        <v/>
      </c>
      <c r="M3" s="13" t="str" cm="1">
        <f t="array" aca="1" ref="M3" ca="1">IF($L3="","",IFERROR(SimpleLookup($L3,Definitions!$H:$J),""))</f>
        <v/>
      </c>
      <c r="N3" s="10"/>
      <c r="O3" s="13" t="str" cm="1">
        <f t="array" aca="1" ref="O3" ca="1">IF($N3&lt;&gt;"",$N3,_xlfn.LET(
_xlpm._qID,$B3,_xlpm._firstAnswer,$H3,_xlpm._secondAnswer,$I3,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 xml:space="preserve">QI1 Does the product have / support cameras or other sensors that can potentially identify people? (Regarding "supporting a camera / sensor": only answer with Yes if attaching a camera / sensor is in the intended or foreseeable use of the product.)
» </v>
      </c>
      <c r="P3" s="10"/>
      <c r="Q3" s="9" cm="1">
        <f t="array" aca="1" ref="Q3" ca="1">CreateID($Q$2,$A3&lt;&gt;"")</f>
        <v>1</v>
      </c>
      <c r="R3" s="17" cm="1">
        <f t="array" ref="R3">CreateTaskID($R$2,$R:$R,Tasks!$B$17,$P3)</f>
        <v>0</v>
      </c>
      <c r="S3" s="11" cm="1">
        <f t="array" aca="1" ref="S3" ca="1">CreateID($S$2,$D3="x")</f>
        <v>0</v>
      </c>
      <c r="T3" s="11" t="str">
        <f t="shared" ref="T3:T20" ca="1" si="2">IF($D3="","",$A3)</f>
        <v/>
      </c>
      <c r="U3" s="11" cm="1">
        <f t="array" aca="1" ref="U3" ca="1">IF($M3="",0,SimpleLookup($M3,Definitions!$Q:$R))</f>
        <v>0</v>
      </c>
      <c r="V3" s="11" t="str">
        <f t="shared" ref="V3:V21" ca="1" si="3">IF($J3="","",$J3&amp;" ["&amp;$M3&amp;"]")</f>
        <v/>
      </c>
    </row>
    <row r="4" spans="1:22" ht="45" x14ac:dyDescent="0.25">
      <c r="A4" s="10" t="s">
        <v>130</v>
      </c>
      <c r="B4" s="10" t="s">
        <v>923</v>
      </c>
      <c r="C4" s="13" t="str" cm="1">
        <f t="array" aca="1" ref="C4" ca="1">IF($B4="","",IFERROR(SimpleLookup($B4,Questions!$A:$B),"Error: Unknown ID: "&amp;$B4))</f>
        <v>Does the product process personal data?
Examples: address labels</v>
      </c>
      <c r="D4" s="38" t="str">
        <f ca="1">_xlfn.LET(
_xlpm._dsID,$A4,_xlpm._qID,$B4,_xlpm._dynamicReference,$F4,_xlpm._firstAnswer,$H4,_xlpm._secondAnswer,$I4,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4" s="10" t="s">
        <v>426</v>
      </c>
      <c r="F4" s="38" t="s">
        <v>429</v>
      </c>
      <c r="G4" s="10"/>
      <c r="H4" s="13" t="str" cm="1">
        <f t="array" aca="1" ref="H4" ca="1">IF($B4="","",_xlfn.LET(_xlpm._value,SimpleLookup($B4,Questionnaire!$B:$D),IF(_xlpm._value="","",_xlpm._value)))</f>
        <v/>
      </c>
      <c r="I4" s="13" t="str" cm="1">
        <f t="array" aca="1" ref="I4" ca="1">IF($B4="","",_xlfn.LET(_xlpm._value,SimpleLookup($B4,Questionnaire!$B:$F),IF(_xlpm._value="","",_xlpm._value)))</f>
        <v/>
      </c>
      <c r="J4" s="13" t="str">
        <f t="shared" ca="1" si="0"/>
        <v/>
      </c>
      <c r="K4" s="10"/>
      <c r="L4" s="13" t="str">
        <f t="shared" ca="1" si="1"/>
        <v/>
      </c>
      <c r="M4" s="13" t="str" cm="1">
        <f t="array" aca="1" ref="M4" ca="1">IF($L4="","",IFERROR(SimpleLookup($L4,Definitions!$H:$J),""))</f>
        <v/>
      </c>
      <c r="N4" s="10"/>
      <c r="O4" s="13" t="str" cm="1">
        <f t="array" aca="1" ref="O4" ca="1">IF($N4&lt;&gt;"",$N4,_xlfn.LET(
_xlpm._qID,$B4,_xlpm._firstAnswer,$H4,_xlpm._secondAnswer,$I4,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 xml:space="preserve">QI2 Does the product process personal data?
Examples: address labels
» </v>
      </c>
      <c r="P4" s="10"/>
      <c r="Q4" s="9" cm="1">
        <f t="array" aca="1" ref="Q4" ca="1">CreateID($Q$2,$A4&lt;&gt;"")</f>
        <v>2</v>
      </c>
      <c r="R4" s="17" cm="1">
        <f t="array" ref="R4">CreateTaskID($R$2,$R:$R,Tasks!$B$17,$P4)</f>
        <v>0</v>
      </c>
      <c r="S4" s="11" cm="1">
        <f t="array" aca="1" ref="S4" ca="1">CreateID($S$2,$D4="x")</f>
        <v>0</v>
      </c>
      <c r="T4" s="11" t="str">
        <f t="shared" ca="1" si="2"/>
        <v/>
      </c>
      <c r="U4" s="11" cm="1">
        <f t="array" aca="1" ref="U4" ca="1">IF($M4="",0,SimpleLookup($M4,Definitions!$Q:$R))</f>
        <v>0</v>
      </c>
      <c r="V4" s="11" t="str">
        <f t="shared" ca="1" si="3"/>
        <v/>
      </c>
    </row>
    <row r="5" spans="1:22" ht="105" x14ac:dyDescent="0.25">
      <c r="A5" s="10" t="s">
        <v>131</v>
      </c>
      <c r="B5" s="10" t="s">
        <v>921</v>
      </c>
      <c r="C5" s="13" t="str" cm="1">
        <f t="array" aca="1" ref="C5" ca="1">IF($B5="","",IFERROR(SimpleLookup($B5,Questions!$A:$B),"Error: Unknown ID: "&amp;$B5))</f>
        <v>Does the product contain &lt;&lt; OEM Name &gt;&gt; or customer intellectual property?
Note: Only IP which is part of / accessible by the firmware / software in the product is in scope of this question. Gaining access to optical and mechanical IP are not covered by this question (and the cybersecurity risk analysis)</v>
      </c>
      <c r="D5" s="38" t="str">
        <f ca="1">_xlfn.LET(
_xlpm._dsID,$A5,_xlpm._qID,$B5,_xlpm._dynamicReference,$F5,_xlpm._firstAnswer,$H5,_xlpm._secondAnswer,$I5,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5" s="10" t="str">
        <f>"Disclosure of "&amp;Definitions!$C$4&amp;" "</f>
        <v xml:space="preserve">Disclosure of &lt;&lt; OEM Name &gt;&gt; </v>
      </c>
      <c r="F5" s="38" t="s">
        <v>429</v>
      </c>
      <c r="G5" s="10"/>
      <c r="H5" s="13" t="str" cm="1">
        <f t="array" aca="1" ref="H5" ca="1">IF($B5="","",_xlfn.LET(_xlpm._value,SimpleLookup($B5,Questionnaire!$B:$D),IF(_xlpm._value="","",_xlpm._value)))</f>
        <v/>
      </c>
      <c r="I5" s="13" t="str" cm="1">
        <f t="array" aca="1" ref="I5" ca="1">IF($B5="","",_xlfn.LET(_xlpm._value,SimpleLookup($B5,Questionnaire!$B:$F),IF(_xlpm._value="","",_xlpm._value)))</f>
        <v/>
      </c>
      <c r="J5" s="13" t="str">
        <f t="shared" ca="1" si="0"/>
        <v/>
      </c>
      <c r="K5" s="10"/>
      <c r="L5" s="13" t="str">
        <f t="shared" ca="1" si="1"/>
        <v/>
      </c>
      <c r="M5" s="13" t="str" cm="1">
        <f t="array" aca="1" ref="M5" ca="1">IF($L5="","",IFERROR(SimpleLookup($L5,Definitions!$H:$J),""))</f>
        <v/>
      </c>
      <c r="N5" s="10"/>
      <c r="O5" s="13" t="str" cm="1">
        <f t="array" aca="1" ref="O5" ca="1">IF($N5&lt;&gt;"",$N5,_xlfn.LET(
_xlpm._qID,$B5,_xlpm._firstAnswer,$H5,_xlpm._secondAnswer,$I5,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 xml:space="preserve">QI3 Does the product contain &lt;&lt; OEM Name &gt;&gt; or customer intellectual property?
Note: Only IP which is part of / accessible by the firmware / software in the product is in scope of this question. Gaining access to optical and mechanical IP are not covered by this question (and the cybersecurity risk analysis)
» </v>
      </c>
      <c r="P5" s="10"/>
      <c r="Q5" s="9" cm="1">
        <f t="array" aca="1" ref="Q5" ca="1">CreateID($Q$2,$A5&lt;&gt;"")</f>
        <v>3</v>
      </c>
      <c r="R5" s="17" cm="1">
        <f t="array" ref="R5">CreateTaskID($R$2,$R:$R,Tasks!$B$17,$P5)</f>
        <v>0</v>
      </c>
      <c r="S5" s="11" cm="1">
        <f t="array" aca="1" ref="S5" ca="1">CreateID($S$2,$D5="x")</f>
        <v>0</v>
      </c>
      <c r="T5" s="11" t="str">
        <f t="shared" ca="1" si="2"/>
        <v/>
      </c>
      <c r="U5" s="11" cm="1">
        <f t="array" aca="1" ref="U5" ca="1">IF($M5="",0,SimpleLookup($M5,Definitions!$Q:$R))</f>
        <v>0</v>
      </c>
      <c r="V5" s="11" t="str">
        <f t="shared" ca="1" si="3"/>
        <v/>
      </c>
    </row>
    <row r="6" spans="1:22" ht="75" x14ac:dyDescent="0.25">
      <c r="A6" s="10" t="s">
        <v>132</v>
      </c>
      <c r="B6" s="10" t="s">
        <v>919</v>
      </c>
      <c r="C6" s="13" t="str" cm="1">
        <f t="array" aca="1" ref="C6" ca="1">IF($B6="","",IFERROR(SimpleLookup($B6,Questions!$A:$B),"Error: Unknown ID: "&amp;$B6))</f>
        <v>Is &lt;&lt; OEM Name &gt;&gt; (typically) obliged to keep the processed / stored data (including third-party IP) confidential by contract or law? (Note that this concerns individual obligations, not the standard product warranty).</v>
      </c>
      <c r="D6" s="38" t="str">
        <f ca="1">_xlfn.LET(
_xlpm._dsID,$A6,_xlpm._qID,$B6,_xlpm._dynamicReference,$F6,_xlpm._firstAnswer,$H6,_xlpm._secondAnswer,$I6,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6" s="10" t="s">
        <v>442</v>
      </c>
      <c r="F6" s="38" t="s">
        <v>429</v>
      </c>
      <c r="G6" s="10" t="s">
        <v>430</v>
      </c>
      <c r="H6" s="13" t="str" cm="1">
        <f t="array" aca="1" ref="H6" ca="1">IF($B6="","",_xlfn.LET(_xlpm._value,SimpleLookup($B6,Questionnaire!$B:$D),IF(_xlpm._value="","",_xlpm._value)))</f>
        <v/>
      </c>
      <c r="I6" s="13" t="str" cm="1">
        <f t="array" aca="1" ref="I6" ca="1">IF($B6="","",_xlfn.LET(_xlpm._value,SimpleLookup($B6,Questionnaire!$B:$F),IF(_xlpm._value="","",_xlpm._value)))</f>
        <v/>
      </c>
      <c r="J6" s="13" t="str">
        <f t="shared" ca="1" si="0"/>
        <v/>
      </c>
      <c r="K6" s="10"/>
      <c r="L6" s="13" t="str">
        <f t="shared" ca="1" si="1"/>
        <v/>
      </c>
      <c r="M6" s="13" t="str" cm="1">
        <f t="array" aca="1" ref="M6" ca="1">IF($L6="","",IFERROR(SimpleLookup($L6,Definitions!$H:$J),""))</f>
        <v/>
      </c>
      <c r="N6" s="10"/>
      <c r="O6" s="13" t="str" cm="1">
        <f t="array" aca="1" ref="O6" ca="1">IF($N6&lt;&gt;"",$N6,_xlfn.LET(
_xlpm._qID,$B6,_xlpm._firstAnswer,$H6,_xlpm._secondAnswer,$I6,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 xml:space="preserve">QI4 Is &lt;&lt; OEM Name &gt;&gt; (typically) obliged to keep the processed / stored data (including third-party IP) confidential by contract or law? (Note that this concerns individual obligations, not the standard product warranty).
» </v>
      </c>
      <c r="P6" s="10"/>
      <c r="Q6" s="9" cm="1">
        <f t="array" aca="1" ref="Q6" ca="1">CreateID($Q$2,$A6&lt;&gt;"")</f>
        <v>4</v>
      </c>
      <c r="R6" s="17" cm="1">
        <f t="array" ref="R6">CreateTaskID($R$2,$R:$R,Tasks!$B$17,$P6)</f>
        <v>0</v>
      </c>
      <c r="S6" s="11" cm="1">
        <f t="array" aca="1" ref="S6" ca="1">CreateID($S$2,$D6="x")</f>
        <v>0</v>
      </c>
      <c r="T6" s="11" t="str">
        <f t="shared" ca="1" si="2"/>
        <v/>
      </c>
      <c r="U6" s="11" cm="1">
        <f t="array" aca="1" ref="U6" ca="1">IF($M6="",0,SimpleLookup($M6,Definitions!$Q:$R))</f>
        <v>0</v>
      </c>
      <c r="V6" s="11" t="str">
        <f t="shared" ca="1" si="3"/>
        <v/>
      </c>
    </row>
    <row r="7" spans="1:22" ht="75" x14ac:dyDescent="0.25">
      <c r="A7" s="10" t="s">
        <v>133</v>
      </c>
      <c r="B7" s="10" t="s">
        <v>917</v>
      </c>
      <c r="C7" s="13" t="str" cm="1">
        <f t="array" aca="1" ref="C7" ca="1">IF($B7="","",IFERROR(SimpleLookup($B7,Questions!$A:$B),"Error: Unknown ID: "&amp;$B7))</f>
        <v>Does the product contain credentials / cryptographic keys that allow access to sensitive data or to systems in the product's operational environment? (Note: this includes cryptographic data introduced by the customer.)</v>
      </c>
      <c r="D7" s="38" t="str">
        <f ca="1">_xlfn.LET(
_xlpm._dsID,$A7,_xlpm._qID,$B7,_xlpm._dynamicReference,$F7,_xlpm._firstAnswer,$H7,_xlpm._secondAnswer,$I7,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7" s="10" t="s">
        <v>431</v>
      </c>
      <c r="F7" s="38" t="s">
        <v>429</v>
      </c>
      <c r="G7" s="10"/>
      <c r="H7" s="13" t="str" cm="1">
        <f t="array" aca="1" ref="H7" ca="1">IF($B7="","",_xlfn.LET(_xlpm._value,SimpleLookup($B7,Questionnaire!$B:$D),IF(_xlpm._value="","",_xlpm._value)))</f>
        <v/>
      </c>
      <c r="I7" s="13" t="str" cm="1">
        <f t="array" aca="1" ref="I7" ca="1">IF($B7="","",_xlfn.LET(_xlpm._value,SimpleLookup($B7,Questionnaire!$B:$F),IF(_xlpm._value="","",_xlpm._value)))</f>
        <v/>
      </c>
      <c r="J7" s="13" t="str">
        <f t="shared" ca="1" si="0"/>
        <v/>
      </c>
      <c r="K7" s="10"/>
      <c r="L7" s="13" t="str">
        <f t="shared" ca="1" si="1"/>
        <v/>
      </c>
      <c r="M7" s="13" t="str" cm="1">
        <f t="array" aca="1" ref="M7" ca="1">IF($L7="","",IFERROR(SimpleLookup($L7,Definitions!$H:$J),""))</f>
        <v/>
      </c>
      <c r="N7" s="10"/>
      <c r="O7" s="13" t="str" cm="1">
        <f t="array" aca="1" ref="O7" ca="1">IF($N7&lt;&gt;"",$N7,_xlfn.LET(
_xlpm._qID,$B7,_xlpm._firstAnswer,$H7,_xlpm._secondAnswer,$I7,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 xml:space="preserve">QI5 Does the product contain credentials / cryptographic keys that allow access to sensitive data or to systems in the product's operational environment? (Note: this includes cryptographic data introduced by the customer.)
» </v>
      </c>
      <c r="P7" s="10"/>
      <c r="Q7" s="9" cm="1">
        <f t="array" aca="1" ref="Q7" ca="1">CreateID($Q$2,$A7&lt;&gt;"")</f>
        <v>5</v>
      </c>
      <c r="R7" s="17" cm="1">
        <f t="array" ref="R7">CreateTaskID($R$2,$R:$R,Tasks!$B$17,$P7)</f>
        <v>0</v>
      </c>
      <c r="S7" s="11" cm="1">
        <f t="array" aca="1" ref="S7" ca="1">CreateID($S$2,$D7="x")</f>
        <v>0</v>
      </c>
      <c r="T7" s="11" t="str">
        <f t="shared" ca="1" si="2"/>
        <v/>
      </c>
      <c r="U7" s="11" cm="1">
        <f t="array" aca="1" ref="U7" ca="1">IF($M7="",0,SimpleLookup($M7,Definitions!$Q:$R))</f>
        <v>0</v>
      </c>
      <c r="V7" s="11" t="str">
        <f t="shared" ca="1" si="3"/>
        <v/>
      </c>
    </row>
    <row r="8" spans="1:22" ht="75" x14ac:dyDescent="0.25">
      <c r="A8" s="10" t="s">
        <v>134</v>
      </c>
      <c r="B8" s="10" t="s">
        <v>914</v>
      </c>
      <c r="C8" s="13" t="str" cm="1">
        <f t="array" aca="1" ref="C8" ca="1">IF($B8="","",IFERROR(SimpleLookup($B8,Questions!$A:$B),"Error: Unknown ID: "&amp;$B8))</f>
        <v>Can a loss of availability of the product (or its communication) endanger the health of people?
(Consider how the operational environment reacts to a loss of availability of the product.)</v>
      </c>
      <c r="D8" s="38" t="str">
        <f ca="1">_xlfn.LET(
_xlpm._dsID,$A8,_xlpm._qID,$B8,_xlpm._dynamicReference,$F8,_xlpm._firstAnswer,$H8,_xlpm._secondAnswer,$I8,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8" s="10"/>
      <c r="F8" s="38" t="s">
        <v>429</v>
      </c>
      <c r="G8" s="10" t="s">
        <v>432</v>
      </c>
      <c r="H8" s="13" t="str" cm="1">
        <f t="array" aca="1" ref="H8" ca="1">IF($B8="","",_xlfn.LET(_xlpm._value,SimpleLookup($B8,Questionnaire!$B:$D),IF(_xlpm._value="","",_xlpm._value)))</f>
        <v/>
      </c>
      <c r="I8" s="13" t="str" cm="1">
        <f t="array" aca="1" ref="I8" ca="1">IF($B8="","",_xlfn.LET(_xlpm._value,SimpleLookup($B8,Questionnaire!$B:$F),IF(_xlpm._value="","",_xlpm._value)))</f>
        <v/>
      </c>
      <c r="J8" s="13" t="str">
        <f t="shared" ca="1" si="0"/>
        <v/>
      </c>
      <c r="K8" s="10"/>
      <c r="L8" s="13" t="str">
        <f t="shared" ca="1" si="1"/>
        <v/>
      </c>
      <c r="M8" s="13" t="str" cm="1">
        <f t="array" aca="1" ref="M8" ca="1">IF($L8="","",IFERROR(SimpleLookup($L8,Definitions!$H:$J),""))</f>
        <v/>
      </c>
      <c r="N8" s="10"/>
      <c r="O8" s="13" t="str" cm="1">
        <f t="array" aca="1" ref="O8" ca="1">IF($N8&lt;&gt;"",$N8,_xlfn.LET(
_xlpm._qID,$B8,_xlpm._firstAnswer,$H8,_xlpm._secondAnswer,$I8,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 xml:space="preserve">QI6 Can a loss of availability of the product (or its communication) endanger the health of people?
(Consider how the operational environment reacts to a loss of availability of the product.)
» </v>
      </c>
      <c r="P8" s="10"/>
      <c r="Q8" s="9" cm="1">
        <f t="array" aca="1" ref="Q8" ca="1">CreateID($Q$2,$A8&lt;&gt;"")</f>
        <v>6</v>
      </c>
      <c r="R8" s="17" cm="1">
        <f t="array" ref="R8">CreateTaskID($R$2,$R:$R,Tasks!$B$17,$P8)</f>
        <v>0</v>
      </c>
      <c r="S8" s="11" cm="1">
        <f t="array" aca="1" ref="S8" ca="1">CreateID($S$2,$D8="x")</f>
        <v>0</v>
      </c>
      <c r="T8" s="11" t="str">
        <f t="shared" ca="1" si="2"/>
        <v/>
      </c>
      <c r="U8" s="11" cm="1">
        <f t="array" aca="1" ref="U8" ca="1">IF($M8="",0,SimpleLookup($M8,Definitions!$Q:$R))</f>
        <v>0</v>
      </c>
      <c r="V8" s="11" t="str">
        <f t="shared" ca="1" si="3"/>
        <v/>
      </c>
    </row>
    <row r="9" spans="1:22" ht="45" x14ac:dyDescent="0.25">
      <c r="A9" s="10" t="s">
        <v>135</v>
      </c>
      <c r="B9" s="10" t="s">
        <v>913</v>
      </c>
      <c r="C9" s="13" t="str" cm="1">
        <f t="array" aca="1" ref="C9" ca="1">IF($B9="","",IFERROR(SimpleLookup($B9,Questions!$A:$B),"Error: Unknown ID: "&amp;$B9))</f>
        <v>Is the availability of the product relevant for its operational environment?</v>
      </c>
      <c r="D9" s="38" t="str">
        <f ca="1">_xlfn.LET(
_xlpm._dsID,$A9,_xlpm._qID,$B9,_xlpm._dynamicReference,$F9,_xlpm._firstAnswer,$H9,_xlpm._secondAnswer,$I9,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9" s="10"/>
      <c r="F9" s="38" t="s">
        <v>429</v>
      </c>
      <c r="G9" s="10" t="s">
        <v>432</v>
      </c>
      <c r="H9" s="13" t="str" cm="1">
        <f t="array" aca="1" ref="H9" ca="1">IF($B9="","",_xlfn.LET(_xlpm._value,SimpleLookup($B9,Questionnaire!$B:$D),IF(_xlpm._value="","",_xlpm._value)))</f>
        <v/>
      </c>
      <c r="I9" s="13" t="str" cm="1">
        <f t="array" aca="1" ref="I9" ca="1">IF($B9="","",_xlfn.LET(_xlpm._value,SimpleLookup($B9,Questionnaire!$B:$F),IF(_xlpm._value="","",_xlpm._value)))</f>
        <v/>
      </c>
      <c r="J9" s="13" t="str">
        <f t="shared" ca="1" si="0"/>
        <v/>
      </c>
      <c r="K9" s="10"/>
      <c r="L9" s="13" t="str">
        <f t="shared" ca="1" si="1"/>
        <v/>
      </c>
      <c r="M9" s="13" t="str" cm="1">
        <f t="array" aca="1" ref="M9" ca="1">IF($L9="","",IFERROR(SimpleLookup($L9,Definitions!$H:$J),""))</f>
        <v/>
      </c>
      <c r="N9" s="10"/>
      <c r="O9" s="13" t="str" cm="1">
        <f t="array" aca="1" ref="O9" ca="1">IF($N9&lt;&gt;"",$N9,_xlfn.LET(
_xlpm._qID,$B9,_xlpm._firstAnswer,$H9,_xlpm._secondAnswer,$I9,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 xml:space="preserve">QI7 Is the availability of the product relevant for its operational environment?
» </v>
      </c>
      <c r="P9" s="10"/>
      <c r="Q9" s="9" cm="1">
        <f t="array" aca="1" ref="Q9" ca="1">CreateID($Q$2,$A9&lt;&gt;"")</f>
        <v>7</v>
      </c>
      <c r="R9" s="17" cm="1">
        <f t="array" ref="R9">CreateTaskID($R$2,$R:$R,Tasks!$B$17,$P9)</f>
        <v>0</v>
      </c>
      <c r="S9" s="11" cm="1">
        <f t="array" aca="1" ref="S9" ca="1">CreateID($S$2,$D9="x")</f>
        <v>0</v>
      </c>
      <c r="T9" s="11" t="str">
        <f t="shared" ca="1" si="2"/>
        <v/>
      </c>
      <c r="U9" s="11" cm="1">
        <f t="array" aca="1" ref="U9" ca="1">IF($M9="",0,SimpleLookup($M9,Definitions!$Q:$R))</f>
        <v>0</v>
      </c>
      <c r="V9" s="11" t="str">
        <f t="shared" ca="1" si="3"/>
        <v/>
      </c>
    </row>
    <row r="10" spans="1:22" ht="75" x14ac:dyDescent="0.25">
      <c r="A10" s="10" t="s">
        <v>136</v>
      </c>
      <c r="B10" s="10" t="s">
        <v>911</v>
      </c>
      <c r="C10" s="13" t="str" cm="1">
        <f t="array" aca="1" ref="C10" ca="1">IF($B10="","",IFERROR(SimpleLookup($B10,Questions!$A:$B),"Error: Unknown ID: "&amp;$B10))</f>
        <v>Can a loss of availability allow an attacker access to assets of the customer (including physical access not detected by the &lt;&lt; OEM Name &gt;&gt; product)? Example: The product is used for access control.</v>
      </c>
      <c r="D10" s="38" t="str">
        <f ca="1">_xlfn.LET(
_xlpm._dsID,$A10,_xlpm._qID,$B10,_xlpm._dynamicReference,$F10,_xlpm._firstAnswer,$H10,_xlpm._secondAnswer,$I10,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10" s="10" t="s">
        <v>433</v>
      </c>
      <c r="F10" s="38" t="s">
        <v>429</v>
      </c>
      <c r="G10" s="10" t="s">
        <v>432</v>
      </c>
      <c r="H10" s="13" t="str" cm="1">
        <f t="array" aca="1" ref="H10" ca="1">IF($B10="","",_xlfn.LET(_xlpm._value,SimpleLookup($B10,Questionnaire!$B:$D),IF(_xlpm._value="","",_xlpm._value)))</f>
        <v/>
      </c>
      <c r="I10" s="13" t="str" cm="1">
        <f t="array" aca="1" ref="I10" ca="1">IF($B10="","",_xlfn.LET(_xlpm._value,SimpleLookup($B10,Questionnaire!$B:$F),IF(_xlpm._value="","",_xlpm._value)))</f>
        <v/>
      </c>
      <c r="J10" s="13" t="str">
        <f t="shared" ca="1" si="0"/>
        <v/>
      </c>
      <c r="K10" s="10"/>
      <c r="L10" s="13" t="str">
        <f t="shared" ca="1" si="1"/>
        <v/>
      </c>
      <c r="M10" s="13" t="str" cm="1">
        <f t="array" aca="1" ref="M10" ca="1">IF($L10="","",IFERROR(SimpleLookup($L10,Definitions!$H:$J),""))</f>
        <v/>
      </c>
      <c r="N10" s="10"/>
      <c r="O10" s="13" t="str" cm="1">
        <f t="array" aca="1" ref="O10" ca="1">IF($N10&lt;&gt;"",$N10,_xlfn.LET(
_xlpm._qID,$B10,_xlpm._firstAnswer,$H10,_xlpm._secondAnswer,$I10,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 xml:space="preserve">QI8 Can a loss of availability allow an attacker access to assets of the customer (including physical access not detected by the &lt;&lt; OEM Name &gt;&gt; product)? Example: The product is used for access control.
» </v>
      </c>
      <c r="P10" s="10"/>
      <c r="Q10" s="9" cm="1">
        <f t="array" aca="1" ref="Q10" ca="1">CreateID($Q$2,$A10&lt;&gt;"")</f>
        <v>8</v>
      </c>
      <c r="R10" s="17" cm="1">
        <f t="array" ref="R10">CreateTaskID($R$2,$R:$R,Tasks!$B$17,$P10)</f>
        <v>0</v>
      </c>
      <c r="S10" s="11" cm="1">
        <f t="array" aca="1" ref="S10" ca="1">CreateID($S$2,$D10="x")</f>
        <v>0</v>
      </c>
      <c r="T10" s="11" t="str">
        <f t="shared" ca="1" si="2"/>
        <v/>
      </c>
      <c r="U10" s="11" cm="1">
        <f t="array" aca="1" ref="U10" ca="1">IF($M10="",0,SimpleLookup($M10,Definitions!$Q:$R))</f>
        <v>0</v>
      </c>
      <c r="V10" s="11" t="str">
        <f t="shared" ca="1" si="3"/>
        <v/>
      </c>
    </row>
    <row r="11" spans="1:22" ht="45" x14ac:dyDescent="0.25">
      <c r="A11" s="10" t="s">
        <v>137</v>
      </c>
      <c r="B11" s="10" t="s">
        <v>909</v>
      </c>
      <c r="C11" s="13" t="str" cm="1">
        <f t="array" aca="1" ref="C11" ca="1">IF($B11="","",IFERROR(SimpleLookup($B11,Questions!$A:$B),"Error: Unknown ID: "&amp;$B11))</f>
        <v>Can a loss of availability cause contract-related fines (e.g., based on a service level agreement)?</v>
      </c>
      <c r="D11" s="38" t="str">
        <f ca="1">_xlfn.LET(
_xlpm._dsID,$A11,_xlpm._qID,$B11,_xlpm._dynamicReference,$F11,_xlpm._firstAnswer,$H11,_xlpm._secondAnswer,$I11,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11" s="10" t="s">
        <v>434</v>
      </c>
      <c r="F11" s="38" t="s">
        <v>429</v>
      </c>
      <c r="G11" s="10" t="s">
        <v>432</v>
      </c>
      <c r="H11" s="13" t="str" cm="1">
        <f t="array" aca="1" ref="H11" ca="1">IF($B11="","",_xlfn.LET(_xlpm._value,SimpleLookup($B11,Questionnaire!$B:$D),IF(_xlpm._value="","",_xlpm._value)))</f>
        <v/>
      </c>
      <c r="I11" s="13" t="str" cm="1">
        <f t="array" aca="1" ref="I11" ca="1">IF($B11="","",_xlfn.LET(_xlpm._value,SimpleLookup($B11,Questionnaire!$B:$F),IF(_xlpm._value="","",_xlpm._value)))</f>
        <v/>
      </c>
      <c r="J11" s="13" t="str">
        <f t="shared" ca="1" si="0"/>
        <v/>
      </c>
      <c r="K11" s="10"/>
      <c r="L11" s="13" t="str">
        <f t="shared" ca="1" si="1"/>
        <v/>
      </c>
      <c r="M11" s="13" t="str" cm="1">
        <f t="array" aca="1" ref="M11" ca="1">IF($L11="","",IFERROR(SimpleLookup($L11,Definitions!$H:$J),""))</f>
        <v/>
      </c>
      <c r="N11" s="10"/>
      <c r="O11" s="13" t="str" cm="1">
        <f t="array" aca="1" ref="O11" ca="1">IF($N11&lt;&gt;"",$N11,_xlfn.LET(
_xlpm._qID,$B11,_xlpm._firstAnswer,$H11,_xlpm._secondAnswer,$I11,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 xml:space="preserve">QI9 Can a loss of availability cause contract-related fines (e.g., based on a service level agreement)?
» </v>
      </c>
      <c r="P11" s="10"/>
      <c r="Q11" s="9" cm="1">
        <f t="array" aca="1" ref="Q11" ca="1">CreateID($Q$2,$A11&lt;&gt;"")</f>
        <v>9</v>
      </c>
      <c r="R11" s="17" cm="1">
        <f t="array" ref="R11">CreateTaskID($R$2,$R:$R,Tasks!$B$17,$P11)</f>
        <v>0</v>
      </c>
      <c r="S11" s="11" cm="1">
        <f t="array" aca="1" ref="S11" ca="1">CreateID($S$2,$D11="x")</f>
        <v>0</v>
      </c>
      <c r="T11" s="11" t="str">
        <f t="shared" ca="1" si="2"/>
        <v/>
      </c>
      <c r="U11" s="11" cm="1">
        <f t="array" aca="1" ref="U11" ca="1">IF($M11="",0,SimpleLookup($M11,Definitions!$Q:$R))</f>
        <v>0</v>
      </c>
      <c r="V11" s="11" t="str">
        <f t="shared" ca="1" si="3"/>
        <v/>
      </c>
    </row>
    <row r="12" spans="1:22" ht="60" x14ac:dyDescent="0.25">
      <c r="A12" s="10" t="s">
        <v>138</v>
      </c>
      <c r="B12" s="10" t="s">
        <v>906</v>
      </c>
      <c r="C12" s="13" t="str" cm="1">
        <f t="array" aca="1" ref="C12" ca="1">IF($B12="","",IFERROR(SimpleLookup($B12,Questions!$A:$B),"Error: Unknown ID: "&amp;$B12))</f>
        <v>Can a manipulated product (or its communication) endanger the health of people? Also consider cases where the product is used against its intended use or misconfigured!</v>
      </c>
      <c r="D12" s="38" t="str">
        <f ca="1">_xlfn.LET(
_xlpm._dsID,$A12,_xlpm._qID,$B12,_xlpm._dynamicReference,$F12,_xlpm._firstAnswer,$H12,_xlpm._secondAnswer,$I12,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12" s="10"/>
      <c r="F12" s="38" t="s">
        <v>429</v>
      </c>
      <c r="G12" s="10" t="s">
        <v>435</v>
      </c>
      <c r="H12" s="13" t="str" cm="1">
        <f t="array" aca="1" ref="H12" ca="1">IF($B12="","",_xlfn.LET(_xlpm._value,SimpleLookup($B12,Questionnaire!$B:$D),IF(_xlpm._value="","",_xlpm._value)))</f>
        <v/>
      </c>
      <c r="I12" s="13" t="str" cm="1">
        <f t="array" aca="1" ref="I12" ca="1">IF($B12="","",_xlfn.LET(_xlpm._value,SimpleLookup($B12,Questionnaire!$B:$F),IF(_xlpm._value="","",_xlpm._value)))</f>
        <v/>
      </c>
      <c r="J12" s="13" t="str">
        <f t="shared" ca="1" si="0"/>
        <v/>
      </c>
      <c r="K12" s="10"/>
      <c r="L12" s="13" t="str">
        <f t="shared" ca="1" si="1"/>
        <v/>
      </c>
      <c r="M12" s="13" t="str" cm="1">
        <f t="array" aca="1" ref="M12" ca="1">IF($L12="","",IFERROR(SimpleLookup($L12,Definitions!$H:$J),""))</f>
        <v/>
      </c>
      <c r="N12" s="10"/>
      <c r="O12" s="13" t="str" cm="1">
        <f t="array" aca="1" ref="O12" ca="1">IF($N12&lt;&gt;"",$N12,_xlfn.LET(
_xlpm._qID,$B12,_xlpm._firstAnswer,$H12,_xlpm._secondAnswer,$I12,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 xml:space="preserve">QI10 Can a manipulated product (or its communication) endanger the health of people? Also consider cases where the product is used against its intended use or misconfigured!
» </v>
      </c>
      <c r="P12" s="10"/>
      <c r="Q12" s="9" cm="1">
        <f t="array" aca="1" ref="Q12" ca="1">CreateID($Q$2,$A12&lt;&gt;"")</f>
        <v>10</v>
      </c>
      <c r="R12" s="17" cm="1">
        <f t="array" ref="R12">CreateTaskID($R$2,$R:$R,Tasks!$B$17,$P12)</f>
        <v>0</v>
      </c>
      <c r="S12" s="11" cm="1">
        <f t="array" aca="1" ref="S12" ca="1">CreateID($S$2,$D12="x")</f>
        <v>0</v>
      </c>
      <c r="T12" s="11" t="str">
        <f t="shared" ca="1" si="2"/>
        <v/>
      </c>
      <c r="U12" s="11" cm="1">
        <f t="array" aca="1" ref="U12" ca="1">IF($M12="",0,SimpleLookup($M12,Definitions!$Q:$R))</f>
        <v>0</v>
      </c>
      <c r="V12" s="11" t="str">
        <f t="shared" ca="1" si="3"/>
        <v/>
      </c>
    </row>
    <row r="13" spans="1:22" ht="60" x14ac:dyDescent="0.25">
      <c r="A13" s="10" t="s">
        <v>139</v>
      </c>
      <c r="B13" s="10" t="s">
        <v>905</v>
      </c>
      <c r="C13" s="13" t="str" cm="1">
        <f t="array" aca="1" ref="C13" ca="1">IF($B13="","",IFERROR(SimpleLookup($B13,Questions!$A:$B),"Error: Unknown ID: "&amp;$B13))</f>
        <v>Can a manipulated product disclose personal data to an attacker? Also consider cases where the product is used against its intended use or misconfigured!</v>
      </c>
      <c r="D13" s="38" t="str">
        <f ca="1">_xlfn.LET(
_xlpm._dsID,$A13,_xlpm._qID,$B13,_xlpm._dynamicReference,$F13,_xlpm._firstAnswer,$H13,_xlpm._secondAnswer,$I13,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13" s="10"/>
      <c r="F13" s="38" t="s">
        <v>429</v>
      </c>
      <c r="G13" s="10" t="s">
        <v>436</v>
      </c>
      <c r="H13" s="13" t="str" cm="1">
        <f t="array" aca="1" ref="H13" ca="1">IF($B13="","",_xlfn.LET(_xlpm._value,SimpleLookup($B13,Questionnaire!$B:$D),IF(_xlpm._value="","",_xlpm._value)))</f>
        <v/>
      </c>
      <c r="I13" s="13" t="str" cm="1">
        <f t="array" aca="1" ref="I13" ca="1">IF($B13="","",_xlfn.LET(_xlpm._value,SimpleLookup($B13,Questionnaire!$B:$F),IF(_xlpm._value="","",_xlpm._value)))</f>
        <v/>
      </c>
      <c r="J13" s="13" t="str">
        <f t="shared" ca="1" si="0"/>
        <v/>
      </c>
      <c r="K13" s="10"/>
      <c r="L13" s="13" t="str">
        <f t="shared" ca="1" si="1"/>
        <v/>
      </c>
      <c r="M13" s="13" t="str" cm="1">
        <f t="array" aca="1" ref="M13" ca="1">IF($L13="","",IFERROR(SimpleLookup($L13,Definitions!$H:$J),""))</f>
        <v/>
      </c>
      <c r="N13" s="10"/>
      <c r="O13" s="13" t="str" cm="1">
        <f t="array" aca="1" ref="O13" ca="1">IF($N13&lt;&gt;"",$N13,_xlfn.LET(
_xlpm._qID,$B13,_xlpm._firstAnswer,$H13,_xlpm._secondAnswer,$I13,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 xml:space="preserve">QI11 Can a manipulated product disclose personal data to an attacker? Also consider cases where the product is used against its intended use or misconfigured!
» </v>
      </c>
      <c r="P13" s="10"/>
      <c r="Q13" s="9" cm="1">
        <f t="array" aca="1" ref="Q13" ca="1">CreateID($Q$2,$A13&lt;&gt;"")</f>
        <v>11</v>
      </c>
      <c r="R13" s="17" cm="1">
        <f t="array" ref="R13">CreateTaskID($R$2,$R:$R,Tasks!$B$17,$P13)</f>
        <v>0</v>
      </c>
      <c r="S13" s="11" cm="1">
        <f t="array" aca="1" ref="S13" ca="1">CreateID($S$2,$D13="x")</f>
        <v>0</v>
      </c>
      <c r="T13" s="11" t="str">
        <f t="shared" ca="1" si="2"/>
        <v/>
      </c>
      <c r="U13" s="11" cm="1">
        <f t="array" aca="1" ref="U13" ca="1">IF($M13="",0,SimpleLookup($M13,Definitions!$Q:$R))</f>
        <v>0</v>
      </c>
      <c r="V13" s="11" t="str">
        <f t="shared" ca="1" si="3"/>
        <v/>
      </c>
    </row>
    <row r="14" spans="1:22" ht="105" x14ac:dyDescent="0.25">
      <c r="A14" s="10" t="s">
        <v>140</v>
      </c>
      <c r="B14" s="10" t="s">
        <v>904</v>
      </c>
      <c r="C14" s="13" t="str" cm="1">
        <f t="array" aca="1" ref="C14" ca="1">IF($B14="","",IFERROR(SimpleLookup($B14,Questions!$A:$B),"Error: Unknown ID: "&amp;$B14))</f>
        <v>Can a manipulated product disclose intellectual property to an attacker? Also consider cases where the product is used against its intended use or misconfigured!
Note that this includes both &lt;&lt; OEM Name &gt;&gt; and customer IP.</v>
      </c>
      <c r="D14" s="38" t="str">
        <f ca="1">_xlfn.LET(
_xlpm._dsID,$A14,_xlpm._qID,$B14,_xlpm._dynamicReference,$F14,_xlpm._firstAnswer,$H14,_xlpm._secondAnswer,$I14,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14" s="10"/>
      <c r="F14" s="38" t="s">
        <v>429</v>
      </c>
      <c r="G14" s="10" t="s">
        <v>436</v>
      </c>
      <c r="H14" s="13" t="str" cm="1">
        <f t="array" aca="1" ref="H14" ca="1">IF($B14="","",_xlfn.LET(_xlpm._value,SimpleLookup($B14,Questionnaire!$B:$D),IF(_xlpm._value="","",_xlpm._value)))</f>
        <v/>
      </c>
      <c r="I14" s="13" t="str" cm="1">
        <f t="array" aca="1" ref="I14" ca="1">IF($B14="","",_xlfn.LET(_xlpm._value,SimpleLookup($B14,Questionnaire!$B:$F),IF(_xlpm._value="","",_xlpm._value)))</f>
        <v/>
      </c>
      <c r="J14" s="13" t="str">
        <f t="shared" ca="1" si="0"/>
        <v/>
      </c>
      <c r="K14" s="10"/>
      <c r="L14" s="13" t="str">
        <f t="shared" ca="1" si="1"/>
        <v/>
      </c>
      <c r="M14" s="13" t="str" cm="1">
        <f t="array" aca="1" ref="M14" ca="1">IF($L14="","",IFERROR(SimpleLookup($L14,Definitions!$H:$J),""))</f>
        <v/>
      </c>
      <c r="N14" s="10"/>
      <c r="O14" s="13" t="str" cm="1">
        <f t="array" aca="1" ref="O14" ca="1">IF($N14&lt;&gt;"",$N14,_xlfn.LET(
_xlpm._qID,$B14,_xlpm._firstAnswer,$H14,_xlpm._secondAnswer,$I14,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 xml:space="preserve">QI12 Can a manipulated product disclose intellectual property to an attacker? Also consider cases where the product is used against its intended use or misconfigured!
Note that this includes both &lt;&lt; OEM Name &gt;&gt; and customer IP.
» </v>
      </c>
      <c r="P14" s="10"/>
      <c r="Q14" s="9" cm="1">
        <f t="array" aca="1" ref="Q14" ca="1">CreateID($Q$2,$A14&lt;&gt;"")</f>
        <v>12</v>
      </c>
      <c r="R14" s="17" cm="1">
        <f t="array" ref="R14">CreateTaskID($R$2,$R:$R,Tasks!$B$17,$P14)</f>
        <v>0</v>
      </c>
      <c r="S14" s="11" cm="1">
        <f t="array" aca="1" ref="S14" ca="1">CreateID($S$2,$D14="x")</f>
        <v>0</v>
      </c>
      <c r="T14" s="11" t="str">
        <f t="shared" ca="1" si="2"/>
        <v/>
      </c>
      <c r="U14" s="11" cm="1">
        <f t="array" aca="1" ref="U14" ca="1">IF($M14="",0,SimpleLookup($M14,Definitions!$Q:$R))</f>
        <v>0</v>
      </c>
      <c r="V14" s="11" t="str">
        <f t="shared" ca="1" si="3"/>
        <v/>
      </c>
    </row>
    <row r="15" spans="1:22" ht="90" x14ac:dyDescent="0.25">
      <c r="A15" s="10" t="s">
        <v>141</v>
      </c>
      <c r="B15" s="10" t="s">
        <v>903</v>
      </c>
      <c r="C15" s="13" t="str" cm="1">
        <f t="array" aca="1" ref="C15" ca="1">IF($B15="","",IFERROR(SimpleLookup($B15,Questions!$A:$B),"Error: Unknown ID: "&amp;$B15))</f>
        <v>Can a manipulated product disclose credentials / cryptographic material to an attacker? Also consider cases where the product does not disclose the material but misuses its access to other systems! (E.g., product contains access credentials to store data on a server.)</v>
      </c>
      <c r="D15" s="38" t="str">
        <f ca="1">_xlfn.LET(
_xlpm._dsID,$A15,_xlpm._qID,$B15,_xlpm._dynamicReference,$F15,_xlpm._firstAnswer,$H15,_xlpm._secondAnswer,$I15,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15" s="10"/>
      <c r="F15" s="38" t="s">
        <v>429</v>
      </c>
      <c r="G15" s="10" t="s">
        <v>1526</v>
      </c>
      <c r="H15" s="13" t="str" cm="1">
        <f t="array" aca="1" ref="H15" ca="1">IF($B15="","",_xlfn.LET(_xlpm._value,SimpleLookup($B15,Questionnaire!$B:$D),IF(_xlpm._value="","",_xlpm._value)))</f>
        <v/>
      </c>
      <c r="I15" s="13" t="str" cm="1">
        <f t="array" aca="1" ref="I15" ca="1">IF($B15="","",_xlfn.LET(_xlpm._value,SimpleLookup($B15,Questionnaire!$B:$F),IF(_xlpm._value="","",_xlpm._value)))</f>
        <v/>
      </c>
      <c r="J15" s="13" t="str">
        <f t="shared" ca="1" si="0"/>
        <v/>
      </c>
      <c r="K15" s="10"/>
      <c r="L15" s="13" t="str">
        <f t="shared" ca="1" si="1"/>
        <v/>
      </c>
      <c r="M15" s="13" t="str" cm="1">
        <f t="array" aca="1" ref="M15" ca="1">IF($L15="","",IFERROR(SimpleLookup($L15,Definitions!$H:$J),""))</f>
        <v/>
      </c>
      <c r="N15" s="10"/>
      <c r="O15" s="13" t="str" cm="1">
        <f t="array" aca="1" ref="O15" ca="1">IF($N15&lt;&gt;"",$N15,_xlfn.LET(
_xlpm._qID,$B15,_xlpm._firstAnswer,$H15,_xlpm._secondAnswer,$I15,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 xml:space="preserve">QI13 Can a manipulated product disclose credentials / cryptographic material to an attacker? Also consider cases where the product does not disclose the material but misuses its access to other systems! (E.g., product contains access credentials to store data on a server.)
» </v>
      </c>
      <c r="P15" s="10"/>
      <c r="Q15" s="9" cm="1">
        <f t="array" aca="1" ref="Q15" ca="1">CreateID($Q$2,$A15&lt;&gt;"")</f>
        <v>13</v>
      </c>
      <c r="R15" s="17" cm="1">
        <f t="array" ref="R15">CreateTaskID($R$2,$R:$R,Tasks!$B$17,$P15)</f>
        <v>0</v>
      </c>
      <c r="S15" s="11" cm="1">
        <f t="array" aca="1" ref="S15" ca="1">CreateID($S$2,$D15="x")</f>
        <v>0</v>
      </c>
      <c r="T15" s="11" t="str">
        <f t="shared" ca="1" si="2"/>
        <v/>
      </c>
      <c r="U15" s="11" cm="1">
        <f t="array" aca="1" ref="U15" ca="1">IF($M15="",0,SimpleLookup($M15,Definitions!$Q:$R))</f>
        <v>0</v>
      </c>
      <c r="V15" s="11" t="str">
        <f t="shared" ca="1" si="3"/>
        <v/>
      </c>
    </row>
    <row r="16" spans="1:22" ht="45" x14ac:dyDescent="0.25">
      <c r="A16" s="10" t="s">
        <v>142</v>
      </c>
      <c r="B16" s="10" t="s">
        <v>902</v>
      </c>
      <c r="C16" s="13" t="str" cm="1">
        <f t="array" aca="1" ref="C16" ca="1">IF($B16="","",IFERROR(SimpleLookup($B16,Questions!$A:$B),"Error: Unknown ID: "&amp;$B16))</f>
        <v>Can a manipulated product affect the operation of its operational environment?</v>
      </c>
      <c r="D16" s="38" t="str">
        <f ca="1">_xlfn.LET(
_xlpm._dsID,$A16,_xlpm._qID,$B16,_xlpm._dynamicReference,$F16,_xlpm._firstAnswer,$H16,_xlpm._secondAnswer,$I16,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16" s="10"/>
      <c r="F16" s="38" t="s">
        <v>429</v>
      </c>
      <c r="G16" s="10" t="s">
        <v>435</v>
      </c>
      <c r="H16" s="13" t="str" cm="1">
        <f t="array" aca="1" ref="H16" ca="1">IF($B16="","",_xlfn.LET(_xlpm._value,SimpleLookup($B16,Questionnaire!$B:$D),IF(_xlpm._value="","",_xlpm._value)))</f>
        <v/>
      </c>
      <c r="I16" s="13" t="str" cm="1">
        <f t="array" aca="1" ref="I16" ca="1">IF($B16="","",_xlfn.LET(_xlpm._value,SimpleLookup($B16,Questionnaire!$B:$F),IF(_xlpm._value="","",_xlpm._value)))</f>
        <v/>
      </c>
      <c r="J16" s="13" t="str">
        <f t="shared" ca="1" si="0"/>
        <v/>
      </c>
      <c r="K16" s="10"/>
      <c r="L16" s="13" t="str">
        <f t="shared" ca="1" si="1"/>
        <v/>
      </c>
      <c r="M16" s="13" t="str" cm="1">
        <f t="array" aca="1" ref="M16" ca="1">IF($L16="","",IFERROR(SimpleLookup($L16,Definitions!$H:$J),""))</f>
        <v/>
      </c>
      <c r="N16" s="10"/>
      <c r="O16" s="13" t="str" cm="1">
        <f t="array" aca="1" ref="O16" ca="1">IF($N16&lt;&gt;"",$N16,_xlfn.LET(
_xlpm._qID,$B16,_xlpm._firstAnswer,$H16,_xlpm._secondAnswer,$I16,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 xml:space="preserve">QI14 Can a manipulated product affect the operation of its operational environment?
» </v>
      </c>
      <c r="P16" s="10"/>
      <c r="Q16" s="9" cm="1">
        <f t="array" aca="1" ref="Q16" ca="1">CreateID($Q$2,$A16&lt;&gt;"")</f>
        <v>14</v>
      </c>
      <c r="R16" s="17" cm="1">
        <f t="array" ref="R16">CreateTaskID($R$2,$R:$R,Tasks!$B$17,$P16)</f>
        <v>0</v>
      </c>
      <c r="S16" s="11" cm="1">
        <f t="array" aca="1" ref="S16" ca="1">CreateID($S$2,$D16="x")</f>
        <v>0</v>
      </c>
      <c r="T16" s="11" t="str">
        <f t="shared" ca="1" si="2"/>
        <v/>
      </c>
      <c r="U16" s="11" cm="1">
        <f t="array" aca="1" ref="U16" ca="1">IF($M16="",0,SimpleLookup($M16,Definitions!$Q:$R))</f>
        <v>0</v>
      </c>
      <c r="V16" s="11" t="str">
        <f t="shared" ca="1" si="3"/>
        <v/>
      </c>
    </row>
    <row r="17" spans="1:22" ht="60" x14ac:dyDescent="0.25">
      <c r="A17" s="10" t="s">
        <v>143</v>
      </c>
      <c r="B17" s="10" t="s">
        <v>901</v>
      </c>
      <c r="C17" s="13" t="str" cm="1">
        <f t="array" aca="1" ref="C17" ca="1">IF($B17="","",IFERROR(SimpleLookup($B17,Questions!$A:$B),"Error: Unknown ID: "&amp;$B17))</f>
        <v>Can a manipulated product allow an attacker access to assets of the customer or allow the attacker to attack the customer's network?</v>
      </c>
      <c r="D17" s="38" t="str">
        <f ca="1">_xlfn.LET(
_xlpm._dsID,$A17,_xlpm._qID,$B17,_xlpm._dynamicReference,$F17,_xlpm._firstAnswer,$H17,_xlpm._secondAnswer,$I17,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17" s="10"/>
      <c r="F17" s="38" t="s">
        <v>429</v>
      </c>
      <c r="G17" s="10" t="s">
        <v>437</v>
      </c>
      <c r="H17" s="13" t="str" cm="1">
        <f t="array" aca="1" ref="H17" ca="1">IF($B17="","",_xlfn.LET(_xlpm._value,SimpleLookup($B17,Questionnaire!$B:$D),IF(_xlpm._value="","",_xlpm._value)))</f>
        <v/>
      </c>
      <c r="I17" s="13" t="str" cm="1">
        <f t="array" aca="1" ref="I17" ca="1">IF($B17="","",_xlfn.LET(_xlpm._value,SimpleLookup($B17,Questionnaire!$B:$F),IF(_xlpm._value="","",_xlpm._value)))</f>
        <v/>
      </c>
      <c r="J17" s="13" t="str">
        <f t="shared" ca="1" si="0"/>
        <v/>
      </c>
      <c r="K17" s="10"/>
      <c r="L17" s="13" t="str">
        <f t="shared" ca="1" si="1"/>
        <v/>
      </c>
      <c r="M17" s="13" t="str" cm="1">
        <f t="array" aca="1" ref="M17" ca="1">IF($L17="","",IFERROR(SimpleLookup($L17,Definitions!$H:$J),""))</f>
        <v/>
      </c>
      <c r="N17" s="10"/>
      <c r="O17" s="13" t="str" cm="1">
        <f t="array" aca="1" ref="O17" ca="1">IF($N17&lt;&gt;"",$N17,_xlfn.LET(
_xlpm._qID,$B17,_xlpm._firstAnswer,$H17,_xlpm._secondAnswer,$I17,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 xml:space="preserve">QI15 Can a manipulated product allow an attacker access to assets of the customer or allow the attacker to attack the customer's network?
» </v>
      </c>
      <c r="P17" s="10"/>
      <c r="Q17" s="9" cm="1">
        <f t="array" aca="1" ref="Q17" ca="1">CreateID($Q$2,$A17&lt;&gt;"")</f>
        <v>15</v>
      </c>
      <c r="R17" s="17" cm="1">
        <f t="array" ref="R17">CreateTaskID($R$2,$R:$R,Tasks!$B$17,$P17)</f>
        <v>0</v>
      </c>
      <c r="S17" s="11" cm="1">
        <f t="array" aca="1" ref="S17" ca="1">CreateID($S$2,$D17="x")</f>
        <v>0</v>
      </c>
      <c r="T17" s="11" t="str">
        <f t="shared" ca="1" si="2"/>
        <v/>
      </c>
      <c r="U17" s="11" cm="1">
        <f t="array" aca="1" ref="U17" ca="1">IF($M17="",0,SimpleLookup($M17,Definitions!$Q:$R))</f>
        <v>0</v>
      </c>
      <c r="V17" s="11" t="str">
        <f t="shared" ca="1" si="3"/>
        <v/>
      </c>
    </row>
    <row r="18" spans="1:22" ht="60" x14ac:dyDescent="0.25">
      <c r="A18" s="10" t="s">
        <v>144</v>
      </c>
      <c r="B18" s="10" t="s">
        <v>899</v>
      </c>
      <c r="C18" s="13" t="str" cm="1">
        <f t="array" aca="1" ref="C18" ca="1">IF($B18="","",IFERROR(SimpleLookup($B18,Questions!$A:$B),"Error: Unknown ID: "&amp;$B18))</f>
        <v>Can a manipulated product cause contract-related / legal fines? (Note that this concerns individual obligations, not the standard product warranty).</v>
      </c>
      <c r="D18" s="38" t="str">
        <f ca="1">_xlfn.LET(
_xlpm._dsID,$A18,_xlpm._qID,$B18,_xlpm._dynamicReference,$F18,_xlpm._firstAnswer,$H18,_xlpm._secondAnswer,$I18,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18" s="10" t="s">
        <v>438</v>
      </c>
      <c r="F18" s="38" t="s">
        <v>429</v>
      </c>
      <c r="G18" s="10" t="s">
        <v>435</v>
      </c>
      <c r="H18" s="13" t="str" cm="1">
        <f t="array" aca="1" ref="H18" ca="1">IF($B18="","",_xlfn.LET(_xlpm._value,SimpleLookup($B18,Questionnaire!$B:$D),IF(_xlpm._value="","",_xlpm._value)))</f>
        <v/>
      </c>
      <c r="I18" s="13" t="str" cm="1">
        <f t="array" aca="1" ref="I18" ca="1">IF($B18="","",_xlfn.LET(_xlpm._value,SimpleLookup($B18,Questionnaire!$B:$F),IF(_xlpm._value="","",_xlpm._value)))</f>
        <v/>
      </c>
      <c r="J18" s="13" t="str">
        <f t="shared" ca="1" si="0"/>
        <v/>
      </c>
      <c r="K18" s="10"/>
      <c r="L18" s="13" t="str">
        <f t="shared" ca="1" si="1"/>
        <v/>
      </c>
      <c r="M18" s="13" t="str" cm="1">
        <f t="array" aca="1" ref="M18" ca="1">IF($L18="","",IFERROR(SimpleLookup($L18,Definitions!$H:$J),""))</f>
        <v/>
      </c>
      <c r="N18" s="10"/>
      <c r="O18" s="13" t="str" cm="1">
        <f t="array" aca="1" ref="O18" ca="1">IF($N18&lt;&gt;"",$N18,_xlfn.LET(
_xlpm._qID,$B18,_xlpm._firstAnswer,$H18,_xlpm._secondAnswer,$I18,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 xml:space="preserve">QI16 Can a manipulated product cause contract-related / legal fines? (Note that this concerns individual obligations, not the standard product warranty).
» </v>
      </c>
      <c r="P18" s="10"/>
      <c r="Q18" s="9" cm="1">
        <f t="array" aca="1" ref="Q18" ca="1">CreateID($Q$2,$A18&lt;&gt;"")</f>
        <v>16</v>
      </c>
      <c r="R18" s="17" cm="1">
        <f t="array" ref="R18">CreateTaskID($R$2,$R:$R,Tasks!$B$17,$P18)</f>
        <v>0</v>
      </c>
      <c r="S18" s="11" cm="1">
        <f t="array" aca="1" ref="S18" ca="1">CreateID($S$2,$D18="x")</f>
        <v>0</v>
      </c>
      <c r="T18" s="11" t="str">
        <f t="shared" ca="1" si="2"/>
        <v/>
      </c>
      <c r="U18" s="11" cm="1">
        <f t="array" aca="1" ref="U18" ca="1">IF($M18="",0,SimpleLookup($M18,Definitions!$Q:$R))</f>
        <v>0</v>
      </c>
      <c r="V18" s="11" t="str">
        <f t="shared" ca="1" si="3"/>
        <v/>
      </c>
    </row>
    <row r="19" spans="1:22" ht="45" x14ac:dyDescent="0.25">
      <c r="A19" s="10" t="s">
        <v>348</v>
      </c>
      <c r="B19" s="10"/>
      <c r="C19" s="13" t="str" cm="1">
        <f t="array" ref="C19">IF($B19="","",IFERROR(SimpleLookup($B19,Questions!$A:$B),"Error: Unknown ID: "&amp;$B19))</f>
        <v/>
      </c>
      <c r="D19" s="38" t="str">
        <f>_xlfn.LET(
_xlpm._dsID,$A19,_xlpm._qID,$B19,_xlpm._dynamicReference,$F19,_xlpm._firstAnswer,$H19,_xlpm._secondAnswer,$I19,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19" s="10" t="s">
        <v>351</v>
      </c>
      <c r="F19" s="38"/>
      <c r="G19" s="10"/>
      <c r="H19" s="13" t="str" cm="1">
        <f t="array" ref="H19">IF($B19="","",_xlfn.LET(_xlpm._value,SimpleLookup($B19,Questionnaire!$B:$D),IF(_xlpm._value="","",_xlpm._value)))</f>
        <v/>
      </c>
      <c r="I19" s="13" t="str" cm="1">
        <f t="array" ref="I19">IF($B19="","",_xlfn.LET(_xlpm._value,SimpleLookup($B19,Questionnaire!$B:$F),IF(_xlpm._value="","",_xlpm._value)))</f>
        <v/>
      </c>
      <c r="J19" s="13" t="str">
        <f t="shared" si="0"/>
        <v/>
      </c>
      <c r="K19" s="10" t="s">
        <v>33</v>
      </c>
      <c r="L19" s="13" t="str">
        <f t="shared" si="1"/>
        <v/>
      </c>
      <c r="M19" s="13" t="str" cm="1">
        <f t="array" ref="M19">IF($L19="","",IFERROR(SimpleLookup($L19,Definitions!$H:$J),""))</f>
        <v/>
      </c>
      <c r="N19" s="10" t="s">
        <v>359</v>
      </c>
      <c r="O19" s="13" t="str" cm="1">
        <f t="array" ref="O19">IF($N19&lt;&gt;"",$N19,_xlfn.LET(
_xlpm._qID,$B19,_xlpm._firstAnswer,$H19,_xlpm._secondAnswer,$I19,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Damage scenario for damage transformation: Restoring a system from a backup takes some time, but prevents longer downtimes</v>
      </c>
      <c r="P19" s="10"/>
      <c r="Q19" s="9" cm="1">
        <f t="array" aca="1" ref="Q19" ca="1">CreateID($Q$2,$A19&lt;&gt;"")</f>
        <v>17</v>
      </c>
      <c r="R19" s="17" cm="1">
        <f t="array" ref="R19">CreateTaskID($R$2,$R:$R,Tasks!$B$17,$P19)</f>
        <v>0</v>
      </c>
      <c r="S19" s="11" cm="1">
        <f t="array" aca="1" ref="S19" ca="1">CreateID($S$2,$D19="x")</f>
        <v>0</v>
      </c>
      <c r="T19" s="11" t="str">
        <f t="shared" si="2"/>
        <v/>
      </c>
      <c r="U19" s="11" cm="1">
        <f t="array" ref="U19">IF($M19="",0,SimpleLookup($M19,Definitions!$Q:$R))</f>
        <v>0</v>
      </c>
      <c r="V19" s="11" t="str">
        <f t="shared" si="3"/>
        <v/>
      </c>
    </row>
    <row r="20" spans="1:22" ht="45" x14ac:dyDescent="0.25">
      <c r="A20" s="10" t="s">
        <v>349</v>
      </c>
      <c r="B20" s="10"/>
      <c r="C20" s="13" t="str" cm="1">
        <f t="array" ref="C20">IF($B20="","",IFERROR(SimpleLookup($B20,Questions!$A:$B),"Error: Unknown ID: "&amp;$B20))</f>
        <v/>
      </c>
      <c r="D20" s="38" t="str">
        <f>_xlfn.LET(
_xlpm._dsID,$A20,_xlpm._qID,$B20,_xlpm._dynamicReference,$F20,_xlpm._firstAnswer,$H20,_xlpm._secondAnswer,$I20,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20" s="10" t="s">
        <v>361</v>
      </c>
      <c r="F20" s="38"/>
      <c r="G20" s="10"/>
      <c r="H20" s="13" t="str" cm="1">
        <f t="array" ref="H20">IF($B20="","",_xlfn.LET(_xlpm._value,SimpleLookup($B20,Questionnaire!$B:$D),IF(_xlpm._value="","",_xlpm._value)))</f>
        <v/>
      </c>
      <c r="I20" s="13" t="str" cm="1">
        <f t="array" ref="I20">IF($B20="","",_xlfn.LET(_xlpm._value,SimpleLookup($B20,Questionnaire!$B:$F),IF(_xlpm._value="","",_xlpm._value)))</f>
        <v/>
      </c>
      <c r="J20" s="13" t="str">
        <f t="shared" si="0"/>
        <v/>
      </c>
      <c r="K20" s="10" t="s">
        <v>31</v>
      </c>
      <c r="L20" s="13" t="str">
        <f t="shared" si="1"/>
        <v/>
      </c>
      <c r="M20" s="13" t="str" cm="1">
        <f t="array" ref="M20">IF($L20="","",IFERROR(SimpleLookup($L20,Definitions!$H:$J),""))</f>
        <v/>
      </c>
      <c r="N20" s="10" t="s">
        <v>362</v>
      </c>
      <c r="O20" s="13" t="str" cm="1">
        <f t="array" ref="O20">IF($N20&lt;&gt;"",$N20,_xlfn.LET(
_xlpm._qID,$B20,_xlpm._firstAnswer,$H20,_xlpm._secondAnswer,$I20,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Damage scenario for damage transformation: The product is resistant against DoS attacks and recovers from the attack</v>
      </c>
      <c r="P20" s="10"/>
      <c r="Q20" s="9" cm="1">
        <f t="array" aca="1" ref="Q20" ca="1">CreateID($Q$2,$A20&lt;&gt;"")</f>
        <v>18</v>
      </c>
      <c r="R20" s="17" cm="1">
        <f t="array" ref="R20">CreateTaskID($R$2,$R:$R,Tasks!$B$17,$P20)</f>
        <v>0</v>
      </c>
      <c r="S20" s="11" cm="1">
        <f t="array" aca="1" ref="S20" ca="1">CreateID($S$2,$D20="x")</f>
        <v>0</v>
      </c>
      <c r="T20" s="11" t="str">
        <f t="shared" si="2"/>
        <v/>
      </c>
      <c r="U20" s="11" cm="1">
        <f t="array" ref="U20">IF($M20="",0,SimpleLookup($M20,Definitions!$Q:$R))</f>
        <v>0</v>
      </c>
      <c r="V20" s="11" t="str">
        <f t="shared" si="3"/>
        <v/>
      </c>
    </row>
    <row r="21" spans="1:22" ht="30" x14ac:dyDescent="0.25">
      <c r="A21" s="10" t="s">
        <v>759</v>
      </c>
      <c r="B21" s="10"/>
      <c r="C21" s="13" t="str" cm="1">
        <f t="array" ref="C21">IF($B21="","",IFERROR(SimpleLookup($B21,Questions!$A:$B),"Error: Unknown ID: "&amp;$B21))</f>
        <v/>
      </c>
      <c r="D21" s="38" t="str">
        <f>_xlfn.LET(
_xlpm._dsID,$A21,_xlpm._qID,$B21,_xlpm._dynamicReference,$F21,_xlpm._firstAnswer,$H21,_xlpm._secondAnswer,$I21,
_xlpm._yes,Definitions!$A$4,_xlpm._no,Definitions!$A$5,_xlpm._checkmark,"x",
_xlpm._isDamageTransformationTarget,OR(_xlpm._dsID=$A$19,_xlpm._dsID=$A$20,_xlpm._dsID=$A$21),
IF(_xlpm._qID="",
IF(_xlpm._isDamageTransformationTarget,
IF(OR(IFERROR(_xlfn.XMATCH("*,"&amp;_xlpm._dsID&amp;",*",Assumptions!$AB:$AB,2)&gt;0,FALSE),IFERROR(_xlfn.XMATCH("*,"&amp;_xlpm._dsID&amp;",*",Countermeasures!$AD:$AD,2)&gt;0,FALSE)),_xlpm._checkmark,""),
"Please define the criteria for the question in this formula!"),
_xlfn.LET(
_xlpm._questionCamera,Questions!$A$7,
_xlpm._questionSafety,Questions!$A$16,
_xlpm._dsIsActive,IF(_xlpm._dynamicReference="",
  IF(_xlpm._qID=_xlpm._questionCamera,
    AND(_xlpm._firstAnswer=_xlpm._yes,_xlpm._secondAnswer=_xlpm._no),
    ""),
  IF(AND(_xlpm._qID=_xlpm._questionSafety,_xlpm._firstAnswer=_xlpm._no),
    FALSE,
    _xlpm._secondAnswer&lt;&gt;"")),
IF(_xlpm._dsIsActive="","Please define the criteria for the question in this formula!",IF(_xlpm._dsIsActive,_xlpm._checkmark,"")))))</f>
        <v/>
      </c>
      <c r="E21" s="10" t="str">
        <f>Definitions!$C$4&amp;" can proof misuse of patented IP"</f>
        <v>&lt;&lt; OEM Name &gt;&gt; can proof misuse of patented IP</v>
      </c>
      <c r="F21" s="38"/>
      <c r="G21" s="10"/>
      <c r="H21" s="13" t="str" cm="1">
        <f t="array" ref="H21">IF($B21="","",_xlfn.LET(_xlpm._value,SimpleLookup($B21,Questionnaire!$B:$D),IF(_xlpm._value="","",_xlpm._value)))</f>
        <v/>
      </c>
      <c r="I21" s="13" t="str" cm="1">
        <f t="array" ref="I21">IF($B21="","",_xlfn.LET(_xlpm._value,SimpleLookup($B21,Questionnaire!$B:$F),IF(_xlpm._value="","",_xlpm._value)))</f>
        <v/>
      </c>
      <c r="J21" s="13" t="str">
        <f t="shared" si="0"/>
        <v/>
      </c>
      <c r="K21" s="10" t="s">
        <v>19</v>
      </c>
      <c r="L21" s="13" t="str">
        <f t="shared" si="1"/>
        <v/>
      </c>
      <c r="M21" s="13" t="str" cm="1">
        <f t="array" ref="M21">IF($L21="","",IFERROR(SimpleLookup($L21,Definitions!$H:$J),""))</f>
        <v/>
      </c>
      <c r="N21" s="10" t="s">
        <v>773</v>
      </c>
      <c r="O21" s="13" t="str" cm="1">
        <f t="array" ref="O21">IF($N21&lt;&gt;"",$N21,_xlfn.LET(
_xlpm._qID,$B21,_xlpm._firstAnswer,$H21,_xlpm._secondAnswer,$I21,
_xlpm._question,IFERROR(SimpleLookup(_xlpm._qID,Questions!$A:$B),""),
_xlpm._secondQuestion,IFERROR(SimpleLookup(_xlpm._qID,Questionnaire!$B:$E),""),
_xlpm._qID&amp;" "&amp;_xlpm._question&amp;CHAR(10)&amp;CHAR(187)&amp;" "&amp;_xlpm._firstAnswer&amp;
IF(_xlpm._secondQuestion="","",CHAR(10)&amp;_xlpm._secondQuestion&amp;CHAR(10)&amp;CHAR(187)&amp;" "&amp;_xlpm._secondAnswer)))</f>
        <v>Damage scenario for damage transformation: Patents protect intellectual property</v>
      </c>
      <c r="P21" s="10"/>
      <c r="Q21" s="9" cm="1">
        <f t="array" aca="1" ref="Q21" ca="1">CreateID($Q$2,$A21&lt;&gt;"")</f>
        <v>19</v>
      </c>
      <c r="R21" s="17" cm="1">
        <f t="array" ref="R21">CreateTaskID($R$2,$R:$R,Tasks!$B$17,$P21)</f>
        <v>0</v>
      </c>
      <c r="S21" s="11" cm="1">
        <f t="array" aca="1" ref="S21" ca="1">CreateID($S$2,$D21="x")</f>
        <v>0</v>
      </c>
      <c r="T21" s="11" t="str">
        <f>IF($D21="","",$A21)</f>
        <v/>
      </c>
      <c r="U21" s="11" cm="1">
        <f t="array" ref="U21">IF($M21="",0,SimpleLookup($M21,Definitions!$Q:$R))</f>
        <v>0</v>
      </c>
      <c r="V21" s="11" t="str">
        <f t="shared" si="3"/>
        <v/>
      </c>
    </row>
  </sheetData>
  <phoneticPr fontId="4" type="noConversion"/>
  <conditionalFormatting sqref="A1:A1048576">
    <cfRule type="expression" dxfId="8" priority="1">
      <formula>MATCH(A1,$A:$A,0)&lt;ROW(A1)</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 id="{A7A7F837-5F67-48B3-8E6B-01648DC3D5EE}">
            <xm:f>IFERROR(FIND(Tasks!$B$17,P1)&gt;0,FALSE)</xm:f>
            <x14:dxf>
              <font>
                <b/>
                <i val="0"/>
                <color rgb="FF99FFCC"/>
              </font>
            </x14:dxf>
          </x14:cfRule>
          <xm:sqref>P1:P1048576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721ECDB-0F6E-4C12-97D2-4B7818AA1739}">
          <x14:formula1>
            <xm:f>Definitions!$H$4:$H$22</xm:f>
          </x14:formula1>
          <xm:sqref>K3:K21</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FB803-4B53-43FA-AFD7-5FF074FBD866}">
  <sheetPr>
    <tabColor theme="6"/>
  </sheetPr>
  <dimension ref="A1:AJ43"/>
  <sheetViews>
    <sheetView zoomScaleNormal="100" workbookViewId="0">
      <pane xSplit="2" ySplit="2" topLeftCell="C3" activePane="bottomRight" state="frozen"/>
      <selection pane="topRight" activeCell="C1" sqref="C1"/>
      <selection pane="bottomLeft" activeCell="A2" sqref="A2"/>
      <selection pane="bottomRight" activeCell="A2" sqref="A2"/>
    </sheetView>
  </sheetViews>
  <sheetFormatPr defaultColWidth="9.140625" defaultRowHeight="15" outlineLevelCol="1" x14ac:dyDescent="0.25"/>
  <cols>
    <col min="1" max="1" width="9.140625" style="2"/>
    <col min="2" max="2" width="60.7109375" style="2" customWidth="1"/>
    <col min="3" max="3" width="15.7109375" style="2" customWidth="1"/>
    <col min="4" max="4" width="60.7109375" style="8" customWidth="1"/>
    <col min="5" max="5" width="15.7109375" style="2" customWidth="1"/>
    <col min="6" max="6" width="60.7109375" style="8" customWidth="1"/>
    <col min="7" max="7" width="60.7109375" style="14" customWidth="1"/>
    <col min="8" max="12" width="25.7109375" style="2" customWidth="1" outlineLevel="1"/>
    <col min="13" max="13" width="15.7109375" style="2" customWidth="1" outlineLevel="1"/>
    <col min="14" max="14" width="36.7109375" style="2" bestFit="1" customWidth="1"/>
    <col min="15" max="15" width="90.7109375" style="2" customWidth="1"/>
    <col min="16" max="16" width="30.140625" style="2" bestFit="1" customWidth="1"/>
    <col min="17" max="17" width="60.7109375" style="2" customWidth="1"/>
    <col min="18" max="18" width="12.42578125" style="2" hidden="1" customWidth="1"/>
    <col min="19" max="19" width="27.140625" style="2" hidden="1" customWidth="1"/>
    <col min="20" max="20" width="28.7109375" style="2" hidden="1" customWidth="1"/>
    <col min="21" max="21" width="11.5703125" style="2" hidden="1" customWidth="1"/>
    <col min="22" max="22" width="14" style="2" hidden="1" customWidth="1"/>
    <col min="23" max="23" width="15.5703125" style="2" hidden="1" customWidth="1"/>
    <col min="24" max="25" width="9.140625" style="2" hidden="1" customWidth="1"/>
    <col min="26" max="26" width="9.42578125" style="2" hidden="1" customWidth="1"/>
    <col min="27" max="27" width="19.140625" style="2" hidden="1" customWidth="1"/>
    <col min="28" max="28" width="29.42578125" style="2" hidden="1" customWidth="1"/>
    <col min="29" max="29" width="14.7109375" style="2" hidden="1" customWidth="1"/>
    <col min="30" max="30" width="20" style="2" hidden="1" customWidth="1"/>
    <col min="31" max="31" width="21.42578125" style="2" hidden="1" customWidth="1"/>
    <col min="32" max="32" width="36.42578125" style="2" hidden="1" customWidth="1"/>
    <col min="33" max="33" width="34.28515625" style="2" hidden="1" customWidth="1"/>
    <col min="34" max="36" width="9.140625" style="2" customWidth="1"/>
    <col min="37" max="16384" width="9.140625" style="2"/>
  </cols>
  <sheetData>
    <row r="1" spans="1:36" s="80" customFormat="1" x14ac:dyDescent="0.25">
      <c r="A1" s="80" t="str" cm="1">
        <f t="array" aca="1" ref="A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HYPERLINK("#'"&amp;Helper!$G$2&amp;"'!"&amp;CHAR(CODE("A")+COLUMN(_xlpm._columnNameHeader)-1)&amp;_xlpm._entryOffset,Definitions!$AY$4)))(Helper!$G$6,A$2,README!$E:$E,README!$I$35,README!$B$35)</f>
        <v>◈</v>
      </c>
      <c r="B1" s="80" t="str" cm="1">
        <f t="array" aca="1" ref="B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HYPERLINK("#'"&amp;Helper!$G$2&amp;"'!"&amp;CHAR(CODE("A")+COLUMN(_xlpm._columnNameHeader)-1)&amp;_xlpm._entryOffset,Definitions!$AY$4)))(Helper!$G$6,B$2,README!$E:$E,README!$I$35,README!$B$35)</f>
        <v>◈</v>
      </c>
      <c r="C1" s="80" t="str" cm="1">
        <f t="array" aca="1" ref="C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HYPERLINK("#'"&amp;Helper!$G$2&amp;"'!"&amp;CHAR(CODE("A")+COLUMN(_xlpm._columnNameHeader)-1)&amp;_xlpm._entryOffset,Definitions!$AY$4)))(Helper!$G$6,C$2,README!$E:$E,README!$I$35,README!$B$35)</f>
        <v>◈</v>
      </c>
      <c r="D1" s="80" t="str" cm="1">
        <f t="array" aca="1" ref="D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HYPERLINK("#'"&amp;Helper!$G$2&amp;"'!"&amp;CHAR(CODE("A")+COLUMN(_xlpm._columnNameHeader)-1)&amp;_xlpm._entryOffset,Definitions!$AY$4)))(Helper!$G$6,D$2,README!$E:$E,README!$I$35,README!$B$35)</f>
        <v>◈</v>
      </c>
      <c r="E1" s="80" t="str" cm="1">
        <f t="array" aca="1" ref="E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HYPERLINK("#'"&amp;Helper!$G$2&amp;"'!"&amp;CHAR(CODE("A")+COLUMN(_xlpm._columnNameHeader)-1)&amp;_xlpm._entryOffset,Definitions!$AY$4)))(Helper!$G$6,E$2,README!$E:$E,README!$I$35,README!$B$35)</f>
        <v>◈</v>
      </c>
      <c r="F1" s="80" t="str" cm="1">
        <f t="array" aca="1" ref="F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HYPERLINK("#'"&amp;Helper!$G$2&amp;"'!"&amp;CHAR(CODE("A")+COLUMN(_xlpm._columnNameHeader)-1)&amp;_xlpm._entryOffset,Definitions!$AY$4)))(Helper!$G$6,F$2,README!$E:$E,README!$I$35,README!$B$35)</f>
        <v>◈</v>
      </c>
      <c r="G1" s="80" t="str" cm="1">
        <f t="array" aca="1" ref="G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HYPERLINK("#'"&amp;Helper!$G$2&amp;"'!"&amp;CHAR(CODE("A")+COLUMN(_xlpm._columnNameHeader)-1)&amp;_xlpm._entryOffset,Definitions!$AY$4)))(Helper!$G$6,G$2,README!$E:$E,README!$I$35,README!$B$35)</f>
        <v>◈</v>
      </c>
      <c r="H1" s="80" t="str" cm="1">
        <f t="array" aca="1" ref="H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HYPERLINK("#'"&amp;Helper!$G$2&amp;"'!"&amp;CHAR(CODE("A")+COLUMN(_xlpm._columnNameHeader)-1)&amp;_xlpm._entryOffset,Definitions!$AY$4)))(Helper!$G$6,H$2,README!$E:$E,README!$I$35,README!$B$35)</f>
        <v>◈</v>
      </c>
      <c r="I1" s="80" t="str" cm="1">
        <f t="array" aca="1" ref="I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HYPERLINK("#'"&amp;Helper!$G$2&amp;"'!"&amp;CHAR(CODE("A")+COLUMN(_xlpm._columnNameHeader)-1)&amp;_xlpm._entryOffset,Definitions!$AY$4)))(Helper!$G$6,I$2,README!$E:$E,README!$I$35,README!$B$35)</f>
        <v>◈</v>
      </c>
      <c r="J1" s="80" t="str" cm="1">
        <f t="array" aca="1" ref="J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HYPERLINK("#'"&amp;Helper!$G$2&amp;"'!"&amp;CHAR(CODE("A")+COLUMN(_xlpm._columnNameHeader)-1)&amp;_xlpm._entryOffset,Definitions!$AY$4)))(Helper!$G$6,J$2,README!$E:$E,README!$I$35,README!$B$35)</f>
        <v>◈</v>
      </c>
      <c r="K1" s="80" t="str" cm="1">
        <f t="array" aca="1" ref="K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HYPERLINK("#'"&amp;Helper!$G$2&amp;"'!"&amp;CHAR(CODE("A")+COLUMN(_xlpm._columnNameHeader)-1)&amp;_xlpm._entryOffset,Definitions!$AY$4)))(Helper!$G$6,K$2,README!$E:$E,README!$I$35,README!$B$35)</f>
        <v>◈</v>
      </c>
      <c r="L1" s="80" t="str" cm="1">
        <f t="array" aca="1" ref="L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HYPERLINK("#'"&amp;Helper!$G$2&amp;"'!"&amp;CHAR(CODE("A")+COLUMN(_xlpm._columnNameHeader)-1)&amp;_xlpm._entryOffset,Definitions!$AY$4)))(Helper!$G$6,L$2,README!$E:$E,README!$I$35,README!$B$35)</f>
        <v>◈</v>
      </c>
      <c r="M1" s="80" t="str" cm="1">
        <f t="array" aca="1" ref="M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HYPERLINK("#'"&amp;Helper!$G$2&amp;"'!"&amp;CHAR(CODE("A")+COLUMN(_xlpm._columnNameHeader)-1)&amp;_xlpm._entryOffset,Definitions!$AY$4)))(Helper!$G$6,M$2,README!$E:$E,README!$I$35,README!$B$35)</f>
        <v>◈</v>
      </c>
      <c r="N1" s="80" t="str" cm="1">
        <f t="array" aca="1" ref="N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HYPERLINK("#'"&amp;Helper!$G$2&amp;"'!"&amp;CHAR(CODE("A")+COLUMN(_xlpm._columnNameHeader)-1)&amp;_xlpm._entryOffset,Definitions!$AY$4)))(Helper!$G$6,N$2,README!$E:$E,README!$I$35,README!$B$35)</f>
        <v>◈</v>
      </c>
      <c r="O1" s="80" t="str" cm="1">
        <f t="array" aca="1" ref="O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HYPERLINK("#'"&amp;Helper!$G$2&amp;"'!"&amp;CHAR(CODE("A")+COLUMN(_xlpm._columnNameHeader)-1)&amp;_xlpm._entryOffset,Definitions!$AY$4)))(Helper!$G$6,O$2,README!$E:$E,README!$I$35,README!$B$35)</f>
        <v>◈</v>
      </c>
      <c r="P1" s="80" t="str" cm="1">
        <f t="array" aca="1" ref="P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HYPERLINK("#'"&amp;Helper!$G$2&amp;"'!"&amp;CHAR(CODE("A")+COLUMN(_xlpm._columnNameHeader)-1)&amp;_xlpm._entryOffset,Definitions!$AY$4)))(Helper!$G$6,P$2,README!$E:$E,README!$I$35,README!$B$35)</f>
        <v>◈</v>
      </c>
      <c r="Q1" s="80" t="str" cm="1">
        <f t="array" aca="1" ref="Q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HYPERLINK("#'"&amp;Helper!$G$2&amp;"'!"&amp;CHAR(CODE("A")+COLUMN(_xlpm._columnNameHeader)-1)&amp;_xlpm._entryOffset,Definitions!$AY$4)))(Helper!$G$6,Q$2,README!$E:$E,README!$I$35,README!$B$35)</f>
        <v>◈</v>
      </c>
    </row>
    <row r="2" spans="1:36" x14ac:dyDescent="0.25">
      <c r="A2" s="9" t="s">
        <v>46</v>
      </c>
      <c r="B2" s="9" t="s">
        <v>78</v>
      </c>
      <c r="C2" s="9" t="s">
        <v>88</v>
      </c>
      <c r="D2" s="12" t="s">
        <v>280</v>
      </c>
      <c r="E2" s="9" t="s">
        <v>257</v>
      </c>
      <c r="F2" s="12" t="s">
        <v>421</v>
      </c>
      <c r="G2" s="12" t="s">
        <v>145</v>
      </c>
      <c r="H2" s="9" t="s">
        <v>102</v>
      </c>
      <c r="I2" s="9" t="s">
        <v>109</v>
      </c>
      <c r="J2" s="9" t="s">
        <v>114</v>
      </c>
      <c r="K2" s="9" t="s">
        <v>118</v>
      </c>
      <c r="L2" s="9" t="s">
        <v>123</v>
      </c>
      <c r="M2" s="90" t="s">
        <v>159</v>
      </c>
      <c r="N2" s="9" t="s">
        <v>282</v>
      </c>
      <c r="O2" s="12" t="s">
        <v>1538</v>
      </c>
      <c r="P2" s="9" t="s">
        <v>1401</v>
      </c>
      <c r="Q2" s="9" t="s">
        <v>2</v>
      </c>
      <c r="R2" s="9" t="s">
        <v>47</v>
      </c>
      <c r="S2" s="9" t="s">
        <v>281</v>
      </c>
      <c r="T2" s="9" t="s">
        <v>100</v>
      </c>
      <c r="U2" s="9" t="s">
        <v>146</v>
      </c>
      <c r="V2" s="9" t="s">
        <v>778</v>
      </c>
      <c r="W2" s="9" t="s">
        <v>148</v>
      </c>
      <c r="X2" s="9" t="s">
        <v>149</v>
      </c>
      <c r="Y2" s="9" t="s">
        <v>70</v>
      </c>
      <c r="Z2" s="9" t="s">
        <v>196</v>
      </c>
      <c r="AA2" s="9" t="s">
        <v>237</v>
      </c>
      <c r="AB2" s="9" t="s">
        <v>765</v>
      </c>
      <c r="AC2" s="9" t="s">
        <v>287</v>
      </c>
      <c r="AD2" s="9" t="s">
        <v>779</v>
      </c>
      <c r="AE2" s="9" t="s">
        <v>780</v>
      </c>
      <c r="AF2" s="9" t="s">
        <v>1515</v>
      </c>
      <c r="AG2" s="9" t="s">
        <v>1516</v>
      </c>
    </row>
    <row r="3" spans="1:36" ht="84.75" x14ac:dyDescent="0.25">
      <c r="A3" s="10" t="s">
        <v>77</v>
      </c>
      <c r="B3" s="10" t="s">
        <v>584</v>
      </c>
      <c r="C3" s="10"/>
      <c r="D3" s="16" t="str" cm="1">
        <f t="array" ref="D3">LookupNames($C3,$A:$B)</f>
        <v/>
      </c>
      <c r="E3" s="10"/>
      <c r="F3" s="16" t="str" cm="1">
        <f t="array" ref="F3">RemoveDelimiter(GetValues(SanitizeInput($E3),Questions!$A:$B,"   ",CHAR(10),TRUE),CHAR(10))</f>
        <v/>
      </c>
      <c r="G3" s="13" t="str" cm="1">
        <f t="array" ref="G3">LookupNames($U3,'Damage Scenarios'!$A:$J)</f>
        <v/>
      </c>
      <c r="H3" s="10"/>
      <c r="I3" s="10"/>
      <c r="J3" s="10"/>
      <c r="K3" s="10"/>
      <c r="L3" s="10"/>
      <c r="M3" s="91" t="str">
        <f ca="1">IF($A3="","",IFERROR(VLOOKUP($Y3,Definitions!$V:$W,COLUMNS(Definitions!$V:$W),TRUE),""))</f>
        <v>Basic</v>
      </c>
      <c r="N3" s="10" t="s">
        <v>884</v>
      </c>
      <c r="O3" s="25" t="str" cm="1">
        <f t="array" aca="1" ref="O3" ca="1">OperateOnList(
  SanitizeInput($N3),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QA4 Does the product have a direct connection to a local network? [Yes]
» Are the devices in the local network considered as trustworthy according to the intended use of the product? [Yes],
QA12 Does the product have a logical connection to a local network over a gateway? [Yes]
» Are the local network and the gateway considered as trustworthy? [Yes],
QA13 Does the product have a logical connection to a wireless network over a gateway? [Yes]
» Are the wireless network and the gateway considered as trustworthy? [Yes]</v>
      </c>
      <c r="P3" s="10"/>
      <c r="Q3" s="10"/>
      <c r="R3" s="9" cm="1">
        <f t="array" aca="1" ref="R3" ca="1">CreateID($R$2,$A3&lt;&gt;"")</f>
        <v>1</v>
      </c>
      <c r="S3" s="11" t="b">
        <f ca="1">OR(CheckRelevance(SanitizeInput(N3),Questionnaire!$J:$J),CheckRelevance(SanitizeInput(N3),Questionnaire!$K:$K))</f>
        <v>0</v>
      </c>
      <c r="T3" s="11" t="str" cm="1">
        <f t="array" aca="1" ref="T3" ca="1">IF(AND($N3&lt;&gt;"",$S3=FALSE),"",
IF(AND($S3,$C3=""),$A3&amp;",§","")&amp;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GenerateAttackPaths(RemoveFirstElement(_xlpm._in),_xlpm._apRange,_xlpm._ownID))))(SanitizeInput($C3),$A:$T,$A3))</f>
        <v/>
      </c>
      <c r="U3" s="11" t="str" cm="1">
        <f t="array" ref="U3">GetValues(SanitizeInput($E3),'Damage Scenarios'!$B:$T,"",",",FALSE)</f>
        <v/>
      </c>
      <c r="V3" s="11" t="b">
        <f t="shared" ref="V3:V34" ca="1" si="0">AND($T3&lt;&gt;"",$U3&lt;&gt;"")</f>
        <v>0</v>
      </c>
      <c r="W3" s="11" cm="1">
        <f t="array" aca="1" ref="W3" ca="1">CreateID($W$2,$V3)</f>
        <v>0</v>
      </c>
      <c r="X3" s="11">
        <f t="shared" ref="X3:X35" ca="1" si="1">IF($V3,LEN($T3)-LEN(SUBSTITUTE($T3,"§","")),0)</f>
        <v>0</v>
      </c>
      <c r="Y3" s="11" cm="1">
        <f t="array" aca="1" ref="Y3" ca="1">OperateOnRange(
  $H3,
  TRUE,
  Helper!$B$16,
  0,
  _xlfn.LAMBDA(_xlpm._factor,IF(_xlpm._factor="",0,SimpleLookup(_xlpm._factor,Definitions!$Z:$AA))),
  _xlfn.LAMBDA(_xlpm._x,_xlpm._y,_xlpm._x+_xlpm._y))</f>
        <v>0</v>
      </c>
      <c r="Z3" s="11" cm="1">
        <f t="array" ref="Z3">CreateTaskID($Z$2,$Z:$Z,Tasks!$B$17,$Q3)</f>
        <v>0</v>
      </c>
      <c r="AA3" s="11" t="str" cm="1">
        <f t="array" aca="1" ref="AA3" ca="1">InverseLookup($A3,Countermeasures!$Y$2,Countermeasures!$A$2,1,Helper!$B$4,",")</f>
        <v/>
      </c>
      <c r="AB3" s="11" t="str" cm="1">
        <f t="array" aca="1" ref="AB3" ca="1">InverseLookup($A3,Assumptions!$Y$2,Assumptions!$A$2,1,Helper!$B$6,",")</f>
        <v/>
      </c>
      <c r="AC3" s="11" t="str" cm="1">
        <f t="array" aca="1" ref="AC3" ca="1">InverseLookup($A3,Assumptions!$Z$2,Assumptions!$A$2,1,Helper!$B$6,",")</f>
        <v>A12,</v>
      </c>
      <c r="AD3" s="11" t="str" cm="1">
        <f t="array" aca="1" ref="AD3" ca="1">IF($V3,
CreateSearchString(SUBSTITUTE($T3,"§","")),
"")</f>
        <v/>
      </c>
      <c r="AE3" s="11" t="b">
        <f t="shared" ref="AE3:AE43" ca="1" si="2">IFERROR(_xlfn.XMATCH("*,"&amp;$A3&amp;",*",$AD:$AD,2)&gt;0,FALSE)</f>
        <v>0</v>
      </c>
      <c r="AF3" s="11" t="str" cm="1">
        <f t="array" aca="1" ref="AF3" ca="1">_xlfn.SWITCH($N3,
"*","",
"","",
_xlfn.LET(
_xlpm._answers,SUBSTITUTE(SanitizeInput($N3),"&amp;",","),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IF(_xlpm._questionIDUndefined,$A3&amp;" - "&amp;_xlpm._question&amp;": ERROR: Unknown question ID.",
        IF(_xlpm._firstAnswerIsValidOption,"",$A3&amp;" - "&amp;_xlpm._question&amp;": First answer ("&amp;_xlpm._firstAnswer&amp;") is not a valid option.")&amp;
        IF(_xlpm._secondAnswerRequired,IF(_xlpm._secondAnswerProvided,"",$A3&amp;" - "&amp;_xlpm._question&amp;": Second answer required but not provided."),"")&amp;
        IF(NOT(_xlpm._secondAnswerRequired),IF(_xlpm._secondAnswerProvided,$A3&amp;" - "&amp;_xlpm._question&amp;": Second answer ("&amp;_xlpm._secondAnswer&amp;") provided but the question only supports one answer.",""),"")&amp;
        IF(_xlpm._secondAnswerIsValidOption,"",$A3&amp;" - "&amp;_xlpm._question&amp;": Second answer ("&amp;_xlpm._secondAnswer&amp;") is not a valid option.")))),
  _xlfn.LAMBDA(_xlpm._x,_xlpm._y,_xlpm._x&amp;IF(_xlpm._x="","",CHAR(10))&amp;_xlpm._y))))</f>
        <v/>
      </c>
      <c r="AG3" s="11" cm="1">
        <f t="array" aca="1" ref="AG3" ca="1">CreateID($AG$2,$AF3&lt;&gt;"")</f>
        <v>0</v>
      </c>
      <c r="AH3" s="56"/>
      <c r="AI3" s="56"/>
      <c r="AJ3" s="56"/>
    </row>
    <row r="4" spans="1:36" ht="75" x14ac:dyDescent="0.25">
      <c r="A4" s="10" t="s">
        <v>79</v>
      </c>
      <c r="B4" s="10" t="s">
        <v>818</v>
      </c>
      <c r="C4" s="10"/>
      <c r="D4" s="16" t="str" cm="1">
        <f t="array" ref="D4">LookupNames($C4,$A:$B)</f>
        <v/>
      </c>
      <c r="E4" s="10"/>
      <c r="F4" s="16" t="str" cm="1">
        <f t="array" ref="F4">RemoveDelimiter(GetValues(SanitizeInput($E4),Questions!$A:$B,"   ",CHAR(10),TRUE),CHAR(10))</f>
        <v/>
      </c>
      <c r="G4" s="13" t="str" cm="1">
        <f t="array" ref="G4">LookupNames($U4,'Damage Scenarios'!$A:$J)</f>
        <v/>
      </c>
      <c r="H4" s="10"/>
      <c r="I4" s="10" t="s">
        <v>111</v>
      </c>
      <c r="J4" s="10"/>
      <c r="K4" s="10" t="s">
        <v>120</v>
      </c>
      <c r="L4" s="10"/>
      <c r="M4" s="91" t="str">
        <f ca="1">IF($A4="","",IFERROR(VLOOKUP($Y4,Definitions!$V:$W,COLUMNS(Definitions!$V:$W),TRUE),""))</f>
        <v>Basic</v>
      </c>
      <c r="N4" s="10" t="s">
        <v>885</v>
      </c>
      <c r="O4" s="25" t="str" cm="1">
        <f t="array" aca="1" ref="O4" ca="1">OperateOnList(
  SanitizeInput($N4),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QA5 Does the product support wireless connections? [Yes]
» Is the access to the wireless connection restricted and are the devices the product communicates with considered as trustworthy? [*],
QA13 Does the product have a logical connection to a wireless network over a gateway? [Yes]
» Are the wireless network and the gateway considered as trustworthy? [*]</v>
      </c>
      <c r="P4" s="10"/>
      <c r="Q4" s="10" t="s">
        <v>171</v>
      </c>
      <c r="R4" s="9" cm="1">
        <f t="array" aca="1" ref="R4" ca="1">CreateID($R$2,$A4&lt;&gt;"")</f>
        <v>2</v>
      </c>
      <c r="S4" s="11" t="b">
        <f ca="1">OR(CheckRelevance(SanitizeInput(N4),Questionnaire!$J:$J),CheckRelevance(SanitizeInput(N4),Questionnaire!$K:$K))</f>
        <v>0</v>
      </c>
      <c r="T4" s="11" t="str" cm="1">
        <f t="array" aca="1" ref="T4" ca="1">IF(AND($N4&lt;&gt;"",$S4=FALSE),"",
IF(AND($S4,$C4=""),$A4&amp;",§","")&amp;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GenerateAttackPaths(RemoveFirstElement(_xlpm._in),_xlpm._apRange,_xlpm._ownID))))(SanitizeInput($C4),$A:$T,$A4))</f>
        <v/>
      </c>
      <c r="U4" s="11" t="str" cm="1">
        <f t="array" ref="U4">GetValues(SanitizeInput($E4),'Damage Scenarios'!$B:$T,"",",",FALSE)</f>
        <v/>
      </c>
      <c r="V4" s="11" t="b">
        <f t="shared" ca="1" si="0"/>
        <v>0</v>
      </c>
      <c r="W4" s="11" cm="1">
        <f t="array" aca="1" ref="W4" ca="1">CreateID($W$2,$V4)</f>
        <v>0</v>
      </c>
      <c r="X4" s="11">
        <f t="shared" ca="1" si="1"/>
        <v>0</v>
      </c>
      <c r="Y4" s="11" cm="1">
        <f t="array" aca="1" ref="Y4" ca="1">OperateOnRange(
  $H4,
  TRUE,
  Helper!$B$16,
  0,
  _xlfn.LAMBDA(_xlpm._factor,IF(_xlpm._factor="",0,SimpleLookup(_xlpm._factor,Definitions!$Z:$AA))),
  _xlfn.LAMBDA(_xlpm._x,_xlpm._y,_xlpm._x+_xlpm._y))</f>
        <v>4</v>
      </c>
      <c r="Z4" s="11" cm="1">
        <f t="array" ref="Z4">CreateTaskID($Z$2,$Z:$Z,Tasks!$B$17,$Q4)</f>
        <v>0</v>
      </c>
      <c r="AA4" s="11" t="str" cm="1">
        <f t="array" aca="1" ref="AA4" ca="1">InverseLookup($A4,Countermeasures!$Y$2,Countermeasures!$A$2,1,Helper!$B$4,",")</f>
        <v>CM20,</v>
      </c>
      <c r="AB4" s="11" t="str" cm="1">
        <f t="array" aca="1" ref="AB4" ca="1">InverseLookup($A4,Assumptions!$Y$2,Assumptions!$A$2,1,Helper!$B$6,",")</f>
        <v/>
      </c>
      <c r="AC4" s="11" t="str" cm="1">
        <f t="array" aca="1" ref="AC4" ca="1">InverseLookup($A4,Assumptions!$Z$2,Assumptions!$A$2,1,Helper!$B$6,",")</f>
        <v>A36,</v>
      </c>
      <c r="AD4" s="11" t="str" cm="1">
        <f t="array" aca="1" ref="AD4" ca="1">IF($V4,
CreateSearchString(SUBSTITUTE($T4,"§","")),
"")</f>
        <v/>
      </c>
      <c r="AE4" s="11" t="b">
        <f t="shared" ca="1" si="2"/>
        <v>0</v>
      </c>
      <c r="AF4" s="11" t="str" cm="1">
        <f t="array" aca="1" ref="AF4" ca="1">_xlfn.SWITCH($N4,
"*","",
"","",
_xlfn.LET(
_xlpm._answers,SUBSTITUTE(SanitizeInput($N4),"&amp;",","),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IF(_xlpm._questionIDUndefined,$A4&amp;" - "&amp;_xlpm._question&amp;": ERROR: Unknown question ID.",
        IF(_xlpm._firstAnswerIsValidOption,"",$A4&amp;" - "&amp;_xlpm._question&amp;": First answer ("&amp;_xlpm._firstAnswer&amp;") is not a valid option.")&amp;
        IF(_xlpm._secondAnswerRequired,IF(_xlpm._secondAnswerProvided,"",$A4&amp;" - "&amp;_xlpm._question&amp;": Second answer required but not provided."),"")&amp;
        IF(NOT(_xlpm._secondAnswerRequired),IF(_xlpm._secondAnswerProvided,$A4&amp;" - "&amp;_xlpm._question&amp;": Second answer ("&amp;_xlpm._secondAnswer&amp;") provided but the question only supports one answer.",""),"")&amp;
        IF(_xlpm._secondAnswerIsValidOption,"",$A4&amp;" - "&amp;_xlpm._question&amp;": Second answer ("&amp;_xlpm._secondAnswer&amp;") is not a valid option.")))),
  _xlfn.LAMBDA(_xlpm._x,_xlpm._y,_xlpm._x&amp;IF(_xlpm._x="","",CHAR(10))&amp;_xlpm._y))))</f>
        <v/>
      </c>
      <c r="AG4" s="11" cm="1">
        <f t="array" aca="1" ref="AG4" ca="1">CreateID($AG$2,$AF4&lt;&gt;"")</f>
        <v>0</v>
      </c>
      <c r="AH4" s="56"/>
      <c r="AI4" s="56"/>
      <c r="AJ4" s="56"/>
    </row>
    <row r="5" spans="1:36" ht="237" x14ac:dyDescent="0.25">
      <c r="A5" s="10" t="s">
        <v>80</v>
      </c>
      <c r="B5" s="10" t="s">
        <v>784</v>
      </c>
      <c r="C5" s="10" t="s">
        <v>943</v>
      </c>
      <c r="D5" s="16" t="str" cm="1">
        <f t="array" aca="1" ref="D5" ca="1">LookupNames($C5,$A:$B)</f>
        <v>AS1 Getting access to a trusted operational environment,
AS2 Getting access to a wireless network,
AS9 Attacking the product's internal gateway from the Internet,
AS12 Compromising an untrusted device that communicates directly with the product,
AS13 Attacking the product or its communication from an untrusted local network,
AS15 Attacking the product from the Internet or a mobile network,
AS17 Sending manipulated or malicious data to the product (from an untrusted source),
AS27 Getting physical access to the product's linked communication media (e.g., field buses),
AS28 Getting access to a trusted entity</v>
      </c>
      <c r="E5" s="10" t="s">
        <v>927</v>
      </c>
      <c r="F5" s="16" t="str" cm="1">
        <f t="array" aca="1" ref="F5" ca="1">RemoveDelimiter(GetValues(SanitizeInput($E5),Questions!$A:$B,"   ",CHAR(10),TRUE),CHAR(10))</f>
        <v>QI1   Does the product have / support cameras or other sensors that can potentially identify people? (Regarding "supporting a camera / sensor": only answer with Yes if attaching a camera / sensor is in the intended or foreseeable use of the product.)
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Note that this includes both &lt;&lt; OEM Name &gt;&gt; and customer IP.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5" s="13" t="str" cm="1">
        <f t="array" aca="1" ref="G5" ca="1">LookupNames($U5,'Damage Scenarios'!$A:$J)</f>
        <v/>
      </c>
      <c r="H5" s="10" t="s">
        <v>105</v>
      </c>
      <c r="I5" s="10" t="s">
        <v>112</v>
      </c>
      <c r="J5" s="10" t="s">
        <v>116</v>
      </c>
      <c r="K5" s="10"/>
      <c r="L5" s="10"/>
      <c r="M5" s="91" t="str">
        <f ca="1">IF($A5="","",IFERROR(VLOOKUP($Y5,Definitions!$V:$W,COLUMNS(Definitions!$V:$W),TRUE),""))</f>
        <v>Enhanced-Basic</v>
      </c>
      <c r="N5" s="10"/>
      <c r="O5" s="25" t="str" cm="1">
        <f t="array" ref="O5">OperateOnList(
  SanitizeInput($N5),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P5" s="10" t="s">
        <v>475</v>
      </c>
      <c r="Q5" s="10" t="s">
        <v>843</v>
      </c>
      <c r="R5" s="9" cm="1">
        <f t="array" aca="1" ref="R5" ca="1">CreateID($R$2,$A5&lt;&gt;"")</f>
        <v>3</v>
      </c>
      <c r="S5" s="11" t="b">
        <f>OR(CheckRelevance(SanitizeInput(N5),Questionnaire!$J:$J),CheckRelevance(SanitizeInput(N5),Questionnaire!$K:$K))</f>
        <v>0</v>
      </c>
      <c r="T5" s="11" t="str" cm="1">
        <f t="array" aca="1" ref="T5" ca="1">IF(AND($N5&lt;&gt;"",$S5=FALSE),"",
IF(AND($S5,$C5=""),$A5&amp;",§","")&amp;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GenerateAttackPaths(RemoveFirstElement(_xlpm._in),_xlpm._apRange,_xlpm._ownID))))(SanitizeInput($C5),$A:$T,$A5))</f>
        <v/>
      </c>
      <c r="U5" s="11" t="str" cm="1">
        <f t="array" aca="1" ref="U5" ca="1">GetValues(SanitizeInput($E5),'Damage Scenarios'!$B:$T,"",",",FALSE)</f>
        <v/>
      </c>
      <c r="V5" s="11" t="b">
        <f t="shared" ca="1" si="0"/>
        <v>0</v>
      </c>
      <c r="W5" s="11" cm="1">
        <f t="array" aca="1" ref="W5" ca="1">CreateID($W$2,$V5)</f>
        <v>0</v>
      </c>
      <c r="X5" s="11">
        <f t="shared" ca="1" si="1"/>
        <v>0</v>
      </c>
      <c r="Y5" s="11" cm="1">
        <f t="array" aca="1" ref="Y5" ca="1">OperateOnRange(
  $H5,
  TRUE,
  Helper!$B$16,
  0,
  _xlfn.LAMBDA(_xlpm._factor,IF(_xlpm._factor="",0,SimpleLookup(_xlpm._factor,Definitions!$Z:$AA))),
  _xlfn.LAMBDA(_xlpm._x,_xlpm._y,_xlpm._x+_xlpm._y))</f>
        <v>13</v>
      </c>
      <c r="Z5" s="11" cm="1">
        <f t="array" ref="Z5">CreateTaskID($Z$2,$Z:$Z,Tasks!$B$17,$Q5)</f>
        <v>0</v>
      </c>
      <c r="AA5" s="11" t="str" cm="1">
        <f t="array" aca="1" ref="AA5" ca="1">InverseLookup($A5,Countermeasures!$Y$2,Countermeasures!$A$2,1,Helper!$B$4,",")</f>
        <v>CM2,CM21,CM22,</v>
      </c>
      <c r="AB5" s="11" t="str" cm="1">
        <f t="array" aca="1" ref="AB5" ca="1">InverseLookup($A5,Assumptions!$Y$2,Assumptions!$A$2,1,Helper!$B$6,",")</f>
        <v/>
      </c>
      <c r="AC5" s="11" t="str" cm="1">
        <f t="array" aca="1" ref="AC5" ca="1">InverseLookup($A5,Assumptions!$Z$2,Assumptions!$A$2,1,Helper!$B$6,",")</f>
        <v/>
      </c>
      <c r="AD5" s="11" t="str" cm="1">
        <f t="array" aca="1" ref="AD5" ca="1">IF($V5,
CreateSearchString(SUBSTITUTE($T5,"§","")),
"")</f>
        <v/>
      </c>
      <c r="AE5" s="11" t="b">
        <f t="shared" ca="1" si="2"/>
        <v>0</v>
      </c>
      <c r="AF5" s="11" t="str" cm="1">
        <f t="array" ref="AF5">_xlfn.SWITCH($N5,
"*","",
"","",
_xlfn.LET(
_xlpm._answers,SUBSTITUTE(SanitizeInput($N5),"&amp;",","),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IF(_xlpm._questionIDUndefined,$A5&amp;" - "&amp;_xlpm._question&amp;": ERROR: Unknown question ID.",
        IF(_xlpm._firstAnswerIsValidOption,"",$A5&amp;" - "&amp;_xlpm._question&amp;": First answer ("&amp;_xlpm._firstAnswer&amp;") is not a valid option.")&amp;
        IF(_xlpm._secondAnswerRequired,IF(_xlpm._secondAnswerProvided,"",$A5&amp;" - "&amp;_xlpm._question&amp;": Second answer required but not provided."),"")&amp;
        IF(NOT(_xlpm._secondAnswerRequired),IF(_xlpm._secondAnswerProvided,$A5&amp;" - "&amp;_xlpm._question&amp;": Second answer ("&amp;_xlpm._secondAnswer&amp;") provided but the question only supports one answer.",""),"")&amp;
        IF(_xlpm._secondAnswerIsValidOption,"",$A5&amp;" - "&amp;_xlpm._question&amp;": Second answer ("&amp;_xlpm._secondAnswer&amp;") is not a valid option.")))),
  _xlfn.LAMBDA(_xlpm._x,_xlpm._y,_xlpm._x&amp;IF(_xlpm._x="","",CHAR(10))&amp;_xlpm._y))))</f>
        <v/>
      </c>
      <c r="AG5" s="11" cm="1">
        <f t="array" aca="1" ref="AG5" ca="1">CreateID($AG$2,$AF5&lt;&gt;"")</f>
        <v>0</v>
      </c>
      <c r="AH5" s="56"/>
      <c r="AI5" s="56"/>
      <c r="AJ5" s="56"/>
    </row>
    <row r="6" spans="1:36" ht="113.25" x14ac:dyDescent="0.25">
      <c r="A6" s="10" t="s">
        <v>81</v>
      </c>
      <c r="B6" s="10" t="s">
        <v>85</v>
      </c>
      <c r="C6" s="10" t="s">
        <v>944</v>
      </c>
      <c r="D6" s="16" t="str" cm="1">
        <f t="array" aca="1" ref="D6" ca="1">LookupNames($C6,$A:$B)</f>
        <v>AS1 Getting access to a trusted operational environment,
AS2 Getting access to a wireless network,
AS9 Attacking the product's internal gateway from the Internet,
AS12 Compromising an untrusted device that communicates directly with the product,
AS13 Attacking the product or its communication from an untrusted local network,
AS15 Attacking the product from the Internet or a mobile network,
AS27 Getting physical access to the product's linked communication media (e.g., field buses),
AS28 Getting access to a trusted entity</v>
      </c>
      <c r="E6" s="10" t="s">
        <v>915</v>
      </c>
      <c r="F6" s="16" t="str" cm="1">
        <f t="array" aca="1" ref="F6" ca="1">RemoveDelimiter(GetValues(SanitizeInput($E6),Questions!$A:$B,"   ",CHAR(10),TRUE),CHAR(10))</f>
        <v>QI6   Can a loss of availability of the product (or its communication) endanger the health of people?
(Consider how the operational environment reacts to a loss of availability of the product.)
QI7   Is the availability of the product relevant for its operational environment?
QI8   Can a loss of availability allow an attacker access to assets of the customer (including physical access not detected by the &lt;&lt; OEM Name &gt;&gt; product)? Example: The product is used for access control.
QI9   Can a loss of availability cause contract-related fines (e.g., based on a service level agreement)?</v>
      </c>
      <c r="G6" s="13" t="str" cm="1">
        <f t="array" aca="1" ref="G6" ca="1">LookupNames($U6,'Damage Scenarios'!$A:$J)</f>
        <v/>
      </c>
      <c r="H6" s="10"/>
      <c r="I6" s="10" t="s">
        <v>111</v>
      </c>
      <c r="J6" s="10"/>
      <c r="K6" s="10"/>
      <c r="L6" s="10"/>
      <c r="M6" s="91" t="str">
        <f ca="1">IF($A6="","",IFERROR(VLOOKUP($Y6,Definitions!$V:$W,COLUMNS(Definitions!$V:$W),TRUE),""))</f>
        <v>Basic</v>
      </c>
      <c r="N6" s="10"/>
      <c r="O6" s="25" t="str" cm="1">
        <f t="array" ref="O6">OperateOnList(
  SanitizeInput($N6),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P6" s="10" t="s">
        <v>450</v>
      </c>
      <c r="Q6" s="10" t="s">
        <v>167</v>
      </c>
      <c r="R6" s="9" cm="1">
        <f t="array" aca="1" ref="R6" ca="1">CreateID($R$2,$A6&lt;&gt;"")</f>
        <v>4</v>
      </c>
      <c r="S6" s="11" t="b">
        <f>OR(CheckRelevance(SanitizeInput(N6),Questionnaire!$J:$J),CheckRelevance(SanitizeInput(N6),Questionnaire!$K:$K))</f>
        <v>0</v>
      </c>
      <c r="T6" s="11" t="str" cm="1">
        <f t="array" aca="1" ref="T6" ca="1">IF(AND($N6&lt;&gt;"",$S6=FALSE),"",
IF(AND($S6,$C6=""),$A6&amp;",§","")&amp;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GenerateAttackPaths(RemoveFirstElement(_xlpm._in),_xlpm._apRange,_xlpm._ownID))))(SanitizeInput($C6),$A:$T,$A6))</f>
        <v/>
      </c>
      <c r="U6" s="11" t="str" cm="1">
        <f t="array" aca="1" ref="U6" ca="1">GetValues(SanitizeInput($E6),'Damage Scenarios'!$B:$T,"",",",FALSE)</f>
        <v/>
      </c>
      <c r="V6" s="11" t="b">
        <f t="shared" ca="1" si="0"/>
        <v>0</v>
      </c>
      <c r="W6" s="11" cm="1">
        <f t="array" aca="1" ref="W6" ca="1">CreateID($W$2,$V6)</f>
        <v>0</v>
      </c>
      <c r="X6" s="11">
        <f t="shared" ca="1" si="1"/>
        <v>0</v>
      </c>
      <c r="Y6" s="11" cm="1">
        <f t="array" aca="1" ref="Y6" ca="1">OperateOnRange(
  $H6,
  TRUE,
  Helper!$B$16,
  0,
  _xlfn.LAMBDA(_xlpm._factor,IF(_xlpm._factor="",0,SimpleLookup(_xlpm._factor,Definitions!$Z:$AA))),
  _xlfn.LAMBDA(_xlpm._x,_xlpm._y,_xlpm._x+_xlpm._y))</f>
        <v>3</v>
      </c>
      <c r="Z6" s="11" cm="1">
        <f t="array" ref="Z6">CreateTaskID($Z$2,$Z:$Z,Tasks!$B$17,$Q6)</f>
        <v>0</v>
      </c>
      <c r="AA6" s="11" t="str" cm="1">
        <f t="array" aca="1" ref="AA6" ca="1">InverseLookup($A6,Countermeasures!$Y$2,Countermeasures!$A$2,1,Helper!$B$4,",")</f>
        <v>C20,C21,</v>
      </c>
      <c r="AB6" s="11" t="str" cm="1">
        <f t="array" aca="1" ref="AB6" ca="1">InverseLookup($A6,Assumptions!$Y$2,Assumptions!$A$2,1,Helper!$B$6,",")</f>
        <v/>
      </c>
      <c r="AC6" s="11" t="str" cm="1">
        <f t="array" aca="1" ref="AC6" ca="1">InverseLookup($A6,Assumptions!$Z$2,Assumptions!$A$2,1,Helper!$B$6,",")</f>
        <v/>
      </c>
      <c r="AD6" s="11" t="str" cm="1">
        <f t="array" aca="1" ref="AD6" ca="1">IF($V6,
CreateSearchString(SUBSTITUTE($T6,"§","")),
"")</f>
        <v/>
      </c>
      <c r="AE6" s="11" t="b">
        <f t="shared" ca="1" si="2"/>
        <v>0</v>
      </c>
      <c r="AF6" s="11" t="str" cm="1">
        <f t="array" ref="AF6">_xlfn.SWITCH($N6,
"*","",
"","",
_xlfn.LET(
_xlpm._answers,SUBSTITUTE(SanitizeInput($N6),"&amp;",","),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IF(_xlpm._questionIDUndefined,$A6&amp;" - "&amp;_xlpm._question&amp;": ERROR: Unknown question ID.",
        IF(_xlpm._firstAnswerIsValidOption,"",$A6&amp;" - "&amp;_xlpm._question&amp;": First answer ("&amp;_xlpm._firstAnswer&amp;") is not a valid option.")&amp;
        IF(_xlpm._secondAnswerRequired,IF(_xlpm._secondAnswerProvided,"",$A6&amp;" - "&amp;_xlpm._question&amp;": Second answer required but not provided."),"")&amp;
        IF(NOT(_xlpm._secondAnswerRequired),IF(_xlpm._secondAnswerProvided,$A6&amp;" - "&amp;_xlpm._question&amp;": Second answer ("&amp;_xlpm._secondAnswer&amp;") provided but the question only supports one answer.",""),"")&amp;
        IF(_xlpm._secondAnswerIsValidOption,"",$A6&amp;" - "&amp;_xlpm._question&amp;": Second answer ("&amp;_xlpm._secondAnswer&amp;") is not a valid option.")))),
  _xlfn.LAMBDA(_xlpm._x,_xlpm._y,_xlpm._x&amp;IF(_xlpm._x="","",CHAR(10))&amp;_xlpm._y))))</f>
        <v/>
      </c>
      <c r="AG6" s="11" cm="1">
        <f t="array" aca="1" ref="AG6" ca="1">CreateID($AG$2,$AF6&lt;&gt;"")</f>
        <v>0</v>
      </c>
      <c r="AH6" s="56"/>
      <c r="AI6" s="56"/>
      <c r="AJ6" s="56"/>
    </row>
    <row r="7" spans="1:36" ht="124.5" x14ac:dyDescent="0.25">
      <c r="A7" s="10" t="s">
        <v>82</v>
      </c>
      <c r="B7" s="10" t="s">
        <v>86</v>
      </c>
      <c r="C7" s="10" t="s">
        <v>839</v>
      </c>
      <c r="D7" s="16" t="str" cm="1">
        <f t="array" aca="1" ref="D7" ca="1">LookupNames($C7,$A:$B)</f>
        <v>AS1 Getting access to a trusted operational environment,
AS2 Getting access to a wireless network,
AS12 Compromising an untrusted device that communicates directly with the product,
AS13 Attacking the product or its communication from an untrusted local network,
AS27 Getting physical access to the product's linked communication media (e.g., field buses),
AS34 Attacking the product's outgoing communication to an external communication partner over the Internet or a mobile network,
AS36 Attacking the product's incoming communication from the Internet or a mobile network</v>
      </c>
      <c r="E7" s="10" t="s">
        <v>928</v>
      </c>
      <c r="F7" s="16" t="str" cm="1">
        <f t="array" aca="1" ref="F7" ca="1">RemoveDelimiter(GetValues(SanitizeInput($E7),Questions!$A:$B,"   ",CHAR(10),TRUE),CHAR(10))</f>
        <v>QI1   Does the product have / support cameras or other sensors that can potentially identify people? (Regarding "supporting a camera / sensor": only answer with Yes if attaching a camera / sensor is in the intended or foreseeable use of the product.)
QI2   Does the product process personal data?
Examples: address labels
QI4   Is &lt;&lt; OEM Name &gt;&gt; (typically) obliged to keep the processed / stored data (including third-party IP) confidential by contract or law? (Note that this concerns individual obligations, not the standard product warranty).
QI5   Does the product contain credentials / cryptographic keys that allow access to sensitive data or to systems in the product's operational environment? (Note: this includes cryptographic data introduced by the customer.)</v>
      </c>
      <c r="G7" s="13" t="str" cm="1">
        <f t="array" aca="1" ref="G7" ca="1">LookupNames($U7,'Damage Scenarios'!$A:$J)</f>
        <v/>
      </c>
      <c r="H7" s="10"/>
      <c r="I7" s="10" t="s">
        <v>111</v>
      </c>
      <c r="J7" s="10"/>
      <c r="K7" s="10"/>
      <c r="L7" s="10"/>
      <c r="M7" s="91" t="str">
        <f ca="1">IF($A7="","",IFERROR(VLOOKUP($Y7,Definitions!$V:$W,COLUMNS(Definitions!$V:$W),TRUE),""))</f>
        <v>Basic</v>
      </c>
      <c r="N7" s="10"/>
      <c r="O7" s="25" t="str" cm="1">
        <f t="array" ref="O7">OperateOnList(
  SanitizeInput($N7),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P7" s="10" t="s">
        <v>451</v>
      </c>
      <c r="Q7" s="10" t="s">
        <v>168</v>
      </c>
      <c r="R7" s="9" cm="1">
        <f t="array" aca="1" ref="R7" ca="1">CreateID($R$2,$A7&lt;&gt;"")</f>
        <v>5</v>
      </c>
      <c r="S7" s="11" t="b">
        <f>OR(CheckRelevance(SanitizeInput(N7),Questionnaire!$J:$J),CheckRelevance(SanitizeInput(N7),Questionnaire!$K:$K))</f>
        <v>0</v>
      </c>
      <c r="T7" s="11" t="str" cm="1">
        <f t="array" aca="1" ref="T7" ca="1">IF(AND($N7&lt;&gt;"",$S7=FALSE),"",
IF(AND($S7,$C7=""),$A7&amp;",§","")&amp;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GenerateAttackPaths(RemoveFirstElement(_xlpm._in),_xlpm._apRange,_xlpm._ownID))))(SanitizeInput($C7),$A:$T,$A7))</f>
        <v/>
      </c>
      <c r="U7" s="11" t="str" cm="1">
        <f t="array" aca="1" ref="U7" ca="1">GetValues(SanitizeInput($E7),'Damage Scenarios'!$B:$T,"",",",FALSE)</f>
        <v/>
      </c>
      <c r="V7" s="11" t="b">
        <f t="shared" ca="1" si="0"/>
        <v>0</v>
      </c>
      <c r="W7" s="11" cm="1">
        <f t="array" aca="1" ref="W7" ca="1">CreateID($W$2,$V7)</f>
        <v>0</v>
      </c>
      <c r="X7" s="11">
        <f t="shared" ca="1" si="1"/>
        <v>0</v>
      </c>
      <c r="Y7" s="11" cm="1">
        <f t="array" aca="1" ref="Y7" ca="1">OperateOnRange(
  $H7,
  TRUE,
  Helper!$B$16,
  0,
  _xlfn.LAMBDA(_xlpm._factor,IF(_xlpm._factor="",0,SimpleLookup(_xlpm._factor,Definitions!$Z:$AA))),
  _xlfn.LAMBDA(_xlpm._x,_xlpm._y,_xlpm._x+_xlpm._y))</f>
        <v>3</v>
      </c>
      <c r="Z7" s="11" cm="1">
        <f t="array" ref="Z7">CreateTaskID($Z$2,$Z:$Z,Tasks!$B$17,$Q7)</f>
        <v>0</v>
      </c>
      <c r="AA7" s="11" t="str" cm="1">
        <f t="array" aca="1" ref="AA7" ca="1">InverseLookup($A7,Countermeasures!$Y$2,Countermeasures!$A$2,1,Helper!$B$4,",")</f>
        <v>C29,</v>
      </c>
      <c r="AB7" s="11" t="str" cm="1">
        <f t="array" aca="1" ref="AB7" ca="1">InverseLookup($A7,Assumptions!$Y$2,Assumptions!$A$2,1,Helper!$B$6,",")</f>
        <v/>
      </c>
      <c r="AC7" s="11" t="str" cm="1">
        <f t="array" aca="1" ref="AC7" ca="1">InverseLookup($A7,Assumptions!$Z$2,Assumptions!$A$2,1,Helper!$B$6,",")</f>
        <v>A28,A37,</v>
      </c>
      <c r="AD7" s="11" t="str" cm="1">
        <f t="array" aca="1" ref="AD7" ca="1">IF($V7,
CreateSearchString(SUBSTITUTE($T7,"§","")),
"")</f>
        <v/>
      </c>
      <c r="AE7" s="11" t="b">
        <f t="shared" ca="1" si="2"/>
        <v>0</v>
      </c>
      <c r="AF7" s="11" t="str" cm="1">
        <f t="array" ref="AF7">_xlfn.SWITCH($N7,
"*","",
"","",
_xlfn.LET(
_xlpm._answers,SUBSTITUTE(SanitizeInput($N7),"&amp;",","),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IF(_xlpm._questionIDUndefined,$A7&amp;" - "&amp;_xlpm._question&amp;": ERROR: Unknown question ID.",
        IF(_xlpm._firstAnswerIsValidOption,"",$A7&amp;" - "&amp;_xlpm._question&amp;": First answer ("&amp;_xlpm._firstAnswer&amp;") is not a valid option.")&amp;
        IF(_xlpm._secondAnswerRequired,IF(_xlpm._secondAnswerProvided,"",$A7&amp;" - "&amp;_xlpm._question&amp;": Second answer required but not provided."),"")&amp;
        IF(NOT(_xlpm._secondAnswerRequired),IF(_xlpm._secondAnswerProvided,$A7&amp;" - "&amp;_xlpm._question&amp;": Second answer ("&amp;_xlpm._secondAnswer&amp;") provided but the question only supports one answer.",""),"")&amp;
        IF(_xlpm._secondAnswerIsValidOption,"",$A7&amp;" - "&amp;_xlpm._question&amp;": Second answer ("&amp;_xlpm._secondAnswer&amp;") is not a valid option.")))),
  _xlfn.LAMBDA(_xlpm._x,_xlpm._y,_xlpm._x&amp;IF(_xlpm._x="","",CHAR(10))&amp;_xlpm._y))))</f>
        <v/>
      </c>
      <c r="AG7" s="11" cm="1">
        <f t="array" aca="1" ref="AG7" ca="1">CreateID($AG$2,$AF7&lt;&gt;"")</f>
        <v>0</v>
      </c>
      <c r="AH7" s="56"/>
      <c r="AI7" s="56"/>
      <c r="AJ7" s="56"/>
    </row>
    <row r="8" spans="1:36" ht="90.75" x14ac:dyDescent="0.25">
      <c r="A8" s="10" t="s">
        <v>83</v>
      </c>
      <c r="B8" s="10" t="s">
        <v>94</v>
      </c>
      <c r="C8" s="10" t="s">
        <v>821</v>
      </c>
      <c r="D8" s="16" t="str" cm="1">
        <f t="array" aca="1" ref="D8" ca="1">LookupNames($C8,$A:$B)</f>
        <v>AS1 Getting access to a trusted operational environment,
AS2 Getting access to a wireless network,
AS13 Attacking the product or its communication from an untrusted local network,
AS27 Getting physical access to the product's linked communication media (e.g., field buses),
AS34 Attacking the product's outgoing communication to an external communication partner over the Internet or a mobile network</v>
      </c>
      <c r="E8" s="10" t="s">
        <v>907</v>
      </c>
      <c r="F8" s="16" t="str" cm="1">
        <f t="array" aca="1" ref="F8" ca="1">RemoveDelimiter(GetValues(SanitizeInput($E8),Questions!$A:$B,"   ",CHAR(10),TRUE),CHAR(10))</f>
        <v>QI10   Can a manipulated product (or its communication) endanger the health of people? Also consider cases where the product is used against its intended use or misconfigured!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8" s="13" t="str" cm="1">
        <f t="array" aca="1" ref="G8" ca="1">LookupNames($U8,'Damage Scenarios'!$A:$J)</f>
        <v/>
      </c>
      <c r="H8" s="10" t="s">
        <v>104</v>
      </c>
      <c r="I8" s="10" t="s">
        <v>112</v>
      </c>
      <c r="J8" s="10" t="s">
        <v>116</v>
      </c>
      <c r="K8" s="10"/>
      <c r="L8" s="10"/>
      <c r="M8" s="91" t="str">
        <f ca="1">IF($A8="","",IFERROR(VLOOKUP($Y8,Definitions!$V:$W,COLUMNS(Definitions!$V:$W),TRUE),""))</f>
        <v>Enhanced-Basic</v>
      </c>
      <c r="N8" s="10"/>
      <c r="O8" s="25" t="str" cm="1">
        <f t="array" ref="O8">OperateOnList(
  SanitizeInput($N8),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P8" s="10" t="s">
        <v>453</v>
      </c>
      <c r="Q8" s="10" t="s">
        <v>844</v>
      </c>
      <c r="R8" s="9" cm="1">
        <f t="array" aca="1" ref="R8" ca="1">CreateID($R$2,$A8&lt;&gt;"")</f>
        <v>6</v>
      </c>
      <c r="S8" s="11" t="b">
        <f>OR(CheckRelevance(SanitizeInput(N8),Questionnaire!$J:$J),CheckRelevance(SanitizeInput(N8),Questionnaire!$K:$K))</f>
        <v>0</v>
      </c>
      <c r="T8" s="11" t="str" cm="1">
        <f t="array" aca="1" ref="T8" ca="1">IF(AND($N8&lt;&gt;"",$S8=FALSE),"",
IF(AND($S8,$C8=""),$A8&amp;",§","")&amp;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GenerateAttackPaths(RemoveFirstElement(_xlpm._in),_xlpm._apRange,_xlpm._ownID))))(SanitizeInput($C8),$A:$T,$A8))</f>
        <v/>
      </c>
      <c r="U8" s="11" t="str" cm="1">
        <f t="array" aca="1" ref="U8" ca="1">GetValues(SanitizeInput($E8),'Damage Scenarios'!$B:$T,"",",",FALSE)</f>
        <v/>
      </c>
      <c r="V8" s="11" t="b">
        <f t="shared" ca="1" si="0"/>
        <v>0</v>
      </c>
      <c r="W8" s="11" cm="1">
        <f t="array" aca="1" ref="W8" ca="1">CreateID($W$2,$V8)</f>
        <v>0</v>
      </c>
      <c r="X8" s="11">
        <f t="shared" ca="1" si="1"/>
        <v>0</v>
      </c>
      <c r="Y8" s="11" cm="1">
        <f t="array" aca="1" ref="Y8" ca="1">OperateOnRange(
  $H8,
  TRUE,
  Helper!$B$16,
  0,
  _xlfn.LAMBDA(_xlpm._factor,IF(_xlpm._factor="",0,SimpleLookup(_xlpm._factor,Definitions!$Z:$AA))),
  _xlfn.LAMBDA(_xlpm._x,_xlpm._y,_xlpm._x+_xlpm._y))</f>
        <v>10</v>
      </c>
      <c r="Z8" s="11" cm="1">
        <f t="array" ref="Z8">CreateTaskID($Z$2,$Z:$Z,Tasks!$B$17,$Q8)</f>
        <v>0</v>
      </c>
      <c r="AA8" s="11" t="str" cm="1">
        <f t="array" aca="1" ref="AA8" ca="1">InverseLookup($A8,Countermeasures!$Y$2,Countermeasures!$A$2,1,Helper!$B$4,",")</f>
        <v>CM10,</v>
      </c>
      <c r="AB8" s="11" t="str" cm="1">
        <f t="array" aca="1" ref="AB8" ca="1">InverseLookup($A8,Assumptions!$Y$2,Assumptions!$A$2,1,Helper!$B$6,",")</f>
        <v/>
      </c>
      <c r="AC8" s="11" t="str" cm="1">
        <f t="array" aca="1" ref="AC8" ca="1">InverseLookup($A8,Assumptions!$Z$2,Assumptions!$A$2,1,Helper!$B$6,",")</f>
        <v>A37,</v>
      </c>
      <c r="AD8" s="11" t="str" cm="1">
        <f t="array" aca="1" ref="AD8" ca="1">IF($V8,
CreateSearchString(SUBSTITUTE($T8,"§","")),
"")</f>
        <v/>
      </c>
      <c r="AE8" s="11" t="b">
        <f t="shared" ca="1" si="2"/>
        <v>0</v>
      </c>
      <c r="AF8" s="11" t="str" cm="1">
        <f t="array" ref="AF8">_xlfn.SWITCH($N8,
"*","",
"","",
_xlfn.LET(
_xlpm._answers,SUBSTITUTE(SanitizeInput($N8),"&amp;",","),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IF(_xlpm._questionIDUndefined,$A8&amp;" - "&amp;_xlpm._question&amp;": ERROR: Unknown question ID.",
        IF(_xlpm._firstAnswerIsValidOption,"",$A8&amp;" - "&amp;_xlpm._question&amp;": First answer ("&amp;_xlpm._firstAnswer&amp;") is not a valid option.")&amp;
        IF(_xlpm._secondAnswerRequired,IF(_xlpm._secondAnswerProvided,"",$A8&amp;" - "&amp;_xlpm._question&amp;": Second answer required but not provided."),"")&amp;
        IF(NOT(_xlpm._secondAnswerRequired),IF(_xlpm._secondAnswerProvided,$A8&amp;" - "&amp;_xlpm._question&amp;": Second answer ("&amp;_xlpm._secondAnswer&amp;") provided but the question only supports one answer.",""),"")&amp;
        IF(_xlpm._secondAnswerIsValidOption,"",$A8&amp;" - "&amp;_xlpm._question&amp;": Second answer ("&amp;_xlpm._secondAnswer&amp;") is not a valid option.")))),
  _xlfn.LAMBDA(_xlpm._x,_xlpm._y,_xlpm._x&amp;IF(_xlpm._x="","",CHAR(10))&amp;_xlpm._y))))</f>
        <v/>
      </c>
      <c r="AG8" s="11" cm="1">
        <f t="array" aca="1" ref="AG8" ca="1">CreateID($AG$2,$AF8&lt;&gt;"")</f>
        <v>0</v>
      </c>
      <c r="AH8" s="56"/>
      <c r="AI8" s="56"/>
      <c r="AJ8" s="56"/>
    </row>
    <row r="9" spans="1:36" ht="203.25" x14ac:dyDescent="0.25">
      <c r="A9" s="10" t="s">
        <v>84</v>
      </c>
      <c r="B9" s="10" t="s">
        <v>95</v>
      </c>
      <c r="C9" s="10" t="s">
        <v>837</v>
      </c>
      <c r="D9" s="16" t="str" cm="1">
        <f t="array" aca="1" ref="D9" ca="1">LookupNames($C9,$A:$B)</f>
        <v>AS1 Getting access to a trusted operational environment,
AS2 Getting access to a wireless network,
AS9 Attacking the product's internal gateway from the Internet,
AS12 Compromising an untrusted device that communicates directly with the product,
AS13 Attacking the product or its communication from an untrusted local network,
AS27 Getting physical access to the product's linked communication media (e.g., field buses),
AS28 Getting access to a trusted entity,
AS36 Attacking the product's incoming communication from the Internet or a mobile network</v>
      </c>
      <c r="E9" s="10" t="s">
        <v>908</v>
      </c>
      <c r="F9" s="16" t="str" cm="1">
        <f t="array" aca="1" ref="F9" ca="1">RemoveDelimiter(GetValues(SanitizeInput($E9),Questions!$A:$B,"   ",CHAR(10),TRUE),CHAR(10))</f>
        <v>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Note that this includes both &lt;&lt; OEM Name &gt;&gt; and customer IP.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9" s="13" t="str" cm="1">
        <f t="array" aca="1" ref="G9" ca="1">LookupNames($U9,'Damage Scenarios'!$A:$J)</f>
        <v/>
      </c>
      <c r="H9" s="10" t="s">
        <v>104</v>
      </c>
      <c r="I9" s="10" t="s">
        <v>112</v>
      </c>
      <c r="J9" s="10" t="s">
        <v>116</v>
      </c>
      <c r="K9" s="10"/>
      <c r="L9" s="10"/>
      <c r="M9" s="91" t="str">
        <f ca="1">IF($A9="","",IFERROR(VLOOKUP($Y9,Definitions!$V:$W,COLUMNS(Definitions!$V:$W),TRUE),""))</f>
        <v>Enhanced-Basic</v>
      </c>
      <c r="N9" s="10"/>
      <c r="O9" s="25" t="str" cm="1">
        <f t="array" ref="O9">OperateOnList(
  SanitizeInput($N9),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P9" s="10" t="s">
        <v>453</v>
      </c>
      <c r="Q9" s="10" t="s">
        <v>845</v>
      </c>
      <c r="R9" s="9" cm="1">
        <f t="array" aca="1" ref="R9" ca="1">CreateID($R$2,$A9&lt;&gt;"")</f>
        <v>7</v>
      </c>
      <c r="S9" s="11" t="b">
        <f>OR(CheckRelevance(SanitizeInput(N9),Questionnaire!$J:$J),CheckRelevance(SanitizeInput(N9),Questionnaire!$K:$K))</f>
        <v>0</v>
      </c>
      <c r="T9" s="11" t="str" cm="1">
        <f t="array" aca="1" ref="T9" ca="1">IF(AND($N9&lt;&gt;"",$S9=FALSE),"",
IF(AND($S9,$C9=""),$A9&amp;",§","")&amp;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GenerateAttackPaths(RemoveFirstElement(_xlpm._in),_xlpm._apRange,_xlpm._ownID))))(SanitizeInput($C9),$A:$T,$A9))</f>
        <v/>
      </c>
      <c r="U9" s="11" t="str" cm="1">
        <f t="array" aca="1" ref="U9" ca="1">GetValues(SanitizeInput($E9),'Damage Scenarios'!$B:$T,"",",",FALSE)</f>
        <v/>
      </c>
      <c r="V9" s="11" t="b">
        <f t="shared" ca="1" si="0"/>
        <v>0</v>
      </c>
      <c r="W9" s="11" cm="1">
        <f t="array" aca="1" ref="W9" ca="1">CreateID($W$2,$V9)</f>
        <v>0</v>
      </c>
      <c r="X9" s="11">
        <f t="shared" ca="1" si="1"/>
        <v>0</v>
      </c>
      <c r="Y9" s="11" cm="1">
        <f t="array" aca="1" ref="Y9" ca="1">OperateOnRange(
  $H9,
  TRUE,
  Helper!$B$16,
  0,
  _xlfn.LAMBDA(_xlpm._factor,IF(_xlpm._factor="",0,SimpleLookup(_xlpm._factor,Definitions!$Z:$AA))),
  _xlfn.LAMBDA(_xlpm._x,_xlpm._y,_xlpm._x+_xlpm._y))</f>
        <v>10</v>
      </c>
      <c r="Z9" s="11" cm="1">
        <f t="array" ref="Z9">CreateTaskID($Z$2,$Z:$Z,Tasks!$B$17,$Q9)</f>
        <v>0</v>
      </c>
      <c r="AA9" s="11" t="str" cm="1">
        <f t="array" aca="1" ref="AA9" ca="1">InverseLookup($A9,Countermeasures!$Y$2,Countermeasures!$A$2,1,Helper!$B$4,",")</f>
        <v>CM11,</v>
      </c>
      <c r="AB9" s="11" t="str" cm="1">
        <f t="array" aca="1" ref="AB9" ca="1">InverseLookup($A9,Assumptions!$Y$2,Assumptions!$A$2,1,Helper!$B$6,",")</f>
        <v/>
      </c>
      <c r="AC9" s="11" t="str" cm="1">
        <f t="array" aca="1" ref="AC9" ca="1">InverseLookup($A9,Assumptions!$Z$2,Assumptions!$A$2,1,Helper!$B$6,",")</f>
        <v/>
      </c>
      <c r="AD9" s="11" t="str" cm="1">
        <f t="array" aca="1" ref="AD9" ca="1">IF($V9,
CreateSearchString(SUBSTITUTE($T9,"§","")),
"")</f>
        <v/>
      </c>
      <c r="AE9" s="11" t="b">
        <f t="shared" ca="1" si="2"/>
        <v>0</v>
      </c>
      <c r="AF9" s="11" t="str" cm="1">
        <f t="array" ref="AF9">_xlfn.SWITCH($N9,
"*","",
"","",
_xlfn.LET(
_xlpm._answers,SUBSTITUTE(SanitizeInput($N9),"&amp;",","),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IF(_xlpm._questionIDUndefined,$A9&amp;" - "&amp;_xlpm._question&amp;": ERROR: Unknown question ID.",
        IF(_xlpm._firstAnswerIsValidOption,"",$A9&amp;" - "&amp;_xlpm._question&amp;": First answer ("&amp;_xlpm._firstAnswer&amp;") is not a valid option.")&amp;
        IF(_xlpm._secondAnswerRequired,IF(_xlpm._secondAnswerProvided,"",$A9&amp;" - "&amp;_xlpm._question&amp;": Second answer required but not provided."),"")&amp;
        IF(NOT(_xlpm._secondAnswerRequired),IF(_xlpm._secondAnswerProvided,$A9&amp;" - "&amp;_xlpm._question&amp;": Second answer ("&amp;_xlpm._secondAnswer&amp;") provided but the question only supports one answer.",""),"")&amp;
        IF(_xlpm._secondAnswerIsValidOption,"",$A9&amp;" - "&amp;_xlpm._question&amp;": Second answer ("&amp;_xlpm._secondAnswer&amp;") is not a valid option.")))),
  _xlfn.LAMBDA(_xlpm._x,_xlpm._y,_xlpm._x&amp;IF(_xlpm._x="","",CHAR(10))&amp;_xlpm._y))))</f>
        <v/>
      </c>
      <c r="AG9" s="11" cm="1">
        <f t="array" aca="1" ref="AG9" ca="1">CreateID($AG$2,$AF9&lt;&gt;"")</f>
        <v>0</v>
      </c>
      <c r="AH9" s="56"/>
      <c r="AI9" s="56"/>
      <c r="AJ9" s="56"/>
    </row>
    <row r="10" spans="1:36" ht="113.25" x14ac:dyDescent="0.25">
      <c r="A10" s="10" t="s">
        <v>89</v>
      </c>
      <c r="B10" s="10" t="s">
        <v>87</v>
      </c>
      <c r="C10" s="10"/>
      <c r="D10" s="16" t="str" cm="1">
        <f t="array" ref="D10">LookupNames($C10,$A:$B)</f>
        <v/>
      </c>
      <c r="E10" s="10" t="s">
        <v>915</v>
      </c>
      <c r="F10" s="16" t="str" cm="1">
        <f t="array" aca="1" ref="F10" ca="1">RemoveDelimiter(GetValues(SanitizeInput($E10),Questions!$A:$B,"   ",CHAR(10),TRUE),CHAR(10))</f>
        <v>QI6   Can a loss of availability of the product (or its communication) endanger the health of people?
(Consider how the operational environment reacts to a loss of availability of the product.)
QI7   Is the availability of the product relevant for its operational environment?
QI8   Can a loss of availability allow an attacker access to assets of the customer (including physical access not detected by the &lt;&lt; OEM Name &gt;&gt; product)? Example: The product is used for access control.
QI9   Can a loss of availability cause contract-related fines (e.g., based on a service level agreement)?</v>
      </c>
      <c r="G10" s="13" t="str" cm="1">
        <f t="array" aca="1" ref="G10" ca="1">LookupNames($U10,'Damage Scenarios'!$A:$J)</f>
        <v/>
      </c>
      <c r="H10" s="10"/>
      <c r="I10" s="10"/>
      <c r="J10" s="10"/>
      <c r="K10" s="10"/>
      <c r="L10" s="10" t="s">
        <v>125</v>
      </c>
      <c r="M10" s="91" t="str">
        <f ca="1">IF($A10="","",IFERROR(VLOOKUP($Y10,Definitions!$V:$W,COLUMNS(Definitions!$V:$W),TRUE),""))</f>
        <v>Basic</v>
      </c>
      <c r="N10" s="10" t="s">
        <v>873</v>
      </c>
      <c r="O10" s="25" t="str" cm="1">
        <f t="array" aca="1" ref="O10" ca="1">OperateOnList(
  SanitizeInput($N10),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QA5 Does the product support wireless connections? [Yes]
» Is the access to the wireless connection restricted and are the devices the product communicates with considered as trustworthy? [*]</v>
      </c>
      <c r="P10" s="10" t="s">
        <v>450</v>
      </c>
      <c r="Q10" s="10" t="s">
        <v>170</v>
      </c>
      <c r="R10" s="9" cm="1">
        <f t="array" aca="1" ref="R10" ca="1">CreateID($R$2,$A10&lt;&gt;"")</f>
        <v>8</v>
      </c>
      <c r="S10" s="11" t="b">
        <f ca="1">OR(CheckRelevance(SanitizeInput(N10),Questionnaire!$J:$J),CheckRelevance(SanitizeInput(N10),Questionnaire!$K:$K))</f>
        <v>0</v>
      </c>
      <c r="T10" s="11" t="str" cm="1">
        <f t="array" aca="1" ref="T10" ca="1">IF(AND($N10&lt;&gt;"",$S10=FALSE),"",
IF(AND($S10,$C10=""),$A10&amp;",§","")&amp;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GenerateAttackPaths(RemoveFirstElement(_xlpm._in),_xlpm._apRange,_xlpm._ownID))))(SanitizeInput($C10),$A:$T,$A10))</f>
        <v/>
      </c>
      <c r="U10" s="11" t="str" cm="1">
        <f t="array" aca="1" ref="U10" ca="1">GetValues(SanitizeInput($E10),'Damage Scenarios'!$B:$T,"",",",FALSE)</f>
        <v/>
      </c>
      <c r="V10" s="11" t="b">
        <f t="shared" ca="1" si="0"/>
        <v>0</v>
      </c>
      <c r="W10" s="11" cm="1">
        <f t="array" aca="1" ref="W10" ca="1">CreateID($W$2,$V10)</f>
        <v>0</v>
      </c>
      <c r="X10" s="11">
        <f t="shared" ca="1" si="1"/>
        <v>0</v>
      </c>
      <c r="Y10" s="11" cm="1">
        <f t="array" aca="1" ref="Y10" ca="1">OperateOnRange(
  $H10,
  TRUE,
  Helper!$B$16,
  0,
  _xlfn.LAMBDA(_xlpm._factor,IF(_xlpm._factor="",0,SimpleLookup(_xlpm._factor,Definitions!$Z:$AA))),
  _xlfn.LAMBDA(_xlpm._x,_xlpm._y,_xlpm._x+_xlpm._y))</f>
        <v>4</v>
      </c>
      <c r="Z10" s="11" cm="1">
        <f t="array" ref="Z10">CreateTaskID($Z$2,$Z:$Z,Tasks!$B$17,$Q10)</f>
        <v>0</v>
      </c>
      <c r="AA10" s="11" t="str" cm="1">
        <f t="array" aca="1" ref="AA10" ca="1">InverseLookup($A10,Countermeasures!$Y$2,Countermeasures!$A$2,1,Helper!$B$4,",")</f>
        <v/>
      </c>
      <c r="AB10" s="11" t="str" cm="1">
        <f t="array" aca="1" ref="AB10" ca="1">InverseLookup($A10,Assumptions!$Y$2,Assumptions!$A$2,1,Helper!$B$6,",")</f>
        <v/>
      </c>
      <c r="AC10" s="11" t="str" cm="1">
        <f t="array" aca="1" ref="AC10" ca="1">InverseLookup($A10,Assumptions!$Z$2,Assumptions!$A$2,1,Helper!$B$6,",")</f>
        <v>A29,</v>
      </c>
      <c r="AD10" s="11" t="str" cm="1">
        <f t="array" aca="1" ref="AD10" ca="1">IF($V10,
CreateSearchString(SUBSTITUTE($T10,"§","")),
"")</f>
        <v/>
      </c>
      <c r="AE10" s="11" t="b">
        <f t="shared" ca="1" si="2"/>
        <v>0</v>
      </c>
      <c r="AF10" s="11" t="str" cm="1">
        <f t="array" aca="1" ref="AF10" ca="1">_xlfn.SWITCH($N10,
"*","",
"","",
_xlfn.LET(
_xlpm._answers,SUBSTITUTE(SanitizeInput($N10),"&amp;",","),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IF(_xlpm._questionIDUndefined,$A10&amp;" - "&amp;_xlpm._question&amp;": ERROR: Unknown question ID.",
        IF(_xlpm._firstAnswerIsValidOption,"",$A10&amp;" - "&amp;_xlpm._question&amp;": First answer ("&amp;_xlpm._firstAnswer&amp;") is not a valid option.")&amp;
        IF(_xlpm._secondAnswerRequired,IF(_xlpm._secondAnswerProvided,"",$A10&amp;" - "&amp;_xlpm._question&amp;": Second answer required but not provided."),"")&amp;
        IF(NOT(_xlpm._secondAnswerRequired),IF(_xlpm._secondAnswerProvided,$A10&amp;" - "&amp;_xlpm._question&amp;": Second answer ("&amp;_xlpm._secondAnswer&amp;") provided but the question only supports one answer.",""),"")&amp;
        IF(_xlpm._secondAnswerIsValidOption,"",$A10&amp;" - "&amp;_xlpm._question&amp;": Second answer ("&amp;_xlpm._secondAnswer&amp;") is not a valid option.")))),
  _xlfn.LAMBDA(_xlpm._x,_xlpm._y,_xlpm._x&amp;IF(_xlpm._x="","",CHAR(10))&amp;_xlpm._y))))</f>
        <v/>
      </c>
      <c r="AG10" s="11" cm="1">
        <f t="array" aca="1" ref="AG10" ca="1">CreateID($AG$2,$AF10&lt;&gt;"")</f>
        <v>0</v>
      </c>
      <c r="AH10" s="56"/>
      <c r="AI10" s="56"/>
      <c r="AJ10" s="56"/>
    </row>
    <row r="11" spans="1:36" ht="75" x14ac:dyDescent="0.25">
      <c r="A11" s="10" t="s">
        <v>92</v>
      </c>
      <c r="B11" s="10" t="s">
        <v>1207</v>
      </c>
      <c r="C11" s="10"/>
      <c r="D11" s="16" t="str" cm="1">
        <f t="array" ref="D11">LookupNames($C11,$A:$B)</f>
        <v/>
      </c>
      <c r="E11" s="10" t="s">
        <v>901</v>
      </c>
      <c r="F11" s="16" t="str" cm="1">
        <f t="array" aca="1" ref="F11" ca="1">RemoveDelimiter(GetValues(SanitizeInput($E11),Questions!$A:$B,"   ",CHAR(10),TRUE),CHAR(10))</f>
        <v>QI15   Can a manipulated product allow an attacker access to assets of the customer or allow the attacker to attack the customer's network?</v>
      </c>
      <c r="G11" s="13" t="str" cm="1">
        <f t="array" aca="1" ref="G11" ca="1">LookupNames($U11,'Damage Scenarios'!$A:$J)</f>
        <v/>
      </c>
      <c r="H11" s="10" t="s">
        <v>103</v>
      </c>
      <c r="I11" s="10" t="s">
        <v>110</v>
      </c>
      <c r="J11" s="10" t="s">
        <v>115</v>
      </c>
      <c r="K11" s="10" t="s">
        <v>119</v>
      </c>
      <c r="L11" s="10" t="s">
        <v>124</v>
      </c>
      <c r="M11" s="91" t="str">
        <f ca="1">IF($A11="","",IFERROR(VLOOKUP($Y11,Definitions!$V:$W,COLUMNS(Definitions!$V:$W),TRUE),""))</f>
        <v>Basic</v>
      </c>
      <c r="N11" s="10" t="s">
        <v>866</v>
      </c>
      <c r="O11" s="25" t="str" cm="1">
        <f t="array" aca="1" ref="O11" ca="1">OperateOnList(
  SanitizeInput($N11),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QA2 Does the product connect two networks to each other (e.g., as a gateway)? [Yes]
» Please select the kind of connectivity: [Internet-facinggateway]</v>
      </c>
      <c r="P11" s="10"/>
      <c r="Q11" s="10" t="s">
        <v>846</v>
      </c>
      <c r="R11" s="9" cm="1">
        <f t="array" aca="1" ref="R11" ca="1">CreateID($R$2,$A11&lt;&gt;"")</f>
        <v>9</v>
      </c>
      <c r="S11" s="11" t="b">
        <f ca="1">OR(CheckRelevance(SanitizeInput(N11),Questionnaire!$J:$J),CheckRelevance(SanitizeInput(N11),Questionnaire!$K:$K))</f>
        <v>0</v>
      </c>
      <c r="T11" s="11" t="str" cm="1">
        <f t="array" aca="1" ref="T11" ca="1">IF(AND($N11&lt;&gt;"",$S11=FALSE),"",
IF(AND($S11,$C11=""),$A11&amp;",§","")&amp;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GenerateAttackPaths(RemoveFirstElement(_xlpm._in),_xlpm._apRange,_xlpm._ownID))))(SanitizeInput($C11),$A:$T,$A11))</f>
        <v/>
      </c>
      <c r="U11" s="11" t="str" cm="1">
        <f t="array" aca="1" ref="U11" ca="1">GetValues(SanitizeInput($E11),'Damage Scenarios'!$B:$T,"",",",FALSE)</f>
        <v/>
      </c>
      <c r="V11" s="11" t="b">
        <f t="shared" ca="1" si="0"/>
        <v>0</v>
      </c>
      <c r="W11" s="11" cm="1">
        <f t="array" aca="1" ref="W11" ca="1">CreateID($W$2,$V11)</f>
        <v>0</v>
      </c>
      <c r="X11" s="11">
        <f t="shared" ca="1" si="1"/>
        <v>0</v>
      </c>
      <c r="Y11" s="11" cm="1">
        <f t="array" aca="1" ref="Y11" ca="1">OperateOnRange(
  $H11,
  TRUE,
  Helper!$B$16,
  0,
  _xlfn.LAMBDA(_xlpm._factor,IF(_xlpm._factor="",0,SimpleLookup(_xlpm._factor,Definitions!$Z:$AA))),
  _xlfn.LAMBDA(_xlpm._x,_xlpm._y,_xlpm._x+_xlpm._y))</f>
        <v>0</v>
      </c>
      <c r="Z11" s="11" cm="1">
        <f t="array" ref="Z11">CreateTaskID($Z$2,$Z:$Z,Tasks!$B$17,$Q11)</f>
        <v>0</v>
      </c>
      <c r="AA11" s="11" t="str" cm="1">
        <f t="array" aca="1" ref="AA11" ca="1">InverseLookup($A11,Countermeasures!$Y$2,Countermeasures!$A$2,1,Helper!$B$4,",")</f>
        <v>CM1,</v>
      </c>
      <c r="AB11" s="11" t="str" cm="1">
        <f t="array" aca="1" ref="AB11" ca="1">InverseLookup($A11,Assumptions!$Y$2,Assumptions!$A$2,1,Helper!$B$6,",")</f>
        <v/>
      </c>
      <c r="AC11" s="11" t="str" cm="1">
        <f t="array" aca="1" ref="AC11" ca="1">InverseLookup($A11,Assumptions!$Z$2,Assumptions!$A$2,1,Helper!$B$6,",")</f>
        <v/>
      </c>
      <c r="AD11" s="11" t="str" cm="1">
        <f t="array" aca="1" ref="AD11" ca="1">IF($V11,
CreateSearchString(SUBSTITUTE($T11,"§","")),
"")</f>
        <v/>
      </c>
      <c r="AE11" s="11" t="b">
        <f t="shared" ca="1" si="2"/>
        <v>0</v>
      </c>
      <c r="AF11" s="11" t="str" cm="1">
        <f t="array" aca="1" ref="AF11" ca="1">_xlfn.SWITCH($N11,
"*","",
"","",
_xlfn.LET(
_xlpm._answers,SUBSTITUTE(SanitizeInput($N11),"&amp;",","),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IF(_xlpm._questionIDUndefined,$A11&amp;" - "&amp;_xlpm._question&amp;": ERROR: Unknown question ID.",
        IF(_xlpm._firstAnswerIsValidOption,"",$A11&amp;" - "&amp;_xlpm._question&amp;": First answer ("&amp;_xlpm._firstAnswer&amp;") is not a valid option.")&amp;
        IF(_xlpm._secondAnswerRequired,IF(_xlpm._secondAnswerProvided,"",$A11&amp;" - "&amp;_xlpm._question&amp;": Second answer required but not provided."),"")&amp;
        IF(NOT(_xlpm._secondAnswerRequired),IF(_xlpm._secondAnswerProvided,$A11&amp;" - "&amp;_xlpm._question&amp;": Second answer ("&amp;_xlpm._secondAnswer&amp;") provided but the question only supports one answer.",""),"")&amp;
        IF(_xlpm._secondAnswerIsValidOption,"",$A11&amp;" - "&amp;_xlpm._question&amp;": Second answer ("&amp;_xlpm._secondAnswer&amp;") is not a valid option.")))),
  _xlfn.LAMBDA(_xlpm._x,_xlpm._y,_xlpm._x&amp;IF(_xlpm._x="","",CHAR(10))&amp;_xlpm._y))))</f>
        <v/>
      </c>
      <c r="AG11" s="11" cm="1">
        <f t="array" aca="1" ref="AG11" ca="1">CreateID($AG$2,$AF11&lt;&gt;"")</f>
        <v>0</v>
      </c>
      <c r="AH11" s="56"/>
      <c r="AI11" s="56"/>
      <c r="AJ11" s="56"/>
    </row>
    <row r="12" spans="1:36" ht="90.75" x14ac:dyDescent="0.25">
      <c r="A12" s="10" t="s">
        <v>93</v>
      </c>
      <c r="B12" s="10" t="s">
        <v>96</v>
      </c>
      <c r="C12" s="10" t="s">
        <v>1564</v>
      </c>
      <c r="D12" s="16" t="str" cm="1">
        <f t="array" aca="1" ref="D12" ca="1">LookupNames($C12,$A:$B)</f>
        <v>AS3 Compromising the product using a software vulnerability,
AS18 Abusing the software update functionality to manipulate the product</v>
      </c>
      <c r="E12" s="10" t="s">
        <v>907</v>
      </c>
      <c r="F12" s="16" t="str" cm="1">
        <f t="array" aca="1" ref="F12" ca="1">RemoveDelimiter(GetValues(SanitizeInput($E12),Questions!$A:$B,"   ",CHAR(10),TRUE),CHAR(10))</f>
        <v>QI10   Can a manipulated product (or its communication) endanger the health of people? Also consider cases where the product is used against its intended use or misconfigured!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12" s="13" t="str" cm="1">
        <f t="array" aca="1" ref="G12" ca="1">LookupNames($U12,'Damage Scenarios'!$A:$J)</f>
        <v/>
      </c>
      <c r="H12" s="10" t="s">
        <v>104</v>
      </c>
      <c r="I12" s="10" t="s">
        <v>112</v>
      </c>
      <c r="J12" s="10" t="s">
        <v>116</v>
      </c>
      <c r="K12" s="10"/>
      <c r="L12" s="10"/>
      <c r="M12" s="91" t="str">
        <f ca="1">IF($A12="","",IFERROR(VLOOKUP($Y12,Definitions!$V:$W,COLUMNS(Definitions!$V:$W),TRUE),""))</f>
        <v>Enhanced-Basic</v>
      </c>
      <c r="N12" s="10"/>
      <c r="O12" s="25" t="str" cm="1">
        <f t="array" ref="O12">OperateOnList(
  SanitizeInput($N12),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P12" s="10" t="s">
        <v>476</v>
      </c>
      <c r="Q12" s="10" t="s">
        <v>169</v>
      </c>
      <c r="R12" s="9" cm="1">
        <f t="array" aca="1" ref="R12" ca="1">CreateID($R$2,$A12&lt;&gt;"")</f>
        <v>10</v>
      </c>
      <c r="S12" s="11" t="b">
        <f>OR(CheckRelevance(SanitizeInput(N12),Questionnaire!$J:$J),CheckRelevance(SanitizeInput(N12),Questionnaire!$K:$K))</f>
        <v>0</v>
      </c>
      <c r="T12" s="11" t="str" cm="1">
        <f t="array" aca="1" ref="T12" ca="1">IF(AND($N12&lt;&gt;"",$S12=FALSE),"",
IF(AND($S12,$C12=""),$A12&amp;",§","")&amp;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GenerateAttackPaths(RemoveFirstElement(_xlpm._in),_xlpm._apRange,_xlpm._ownID))))(SanitizeInput($C12),$A:$T,$A12))</f>
        <v/>
      </c>
      <c r="U12" s="11" t="str" cm="1">
        <f t="array" aca="1" ref="U12" ca="1">GetValues(SanitizeInput($E12),'Damage Scenarios'!$B:$T,"",",",FALSE)</f>
        <v/>
      </c>
      <c r="V12" s="11" t="b">
        <f t="shared" ca="1" si="0"/>
        <v>0</v>
      </c>
      <c r="W12" s="11" cm="1">
        <f t="array" aca="1" ref="W12" ca="1">CreateID($W$2,$V12)</f>
        <v>0</v>
      </c>
      <c r="X12" s="11">
        <f t="shared" ca="1" si="1"/>
        <v>0</v>
      </c>
      <c r="Y12" s="11" cm="1">
        <f t="array" aca="1" ref="Y12" ca="1">OperateOnRange(
  $H12,
  TRUE,
  Helper!$B$16,
  0,
  _xlfn.LAMBDA(_xlpm._factor,IF(_xlpm._factor="",0,SimpleLookup(_xlpm._factor,Definitions!$Z:$AA))),
  _xlfn.LAMBDA(_xlpm._x,_xlpm._y,_xlpm._x+_xlpm._y))</f>
        <v>10</v>
      </c>
      <c r="Z12" s="11" cm="1">
        <f t="array" ref="Z12">CreateTaskID($Z$2,$Z:$Z,Tasks!$B$17,$Q12)</f>
        <v>0</v>
      </c>
      <c r="AA12" s="11" t="str" cm="1">
        <f t="array" aca="1" ref="AA12" ca="1">InverseLookup($A12,Countermeasures!$Y$2,Countermeasures!$A$2,1,Helper!$B$4,",")</f>
        <v/>
      </c>
      <c r="AB12" s="11" t="str" cm="1">
        <f t="array" aca="1" ref="AB12" ca="1">InverseLookup($A12,Assumptions!$Y$2,Assumptions!$A$2,1,Helper!$B$6,",")</f>
        <v/>
      </c>
      <c r="AC12" s="11" t="str" cm="1">
        <f t="array" aca="1" ref="AC12" ca="1">InverseLookup($A12,Assumptions!$Z$2,Assumptions!$A$2,1,Helper!$B$6,",")</f>
        <v/>
      </c>
      <c r="AD12" s="11" t="str" cm="1">
        <f t="array" aca="1" ref="AD12" ca="1">IF($V12,
CreateSearchString(SUBSTITUTE($T12,"§","")),
"")</f>
        <v/>
      </c>
      <c r="AE12" s="11" t="b">
        <f t="shared" ca="1" si="2"/>
        <v>0</v>
      </c>
      <c r="AF12" s="11" t="str" cm="1">
        <f t="array" ref="AF12">_xlfn.SWITCH($N12,
"*","",
"","",
_xlfn.LET(
_xlpm._answers,SUBSTITUTE(SanitizeInput($N12),"&amp;",","),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IF(_xlpm._questionIDUndefined,$A12&amp;" - "&amp;_xlpm._question&amp;": ERROR: Unknown question ID.",
        IF(_xlpm._firstAnswerIsValidOption,"",$A12&amp;" - "&amp;_xlpm._question&amp;": First answer ("&amp;_xlpm._firstAnswer&amp;") is not a valid option.")&amp;
        IF(_xlpm._secondAnswerRequired,IF(_xlpm._secondAnswerProvided,"",$A12&amp;" - "&amp;_xlpm._question&amp;": Second answer required but not provided."),"")&amp;
        IF(NOT(_xlpm._secondAnswerRequired),IF(_xlpm._secondAnswerProvided,$A12&amp;" - "&amp;_xlpm._question&amp;": Second answer ("&amp;_xlpm._secondAnswer&amp;") provided but the question only supports one answer.",""),"")&amp;
        IF(_xlpm._secondAnswerIsValidOption,"",$A12&amp;" - "&amp;_xlpm._question&amp;": Second answer ("&amp;_xlpm._secondAnswer&amp;") is not a valid option.")))),
  _xlfn.LAMBDA(_xlpm._x,_xlpm._y,_xlpm._x&amp;IF(_xlpm._x="","",CHAR(10))&amp;_xlpm._y))))</f>
        <v/>
      </c>
      <c r="AG12" s="11" cm="1">
        <f t="array" aca="1" ref="AG12" ca="1">CreateID($AG$2,$AF12&lt;&gt;"")</f>
        <v>0</v>
      </c>
      <c r="AH12" s="56"/>
      <c r="AI12" s="56"/>
      <c r="AJ12" s="56"/>
    </row>
    <row r="13" spans="1:36" ht="30" x14ac:dyDescent="0.25">
      <c r="A13" s="10" t="s">
        <v>97</v>
      </c>
      <c r="B13" s="10" t="s">
        <v>98</v>
      </c>
      <c r="C13" s="10" t="s">
        <v>1564</v>
      </c>
      <c r="D13" s="16" t="str" cm="1">
        <f t="array" aca="1" ref="D13" ca="1">LookupNames($C13,$A:$B)</f>
        <v>AS3 Compromising the product using a software vulnerability,
AS18 Abusing the software update functionality to manipulate the product</v>
      </c>
      <c r="E13" s="10" t="s">
        <v>902</v>
      </c>
      <c r="F13" s="16" t="str" cm="1">
        <f t="array" aca="1" ref="F13" ca="1">RemoveDelimiter(GetValues(SanitizeInput($E13),Questions!$A:$B,"   ",CHAR(10),TRUE),CHAR(10))</f>
        <v>QI14   Can a manipulated product affect the operation of its operational environment?</v>
      </c>
      <c r="G13" s="13" t="str" cm="1">
        <f t="array" aca="1" ref="G13" ca="1">LookupNames($U13,'Damage Scenarios'!$A:$J)</f>
        <v/>
      </c>
      <c r="H13" s="10"/>
      <c r="I13" s="10" t="s">
        <v>111</v>
      </c>
      <c r="J13" s="10"/>
      <c r="K13" s="10"/>
      <c r="L13" s="10"/>
      <c r="M13" s="91" t="str">
        <f ca="1">IF($A13="","",IFERROR(VLOOKUP($Y13,Definitions!$V:$W,COLUMNS(Definitions!$V:$W),TRUE),""))</f>
        <v>Basic</v>
      </c>
      <c r="N13" s="10"/>
      <c r="O13" s="25" t="str" cm="1">
        <f t="array" ref="O13">OperateOnList(
  SanitizeInput($N13),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P13" s="10" t="s">
        <v>455</v>
      </c>
      <c r="Q13" s="10" t="s">
        <v>167</v>
      </c>
      <c r="R13" s="9" cm="1">
        <f t="array" aca="1" ref="R13" ca="1">CreateID($R$2,$A13&lt;&gt;"")</f>
        <v>11</v>
      </c>
      <c r="S13" s="11" t="b">
        <f>OR(CheckRelevance(SanitizeInput(N13),Questionnaire!$J:$J),CheckRelevance(SanitizeInput(N13),Questionnaire!$K:$K))</f>
        <v>0</v>
      </c>
      <c r="T13" s="11" t="str" cm="1">
        <f t="array" aca="1" ref="T13" ca="1">IF(AND($N13&lt;&gt;"",$S13=FALSE),"",
IF(AND($S13,$C13=""),$A13&amp;",§","")&amp;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GenerateAttackPaths(RemoveFirstElement(_xlpm._in),_xlpm._apRange,_xlpm._ownID))))(SanitizeInput($C13),$A:$T,$A13))</f>
        <v/>
      </c>
      <c r="U13" s="11" t="str" cm="1">
        <f t="array" aca="1" ref="U13" ca="1">GetValues(SanitizeInput($E13),'Damage Scenarios'!$B:$T,"",",",FALSE)</f>
        <v/>
      </c>
      <c r="V13" s="11" t="b">
        <f t="shared" ca="1" si="0"/>
        <v>0</v>
      </c>
      <c r="W13" s="11" cm="1">
        <f t="array" aca="1" ref="W13" ca="1">CreateID($W$2,$V13)</f>
        <v>0</v>
      </c>
      <c r="X13" s="11">
        <f t="shared" ca="1" si="1"/>
        <v>0</v>
      </c>
      <c r="Y13" s="11" cm="1">
        <f t="array" aca="1" ref="Y13" ca="1">OperateOnRange(
  $H13,
  TRUE,
  Helper!$B$16,
  0,
  _xlfn.LAMBDA(_xlpm._factor,IF(_xlpm._factor="",0,SimpleLookup(_xlpm._factor,Definitions!$Z:$AA))),
  _xlfn.LAMBDA(_xlpm._x,_xlpm._y,_xlpm._x+_xlpm._y))</f>
        <v>3</v>
      </c>
      <c r="Z13" s="11" cm="1">
        <f t="array" ref="Z13">CreateTaskID($Z$2,$Z:$Z,Tasks!$B$17,$Q13)</f>
        <v>0</v>
      </c>
      <c r="AA13" s="11" t="str" cm="1">
        <f t="array" aca="1" ref="AA13" ca="1">InverseLookup($A13,Countermeasures!$Y$2,Countermeasures!$A$2,1,Helper!$B$4,",")</f>
        <v/>
      </c>
      <c r="AB13" s="11" t="str" cm="1">
        <f t="array" aca="1" ref="AB13" ca="1">InverseLookup($A13,Assumptions!$Y$2,Assumptions!$A$2,1,Helper!$B$6,",")</f>
        <v/>
      </c>
      <c r="AC13" s="11" t="str" cm="1">
        <f t="array" aca="1" ref="AC13" ca="1">InverseLookup($A13,Assumptions!$Z$2,Assumptions!$A$2,1,Helper!$B$6,",")</f>
        <v/>
      </c>
      <c r="AD13" s="11" t="str" cm="1">
        <f t="array" aca="1" ref="AD13" ca="1">IF($V13,
CreateSearchString(SUBSTITUTE($T13,"§","")),
"")</f>
        <v/>
      </c>
      <c r="AE13" s="11" t="b">
        <f t="shared" ca="1" si="2"/>
        <v>0</v>
      </c>
      <c r="AF13" s="11" t="str" cm="1">
        <f t="array" ref="AF13">_xlfn.SWITCH($N13,
"*","",
"","",
_xlfn.LET(
_xlpm._answers,SUBSTITUTE(SanitizeInput($N13),"&amp;",","),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IF(_xlpm._questionIDUndefined,$A13&amp;" - "&amp;_xlpm._question&amp;": ERROR: Unknown question ID.",
        IF(_xlpm._firstAnswerIsValidOption,"",$A13&amp;" - "&amp;_xlpm._question&amp;": First answer ("&amp;_xlpm._firstAnswer&amp;") is not a valid option.")&amp;
        IF(_xlpm._secondAnswerRequired,IF(_xlpm._secondAnswerProvided,"",$A13&amp;" - "&amp;_xlpm._question&amp;": Second answer required but not provided."),"")&amp;
        IF(NOT(_xlpm._secondAnswerRequired),IF(_xlpm._secondAnswerProvided,$A13&amp;" - "&amp;_xlpm._question&amp;": Second answer ("&amp;_xlpm._secondAnswer&amp;") provided but the question only supports one answer.",""),"")&amp;
        IF(_xlpm._secondAnswerIsValidOption,"",$A13&amp;" - "&amp;_xlpm._question&amp;": Second answer ("&amp;_xlpm._secondAnswer&amp;") is not a valid option.")))),
  _xlfn.LAMBDA(_xlpm._x,_xlpm._y,_xlpm._x&amp;IF(_xlpm._x="","",CHAR(10))&amp;_xlpm._y))))</f>
        <v/>
      </c>
      <c r="AG13" s="11" cm="1">
        <f t="array" aca="1" ref="AG13" ca="1">CreateID($AG$2,$AF13&lt;&gt;"")</f>
        <v>0</v>
      </c>
      <c r="AH13" s="56"/>
      <c r="AI13" s="56"/>
      <c r="AJ13" s="56"/>
    </row>
    <row r="14" spans="1:36" ht="45" x14ac:dyDescent="0.25">
      <c r="A14" s="10" t="s">
        <v>99</v>
      </c>
      <c r="B14" s="10" t="s">
        <v>785</v>
      </c>
      <c r="C14" s="10"/>
      <c r="D14" s="16" t="str" cm="1">
        <f t="array" ref="D14">LookupNames($C14,$A:$B)</f>
        <v/>
      </c>
      <c r="E14" s="10"/>
      <c r="F14" s="16" t="str" cm="1">
        <f t="array" ref="F14">RemoveDelimiter(GetValues(SanitizeInput($E14),Questions!$A:$B,"   ",CHAR(10),TRUE),CHAR(10))</f>
        <v/>
      </c>
      <c r="G14" s="13" t="str" cm="1">
        <f t="array" ref="G14">LookupNames($U14,'Damage Scenarios'!$A:$J)</f>
        <v/>
      </c>
      <c r="H14" s="10"/>
      <c r="I14" s="10" t="s">
        <v>111</v>
      </c>
      <c r="J14" s="10" t="s">
        <v>116</v>
      </c>
      <c r="K14" s="10"/>
      <c r="L14" s="10"/>
      <c r="M14" s="91" t="str">
        <f ca="1">IF($A14="","",IFERROR(VLOOKUP($Y14,Definitions!$V:$W,COLUMNS(Definitions!$V:$W),TRUE),""))</f>
        <v>Basic</v>
      </c>
      <c r="N14" s="10" t="s">
        <v>869</v>
      </c>
      <c r="O14" s="25" t="str" cm="1">
        <f t="array" aca="1" ref="O14" ca="1">OperateOnList(
  SanitizeInput($N14),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QA3 Does the product have a point-to-point connection to another device? [Yes]
» Is the connected device typically considered as trustworthy? [No]</v>
      </c>
      <c r="P14" s="10"/>
      <c r="Q14" s="10" t="s">
        <v>1488</v>
      </c>
      <c r="R14" s="9" cm="1">
        <f t="array" aca="1" ref="R14" ca="1">CreateID($R$2,$A14&lt;&gt;"")</f>
        <v>12</v>
      </c>
      <c r="S14" s="11" t="b">
        <f ca="1">OR(CheckRelevance(SanitizeInput(N14),Questionnaire!$J:$J),CheckRelevance(SanitizeInput(N14),Questionnaire!$K:$K))</f>
        <v>0</v>
      </c>
      <c r="T14" s="11" t="str" cm="1">
        <f t="array" aca="1" ref="T14" ca="1">IF(AND($N14&lt;&gt;"",$S14=FALSE),"",
IF(AND($S14,$C14=""),$A14&amp;",§","")&amp;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GenerateAttackPaths(RemoveFirstElement(_xlpm._in),_xlpm._apRange,_xlpm._ownID))))(SanitizeInput($C14),$A:$T,$A14))</f>
        <v/>
      </c>
      <c r="U14" s="11" t="str" cm="1">
        <f t="array" ref="U14">GetValues(SanitizeInput($E14),'Damage Scenarios'!$B:$T,"",",",FALSE)</f>
        <v/>
      </c>
      <c r="V14" s="11" t="b">
        <f t="shared" ca="1" si="0"/>
        <v>0</v>
      </c>
      <c r="W14" s="11" cm="1">
        <f t="array" aca="1" ref="W14" ca="1">CreateID($W$2,$V14)</f>
        <v>0</v>
      </c>
      <c r="X14" s="11">
        <f t="shared" ca="1" si="1"/>
        <v>0</v>
      </c>
      <c r="Y14" s="11" cm="1">
        <f t="array" aca="1" ref="Y14" ca="1">OperateOnRange(
  $H14,
  TRUE,
  Helper!$B$16,
  0,
  _xlfn.LAMBDA(_xlpm._factor,IF(_xlpm._factor="",0,SimpleLookup(_xlpm._factor,Definitions!$Z:$AA))),
  _xlfn.LAMBDA(_xlpm._x,_xlpm._y,_xlpm._x+_xlpm._y))</f>
        <v>6</v>
      </c>
      <c r="Z14" s="11" cm="1">
        <f t="array" ref="Z14">CreateTaskID($Z$2,$Z:$Z,Tasks!$B$17,$Q14)</f>
        <v>0</v>
      </c>
      <c r="AA14" s="11" t="str" cm="1">
        <f t="array" aca="1" ref="AA14" ca="1">InverseLookup($A14,Countermeasures!$Y$2,Countermeasures!$A$2,1,Helper!$B$4,",")</f>
        <v>C15,</v>
      </c>
      <c r="AB14" s="11" t="str" cm="1">
        <f t="array" aca="1" ref="AB14" ca="1">InverseLookup($A14,Assumptions!$Y$2,Assumptions!$A$2,1,Helper!$B$6,",")</f>
        <v/>
      </c>
      <c r="AC14" s="11" t="str" cm="1">
        <f t="array" aca="1" ref="AC14" ca="1">InverseLookup($A14,Assumptions!$Z$2,Assumptions!$A$2,1,Helper!$B$6,",")</f>
        <v/>
      </c>
      <c r="AD14" s="11" t="str" cm="1">
        <f t="array" aca="1" ref="AD14" ca="1">IF($V14,
CreateSearchString(SUBSTITUTE($T14,"§","")),
"")</f>
        <v/>
      </c>
      <c r="AE14" s="11" t="b">
        <f t="shared" ca="1" si="2"/>
        <v>0</v>
      </c>
      <c r="AF14" s="11" t="str" cm="1">
        <f t="array" aca="1" ref="AF14" ca="1">_xlfn.SWITCH($N14,
"*","",
"","",
_xlfn.LET(
_xlpm._answers,SUBSTITUTE(SanitizeInput($N14),"&amp;",","),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IF(_xlpm._questionIDUndefined,$A14&amp;" - "&amp;_xlpm._question&amp;": ERROR: Unknown question ID.",
        IF(_xlpm._firstAnswerIsValidOption,"",$A14&amp;" - "&amp;_xlpm._question&amp;": First answer ("&amp;_xlpm._firstAnswer&amp;") is not a valid option.")&amp;
        IF(_xlpm._secondAnswerRequired,IF(_xlpm._secondAnswerProvided,"",$A14&amp;" - "&amp;_xlpm._question&amp;": Second answer required but not provided."),"")&amp;
        IF(NOT(_xlpm._secondAnswerRequired),IF(_xlpm._secondAnswerProvided,$A14&amp;" - "&amp;_xlpm._question&amp;": Second answer ("&amp;_xlpm._secondAnswer&amp;") provided but the question only supports one answer.",""),"")&amp;
        IF(_xlpm._secondAnswerIsValidOption,"",$A14&amp;" - "&amp;_xlpm._question&amp;": Second answer ("&amp;_xlpm._secondAnswer&amp;") is not a valid option.")))),
  _xlfn.LAMBDA(_xlpm._x,_xlpm._y,_xlpm._x&amp;IF(_xlpm._x="","",CHAR(10))&amp;_xlpm._y))))</f>
        <v/>
      </c>
      <c r="AG14" s="11" cm="1">
        <f t="array" aca="1" ref="AG14" ca="1">CreateID($AG$2,$AF14&lt;&gt;"")</f>
        <v>0</v>
      </c>
      <c r="AH14" s="56"/>
      <c r="AI14" s="56"/>
      <c r="AJ14" s="56"/>
    </row>
    <row r="15" spans="1:36" ht="75" x14ac:dyDescent="0.25">
      <c r="A15" s="10" t="s">
        <v>101</v>
      </c>
      <c r="B15" s="10" t="s">
        <v>822</v>
      </c>
      <c r="C15" s="10"/>
      <c r="D15" s="16" t="str" cm="1">
        <f t="array" ref="D15">LookupNames($C15,$A:$B)</f>
        <v/>
      </c>
      <c r="E15" s="10"/>
      <c r="F15" s="16" t="str" cm="1">
        <f t="array" ref="F15">RemoveDelimiter(GetValues(SanitizeInput($E15),Questions!$A:$B,"   ",CHAR(10),TRUE),CHAR(10))</f>
        <v/>
      </c>
      <c r="G15" s="13" t="str" cm="1">
        <f t="array" ref="G15">LookupNames($U15,'Damage Scenarios'!$A:$J)</f>
        <v/>
      </c>
      <c r="H15" s="10"/>
      <c r="I15" s="10" t="s">
        <v>111</v>
      </c>
      <c r="J15" s="10"/>
      <c r="K15" s="10" t="s">
        <v>120</v>
      </c>
      <c r="L15" s="10"/>
      <c r="M15" s="91" t="str">
        <f ca="1">IF($A15="","",IFERROR(VLOOKUP($Y15,Definitions!$V:$W,COLUMNS(Definitions!$V:$W),TRUE),""))</f>
        <v>Basic</v>
      </c>
      <c r="N15" s="10" t="s">
        <v>882</v>
      </c>
      <c r="O15" s="25" t="str" cm="1">
        <f t="array" aca="1" ref="O15" ca="1">OperateOnList(
  SanitizeInput($N15),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QA4 Does the product have a direct connection to a local network? [Yes]
» Are the devices in the local network considered as trustworthy according to the intended use of the product? [No],
QA12 Does the product have a logical connection to a local network over a gateway? [Yes]
» Are the local network and the gateway considered as trustworthy? [No]</v>
      </c>
      <c r="P15" s="10"/>
      <c r="Q15" s="10" t="s">
        <v>171</v>
      </c>
      <c r="R15" s="9" cm="1">
        <f t="array" aca="1" ref="R15" ca="1">CreateID($R$2,$A15&lt;&gt;"")</f>
        <v>13</v>
      </c>
      <c r="S15" s="11" t="b">
        <f ca="1">OR(CheckRelevance(SanitizeInput(N15),Questionnaire!$J:$J),CheckRelevance(SanitizeInput(N15),Questionnaire!$K:$K))</f>
        <v>0</v>
      </c>
      <c r="T15" s="11" t="str" cm="1">
        <f t="array" aca="1" ref="T15" ca="1">IF(AND($N15&lt;&gt;"",$S15=FALSE),"",
IF(AND($S15,$C15=""),$A15&amp;",§","")&amp;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GenerateAttackPaths(RemoveFirstElement(_xlpm._in),_xlpm._apRange,_xlpm._ownID))))(SanitizeInput($C15),$A:$T,$A15))</f>
        <v/>
      </c>
      <c r="U15" s="11" t="str" cm="1">
        <f t="array" ref="U15">GetValues(SanitizeInput($E15),'Damage Scenarios'!$B:$T,"",",",FALSE)</f>
        <v/>
      </c>
      <c r="V15" s="11" t="b">
        <f t="shared" ca="1" si="0"/>
        <v>0</v>
      </c>
      <c r="W15" s="11" cm="1">
        <f t="array" aca="1" ref="W15" ca="1">CreateID($W$2,$V15)</f>
        <v>0</v>
      </c>
      <c r="X15" s="11">
        <f t="shared" ca="1" si="1"/>
        <v>0</v>
      </c>
      <c r="Y15" s="11" cm="1">
        <f t="array" aca="1" ref="Y15" ca="1">OperateOnRange(
  $H15,
  TRUE,
  Helper!$B$16,
  0,
  _xlfn.LAMBDA(_xlpm._factor,IF(_xlpm._factor="",0,SimpleLookup(_xlpm._factor,Definitions!$Z:$AA))),
  _xlfn.LAMBDA(_xlpm._x,_xlpm._y,_xlpm._x+_xlpm._y))</f>
        <v>4</v>
      </c>
      <c r="Z15" s="11" cm="1">
        <f t="array" ref="Z15">CreateTaskID($Z$2,$Z:$Z,Tasks!$B$17,$Q15)</f>
        <v>0</v>
      </c>
      <c r="AA15" s="11" t="str" cm="1">
        <f t="array" aca="1" ref="AA15" ca="1">InverseLookup($A15,Countermeasures!$Y$2,Countermeasures!$A$2,1,Helper!$B$4,",")</f>
        <v>C30,</v>
      </c>
      <c r="AB15" s="11" t="str" cm="1">
        <f t="array" aca="1" ref="AB15" ca="1">InverseLookup($A15,Assumptions!$Y$2,Assumptions!$A$2,1,Helper!$B$6,",")</f>
        <v/>
      </c>
      <c r="AC15" s="11" t="str" cm="1">
        <f t="array" aca="1" ref="AC15" ca="1">InverseLookup($A15,Assumptions!$Z$2,Assumptions!$A$2,1,Helper!$B$6,",")</f>
        <v/>
      </c>
      <c r="AD15" s="11" t="str" cm="1">
        <f t="array" aca="1" ref="AD15" ca="1">IF($V15,
CreateSearchString(SUBSTITUTE($T15,"§","")),
"")</f>
        <v/>
      </c>
      <c r="AE15" s="11" t="b">
        <f t="shared" ca="1" si="2"/>
        <v>0</v>
      </c>
      <c r="AF15" s="11" t="str" cm="1">
        <f t="array" aca="1" ref="AF15" ca="1">_xlfn.SWITCH($N15,
"*","",
"","",
_xlfn.LET(
_xlpm._answers,SUBSTITUTE(SanitizeInput($N15),"&amp;",","),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IF(_xlpm._questionIDUndefined,$A15&amp;" - "&amp;_xlpm._question&amp;": ERROR: Unknown question ID.",
        IF(_xlpm._firstAnswerIsValidOption,"",$A15&amp;" - "&amp;_xlpm._question&amp;": First answer ("&amp;_xlpm._firstAnswer&amp;") is not a valid option.")&amp;
        IF(_xlpm._secondAnswerRequired,IF(_xlpm._secondAnswerProvided,"",$A15&amp;" - "&amp;_xlpm._question&amp;": Second answer required but not provided."),"")&amp;
        IF(NOT(_xlpm._secondAnswerRequired),IF(_xlpm._secondAnswerProvided,$A15&amp;" - "&amp;_xlpm._question&amp;": Second answer ("&amp;_xlpm._secondAnswer&amp;") provided but the question only supports one answer.",""),"")&amp;
        IF(_xlpm._secondAnswerIsValidOption,"",$A15&amp;" - "&amp;_xlpm._question&amp;": Second answer ("&amp;_xlpm._secondAnswer&amp;") is not a valid option.")))),
  _xlfn.LAMBDA(_xlpm._x,_xlpm._y,_xlpm._x&amp;IF(_xlpm._x="","",CHAR(10))&amp;_xlpm._y))))</f>
        <v/>
      </c>
      <c r="AG15" s="11" cm="1">
        <f t="array" aca="1" ref="AG15" ca="1">CreateID($AG$2,$AF15&lt;&gt;"")</f>
        <v>0</v>
      </c>
      <c r="AH15" s="56"/>
      <c r="AI15" s="56"/>
      <c r="AJ15" s="56"/>
    </row>
    <row r="16" spans="1:36" ht="113.25" x14ac:dyDescent="0.25">
      <c r="A16" s="10" t="s">
        <v>172</v>
      </c>
      <c r="B16" s="10" t="s">
        <v>177</v>
      </c>
      <c r="C16" s="10" t="s">
        <v>827</v>
      </c>
      <c r="D16" s="16" t="str" cm="1">
        <f t="array" aca="1" ref="D16" ca="1">LookupNames($C16,$A:$B)</f>
        <v>AS1 Getting access to a trusted operational environment,
AS13 Attacking the product or its communication from an untrusted local network,
AS27 Getting physical access to the product's linked communication media (e.g., field buses)</v>
      </c>
      <c r="E16" s="10" t="s">
        <v>915</v>
      </c>
      <c r="F16" s="16" t="str" cm="1">
        <f t="array" aca="1" ref="F16" ca="1">RemoveDelimiter(GetValues(SanitizeInput($E16),Questions!$A:$B,"   ",CHAR(10),TRUE),CHAR(10))</f>
        <v>QI6   Can a loss of availability of the product (or its communication) endanger the health of people?
(Consider how the operational environment reacts to a loss of availability of the product.)
QI7   Is the availability of the product relevant for its operational environment?
QI8   Can a loss of availability allow an attacker access to assets of the customer (including physical access not detected by the &lt;&lt; OEM Name &gt;&gt; product)? Example: The product is used for access control.
QI9   Can a loss of availability cause contract-related fines (e.g., based on a service level agreement)?</v>
      </c>
      <c r="G16" s="13" t="str" cm="1">
        <f t="array" aca="1" ref="G16" ca="1">LookupNames($U16,'Damage Scenarios'!$A:$J)</f>
        <v/>
      </c>
      <c r="H16" s="10"/>
      <c r="I16" s="10" t="s">
        <v>111</v>
      </c>
      <c r="J16" s="10"/>
      <c r="K16" s="10"/>
      <c r="L16" s="10"/>
      <c r="M16" s="91" t="str">
        <f ca="1">IF($A16="","",IFERROR(VLOOKUP($Y16,Definitions!$V:$W,COLUMNS(Definitions!$V:$W),TRUE),""))</f>
        <v>Basic</v>
      </c>
      <c r="N16" s="10"/>
      <c r="O16" s="25" t="str" cm="1">
        <f t="array" ref="O16">OperateOnList(
  SanitizeInput($N16),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P16" s="10" t="s">
        <v>450</v>
      </c>
      <c r="Q16" s="10" t="s">
        <v>167</v>
      </c>
      <c r="R16" s="9" cm="1">
        <f t="array" aca="1" ref="R16" ca="1">CreateID($R$2,$A16&lt;&gt;"")</f>
        <v>14</v>
      </c>
      <c r="S16" s="11" t="b">
        <f>OR(CheckRelevance(SanitizeInput(N16),Questionnaire!$J:$J),CheckRelevance(SanitizeInput(N16),Questionnaire!$K:$K))</f>
        <v>0</v>
      </c>
      <c r="T16" s="11" t="str" cm="1">
        <f t="array" aca="1" ref="T16" ca="1">IF(AND($N16&lt;&gt;"",$S16=FALSE),"",
IF(AND($S16,$C16=""),$A16&amp;",§","")&amp;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GenerateAttackPaths(RemoveFirstElement(_xlpm._in),_xlpm._apRange,_xlpm._ownID))))(SanitizeInput($C16),$A:$T,$A16))</f>
        <v/>
      </c>
      <c r="U16" s="11" t="str" cm="1">
        <f t="array" aca="1" ref="U16" ca="1">GetValues(SanitizeInput($E16),'Damage Scenarios'!$B:$T,"",",",FALSE)</f>
        <v/>
      </c>
      <c r="V16" s="11" t="b">
        <f t="shared" ca="1" si="0"/>
        <v>0</v>
      </c>
      <c r="W16" s="11" cm="1">
        <f t="array" aca="1" ref="W16" ca="1">CreateID($W$2,$V16)</f>
        <v>0</v>
      </c>
      <c r="X16" s="11">
        <f t="shared" ca="1" si="1"/>
        <v>0</v>
      </c>
      <c r="Y16" s="11" cm="1">
        <f t="array" aca="1" ref="Y16" ca="1">OperateOnRange(
  $H16,
  TRUE,
  Helper!$B$16,
  0,
  _xlfn.LAMBDA(_xlpm._factor,IF(_xlpm._factor="",0,SimpleLookup(_xlpm._factor,Definitions!$Z:$AA))),
  _xlfn.LAMBDA(_xlpm._x,_xlpm._y,_xlpm._x+_xlpm._y))</f>
        <v>3</v>
      </c>
      <c r="Z16" s="11" cm="1">
        <f t="array" ref="Z16">CreateTaskID($Z$2,$Z:$Z,Tasks!$B$17,$Q16)</f>
        <v>0</v>
      </c>
      <c r="AA16" s="11" t="str" cm="1">
        <f t="array" aca="1" ref="AA16" ca="1">InverseLookup($A16,Countermeasures!$Y$2,Countermeasures!$A$2,1,Helper!$B$4,",")</f>
        <v/>
      </c>
      <c r="AB16" s="11" t="str" cm="1">
        <f t="array" aca="1" ref="AB16" ca="1">InverseLookup($A16,Assumptions!$Y$2,Assumptions!$A$2,1,Helper!$B$6,",")</f>
        <v/>
      </c>
      <c r="AC16" s="11" t="str" cm="1">
        <f t="array" aca="1" ref="AC16" ca="1">InverseLookup($A16,Assumptions!$Z$2,Assumptions!$A$2,1,Helper!$B$6,",")</f>
        <v>A44,</v>
      </c>
      <c r="AD16" s="11" t="str" cm="1">
        <f t="array" aca="1" ref="AD16" ca="1">IF($V16,
CreateSearchString(SUBSTITUTE($T16,"§","")),
"")</f>
        <v/>
      </c>
      <c r="AE16" s="11" t="b">
        <f t="shared" ca="1" si="2"/>
        <v>0</v>
      </c>
      <c r="AF16" s="11" t="str" cm="1">
        <f t="array" ref="AF16">_xlfn.SWITCH($N16,
"*","",
"","",
_xlfn.LET(
_xlpm._answers,SUBSTITUTE(SanitizeInput($N16),"&amp;",","),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IF(_xlpm._questionIDUndefined,$A16&amp;" - "&amp;_xlpm._question&amp;": ERROR: Unknown question ID.",
        IF(_xlpm._firstAnswerIsValidOption,"",$A16&amp;" - "&amp;_xlpm._question&amp;": First answer ("&amp;_xlpm._firstAnswer&amp;") is not a valid option.")&amp;
        IF(_xlpm._secondAnswerRequired,IF(_xlpm._secondAnswerProvided,"",$A16&amp;" - "&amp;_xlpm._question&amp;": Second answer required but not provided."),"")&amp;
        IF(NOT(_xlpm._secondAnswerRequired),IF(_xlpm._secondAnswerProvided,$A16&amp;" - "&amp;_xlpm._question&amp;": Second answer ("&amp;_xlpm._secondAnswer&amp;") provided but the question only supports one answer.",""),"")&amp;
        IF(_xlpm._secondAnswerIsValidOption,"",$A16&amp;" - "&amp;_xlpm._question&amp;": Second answer ("&amp;_xlpm._secondAnswer&amp;") is not a valid option.")))),
  _xlfn.LAMBDA(_xlpm._x,_xlpm._y,_xlpm._x&amp;IF(_xlpm._x="","",CHAR(10))&amp;_xlpm._y))))</f>
        <v/>
      </c>
      <c r="AG16" s="11" cm="1">
        <f t="array" aca="1" ref="AG16" ca="1">CreateID($AG$2,$AF16&lt;&gt;"")</f>
        <v>0</v>
      </c>
      <c r="AH16" s="56"/>
      <c r="AI16" s="56"/>
      <c r="AJ16" s="56"/>
    </row>
    <row r="17" spans="1:36" ht="48.75" x14ac:dyDescent="0.25">
      <c r="A17" s="10" t="s">
        <v>173</v>
      </c>
      <c r="B17" s="10" t="s">
        <v>833</v>
      </c>
      <c r="C17" s="10"/>
      <c r="D17" s="16" t="str" cm="1">
        <f t="array" ref="D17">LookupNames($C17,$A:$B)</f>
        <v/>
      </c>
      <c r="E17" s="10"/>
      <c r="F17" s="16" t="str" cm="1">
        <f t="array" ref="F17">RemoveDelimiter(GetValues(SanitizeInput($E17),Questions!$A:$B,"   ",CHAR(10),TRUE),CHAR(10))</f>
        <v/>
      </c>
      <c r="G17" s="13" t="str" cm="1">
        <f t="array" ref="G17">LookupNames($U17,'Damage Scenarios'!$A:$J)</f>
        <v/>
      </c>
      <c r="H17" s="10"/>
      <c r="I17" s="10" t="s">
        <v>111</v>
      </c>
      <c r="J17" s="10"/>
      <c r="K17" s="10" t="s">
        <v>119</v>
      </c>
      <c r="L17" s="10"/>
      <c r="M17" s="91" t="str">
        <f ca="1">IF($A17="","",IFERROR(VLOOKUP($Y17,Definitions!$V:$W,COLUMNS(Definitions!$V:$W),TRUE),""))</f>
        <v>Basic</v>
      </c>
      <c r="N17" s="10" t="s">
        <v>1061</v>
      </c>
      <c r="O17" s="25" t="str" cm="1">
        <f t="array" aca="1" ref="O17" ca="1">OperateOnList(
  SanitizeInput($N17),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QA6 Does the product have a direct connection to a mobile network / the Internet? [Yes],
QA10b Does the product communicate with an external system on the Internet (e.g., an untrusted 3rd party backend, a &lt;&lt; OEM Name &gt;&gt; cloud service, a &lt;&lt; OEM Name &gt;&gt; server system)? [Yes]
» Is the external system considered as trustworthy? In case of several systems, consider the worst case. [*]</v>
      </c>
      <c r="P17" s="10"/>
      <c r="Q17" s="10" t="s">
        <v>178</v>
      </c>
      <c r="R17" s="9" cm="1">
        <f t="array" aca="1" ref="R17" ca="1">CreateID($R$2,$A17&lt;&gt;"")</f>
        <v>15</v>
      </c>
      <c r="S17" s="11" t="b">
        <f ca="1">OR(CheckRelevance(SanitizeInput(N17),Questionnaire!$J:$J),CheckRelevance(SanitizeInput(N17),Questionnaire!$K:$K))</f>
        <v>0</v>
      </c>
      <c r="T17" s="11" t="str" cm="1">
        <f t="array" aca="1" ref="T17" ca="1">IF(AND($N17&lt;&gt;"",$S17=FALSE),"",
IF(AND($S17,$C17=""),$A17&amp;",§","")&amp;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GenerateAttackPaths(RemoveFirstElement(_xlpm._in),_xlpm._apRange,_xlpm._ownID))))(SanitizeInput($C17),$A:$T,$A17))</f>
        <v/>
      </c>
      <c r="U17" s="11" t="str" cm="1">
        <f t="array" ref="U17">GetValues(SanitizeInput($E17),'Damage Scenarios'!$B:$T,"",",",FALSE)</f>
        <v/>
      </c>
      <c r="V17" s="11" t="b">
        <f t="shared" ca="1" si="0"/>
        <v>0</v>
      </c>
      <c r="W17" s="11" cm="1">
        <f t="array" aca="1" ref="W17" ca="1">CreateID($W$2,$V17)</f>
        <v>0</v>
      </c>
      <c r="X17" s="11">
        <f t="shared" ca="1" si="1"/>
        <v>0</v>
      </c>
      <c r="Y17" s="11" cm="1">
        <f t="array" aca="1" ref="Y17" ca="1">OperateOnRange(
  $H17,
  TRUE,
  Helper!$B$16,
  0,
  _xlfn.LAMBDA(_xlpm._factor,IF(_xlpm._factor="",0,SimpleLookup(_xlpm._factor,Definitions!$Z:$AA))),
  _xlfn.LAMBDA(_xlpm._x,_xlpm._y,_xlpm._x+_xlpm._y))</f>
        <v>3</v>
      </c>
      <c r="Z17" s="11" cm="1">
        <f t="array" ref="Z17">CreateTaskID($Z$2,$Z:$Z,Tasks!$B$17,$Q17)</f>
        <v>0</v>
      </c>
      <c r="AA17" s="11" t="str" cm="1">
        <f t="array" aca="1" ref="AA17" ca="1">InverseLookup($A17,Countermeasures!$Y$2,Countermeasures!$A$2,1,Helper!$B$4,",")</f>
        <v>CM1,</v>
      </c>
      <c r="AB17" s="11" t="str" cm="1">
        <f t="array" aca="1" ref="AB17" ca="1">InverseLookup($A17,Assumptions!$Y$2,Assumptions!$A$2,1,Helper!$B$6,",")</f>
        <v/>
      </c>
      <c r="AC17" s="11" t="str" cm="1">
        <f t="array" aca="1" ref="AC17" ca="1">InverseLookup($A17,Assumptions!$Z$2,Assumptions!$A$2,1,Helper!$B$6,",")</f>
        <v/>
      </c>
      <c r="AD17" s="11" t="str" cm="1">
        <f t="array" aca="1" ref="AD17" ca="1">IF($V17,
CreateSearchString(SUBSTITUTE($T17,"§","")),
"")</f>
        <v/>
      </c>
      <c r="AE17" s="11" t="b">
        <f t="shared" ca="1" si="2"/>
        <v>0</v>
      </c>
      <c r="AF17" s="11" t="str" cm="1">
        <f t="array" aca="1" ref="AF17" ca="1">_xlfn.SWITCH($N17,
"*","",
"","",
_xlfn.LET(
_xlpm._answers,SUBSTITUTE(SanitizeInput($N17),"&amp;",","),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IF(_xlpm._questionIDUndefined,$A17&amp;" - "&amp;_xlpm._question&amp;": ERROR: Unknown question ID.",
        IF(_xlpm._firstAnswerIsValidOption,"",$A17&amp;" - "&amp;_xlpm._question&amp;": First answer ("&amp;_xlpm._firstAnswer&amp;") is not a valid option.")&amp;
        IF(_xlpm._secondAnswerRequired,IF(_xlpm._secondAnswerProvided,"",$A17&amp;" - "&amp;_xlpm._question&amp;": Second answer required but not provided."),"")&amp;
        IF(NOT(_xlpm._secondAnswerRequired),IF(_xlpm._secondAnswerProvided,$A17&amp;" - "&amp;_xlpm._question&amp;": Second answer ("&amp;_xlpm._secondAnswer&amp;") provided but the question only supports one answer.",""),"")&amp;
        IF(_xlpm._secondAnswerIsValidOption,"",$A17&amp;" - "&amp;_xlpm._question&amp;": Second answer ("&amp;_xlpm._secondAnswer&amp;") is not a valid option.")))),
  _xlfn.LAMBDA(_xlpm._x,_xlpm._y,_xlpm._x&amp;IF(_xlpm._x="","",CHAR(10))&amp;_xlpm._y))))</f>
        <v/>
      </c>
      <c r="AG17" s="11" cm="1">
        <f t="array" aca="1" ref="AG17" ca="1">CreateID($AG$2,$AF17&lt;&gt;"")</f>
        <v>0</v>
      </c>
      <c r="AH17" s="56"/>
      <c r="AI17" s="56"/>
      <c r="AJ17" s="56"/>
    </row>
    <row r="18" spans="1:36" ht="237" x14ac:dyDescent="0.25">
      <c r="A18" s="10" t="s">
        <v>174</v>
      </c>
      <c r="B18" s="10" t="s">
        <v>1196</v>
      </c>
      <c r="C18" s="10" t="s">
        <v>944</v>
      </c>
      <c r="D18" s="16" t="str" cm="1">
        <f t="array" aca="1" ref="D18" ca="1">LookupNames($C18,$A:$B)</f>
        <v>AS1 Getting access to a trusted operational environment,
AS2 Getting access to a wireless network,
AS9 Attacking the product's internal gateway from the Internet,
AS12 Compromising an untrusted device that communicates directly with the product,
AS13 Attacking the product or its communication from an untrusted local network,
AS15 Attacking the product from the Internet or a mobile network,
AS27 Getting physical access to the product's linked communication media (e.g., field buses),
AS28 Getting access to a trusted entity</v>
      </c>
      <c r="E18" s="10" t="s">
        <v>927</v>
      </c>
      <c r="F18" s="16" t="str" cm="1">
        <f t="array" aca="1" ref="F18" ca="1">RemoveDelimiter(GetValues(SanitizeInput($E18),Questions!$A:$B,"   ",CHAR(10),TRUE),CHAR(10))</f>
        <v>QI1   Does the product have / support cameras or other sensors that can potentially identify people? (Regarding "supporting a camera / sensor": only answer with Yes if attaching a camera / sensor is in the intended or foreseeable use of the product.)
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Note that this includes both &lt;&lt; OEM Name &gt;&gt; and customer IP.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18" s="13" t="str" cm="1">
        <f t="array" aca="1" ref="G18" ca="1">LookupNames($U18,'Damage Scenarios'!$A:$J)</f>
        <v/>
      </c>
      <c r="H18" s="10"/>
      <c r="I18" s="10" t="s">
        <v>111</v>
      </c>
      <c r="J18" s="10" t="s">
        <v>116</v>
      </c>
      <c r="K18" s="10"/>
      <c r="L18" s="10"/>
      <c r="M18" s="91" t="str">
        <f ca="1">IF($A18="","",IFERROR(VLOOKUP($Y18,Definitions!$V:$W,COLUMNS(Definitions!$V:$W),TRUE),""))</f>
        <v>Basic</v>
      </c>
      <c r="N18" s="10" t="s">
        <v>877</v>
      </c>
      <c r="O18" s="25" t="str" cm="1">
        <f t="array" aca="1" ref="O18" ca="1">OperateOnList(
  SanitizeInput($N18),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QA8 Does the product offer a configuration interface? [Yes]
» Is the configuration interface protected against unwanted write access? [*]</v>
      </c>
      <c r="P18" s="10" t="s">
        <v>477</v>
      </c>
      <c r="Q18" s="10" t="s">
        <v>1530</v>
      </c>
      <c r="R18" s="9" cm="1">
        <f t="array" aca="1" ref="R18" ca="1">CreateID($R$2,$A18&lt;&gt;"")</f>
        <v>16</v>
      </c>
      <c r="S18" s="11" t="b">
        <f ca="1">OR(CheckRelevance(SanitizeInput(N18),Questionnaire!$J:$J),CheckRelevance(SanitizeInput(N18),Questionnaire!$K:$K))</f>
        <v>0</v>
      </c>
      <c r="T18" s="11" t="str" cm="1">
        <f t="array" aca="1" ref="T18" ca="1">IF(AND($N18&lt;&gt;"",$S18=FALSE),"",
IF(AND($S18,$C18=""),$A18&amp;",§","")&amp;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GenerateAttackPaths(RemoveFirstElement(_xlpm._in),_xlpm._apRange,_xlpm._ownID))))(SanitizeInput($C18),$A:$T,$A18))</f>
        <v/>
      </c>
      <c r="U18" s="11" t="str" cm="1">
        <f t="array" aca="1" ref="U18" ca="1">GetValues(SanitizeInput($E18),'Damage Scenarios'!$B:$T,"",",",FALSE)</f>
        <v/>
      </c>
      <c r="V18" s="11" t="b">
        <f t="shared" ca="1" si="0"/>
        <v>0</v>
      </c>
      <c r="W18" s="11" cm="1">
        <f t="array" aca="1" ref="W18" ca="1">CreateID($W$2,$V18)</f>
        <v>0</v>
      </c>
      <c r="X18" s="11">
        <f t="shared" ca="1" si="1"/>
        <v>0</v>
      </c>
      <c r="Y18" s="11" cm="1">
        <f t="array" aca="1" ref="Y18" ca="1">OperateOnRange(
  $H18,
  TRUE,
  Helper!$B$16,
  0,
  _xlfn.LAMBDA(_xlpm._factor,IF(_xlpm._factor="",0,SimpleLookup(_xlpm._factor,Definitions!$Z:$AA))),
  _xlfn.LAMBDA(_xlpm._x,_xlpm._y,_xlpm._x+_xlpm._y))</f>
        <v>6</v>
      </c>
      <c r="Z18" s="11" cm="1">
        <f t="array" ref="Z18">CreateTaskID($Z$2,$Z:$Z,Tasks!$B$17,$Q18)</f>
        <v>0</v>
      </c>
      <c r="AA18" s="11" t="str" cm="1">
        <f t="array" aca="1" ref="AA18" ca="1">InverseLookup($A18,Countermeasures!$Y$2,Countermeasures!$A$2,1,Helper!$B$4,",")</f>
        <v>CM5,CM6,CM14,CM15,CM24,CM25,CM26,CM27,CM28,</v>
      </c>
      <c r="AB18" s="11" t="str" cm="1">
        <f t="array" aca="1" ref="AB18" ca="1">InverseLookup($A18,Assumptions!$Y$2,Assumptions!$A$2,1,Helper!$B$6,",")</f>
        <v/>
      </c>
      <c r="AC18" s="11" t="str" cm="1">
        <f t="array" aca="1" ref="AC18" ca="1">InverseLookup($A18,Assumptions!$Z$2,Assumptions!$A$2,1,Helper!$B$6,",")</f>
        <v/>
      </c>
      <c r="AD18" s="11" t="str" cm="1">
        <f t="array" aca="1" ref="AD18" ca="1">IF($V18,
CreateSearchString(SUBSTITUTE($T18,"§","")),
"")</f>
        <v/>
      </c>
      <c r="AE18" s="11" t="b">
        <f t="shared" ca="1" si="2"/>
        <v>0</v>
      </c>
      <c r="AF18" s="11" t="str" cm="1">
        <f t="array" aca="1" ref="AF18" ca="1">_xlfn.SWITCH($N18,
"*","",
"","",
_xlfn.LET(
_xlpm._answers,SUBSTITUTE(SanitizeInput($N18),"&amp;",","),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IF(_xlpm._questionIDUndefined,$A18&amp;" - "&amp;_xlpm._question&amp;": ERROR: Unknown question ID.",
        IF(_xlpm._firstAnswerIsValidOption,"",$A18&amp;" - "&amp;_xlpm._question&amp;": First answer ("&amp;_xlpm._firstAnswer&amp;") is not a valid option.")&amp;
        IF(_xlpm._secondAnswerRequired,IF(_xlpm._secondAnswerProvided,"",$A18&amp;" - "&amp;_xlpm._question&amp;": Second answer required but not provided."),"")&amp;
        IF(NOT(_xlpm._secondAnswerRequired),IF(_xlpm._secondAnswerProvided,$A18&amp;" - "&amp;_xlpm._question&amp;": Second answer ("&amp;_xlpm._secondAnswer&amp;") provided but the question only supports one answer.",""),"")&amp;
        IF(_xlpm._secondAnswerIsValidOption,"",$A18&amp;" - "&amp;_xlpm._question&amp;": Second answer ("&amp;_xlpm._secondAnswer&amp;") is not a valid option.")))),
  _xlfn.LAMBDA(_xlpm._x,_xlpm._y,_xlpm._x&amp;IF(_xlpm._x="","",CHAR(10))&amp;_xlpm._y))))</f>
        <v/>
      </c>
      <c r="AG18" s="11" cm="1">
        <f t="array" aca="1" ref="AG18" ca="1">CreateID($AG$2,$AF18&lt;&gt;"")</f>
        <v>0</v>
      </c>
      <c r="AH18" s="56"/>
      <c r="AI18" s="56"/>
      <c r="AJ18" s="56"/>
    </row>
    <row r="19" spans="1:36" ht="315.75" x14ac:dyDescent="0.25">
      <c r="A19" s="10" t="s">
        <v>175</v>
      </c>
      <c r="B19" s="10" t="s">
        <v>258</v>
      </c>
      <c r="C19" s="10"/>
      <c r="D19" s="16" t="str" cm="1">
        <f t="array" ref="D19">LookupNames($C19,$A:$B)</f>
        <v/>
      </c>
      <c r="E19" s="10" t="s">
        <v>916</v>
      </c>
      <c r="F19" s="16" t="str" cm="1">
        <f t="array" aca="1" ref="F19" ca="1">RemoveDelimiter(GetValues(SanitizeInput($E19),Questions!$A:$B,"   ",CHAR(10),TRUE),CHAR(10))</f>
        <v>QI6   Can a loss of availability of the product (or its communication) endanger the health of people?
(Consider how the operational environment reacts to a loss of availability of the product.)
QI7   Is the availability of the product relevant for its operational environment?
QI8   Can a loss of availability allow an attacker access to assets of the customer (including physical access not detected by the &lt;&lt; OEM Name &gt;&gt; product)? Example: The product is used for access control.
QI9   Can a loss of availability cause contract-related fines (e.g., based on a service level agreement)?
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Note that this includes both &lt;&lt; OEM Name &gt;&gt; and customer IP.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19" s="13" t="str" cm="1">
        <f t="array" aca="1" ref="G19" ca="1">LookupNames($U19,'Damage Scenarios'!$A:$J)</f>
        <v/>
      </c>
      <c r="H19" s="10" t="s">
        <v>104</v>
      </c>
      <c r="I19" s="10" t="s">
        <v>112</v>
      </c>
      <c r="J19" s="10" t="s">
        <v>116</v>
      </c>
      <c r="K19" s="10"/>
      <c r="L19" s="10"/>
      <c r="M19" s="91" t="str">
        <f ca="1">IF($A19="","",IFERROR(VLOOKUP($Y19,Definitions!$V:$W,COLUMNS(Definitions!$V:$W),TRUE),""))</f>
        <v>Enhanced-Basic</v>
      </c>
      <c r="N19" s="10" t="s">
        <v>1062</v>
      </c>
      <c r="O19" s="25" t="str" cm="1">
        <f t="array" aca="1" ref="O19" ca="1">OperateOnList(
  SanitizeInput($N19),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QA10a Does the product communicate with an external system locally (e.g., a USB stick, an SD card, an RFID tag)? [Yes]
» Is the external system considered as trustworthy? In case of several systems, consider the worst case. [No],
QA10b Does the product communicate with an external system on the Internet (e.g., an untrusted 3rd party backend, a &lt;&lt; OEM Name &gt;&gt; cloud service, a &lt;&lt; OEM Name &gt;&gt; server system)? [Yes]
» Is the external system considered as trustworthy? In case of several systems, consider the worst case. [No]</v>
      </c>
      <c r="P19" s="10" t="s">
        <v>453</v>
      </c>
      <c r="Q19" s="10" t="s">
        <v>847</v>
      </c>
      <c r="R19" s="9" cm="1">
        <f t="array" aca="1" ref="R19" ca="1">CreateID($R$2,$A19&lt;&gt;"")</f>
        <v>17</v>
      </c>
      <c r="S19" s="11" t="b">
        <f ca="1">OR(CheckRelevance(SanitizeInput(N19),Questionnaire!$J:$J),CheckRelevance(SanitizeInput(N19),Questionnaire!$K:$K))</f>
        <v>0</v>
      </c>
      <c r="T19" s="11" t="str" cm="1">
        <f t="array" aca="1" ref="T19" ca="1">IF(AND($N19&lt;&gt;"",$S19=FALSE),"",
IF(AND($S19,$C19=""),$A19&amp;",§","")&amp;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GenerateAttackPaths(RemoveFirstElement(_xlpm._in),_xlpm._apRange,_xlpm._ownID))))(SanitizeInput($C19),$A:$T,$A19))</f>
        <v/>
      </c>
      <c r="U19" s="11" t="str" cm="1">
        <f t="array" aca="1" ref="U19" ca="1">GetValues(SanitizeInput($E19),'Damage Scenarios'!$B:$T,"",",",FALSE)</f>
        <v/>
      </c>
      <c r="V19" s="11" t="b">
        <f t="shared" ca="1" si="0"/>
        <v>0</v>
      </c>
      <c r="W19" s="11" cm="1">
        <f t="array" aca="1" ref="W19" ca="1">CreateID($W$2,$V19)</f>
        <v>0</v>
      </c>
      <c r="X19" s="11">
        <f t="shared" ca="1" si="1"/>
        <v>0</v>
      </c>
      <c r="Y19" s="11" cm="1">
        <f t="array" aca="1" ref="Y19" ca="1">OperateOnRange(
  $H19,
  TRUE,
  Helper!$B$16,
  0,
  _xlfn.LAMBDA(_xlpm._factor,IF(_xlpm._factor="",0,SimpleLookup(_xlpm._factor,Definitions!$Z:$AA))),
  _xlfn.LAMBDA(_xlpm._x,_xlpm._y,_xlpm._x+_xlpm._y))</f>
        <v>10</v>
      </c>
      <c r="Z19" s="11" cm="1">
        <f t="array" ref="Z19">CreateTaskID($Z$2,$Z:$Z,Tasks!$B$17,$Q19)</f>
        <v>0</v>
      </c>
      <c r="AA19" s="11" t="str" cm="1">
        <f t="array" aca="1" ref="AA19" ca="1">InverseLookup($A19,Countermeasures!$Y$2,Countermeasures!$A$2,1,Helper!$B$4,",")</f>
        <v>C15,CM19,</v>
      </c>
      <c r="AB19" s="11" t="str" cm="1">
        <f t="array" aca="1" ref="AB19" ca="1">InverseLookup($A19,Assumptions!$Y$2,Assumptions!$A$2,1,Helper!$B$6,",")</f>
        <v/>
      </c>
      <c r="AC19" s="11" t="str" cm="1">
        <f t="array" aca="1" ref="AC19" ca="1">InverseLookup($A19,Assumptions!$Z$2,Assumptions!$A$2,1,Helper!$B$6,",")</f>
        <v/>
      </c>
      <c r="AD19" s="11" t="str" cm="1">
        <f t="array" aca="1" ref="AD19" ca="1">IF($V19,
CreateSearchString(SUBSTITUTE($T19,"§","")),
"")</f>
        <v/>
      </c>
      <c r="AE19" s="11" t="b">
        <f t="shared" ca="1" si="2"/>
        <v>0</v>
      </c>
      <c r="AF19" s="11" t="str" cm="1">
        <f t="array" aca="1" ref="AF19" ca="1">_xlfn.SWITCH($N19,
"*","",
"","",
_xlfn.LET(
_xlpm._answers,SUBSTITUTE(SanitizeInput($N19),"&amp;",","),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IF(_xlpm._questionIDUndefined,$A19&amp;" - "&amp;_xlpm._question&amp;": ERROR: Unknown question ID.",
        IF(_xlpm._firstAnswerIsValidOption,"",$A19&amp;" - "&amp;_xlpm._question&amp;": First answer ("&amp;_xlpm._firstAnswer&amp;") is not a valid option.")&amp;
        IF(_xlpm._secondAnswerRequired,IF(_xlpm._secondAnswerProvided,"",$A19&amp;" - "&amp;_xlpm._question&amp;": Second answer required but not provided."),"")&amp;
        IF(NOT(_xlpm._secondAnswerRequired),IF(_xlpm._secondAnswerProvided,$A19&amp;" - "&amp;_xlpm._question&amp;": Second answer ("&amp;_xlpm._secondAnswer&amp;") provided but the question only supports one answer.",""),"")&amp;
        IF(_xlpm._secondAnswerIsValidOption,"",$A19&amp;" - "&amp;_xlpm._question&amp;": Second answer ("&amp;_xlpm._secondAnswer&amp;") is not a valid option.")))),
  _xlfn.LAMBDA(_xlpm._x,_xlpm._y,_xlpm._x&amp;IF(_xlpm._x="","",CHAR(10))&amp;_xlpm._y))))</f>
        <v/>
      </c>
      <c r="AG19" s="11" cm="1">
        <f t="array" aca="1" ref="AG19" ca="1">CreateID($AG$2,$AF19&lt;&gt;"")</f>
        <v>0</v>
      </c>
      <c r="AH19" s="56"/>
      <c r="AI19" s="56"/>
      <c r="AJ19" s="56"/>
    </row>
    <row r="20" spans="1:36" ht="203.25" x14ac:dyDescent="0.25">
      <c r="A20" s="10" t="s">
        <v>176</v>
      </c>
      <c r="B20" s="10" t="s">
        <v>259</v>
      </c>
      <c r="C20" s="10" t="s">
        <v>263</v>
      </c>
      <c r="D20" s="16" t="str" cm="1">
        <f t="array" aca="1" ref="D20" ca="1">LookupNames($C20,$A:$B)</f>
        <v>AS19 Spoofing an entity sending a software update or manipulation of the update during transmission,
AS20 Providing a malicious software update from an untrusted source</v>
      </c>
      <c r="E20" s="10" t="s">
        <v>908</v>
      </c>
      <c r="F20" s="16" t="str" cm="1">
        <f t="array" aca="1" ref="F20" ca="1">RemoveDelimiter(GetValues(SanitizeInput($E20),Questions!$A:$B,"   ",CHAR(10),TRUE),CHAR(10))</f>
        <v>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Note that this includes both &lt;&lt; OEM Name &gt;&gt; and customer IP.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20" s="13" t="str" cm="1">
        <f t="array" aca="1" ref="G20" ca="1">LookupNames($U20,'Damage Scenarios'!$A:$J)</f>
        <v/>
      </c>
      <c r="H20" s="10" t="s">
        <v>105</v>
      </c>
      <c r="I20" s="10" t="s">
        <v>112</v>
      </c>
      <c r="J20" s="10" t="s">
        <v>116</v>
      </c>
      <c r="K20" s="10"/>
      <c r="L20" s="10"/>
      <c r="M20" s="91" t="str">
        <f ca="1">IF($A20="","",IFERROR(VLOOKUP($Y20,Definitions!$V:$W,COLUMNS(Definitions!$V:$W),TRUE),""))</f>
        <v>Enhanced-Basic</v>
      </c>
      <c r="N20" s="10"/>
      <c r="O20" s="25" t="str" cm="1">
        <f t="array" ref="O20">OperateOnList(
  SanitizeInput($N20),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P20" s="10" t="s">
        <v>477</v>
      </c>
      <c r="Q20" s="10" t="s">
        <v>265</v>
      </c>
      <c r="R20" s="9" cm="1">
        <f t="array" aca="1" ref="R20" ca="1">CreateID($R$2,$A20&lt;&gt;"")</f>
        <v>18</v>
      </c>
      <c r="S20" s="11" t="b">
        <f>OR(CheckRelevance(SanitizeInput(N20),Questionnaire!$J:$J),CheckRelevance(SanitizeInput(N20),Questionnaire!$K:$K))</f>
        <v>0</v>
      </c>
      <c r="T20" s="11" t="str" cm="1">
        <f t="array" aca="1" ref="T20" ca="1">IF(AND($N20&lt;&gt;"",$S20=FALSE),"",
IF(AND($S20,$C20=""),$A20&amp;",§","")&amp;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GenerateAttackPaths(RemoveFirstElement(_xlpm._in),_xlpm._apRange,_xlpm._ownID))))(SanitizeInput($C20),$A:$T,$A20))</f>
        <v/>
      </c>
      <c r="U20" s="11" t="str" cm="1">
        <f t="array" aca="1" ref="U20" ca="1">GetValues(SanitizeInput($E20),'Damage Scenarios'!$B:$T,"",",",FALSE)</f>
        <v/>
      </c>
      <c r="V20" s="11" t="b">
        <f t="shared" ca="1" si="0"/>
        <v>0</v>
      </c>
      <c r="W20" s="11" cm="1">
        <f t="array" aca="1" ref="W20" ca="1">CreateID($W$2,$V20)</f>
        <v>0</v>
      </c>
      <c r="X20" s="11">
        <f t="shared" ca="1" si="1"/>
        <v>0</v>
      </c>
      <c r="Y20" s="11" cm="1">
        <f t="array" aca="1" ref="Y20" ca="1">OperateOnRange(
  $H20,
  TRUE,
  Helper!$B$16,
  0,
  _xlfn.LAMBDA(_xlpm._factor,IF(_xlpm._factor="",0,SimpleLookup(_xlpm._factor,Definitions!$Z:$AA))),
  _xlfn.LAMBDA(_xlpm._x,_xlpm._y,_xlpm._x+_xlpm._y))</f>
        <v>13</v>
      </c>
      <c r="Z20" s="11" cm="1">
        <f t="array" ref="Z20">CreateTaskID($Z$2,$Z:$Z,Tasks!$B$17,$Q20)</f>
        <v>0</v>
      </c>
      <c r="AA20" s="11" t="str" cm="1">
        <f t="array" aca="1" ref="AA20" ca="1">InverseLookup($A20,Countermeasures!$Y$2,Countermeasures!$A$2,1,Helper!$B$4,",")</f>
        <v>CM12,</v>
      </c>
      <c r="AB20" s="11" t="str" cm="1">
        <f t="array" aca="1" ref="AB20" ca="1">InverseLookup($A20,Assumptions!$Y$2,Assumptions!$A$2,1,Helper!$B$6,",")</f>
        <v/>
      </c>
      <c r="AC20" s="11" t="str" cm="1">
        <f t="array" aca="1" ref="AC20" ca="1">InverseLookup($A20,Assumptions!$Z$2,Assumptions!$A$2,1,Helper!$B$6,",")</f>
        <v/>
      </c>
      <c r="AD20" s="11" t="str" cm="1">
        <f t="array" aca="1" ref="AD20" ca="1">IF($V20,
CreateSearchString(SUBSTITUTE($T20,"§","")),
"")</f>
        <v/>
      </c>
      <c r="AE20" s="11" t="b">
        <f t="shared" ca="1" si="2"/>
        <v>0</v>
      </c>
      <c r="AF20" s="11" t="str" cm="1">
        <f t="array" ref="AF20">_xlfn.SWITCH($N20,
"*","",
"","",
_xlfn.LET(
_xlpm._answers,SUBSTITUTE(SanitizeInput($N20),"&amp;",","),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IF(_xlpm._questionIDUndefined,$A20&amp;" - "&amp;_xlpm._question&amp;": ERROR: Unknown question ID.",
        IF(_xlpm._firstAnswerIsValidOption,"",$A20&amp;" - "&amp;_xlpm._question&amp;": First answer ("&amp;_xlpm._firstAnswer&amp;") is not a valid option.")&amp;
        IF(_xlpm._secondAnswerRequired,IF(_xlpm._secondAnswerProvided,"",$A20&amp;" - "&amp;_xlpm._question&amp;": Second answer required but not provided."),"")&amp;
        IF(NOT(_xlpm._secondAnswerRequired),IF(_xlpm._secondAnswerProvided,$A20&amp;" - "&amp;_xlpm._question&amp;": Second answer ("&amp;_xlpm._secondAnswer&amp;") provided but the question only supports one answer.",""),"")&amp;
        IF(_xlpm._secondAnswerIsValidOption,"",$A20&amp;" - "&amp;_xlpm._question&amp;": Second answer ("&amp;_xlpm._secondAnswer&amp;") is not a valid option.")))),
  _xlfn.LAMBDA(_xlpm._x,_xlpm._y,_xlpm._x&amp;IF(_xlpm._x="","",CHAR(10))&amp;_xlpm._y))))</f>
        <v/>
      </c>
      <c r="AG20" s="11" cm="1">
        <f t="array" aca="1" ref="AG20" ca="1">CreateID($AG$2,$AF20&lt;&gt;"")</f>
        <v>0</v>
      </c>
      <c r="AH20" s="56"/>
      <c r="AI20" s="56"/>
      <c r="AJ20" s="56"/>
    </row>
    <row r="21" spans="1:36" ht="36.75" x14ac:dyDescent="0.25">
      <c r="A21" s="10" t="s">
        <v>260</v>
      </c>
      <c r="B21" s="10" t="s">
        <v>264</v>
      </c>
      <c r="C21" s="10" t="s">
        <v>84</v>
      </c>
      <c r="D21" s="16" t="str" cm="1">
        <f t="array" aca="1" ref="D21" ca="1">LookupNames($C21,$A:$B)</f>
        <v>AS7 Spoofing / tampering with the product's incoming communication</v>
      </c>
      <c r="E21" s="10"/>
      <c r="F21" s="16" t="str" cm="1">
        <f t="array" ref="F21">RemoveDelimiter(GetValues(SanitizeInput($E21),Questions!$A:$B,"   ",CHAR(10),TRUE),CHAR(10))</f>
        <v/>
      </c>
      <c r="G21" s="13" t="str" cm="1">
        <f t="array" ref="G21">LookupNames($U21,'Damage Scenarios'!$A:$J)</f>
        <v/>
      </c>
      <c r="H21" s="10"/>
      <c r="I21" s="10"/>
      <c r="J21" s="10"/>
      <c r="K21" s="10"/>
      <c r="L21" s="10"/>
      <c r="M21" s="91" t="str">
        <f ca="1">IF($A21="","",IFERROR(VLOOKUP($Y21,Definitions!$V:$W,COLUMNS(Definitions!$V:$W),TRUE),""))</f>
        <v>Basic</v>
      </c>
      <c r="N21" s="10" t="s">
        <v>1188</v>
      </c>
      <c r="O21" s="25" t="str" cm="1">
        <f t="array" aca="1" ref="O21" ca="1">OperateOnList(
  SanitizeInput($N21),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QA11a Can the product's software be updated over an interface? [Yes]
» Does the software originate from a trustworthy source (e.g., the &lt;&lt; OEM Name &gt;&gt; backend, potentially over multiple communication media)? [*]</v>
      </c>
      <c r="P21" s="10"/>
      <c r="Q21" s="10"/>
      <c r="R21" s="9" cm="1">
        <f t="array" aca="1" ref="R21" ca="1">CreateID($R$2,$A21&lt;&gt;"")</f>
        <v>19</v>
      </c>
      <c r="S21" s="11" t="b">
        <f ca="1">OR(CheckRelevance(SanitizeInput(N21),Questionnaire!$J:$J),CheckRelevance(SanitizeInput(N21),Questionnaire!$K:$K))</f>
        <v>0</v>
      </c>
      <c r="T21" s="11" t="str" cm="1">
        <f t="array" aca="1" ref="T21" ca="1">IF(AND($N21&lt;&gt;"",$S21=FALSE),"",
IF(AND($S21,$C21=""),$A21&amp;",§","")&amp;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GenerateAttackPaths(RemoveFirstElement(_xlpm._in),_xlpm._apRange,_xlpm._ownID))))(SanitizeInput($C21),$A:$T,$A21))</f>
        <v/>
      </c>
      <c r="U21" s="11" t="str" cm="1">
        <f t="array" ref="U21">GetValues(SanitizeInput($E21),'Damage Scenarios'!$B:$T,"",",",FALSE)</f>
        <v/>
      </c>
      <c r="V21" s="11" t="b">
        <f t="shared" ca="1" si="0"/>
        <v>0</v>
      </c>
      <c r="W21" s="11" cm="1">
        <f t="array" aca="1" ref="W21" ca="1">CreateID($W$2,$V21)</f>
        <v>0</v>
      </c>
      <c r="X21" s="11">
        <f t="shared" ca="1" si="1"/>
        <v>0</v>
      </c>
      <c r="Y21" s="11" cm="1">
        <f t="array" aca="1" ref="Y21" ca="1">OperateOnRange(
  $H21,
  TRUE,
  Helper!$B$16,
  0,
  _xlfn.LAMBDA(_xlpm._factor,IF(_xlpm._factor="",0,SimpleLookup(_xlpm._factor,Definitions!$Z:$AA))),
  _xlfn.LAMBDA(_xlpm._x,_xlpm._y,_xlpm._x+_xlpm._y))</f>
        <v>0</v>
      </c>
      <c r="Z21" s="11" cm="1">
        <f t="array" ref="Z21">CreateTaskID($Z$2,$Z:$Z,Tasks!$B$17,$Q21)</f>
        <v>0</v>
      </c>
      <c r="AA21" s="11" t="str" cm="1">
        <f t="array" aca="1" ref="AA21" ca="1">InverseLookup($A21,Countermeasures!$Y$2,Countermeasures!$A$2,1,Helper!$B$4,",")</f>
        <v>CM11,</v>
      </c>
      <c r="AB21" s="11" t="str" cm="1">
        <f t="array" aca="1" ref="AB21" ca="1">InverseLookup($A21,Assumptions!$Y$2,Assumptions!$A$2,1,Helper!$B$6,",")</f>
        <v/>
      </c>
      <c r="AC21" s="11" t="str" cm="1">
        <f t="array" aca="1" ref="AC21" ca="1">InverseLookup($A21,Assumptions!$Z$2,Assumptions!$A$2,1,Helper!$B$6,",")</f>
        <v/>
      </c>
      <c r="AD21" s="11" t="str" cm="1">
        <f t="array" aca="1" ref="AD21" ca="1">IF($V21,
CreateSearchString(SUBSTITUTE($T21,"§","")),
"")</f>
        <v/>
      </c>
      <c r="AE21" s="11" t="b">
        <f t="shared" ca="1" si="2"/>
        <v>0</v>
      </c>
      <c r="AF21" s="11" t="str" cm="1">
        <f t="array" aca="1" ref="AF21" ca="1">_xlfn.SWITCH($N21,
"*","",
"","",
_xlfn.LET(
_xlpm._answers,SUBSTITUTE(SanitizeInput($N21),"&amp;",","),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IF(_xlpm._questionIDUndefined,$A21&amp;" - "&amp;_xlpm._question&amp;": ERROR: Unknown question ID.",
        IF(_xlpm._firstAnswerIsValidOption,"",$A21&amp;" - "&amp;_xlpm._question&amp;": First answer ("&amp;_xlpm._firstAnswer&amp;") is not a valid option.")&amp;
        IF(_xlpm._secondAnswerRequired,IF(_xlpm._secondAnswerProvided,"",$A21&amp;" - "&amp;_xlpm._question&amp;": Second answer required but not provided."),"")&amp;
        IF(NOT(_xlpm._secondAnswerRequired),IF(_xlpm._secondAnswerProvided,$A21&amp;" - "&amp;_xlpm._question&amp;": Second answer ("&amp;_xlpm._secondAnswer&amp;") provided but the question only supports one answer.",""),"")&amp;
        IF(_xlpm._secondAnswerIsValidOption,"",$A21&amp;" - "&amp;_xlpm._question&amp;": Second answer ("&amp;_xlpm._secondAnswer&amp;") is not a valid option.")))),
  _xlfn.LAMBDA(_xlpm._x,_xlpm._y,_xlpm._x&amp;IF(_xlpm._x="","",CHAR(10))&amp;_xlpm._y))))</f>
        <v/>
      </c>
      <c r="AG21" s="11" cm="1">
        <f t="array" aca="1" ref="AG21" ca="1">CreateID($AG$2,$AF21&lt;&gt;"")</f>
        <v>0</v>
      </c>
      <c r="AH21" s="56"/>
      <c r="AI21" s="56"/>
      <c r="AJ21" s="56"/>
    </row>
    <row r="22" spans="1:36" ht="36.75" x14ac:dyDescent="0.25">
      <c r="A22" s="10" t="s">
        <v>261</v>
      </c>
      <c r="B22" s="10" t="s">
        <v>262</v>
      </c>
      <c r="C22" s="10"/>
      <c r="D22" s="16" t="str" cm="1">
        <f t="array" ref="D22">LookupNames($C22,$A:$B)</f>
        <v/>
      </c>
      <c r="E22" s="10"/>
      <c r="F22" s="16" t="str" cm="1">
        <f t="array" ref="F22">RemoveDelimiter(GetValues(SanitizeInput($E22),Questions!$A:$B,"   ",CHAR(10),TRUE),CHAR(10))</f>
        <v/>
      </c>
      <c r="G22" s="13" t="str" cm="1">
        <f t="array" ref="G22">LookupNames($U22,'Damage Scenarios'!$A:$J)</f>
        <v/>
      </c>
      <c r="H22" s="10"/>
      <c r="I22" s="10"/>
      <c r="J22" s="10"/>
      <c r="K22" s="10"/>
      <c r="L22" s="10"/>
      <c r="M22" s="91" t="str">
        <f ca="1">IF($A22="","",IFERROR(VLOOKUP($Y22,Definitions!$V:$W,COLUMNS(Definitions!$V:$W),TRUE),""))</f>
        <v>Basic</v>
      </c>
      <c r="N22" s="10" t="s">
        <v>1189</v>
      </c>
      <c r="O22" s="25" t="str" cm="1">
        <f t="array" aca="1" ref="O22" ca="1">OperateOnList(
  SanitizeInput($N22),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QA11a Can the product's software be updated over an interface? [Yes]
» Does the software originate from a trustworthy source (e.g., the &lt;&lt; OEM Name &gt;&gt; backend, potentially over multiple communication media)? [No]</v>
      </c>
      <c r="P22" s="10"/>
      <c r="Q22" s="10"/>
      <c r="R22" s="9" cm="1">
        <f t="array" aca="1" ref="R22" ca="1">CreateID($R$2,$A22&lt;&gt;"")</f>
        <v>20</v>
      </c>
      <c r="S22" s="11" t="b">
        <f ca="1">OR(CheckRelevance(SanitizeInput(N22),Questionnaire!$J:$J),CheckRelevance(SanitizeInput(N22),Questionnaire!$K:$K))</f>
        <v>0</v>
      </c>
      <c r="T22" s="11" t="str" cm="1">
        <f t="array" aca="1" ref="T22" ca="1">IF(AND($N22&lt;&gt;"",$S22=FALSE),"",
IF(AND($S22,$C22=""),$A22&amp;",§","")&amp;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GenerateAttackPaths(RemoveFirstElement(_xlpm._in),_xlpm._apRange,_xlpm._ownID))))(SanitizeInput($C22),$A:$T,$A22))</f>
        <v/>
      </c>
      <c r="U22" s="11" t="str" cm="1">
        <f t="array" ref="U22">GetValues(SanitizeInput($E22),'Damage Scenarios'!$B:$T,"",",",FALSE)</f>
        <v/>
      </c>
      <c r="V22" s="11" t="b">
        <f t="shared" ca="1" si="0"/>
        <v>0</v>
      </c>
      <c r="W22" s="11" cm="1">
        <f t="array" aca="1" ref="W22" ca="1">CreateID($W$2,$V22)</f>
        <v>0</v>
      </c>
      <c r="X22" s="11">
        <f t="shared" ca="1" si="1"/>
        <v>0</v>
      </c>
      <c r="Y22" s="11" cm="1">
        <f t="array" aca="1" ref="Y22" ca="1">OperateOnRange(
  $H22,
  TRUE,
  Helper!$B$16,
  0,
  _xlfn.LAMBDA(_xlpm._factor,IF(_xlpm._factor="",0,SimpleLookup(_xlpm._factor,Definitions!$Z:$AA))),
  _xlfn.LAMBDA(_xlpm._x,_xlpm._y,_xlpm._x+_xlpm._y))</f>
        <v>0</v>
      </c>
      <c r="Z22" s="11" cm="1">
        <f t="array" ref="Z22">CreateTaskID($Z$2,$Z:$Z,Tasks!$B$17,$Q22)</f>
        <v>0</v>
      </c>
      <c r="AA22" s="11" t="str" cm="1">
        <f t="array" aca="1" ref="AA22" ca="1">InverseLookup($A22,Countermeasures!$Y$2,Countermeasures!$A$2,1,Helper!$B$4,",")</f>
        <v/>
      </c>
      <c r="AB22" s="11" t="str" cm="1">
        <f t="array" aca="1" ref="AB22" ca="1">InverseLookup($A22,Assumptions!$Y$2,Assumptions!$A$2,1,Helper!$B$6,",")</f>
        <v/>
      </c>
      <c r="AC22" s="11" t="str" cm="1">
        <f t="array" aca="1" ref="AC22" ca="1">InverseLookup($A22,Assumptions!$Z$2,Assumptions!$A$2,1,Helper!$B$6,",")</f>
        <v/>
      </c>
      <c r="AD22" s="11" t="str" cm="1">
        <f t="array" aca="1" ref="AD22" ca="1">IF($V22,
CreateSearchString(SUBSTITUTE($T22,"§","")),
"")</f>
        <v/>
      </c>
      <c r="AE22" s="11" t="b">
        <f t="shared" ca="1" si="2"/>
        <v>0</v>
      </c>
      <c r="AF22" s="11" t="str" cm="1">
        <f t="array" aca="1" ref="AF22" ca="1">_xlfn.SWITCH($N22,
"*","",
"","",
_xlfn.LET(
_xlpm._answers,SUBSTITUTE(SanitizeInput($N22),"&amp;",","),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IF(_xlpm._questionIDUndefined,$A22&amp;" - "&amp;_xlpm._question&amp;": ERROR: Unknown question ID.",
        IF(_xlpm._firstAnswerIsValidOption,"",$A22&amp;" - "&amp;_xlpm._question&amp;": First answer ("&amp;_xlpm._firstAnswer&amp;") is not a valid option.")&amp;
        IF(_xlpm._secondAnswerRequired,IF(_xlpm._secondAnswerProvided,"",$A22&amp;" - "&amp;_xlpm._question&amp;": Second answer required but not provided."),"")&amp;
        IF(NOT(_xlpm._secondAnswerRequired),IF(_xlpm._secondAnswerProvided,$A22&amp;" - "&amp;_xlpm._question&amp;": Second answer ("&amp;_xlpm._secondAnswer&amp;") provided but the question only supports one answer.",""),"")&amp;
        IF(_xlpm._secondAnswerIsValidOption,"",$A22&amp;" - "&amp;_xlpm._question&amp;": Second answer ("&amp;_xlpm._secondAnswer&amp;") is not a valid option.")))),
  _xlfn.LAMBDA(_xlpm._x,_xlpm._y,_xlpm._x&amp;IF(_xlpm._x="","",CHAR(10))&amp;_xlpm._y))))</f>
        <v/>
      </c>
      <c r="AG22" s="11" cm="1">
        <f t="array" aca="1" ref="AG22" ca="1">CreateID($AG$2,$AF22&lt;&gt;"")</f>
        <v>0</v>
      </c>
      <c r="AH22" s="56"/>
      <c r="AI22" s="56"/>
      <c r="AJ22" s="56"/>
    </row>
    <row r="23" spans="1:36" x14ac:dyDescent="0.25">
      <c r="A23" s="10" t="s">
        <v>266</v>
      </c>
      <c r="B23" s="10" t="s">
        <v>268</v>
      </c>
      <c r="C23" s="10"/>
      <c r="D23" s="16" t="str" cm="1">
        <f t="array" ref="D23">LookupNames($C23,$A:$B)</f>
        <v/>
      </c>
      <c r="E23" s="10"/>
      <c r="F23" s="16" t="str" cm="1">
        <f t="array" ref="F23">RemoveDelimiter(GetValues(SanitizeInput($E23),Questions!$A:$B,"   ",CHAR(10),TRUE),CHAR(10))</f>
        <v/>
      </c>
      <c r="G23" s="13" t="str" cm="1">
        <f t="array" ref="G23">LookupNames($U23,'Damage Scenarios'!$A:$J)</f>
        <v/>
      </c>
      <c r="H23" s="10"/>
      <c r="I23" s="10"/>
      <c r="J23" s="10"/>
      <c r="K23" s="10" t="s">
        <v>120</v>
      </c>
      <c r="L23" s="10"/>
      <c r="M23" s="91" t="str">
        <f ca="1">IF($A23="","",IFERROR(VLOOKUP($Y23,Definitions!$V:$W,COLUMNS(Definitions!$V:$W),TRUE),""))</f>
        <v>Basic</v>
      </c>
      <c r="N23" s="10" t="s">
        <v>887</v>
      </c>
      <c r="O23" s="25" t="str" cm="1">
        <f t="array" aca="1" ref="O23" ca="1">OperateOnList(
  SanitizeInput($N23),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QA14 Is the product typically installed in a physically accessible position? [Yes]</v>
      </c>
      <c r="P23" s="10"/>
      <c r="Q23" s="10" t="s">
        <v>1531</v>
      </c>
      <c r="R23" s="9" cm="1">
        <f t="array" aca="1" ref="R23" ca="1">CreateID($R$2,$A23&lt;&gt;"")</f>
        <v>21</v>
      </c>
      <c r="S23" s="11" t="b">
        <f ca="1">OR(CheckRelevance(SanitizeInput(N23),Questionnaire!$J:$J),CheckRelevance(SanitizeInput(N23),Questionnaire!$K:$K))</f>
        <v>0</v>
      </c>
      <c r="T23" s="11" t="str" cm="1">
        <f t="array" aca="1" ref="T23" ca="1">IF(AND($N23&lt;&gt;"",$S23=FALSE),"",
IF(AND($S23,$C23=""),$A23&amp;",§","")&amp;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GenerateAttackPaths(RemoveFirstElement(_xlpm._in),_xlpm._apRange,_xlpm._ownID))))(SanitizeInput($C23),$A:$T,$A23))</f>
        <v/>
      </c>
      <c r="U23" s="11" t="str" cm="1">
        <f t="array" ref="U23">GetValues(SanitizeInput($E23),'Damage Scenarios'!$B:$T,"",",",FALSE)</f>
        <v/>
      </c>
      <c r="V23" s="11" t="b">
        <f t="shared" ca="1" si="0"/>
        <v>0</v>
      </c>
      <c r="W23" s="11" cm="1">
        <f t="array" aca="1" ref="W23" ca="1">CreateID($W$2,$V23)</f>
        <v>0</v>
      </c>
      <c r="X23" s="11">
        <f t="shared" ca="1" si="1"/>
        <v>0</v>
      </c>
      <c r="Y23" s="11" cm="1">
        <f t="array" aca="1" ref="Y23" ca="1">OperateOnRange(
  $H23,
  TRUE,
  Helper!$B$16,
  0,
  _xlfn.LAMBDA(_xlpm._factor,IF(_xlpm._factor="",0,SimpleLookup(_xlpm._factor,Definitions!$Z:$AA))),
  _xlfn.LAMBDA(_xlpm._x,_xlpm._y,_xlpm._x+_xlpm._y))</f>
        <v>1</v>
      </c>
      <c r="Z23" s="11" cm="1">
        <f t="array" ref="Z23">CreateTaskID($Z$2,$Z:$Z,Tasks!$B$17,$Q23)</f>
        <v>0</v>
      </c>
      <c r="AA23" s="11" t="str" cm="1">
        <f t="array" aca="1" ref="AA23" ca="1">InverseLookup($A23,Countermeasures!$Y$2,Countermeasures!$A$2,1,Helper!$B$4,",")</f>
        <v/>
      </c>
      <c r="AB23" s="11" t="str" cm="1">
        <f t="array" aca="1" ref="AB23" ca="1">InverseLookup($A23,Assumptions!$Y$2,Assumptions!$A$2,1,Helper!$B$6,",")</f>
        <v/>
      </c>
      <c r="AC23" s="11" t="str" cm="1">
        <f t="array" aca="1" ref="AC23" ca="1">InverseLookup($A23,Assumptions!$Z$2,Assumptions!$A$2,1,Helper!$B$6,",")</f>
        <v>A14,A15,A45,</v>
      </c>
      <c r="AD23" s="11" t="str" cm="1">
        <f t="array" aca="1" ref="AD23" ca="1">IF($V23,
CreateSearchString(SUBSTITUTE($T23,"§","")),
"")</f>
        <v/>
      </c>
      <c r="AE23" s="11" t="b">
        <f t="shared" ca="1" si="2"/>
        <v>0</v>
      </c>
      <c r="AF23" s="11" t="str" cm="1">
        <f t="array" aca="1" ref="AF23" ca="1">_xlfn.SWITCH($N23,
"*","",
"","",
_xlfn.LET(
_xlpm._answers,SUBSTITUTE(SanitizeInput($N23),"&amp;",","),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IF(_xlpm._questionIDUndefined,$A23&amp;" - "&amp;_xlpm._question&amp;": ERROR: Unknown question ID.",
        IF(_xlpm._firstAnswerIsValidOption,"",$A23&amp;" - "&amp;_xlpm._question&amp;": First answer ("&amp;_xlpm._firstAnswer&amp;") is not a valid option.")&amp;
        IF(_xlpm._secondAnswerRequired,IF(_xlpm._secondAnswerProvided,"",$A23&amp;" - "&amp;_xlpm._question&amp;": Second answer required but not provided."),"")&amp;
        IF(NOT(_xlpm._secondAnswerRequired),IF(_xlpm._secondAnswerProvided,$A23&amp;" - "&amp;_xlpm._question&amp;": Second answer ("&amp;_xlpm._secondAnswer&amp;") provided but the question only supports one answer.",""),"")&amp;
        IF(_xlpm._secondAnswerIsValidOption,"",$A23&amp;" - "&amp;_xlpm._question&amp;": Second answer ("&amp;_xlpm._secondAnswer&amp;") is not a valid option.")))),
  _xlfn.LAMBDA(_xlpm._x,_xlpm._y,_xlpm._x&amp;IF(_xlpm._x="","",CHAR(10))&amp;_xlpm._y))))</f>
        <v/>
      </c>
      <c r="AG23" s="11" cm="1">
        <f t="array" aca="1" ref="AG23" ca="1">CreateID($AG$2,$AF23&lt;&gt;"")</f>
        <v>0</v>
      </c>
      <c r="AH23" s="56"/>
      <c r="AI23" s="56"/>
      <c r="AJ23" s="56"/>
    </row>
    <row r="24" spans="1:36" ht="30" x14ac:dyDescent="0.25">
      <c r="A24" s="10" t="s">
        <v>267</v>
      </c>
      <c r="B24" s="10" t="s">
        <v>269</v>
      </c>
      <c r="C24" s="10"/>
      <c r="D24" s="16" t="str" cm="1">
        <f t="array" ref="D24">LookupNames($C24,$A:$B)</f>
        <v/>
      </c>
      <c r="E24" s="10"/>
      <c r="F24" s="16" t="str" cm="1">
        <f t="array" ref="F24">RemoveDelimiter(GetValues(SanitizeInput($E24),Questions!$A:$B,"   ",CHAR(10),TRUE),CHAR(10))</f>
        <v/>
      </c>
      <c r="G24" s="13" t="str" cm="1">
        <f t="array" ref="G24">LookupNames($U24,'Damage Scenarios'!$A:$J)</f>
        <v/>
      </c>
      <c r="H24" s="10"/>
      <c r="I24" s="10"/>
      <c r="J24" s="10"/>
      <c r="K24" s="10" t="s">
        <v>119</v>
      </c>
      <c r="L24" s="10"/>
      <c r="M24" s="91" t="str">
        <f ca="1">IF($A24="","",IFERROR(VLOOKUP($Y24,Definitions!$V:$W,COLUMNS(Definitions!$V:$W),TRUE),""))</f>
        <v>Basic</v>
      </c>
      <c r="N24" s="10" t="s">
        <v>888</v>
      </c>
      <c r="O24" s="25" t="str" cm="1">
        <f t="array" aca="1" ref="O24" ca="1">OperateOnList(
  SanitizeInput($N24),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QA14 Is the product typically installed in a physically accessible position? [*]</v>
      </c>
      <c r="P24" s="10"/>
      <c r="Q24" s="10" t="s">
        <v>443</v>
      </c>
      <c r="R24" s="9" cm="1">
        <f t="array" aca="1" ref="R24" ca="1">CreateID($R$2,$A24&lt;&gt;"")</f>
        <v>22</v>
      </c>
      <c r="S24" s="11" t="b">
        <f ca="1">OR(CheckRelevance(SanitizeInput(N24),Questionnaire!$J:$J),CheckRelevance(SanitizeInput(N24),Questionnaire!$K:$K))</f>
        <v>1</v>
      </c>
      <c r="T24" s="11" t="str" cm="1">
        <f t="array" aca="1" ref="T24" ca="1">IF(AND($N24&lt;&gt;"",$S24=FALSE),"",
IF(AND($S24,$C24=""),$A24&amp;",§","")&amp;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GenerateAttackPaths(RemoveFirstElement(_xlpm._in),_xlpm._apRange,_xlpm._ownID))))(SanitizeInput($C24),$A:$T,$A24))</f>
        <v>AS22,§</v>
      </c>
      <c r="U24" s="11" t="str" cm="1">
        <f t="array" ref="U24">GetValues(SanitizeInput($E24),'Damage Scenarios'!$B:$T,"",",",FALSE)</f>
        <v/>
      </c>
      <c r="V24" s="11" t="b">
        <f t="shared" ca="1" si="0"/>
        <v>0</v>
      </c>
      <c r="W24" s="11" cm="1">
        <f t="array" aca="1" ref="W24" ca="1">CreateID($W$2,$V24)</f>
        <v>0</v>
      </c>
      <c r="X24" s="11">
        <f t="shared" ca="1" si="1"/>
        <v>0</v>
      </c>
      <c r="Y24" s="11" cm="1">
        <f t="array" aca="1" ref="Y24" ca="1">OperateOnRange(
  $H24,
  TRUE,
  Helper!$B$16,
  0,
  _xlfn.LAMBDA(_xlpm._factor,IF(_xlpm._factor="",0,SimpleLookup(_xlpm._factor,Definitions!$Z:$AA))),
  _xlfn.LAMBDA(_xlpm._x,_xlpm._y,_xlpm._x+_xlpm._y))</f>
        <v>0</v>
      </c>
      <c r="Z24" s="11" cm="1">
        <f t="array" ref="Z24">CreateTaskID($Z$2,$Z:$Z,Tasks!$B$17,$Q24)</f>
        <v>0</v>
      </c>
      <c r="AA24" s="11" t="str" cm="1">
        <f t="array" aca="1" ref="AA24" ca="1">InverseLookup($A24,Countermeasures!$Y$2,Countermeasures!$A$2,1,Helper!$B$4,",")</f>
        <v>C3,</v>
      </c>
      <c r="AB24" s="11" t="str" cm="1">
        <f t="array" aca="1" ref="AB24" ca="1">InverseLookup($A24,Assumptions!$Y$2,Assumptions!$A$2,1,Helper!$B$6,",")</f>
        <v>A21,</v>
      </c>
      <c r="AC24" s="11" t="str" cm="1">
        <f t="array" aca="1" ref="AC24" ca="1">InverseLookup($A24,Assumptions!$Z$2,Assumptions!$A$2,1,Helper!$B$6,",")</f>
        <v>A21,A39,</v>
      </c>
      <c r="AD24" s="11" t="str" cm="1">
        <f t="array" aca="1" ref="AD24" ca="1">IF($V24,
CreateSearchString(SUBSTITUTE($T24,"§","")),
"")</f>
        <v/>
      </c>
      <c r="AE24" s="11" t="b">
        <f t="shared" ca="1" si="2"/>
        <v>0</v>
      </c>
      <c r="AF24" s="11" t="str" cm="1">
        <f t="array" aca="1" ref="AF24" ca="1">_xlfn.SWITCH($N24,
"*","",
"","",
_xlfn.LET(
_xlpm._answers,SUBSTITUTE(SanitizeInput($N24),"&amp;",","),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IF(_xlpm._questionIDUndefined,$A24&amp;" - "&amp;_xlpm._question&amp;": ERROR: Unknown question ID.",
        IF(_xlpm._firstAnswerIsValidOption,"",$A24&amp;" - "&amp;_xlpm._question&amp;": First answer ("&amp;_xlpm._firstAnswer&amp;") is not a valid option.")&amp;
        IF(_xlpm._secondAnswerRequired,IF(_xlpm._secondAnswerProvided,"",$A24&amp;" - "&amp;_xlpm._question&amp;": Second answer required but not provided."),"")&amp;
        IF(NOT(_xlpm._secondAnswerRequired),IF(_xlpm._secondAnswerProvided,$A24&amp;" - "&amp;_xlpm._question&amp;": Second answer ("&amp;_xlpm._secondAnswer&amp;") provided but the question only supports one answer.",""),"")&amp;
        IF(_xlpm._secondAnswerIsValidOption,"",$A24&amp;" - "&amp;_xlpm._question&amp;": Second answer ("&amp;_xlpm._secondAnswer&amp;") is not a valid option.")))),
  _xlfn.LAMBDA(_xlpm._x,_xlpm._y,_xlpm._x&amp;IF(_xlpm._x="","",CHAR(10))&amp;_xlpm._y))))</f>
        <v/>
      </c>
      <c r="AG24" s="11" cm="1">
        <f t="array" aca="1" ref="AG24" ca="1">CreateID($AG$2,$AF24&lt;&gt;"")</f>
        <v>0</v>
      </c>
      <c r="AH24" s="56"/>
      <c r="AI24" s="56"/>
      <c r="AJ24" s="56"/>
    </row>
    <row r="25" spans="1:36" ht="237" x14ac:dyDescent="0.25">
      <c r="A25" s="10" t="s">
        <v>270</v>
      </c>
      <c r="B25" s="10" t="s">
        <v>1040</v>
      </c>
      <c r="C25" s="10" t="s">
        <v>271</v>
      </c>
      <c r="D25" s="16" t="str" cm="1">
        <f t="array" aca="1" ref="D25" ca="1">LookupNames($C25,$A:$B)</f>
        <v>AS21 Gaining physical access to the product (3rd party),
AS22 Gaining physical access to the product (customer)</v>
      </c>
      <c r="E25" s="10" t="s">
        <v>927</v>
      </c>
      <c r="F25" s="16" t="str" cm="1">
        <f t="array" aca="1" ref="F25" ca="1">RemoveDelimiter(GetValues(SanitizeInput($E25),Questions!$A:$B,"   ",CHAR(10),TRUE),CHAR(10))</f>
        <v>QI1   Does the product have / support cameras or other sensors that can potentially identify people? (Regarding "supporting a camera / sensor": only answer with Yes if attaching a camera / sensor is in the intended or foreseeable use of the product.)
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Note that this includes both &lt;&lt; OEM Name &gt;&gt; and customer IP.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25" s="13" t="str" cm="1">
        <f t="array" aca="1" ref="G25" ca="1">LookupNames($U25,'Damage Scenarios'!$A:$J)</f>
        <v/>
      </c>
      <c r="H25" s="10" t="s">
        <v>104</v>
      </c>
      <c r="I25" s="10" t="s">
        <v>112</v>
      </c>
      <c r="J25" s="10" t="s">
        <v>116</v>
      </c>
      <c r="K25" s="10"/>
      <c r="L25" s="10"/>
      <c r="M25" s="91" t="str">
        <f ca="1">IF($A25="","",IFERROR(VLOOKUP($Y25,Definitions!$V:$W,COLUMNS(Definitions!$V:$W),TRUE),""))</f>
        <v>Enhanced-Basic</v>
      </c>
      <c r="N25" s="10"/>
      <c r="O25" s="25" t="str" cm="1">
        <f t="array" ref="O25">OperateOnList(
  SanitizeInput($N25),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P25" s="10" t="s">
        <v>453</v>
      </c>
      <c r="Q25" s="10" t="s">
        <v>849</v>
      </c>
      <c r="R25" s="9" cm="1">
        <f t="array" aca="1" ref="R25" ca="1">CreateID($R$2,$A25&lt;&gt;"")</f>
        <v>23</v>
      </c>
      <c r="S25" s="11" t="b">
        <f>OR(CheckRelevance(SanitizeInput(N25),Questionnaire!$J:$J),CheckRelevance(SanitizeInput(N25),Questionnaire!$K:$K))</f>
        <v>0</v>
      </c>
      <c r="T25" s="11" t="str" cm="1">
        <f t="array" aca="1" ref="T25" ca="1">IF(AND($N25&lt;&gt;"",$S25=FALSE),"",
IF(AND($S25,$C25=""),$A25&amp;",§","")&amp;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GenerateAttackPaths(RemoveFirstElement(_xlpm._in),_xlpm._apRange,_xlpm._ownID))))(SanitizeInput($C25),$A:$T,$A25))</f>
        <v>AS22,AS23,§</v>
      </c>
      <c r="U25" s="11" t="str" cm="1">
        <f t="array" aca="1" ref="U25" ca="1">GetValues(SanitizeInput($E25),'Damage Scenarios'!$B:$T,"",",",FALSE)</f>
        <v/>
      </c>
      <c r="V25" s="11" t="b">
        <f t="shared" ca="1" si="0"/>
        <v>0</v>
      </c>
      <c r="W25" s="11" cm="1">
        <f t="array" aca="1" ref="W25" ca="1">CreateID($W$2,$V25)</f>
        <v>0</v>
      </c>
      <c r="X25" s="11">
        <f t="shared" ca="1" si="1"/>
        <v>0</v>
      </c>
      <c r="Y25" s="11" cm="1">
        <f t="array" aca="1" ref="Y25" ca="1">OperateOnRange(
  $H25,
  TRUE,
  Helper!$B$16,
  0,
  _xlfn.LAMBDA(_xlpm._factor,IF(_xlpm._factor="",0,SimpleLookup(_xlpm._factor,Definitions!$Z:$AA))),
  _xlfn.LAMBDA(_xlpm._x,_xlpm._y,_xlpm._x+_xlpm._y))</f>
        <v>10</v>
      </c>
      <c r="Z25" s="11" cm="1">
        <f t="array" ref="Z25">CreateTaskID($Z$2,$Z:$Z,Tasks!$B$17,$Q25)</f>
        <v>0</v>
      </c>
      <c r="AA25" s="11" t="str" cm="1">
        <f t="array" aca="1" ref="AA25" ca="1">InverseLookup($A25,Countermeasures!$Y$2,Countermeasures!$A$2,1,Helper!$B$4,",")</f>
        <v>C30,C35,CM7,</v>
      </c>
      <c r="AB25" s="11" t="str" cm="1">
        <f t="array" aca="1" ref="AB25" ca="1">InverseLookup($A25,Assumptions!$Y$2,Assumptions!$A$2,1,Helper!$B$6,",")</f>
        <v/>
      </c>
      <c r="AC25" s="11" t="str" cm="1">
        <f t="array" aca="1" ref="AC25" ca="1">InverseLookup($A25,Assumptions!$Z$2,Assumptions!$A$2,1,Helper!$B$6,",")</f>
        <v/>
      </c>
      <c r="AD25" s="11" t="str" cm="1">
        <f t="array" aca="1" ref="AD25" ca="1">IF($V25,
CreateSearchString(SUBSTITUTE($T25,"§","")),
"")</f>
        <v/>
      </c>
      <c r="AE25" s="11" t="b">
        <f t="shared" ca="1" si="2"/>
        <v>0</v>
      </c>
      <c r="AF25" s="11" t="str" cm="1">
        <f t="array" ref="AF25">_xlfn.SWITCH($N25,
"*","",
"","",
_xlfn.LET(
_xlpm._answers,SUBSTITUTE(SanitizeInput($N25),"&amp;",","),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IF(_xlpm._questionIDUndefined,$A25&amp;" - "&amp;_xlpm._question&amp;": ERROR: Unknown question ID.",
        IF(_xlpm._firstAnswerIsValidOption,"",$A25&amp;" - "&amp;_xlpm._question&amp;": First answer ("&amp;_xlpm._firstAnswer&amp;") is not a valid option.")&amp;
        IF(_xlpm._secondAnswerRequired,IF(_xlpm._secondAnswerProvided,"",$A25&amp;" - "&amp;_xlpm._question&amp;": Second answer required but not provided."),"")&amp;
        IF(NOT(_xlpm._secondAnswerRequired),IF(_xlpm._secondAnswerProvided,$A25&amp;" - "&amp;_xlpm._question&amp;": Second answer ("&amp;_xlpm._secondAnswer&amp;") provided but the question only supports one answer.",""),"")&amp;
        IF(_xlpm._secondAnswerIsValidOption,"",$A25&amp;" - "&amp;_xlpm._question&amp;": Second answer ("&amp;_xlpm._secondAnswer&amp;") is not a valid option.")))),
  _xlfn.LAMBDA(_xlpm._x,_xlpm._y,_xlpm._x&amp;IF(_xlpm._x="","",CHAR(10))&amp;_xlpm._y))))</f>
        <v/>
      </c>
      <c r="AG25" s="11" cm="1">
        <f t="array" aca="1" ref="AG25" ca="1">CreateID($AG$2,$AF25&lt;&gt;"")</f>
        <v>0</v>
      </c>
      <c r="AH25" s="56"/>
      <c r="AI25" s="56"/>
      <c r="AJ25" s="56"/>
    </row>
    <row r="26" spans="1:36" ht="90.75" x14ac:dyDescent="0.25">
      <c r="A26" s="10" t="s">
        <v>272</v>
      </c>
      <c r="B26" s="10" t="s">
        <v>1041</v>
      </c>
      <c r="C26" s="10" t="s">
        <v>271</v>
      </c>
      <c r="D26" s="16" t="str" cm="1">
        <f t="array" aca="1" ref="D26" ca="1">LookupNames($C26,$A:$B)</f>
        <v>AS21 Gaining physical access to the product (3rd party),
AS22 Gaining physical access to the product (customer)</v>
      </c>
      <c r="E26" s="10" t="s">
        <v>924</v>
      </c>
      <c r="F26" s="16" t="str" cm="1">
        <f t="array" aca="1" ref="F26" ca="1">RemoveDelimiter(GetValues(SanitizeInput($E26),Questions!$A:$B,"   ",CHAR(10),TRUE),CHAR(10))</f>
        <v>QI2   Does the product process personal data?
Examples: address labels
QI4   Is &lt;&lt; OEM Name &gt;&gt; (typically) obliged to keep the processed / stored data (including third-party IP) confidential by contract or law? (Note that this concerns individual obligations, not the standard product warranty).
QI5   Does the product contain credentials / cryptographic keys that allow access to sensitive data or to systems in the product's operational environment? (Note: this includes cryptographic data introduced by the customer.)</v>
      </c>
      <c r="G26" s="13" t="str" cm="1">
        <f t="array" aca="1" ref="G26" ca="1">LookupNames($U26,'Damage Scenarios'!$A:$J)</f>
        <v/>
      </c>
      <c r="H26" s="10"/>
      <c r="I26" s="10" t="s">
        <v>112</v>
      </c>
      <c r="J26" s="10"/>
      <c r="K26" s="10"/>
      <c r="L26" s="10"/>
      <c r="M26" s="91" t="str">
        <f ca="1">IF($A26="","",IFERROR(VLOOKUP($Y26,Definitions!$V:$W,COLUMNS(Definitions!$V:$W),TRUE),""))</f>
        <v>Basic</v>
      </c>
      <c r="N26" s="10"/>
      <c r="O26" s="25" t="str" cm="1">
        <f t="array" ref="O26">OperateOnList(
  SanitizeInput($N26),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P26" s="10" t="s">
        <v>451</v>
      </c>
      <c r="Q26" s="10" t="s">
        <v>848</v>
      </c>
      <c r="R26" s="9" cm="1">
        <f t="array" aca="1" ref="R26" ca="1">CreateID($R$2,$A26&lt;&gt;"")</f>
        <v>24</v>
      </c>
      <c r="S26" s="11" t="b">
        <f>OR(CheckRelevance(SanitizeInput(N26),Questionnaire!$J:$J),CheckRelevance(SanitizeInput(N26),Questionnaire!$K:$K))</f>
        <v>0</v>
      </c>
      <c r="T26" s="11" t="str" cm="1">
        <f t="array" aca="1" ref="T26" ca="1">IF(AND($N26&lt;&gt;"",$S26=FALSE),"",
IF(AND($S26,$C26=""),$A26&amp;",§","")&amp;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GenerateAttackPaths(RemoveFirstElement(_xlpm._in),_xlpm._apRange,_xlpm._ownID))))(SanitizeInput($C26),$A:$T,$A26))</f>
        <v>AS22,AS24,§</v>
      </c>
      <c r="U26" s="11" t="str" cm="1">
        <f t="array" aca="1" ref="U26" ca="1">GetValues(SanitizeInput($E26),'Damage Scenarios'!$B:$T,"",",",FALSE)</f>
        <v/>
      </c>
      <c r="V26" s="11" t="b">
        <f t="shared" ca="1" si="0"/>
        <v>0</v>
      </c>
      <c r="W26" s="11" cm="1">
        <f t="array" aca="1" ref="W26" ca="1">CreateID($W$2,$V26)</f>
        <v>0</v>
      </c>
      <c r="X26" s="11">
        <f t="shared" ca="1" si="1"/>
        <v>0</v>
      </c>
      <c r="Y26" s="11" cm="1">
        <f t="array" aca="1" ref="Y26" ca="1">OperateOnRange(
  $H26,
  TRUE,
  Helper!$B$16,
  0,
  _xlfn.LAMBDA(_xlpm._factor,IF(_xlpm._factor="",0,SimpleLookup(_xlpm._factor,Definitions!$Z:$AA))),
  _xlfn.LAMBDA(_xlpm._x,_xlpm._y,_xlpm._x+_xlpm._y))</f>
        <v>6</v>
      </c>
      <c r="Z26" s="11" cm="1">
        <f t="array" ref="Z26">CreateTaskID($Z$2,$Z:$Z,Tasks!$B$17,$Q26)</f>
        <v>0</v>
      </c>
      <c r="AA26" s="11" t="str" cm="1">
        <f t="array" aca="1" ref="AA26" ca="1">InverseLookup($A26,Countermeasures!$Y$2,Countermeasures!$A$2,1,Helper!$B$4,",")</f>
        <v>CM4,</v>
      </c>
      <c r="AB26" s="11" t="str" cm="1">
        <f t="array" aca="1" ref="AB26" ca="1">InverseLookup($A26,Assumptions!$Y$2,Assumptions!$A$2,1,Helper!$B$6,",")</f>
        <v/>
      </c>
      <c r="AC26" s="11" t="str" cm="1">
        <f t="array" aca="1" ref="AC26" ca="1">InverseLookup($A26,Assumptions!$Z$2,Assumptions!$A$2,1,Helper!$B$6,",")</f>
        <v/>
      </c>
      <c r="AD26" s="11" t="str" cm="1">
        <f t="array" aca="1" ref="AD26" ca="1">IF($V26,
CreateSearchString(SUBSTITUTE($T26,"§","")),
"")</f>
        <v/>
      </c>
      <c r="AE26" s="11" t="b">
        <f t="shared" ca="1" si="2"/>
        <v>0</v>
      </c>
      <c r="AF26" s="11" t="str" cm="1">
        <f t="array" ref="AF26">_xlfn.SWITCH($N26,
"*","",
"","",
_xlfn.LET(
_xlpm._answers,SUBSTITUTE(SanitizeInput($N26),"&amp;",","),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IF(_xlpm._questionIDUndefined,$A26&amp;" - "&amp;_xlpm._question&amp;": ERROR: Unknown question ID.",
        IF(_xlpm._firstAnswerIsValidOption,"",$A26&amp;" - "&amp;_xlpm._question&amp;": First answer ("&amp;_xlpm._firstAnswer&amp;") is not a valid option.")&amp;
        IF(_xlpm._secondAnswerRequired,IF(_xlpm._secondAnswerProvided,"",$A26&amp;" - "&amp;_xlpm._question&amp;": Second answer required but not provided."),"")&amp;
        IF(NOT(_xlpm._secondAnswerRequired),IF(_xlpm._secondAnswerProvided,$A26&amp;" - "&amp;_xlpm._question&amp;": Second answer ("&amp;_xlpm._secondAnswer&amp;") provided but the question only supports one answer.",""),"")&amp;
        IF(_xlpm._secondAnswerIsValidOption,"",$A26&amp;" - "&amp;_xlpm._question&amp;": Second answer ("&amp;_xlpm._secondAnswer&amp;") is not a valid option.")))),
  _xlfn.LAMBDA(_xlpm._x,_xlpm._y,_xlpm._x&amp;IF(_xlpm._x="","",CHAR(10))&amp;_xlpm._y))))</f>
        <v/>
      </c>
      <c r="AG26" s="11" cm="1">
        <f t="array" aca="1" ref="AG26" ca="1">CreateID($AG$2,$AF26&lt;&gt;"")</f>
        <v>0</v>
      </c>
      <c r="AH26" s="56"/>
      <c r="AI26" s="56"/>
      <c r="AJ26" s="56"/>
    </row>
    <row r="27" spans="1:36" ht="237" x14ac:dyDescent="0.25">
      <c r="A27" s="10" t="s">
        <v>277</v>
      </c>
      <c r="B27" s="10" t="s">
        <v>278</v>
      </c>
      <c r="C27" s="10" t="s">
        <v>944</v>
      </c>
      <c r="D27" s="16" t="str" cm="1">
        <f t="array" aca="1" ref="D27" ca="1">LookupNames($C27,$A:$B)</f>
        <v>AS1 Getting access to a trusted operational environment,
AS2 Getting access to a wireless network,
AS9 Attacking the product's internal gateway from the Internet,
AS12 Compromising an untrusted device that communicates directly with the product,
AS13 Attacking the product or its communication from an untrusted local network,
AS15 Attacking the product from the Internet or a mobile network,
AS27 Getting physical access to the product's linked communication media (e.g., field buses),
AS28 Getting access to a trusted entity</v>
      </c>
      <c r="E27" s="10" t="s">
        <v>927</v>
      </c>
      <c r="F27" s="16" t="str" cm="1">
        <f t="array" aca="1" ref="F27" ca="1">RemoveDelimiter(GetValues(SanitizeInput($E27),Questions!$A:$B,"   ",CHAR(10),TRUE),CHAR(10))</f>
        <v>QI1   Does the product have / support cameras or other sensors that can potentially identify people? (Regarding "supporting a camera / sensor": only answer with Yes if attaching a camera / sensor is in the intended or foreseeable use of the product.)
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Note that this includes both &lt;&lt; OEM Name &gt;&gt; and customer IP.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27" s="13" t="str" cm="1">
        <f t="array" aca="1" ref="G27" ca="1">LookupNames($U27,'Damage Scenarios'!$A:$J)</f>
        <v/>
      </c>
      <c r="H27" s="10"/>
      <c r="I27" s="10"/>
      <c r="J27" s="10"/>
      <c r="K27" s="10"/>
      <c r="L27" s="10"/>
      <c r="M27" s="91" t="str">
        <f ca="1">IF($A27="","",IFERROR(VLOOKUP($Y27,Definitions!$V:$W,COLUMNS(Definitions!$V:$W),TRUE),""))</f>
        <v>Basic</v>
      </c>
      <c r="N27" s="10" t="s">
        <v>896</v>
      </c>
      <c r="O27" s="25" t="str" cm="1">
        <f t="array" aca="1" ref="O27" ca="1">OperateOnList(
  SanitizeInput($N27),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QA17 Does the product have debug / development interfaces (e.g., JTAG, root access over ssh)? [Yes]
» Is network access to the debug interface(s) possible? [Yes]</v>
      </c>
      <c r="P27" s="10" t="s">
        <v>477</v>
      </c>
      <c r="Q27" s="10"/>
      <c r="R27" s="9" cm="1">
        <f t="array" aca="1" ref="R27" ca="1">CreateID($R$2,$A27&lt;&gt;"")</f>
        <v>25</v>
      </c>
      <c r="S27" s="11" t="b">
        <f ca="1">OR(CheckRelevance(SanitizeInput(N27),Questionnaire!$J:$J),CheckRelevance(SanitizeInput(N27),Questionnaire!$K:$K))</f>
        <v>0</v>
      </c>
      <c r="T27" s="11" t="str" cm="1">
        <f t="array" aca="1" ref="T27" ca="1">IF(AND($N27&lt;&gt;"",$S27=FALSE),"",
IF(AND($S27,$C27=""),$A27&amp;",§","")&amp;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GenerateAttackPaths(RemoveFirstElement(_xlpm._in),_xlpm._apRange,_xlpm._ownID))))(SanitizeInput($C27),$A:$T,$A27))</f>
        <v/>
      </c>
      <c r="U27" s="11" t="str" cm="1">
        <f t="array" aca="1" ref="U27" ca="1">GetValues(SanitizeInput($E27),'Damage Scenarios'!$B:$T,"",",",FALSE)</f>
        <v/>
      </c>
      <c r="V27" s="11" t="b">
        <f t="shared" ca="1" si="0"/>
        <v>0</v>
      </c>
      <c r="W27" s="11" cm="1">
        <f t="array" aca="1" ref="W27" ca="1">CreateID($W$2,$V27)</f>
        <v>0</v>
      </c>
      <c r="X27" s="11">
        <f t="shared" ca="1" si="1"/>
        <v>0</v>
      </c>
      <c r="Y27" s="11" cm="1">
        <f t="array" aca="1" ref="Y27" ca="1">OperateOnRange(
  $H27,
  TRUE,
  Helper!$B$16,
  0,
  _xlfn.LAMBDA(_xlpm._factor,IF(_xlpm._factor="",0,SimpleLookup(_xlpm._factor,Definitions!$Z:$AA))),
  _xlfn.LAMBDA(_xlpm._x,_xlpm._y,_xlpm._x+_xlpm._y))</f>
        <v>0</v>
      </c>
      <c r="Z27" s="11" cm="1">
        <f t="array" ref="Z27">CreateTaskID($Z$2,$Z:$Z,Tasks!$B$17,$Q27)</f>
        <v>0</v>
      </c>
      <c r="AA27" s="11" t="str" cm="1">
        <f t="array" aca="1" ref="AA27" ca="1">InverseLookup($A27,Countermeasures!$Y$2,Countermeasures!$A$2,1,Helper!$B$4,",")</f>
        <v>C30,CM8,CM16,CM17,</v>
      </c>
      <c r="AB27" s="11" t="str" cm="1">
        <f t="array" aca="1" ref="AB27" ca="1">InverseLookup($A27,Assumptions!$Y$2,Assumptions!$A$2,1,Helper!$B$6,",")</f>
        <v/>
      </c>
      <c r="AC27" s="11" t="str" cm="1">
        <f t="array" aca="1" ref="AC27" ca="1">InverseLookup($A27,Assumptions!$Z$2,Assumptions!$A$2,1,Helper!$B$6,",")</f>
        <v/>
      </c>
      <c r="AD27" s="11" t="str" cm="1">
        <f t="array" aca="1" ref="AD27" ca="1">IF($V27,
CreateSearchString(SUBSTITUTE($T27,"§","")),
"")</f>
        <v/>
      </c>
      <c r="AE27" s="11" t="b">
        <f t="shared" ca="1" si="2"/>
        <v>0</v>
      </c>
      <c r="AF27" s="11" t="str" cm="1">
        <f t="array" aca="1" ref="AF27" ca="1">_xlfn.SWITCH($N27,
"*","",
"","",
_xlfn.LET(
_xlpm._answers,SUBSTITUTE(SanitizeInput($N27),"&amp;",","),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IF(_xlpm._questionIDUndefined,$A27&amp;" - "&amp;_xlpm._question&amp;": ERROR: Unknown question ID.",
        IF(_xlpm._firstAnswerIsValidOption,"",$A27&amp;" - "&amp;_xlpm._question&amp;": First answer ("&amp;_xlpm._firstAnswer&amp;") is not a valid option.")&amp;
        IF(_xlpm._secondAnswerRequired,IF(_xlpm._secondAnswerProvided,"",$A27&amp;" - "&amp;_xlpm._question&amp;": Second answer required but not provided."),"")&amp;
        IF(NOT(_xlpm._secondAnswerRequired),IF(_xlpm._secondAnswerProvided,$A27&amp;" - "&amp;_xlpm._question&amp;": Second answer ("&amp;_xlpm._secondAnswer&amp;") provided but the question only supports one answer.",""),"")&amp;
        IF(_xlpm._secondAnswerIsValidOption,"",$A27&amp;" - "&amp;_xlpm._question&amp;": Second answer ("&amp;_xlpm._secondAnswer&amp;") is not a valid option.")))),
  _xlfn.LAMBDA(_xlpm._x,_xlpm._y,_xlpm._x&amp;IF(_xlpm._x="","",CHAR(10))&amp;_xlpm._y))))</f>
        <v/>
      </c>
      <c r="AG27" s="11" cm="1">
        <f t="array" aca="1" ref="AG27" ca="1">CreateID($AG$2,$AF27&lt;&gt;"")</f>
        <v>0</v>
      </c>
      <c r="AH27" s="56"/>
      <c r="AI27" s="56"/>
      <c r="AJ27" s="56"/>
    </row>
    <row r="28" spans="1:36" ht="237" x14ac:dyDescent="0.25">
      <c r="A28" s="10" t="s">
        <v>279</v>
      </c>
      <c r="B28" s="10" t="s">
        <v>283</v>
      </c>
      <c r="C28" s="10" t="s">
        <v>271</v>
      </c>
      <c r="D28" s="16" t="str" cm="1">
        <f t="array" aca="1" ref="D28" ca="1">LookupNames($C28,$A:$B)</f>
        <v>AS21 Gaining physical access to the product (3rd party),
AS22 Gaining physical access to the product (customer)</v>
      </c>
      <c r="E28" s="10" t="s">
        <v>927</v>
      </c>
      <c r="F28" s="16" t="str" cm="1">
        <f t="array" aca="1" ref="F28" ca="1">RemoveDelimiter(GetValues(SanitizeInput($E28),Questions!$A:$B,"   ",CHAR(10),TRUE),CHAR(10))</f>
        <v>QI1   Does the product have / support cameras or other sensors that can potentially identify people? (Regarding "supporting a camera / sensor": only answer with Yes if attaching a camera / sensor is in the intended or foreseeable use of the product.)
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Note that this includes both &lt;&lt; OEM Name &gt;&gt; and customer IP.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28" s="13" t="str" cm="1">
        <f t="array" aca="1" ref="G28" ca="1">LookupNames($U28,'Damage Scenarios'!$A:$J)</f>
        <v/>
      </c>
      <c r="H28" s="10"/>
      <c r="I28" s="10" t="s">
        <v>111</v>
      </c>
      <c r="J28" s="10" t="s">
        <v>116</v>
      </c>
      <c r="K28" s="10"/>
      <c r="L28" s="10" t="s">
        <v>125</v>
      </c>
      <c r="M28" s="91" t="str">
        <f ca="1">IF($A28="","",IFERROR(VLOOKUP($Y28,Definitions!$V:$W,COLUMNS(Definitions!$V:$W),TRUE),""))</f>
        <v>Enhanced-Basic</v>
      </c>
      <c r="N28" s="10" t="s">
        <v>897</v>
      </c>
      <c r="O28" s="25" t="str" cm="1">
        <f t="array" aca="1" ref="O28" ca="1">OperateOnList(
  SanitizeInput($N28),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QA17 Does the product have debug / development interfaces (e.g., JTAG, root access over ssh)? [Yes]
» Is network access to the debug interface(s) possible? [*]</v>
      </c>
      <c r="P28" s="10" t="s">
        <v>477</v>
      </c>
      <c r="Q28" s="10" t="s">
        <v>1431</v>
      </c>
      <c r="R28" s="9" cm="1">
        <f t="array" aca="1" ref="R28" ca="1">CreateID($R$2,$A28&lt;&gt;"")</f>
        <v>26</v>
      </c>
      <c r="S28" s="11" t="b">
        <f ca="1">OR(CheckRelevance(SanitizeInput(N28),Questionnaire!$J:$J),CheckRelevance(SanitizeInput(N28),Questionnaire!$K:$K))</f>
        <v>0</v>
      </c>
      <c r="T28" s="11" t="str" cm="1">
        <f t="array" aca="1" ref="T28" ca="1">IF(AND($N28&lt;&gt;"",$S28=FALSE),"",
IF(AND($S28,$C28=""),$A28&amp;",§","")&amp;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GenerateAttackPaths(RemoveFirstElement(_xlpm._in),_xlpm._apRange,_xlpm._ownID))))(SanitizeInput($C28),$A:$T,$A28))</f>
        <v/>
      </c>
      <c r="U28" s="11" t="str" cm="1">
        <f t="array" aca="1" ref="U28" ca="1">GetValues(SanitizeInput($E28),'Damage Scenarios'!$B:$T,"",",",FALSE)</f>
        <v/>
      </c>
      <c r="V28" s="11" t="b">
        <f t="shared" ca="1" si="0"/>
        <v>0</v>
      </c>
      <c r="W28" s="11" cm="1">
        <f t="array" aca="1" ref="W28" ca="1">CreateID($W$2,$V28)</f>
        <v>0</v>
      </c>
      <c r="X28" s="11">
        <f t="shared" ca="1" si="1"/>
        <v>0</v>
      </c>
      <c r="Y28" s="11" cm="1">
        <f t="array" aca="1" ref="Y28" ca="1">OperateOnRange(
  $H28,
  TRUE,
  Helper!$B$16,
  0,
  _xlfn.LAMBDA(_xlpm._factor,IF(_xlpm._factor="",0,SimpleLookup(_xlpm._factor,Definitions!$Z:$AA))),
  _xlfn.LAMBDA(_xlpm._x,_xlpm._y,_xlpm._x+_xlpm._y))</f>
        <v>10</v>
      </c>
      <c r="Z28" s="11" cm="1">
        <f t="array" ref="Z28">CreateTaskID($Z$2,$Z:$Z,Tasks!$B$17,$Q28)</f>
        <v>0</v>
      </c>
      <c r="AA28" s="11" t="str" cm="1">
        <f t="array" aca="1" ref="AA28" ca="1">InverseLookup($A28,Countermeasures!$Y$2,Countermeasures!$A$2,1,Helper!$B$4,",")</f>
        <v>CM8,CM16,CM17,</v>
      </c>
      <c r="AB28" s="11" t="str" cm="1">
        <f t="array" aca="1" ref="AB28" ca="1">InverseLookup($A28,Assumptions!$Y$2,Assumptions!$A$2,1,Helper!$B$6,",")</f>
        <v/>
      </c>
      <c r="AC28" s="11" t="str" cm="1">
        <f t="array" aca="1" ref="AC28" ca="1">InverseLookup($A28,Assumptions!$Z$2,Assumptions!$A$2,1,Helper!$B$6,",")</f>
        <v/>
      </c>
      <c r="AD28" s="11" t="str" cm="1">
        <f t="array" aca="1" ref="AD28" ca="1">IF($V28,
CreateSearchString(SUBSTITUTE($T28,"§","")),
"")</f>
        <v/>
      </c>
      <c r="AE28" s="11" t="b">
        <f t="shared" ca="1" si="2"/>
        <v>0</v>
      </c>
      <c r="AF28" s="11" t="str" cm="1">
        <f t="array" aca="1" ref="AF28" ca="1">_xlfn.SWITCH($N28,
"*","",
"","",
_xlfn.LET(
_xlpm._answers,SUBSTITUTE(SanitizeInput($N28),"&amp;",","),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IF(_xlpm._questionIDUndefined,$A28&amp;" - "&amp;_xlpm._question&amp;": ERROR: Unknown question ID.",
        IF(_xlpm._firstAnswerIsValidOption,"",$A28&amp;" - "&amp;_xlpm._question&amp;": First answer ("&amp;_xlpm._firstAnswer&amp;") is not a valid option.")&amp;
        IF(_xlpm._secondAnswerRequired,IF(_xlpm._secondAnswerProvided,"",$A28&amp;" - "&amp;_xlpm._question&amp;": Second answer required but not provided."),"")&amp;
        IF(NOT(_xlpm._secondAnswerRequired),IF(_xlpm._secondAnswerProvided,$A28&amp;" - "&amp;_xlpm._question&amp;": Second answer ("&amp;_xlpm._secondAnswer&amp;") provided but the question only supports one answer.",""),"")&amp;
        IF(_xlpm._secondAnswerIsValidOption,"",$A28&amp;" - "&amp;_xlpm._question&amp;": Second answer ("&amp;_xlpm._secondAnswer&amp;") is not a valid option.")))),
  _xlfn.LAMBDA(_xlpm._x,_xlpm._y,_xlpm._x&amp;IF(_xlpm._x="","",CHAR(10))&amp;_xlpm._y))))</f>
        <v/>
      </c>
      <c r="AG28" s="11" cm="1">
        <f t="array" aca="1" ref="AG28" ca="1">CreateID($AG$2,$AF28&lt;&gt;"")</f>
        <v>0</v>
      </c>
      <c r="AH28" s="56"/>
      <c r="AI28" s="56"/>
      <c r="AJ28" s="56"/>
    </row>
    <row r="29" spans="1:36" ht="60.75" x14ac:dyDescent="0.25">
      <c r="A29" s="10" t="s">
        <v>284</v>
      </c>
      <c r="B29" s="10" t="s">
        <v>285</v>
      </c>
      <c r="C29" s="10"/>
      <c r="D29" s="16" t="str" cm="1">
        <f t="array" ref="D29">LookupNames($C29,$A:$B)</f>
        <v/>
      </c>
      <c r="E29" s="10"/>
      <c r="F29" s="16" t="str" cm="1">
        <f t="array" ref="F29">RemoveDelimiter(GetValues(SanitizeInput($E29),Questions!$A:$B,"   ",CHAR(10),TRUE),CHAR(10))</f>
        <v/>
      </c>
      <c r="G29" s="13" t="str" cm="1">
        <f t="array" ref="G29">LookupNames($U29,'Damage Scenarios'!$A:$J)</f>
        <v/>
      </c>
      <c r="H29" s="10"/>
      <c r="I29" s="10"/>
      <c r="J29" s="10"/>
      <c r="K29" s="10" t="s">
        <v>120</v>
      </c>
      <c r="L29" s="10" t="s">
        <v>125</v>
      </c>
      <c r="M29" s="91" t="str">
        <f ca="1">IF($A29="","",IFERROR(VLOOKUP($Y29,Definitions!$V:$W,COLUMNS(Definitions!$V:$W),TRUE),""))</f>
        <v>Basic</v>
      </c>
      <c r="N29" s="10" t="s">
        <v>871</v>
      </c>
      <c r="O29" s="25" t="str" cm="1">
        <f t="array" aca="1" ref="O29" ca="1">OperateOnList(
  SanitizeInput($N29),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QA3 Does the product have a point-to-point connection to another device? [Yes]
» Is the connected device typically considered as trustworthy? [*],
QA4 Does the product have a direct connection to a local network? [Yes]
» Are the devices in the local network considered as trustworthy according to the intended use of the product? [*]</v>
      </c>
      <c r="P29" s="10"/>
      <c r="Q29" s="10" t="s">
        <v>286</v>
      </c>
      <c r="R29" s="9" cm="1">
        <f t="array" aca="1" ref="R29" ca="1">CreateID($R$2,$A29&lt;&gt;"")</f>
        <v>27</v>
      </c>
      <c r="S29" s="11" t="b">
        <f ca="1">OR(CheckRelevance(SanitizeInput(N29),Questionnaire!$J:$J),CheckRelevance(SanitizeInput(N29),Questionnaire!$K:$K))</f>
        <v>0</v>
      </c>
      <c r="T29" s="11" t="str" cm="1">
        <f t="array" aca="1" ref="T29" ca="1">IF(AND($N29&lt;&gt;"",$S29=FALSE),"",
IF(AND($S29,$C29=""),$A29&amp;",§","")&amp;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GenerateAttackPaths(RemoveFirstElement(_xlpm._in),_xlpm._apRange,_xlpm._ownID))))(SanitizeInput($C29),$A:$T,$A29))</f>
        <v/>
      </c>
      <c r="U29" s="11" t="str" cm="1">
        <f t="array" ref="U29">GetValues(SanitizeInput($E29),'Damage Scenarios'!$B:$T,"",",",FALSE)</f>
        <v/>
      </c>
      <c r="V29" s="11" t="b">
        <f t="shared" ca="1" si="0"/>
        <v>0</v>
      </c>
      <c r="W29" s="11" cm="1">
        <f t="array" aca="1" ref="W29" ca="1">CreateID($W$2,$V29)</f>
        <v>0</v>
      </c>
      <c r="X29" s="11">
        <f t="shared" ca="1" si="1"/>
        <v>0</v>
      </c>
      <c r="Y29" s="11" cm="1">
        <f t="array" aca="1" ref="Y29" ca="1">OperateOnRange(
  $H29,
  TRUE,
  Helper!$B$16,
  0,
  _xlfn.LAMBDA(_xlpm._factor,IF(_xlpm._factor="",0,SimpleLookup(_xlpm._factor,Definitions!$Z:$AA))),
  _xlfn.LAMBDA(_xlpm._x,_xlpm._y,_xlpm._x+_xlpm._y))</f>
        <v>5</v>
      </c>
      <c r="Z29" s="11" cm="1">
        <f t="array" ref="Z29">CreateTaskID($Z$2,$Z:$Z,Tasks!$B$17,$Q29)</f>
        <v>0</v>
      </c>
      <c r="AA29" s="11" t="str" cm="1">
        <f t="array" aca="1" ref="AA29" ca="1">InverseLookup($A29,Countermeasures!$Y$2,Countermeasures!$A$2,1,Helper!$B$4,",")</f>
        <v/>
      </c>
      <c r="AB29" s="11" t="str" cm="1">
        <f t="array" aca="1" ref="AB29" ca="1">InverseLookup($A29,Assumptions!$Y$2,Assumptions!$A$2,1,Helper!$B$6,",")</f>
        <v/>
      </c>
      <c r="AC29" s="11" t="str" cm="1">
        <f t="array" aca="1" ref="AC29" ca="1">InverseLookup($A29,Assumptions!$Z$2,Assumptions!$A$2,1,Helper!$B$6,",")</f>
        <v>A16,</v>
      </c>
      <c r="AD29" s="11" t="str" cm="1">
        <f t="array" aca="1" ref="AD29" ca="1">IF($V29,
CreateSearchString(SUBSTITUTE($T29,"§","")),
"")</f>
        <v/>
      </c>
      <c r="AE29" s="11" t="b">
        <f t="shared" ca="1" si="2"/>
        <v>0</v>
      </c>
      <c r="AF29" s="11" t="str" cm="1">
        <f t="array" aca="1" ref="AF29" ca="1">_xlfn.SWITCH($N29,
"*","",
"","",
_xlfn.LET(
_xlpm._answers,SUBSTITUTE(SanitizeInput($N29),"&amp;",","),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IF(_xlpm._questionIDUndefined,$A29&amp;" - "&amp;_xlpm._question&amp;": ERROR: Unknown question ID.",
        IF(_xlpm._firstAnswerIsValidOption,"",$A29&amp;" - "&amp;_xlpm._question&amp;": First answer ("&amp;_xlpm._firstAnswer&amp;") is not a valid option.")&amp;
        IF(_xlpm._secondAnswerRequired,IF(_xlpm._secondAnswerProvided,"",$A29&amp;" - "&amp;_xlpm._question&amp;": Second answer required but not provided."),"")&amp;
        IF(NOT(_xlpm._secondAnswerRequired),IF(_xlpm._secondAnswerProvided,$A29&amp;" - "&amp;_xlpm._question&amp;": Second answer ("&amp;_xlpm._secondAnswer&amp;") provided but the question only supports one answer.",""),"")&amp;
        IF(_xlpm._secondAnswerIsValidOption,"",$A29&amp;" - "&amp;_xlpm._question&amp;": Second answer ("&amp;_xlpm._secondAnswer&amp;") is not a valid option.")))),
  _xlfn.LAMBDA(_xlpm._x,_xlpm._y,_xlpm._x&amp;IF(_xlpm._x="","",CHAR(10))&amp;_xlpm._y))))</f>
        <v/>
      </c>
      <c r="AG29" s="11" cm="1">
        <f t="array" aca="1" ref="AG29" ca="1">CreateID($AG$2,$AF29&lt;&gt;"")</f>
        <v>0</v>
      </c>
      <c r="AH29" s="56"/>
      <c r="AI29" s="56"/>
      <c r="AJ29" s="56"/>
    </row>
    <row r="30" spans="1:36" ht="96.75" x14ac:dyDescent="0.25">
      <c r="A30" s="10" t="s">
        <v>289</v>
      </c>
      <c r="B30" s="10" t="s">
        <v>290</v>
      </c>
      <c r="C30" s="10"/>
      <c r="D30" s="16" t="str" cm="1">
        <f t="array" ref="D30">LookupNames($C30,$A:$B)</f>
        <v/>
      </c>
      <c r="E30" s="10"/>
      <c r="F30" s="16" t="str" cm="1">
        <f t="array" ref="F30">RemoveDelimiter(GetValues(SanitizeInput($E30),Questions!$A:$B,"   ",CHAR(10),TRUE),CHAR(10))</f>
        <v/>
      </c>
      <c r="G30" s="13" t="str" cm="1">
        <f t="array" ref="G30">LookupNames($U30,'Damage Scenarios'!$A:$J)</f>
        <v/>
      </c>
      <c r="H30" s="10"/>
      <c r="I30" s="10"/>
      <c r="J30" s="10"/>
      <c r="K30" s="10"/>
      <c r="L30" s="10"/>
      <c r="M30" s="91" t="str">
        <f ca="1">IF($A30="","",IFERROR(VLOOKUP($Y30,Definitions!$V:$W,COLUMNS(Definitions!$V:$W),TRUE),""))</f>
        <v>Basic</v>
      </c>
      <c r="N30" s="10" t="s">
        <v>1063</v>
      </c>
      <c r="O30" s="25" t="str" cm="1">
        <f t="array" aca="1" ref="O30" ca="1">OperateOnList(
  SanitizeInput($N30),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QA3 Does the product have a point-to-point connection to another device? [Yes]
» Is the connected device typically considered as trustworthy? [Yes],
QA10a Does the product communicate with an external system locally (e.g., a USB stick, an SD card, an RFID tag)? [Yes]
» Is the external system considered as trustworthy? In case of several systems, consider the worst case. [Yes],
QA10b Does the product communicate with an external system on the Internet (e.g., an untrusted 3rd party backend, a &lt;&lt; OEM Name &gt;&gt; cloud service, a &lt;&lt; OEM Name &gt;&gt; server system)? [Yes]
» Is the external system considered as trustworthy? In case of several systems, consider the worst case. [Yes]</v>
      </c>
      <c r="P30" s="10"/>
      <c r="Q30" s="10" t="str">
        <f>"Trusted entities encompass all entities considered as trustworthy and sufficiently protected against compromise by an attacker. Note the this attack step only becomes active if answers in the questionnaire match. This also activates assumption "&amp;Assumptions!A14&amp;" "&amp;Assumptions!B14&amp;"."</f>
        <v>Trusted entities encompass all entities considered as trustworthy and sufficiently protected against compromise by an attacker. Note the this attack step only becomes active if answers in the questionnaire match. This also activates assumption A13 SDR 1.11 – Trustworthy communication partner.</v>
      </c>
      <c r="R30" s="9" cm="1">
        <f t="array" aca="1" ref="R30" ca="1">CreateID($R$2,$A30&lt;&gt;"")</f>
        <v>28</v>
      </c>
      <c r="S30" s="11" t="b">
        <f ca="1">OR(CheckRelevance(SanitizeInput(N30),Questionnaire!$J:$J),CheckRelevance(SanitizeInput(N30),Questionnaire!$K:$K))</f>
        <v>0</v>
      </c>
      <c r="T30" s="11" t="str" cm="1">
        <f t="array" aca="1" ref="T30" ca="1">IF(AND($N30&lt;&gt;"",$S30=FALSE),"",
IF(AND($S30,$C30=""),$A30&amp;",§","")&amp;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GenerateAttackPaths(RemoveFirstElement(_xlpm._in),_xlpm._apRange,_xlpm._ownID))))(SanitizeInput($C30),$A:$T,$A30))</f>
        <v/>
      </c>
      <c r="U30" s="11" t="str" cm="1">
        <f t="array" ref="U30">GetValues(SanitizeInput($E30),'Damage Scenarios'!$B:$T,"",",",FALSE)</f>
        <v/>
      </c>
      <c r="V30" s="11" t="b">
        <f t="shared" ca="1" si="0"/>
        <v>0</v>
      </c>
      <c r="W30" s="11" cm="1">
        <f t="array" aca="1" ref="W30" ca="1">CreateID($W$2,$V30)</f>
        <v>0</v>
      </c>
      <c r="X30" s="11">
        <f t="shared" ca="1" si="1"/>
        <v>0</v>
      </c>
      <c r="Y30" s="11" cm="1">
        <f t="array" aca="1" ref="Y30" ca="1">OperateOnRange(
  $H30,
  TRUE,
  Helper!$B$16,
  0,
  _xlfn.LAMBDA(_xlpm._factor,IF(_xlpm._factor="",0,SimpleLookup(_xlpm._factor,Definitions!$Z:$AA))),
  _xlfn.LAMBDA(_xlpm._x,_xlpm._y,_xlpm._x+_xlpm._y))</f>
        <v>0</v>
      </c>
      <c r="Z30" s="11" cm="1">
        <f t="array" ref="Z30">CreateTaskID($Z$2,$Z:$Z,Tasks!$B$17,$Q30)</f>
        <v>0</v>
      </c>
      <c r="AA30" s="11" t="str" cm="1">
        <f t="array" aca="1" ref="AA30" ca="1">InverseLookup($A30,Countermeasures!$Y$2,Countermeasures!$A$2,1,Helper!$B$4,",")</f>
        <v/>
      </c>
      <c r="AB30" s="11" t="str" cm="1">
        <f t="array" aca="1" ref="AB30" ca="1">InverseLookup($A30,Assumptions!$Y$2,Assumptions!$A$2,1,Helper!$B$6,",")</f>
        <v/>
      </c>
      <c r="AC30" s="11" t="str" cm="1">
        <f t="array" aca="1" ref="AC30" ca="1">InverseLookup($A30,Assumptions!$Z$2,Assumptions!$A$2,1,Helper!$B$6,",")</f>
        <v>A13,</v>
      </c>
      <c r="AD30" s="11" t="str" cm="1">
        <f t="array" aca="1" ref="AD30" ca="1">IF($V30,
CreateSearchString(SUBSTITUTE($T30,"§","")),
"")</f>
        <v/>
      </c>
      <c r="AE30" s="11" t="b">
        <f t="shared" ca="1" si="2"/>
        <v>0</v>
      </c>
      <c r="AF30" s="11" t="str" cm="1">
        <f t="array" aca="1" ref="AF30" ca="1">_xlfn.SWITCH($N30,
"*","",
"","",
_xlfn.LET(
_xlpm._answers,SUBSTITUTE(SanitizeInput($N30),"&amp;",","),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IF(_xlpm._questionIDUndefined,$A30&amp;" - "&amp;_xlpm._question&amp;": ERROR: Unknown question ID.",
        IF(_xlpm._firstAnswerIsValidOption,"",$A30&amp;" - "&amp;_xlpm._question&amp;": First answer ("&amp;_xlpm._firstAnswer&amp;") is not a valid option.")&amp;
        IF(_xlpm._secondAnswerRequired,IF(_xlpm._secondAnswerProvided,"",$A30&amp;" - "&amp;_xlpm._question&amp;": Second answer required but not provided."),"")&amp;
        IF(NOT(_xlpm._secondAnswerRequired),IF(_xlpm._secondAnswerProvided,$A30&amp;" - "&amp;_xlpm._question&amp;": Second answer ("&amp;_xlpm._secondAnswer&amp;") provided but the question only supports one answer.",""),"")&amp;
        IF(_xlpm._secondAnswerIsValidOption,"",$A30&amp;" - "&amp;_xlpm._question&amp;": Second answer ("&amp;_xlpm._secondAnswer&amp;") is not a valid option.")))),
  _xlfn.LAMBDA(_xlpm._x,_xlpm._y,_xlpm._x&amp;IF(_xlpm._x="","",CHAR(10))&amp;_xlpm._y))))</f>
        <v/>
      </c>
      <c r="AG30" s="11" cm="1">
        <f t="array" aca="1" ref="AG30" ca="1">CreateID($AG$2,$AF30&lt;&gt;"")</f>
        <v>0</v>
      </c>
      <c r="AH30" s="56"/>
      <c r="AI30" s="56"/>
      <c r="AJ30" s="56"/>
    </row>
    <row r="31" spans="1:36" ht="237" x14ac:dyDescent="0.25">
      <c r="A31" s="10" t="s">
        <v>456</v>
      </c>
      <c r="B31" s="10" t="s">
        <v>457</v>
      </c>
      <c r="C31" s="10" t="s">
        <v>944</v>
      </c>
      <c r="D31" s="16" t="str" cm="1">
        <f t="array" aca="1" ref="D31" ca="1">LookupNames($C31,$A:$B)</f>
        <v>AS1 Getting access to a trusted operational environment,
AS2 Getting access to a wireless network,
AS9 Attacking the product's internal gateway from the Internet,
AS12 Compromising an untrusted device that communicates directly with the product,
AS13 Attacking the product or its communication from an untrusted local network,
AS15 Attacking the product from the Internet or a mobile network,
AS27 Getting physical access to the product's linked communication media (e.g., field buses),
AS28 Getting access to a trusted entity</v>
      </c>
      <c r="E31" s="10" t="s">
        <v>927</v>
      </c>
      <c r="F31" s="16" t="str" cm="1">
        <f t="array" aca="1" ref="F31" ca="1">RemoveDelimiter(GetValues(SanitizeInput($E31),Questions!$A:$B,"   ",CHAR(10),TRUE),CHAR(10))</f>
        <v>QI1   Does the product have / support cameras or other sensors that can potentially identify people? (Regarding "supporting a camera / sensor": only answer with Yes if attaching a camera / sensor is in the intended or foreseeable use of the product.)
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Note that this includes both &lt;&lt; OEM Name &gt;&gt; and customer IP.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31" s="13" t="str" cm="1">
        <f t="array" aca="1" ref="G31" ca="1">LookupNames($U31,'Damage Scenarios'!$A:$J)</f>
        <v/>
      </c>
      <c r="H31" s="10"/>
      <c r="I31" s="10"/>
      <c r="J31" s="10"/>
      <c r="K31" s="10"/>
      <c r="L31" s="10"/>
      <c r="M31" s="91" t="str">
        <f ca="1">IF($A31="","",IFERROR(VLOOKUP($Y31,Definitions!$V:$W,COLUMNS(Definitions!$V:$W),TRUE),""))</f>
        <v>Basic</v>
      </c>
      <c r="N31" s="10" t="s">
        <v>880</v>
      </c>
      <c r="O31" s="25" t="str" cm="1">
        <f t="array" aca="1" ref="O31" ca="1">OperateOnList(
  SanitizeInput($N31),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QA9 Does the product have an IP stack (or another routable protocol)? [Yes]</v>
      </c>
      <c r="P31" s="10" t="s">
        <v>446</v>
      </c>
      <c r="Q31" s="10"/>
      <c r="R31" s="9" cm="1">
        <f t="array" aca="1" ref="R31" ca="1">CreateID($R$2,$A31&lt;&gt;"")</f>
        <v>29</v>
      </c>
      <c r="S31" s="11" t="b">
        <f ca="1">OR(CheckRelevance(SanitizeInput(N31),Questionnaire!$J:$J),CheckRelevance(SanitizeInput(N31),Questionnaire!$K:$K))</f>
        <v>0</v>
      </c>
      <c r="T31" s="11" t="str" cm="1">
        <f t="array" aca="1" ref="T31" ca="1">IF(AND($N31&lt;&gt;"",$S31=FALSE),"",
IF(AND($S31,$C31=""),$A31&amp;",§","")&amp;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GenerateAttackPaths(RemoveFirstElement(_xlpm._in),_xlpm._apRange,_xlpm._ownID))))(SanitizeInput($C31),$A:$T,$A31))</f>
        <v/>
      </c>
      <c r="U31" s="11" t="str" cm="1">
        <f t="array" aca="1" ref="U31" ca="1">GetValues(SanitizeInput($E31),'Damage Scenarios'!$B:$T,"",",",FALSE)</f>
        <v/>
      </c>
      <c r="V31" s="11" t="b">
        <f t="shared" ca="1" si="0"/>
        <v>0</v>
      </c>
      <c r="W31" s="11" cm="1">
        <f t="array" aca="1" ref="W31" ca="1">CreateID($W$2,$V31)</f>
        <v>0</v>
      </c>
      <c r="X31" s="11">
        <f t="shared" ca="1" si="1"/>
        <v>0</v>
      </c>
      <c r="Y31" s="11" cm="1">
        <f t="array" aca="1" ref="Y31" ca="1">OperateOnRange(
  $H31,
  TRUE,
  Helper!$B$16,
  0,
  _xlfn.LAMBDA(_xlpm._factor,IF(_xlpm._factor="",0,SimpleLookup(_xlpm._factor,Definitions!$Z:$AA))),
  _xlfn.LAMBDA(_xlpm._x,_xlpm._y,_xlpm._x+_xlpm._y))</f>
        <v>0</v>
      </c>
      <c r="Z31" s="11" cm="1">
        <f t="array" ref="Z31">CreateTaskID($Z$2,$Z:$Z,Tasks!$B$17,$Q31)</f>
        <v>0</v>
      </c>
      <c r="AA31" s="11" t="str" cm="1">
        <f t="array" aca="1" ref="AA31" ca="1">InverseLookup($A31,Countermeasures!$Y$2,Countermeasures!$A$2,1,Helper!$B$4,",")</f>
        <v>C32,</v>
      </c>
      <c r="AB31" s="11" t="str" cm="1">
        <f t="array" aca="1" ref="AB31" ca="1">InverseLookup($A31,Assumptions!$Y$2,Assumptions!$A$2,1,Helper!$B$6,",")</f>
        <v/>
      </c>
      <c r="AC31" s="11" t="str" cm="1">
        <f t="array" aca="1" ref="AC31" ca="1">InverseLookup($A31,Assumptions!$Z$2,Assumptions!$A$2,1,Helper!$B$6,",")</f>
        <v>A22,</v>
      </c>
      <c r="AD31" s="11" t="str" cm="1">
        <f t="array" aca="1" ref="AD31" ca="1">IF($V31,
CreateSearchString(SUBSTITUTE($T31,"§","")),
"")</f>
        <v/>
      </c>
      <c r="AE31" s="11" t="b">
        <f t="shared" ca="1" si="2"/>
        <v>0</v>
      </c>
      <c r="AF31" s="11" t="str" cm="1">
        <f t="array" aca="1" ref="AF31" ca="1">_xlfn.SWITCH($N31,
"*","",
"","",
_xlfn.LET(
_xlpm._answers,SUBSTITUTE(SanitizeInput($N31),"&amp;",","),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IF(_xlpm._questionIDUndefined,$A31&amp;" - "&amp;_xlpm._question&amp;": ERROR: Unknown question ID.",
        IF(_xlpm._firstAnswerIsValidOption,"",$A31&amp;" - "&amp;_xlpm._question&amp;": First answer ("&amp;_xlpm._firstAnswer&amp;") is not a valid option.")&amp;
        IF(_xlpm._secondAnswerRequired,IF(_xlpm._secondAnswerProvided,"",$A31&amp;" - "&amp;_xlpm._question&amp;": Second answer required but not provided."),"")&amp;
        IF(NOT(_xlpm._secondAnswerRequired),IF(_xlpm._secondAnswerProvided,$A31&amp;" - "&amp;_xlpm._question&amp;": Second answer ("&amp;_xlpm._secondAnswer&amp;") provided but the question only supports one answer.",""),"")&amp;
        IF(_xlpm._secondAnswerIsValidOption,"",$A31&amp;" - "&amp;_xlpm._question&amp;": Second answer ("&amp;_xlpm._secondAnswer&amp;") is not a valid option.")))),
  _xlfn.LAMBDA(_xlpm._x,_xlpm._y,_xlpm._x&amp;IF(_xlpm._x="","",CHAR(10))&amp;_xlpm._y))))</f>
        <v/>
      </c>
      <c r="AG31" s="11" cm="1">
        <f t="array" aca="1" ref="AG31" ca="1">CreateID($AG$2,$AF31&lt;&gt;"")</f>
        <v>0</v>
      </c>
      <c r="AH31" s="56"/>
      <c r="AI31" s="56"/>
      <c r="AJ31" s="56"/>
    </row>
    <row r="32" spans="1:36" ht="156.75" x14ac:dyDescent="0.25">
      <c r="A32" s="10" t="s">
        <v>483</v>
      </c>
      <c r="B32" s="10" t="s">
        <v>1439</v>
      </c>
      <c r="C32" s="10"/>
      <c r="D32" s="16" t="str" cm="1">
        <f t="array" ref="D32">LookupNames($C32,$A:$B)</f>
        <v/>
      </c>
      <c r="E32" s="10" t="s">
        <v>924</v>
      </c>
      <c r="F32" s="16" t="str" cm="1">
        <f t="array" aca="1" ref="F32" ca="1">RemoveDelimiter(GetValues(SanitizeInput($E32),Questions!$A:$B,"   ",CHAR(10),TRUE),CHAR(10))</f>
        <v>QI2   Does the product process personal data?
Examples: address labels
QI4   Is &lt;&lt; OEM Name &gt;&gt; (typically) obliged to keep the processed / stored data (including third-party IP) confidential by contract or law? (Note that this concerns individual obligations, not the standard product warranty).
QI5   Does the product contain credentials / cryptographic keys that allow access to sensitive data or to systems in the product's operational environment? (Note: this includes cryptographic data introduced by the customer.)</v>
      </c>
      <c r="G32" s="13" t="str" cm="1">
        <f t="array" aca="1" ref="G32" ca="1">LookupNames($U32,'Damage Scenarios'!$A:$J)</f>
        <v/>
      </c>
      <c r="H32" s="10"/>
      <c r="I32" s="10" t="s">
        <v>111</v>
      </c>
      <c r="J32" s="10"/>
      <c r="K32" s="10" t="s">
        <v>73</v>
      </c>
      <c r="L32" s="10"/>
      <c r="M32" s="91" t="str">
        <f ca="1">IF($A32="","",IFERROR(VLOOKUP($Y32,Definitions!$V:$W,COLUMNS(Definitions!$V:$W),TRUE),""))</f>
        <v>Basic</v>
      </c>
      <c r="N32" s="10" t="s">
        <v>925</v>
      </c>
      <c r="O32" s="25" t="str" cm="1">
        <f t="array" aca="1" ref="O32" ca="1">OperateOnList(
  SanitizeInput($N32),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QI2 Does the product process personal data?
Examples: address labels [Yes]
» What is the criticality of the processed data? [*],
QI4 Is &lt;&lt; OEM Name &gt;&gt; (typically) obliged to keep the processed / stored data (including third-party IP) confidential by contract or law? (Note that this concerns individual obligations, not the standard product warranty). [Yes]
» What is the typical / expected value of direct loss, fines for infringements of laws, or violations of contracts? [*],
QI5 Does the product contain credentials / cryptographic keys that allow access to sensitive data or to systems in the product's operational environment? (Note: this includes cryptographic data introduced by the customer.) [Yes]
» What is the worst-case criticality of the data that can be accessed with these credentials / cryptographic keys? [*]</v>
      </c>
      <c r="P32" s="10" t="s">
        <v>454</v>
      </c>
      <c r="Q32" s="10" t="str">
        <f>"Note: Attacks on "&amp;Definitions!$C$4&amp;"'s IP are covered by other attacks
Proficient: The attacker needs basic understanding on how to extract data from a device
Moderate: The attacker needs to obtain the device"</f>
        <v>Note: Attacks on &lt;&lt; OEM Name &gt;&gt;'s IP are covered by other attacks
Proficient: The attacker needs basic understanding on how to extract data from a device
Moderate: The attacker needs to obtain the device</v>
      </c>
      <c r="R32" s="9" cm="1">
        <f t="array" aca="1" ref="R32" ca="1">CreateID($R$2,$A32&lt;&gt;"")</f>
        <v>30</v>
      </c>
      <c r="S32" s="11" t="b">
        <f ca="1">OR(CheckRelevance(SanitizeInput(N32),Questionnaire!$J:$J),CheckRelevance(SanitizeInput(N32),Questionnaire!$K:$K))</f>
        <v>0</v>
      </c>
      <c r="T32" s="11" t="str" cm="1">
        <f t="array" aca="1" ref="T32" ca="1">IF(AND($N32&lt;&gt;"",$S32=FALSE),"",
IF(AND($S32,$C32=""),$A32&amp;",§","")&amp;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GenerateAttackPaths(RemoveFirstElement(_xlpm._in),_xlpm._apRange,_xlpm._ownID))))(SanitizeInput($C32),$A:$T,$A32))</f>
        <v/>
      </c>
      <c r="U32" s="11" t="str" cm="1">
        <f t="array" aca="1" ref="U32" ca="1">GetValues(SanitizeInput($E32),'Damage Scenarios'!$B:$T,"",",",FALSE)</f>
        <v/>
      </c>
      <c r="V32" s="11" t="b">
        <f t="shared" ca="1" si="0"/>
        <v>0</v>
      </c>
      <c r="W32" s="11" cm="1">
        <f t="array" aca="1" ref="W32" ca="1">CreateID($W$2,$V32)</f>
        <v>0</v>
      </c>
      <c r="X32" s="11">
        <f t="shared" ca="1" si="1"/>
        <v>0</v>
      </c>
      <c r="Y32" s="11" cm="1">
        <f t="array" aca="1" ref="Y32" ca="1">OperateOnRange(
  $H32,
  TRUE,
  Helper!$B$16,
  0,
  _xlfn.LAMBDA(_xlpm._factor,IF(_xlpm._factor="",0,SimpleLookup(_xlpm._factor,Definitions!$Z:$AA))),
  _xlfn.LAMBDA(_xlpm._x,_xlpm._y,_xlpm._x+_xlpm._y))</f>
        <v>7</v>
      </c>
      <c r="Z32" s="11" cm="1">
        <f t="array" ref="Z32">CreateTaskID($Z$2,$Z:$Z,Tasks!$B$17,$Q32)</f>
        <v>0</v>
      </c>
      <c r="AA32" s="11" t="str" cm="1">
        <f t="array" aca="1" ref="AA32" ca="1">InverseLookup($A32,Countermeasures!$Y$2,Countermeasures!$A$2,1,Helper!$B$4,",")</f>
        <v>C17,CM4,</v>
      </c>
      <c r="AB32" s="11" t="str" cm="1">
        <f t="array" aca="1" ref="AB32" ca="1">InverseLookup($A32,Assumptions!$Y$2,Assumptions!$A$2,1,Helper!$B$6,",")</f>
        <v/>
      </c>
      <c r="AC32" s="11" t="str" cm="1">
        <f t="array" aca="1" ref="AC32" ca="1">InverseLookup($A32,Assumptions!$Z$2,Assumptions!$A$2,1,Helper!$B$6,",")</f>
        <v/>
      </c>
      <c r="AD32" s="11" t="str" cm="1">
        <f t="array" aca="1" ref="AD32" ca="1">IF($V32,
CreateSearchString(SUBSTITUTE($T32,"§","")),
"")</f>
        <v/>
      </c>
      <c r="AE32" s="11" t="b">
        <f t="shared" ca="1" si="2"/>
        <v>0</v>
      </c>
      <c r="AF32" s="11" t="str" cm="1">
        <f t="array" aca="1" ref="AF32" ca="1">_xlfn.SWITCH($N32,
"*","",
"","",
_xlfn.LET(
_xlpm._answers,SUBSTITUTE(SanitizeInput($N32),"&amp;",","),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IF(_xlpm._questionIDUndefined,$A32&amp;" - "&amp;_xlpm._question&amp;": ERROR: Unknown question ID.",
        IF(_xlpm._firstAnswerIsValidOption,"",$A32&amp;" - "&amp;_xlpm._question&amp;": First answer ("&amp;_xlpm._firstAnswer&amp;") is not a valid option.")&amp;
        IF(_xlpm._secondAnswerRequired,IF(_xlpm._secondAnswerProvided,"",$A32&amp;" - "&amp;_xlpm._question&amp;": Second answer required but not provided."),"")&amp;
        IF(NOT(_xlpm._secondAnswerRequired),IF(_xlpm._secondAnswerProvided,$A32&amp;" - "&amp;_xlpm._question&amp;": Second answer ("&amp;_xlpm._secondAnswer&amp;") provided but the question only supports one answer.",""),"")&amp;
        IF(_xlpm._secondAnswerIsValidOption,"",$A32&amp;" - "&amp;_xlpm._question&amp;": Second answer ("&amp;_xlpm._secondAnswer&amp;") is not a valid option.")))),
  _xlfn.LAMBDA(_xlpm._x,_xlpm._y,_xlpm._x&amp;IF(_xlpm._x="","",CHAR(10))&amp;_xlpm._y))))</f>
        <v/>
      </c>
      <c r="AG32" s="11" cm="1">
        <f t="array" aca="1" ref="AG32" ca="1">CreateID($AG$2,$AF32&lt;&gt;"")</f>
        <v>0</v>
      </c>
      <c r="AH32" s="56"/>
      <c r="AI32" s="56"/>
      <c r="AJ32" s="56"/>
    </row>
    <row r="33" spans="1:36" ht="90" x14ac:dyDescent="0.25">
      <c r="A33" s="10" t="s">
        <v>598</v>
      </c>
      <c r="B33" s="10" t="s">
        <v>1208</v>
      </c>
      <c r="C33" s="10"/>
      <c r="D33" s="16" t="str" cm="1">
        <f t="array" ref="D33">LookupNames($C33,$A:$B)</f>
        <v/>
      </c>
      <c r="E33" s="10" t="s">
        <v>901</v>
      </c>
      <c r="F33" s="16" t="str" cm="1">
        <f t="array" aca="1" ref="F33" ca="1">RemoveDelimiter(GetValues(SanitizeInput($E33),Questions!$A:$B,"   ",CHAR(10),TRUE),CHAR(10))</f>
        <v>QI15   Can a manipulated product allow an attacker access to assets of the customer or allow the attacker to attack the customer's network?</v>
      </c>
      <c r="G33" s="13" t="str" cm="1">
        <f t="array" aca="1" ref="G33" ca="1">LookupNames($U33,'Damage Scenarios'!$A:$J)</f>
        <v/>
      </c>
      <c r="H33" s="10" t="s">
        <v>103</v>
      </c>
      <c r="I33" s="10" t="s">
        <v>111</v>
      </c>
      <c r="J33" s="10" t="s">
        <v>116</v>
      </c>
      <c r="K33" s="10" t="s">
        <v>120</v>
      </c>
      <c r="L33" s="10" t="s">
        <v>124</v>
      </c>
      <c r="M33" s="91" t="str">
        <f ca="1">IF($A33="","",IFERROR(VLOOKUP($Y33,Definitions!$V:$W,COLUMNS(Definitions!$V:$W),TRUE),""))</f>
        <v>Basic</v>
      </c>
      <c r="N33" s="10" t="s">
        <v>867</v>
      </c>
      <c r="O33" s="25" t="str" cm="1">
        <f t="array" aca="1" ref="O33" ca="1">OperateOnList(
  SanitizeInput($N33),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QA2 Does the product connect two networks to each other (e.g., as a gateway)? [Yes]
» Please select the kind of connectivity: [*]</v>
      </c>
      <c r="P33" s="10"/>
      <c r="Q33" s="10" t="s">
        <v>599</v>
      </c>
      <c r="R33" s="9" cm="1">
        <f t="array" aca="1" ref="R33" ca="1">CreateID($R$2,$A33&lt;&gt;"")</f>
        <v>31</v>
      </c>
      <c r="S33" s="11" t="b">
        <f ca="1">OR(CheckRelevance(SanitizeInput(N33),Questionnaire!$J:$J),CheckRelevance(SanitizeInput(N33),Questionnaire!$K:$K))</f>
        <v>0</v>
      </c>
      <c r="T33" s="11" t="str" cm="1">
        <f t="array" aca="1" ref="T33" ca="1">IF(AND($N33&lt;&gt;"",$S33=FALSE),"",
IF(AND($S33,$C33=""),$A33&amp;",§","")&amp;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GenerateAttackPaths(RemoveFirstElement(_xlpm._in),_xlpm._apRange,_xlpm._ownID))))(SanitizeInput($C33),$A:$T,$A33))</f>
        <v/>
      </c>
      <c r="U33" s="11" t="str" cm="1">
        <f t="array" aca="1" ref="U33" ca="1">GetValues(SanitizeInput($E33),'Damage Scenarios'!$B:$T,"",",",FALSE)</f>
        <v/>
      </c>
      <c r="V33" s="11" t="b">
        <f t="shared" ca="1" si="0"/>
        <v>0</v>
      </c>
      <c r="W33" s="11" cm="1">
        <f t="array" aca="1" ref="W33" ca="1">CreateID($W$2,$V33)</f>
        <v>0</v>
      </c>
      <c r="X33" s="11">
        <f t="shared" ca="1" si="1"/>
        <v>0</v>
      </c>
      <c r="Y33" s="11" cm="1">
        <f t="array" aca="1" ref="Y33" ca="1">OperateOnRange(
  $H33,
  TRUE,
  Helper!$B$16,
  0,
  _xlfn.LAMBDA(_xlpm._factor,IF(_xlpm._factor="",0,SimpleLookup(_xlpm._factor,Definitions!$Z:$AA))),
  _xlfn.LAMBDA(_xlpm._x,_xlpm._y,_xlpm._x+_xlpm._y))</f>
        <v>7</v>
      </c>
      <c r="Z33" s="11" cm="1">
        <f t="array" ref="Z33">CreateTaskID($Z$2,$Z:$Z,Tasks!$B$17,$Q33)</f>
        <v>0</v>
      </c>
      <c r="AA33" s="11" t="str" cm="1">
        <f t="array" aca="1" ref="AA33" ca="1">InverseLookup($A33,Countermeasures!$Y$2,Countermeasures!$A$2,1,Helper!$B$4,",")</f>
        <v>CM1,</v>
      </c>
      <c r="AB33" s="11" t="str" cm="1">
        <f t="array" aca="1" ref="AB33" ca="1">InverseLookup($A33,Assumptions!$Y$2,Assumptions!$A$2,1,Helper!$B$6,",")</f>
        <v/>
      </c>
      <c r="AC33" s="11" t="str" cm="1">
        <f t="array" aca="1" ref="AC33" ca="1">InverseLookup($A33,Assumptions!$Z$2,Assumptions!$A$2,1,Helper!$B$6,",")</f>
        <v/>
      </c>
      <c r="AD33" s="11" t="str" cm="1">
        <f t="array" aca="1" ref="AD33" ca="1">IF($V33,
CreateSearchString(SUBSTITUTE($T33,"§","")),
"")</f>
        <v/>
      </c>
      <c r="AE33" s="11" t="b">
        <f t="shared" ca="1" si="2"/>
        <v>0</v>
      </c>
      <c r="AF33" s="11" t="str" cm="1">
        <f t="array" aca="1" ref="AF33" ca="1">_xlfn.SWITCH($N33,
"*","",
"","",
_xlfn.LET(
_xlpm._answers,SUBSTITUTE(SanitizeInput($N33),"&amp;",","),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IF(_xlpm._questionIDUndefined,$A33&amp;" - "&amp;_xlpm._question&amp;": ERROR: Unknown question ID.",
        IF(_xlpm._firstAnswerIsValidOption,"",$A33&amp;" - "&amp;_xlpm._question&amp;": First answer ("&amp;_xlpm._firstAnswer&amp;") is not a valid option.")&amp;
        IF(_xlpm._secondAnswerRequired,IF(_xlpm._secondAnswerProvided,"",$A33&amp;" - "&amp;_xlpm._question&amp;": Second answer required but not provided."),"")&amp;
        IF(NOT(_xlpm._secondAnswerRequired),IF(_xlpm._secondAnswerProvided,$A33&amp;" - "&amp;_xlpm._question&amp;": Second answer ("&amp;_xlpm._secondAnswer&amp;") provided but the question only supports one answer.",""),"")&amp;
        IF(_xlpm._secondAnswerIsValidOption,"",$A33&amp;" - "&amp;_xlpm._question&amp;": Second answer ("&amp;_xlpm._secondAnswer&amp;") is not a valid option.")))),
  _xlfn.LAMBDA(_xlpm._x,_xlpm._y,_xlpm._x&amp;IF(_xlpm._x="","",CHAR(10))&amp;_xlpm._y))))</f>
        <v/>
      </c>
      <c r="AG33" s="11" cm="1">
        <f t="array" aca="1" ref="AG33" ca="1">CreateID($AG$2,$AF33&lt;&gt;"")</f>
        <v>0</v>
      </c>
      <c r="AH33" s="56"/>
      <c r="AI33" s="56"/>
      <c r="AJ33" s="56"/>
    </row>
    <row r="34" spans="1:36" ht="113.25" x14ac:dyDescent="0.25">
      <c r="A34" s="10" t="s">
        <v>777</v>
      </c>
      <c r="B34" s="10" t="str">
        <f>"Extracting or misusing "&amp;Definitions!$C$4&amp;" IP"</f>
        <v>Extracting or misusing &lt;&lt; OEM Name &gt;&gt; IP</v>
      </c>
      <c r="C34" s="10" t="s">
        <v>828</v>
      </c>
      <c r="D34" s="16" t="str" cm="1">
        <f t="array" aca="1" ref="D34" ca="1">LookupNames($C34,$A:$B)</f>
        <v>AS3 Compromising the product using a software vulnerability,
AS5 Eavesdropping on the product's communication,
AS7 Spoofing / tampering with the product's incoming communication,
AS16 Manipulating the product's configuration via its configuration interface,
AS18 Abusing the software update functionality to manipulate the product,
AS23 Compromising the product with direct access to its persistent memory,
AS24 Data extraction from the product's persistent memory,
AS25 Accessing the product's debug interfaces remotely,
AS26 Accessing the product's physical debug interfaces,
AS29 Brute-forcing the authentication mechanism over IP</v>
      </c>
      <c r="E34" s="10" t="s">
        <v>922</v>
      </c>
      <c r="F34" s="16" t="str" cm="1">
        <f t="array" aca="1" ref="F34" ca="1">RemoveDelimiter(GetValues(SanitizeInput($E34),Questions!$A:$B,"   ",CHAR(10),TRUE),CHAR(10))</f>
        <v>QI3   Does the product contain &lt;&lt; OEM Name &gt;&gt; or customer intellectual property?
Note: Only IP which is part of / accessible by the firmware / software in the product is in scope of this question. Gaining access to optical and mechanical IP are not covered by this question (and the cybersecurity risk analysis)
QI12   Can a manipulated product disclose intellectual property to an attacker? Also consider cases where the product is used against its intended use or misconfigured!
Note that this includes both &lt;&lt; OEM Name &gt;&gt; and customer IP.</v>
      </c>
      <c r="G34" s="13" t="str" cm="1">
        <f t="array" aca="1" ref="G34" ca="1">LookupNames($U34,'Damage Scenarios'!$A:$J)</f>
        <v/>
      </c>
      <c r="H34" s="10"/>
      <c r="I34" s="10"/>
      <c r="J34" s="10"/>
      <c r="K34" s="10"/>
      <c r="L34" s="10"/>
      <c r="M34" s="91" t="str">
        <f ca="1">IF($A34="","",IFERROR(VLOOKUP($Y34,Definitions!$V:$W,COLUMNS(Definitions!$V:$W),TRUE),""))</f>
        <v>Basic</v>
      </c>
      <c r="N34" s="10"/>
      <c r="O34" s="25" t="str" cm="1">
        <f t="array" ref="O34">OperateOnList(
  SanitizeInput($N34),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P34" s="10"/>
      <c r="Q34" s="10"/>
      <c r="R34" s="9" cm="1">
        <f t="array" aca="1" ref="R34" ca="1">CreateID($R$2,$A34&lt;&gt;"")</f>
        <v>32</v>
      </c>
      <c r="S34" s="11" t="b">
        <f>OR(CheckRelevance(SanitizeInput(N34),Questionnaire!$J:$J),CheckRelevance(SanitizeInput(N34),Questionnaire!$K:$K))</f>
        <v>0</v>
      </c>
      <c r="T34" s="11" t="str" cm="1">
        <f t="array" aca="1" ref="T34" ca="1">IF(AND($N34&lt;&gt;"",$S34=FALSE),"",
IF(AND($S34,$C34=""),$A34&amp;",§","")&amp;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GenerateAttackPaths(RemoveFirstElement(_xlpm._in),_xlpm._apRange,_xlpm._ownID))))(SanitizeInput($C34),$A:$T,$A34))</f>
        <v>AS22,AS23,AS32,§AS22,AS24,AS32,§</v>
      </c>
      <c r="U34" s="11" t="str" cm="1">
        <f t="array" aca="1" ref="U34" ca="1">GetValues(SanitizeInput($E34),'Damage Scenarios'!$B:$T,"",",",FALSE)</f>
        <v/>
      </c>
      <c r="V34" s="11" t="b">
        <f t="shared" ca="1" si="0"/>
        <v>0</v>
      </c>
      <c r="W34" s="11" cm="1">
        <f t="array" aca="1" ref="W34" ca="1">CreateID($W$2,$V34)</f>
        <v>0</v>
      </c>
      <c r="X34" s="11">
        <f t="shared" ca="1" si="1"/>
        <v>0</v>
      </c>
      <c r="Y34" s="11" cm="1">
        <f t="array" aca="1" ref="Y34" ca="1">OperateOnRange(
  $H34,
  TRUE,
  Helper!$B$16,
  0,
  _xlfn.LAMBDA(_xlpm._factor,IF(_xlpm._factor="",0,SimpleLookup(_xlpm._factor,Definitions!$Z:$AA))),
  _xlfn.LAMBDA(_xlpm._x,_xlpm._y,_xlpm._x+_xlpm._y))</f>
        <v>0</v>
      </c>
      <c r="Z34" s="11" cm="1">
        <f t="array" ref="Z34">CreateTaskID($Z$2,$Z:$Z,Tasks!$B$17,$Q34)</f>
        <v>0</v>
      </c>
      <c r="AA34" s="11" t="str" cm="1">
        <f t="array" aca="1" ref="AA34" ca="1">InverseLookup($A34,Countermeasures!$Y$2,Countermeasures!$A$2,1,Helper!$B$4,",")</f>
        <v>CM3,CM18,</v>
      </c>
      <c r="AB34" s="11" t="str" cm="1">
        <f t="array" aca="1" ref="AB34" ca="1">InverseLookup($A34,Assumptions!$Y$2,Assumptions!$A$2,1,Helper!$B$6,",")</f>
        <v/>
      </c>
      <c r="AC34" s="11" t="str" cm="1">
        <f t="array" aca="1" ref="AC34" ca="1">InverseLookup($A34,Assumptions!$Z$2,Assumptions!$A$2,1,Helper!$B$6,",")</f>
        <v/>
      </c>
      <c r="AD34" s="11" t="str" cm="1">
        <f t="array" aca="1" ref="AD34" ca="1">IF($V34,
CreateSearchString(SUBSTITUTE($T34,"§","")),
"")</f>
        <v/>
      </c>
      <c r="AE34" s="11" t="b">
        <f t="shared" ca="1" si="2"/>
        <v>0</v>
      </c>
      <c r="AF34" s="11" t="str" cm="1">
        <f t="array" ref="AF34">_xlfn.SWITCH($N34,
"*","",
"","",
_xlfn.LET(
_xlpm._answers,SUBSTITUTE(SanitizeInput($N34),"&amp;",","),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IF(_xlpm._questionIDUndefined,$A34&amp;" - "&amp;_xlpm._question&amp;": ERROR: Unknown question ID.",
        IF(_xlpm._firstAnswerIsValidOption,"",$A34&amp;" - "&amp;_xlpm._question&amp;": First answer ("&amp;_xlpm._firstAnswer&amp;") is not a valid option.")&amp;
        IF(_xlpm._secondAnswerRequired,IF(_xlpm._secondAnswerProvided,"",$A34&amp;" - "&amp;_xlpm._question&amp;": Second answer required but not provided."),"")&amp;
        IF(NOT(_xlpm._secondAnswerRequired),IF(_xlpm._secondAnswerProvided,$A34&amp;" - "&amp;_xlpm._question&amp;": Second answer ("&amp;_xlpm._secondAnswer&amp;") provided but the question only supports one answer.",""),"")&amp;
        IF(_xlpm._secondAnswerIsValidOption,"",$A34&amp;" - "&amp;_xlpm._question&amp;": Second answer ("&amp;_xlpm._secondAnswer&amp;") is not a valid option.")))),
  _xlfn.LAMBDA(_xlpm._x,_xlpm._y,_xlpm._x&amp;IF(_xlpm._x="","",CHAR(10))&amp;_xlpm._y))))</f>
        <v/>
      </c>
      <c r="AG34" s="11" cm="1">
        <f t="array" aca="1" ref="AG34" ca="1">CreateID($AG$2,$AF34&lt;&gt;"")</f>
        <v>0</v>
      </c>
      <c r="AH34" s="56"/>
      <c r="AI34" s="56"/>
      <c r="AJ34" s="56"/>
    </row>
    <row r="35" spans="1:36" ht="169.5" x14ac:dyDescent="0.25">
      <c r="A35" s="10" t="s">
        <v>800</v>
      </c>
      <c r="B35" s="10" t="s">
        <v>801</v>
      </c>
      <c r="C35" s="10"/>
      <c r="D35" s="16" t="str" cm="1">
        <f t="array" ref="D35">LookupNames($C35,$A:$B)</f>
        <v/>
      </c>
      <c r="E35" s="10" t="s">
        <v>929</v>
      </c>
      <c r="F35" s="16" t="str" cm="1">
        <f t="array" aca="1" ref="F35" ca="1">RemoveDelimiter(GetValues(SanitizeInput($E35),Questions!$A:$B,"   ",CHAR(10),TRUE),CHAR(10))</f>
        <v>QI1   Does the product have / support cameras or other sensors that can potentially identify people? (Regarding "supporting a camera / sensor": only answer with Yes if attaching a camera / sensor is in the intended or foreseeable use of the product.)
QI2   Does the product process personal data?
Examples: address labels
QI3   Does the product contain &lt;&lt; OEM Name &gt;&gt; or customer intellectual property?
Note: Only IP which is part of / accessible by the firmware / software in the product is in scope of this question. Gaining access to optical and mechanical IP are not covered by this question (and the cybersecurity risk analysis)
QI4   Is &lt;&lt; OEM Name &gt;&gt; (typically) obliged to keep the processed / stored data (including third-party IP) confidential by contract or law? (Note that this concerns individual obligations, not the standard product warranty).
QI5   Does the product contain credentials / cryptographic keys that allow access to sensitive data or to systems in the product's operational environment? (Note: this includes cryptographic data introduced by the customer.)</v>
      </c>
      <c r="G35" s="13" t="str" cm="1">
        <f t="array" aca="1" ref="G35" ca="1">LookupNames($U35,'Damage Scenarios'!$A:$J)</f>
        <v/>
      </c>
      <c r="H35" s="10"/>
      <c r="I35" s="10"/>
      <c r="J35" s="10"/>
      <c r="K35" s="10"/>
      <c r="L35" s="10"/>
      <c r="M35" s="91" t="str">
        <f ca="1">IF($A35="","",IFERROR(VLOOKUP($Y35,Definitions!$V:$W,COLUMNS(Definitions!$V:$W),TRUE),""))</f>
        <v>Basic</v>
      </c>
      <c r="N35" s="10" t="s">
        <v>1062</v>
      </c>
      <c r="O35" s="25" t="str" cm="1">
        <f t="array" aca="1" ref="O35" ca="1">OperateOnList(
  SanitizeInput($N35),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QA10a Does the product communicate with an external system locally (e.g., a USB stick, an SD card, an RFID tag)? [Yes]
» Is the external system considered as trustworthy? In case of several systems, consider the worst case. [No],
QA10b Does the product communicate with an external system on the Internet (e.g., an untrusted 3rd party backend, a &lt;&lt; OEM Name &gt;&gt; cloud service, a &lt;&lt; OEM Name &gt;&gt; server system)? [Yes]
» Is the external system considered as trustworthy? In case of several systems, consider the worst case. [No]</v>
      </c>
      <c r="P35" s="10" t="s">
        <v>454</v>
      </c>
      <c r="Q35" s="10"/>
      <c r="R35" s="9" cm="1">
        <f t="array" aca="1" ref="R35" ca="1">CreateID($R$2,$A35&lt;&gt;"")</f>
        <v>33</v>
      </c>
      <c r="S35" s="11" t="b">
        <f ca="1">OR(CheckRelevance(SanitizeInput(N35),Questionnaire!$J:$J),CheckRelevance(SanitizeInput(N35),Questionnaire!$K:$K))</f>
        <v>0</v>
      </c>
      <c r="T35" s="11" t="str" cm="1">
        <f t="array" aca="1" ref="T35" ca="1">IF(AND($N35&lt;&gt;"",$S35=FALSE),"",
IF(AND($S35,$C35=""),$A35&amp;",§","")&amp;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GenerateAttackPaths(RemoveFirstElement(_xlpm._in),_xlpm._apRange,_xlpm._ownID))))(SanitizeInput($C35),$A:$T,$A35))</f>
        <v/>
      </c>
      <c r="U35" s="11" t="str" cm="1">
        <f t="array" aca="1" ref="U35" ca="1">GetValues(SanitizeInput($E35),'Damage Scenarios'!$B:$T,"",",",FALSE)</f>
        <v/>
      </c>
      <c r="V35" s="11" t="b">
        <f t="shared" ref="V35:V40" ca="1" si="3">AND($T35&lt;&gt;"",$U35&lt;&gt;"")</f>
        <v>0</v>
      </c>
      <c r="W35" s="11" cm="1">
        <f t="array" aca="1" ref="W35" ca="1">CreateID($W$2,$V35)</f>
        <v>0</v>
      </c>
      <c r="X35" s="11">
        <f t="shared" ca="1" si="1"/>
        <v>0</v>
      </c>
      <c r="Y35" s="11" cm="1">
        <f t="array" aca="1" ref="Y35" ca="1">OperateOnRange(
  $H35,
  TRUE,
  Helper!$B$16,
  0,
  _xlfn.LAMBDA(_xlpm._factor,IF(_xlpm._factor="",0,SimpleLookup(_xlpm._factor,Definitions!$Z:$AA))),
  _xlfn.LAMBDA(_xlpm._x,_xlpm._y,_xlpm._x+_xlpm._y))</f>
        <v>0</v>
      </c>
      <c r="Z35" s="11" cm="1">
        <f t="array" ref="Z35">CreateTaskID($Z$2,$Z:$Z,Tasks!$B$17,$Q35)</f>
        <v>0</v>
      </c>
      <c r="AA35" s="11" t="str" cm="1">
        <f t="array" aca="1" ref="AA35" ca="1">InverseLookup($A35,Countermeasures!$Y$2,Countermeasures!$A$2,1,Helper!$B$4,",")</f>
        <v/>
      </c>
      <c r="AB35" s="11" t="str" cm="1">
        <f t="array" aca="1" ref="AB35" ca="1">InverseLookup($A35,Assumptions!$Y$2,Assumptions!$A$2,1,Helper!$B$6,",")</f>
        <v/>
      </c>
      <c r="AC35" s="11" t="str" cm="1">
        <f t="array" aca="1" ref="AC35" ca="1">InverseLookup($A35,Assumptions!$Z$2,Assumptions!$A$2,1,Helper!$B$6,",")</f>
        <v>A25,</v>
      </c>
      <c r="AD35" s="11" t="str" cm="1">
        <f t="array" aca="1" ref="AD35" ca="1">IF($V35,
CreateSearchString(SUBSTITUTE($T35,"§","")),
"")</f>
        <v/>
      </c>
      <c r="AE35" s="11" t="b">
        <f t="shared" ca="1" si="2"/>
        <v>0</v>
      </c>
      <c r="AF35" s="11" t="str" cm="1">
        <f t="array" aca="1" ref="AF35" ca="1">_xlfn.SWITCH($N35,
"*","",
"","",
_xlfn.LET(
_xlpm._answers,SUBSTITUTE(SanitizeInput($N35),"&amp;",","),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IF(_xlpm._questionIDUndefined,$A35&amp;" - "&amp;_xlpm._question&amp;": ERROR: Unknown question ID.",
        IF(_xlpm._firstAnswerIsValidOption,"",$A35&amp;" - "&amp;_xlpm._question&amp;": First answer ("&amp;_xlpm._firstAnswer&amp;") is not a valid option.")&amp;
        IF(_xlpm._secondAnswerRequired,IF(_xlpm._secondAnswerProvided,"",$A35&amp;" - "&amp;_xlpm._question&amp;": Second answer required but not provided."),"")&amp;
        IF(NOT(_xlpm._secondAnswerRequired),IF(_xlpm._secondAnswerProvided,$A35&amp;" - "&amp;_xlpm._question&amp;": Second answer ("&amp;_xlpm._secondAnswer&amp;") provided but the question only supports one answer.",""),"")&amp;
        IF(_xlpm._secondAnswerIsValidOption,"",$A35&amp;" - "&amp;_xlpm._question&amp;": Second answer ("&amp;_xlpm._secondAnswer&amp;") is not a valid option.")))),
  _xlfn.LAMBDA(_xlpm._x,_xlpm._y,_xlpm._x&amp;IF(_xlpm._x="","",CHAR(10))&amp;_xlpm._y))))</f>
        <v/>
      </c>
      <c r="AG35" s="11" cm="1">
        <f t="array" aca="1" ref="AG35" ca="1">CreateID($AG$2,$AF35&lt;&gt;"")</f>
        <v>0</v>
      </c>
      <c r="AH35" s="56"/>
    </row>
    <row r="36" spans="1:36" ht="75" x14ac:dyDescent="0.25">
      <c r="A36" s="10" t="s">
        <v>813</v>
      </c>
      <c r="B36" s="10" t="s">
        <v>814</v>
      </c>
      <c r="C36" s="10"/>
      <c r="D36" s="16" t="str" cm="1">
        <f t="array" ref="D36">LookupNames($C36,$A:$B)</f>
        <v/>
      </c>
      <c r="E36" s="10"/>
      <c r="F36" s="16" t="str" cm="1">
        <f t="array" ref="F36">RemoveDelimiter(GetValues(SanitizeInput($E36),Questions!$A:$B,"   ",CHAR(10),TRUE),CHAR(10))</f>
        <v/>
      </c>
      <c r="G36" s="13" t="str" cm="1">
        <f t="array" ref="G36">LookupNames($U36,'Damage Scenarios'!$A:$J)</f>
        <v/>
      </c>
      <c r="H36" s="10"/>
      <c r="I36" s="10" t="s">
        <v>111</v>
      </c>
      <c r="J36" s="10"/>
      <c r="K36" s="10" t="s">
        <v>119</v>
      </c>
      <c r="L36" s="10"/>
      <c r="M36" s="91" t="str">
        <f ca="1">IF($A36="","",IFERROR(VLOOKUP($Y36,Definitions!$V:$W,COLUMNS(Definitions!$V:$W),TRUE),""))</f>
        <v>Basic</v>
      </c>
      <c r="N36" s="10" t="s">
        <v>1064</v>
      </c>
      <c r="O36" s="25" t="str" cm="1">
        <f t="array" aca="1" ref="O36" ca="1">OperateOnList(
  SanitizeInput($N36),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QA10b Does the product communicate with an external system on the Internet (e.g., an untrusted 3rd party backend, a &lt;&lt; OEM Name &gt;&gt; cloud service, a &lt;&lt; OEM Name &gt;&gt; server system)? [Yes]
» Is the external system considered as trustworthy? In case of several systems, consider the worst case. [*]</v>
      </c>
      <c r="P36" s="10"/>
      <c r="Q36" s="10" t="s">
        <v>850</v>
      </c>
      <c r="R36" s="9" cm="1">
        <f t="array" aca="1" ref="R36" ca="1">CreateID($R$2,$A36&lt;&gt;"")</f>
        <v>34</v>
      </c>
      <c r="S36" s="11" t="b">
        <f ca="1">OR(CheckRelevance(SanitizeInput(N36),Questionnaire!$J:$J),CheckRelevance(SanitizeInput(N36),Questionnaire!$K:$K))</f>
        <v>0</v>
      </c>
      <c r="T36" s="11" t="str" cm="1">
        <f t="array" aca="1" ref="T36" ca="1">IF(AND($N36&lt;&gt;"",$S36=FALSE),"",
IF(AND($S36,$C36=""),$A36&amp;",§","")&amp;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GenerateAttackPaths(RemoveFirstElement(_xlpm._in),_xlpm._apRange,_xlpm._ownID))))(SanitizeInput($C36),$A:$T,$A36))</f>
        <v/>
      </c>
      <c r="U36" s="11" t="str" cm="1">
        <f t="array" ref="U36">GetValues(SanitizeInput($E36),'Damage Scenarios'!$B:$T,"",",",FALSE)</f>
        <v/>
      </c>
      <c r="V36" s="11" t="b">
        <f t="shared" ca="1" si="3"/>
        <v>0</v>
      </c>
      <c r="W36" s="11" cm="1">
        <f t="array" aca="1" ref="W36" ca="1">CreateID($W$2,$V36)</f>
        <v>0</v>
      </c>
      <c r="X36" s="11">
        <f t="shared" ref="X36:X41" ca="1" si="4">IF($V36,LEN($T36)-LEN(SUBSTITUTE($T36,"§","")),0)</f>
        <v>0</v>
      </c>
      <c r="Y36" s="11" cm="1">
        <f t="array" aca="1" ref="Y36" ca="1">OperateOnRange(
  $H36,
  TRUE,
  Helper!$B$16,
  0,
  _xlfn.LAMBDA(_xlpm._factor,IF(_xlpm._factor="",0,SimpleLookup(_xlpm._factor,Definitions!$Z:$AA))),
  _xlfn.LAMBDA(_xlpm._x,_xlpm._y,_xlpm._x+_xlpm._y))</f>
        <v>3</v>
      </c>
      <c r="Z36" s="11" cm="1">
        <f t="array" ref="Z36">CreateTaskID($Z$2,$Z:$Z,Tasks!$B$17,$Q36)</f>
        <v>0</v>
      </c>
      <c r="AA36" s="11" t="str" cm="1">
        <f t="array" aca="1" ref="AA36" ca="1">InverseLookup($A36,Countermeasures!$Y$2,Countermeasures!$A$2,1,Helper!$B$4,",")</f>
        <v>CM11,</v>
      </c>
      <c r="AB36" s="11" t="str" cm="1">
        <f t="array" aca="1" ref="AB36" ca="1">InverseLookup($A36,Assumptions!$Y$2,Assumptions!$A$2,1,Helper!$B$6,",")</f>
        <v/>
      </c>
      <c r="AC36" s="11" t="str" cm="1">
        <f t="array" aca="1" ref="AC36" ca="1">InverseLookup($A36,Assumptions!$Z$2,Assumptions!$A$2,1,Helper!$B$6,",")</f>
        <v>A26,</v>
      </c>
      <c r="AD36" s="11" t="str" cm="1">
        <f t="array" aca="1" ref="AD36" ca="1">IF($V36,
CreateSearchString(SUBSTITUTE($T36,"§","")),
"")</f>
        <v/>
      </c>
      <c r="AE36" s="11" t="b">
        <f t="shared" ca="1" si="2"/>
        <v>0</v>
      </c>
      <c r="AF36" s="11" t="str" cm="1">
        <f t="array" aca="1" ref="AF36" ca="1">_xlfn.SWITCH($N36,
"*","",
"","",
_xlfn.LET(
_xlpm._answers,SUBSTITUTE(SanitizeInput($N36),"&amp;",","),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IF(_xlpm._questionIDUndefined,$A36&amp;" - "&amp;_xlpm._question&amp;": ERROR: Unknown question ID.",
        IF(_xlpm._firstAnswerIsValidOption,"",$A36&amp;" - "&amp;_xlpm._question&amp;": First answer ("&amp;_xlpm._firstAnswer&amp;") is not a valid option.")&amp;
        IF(_xlpm._secondAnswerRequired,IF(_xlpm._secondAnswerProvided,"",$A36&amp;" - "&amp;_xlpm._question&amp;": Second answer required but not provided."),"")&amp;
        IF(NOT(_xlpm._secondAnswerRequired),IF(_xlpm._secondAnswerProvided,$A36&amp;" - "&amp;_xlpm._question&amp;": Second answer ("&amp;_xlpm._secondAnswer&amp;") provided but the question only supports one answer.",""),"")&amp;
        IF(_xlpm._secondAnswerIsValidOption,"",$A36&amp;" - "&amp;_xlpm._question&amp;": Second answer ("&amp;_xlpm._secondAnswer&amp;") is not a valid option.")))),
  _xlfn.LAMBDA(_xlpm._x,_xlpm._y,_xlpm._x&amp;IF(_xlpm._x="","",CHAR(10))&amp;_xlpm._y))))</f>
        <v/>
      </c>
      <c r="AG36" s="11" cm="1">
        <f t="array" aca="1" ref="AG36" ca="1">CreateID($AG$2,$AF36&lt;&gt;"")</f>
        <v>0</v>
      </c>
    </row>
    <row r="37" spans="1:36" ht="113.25" x14ac:dyDescent="0.25">
      <c r="A37" s="10" t="s">
        <v>817</v>
      </c>
      <c r="B37" s="10" t="s">
        <v>963</v>
      </c>
      <c r="C37" s="10"/>
      <c r="D37" s="16" t="str" cm="1">
        <f t="array" ref="D37">LookupNames($C37,$A:$B)</f>
        <v/>
      </c>
      <c r="E37" s="10" t="s">
        <v>915</v>
      </c>
      <c r="F37" s="16" t="str" cm="1">
        <f t="array" aca="1" ref="F37" ca="1">RemoveDelimiter(GetValues(SanitizeInput($E37),Questions!$A:$B,"   ",CHAR(10),TRUE),CHAR(10))</f>
        <v>QI6   Can a loss of availability of the product (or its communication) endanger the health of people?
(Consider how the operational environment reacts to a loss of availability of the product.)
QI7   Is the availability of the product relevant for its operational environment?
QI8   Can a loss of availability allow an attacker access to assets of the customer (including physical access not detected by the &lt;&lt; OEM Name &gt;&gt; product)? Example: The product is used for access control.
QI9   Can a loss of availability cause contract-related fines (e.g., based on a service level agreement)?</v>
      </c>
      <c r="G37" s="13" t="str" cm="1">
        <f t="array" aca="1" ref="G37" ca="1">LookupNames($U37,'Damage Scenarios'!$A:$J)</f>
        <v/>
      </c>
      <c r="H37" s="10"/>
      <c r="I37" s="10"/>
      <c r="J37" s="10"/>
      <c r="K37" s="10"/>
      <c r="L37" s="10"/>
      <c r="M37" s="91" t="str">
        <f ca="1">IF($A37="","",IFERROR(VLOOKUP($Y37,Definitions!$V:$W,COLUMNS(Definitions!$V:$W),TRUE),""))</f>
        <v>Basic</v>
      </c>
      <c r="N37" s="10" t="s">
        <v>1064</v>
      </c>
      <c r="O37" s="25" t="str" cm="1">
        <f t="array" aca="1" ref="O37" ca="1">OperateOnList(
  SanitizeInput($N37),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QA10b Does the product communicate with an external system on the Internet (e.g., an untrusted 3rd party backend, a &lt;&lt; OEM Name &gt;&gt; cloud service, a &lt;&lt; OEM Name &gt;&gt; server system)? [Yes]
» Is the external system considered as trustworthy? In case of several systems, consider the worst case. [*]</v>
      </c>
      <c r="P37" s="10"/>
      <c r="Q37" s="10" t="s">
        <v>962</v>
      </c>
      <c r="R37" s="9" cm="1">
        <f t="array" aca="1" ref="R37" ca="1">CreateID($R$2,$A37&lt;&gt;"")</f>
        <v>35</v>
      </c>
      <c r="S37" s="11" t="b">
        <f ca="1">OR(CheckRelevance(SanitizeInput(N37),Questionnaire!$J:$J),CheckRelevance(SanitizeInput(N37),Questionnaire!$K:$K))</f>
        <v>0</v>
      </c>
      <c r="T37" s="11" t="str" cm="1">
        <f t="array" aca="1" ref="T37" ca="1">IF(AND($N37&lt;&gt;"",$S37=FALSE),"",
IF(AND($S37,$C37=""),$A37&amp;",§","")&amp;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GenerateAttackPaths(RemoveFirstElement(_xlpm._in),_xlpm._apRange,_xlpm._ownID))))(SanitizeInput($C37),$A:$T,$A37))</f>
        <v/>
      </c>
      <c r="U37" s="11" t="str" cm="1">
        <f t="array" aca="1" ref="U37" ca="1">GetValues(SanitizeInput($E37),'Damage Scenarios'!$B:$T,"",",",FALSE)</f>
        <v/>
      </c>
      <c r="V37" s="11" t="b">
        <f t="shared" ca="1" si="3"/>
        <v>0</v>
      </c>
      <c r="W37" s="11" cm="1">
        <f t="array" aca="1" ref="W37" ca="1">CreateID($W$2,$V37)</f>
        <v>0</v>
      </c>
      <c r="X37" s="11">
        <f t="shared" ca="1" si="4"/>
        <v>0</v>
      </c>
      <c r="Y37" s="11" cm="1">
        <f t="array" aca="1" ref="Y37" ca="1">OperateOnRange(
  $H37,
  TRUE,
  Helper!$B$16,
  0,
  _xlfn.LAMBDA(_xlpm._factor,IF(_xlpm._factor="",0,SimpleLookup(_xlpm._factor,Definitions!$Z:$AA))),
  _xlfn.LAMBDA(_xlpm._x,_xlpm._y,_xlpm._x+_xlpm._y))</f>
        <v>0</v>
      </c>
      <c r="Z37" s="11" cm="1">
        <f t="array" ref="Z37">CreateTaskID($Z$2,$Z:$Z,Tasks!$B$17,$Q37)</f>
        <v>0</v>
      </c>
      <c r="AA37" s="11" t="str" cm="1">
        <f t="array" aca="1" ref="AA37" ca="1">InverseLookup($A37,Countermeasures!$Y$2,Countermeasures!$A$2,1,Helper!$B$4,",")</f>
        <v/>
      </c>
      <c r="AB37" s="11" t="str" cm="1">
        <f t="array" aca="1" ref="AB37" ca="1">InverseLookup($A37,Assumptions!$Y$2,Assumptions!$A$2,1,Helper!$B$6,",")</f>
        <v/>
      </c>
      <c r="AC37" s="11" t="str" cm="1">
        <f t="array" aca="1" ref="AC37" ca="1">InverseLookup($A37,Assumptions!$Z$2,Assumptions!$A$2,1,Helper!$B$6,",")</f>
        <v>A41,</v>
      </c>
      <c r="AD37" s="11" t="str" cm="1">
        <f t="array" aca="1" ref="AD37" ca="1">IF($V37,
CreateSearchString(SUBSTITUTE($T37,"§","")),
"")</f>
        <v/>
      </c>
      <c r="AE37" s="11" t="b">
        <f t="shared" ca="1" si="2"/>
        <v>0</v>
      </c>
      <c r="AF37" s="11" t="str" cm="1">
        <f t="array" aca="1" ref="AF37" ca="1">_xlfn.SWITCH($N37,
"*","",
"","",
_xlfn.LET(
_xlpm._answers,SUBSTITUTE(SanitizeInput($N37),"&amp;",","),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IF(_xlpm._questionIDUndefined,$A37&amp;" - "&amp;_xlpm._question&amp;": ERROR: Unknown question ID.",
        IF(_xlpm._firstAnswerIsValidOption,"",$A37&amp;" - "&amp;_xlpm._question&amp;": First answer ("&amp;_xlpm._firstAnswer&amp;") is not a valid option.")&amp;
        IF(_xlpm._secondAnswerRequired,IF(_xlpm._secondAnswerProvided,"",$A37&amp;" - "&amp;_xlpm._question&amp;": Second answer required but not provided."),"")&amp;
        IF(NOT(_xlpm._secondAnswerRequired),IF(_xlpm._secondAnswerProvided,$A37&amp;" - "&amp;_xlpm._question&amp;": Second answer ("&amp;_xlpm._secondAnswer&amp;") provided but the question only supports one answer.",""),"")&amp;
        IF(_xlpm._secondAnswerIsValidOption,"",$A37&amp;" - "&amp;_xlpm._question&amp;": Second answer ("&amp;_xlpm._secondAnswer&amp;") is not a valid option.")))),
  _xlfn.LAMBDA(_xlpm._x,_xlpm._y,_xlpm._x&amp;IF(_xlpm._x="","",CHAR(10))&amp;_xlpm._y))))</f>
        <v/>
      </c>
      <c r="AG37" s="11" cm="1">
        <f t="array" aca="1" ref="AG37" ca="1">CreateID($AG$2,$AF37&lt;&gt;"")</f>
        <v>0</v>
      </c>
    </row>
    <row r="38" spans="1:36" ht="75" x14ac:dyDescent="0.25">
      <c r="A38" s="10" t="s">
        <v>835</v>
      </c>
      <c r="B38" s="10" t="s">
        <v>834</v>
      </c>
      <c r="C38" s="10"/>
      <c r="D38" s="16" t="str" cm="1">
        <f t="array" ref="D38">LookupNames($C38,$A:$B)</f>
        <v/>
      </c>
      <c r="E38" s="10"/>
      <c r="F38" s="16" t="str" cm="1">
        <f t="array" ref="F38">RemoveDelimiter(GetValues(SanitizeInput($E38),Questions!$A:$B,"   ",CHAR(10),TRUE),CHAR(10))</f>
        <v/>
      </c>
      <c r="G38" s="13" t="str" cm="1">
        <f t="array" ref="G38">LookupNames($U38,'Damage Scenarios'!$A:$J)</f>
        <v/>
      </c>
      <c r="H38" s="10"/>
      <c r="I38" s="10" t="s">
        <v>111</v>
      </c>
      <c r="J38" s="10"/>
      <c r="K38" s="10" t="s">
        <v>119</v>
      </c>
      <c r="L38" s="10"/>
      <c r="M38" s="91" t="str">
        <f ca="1">IF($A38="","",IFERROR(VLOOKUP($Y38,Definitions!$V:$W,COLUMNS(Definitions!$V:$W),TRUE),""))</f>
        <v>Basic</v>
      </c>
      <c r="N38" s="10" t="s">
        <v>1064</v>
      </c>
      <c r="O38" s="25" t="str" cm="1">
        <f t="array" aca="1" ref="O38" ca="1">OperateOnList(
  SanitizeInput($N38),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QA10b Does the product communicate with an external system on the Internet (e.g., an untrusted 3rd party backend, a &lt;&lt; OEM Name &gt;&gt; cloud service, a &lt;&lt; OEM Name &gt;&gt; server system)? [Yes]
» Is the external system considered as trustworthy? In case of several systems, consider the worst case. [*]</v>
      </c>
      <c r="P38" s="10"/>
      <c r="Q38" s="10" t="s">
        <v>850</v>
      </c>
      <c r="R38" s="9" cm="1">
        <f t="array" aca="1" ref="R38" ca="1">CreateID($R$2,$A38&lt;&gt;"")</f>
        <v>36</v>
      </c>
      <c r="S38" s="11" t="b">
        <f ca="1">OR(CheckRelevance(SanitizeInput(N38),Questionnaire!$J:$J),CheckRelevance(SanitizeInput(N38),Questionnaire!$K:$K))</f>
        <v>0</v>
      </c>
      <c r="T38" s="11" t="str" cm="1">
        <f t="array" aca="1" ref="T38" ca="1">IF(AND($N38&lt;&gt;"",$S38=FALSE),"",
IF(AND($S38,$C38=""),$A38&amp;",§","")&amp;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GenerateAttackPaths(RemoveFirstElement(_xlpm._in),_xlpm._apRange,_xlpm._ownID))))(SanitizeInput($C38),$A:$T,$A38))</f>
        <v/>
      </c>
      <c r="U38" s="11" t="str" cm="1">
        <f t="array" ref="U38">GetValues(SanitizeInput($E38),'Damage Scenarios'!$B:$T,"",",",FALSE)</f>
        <v/>
      </c>
      <c r="V38" s="11" t="b">
        <f t="shared" ca="1" si="3"/>
        <v>0</v>
      </c>
      <c r="W38" s="11" cm="1">
        <f t="array" aca="1" ref="W38" ca="1">CreateID($W$2,$V38)</f>
        <v>0</v>
      </c>
      <c r="X38" s="11">
        <f t="shared" ca="1" si="4"/>
        <v>0</v>
      </c>
      <c r="Y38" s="11" cm="1">
        <f t="array" aca="1" ref="Y38" ca="1">OperateOnRange(
  $H38,
  TRUE,
  Helper!$B$16,
  0,
  _xlfn.LAMBDA(_xlpm._factor,IF(_xlpm._factor="",0,SimpleLookup(_xlpm._factor,Definitions!$Z:$AA))),
  _xlfn.LAMBDA(_xlpm._x,_xlpm._y,_xlpm._x+_xlpm._y))</f>
        <v>3</v>
      </c>
      <c r="Z38" s="11" cm="1">
        <f t="array" ref="Z38">CreateTaskID($Z$2,$Z:$Z,Tasks!$B$17,$Q38)</f>
        <v>0</v>
      </c>
      <c r="AA38" s="11" t="str" cm="1">
        <f t="array" aca="1" ref="AA38" ca="1">InverseLookup($A38,Countermeasures!$Y$2,Countermeasures!$A$2,1,Helper!$B$4,",")</f>
        <v>CM11,</v>
      </c>
      <c r="AB38" s="11" t="str" cm="1">
        <f t="array" aca="1" ref="AB38" ca="1">InverseLookup($A38,Assumptions!$Y$2,Assumptions!$A$2,1,Helper!$B$6,",")</f>
        <v/>
      </c>
      <c r="AC38" s="11" t="str" cm="1">
        <f t="array" aca="1" ref="AC38" ca="1">InverseLookup($A38,Assumptions!$Z$2,Assumptions!$A$2,1,Helper!$B$6,",")</f>
        <v>A27,</v>
      </c>
      <c r="AD38" s="11" t="str" cm="1">
        <f t="array" aca="1" ref="AD38" ca="1">IF($V38,
CreateSearchString(SUBSTITUTE($T38,"§","")),
"")</f>
        <v/>
      </c>
      <c r="AE38" s="11" t="b">
        <f t="shared" ca="1" si="2"/>
        <v>0</v>
      </c>
      <c r="AF38" s="11" t="str" cm="1">
        <f t="array" aca="1" ref="AF38" ca="1">_xlfn.SWITCH($N38,
"*","",
"","",
_xlfn.LET(
_xlpm._answers,SUBSTITUTE(SanitizeInput($N38),"&amp;",","),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IF(_xlpm._questionIDUndefined,$A38&amp;" - "&amp;_xlpm._question&amp;": ERROR: Unknown question ID.",
        IF(_xlpm._firstAnswerIsValidOption,"",$A38&amp;" - "&amp;_xlpm._question&amp;": First answer ("&amp;_xlpm._firstAnswer&amp;") is not a valid option.")&amp;
        IF(_xlpm._secondAnswerRequired,IF(_xlpm._secondAnswerProvided,"",$A38&amp;" - "&amp;_xlpm._question&amp;": Second answer required but not provided."),"")&amp;
        IF(NOT(_xlpm._secondAnswerRequired),IF(_xlpm._secondAnswerProvided,$A38&amp;" - "&amp;_xlpm._question&amp;": Second answer ("&amp;_xlpm._secondAnswer&amp;") provided but the question only supports one answer.",""),"")&amp;
        IF(_xlpm._secondAnswerIsValidOption,"",$A38&amp;" - "&amp;_xlpm._question&amp;": Second answer ("&amp;_xlpm._secondAnswer&amp;") is not a valid option.")))),
  _xlfn.LAMBDA(_xlpm._x,_xlpm._y,_xlpm._x&amp;IF(_xlpm._x="","",CHAR(10))&amp;_xlpm._y))))</f>
        <v/>
      </c>
      <c r="AG38" s="11" cm="1">
        <f t="array" aca="1" ref="AG38" ca="1">CreateID($AG$2,$AF38&lt;&gt;"")</f>
        <v>0</v>
      </c>
    </row>
    <row r="39" spans="1:36" ht="203.25" x14ac:dyDescent="0.25">
      <c r="A39" s="10" t="s">
        <v>940</v>
      </c>
      <c r="B39" s="10" t="s">
        <v>941</v>
      </c>
      <c r="C39" s="10"/>
      <c r="D39" s="16" t="str" cm="1">
        <f t="array" ref="D39">LookupNames($C39,$A:$B)</f>
        <v/>
      </c>
      <c r="E39" s="10" t="s">
        <v>908</v>
      </c>
      <c r="F39" s="16" t="str" cm="1">
        <f t="array" aca="1" ref="F39" ca="1">RemoveDelimiter(GetValues(SanitizeInput($E39),Questions!$A:$B,"   ",CHAR(10),TRUE),CHAR(10))</f>
        <v>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Note that this includes both &lt;&lt; OEM Name &gt;&gt; and customer IP.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39" s="13" t="str" cm="1">
        <f t="array" aca="1" ref="G39" ca="1">LookupNames($U39,'Damage Scenarios'!$A:$J)</f>
        <v/>
      </c>
      <c r="H39" s="10"/>
      <c r="I39" s="10"/>
      <c r="J39" s="10"/>
      <c r="K39" s="10"/>
      <c r="L39" s="10"/>
      <c r="M39" s="91" t="str">
        <f ca="1">IF($A39="","",IFERROR(VLOOKUP($Y39,Definitions!$V:$W,COLUMNS(Definitions!$V:$W),TRUE),""))</f>
        <v>Basic</v>
      </c>
      <c r="N39" s="10" t="s">
        <v>968</v>
      </c>
      <c r="O39" s="25" t="str" cm="1">
        <f t="array" aca="1" ref="O39" ca="1">OperateOnList(
  SanitizeInput($N39),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QA18 Is the product produced in a secure environment? [*]</v>
      </c>
      <c r="P39" s="10" t="s">
        <v>449</v>
      </c>
      <c r="Q39" s="10"/>
      <c r="R39" s="9" cm="1">
        <f t="array" aca="1" ref="R39" ca="1">CreateID($R$2,$A39&lt;&gt;"")</f>
        <v>37</v>
      </c>
      <c r="S39" s="11" t="b">
        <f ca="1">OR(CheckRelevance(SanitizeInput(N39),Questionnaire!$J:$J),CheckRelevance(SanitizeInput(N39),Questionnaire!$K:$K))</f>
        <v>1</v>
      </c>
      <c r="T39" s="11" t="str" cm="1">
        <f t="array" aca="1" ref="T39" ca="1">IF(AND($N39&lt;&gt;"",$S39=FALSE),"",
IF(AND($S39,$C39=""),$A39&amp;",§","")&amp;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GenerateAttackPaths(RemoveFirstElement(_xlpm._in),_xlpm._apRange,_xlpm._ownID))))(SanitizeInput($C39),$A:$T,$A39))</f>
        <v>AS37,§</v>
      </c>
      <c r="U39" s="11" t="str" cm="1">
        <f t="array" aca="1" ref="U39" ca="1">GetValues(SanitizeInput($E39),'Damage Scenarios'!$B:$T,"",",",FALSE)</f>
        <v/>
      </c>
      <c r="V39" s="11" t="b">
        <f t="shared" ca="1" si="3"/>
        <v>0</v>
      </c>
      <c r="W39" s="11" cm="1">
        <f t="array" aca="1" ref="W39" ca="1">CreateID($W$2,$V39)</f>
        <v>0</v>
      </c>
      <c r="X39" s="11">
        <f t="shared" ca="1" si="4"/>
        <v>0</v>
      </c>
      <c r="Y39" s="11" cm="1">
        <f t="array" aca="1" ref="Y39" ca="1">OperateOnRange(
  $H39,
  TRUE,
  Helper!$B$16,
  0,
  _xlfn.LAMBDA(_xlpm._factor,IF(_xlpm._factor="",0,SimpleLookup(_xlpm._factor,Definitions!$Z:$AA))),
  _xlfn.LAMBDA(_xlpm._x,_xlpm._y,_xlpm._x+_xlpm._y))</f>
        <v>0</v>
      </c>
      <c r="Z39" s="11" cm="1">
        <f t="array" ref="Z39">CreateTaskID($Z$2,$Z:$Z,Tasks!$B$17,$Q39)</f>
        <v>0</v>
      </c>
      <c r="AA39" s="11" t="str" cm="1">
        <f t="array" aca="1" ref="AA39" ca="1">InverseLookup($A39,Countermeasures!$Y$2,Countermeasures!$A$2,1,Helper!$B$4,",")</f>
        <v/>
      </c>
      <c r="AB39" s="11" t="str" cm="1">
        <f t="array" aca="1" ref="AB39" ca="1">InverseLookup($A39,Assumptions!$Y$2,Assumptions!$A$2,1,Helper!$B$6,",")</f>
        <v/>
      </c>
      <c r="AC39" s="11" t="str" cm="1">
        <f t="array" aca="1" ref="AC39" ca="1">InverseLookup($A39,Assumptions!$Z$2,Assumptions!$A$2,1,Helper!$B$6,",")</f>
        <v>A17,</v>
      </c>
      <c r="AD39" s="11" t="str" cm="1">
        <f t="array" aca="1" ref="AD39" ca="1">IF($V39,
CreateSearchString(SUBSTITUTE($T39,"§","")),
"")</f>
        <v/>
      </c>
      <c r="AE39" s="11" t="b">
        <f t="shared" ca="1" si="2"/>
        <v>0</v>
      </c>
      <c r="AF39" s="11" t="str" cm="1">
        <f t="array" aca="1" ref="AF39" ca="1">_xlfn.SWITCH($N39,
"*","",
"","",
_xlfn.LET(
_xlpm._answers,SUBSTITUTE(SanitizeInput($N39),"&amp;",","),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IF(_xlpm._questionIDUndefined,$A39&amp;" - "&amp;_xlpm._question&amp;": ERROR: Unknown question ID.",
        IF(_xlpm._firstAnswerIsValidOption,"",$A39&amp;" - "&amp;_xlpm._question&amp;": First answer ("&amp;_xlpm._firstAnswer&amp;") is not a valid option.")&amp;
        IF(_xlpm._secondAnswerRequired,IF(_xlpm._secondAnswerProvided,"",$A39&amp;" - "&amp;_xlpm._question&amp;": Second answer required but not provided."),"")&amp;
        IF(NOT(_xlpm._secondAnswerRequired),IF(_xlpm._secondAnswerProvided,$A39&amp;" - "&amp;_xlpm._question&amp;": Second answer ("&amp;_xlpm._secondAnswer&amp;") provided but the question only supports one answer.",""),"")&amp;
        IF(_xlpm._secondAnswerIsValidOption,"",$A39&amp;" - "&amp;_xlpm._question&amp;": Second answer ("&amp;_xlpm._secondAnswer&amp;") is not a valid option.")))),
  _xlfn.LAMBDA(_xlpm._x,_xlpm._y,_xlpm._x&amp;IF(_xlpm._x="","",CHAR(10))&amp;_xlpm._y))))</f>
        <v/>
      </c>
      <c r="AG39" s="11" cm="1">
        <f t="array" aca="1" ref="AG39" ca="1">CreateID($AG$2,$AF39&lt;&gt;"")</f>
        <v>0</v>
      </c>
    </row>
    <row r="40" spans="1:36" ht="203.25" x14ac:dyDescent="0.25">
      <c r="A40" s="10" t="s">
        <v>942</v>
      </c>
      <c r="B40" s="10" t="s">
        <v>945</v>
      </c>
      <c r="C40" s="10"/>
      <c r="D40" s="16" t="str" cm="1">
        <f t="array" ref="D40">LookupNames($C40,$A:$B)</f>
        <v/>
      </c>
      <c r="E40" s="10" t="s">
        <v>908</v>
      </c>
      <c r="F40" s="16" t="str" cm="1">
        <f t="array" aca="1" ref="F40" ca="1">RemoveDelimiter(GetValues(SanitizeInput($E40),Questions!$A:$B,"   ",CHAR(10),TRUE),CHAR(10))</f>
        <v>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Note that this includes both &lt;&lt; OEM Name &gt;&gt; and customer IP.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40" s="13" t="str" cm="1">
        <f t="array" aca="1" ref="G40" ca="1">LookupNames($U40,'Damage Scenarios'!$A:$J)</f>
        <v/>
      </c>
      <c r="H40" s="10"/>
      <c r="I40" s="10"/>
      <c r="J40" s="10"/>
      <c r="K40" s="10"/>
      <c r="L40" s="10"/>
      <c r="M40" s="91" t="str">
        <f ca="1">IF($A40="","",IFERROR(VLOOKUP($Y40,Definitions!$V:$W,COLUMNS(Definitions!$V:$W),TRUE),""))</f>
        <v>Basic</v>
      </c>
      <c r="N40" s="10" t="s">
        <v>1677</v>
      </c>
      <c r="O40" s="25" t="str" cm="1">
        <f t="array" aca="1" ref="O40" ca="1">OperateOnList(
  SanitizeInput($N40),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QA19 Are the supply chain partners trustworthy and protected against attacks? [Yes]
» Will the supplier provide regular updates for the product? [*],
QA19 Are the supply chain partners trustworthy and protected against attacks? [No]</v>
      </c>
      <c r="P40" s="10" t="s">
        <v>449</v>
      </c>
      <c r="Q40" s="10"/>
      <c r="R40" s="9" cm="1">
        <f t="array" aca="1" ref="R40" ca="1">CreateID($R$2,$A40&lt;&gt;"")</f>
        <v>38</v>
      </c>
      <c r="S40" s="11" t="b">
        <f ca="1">OR(CheckRelevance(SanitizeInput(N40),Questionnaire!$J:$J),CheckRelevance(SanitizeInput(N40),Questionnaire!$K:$K))</f>
        <v>0</v>
      </c>
      <c r="T40" s="11" t="str" cm="1">
        <f t="array" aca="1" ref="T40" ca="1">IF(AND($N40&lt;&gt;"",$S40=FALSE),"",
IF(AND($S40,$C40=""),$A40&amp;",§","")&amp;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GenerateAttackPaths(RemoveFirstElement(_xlpm._in),_xlpm._apRange,_xlpm._ownID))))(SanitizeInput($C40),$A:$T,$A40))</f>
        <v/>
      </c>
      <c r="U40" s="11" t="str" cm="1">
        <f t="array" aca="1" ref="U40" ca="1">GetValues(SanitizeInput($E40),'Damage Scenarios'!$B:$T,"",",",FALSE)</f>
        <v/>
      </c>
      <c r="V40" s="11" t="b">
        <f t="shared" ca="1" si="3"/>
        <v>0</v>
      </c>
      <c r="W40" s="11" cm="1">
        <f t="array" aca="1" ref="W40" ca="1">CreateID($W$2,$V40)</f>
        <v>0</v>
      </c>
      <c r="X40" s="11">
        <f t="shared" ca="1" si="4"/>
        <v>0</v>
      </c>
      <c r="Y40" s="11" cm="1">
        <f t="array" aca="1" ref="Y40" ca="1">OperateOnRange(
  $H40,
  TRUE,
  Helper!$B$16,
  0,
  _xlfn.LAMBDA(_xlpm._factor,IF(_xlpm._factor="",0,SimpleLookup(_xlpm._factor,Definitions!$Z:$AA))),
  _xlfn.LAMBDA(_xlpm._x,_xlpm._y,_xlpm._x+_xlpm._y))</f>
        <v>0</v>
      </c>
      <c r="Z40" s="11" cm="1">
        <f t="array" ref="Z40">CreateTaskID($Z$2,$Z:$Z,Tasks!$B$17,$Q40)</f>
        <v>0</v>
      </c>
      <c r="AA40" s="11" t="str" cm="1">
        <f t="array" aca="1" ref="AA40" ca="1">InverseLookup($A40,Countermeasures!$Y$2,Countermeasures!$A$2,1,Helper!$B$4,",")</f>
        <v/>
      </c>
      <c r="AB40" s="11" t="str" cm="1">
        <f t="array" aca="1" ref="AB40" ca="1">InverseLookup($A40,Assumptions!$Y$2,Assumptions!$A$2,1,Helper!$B$6,",")</f>
        <v/>
      </c>
      <c r="AC40" s="11" t="str" cm="1">
        <f t="array" aca="1" ref="AC40" ca="1">InverseLookup($A40,Assumptions!$Z$2,Assumptions!$A$2,1,Helper!$B$6,",")</f>
        <v>A18,</v>
      </c>
      <c r="AD40" s="11" t="str" cm="1">
        <f t="array" aca="1" ref="AD40" ca="1">IF($V40,
CreateSearchString(SUBSTITUTE($T40,"§","")),
"")</f>
        <v/>
      </c>
      <c r="AE40" s="11" t="b">
        <f t="shared" ca="1" si="2"/>
        <v>0</v>
      </c>
      <c r="AF40" s="11" t="str" cm="1">
        <f t="array" aca="1" ref="AF40" ca="1">_xlfn.SWITCH($N40,
"*","",
"","",
_xlfn.LET(
_xlpm._answers,SUBSTITUTE(SanitizeInput($N40),"&amp;",","),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IF(_xlpm._questionIDUndefined,$A40&amp;" - "&amp;_xlpm._question&amp;": ERROR: Unknown question ID.",
        IF(_xlpm._firstAnswerIsValidOption,"",$A40&amp;" - "&amp;_xlpm._question&amp;": First answer ("&amp;_xlpm._firstAnswer&amp;") is not a valid option.")&amp;
        IF(_xlpm._secondAnswerRequired,IF(_xlpm._secondAnswerProvided,"",$A40&amp;" - "&amp;_xlpm._question&amp;": Second answer required but not provided."),"")&amp;
        IF(NOT(_xlpm._secondAnswerRequired),IF(_xlpm._secondAnswerProvided,$A40&amp;" - "&amp;_xlpm._question&amp;": Second answer ("&amp;_xlpm._secondAnswer&amp;") provided but the question only supports one answer.",""),"")&amp;
        IF(_xlpm._secondAnswerIsValidOption,"",$A40&amp;" - "&amp;_xlpm._question&amp;": Second answer ("&amp;_xlpm._secondAnswer&amp;") is not a valid option.")))),
  _xlfn.LAMBDA(_xlpm._x,_xlpm._y,_xlpm._x&amp;IF(_xlpm._x="","",CHAR(10))&amp;_xlpm._y))))</f>
        <v/>
      </c>
      <c r="AG40" s="11" cm="1">
        <f t="array" aca="1" ref="AG40" ca="1">CreateID($AG$2,$AF40&lt;&gt;"")</f>
        <v>0</v>
      </c>
    </row>
    <row r="41" spans="1:36" ht="90.75" x14ac:dyDescent="0.25">
      <c r="A41" s="10" t="s">
        <v>1042</v>
      </c>
      <c r="B41" s="10" t="s">
        <v>1043</v>
      </c>
      <c r="C41" s="10" t="s">
        <v>271</v>
      </c>
      <c r="D41" s="16" t="str" cm="1">
        <f t="array" aca="1" ref="D41" ca="1">LookupNames($C41,$A:$B)</f>
        <v>AS21 Gaining physical access to the product (3rd party),
AS22 Gaining physical access to the product (customer)</v>
      </c>
      <c r="E41" s="10" t="s">
        <v>924</v>
      </c>
      <c r="F41" s="16" t="str" cm="1">
        <f t="array" aca="1" ref="F41" ca="1">RemoveDelimiter(GetValues(SanitizeInput($E41),Questions!$A:$B,"   ",CHAR(10),TRUE),CHAR(10))</f>
        <v>QI2   Does the product process personal data?
Examples: address labels
QI4   Is &lt;&lt; OEM Name &gt;&gt; (typically) obliged to keep the processed / stored data (including third-party IP) confidential by contract or law? (Note that this concerns individual obligations, not the standard product warranty).
QI5   Does the product contain credentials / cryptographic keys that allow access to sensitive data or to systems in the product's operational environment? (Note: this includes cryptographic data introduced by the customer.)</v>
      </c>
      <c r="G41" s="13" t="str" cm="1">
        <f t="array" aca="1" ref="G41" ca="1">LookupNames($U41,'Damage Scenarios'!$A:$J)</f>
        <v/>
      </c>
      <c r="H41" s="10" t="s">
        <v>105</v>
      </c>
      <c r="I41" s="10" t="s">
        <v>112</v>
      </c>
      <c r="J41" s="10" t="s">
        <v>116</v>
      </c>
      <c r="K41" s="10" t="s">
        <v>73</v>
      </c>
      <c r="L41" s="10" t="s">
        <v>126</v>
      </c>
      <c r="M41" s="91" t="str">
        <f ca="1">IF($A41="","",IFERROR(VLOOKUP($Y41,Definitions!$V:$W,COLUMNS(Definitions!$V:$W),TRUE),""))</f>
        <v>High</v>
      </c>
      <c r="N41" s="10"/>
      <c r="O41" s="25" t="str" cm="1">
        <f t="array" ref="O41">OperateOnList(
  SanitizeInput($N41),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P41" s="10" t="s">
        <v>451</v>
      </c>
      <c r="Q41" s="10" t="s">
        <v>1044</v>
      </c>
      <c r="R41" s="9" cm="1">
        <f t="array" aca="1" ref="R41" ca="1">CreateID($R$2,$A41&lt;&gt;"")</f>
        <v>39</v>
      </c>
      <c r="S41" s="11" t="b">
        <f>OR(CheckRelevance(SanitizeInput(N41),Questionnaire!$J:$J),CheckRelevance(SanitizeInput(N41),Questionnaire!$K:$K))</f>
        <v>0</v>
      </c>
      <c r="T41" s="11" t="str" cm="1">
        <f t="array" aca="1" ref="T41" ca="1">IF(AND($N41&lt;&gt;"",$S41=FALSE),"",
IF(AND($S41,$C41=""),$A41&amp;",§","")&amp;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GenerateAttackPaths(RemoveFirstElement(_xlpm._in),_xlpm._apRange,_xlpm._ownID))))(SanitizeInput($C41),$A:$T,$A41))</f>
        <v>AS22,AS39,§</v>
      </c>
      <c r="U41" s="11" t="str" cm="1">
        <f t="array" aca="1" ref="U41" ca="1">GetValues(SanitizeInput($E41),'Damage Scenarios'!$B:$T,"",",",FALSE)</f>
        <v/>
      </c>
      <c r="V41" s="11" t="b">
        <f ca="1">AND($T41&lt;&gt;"",$U41&lt;&gt;"")</f>
        <v>0</v>
      </c>
      <c r="W41" s="11" cm="1">
        <f t="array" aca="1" ref="W41" ca="1">CreateID($W$2,$V41)</f>
        <v>0</v>
      </c>
      <c r="X41" s="11">
        <f t="shared" ca="1" si="4"/>
        <v>0</v>
      </c>
      <c r="Y41" s="11" cm="1">
        <f t="array" aca="1" ref="Y41" ca="1">OperateOnRange(
  $H41,
  TRUE,
  Helper!$B$16,
  0,
  _xlfn.LAMBDA(_xlpm._factor,IF(_xlpm._factor="",0,SimpleLookup(_xlpm._factor,Definitions!$Z:$AA))),
  _xlfn.LAMBDA(_xlpm._x,_xlpm._y,_xlpm._x+_xlpm._y))</f>
        <v>24</v>
      </c>
      <c r="Z41" s="11" cm="1">
        <f t="array" ref="Z41">CreateTaskID($Z$2,$Z:$Z,Tasks!$B$17,$Q41)</f>
        <v>0</v>
      </c>
      <c r="AA41" s="11" t="str" cm="1">
        <f t="array" aca="1" ref="AA41" ca="1">InverseLookup($A41,Countermeasures!$Y$2,Countermeasures!$A$2,1,Helper!$B$4,",")</f>
        <v>CM21,CM22,</v>
      </c>
      <c r="AB41" s="11" t="str" cm="1">
        <f t="array" aca="1" ref="AB41" ca="1">InverseLookup($A41,Assumptions!$Y$2,Assumptions!$A$2,1,Helper!$B$6,",")</f>
        <v/>
      </c>
      <c r="AC41" s="11" t="str" cm="1">
        <f t="array" aca="1" ref="AC41" ca="1">InverseLookup($A41,Assumptions!$Z$2,Assumptions!$A$2,1,Helper!$B$6,",")</f>
        <v/>
      </c>
      <c r="AD41" s="11" t="str" cm="1">
        <f t="array" aca="1" ref="AD41" ca="1">IF($V41,
CreateSearchString(SUBSTITUTE($T41,"§","")),
"")</f>
        <v/>
      </c>
      <c r="AE41" s="11" t="b">
        <f t="shared" ca="1" si="2"/>
        <v>0</v>
      </c>
      <c r="AF41" s="11" t="str" cm="1">
        <f t="array" ref="AF41">_xlfn.SWITCH($N41,
"*","",
"","",
_xlfn.LET(
_xlpm._answers,SUBSTITUTE(SanitizeInput($N41),"&amp;",","),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IF(_xlpm._questionIDUndefined,$A41&amp;" - "&amp;_xlpm._question&amp;": ERROR: Unknown question ID.",
        IF(_xlpm._firstAnswerIsValidOption,"",$A41&amp;" - "&amp;_xlpm._question&amp;": First answer ("&amp;_xlpm._firstAnswer&amp;") is not a valid option.")&amp;
        IF(_xlpm._secondAnswerRequired,IF(_xlpm._secondAnswerProvided,"",$A41&amp;" - "&amp;_xlpm._question&amp;": Second answer required but not provided."),"")&amp;
        IF(NOT(_xlpm._secondAnswerRequired),IF(_xlpm._secondAnswerProvided,$A41&amp;" - "&amp;_xlpm._question&amp;": Second answer ("&amp;_xlpm._secondAnswer&amp;") provided but the question only supports one answer.",""),"")&amp;
        IF(_xlpm._secondAnswerIsValidOption,"",$A41&amp;" - "&amp;_xlpm._question&amp;": Second answer ("&amp;_xlpm._secondAnswer&amp;") is not a valid option.")))),
  _xlfn.LAMBDA(_xlpm._x,_xlpm._y,_xlpm._x&amp;IF(_xlpm._x="","",CHAR(10))&amp;_xlpm._y))))</f>
        <v/>
      </c>
      <c r="AG41" s="11" cm="1">
        <f t="array" aca="1" ref="AG41" ca="1">CreateID($AG$2,$AF41&lt;&gt;"")</f>
        <v>0</v>
      </c>
    </row>
    <row r="42" spans="1:36" ht="237" x14ac:dyDescent="0.25">
      <c r="A42" s="10" t="s">
        <v>1179</v>
      </c>
      <c r="B42" s="10" t="s">
        <v>1203</v>
      </c>
      <c r="C42" s="10" t="s">
        <v>943</v>
      </c>
      <c r="D42" s="16" t="str" cm="1">
        <f t="array" aca="1" ref="D42" ca="1">LookupNames($C42,$A:$B)</f>
        <v>AS1 Getting access to a trusted operational environment,
AS2 Getting access to a wireless network,
AS9 Attacking the product's internal gateway from the Internet,
AS12 Compromising an untrusted device that communicates directly with the product,
AS13 Attacking the product or its communication from an untrusted local network,
AS15 Attacking the product from the Internet or a mobile network,
AS17 Sending manipulated or malicious data to the product (from an untrusted source),
AS27 Getting physical access to the product's linked communication media (e.g., field buses),
AS28 Getting access to a trusted entity</v>
      </c>
      <c r="E42" s="10" t="s">
        <v>927</v>
      </c>
      <c r="F42" s="16" t="str" cm="1">
        <f t="array" aca="1" ref="F42" ca="1">RemoveDelimiter(GetValues(SanitizeInput($E42),Questions!$A:$B,"   ",CHAR(10),TRUE),CHAR(10))</f>
        <v>QI1   Does the product have / support cameras or other sensors that can potentially identify people? (Regarding "supporting a camera / sensor": only answer with Yes if attaching a camera / sensor is in the intended or foreseeable use of the product.)
QI10   Can a manipulated product (or its communication) endanger the health of people? Also consider cases where the product is used against its intended use or misconfigured!
QI11   Can a manipulated product disclose personal data to an attacker? Also consider cases where the product is used against its intended use or misconfigured!
QI12   Can a manipulated product disclose intellectual property to an attacker? Also consider cases where the product is used against its intended use or misconfigured!
Note that this includes both &lt;&lt; OEM Name &gt;&gt; and customer IP.
QI13   Can a manipulated product disclose credentials / cryptographic material to an attacker? Also consider cases where the product does not disclose the material but misuses its access to other systems! (E.g., product contains access credentials to store data on a server.)
QI14   Can a manipulated product affect the operation of its operational environment?
QI15   Can a manipulated product allow an attacker access to assets of the customer or allow the attacker to attack the customer's network?
QI16   Can a manipulated product cause contract-related / legal fines? (Note that this concerns individual obligations, not the standard product warranty).</v>
      </c>
      <c r="G42" s="13" t="str" cm="1">
        <f t="array" aca="1" ref="G42" ca="1">LookupNames($U42,'Damage Scenarios'!$A:$J)</f>
        <v/>
      </c>
      <c r="H42" s="10" t="s">
        <v>105</v>
      </c>
      <c r="I42" s="10" t="s">
        <v>112</v>
      </c>
      <c r="J42" s="10" t="s">
        <v>116</v>
      </c>
      <c r="K42" s="10"/>
      <c r="L42" s="10"/>
      <c r="M42" s="91" t="str">
        <f ca="1">IF($A42="","",IFERROR(VLOOKUP($Y42,Definitions!$V:$W,COLUMNS(Definitions!$V:$W),TRUE),""))</f>
        <v>Enhanced-Basic</v>
      </c>
      <c r="N42" s="10" t="s">
        <v>335</v>
      </c>
      <c r="O42" s="25" t="str" cm="1">
        <f t="array" ref="O42">OperateOnList(
  SanitizeInput($N42),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v>
      </c>
      <c r="P42" s="10" t="s">
        <v>475</v>
      </c>
      <c r="Q42" s="10" t="s">
        <v>843</v>
      </c>
      <c r="R42" s="9" cm="1">
        <f t="array" aca="1" ref="R42" ca="1">CreateID($R$2,$A42&lt;&gt;"")</f>
        <v>40</v>
      </c>
      <c r="S42" s="11" t="b">
        <f>OR(CheckRelevance(SanitizeInput(N42),Questionnaire!$J:$J),CheckRelevance(SanitizeInput(N42),Questionnaire!$K:$K))</f>
        <v>1</v>
      </c>
      <c r="T42" s="11" t="str" cm="1">
        <f t="array" aca="1" ref="T42" ca="1">IF(AND($N42&lt;&gt;"",$S42=FALSE),"",
IF(AND($S42,$C42=""),$A42&amp;",§","")&amp;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GenerateAttackPaths(RemoveFirstElement(_xlpm._in),_xlpm._apRange,_xlpm._ownID))))(SanitizeInput($C42),$A:$T,$A42))</f>
        <v/>
      </c>
      <c r="U42" s="11" t="str" cm="1">
        <f t="array" aca="1" ref="U42" ca="1">GetValues(SanitizeInput($E42),'Damage Scenarios'!$B:$T,"",",",FALSE)</f>
        <v/>
      </c>
      <c r="V42" s="11" t="b">
        <f ca="1">AND($T42&lt;&gt;"",$U42&lt;&gt;"")</f>
        <v>0</v>
      </c>
      <c r="W42" s="11" cm="1">
        <f t="array" aca="1" ref="W42" ca="1">CreateID($W$2,$V42)</f>
        <v>0</v>
      </c>
      <c r="X42" s="11">
        <f ca="1">IF($V42,LEN($T42)-LEN(SUBSTITUTE($T42,"§","")),0)</f>
        <v>0</v>
      </c>
      <c r="Y42" s="11" cm="1">
        <f t="array" aca="1" ref="Y42" ca="1">OperateOnRange(
  $H42,
  TRUE,
  Helper!$B$16,
  0,
  _xlfn.LAMBDA(_xlpm._factor,IF(_xlpm._factor="",0,SimpleLookup(_xlpm._factor,Definitions!$Z:$AA))),
  _xlfn.LAMBDA(_xlpm._x,_xlpm._y,_xlpm._x+_xlpm._y))</f>
        <v>13</v>
      </c>
      <c r="Z42" s="11" cm="1">
        <f t="array" ref="Z42">CreateTaskID($Z$2,$Z:$Z,Tasks!$B$17,$Q42)</f>
        <v>0</v>
      </c>
      <c r="AA42" s="11" t="str" cm="1">
        <f t="array" aca="1" ref="AA42" ca="1">InverseLookup($A42,Countermeasures!$Y$2,Countermeasures!$A$2,1,Helper!$B$4,",")</f>
        <v>C27,CM23,</v>
      </c>
      <c r="AB42" s="11" t="str" cm="1">
        <f t="array" aca="1" ref="AB42" ca="1">InverseLookup($A42,Assumptions!$Y$2,Assumptions!$A$2,1,Helper!$B$6,",")</f>
        <v/>
      </c>
      <c r="AC42" s="11" t="str" cm="1">
        <f t="array" aca="1" ref="AC42" ca="1">InverseLookup($A42,Assumptions!$Z$2,Assumptions!$A$2,1,Helper!$B$6,",")</f>
        <v/>
      </c>
      <c r="AD42" s="11" t="str" cm="1">
        <f t="array" aca="1" ref="AD42" ca="1">IF($V42,
CreateSearchString(SUBSTITUTE($T42,"§","")),
"")</f>
        <v/>
      </c>
      <c r="AE42" s="11" t="b">
        <f t="shared" ca="1" si="2"/>
        <v>0</v>
      </c>
      <c r="AF42" s="11" t="str" cm="1">
        <f t="array" ref="AF42">_xlfn.SWITCH($N42,
"*","",
"","",
_xlfn.LET(
_xlpm._answers,SUBSTITUTE(SanitizeInput($N42),"&amp;",","),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IF(_xlpm._questionIDUndefined,$A42&amp;" - "&amp;_xlpm._question&amp;": ERROR: Unknown question ID.",
        IF(_xlpm._firstAnswerIsValidOption,"",$A42&amp;" - "&amp;_xlpm._question&amp;": First answer ("&amp;_xlpm._firstAnswer&amp;") is not a valid option.")&amp;
        IF(_xlpm._secondAnswerRequired,IF(_xlpm._secondAnswerProvided,"",$A42&amp;" - "&amp;_xlpm._question&amp;": Second answer required but not provided."),"")&amp;
        IF(NOT(_xlpm._secondAnswerRequired),IF(_xlpm._secondAnswerProvided,$A42&amp;" - "&amp;_xlpm._question&amp;": Second answer ("&amp;_xlpm._secondAnswer&amp;") provided but the question only supports one answer.",""),"")&amp;
        IF(_xlpm._secondAnswerIsValidOption,"",$A42&amp;" - "&amp;_xlpm._question&amp;": Second answer ("&amp;_xlpm._secondAnswer&amp;") is not a valid option.")))),
  _xlfn.LAMBDA(_xlpm._x,_xlpm._y,_xlpm._x&amp;IF(_xlpm._x="","",CHAR(10))&amp;_xlpm._y))))</f>
        <v/>
      </c>
      <c r="AG42" s="11" cm="1">
        <f t="array" aca="1" ref="AG42" ca="1">CreateID($AG$2,$AF42&lt;&gt;"")</f>
        <v>0</v>
      </c>
    </row>
    <row r="43" spans="1:36" ht="156.75" x14ac:dyDescent="0.25">
      <c r="A43" s="10" t="s">
        <v>1440</v>
      </c>
      <c r="B43" s="10" t="s">
        <v>1441</v>
      </c>
      <c r="C43" s="10"/>
      <c r="D43" s="16" t="str" cm="1">
        <f t="array" ref="D43">LookupNames($C43,$A:$B)</f>
        <v/>
      </c>
      <c r="E43" s="10" t="s">
        <v>924</v>
      </c>
      <c r="F43" s="16" t="str" cm="1">
        <f t="array" aca="1" ref="F43" ca="1">RemoveDelimiter(GetValues(SanitizeInput($E43),Questions!$A:$B,"   ",CHAR(10),TRUE),CHAR(10))</f>
        <v>QI2   Does the product process personal data?
Examples: address labels
QI4   Is &lt;&lt; OEM Name &gt;&gt; (typically) obliged to keep the processed / stored data (including third-party IP) confidential by contract or law? (Note that this concerns individual obligations, not the standard product warranty).
QI5   Does the product contain credentials / cryptographic keys that allow access to sensitive data or to systems in the product's operational environment? (Note: this includes cryptographic data introduced by the customer.)</v>
      </c>
      <c r="G43" s="13" t="str" cm="1">
        <f t="array" aca="1" ref="G43" ca="1">LookupNames($U43,'Damage Scenarios'!$A:$J)</f>
        <v/>
      </c>
      <c r="H43" s="10" t="s">
        <v>106</v>
      </c>
      <c r="I43" s="10" t="s">
        <v>112</v>
      </c>
      <c r="J43" s="10" t="s">
        <v>116</v>
      </c>
      <c r="K43" s="10" t="s">
        <v>119</v>
      </c>
      <c r="L43" s="10" t="s">
        <v>125</v>
      </c>
      <c r="M43" s="91" t="str">
        <f ca="1">IF($A43="","",IFERROR(VLOOKUP($Y43,Definitions!$V:$W,COLUMNS(Definitions!$V:$W),TRUE),""))</f>
        <v>High</v>
      </c>
      <c r="N43" s="10" t="s">
        <v>925</v>
      </c>
      <c r="O43" s="25" t="str" cm="1">
        <f t="array" aca="1" ref="O43" ca="1">OperateOnList(
  SanitizeInput($N43),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QI2 Does the product process personal data?
Examples: address labels [Yes]
» What is the criticality of the processed data? [*],
QI4 Is &lt;&lt; OEM Name &gt;&gt; (typically) obliged to keep the processed / stored data (including third-party IP) confidential by contract or law? (Note that this concerns individual obligations, not the standard product warranty). [Yes]
» What is the typical / expected value of direct loss, fines for infringements of laws, or violations of contracts? [*],
QI5 Does the product contain credentials / cryptographic keys that allow access to sensitive data or to systems in the product's operational environment? (Note: this includes cryptographic data introduced by the customer.) [Yes]
» What is the worst-case criticality of the data that can be accessed with these credentials / cryptographic keys? [*]</v>
      </c>
      <c r="P43" s="10" t="s">
        <v>454</v>
      </c>
      <c r="Q43" s="10" t="s">
        <v>1443</v>
      </c>
      <c r="R43" s="9" cm="1">
        <f t="array" aca="1" ref="R43" ca="1">CreateID($R$2,$A43&lt;&gt;"")</f>
        <v>41</v>
      </c>
      <c r="S43" s="11" t="b">
        <f ca="1">OR(CheckRelevance(SanitizeInput(N43),Questionnaire!$J:$J),CheckRelevance(SanitizeInput(N43),Questionnaire!$K:$K))</f>
        <v>0</v>
      </c>
      <c r="T43" s="11" t="str" cm="1">
        <f t="array" aca="1" ref="T43" ca="1">IF(AND($N43&lt;&gt;"",$S43=FALSE),"",
IF(AND($S43,$C43=""),$A43&amp;",§","")&amp;
_xlfn.LAMBDA(_xlpm._in,_xlpm._apRange,_xlpm._ownID,
IF(_xlpm._in="","",_xlfn.LET(
_xlpm._id,LEFT(_xlpm._in,FIND(",",_xlpm._in)-1),
_xlpm._attackPaths,VLOOKUP(_xlpm._id,_xlpm._apRange,COLUMNS(_xlpm._apRange),FALSE),
SUBSTITUTE(_xlpm._attackPaths,"§",_xlpm._ownID&amp;",§")&amp;
GenerateAttackPaths(RemoveFirstElement(_xlpm._in),_xlpm._apRange,_xlpm._ownID))))(SanitizeInput($C43),$A:$T,$A43))</f>
        <v/>
      </c>
      <c r="U43" s="11" t="str" cm="1">
        <f t="array" aca="1" ref="U43" ca="1">GetValues(SanitizeInput($E43),'Damage Scenarios'!$B:$T,"",",",FALSE)</f>
        <v/>
      </c>
      <c r="V43" s="11" t="b">
        <f ca="1">AND($T43&lt;&gt;"",$U43&lt;&gt;"")</f>
        <v>0</v>
      </c>
      <c r="W43" s="11" cm="1">
        <f t="array" aca="1" ref="W43" ca="1">CreateID($W$2,$V43)</f>
        <v>0</v>
      </c>
      <c r="X43" s="11">
        <f ca="1">IF($V43,LEN($T43)-LEN(SUBSTITUTE($T43,"§","")),0)</f>
        <v>0</v>
      </c>
      <c r="Y43" s="11" cm="1">
        <f t="array" aca="1" ref="Y43" ca="1">OperateOnRange(
  $H43,
  TRUE,
  Helper!$B$16,
  0,
  _xlfn.LAMBDA(_xlpm._factor,IF(_xlpm._factor="",0,SimpleLookup(_xlpm._factor,Definitions!$Z:$AA))),
  _xlfn.LAMBDA(_xlpm._x,_xlpm._y,_xlpm._x+_xlpm._y))</f>
        <v>23</v>
      </c>
      <c r="Z43" s="11" cm="1">
        <f t="array" ref="Z43">CreateTaskID($Z$2,$Z:$Z,Tasks!$B$17,$Q43)</f>
        <v>0</v>
      </c>
      <c r="AA43" s="11" t="str" cm="1">
        <f t="array" aca="1" ref="AA43" ca="1">InverseLookup($A43,Countermeasures!$Y$2,Countermeasures!$A$2,1,Helper!$B$4,",")</f>
        <v>C17,</v>
      </c>
      <c r="AB43" s="11" t="str" cm="1">
        <f t="array" aca="1" ref="AB43" ca="1">InverseLookup($A43,Assumptions!$Y$2,Assumptions!$A$2,1,Helper!$B$6,",")</f>
        <v/>
      </c>
      <c r="AC43" s="11" t="str" cm="1">
        <f t="array" aca="1" ref="AC43" ca="1">InverseLookup($A43,Assumptions!$Z$2,Assumptions!$A$2,1,Helper!$B$6,",")</f>
        <v/>
      </c>
      <c r="AD43" s="11" t="str" cm="1">
        <f t="array" aca="1" ref="AD43" ca="1">IF($V43,
CreateSearchString(SUBSTITUTE($T43,"§","")),
"")</f>
        <v/>
      </c>
      <c r="AE43" s="11" t="b">
        <f t="shared" ca="1" si="2"/>
        <v>0</v>
      </c>
      <c r="AF43" s="11" t="str" cm="1">
        <f t="array" aca="1" ref="AF43" ca="1">_xlfn.SWITCH($N43,
"*","",
"","",
_xlfn.LET(
_xlpm._answers,SUBSTITUTE(SanitizeInput($N43),"&amp;",","),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IF(_xlpm._questionIDUndefined,$A43&amp;" - "&amp;_xlpm._question&amp;": ERROR: Unknown question ID.",
        IF(_xlpm._firstAnswerIsValidOption,"",$A43&amp;" - "&amp;_xlpm._question&amp;": First answer ("&amp;_xlpm._firstAnswer&amp;") is not a valid option.")&amp;
        IF(_xlpm._secondAnswerRequired,IF(_xlpm._secondAnswerProvided,"",$A43&amp;" - "&amp;_xlpm._question&amp;": Second answer required but not provided."),"")&amp;
        IF(NOT(_xlpm._secondAnswerRequired),IF(_xlpm._secondAnswerProvided,$A43&amp;" - "&amp;_xlpm._question&amp;": Second answer ("&amp;_xlpm._secondAnswer&amp;") provided but the question only supports one answer.",""),"")&amp;
        IF(_xlpm._secondAnswerIsValidOption,"",$A43&amp;" - "&amp;_xlpm._question&amp;": Second answer ("&amp;_xlpm._secondAnswer&amp;") is not a valid option.")))),
  _xlfn.LAMBDA(_xlpm._x,_xlpm._y,_xlpm._x&amp;IF(_xlpm._x="","",CHAR(10))&amp;_xlpm._y))))</f>
        <v/>
      </c>
      <c r="AG43" s="11" cm="1">
        <f t="array" aca="1" ref="AG43" ca="1">CreateID($AG$2,$AF43&lt;&gt;"")</f>
        <v>0</v>
      </c>
    </row>
  </sheetData>
  <phoneticPr fontId="4" type="noConversion"/>
  <conditionalFormatting sqref="A1:A1048576">
    <cfRule type="expression" dxfId="6" priority="1">
      <formula>MATCH(A1,$A:$A,0)&lt;ROW(A1)</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 id="{44C872D8-1CD5-49B7-B47C-DD4EAE5C802D}">
            <xm:f>IFERROR(FIND(Tasks!$B$17,Q1)&gt;0,FALSE)</xm:f>
            <x14:dxf>
              <font>
                <b/>
                <i val="0"/>
                <color rgb="FF99FFCC"/>
              </font>
            </x14:dxf>
          </x14:cfRule>
          <xm:sqref>Q1:Q1048576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F4D78D2-6C17-4DDD-8F20-8E6D041293CC}">
          <x14:formula1>
            <xm:f>OFFSET(Definitions!$Z$2,MATCH(COLUMN()-COLUMN($H$2)+1,Definitions!$AB:$AB,0)-ROW(Definitions!$Z$2),0,COUNTIF(Definitions!$AB:$AB,COLUMN()-COLUMN($H$2)+1),1)</xm:f>
          </x14:formula1>
          <xm:sqref>H3:L43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EA92F-EF2E-48AF-B0DC-F89E5A6739A8}">
  <sheetPr>
    <tabColor theme="6"/>
  </sheetPr>
  <dimension ref="A1:AM44"/>
  <sheetViews>
    <sheetView workbookViewId="0">
      <pane xSplit="2" ySplit="2" topLeftCell="C3" activePane="bottomRight" state="frozen"/>
      <selection pane="topRight" activeCell="C1" sqref="C1"/>
      <selection pane="bottomLeft" activeCell="A4" sqref="A4"/>
      <selection pane="bottomRight" activeCell="A2" sqref="A2"/>
    </sheetView>
  </sheetViews>
  <sheetFormatPr defaultColWidth="9.140625" defaultRowHeight="15" x14ac:dyDescent="0.25"/>
  <cols>
    <col min="1" max="1" width="9.140625" style="2"/>
    <col min="2" max="2" width="45.7109375" style="2" customWidth="1"/>
    <col min="3" max="4" width="60.7109375" style="2" customWidth="1"/>
    <col min="5" max="5" width="15.7109375" style="2" customWidth="1"/>
    <col min="6" max="6" width="60.7109375" style="2" customWidth="1"/>
    <col min="7" max="7" width="90.7109375" style="2" customWidth="1"/>
    <col min="8" max="8" width="17.42578125" style="2" customWidth="1"/>
    <col min="9" max="9" width="60.7109375" style="8" customWidth="1"/>
    <col min="10" max="10" width="15.7109375" style="2" customWidth="1"/>
    <col min="11" max="11" width="60.7109375" style="8" customWidth="1"/>
    <col min="12" max="17" width="25.7109375" style="2" customWidth="1"/>
    <col min="18" max="18" width="30.140625" style="2" bestFit="1" customWidth="1"/>
    <col min="19" max="19" width="30.140625" style="2" customWidth="1"/>
    <col min="20" max="20" width="45.7109375" style="2" customWidth="1"/>
    <col min="21" max="21" width="15.42578125" style="2" hidden="1" customWidth="1"/>
    <col min="22" max="22" width="21.28515625" style="2" hidden="1" customWidth="1"/>
    <col min="23" max="23" width="26.140625" style="2" hidden="1" customWidth="1"/>
    <col min="24" max="24" width="9.140625" style="2" hidden="1" customWidth="1"/>
    <col min="25" max="25" width="17.42578125" style="2" hidden="1" customWidth="1"/>
    <col min="26" max="26" width="19.85546875" style="2" hidden="1" customWidth="1"/>
    <col min="27" max="27" width="9.140625" style="2" hidden="1" customWidth="1"/>
    <col min="28" max="28" width="39.28515625" style="2" hidden="1" customWidth="1"/>
    <col min="29" max="29" width="22.42578125" style="2" hidden="1" customWidth="1"/>
    <col min="30" max="30" width="34" style="2" hidden="1" customWidth="1"/>
    <col min="31" max="31" width="14.28515625" style="2" hidden="1" customWidth="1"/>
    <col min="32" max="32" width="22.7109375" style="2" hidden="1" customWidth="1"/>
    <col min="33" max="33" width="39.7109375" style="2" hidden="1" customWidth="1"/>
    <col min="34" max="34" width="26" style="2" hidden="1" customWidth="1"/>
    <col min="35" max="35" width="23.7109375" style="2" hidden="1" customWidth="1"/>
    <col min="36" max="36" width="47" style="2" hidden="1" customWidth="1"/>
    <col min="37" max="37" width="27" style="2" hidden="1" customWidth="1"/>
    <col min="38" max="38" width="36.42578125" style="2" hidden="1" customWidth="1"/>
    <col min="39" max="39" width="34.28515625" style="2" hidden="1" customWidth="1"/>
    <col min="40" max="16384" width="9.140625" style="2"/>
  </cols>
  <sheetData>
    <row r="1" spans="1:39" s="80" customFormat="1" x14ac:dyDescent="0.25">
      <c r="A1" s="80" t="str" cm="1">
        <f t="array" aca="1" ref="A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HYPERLINK("#'"&amp;Helper!$G$2&amp;"'!"&amp;CHAR(CODE("A")+COLUMN(_xlpm._columnNameHeader)-1)&amp;_xlpm._entryOffset,Definitions!$AY$4)))(Helper!$G$7,A$2,README!$E:$E,README!$I$35,README!$B$35)</f>
        <v>◈</v>
      </c>
      <c r="B1" s="80" t="str" cm="1">
        <f t="array" aca="1" ref="B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HYPERLINK("#'"&amp;Helper!$G$2&amp;"'!"&amp;CHAR(CODE("A")+COLUMN(_xlpm._columnNameHeader)-1)&amp;_xlpm._entryOffset,Definitions!$AY$4)))(Helper!$G$7,B$2,README!$E:$E,README!$I$35,README!$B$35)</f>
        <v>◈</v>
      </c>
      <c r="C1" s="80" t="str" cm="1">
        <f t="array" aca="1" ref="C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HYPERLINK("#'"&amp;Helper!$G$2&amp;"'!"&amp;CHAR(CODE("A")+COLUMN(_xlpm._columnNameHeader)-1)&amp;_xlpm._entryOffset,Definitions!$AY$4)))(Helper!$G$7,C$2,README!$E:$E,README!$I$35,README!$B$35)</f>
        <v>◈</v>
      </c>
      <c r="D1" s="80" t="str" cm="1">
        <f t="array" aca="1" ref="D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HYPERLINK("#'"&amp;Helper!$G$2&amp;"'!"&amp;CHAR(CODE("A")+COLUMN(_xlpm._columnNameHeader)-1)&amp;_xlpm._entryOffset,Definitions!$AY$4)))(Helper!$G$7,D$2,README!$E:$E,README!$I$35,README!$B$35)</f>
        <v>◈</v>
      </c>
      <c r="E1" s="80" t="str" cm="1">
        <f t="array" aca="1" ref="E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HYPERLINK("#'"&amp;Helper!$G$2&amp;"'!"&amp;CHAR(CODE("A")+COLUMN(_xlpm._columnNameHeader)-1)&amp;_xlpm._entryOffset,Definitions!$AY$4)))(Helper!$G$7,E$2,README!$E:$E,README!$I$35,README!$B$35)</f>
        <v>◈</v>
      </c>
      <c r="F1" s="80" t="str" cm="1">
        <f t="array" aca="1" ref="F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HYPERLINK("#'"&amp;Helper!$G$2&amp;"'!"&amp;CHAR(CODE("A")+COLUMN(_xlpm._columnNameHeader)-1)&amp;_xlpm._entryOffset,Definitions!$AY$4)))(Helper!$G$7,F$2,README!$E:$E,README!$I$35,README!$B$35)</f>
        <v>◈</v>
      </c>
      <c r="G1" s="80" t="str" cm="1">
        <f t="array" aca="1" ref="G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HYPERLINK("#'"&amp;Helper!$G$2&amp;"'!"&amp;CHAR(CODE("A")+COLUMN(_xlpm._columnNameHeader)-1)&amp;_xlpm._entryOffset,Definitions!$AY$4)))(Helper!$G$7,G$2,README!$E:$E,README!$I$35,README!$B$35)</f>
        <v>◈</v>
      </c>
      <c r="H1" s="80" t="str" cm="1">
        <f t="array" aca="1" ref="H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HYPERLINK("#'"&amp;Helper!$G$2&amp;"'!"&amp;CHAR(CODE("A")+COLUMN(_xlpm._columnNameHeader)-1)&amp;_xlpm._entryOffset,Definitions!$AY$4)))(Helper!$G$7,H$2,README!$E:$E,README!$I$35,README!$B$35)</f>
        <v>◈</v>
      </c>
      <c r="I1" s="80" t="str" cm="1">
        <f t="array" aca="1" ref="I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HYPERLINK("#'"&amp;Helper!$G$2&amp;"'!"&amp;CHAR(CODE("A")+COLUMN(_xlpm._columnNameHeader)-1)&amp;_xlpm._entryOffset,Definitions!$AY$4)))(Helper!$G$7,I$2,README!$E:$E,README!$I$35,README!$B$35)</f>
        <v>◈</v>
      </c>
      <c r="J1" s="80" t="str" cm="1">
        <f t="array" aca="1" ref="J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HYPERLINK("#'"&amp;Helper!$G$2&amp;"'!"&amp;CHAR(CODE("A")+COLUMN(_xlpm._columnNameHeader)-1)&amp;_xlpm._entryOffset,Definitions!$AY$4)))(Helper!$G$7,J$2,README!$E:$E,README!$I$35,README!$B$35)</f>
        <v>◈</v>
      </c>
      <c r="K1" s="80" t="str" cm="1">
        <f t="array" aca="1" ref="K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HYPERLINK("#'"&amp;Helper!$G$2&amp;"'!"&amp;CHAR(CODE("A")+COLUMN(_xlpm._columnNameHeader)-1)&amp;_xlpm._entryOffset,Definitions!$AY$4)))(Helper!$G$7,K$2,README!$E:$E,README!$I$35,README!$B$35)</f>
        <v>◈</v>
      </c>
      <c r="L1" s="80" t="str" cm="1">
        <f t="array" aca="1" ref="L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HYPERLINK("#'"&amp;Helper!$G$2&amp;"'!"&amp;CHAR(CODE("A")+COLUMN(_xlpm._columnNameHeader)-1)&amp;_xlpm._entryOffset,Definitions!$AY$4)))(Helper!$G$7,L$2,README!$E:$E,README!$I$35,README!$B$35)</f>
        <v>◈</v>
      </c>
      <c r="M1" s="80" t="str" cm="1">
        <f t="array" aca="1" ref="M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HYPERLINK("#'"&amp;Helper!$G$2&amp;"'!"&amp;CHAR(CODE("A")+COLUMN(_xlpm._columnNameHeader)-1)&amp;_xlpm._entryOffset,Definitions!$AY$4)))(Helper!$G$7,M$2,README!$E:$E,README!$I$35,README!$B$35)</f>
        <v>◈</v>
      </c>
      <c r="N1" s="80" t="str" cm="1">
        <f t="array" aca="1" ref="N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HYPERLINK("#'"&amp;Helper!$G$2&amp;"'!"&amp;CHAR(CODE("A")+COLUMN(_xlpm._columnNameHeader)-1)&amp;_xlpm._entryOffset,Definitions!$AY$4)))(Helper!$G$7,N$2,README!$E:$E,README!$I$35,README!$B$35)</f>
        <v>◈</v>
      </c>
      <c r="O1" s="80" t="str" cm="1">
        <f t="array" aca="1" ref="O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HYPERLINK("#'"&amp;Helper!$G$2&amp;"'!"&amp;CHAR(CODE("A")+COLUMN(_xlpm._columnNameHeader)-1)&amp;_xlpm._entryOffset,Definitions!$AY$4)))(Helper!$G$7,O$2,README!$E:$E,README!$I$35,README!$B$35)</f>
        <v>◈</v>
      </c>
      <c r="P1" s="80" t="str" cm="1">
        <f t="array" aca="1" ref="P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HYPERLINK("#'"&amp;Helper!$G$2&amp;"'!"&amp;CHAR(CODE("A")+COLUMN(_xlpm._columnNameHeader)-1)&amp;_xlpm._entryOffset,Definitions!$AY$4)))(Helper!$G$7,P$2,README!$E:$E,README!$I$35,README!$B$35)</f>
        <v>◈</v>
      </c>
      <c r="Q1" s="80" t="str" cm="1">
        <f t="array" aca="1" ref="Q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HYPERLINK("#'"&amp;Helper!$G$2&amp;"'!"&amp;CHAR(CODE("A")+COLUMN(_xlpm._columnNameHeader)-1)&amp;_xlpm._entryOffset,Definitions!$AY$4)))(Helper!$G$7,Q$2,README!$E:$E,README!$I$35,README!$B$35)</f>
        <v>◈</v>
      </c>
      <c r="R1" s="80" t="str" cm="1">
        <f t="array" aca="1" ref="R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HYPERLINK("#'"&amp;Helper!$G$2&amp;"'!"&amp;CHAR(CODE("A")+COLUMN(_xlpm._columnNameHeader)-1)&amp;_xlpm._entryOffset,Definitions!$AY$4)))(Helper!$G$7,R$2,README!$E:$E,README!$I$35,README!$B$35)</f>
        <v>◈</v>
      </c>
      <c r="S1" s="80" t="str" cm="1">
        <f t="array" aca="1" ref="S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HYPERLINK("#'"&amp;Helper!$G$2&amp;"'!"&amp;CHAR(CODE("A")+COLUMN(_xlpm._columnNameHeader)-1)&amp;_xlpm._entryOffset,Definitions!$AY$4)))(Helper!$G$7,S$2,README!$E:$E,README!$I$35,README!$B$35)</f>
        <v>◈</v>
      </c>
      <c r="T1" s="80" t="str" cm="1">
        <f t="array" aca="1" ref="T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HYPERLINK("#'"&amp;Helper!$G$2&amp;"'!"&amp;CHAR(CODE("A")+COLUMN(_xlpm._columnNameHeader)-1)&amp;_xlpm._entryOffset,Definitions!$AY$4)))(Helper!$G$7,T$2,README!$E:$E,README!$I$35,README!$B$35)</f>
        <v>◈</v>
      </c>
    </row>
    <row r="2" spans="1:39" x14ac:dyDescent="0.25">
      <c r="A2" s="9" t="s">
        <v>46</v>
      </c>
      <c r="B2" s="9" t="s">
        <v>225</v>
      </c>
      <c r="C2" s="9" t="s">
        <v>184</v>
      </c>
      <c r="D2" s="9" t="s">
        <v>1324</v>
      </c>
      <c r="E2" s="9" t="s">
        <v>294</v>
      </c>
      <c r="F2" s="9" t="s">
        <v>90</v>
      </c>
      <c r="G2" s="12" t="s">
        <v>1538</v>
      </c>
      <c r="H2" s="9" t="s">
        <v>236</v>
      </c>
      <c r="I2" s="12" t="s">
        <v>231</v>
      </c>
      <c r="J2" s="9" t="s">
        <v>341</v>
      </c>
      <c r="K2" s="12" t="s">
        <v>342</v>
      </c>
      <c r="L2" s="9" t="s">
        <v>102</v>
      </c>
      <c r="M2" s="9" t="s">
        <v>109</v>
      </c>
      <c r="N2" s="9" t="s">
        <v>114</v>
      </c>
      <c r="O2" s="9" t="s">
        <v>118</v>
      </c>
      <c r="P2" s="9" t="s">
        <v>123</v>
      </c>
      <c r="Q2" s="12" t="s">
        <v>159</v>
      </c>
      <c r="R2" s="9" t="s">
        <v>1401</v>
      </c>
      <c r="S2" s="9" t="s">
        <v>1481</v>
      </c>
      <c r="T2" s="9" t="s">
        <v>2</v>
      </c>
      <c r="U2" s="9" t="s">
        <v>47</v>
      </c>
      <c r="V2" s="9" t="s">
        <v>354</v>
      </c>
      <c r="W2" s="9" t="s">
        <v>355</v>
      </c>
      <c r="X2" s="9" t="s">
        <v>196</v>
      </c>
      <c r="Y2" s="9" t="s">
        <v>764</v>
      </c>
      <c r="Z2" s="9" t="s">
        <v>238</v>
      </c>
      <c r="AA2" s="9" t="s">
        <v>70</v>
      </c>
      <c r="AB2" s="9" t="s">
        <v>352</v>
      </c>
      <c r="AC2" s="9" t="s">
        <v>377</v>
      </c>
      <c r="AD2" s="9" t="s">
        <v>469</v>
      </c>
      <c r="AE2" s="9" t="s">
        <v>474</v>
      </c>
      <c r="AF2" s="9" t="s">
        <v>533</v>
      </c>
      <c r="AG2" s="9" t="s">
        <v>520</v>
      </c>
      <c r="AH2" s="9" t="s">
        <v>534</v>
      </c>
      <c r="AI2" s="9" t="s">
        <v>550</v>
      </c>
      <c r="AJ2" s="9" t="s">
        <v>549</v>
      </c>
      <c r="AK2" s="9" t="s">
        <v>1231</v>
      </c>
      <c r="AL2" s="9" t="s">
        <v>1515</v>
      </c>
      <c r="AM2" s="9" t="s">
        <v>1516</v>
      </c>
    </row>
    <row r="3" spans="1:39" ht="60" x14ac:dyDescent="0.25">
      <c r="A3" s="9" t="s">
        <v>180</v>
      </c>
      <c r="B3" s="10" t="s">
        <v>1524</v>
      </c>
      <c r="C3" s="10" t="s">
        <v>1525</v>
      </c>
      <c r="D3" s="10" t="s">
        <v>1321</v>
      </c>
      <c r="E3" s="10" t="s">
        <v>296</v>
      </c>
      <c r="F3" s="10" t="s">
        <v>930</v>
      </c>
      <c r="G3" s="25" t="str" cm="1">
        <f t="array" aca="1" ref="G3" ca="1">OperateOnList(
  SanitizeInput($F3),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QI1 Does the product have / support cameras or other sensors that can potentially identify people? (Regarding "supporting a camera / sensor": only answer with Yes if attaching a camera / sensor is in the intended or foreseeable use of the product.) [Yes]
» Can you argue that the product cannot identify people in its operational environment? [Yes]</v>
      </c>
      <c r="H3" s="10"/>
      <c r="I3" s="13" t="str" cm="1">
        <f t="array" ref="I3">LookupNames($H3,'Attack Steps'!$A:$B)</f>
        <v/>
      </c>
      <c r="J3" s="10"/>
      <c r="K3" s="25" t="str" cm="1">
        <f t="array" ref="K3">IF($J3="","",SUBSTITUTE(SUBSTITUTE(SUBSTITUTE(SUBSTITUTE(SUBSTITUTE(SUBSTITUTE(SUBSTITUTE(SUBSTITUTE(SUBSTITUTE(
GetTransformation(SanitizeInput($J3),'Damage Scenarios'!$A:$J,COLUMNS('Damage Scenarios'!$A:$J),CHAR(10),"[#0][#1][#2]")&amp;"§",
"[#1][#2]",""),
"[#2]",""),
"[#0][#1]","[#1]"),
"[#0]","Removes:"&amp;CHAR(10)),
"[#1]","Transforms:"&amp;CHAR(10)),
CHAR(10)&amp;"§",""),
"§",""),
CHAR(10),CHAR(10)&amp;"   "),
"   "&amp;"Transforms:","Transforms:"))</f>
        <v/>
      </c>
      <c r="L3" s="10"/>
      <c r="M3" s="10"/>
      <c r="N3" s="10"/>
      <c r="O3" s="10"/>
      <c r="P3" s="10"/>
      <c r="Q3" s="13" t="str">
        <f ca="1">IF($A3="","",IFERROR(VLOOKUP($AA3,Definitions!$V:$W,COLUMNS(Definitions!$V:$W),TRUE),""))</f>
        <v>Basic</v>
      </c>
      <c r="R3" s="10" t="s">
        <v>455</v>
      </c>
      <c r="S3" s="10"/>
      <c r="T3" s="10"/>
      <c r="U3" s="9" cm="1">
        <f t="array" aca="1" ref="U3" ca="1">CreateID($U$2,$A3&lt;&gt;"")</f>
        <v>1</v>
      </c>
      <c r="V3" s="11" t="b">
        <f ca="1">OR(CheckRelevance(SanitizeInput(F3),Questionnaire!$J:$J),IFERROR(_xlfn.XMATCH("*,"&amp;$A3&amp;",*",Countermeasures!$AC:$AC,2)&gt;0,FALSE))</f>
        <v>0</v>
      </c>
      <c r="W3" s="11" t="b">
        <f>IFERROR(_xlfn.XMATCH("*,"&amp;$A3&amp;",*",Mitigation!$X:$X,2)&gt;0,FALSE)</f>
        <v>0</v>
      </c>
      <c r="X3" s="11" cm="1">
        <f t="array" ref="X3">CreateTaskID($X$2,$X:$X,Tasks!$B$17,$T3)</f>
        <v>0</v>
      </c>
      <c r="Y3" s="11" t="str" cm="1">
        <f t="array" aca="1" ref="Y3" ca="1">IF(OR($H3="",NOT($V3)),"",","&amp;SanitizeInput($H3))</f>
        <v/>
      </c>
      <c r="Z3" s="11" t="str" cm="1">
        <f t="array" ref="Z3">CreateSearchString($H3)</f>
        <v/>
      </c>
      <c r="AA3" s="11" cm="1">
        <f t="array" aca="1" ref="AA3" ca="1">OperateOnRange(
  $L3,
  TRUE,
  Helper!$B$16,
  0,
  _xlfn.LAMBDA(_xlpm._factor,IF(_xlpm._factor="",0,SimpleLookup(_xlpm._factor,Definitions!$Z:$AA))),
  _xlfn.LAMBDA(_xlpm._x,_xlpm._y,_xlpm._x+_xlpm._y))</f>
        <v>0</v>
      </c>
      <c r="AB3" s="11" t="str" cm="1">
        <f t="array" ref="AB3">SUBSTITUTE(IF($W3,IF($J3="","",","&amp;SanitizeInput($J3)),""),"&gt;",",")</f>
        <v/>
      </c>
      <c r="AC3" s="11" cm="1">
        <f t="array" aca="1" ref="AC3" ca="1">CreateID($AC$2,OR($V3,$W3))</f>
        <v>0</v>
      </c>
      <c r="AD3" s="11" t="str" cm="1">
        <f t="array" aca="1" ref="AD3" ca="1">IF(OR($V3,$W3),IF($R3="","",","&amp;SanitizeInput($R3)),"")</f>
        <v/>
      </c>
      <c r="AE3" s="11" t="str">
        <f t="shared" ref="AE3:AE42" si="0">$B3&amp;" ["&amp;$E3&amp;"]"</f>
        <v>SDR 1.3 – Product cannot identify people [Customer]</v>
      </c>
      <c r="AF3" s="11" t="str" cm="1">
        <f t="array" aca="1" ref="AF3" ca="1">IF($F3="*","",InverseLookupList(SanitizeInput($F3),Questionnaire!$AB$3,Questionnaire!$B$3,Helper!$B$12,","))</f>
        <v/>
      </c>
      <c r="AG3" s="11" t="str" cm="1">
        <f t="array" aca="1" ref="AG3" ca="1">RemoveDelimiter(GetValues($AF3,Questionnaire!$B:$H," ",CHAR(10)&amp;CHAR(10),TRUE),CHAR(10)&amp;CHAR(10))</f>
        <v/>
      </c>
      <c r="AH3" s="11" t="str" cm="1">
        <f t="array" aca="1" ref="AH3" ca="1">CreateSearchString($AF3)</f>
        <v/>
      </c>
      <c r="AI3" s="11" t="str" cm="1">
        <f t="array" aca="1" ref="AI3" ca="1">InverseLookup($A3,Mitigation!$AD$2,Mitigation!$A$2,1,Helper!$B$5,",")</f>
        <v/>
      </c>
      <c r="AJ3" s="11" t="str" cm="1">
        <f t="array" aca="1" ref="AJ3" ca="1">CreateSearchString(GetValues($AI3,'Attack Steps'!$A:$P,"",",",FALSE))</f>
        <v/>
      </c>
      <c r="AK3" s="11" t="str">
        <f t="shared" ref="AK3:AK42" si="1">IF($A3="","",$A3)</f>
        <v>A1</v>
      </c>
      <c r="AL3" s="11" t="str" cm="1">
        <f t="array" aca="1" ref="AL3" ca="1">_xlfn.SWITCH($F3,
"*","",
"","",
_xlfn.LET(
_xlpm._answers,SUBSTITUTE(SanitizeInput($F3),"&amp;",","),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IF(_xlpm._questionIDUndefined,$A3&amp;" - "&amp;_xlpm._question&amp;": ERROR: Unknown question ID.",
        IF(_xlpm._firstAnswerIsValidOption,"",$A3&amp;" - "&amp;_xlpm._question&amp;": First answer ("&amp;_xlpm._firstAnswer&amp;") is not a valid option.")&amp;
        IF(_xlpm._secondAnswerRequired,IF(_xlpm._secondAnswerProvided,"",$A3&amp;" - "&amp;_xlpm._question&amp;": Second answer required but not provided."),"")&amp;
        IF(NOT(_xlpm._secondAnswerRequired),IF(_xlpm._secondAnswerProvided,$A3&amp;" - "&amp;_xlpm._question&amp;": Second answer ("&amp;_xlpm._secondAnswer&amp;") provided but the question only supports one answer.",""),"")&amp;
        IF(_xlpm._secondAnswerIsValidOption,"",$A3&amp;" - "&amp;_xlpm._question&amp;": Second answer ("&amp;_xlpm._secondAnswer&amp;") is not a valid option.")))),
  _xlfn.LAMBDA(_xlpm._x,_xlpm._y,_xlpm._x&amp;IF(_xlpm._x="","",CHAR(10))&amp;_xlpm._y))))</f>
        <v/>
      </c>
      <c r="AM3" s="11" cm="1">
        <f t="array" aca="1" ref="AM3" ca="1">CreateID($AM$2,$AL3&lt;&gt;"")</f>
        <v>0</v>
      </c>
    </row>
    <row r="4" spans="1:39" ht="105" x14ac:dyDescent="0.25">
      <c r="A4" s="9" t="s">
        <v>181</v>
      </c>
      <c r="B4" s="10" t="s">
        <v>1323</v>
      </c>
      <c r="C4" s="10" t="s">
        <v>312</v>
      </c>
      <c r="D4" s="10" t="s">
        <v>1320</v>
      </c>
      <c r="E4" s="10" t="s">
        <v>296</v>
      </c>
      <c r="F4" s="10" t="s">
        <v>931</v>
      </c>
      <c r="G4" s="25" t="str" cm="1">
        <f t="array" aca="1" ref="G4" ca="1">OperateOnList(
  SanitizeInput($F4),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QI1 Does the product have / support cameras or other sensors that can potentially identify people? (Regarding "supporting a camera / sensor": only answer with Yes if attaching a camera / sensor is in the intended or foreseeable use of the product.) [Yes]
» Can you argue that the product cannot identify people in its operational environment? [No]</v>
      </c>
      <c r="H4" s="10"/>
      <c r="I4" s="13" t="str" cm="1">
        <f t="array" ref="I4">LookupNames($H4,'Attack Steps'!$A:$B)</f>
        <v/>
      </c>
      <c r="J4" s="10"/>
      <c r="K4" s="25" t="str" cm="1">
        <f t="array" ref="K4">IF($J4="","",SUBSTITUTE(SUBSTITUTE(SUBSTITUTE(SUBSTITUTE(SUBSTITUTE(SUBSTITUTE(SUBSTITUTE(SUBSTITUTE(SUBSTITUTE(
GetTransformation(SanitizeInput($J4),'Damage Scenarios'!$A:$J,COLUMNS('Damage Scenarios'!$A:$J),CHAR(10),"[#0][#1][#2]")&amp;"§",
"[#1][#2]",""),
"[#2]",""),
"[#0][#1]","[#1]"),
"[#0]","Removes:"&amp;CHAR(10)),
"[#1]","Transforms:"&amp;CHAR(10)),
CHAR(10)&amp;"§",""),
"§",""),
CHAR(10),CHAR(10)&amp;"   "),
"   "&amp;"Transforms:","Transforms:"))</f>
        <v/>
      </c>
      <c r="L4" s="10"/>
      <c r="M4" s="10"/>
      <c r="N4" s="10"/>
      <c r="O4" s="10"/>
      <c r="P4" s="10"/>
      <c r="Q4" s="13" t="str">
        <f ca="1">IF($A4="","",IFERROR(VLOOKUP($AA4,Definitions!$V:$W,COLUMNS(Definitions!$V:$W),TRUE),""))</f>
        <v>Basic</v>
      </c>
      <c r="R4" s="10" t="s">
        <v>1428</v>
      </c>
      <c r="S4" s="10"/>
      <c r="T4" s="10"/>
      <c r="U4" s="9" cm="1">
        <f t="array" aca="1" ref="U4" ca="1">CreateID($U$2,$A4&lt;&gt;"")</f>
        <v>2</v>
      </c>
      <c r="V4" s="11" t="b">
        <f ca="1">OR(CheckRelevance(SanitizeInput(F4),Questionnaire!$J:$J),IFERROR(_xlfn.XMATCH("*,"&amp;$A4&amp;",*",Countermeasures!$AC:$AC,2)&gt;0,FALSE))</f>
        <v>0</v>
      </c>
      <c r="W4" s="11" t="b">
        <f>IFERROR(_xlfn.XMATCH("*,"&amp;$A4&amp;",*",Mitigation!$X:$X,2)&gt;0,FALSE)</f>
        <v>0</v>
      </c>
      <c r="X4" s="11" cm="1">
        <f t="array" ref="X4">CreateTaskID($X$2,$X:$X,Tasks!$B$17,$T4)</f>
        <v>0</v>
      </c>
      <c r="Y4" s="11" t="str" cm="1">
        <f t="array" aca="1" ref="Y4" ca="1">IF(OR($H4="",NOT($V4)),"",","&amp;SanitizeInput($H4))</f>
        <v/>
      </c>
      <c r="Z4" s="11" t="str" cm="1">
        <f t="array" ref="Z4">CreateSearchString($H4)</f>
        <v/>
      </c>
      <c r="AA4" s="11" cm="1">
        <f t="array" aca="1" ref="AA4" ca="1">OperateOnRange(
  $L4,
  TRUE,
  Helper!$B$16,
  0,
  _xlfn.LAMBDA(_xlpm._factor,IF(_xlpm._factor="",0,SimpleLookup(_xlpm._factor,Definitions!$Z:$AA))),
  _xlfn.LAMBDA(_xlpm._x,_xlpm._y,_xlpm._x+_xlpm._y))</f>
        <v>0</v>
      </c>
      <c r="AB4" s="11" t="str" cm="1">
        <f t="array" ref="AB4">SUBSTITUTE(IF($W4,IF($J4="","",","&amp;SanitizeInput($J4)),""),"&gt;",",")</f>
        <v/>
      </c>
      <c r="AC4" s="11" cm="1">
        <f t="array" aca="1" ref="AC4" ca="1">CreateID($AC$2,OR($V4,$W4))</f>
        <v>0</v>
      </c>
      <c r="AD4" s="11" t="str" cm="1">
        <f t="array" aca="1" ref="AD4" ca="1">IF(OR($V4,$W4),IF($R4="","",","&amp;SanitizeInput($R4)),"")</f>
        <v/>
      </c>
      <c r="AE4" s="11" t="str">
        <f t="shared" si="0"/>
        <v>SDR 1.4 – Privacy-compliant handling of camera data [Customer]</v>
      </c>
      <c r="AF4" s="11" t="str" cm="1">
        <f t="array" aca="1" ref="AF4" ca="1">IF($F4="*","",InverseLookupList(SanitizeInput($F4),Questionnaire!$AB$3,Questionnaire!$B$3,Helper!$B$12,","))</f>
        <v/>
      </c>
      <c r="AG4" s="11" t="str" cm="1">
        <f t="array" aca="1" ref="AG4" ca="1">RemoveDelimiter(GetValues($AF4,Questionnaire!$B:$H," ",CHAR(10)&amp;CHAR(10),TRUE),CHAR(10)&amp;CHAR(10))</f>
        <v/>
      </c>
      <c r="AH4" s="11" t="str" cm="1">
        <f t="array" aca="1" ref="AH4" ca="1">CreateSearchString($AF4)</f>
        <v/>
      </c>
      <c r="AI4" s="11" t="str" cm="1">
        <f t="array" aca="1" ref="AI4" ca="1">InverseLookup($A4,Mitigation!$AD$2,Mitigation!$A$2,1,Helper!$B$5,",")</f>
        <v/>
      </c>
      <c r="AJ4" s="11" t="str" cm="1">
        <f t="array" aca="1" ref="AJ4" ca="1">CreateSearchString(GetValues($AI4,'Attack Steps'!$A:$P,"",",",FALSE))</f>
        <v/>
      </c>
      <c r="AK4" s="11" t="str">
        <f t="shared" si="1"/>
        <v>A2</v>
      </c>
      <c r="AL4" s="11" t="str" cm="1">
        <f t="array" aca="1" ref="AL4" ca="1">_xlfn.SWITCH($F4,
"*","",
"","",
_xlfn.LET(
_xlpm._answers,SUBSTITUTE(SanitizeInput($F4),"&amp;",","),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IF(_xlpm._questionIDUndefined,$A4&amp;" - "&amp;_xlpm._question&amp;": ERROR: Unknown question ID.",
        IF(_xlpm._firstAnswerIsValidOption,"",$A4&amp;" - "&amp;_xlpm._question&amp;": First answer ("&amp;_xlpm._firstAnswer&amp;") is not a valid option.")&amp;
        IF(_xlpm._secondAnswerRequired,IF(_xlpm._secondAnswerProvided,"",$A4&amp;" - "&amp;_xlpm._question&amp;": Second answer required but not provided."),"")&amp;
        IF(NOT(_xlpm._secondAnswerRequired),IF(_xlpm._secondAnswerProvided,$A4&amp;" - "&amp;_xlpm._question&amp;": Second answer ("&amp;_xlpm._secondAnswer&amp;") provided but the question only supports one answer.",""),"")&amp;
        IF(_xlpm._secondAnswerIsValidOption,"",$A4&amp;" - "&amp;_xlpm._question&amp;": Second answer ("&amp;_xlpm._secondAnswer&amp;") is not a valid option.")))),
  _xlfn.LAMBDA(_xlpm._x,_xlpm._y,_xlpm._x&amp;IF(_xlpm._x="","",CHAR(10))&amp;_xlpm._y))))</f>
        <v/>
      </c>
      <c r="AM4" s="11" cm="1">
        <f t="array" aca="1" ref="AM4" ca="1">CreateID($AM$2,$AL4&lt;&gt;"")</f>
        <v>0</v>
      </c>
    </row>
    <row r="5" spans="1:39" ht="105" x14ac:dyDescent="0.25">
      <c r="A5" s="9" t="s">
        <v>227</v>
      </c>
      <c r="B5" s="10" t="s">
        <v>1532</v>
      </c>
      <c r="C5" s="10" t="s">
        <v>313</v>
      </c>
      <c r="D5" s="10" t="s">
        <v>1320</v>
      </c>
      <c r="E5" s="10" t="s">
        <v>296</v>
      </c>
      <c r="F5" s="10" t="s">
        <v>932</v>
      </c>
      <c r="G5" s="25" t="str" cm="1">
        <f t="array" aca="1" ref="G5" ca="1">OperateOnList(
  SanitizeInput($F5),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QI2 Does the product process personal data?
Examples: address labels [No]</v>
      </c>
      <c r="H5" s="10"/>
      <c r="I5" s="13" t="str" cm="1">
        <f t="array" ref="I5">LookupNames($H5,'Attack Steps'!$A:$B)</f>
        <v/>
      </c>
      <c r="J5" s="10"/>
      <c r="K5" s="25" t="str" cm="1">
        <f t="array" ref="K5">IF($J5="","",SUBSTITUTE(SUBSTITUTE(SUBSTITUTE(SUBSTITUTE(SUBSTITUTE(SUBSTITUTE(SUBSTITUTE(SUBSTITUTE(SUBSTITUTE(
GetTransformation(SanitizeInput($J5),'Damage Scenarios'!$A:$J,COLUMNS('Damage Scenarios'!$A:$J),CHAR(10),"[#0][#1][#2]")&amp;"§",
"[#1][#2]",""),
"[#2]",""),
"[#0][#1]","[#1]"),
"[#0]","Removes:"&amp;CHAR(10)),
"[#1]","Transforms:"&amp;CHAR(10)),
CHAR(10)&amp;"§",""),
"§",""),
CHAR(10),CHAR(10)&amp;"   "),
"   "&amp;"Transforms:","Transforms:"))</f>
        <v/>
      </c>
      <c r="L5" s="10"/>
      <c r="M5" s="10"/>
      <c r="N5" s="10"/>
      <c r="O5" s="10"/>
      <c r="P5" s="10"/>
      <c r="Q5" s="13" t="str">
        <f ca="1">IF($A5="","",IFERROR(VLOOKUP($AA5,Definitions!$V:$W,COLUMNS(Definitions!$V:$W),TRUE),""))</f>
        <v>Basic</v>
      </c>
      <c r="R5" s="10" t="s">
        <v>1428</v>
      </c>
      <c r="S5" s="10"/>
      <c r="T5" s="10"/>
      <c r="U5" s="9" cm="1">
        <f t="array" aca="1" ref="U5" ca="1">CreateID($U$2,$A5&lt;&gt;"")</f>
        <v>3</v>
      </c>
      <c r="V5" s="11" t="b">
        <f ca="1">OR(CheckRelevance(SanitizeInput(F5),Questionnaire!$J:$J),IFERROR(_xlfn.XMATCH("*,"&amp;$A5&amp;",*",Countermeasures!$AC:$AC,2)&gt;0,FALSE))</f>
        <v>0</v>
      </c>
      <c r="W5" s="11" t="b">
        <f>IFERROR(_xlfn.XMATCH("*,"&amp;$A5&amp;",*",Mitigation!$X:$X,2)&gt;0,FALSE)</f>
        <v>0</v>
      </c>
      <c r="X5" s="11" cm="1">
        <f t="array" ref="X5">CreateTaskID($X$2,$X:$X,Tasks!$B$17,$T5)</f>
        <v>0</v>
      </c>
      <c r="Y5" s="11" t="str" cm="1">
        <f t="array" aca="1" ref="Y5" ca="1">IF(OR($H5="",NOT($V5)),"",","&amp;SanitizeInput($H5))</f>
        <v/>
      </c>
      <c r="Z5" s="11" t="str" cm="1">
        <f t="array" ref="Z5">CreateSearchString($H5)</f>
        <v/>
      </c>
      <c r="AA5" s="11" cm="1">
        <f t="array" aca="1" ref="AA5" ca="1">OperateOnRange(
  $L5,
  TRUE,
  Helper!$B$16,
  0,
  _xlfn.LAMBDA(_xlpm._factor,IF(_xlpm._factor="",0,SimpleLookup(_xlpm._factor,Definitions!$Z:$AA))),
  _xlfn.LAMBDA(_xlpm._x,_xlpm._y,_xlpm._x+_xlpm._y))</f>
        <v>0</v>
      </c>
      <c r="AB5" s="11" t="str" cm="1">
        <f t="array" ref="AB5">SUBSTITUTE(IF($W5,IF($J5="","",","&amp;SanitizeInput($J5)),""),"&gt;",",")</f>
        <v/>
      </c>
      <c r="AC5" s="11" cm="1">
        <f t="array" aca="1" ref="AC5" ca="1">CreateID($AC$2,OR($V5,$W5))</f>
        <v>0</v>
      </c>
      <c r="AD5" s="11" t="str" cm="1">
        <f t="array" aca="1" ref="AD5" ca="1">IF(OR($V5,$W5),IF($R5="","",","&amp;SanitizeInput($R5)),"")</f>
        <v/>
      </c>
      <c r="AE5" s="11" t="str">
        <f t="shared" si="0"/>
        <v>SDR 1.2 – No handling of personal data [Customer]</v>
      </c>
      <c r="AF5" s="11" t="str" cm="1">
        <f t="array" aca="1" ref="AF5" ca="1">IF($F5="*","",InverseLookupList(SanitizeInput($F5),Questionnaire!$AB$3,Questionnaire!$B$3,Helper!$B$12,","))</f>
        <v/>
      </c>
      <c r="AG5" s="11" t="str" cm="1">
        <f t="array" aca="1" ref="AG5" ca="1">RemoveDelimiter(GetValues($AF5,Questionnaire!$B:$H," ",CHAR(10)&amp;CHAR(10),TRUE),CHAR(10)&amp;CHAR(10))</f>
        <v/>
      </c>
      <c r="AH5" s="11" t="str" cm="1">
        <f t="array" aca="1" ref="AH5" ca="1">CreateSearchString($AF5)</f>
        <v/>
      </c>
      <c r="AI5" s="11" t="str" cm="1">
        <f t="array" aca="1" ref="AI5" ca="1">InverseLookup($A5,Mitigation!$AD$2,Mitigation!$A$2,1,Helper!$B$5,",")</f>
        <v/>
      </c>
      <c r="AJ5" s="11" t="str" cm="1">
        <f t="array" aca="1" ref="AJ5" ca="1">CreateSearchString(GetValues($AI5,'Attack Steps'!$A:$P,"",",",FALSE))</f>
        <v/>
      </c>
      <c r="AK5" s="11" t="str">
        <f t="shared" si="1"/>
        <v>A3</v>
      </c>
      <c r="AL5" s="11" t="str" cm="1">
        <f t="array" aca="1" ref="AL5" ca="1">_xlfn.SWITCH($F5,
"*","",
"","",
_xlfn.LET(
_xlpm._answers,SUBSTITUTE(SanitizeInput($F5),"&amp;",","),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IF(_xlpm._questionIDUndefined,$A5&amp;" - "&amp;_xlpm._question&amp;": ERROR: Unknown question ID.",
        IF(_xlpm._firstAnswerIsValidOption,"",$A5&amp;" - "&amp;_xlpm._question&amp;": First answer ("&amp;_xlpm._firstAnswer&amp;") is not a valid option.")&amp;
        IF(_xlpm._secondAnswerRequired,IF(_xlpm._secondAnswerProvided,"",$A5&amp;" - "&amp;_xlpm._question&amp;": Second answer required but not provided."),"")&amp;
        IF(NOT(_xlpm._secondAnswerRequired),IF(_xlpm._secondAnswerProvided,$A5&amp;" - "&amp;_xlpm._question&amp;": Second answer ("&amp;_xlpm._secondAnswer&amp;") provided but the question only supports one answer.",""),"")&amp;
        IF(_xlpm._secondAnswerIsValidOption,"",$A5&amp;" - "&amp;_xlpm._question&amp;": Second answer ("&amp;_xlpm._secondAnswer&amp;") is not a valid option.")))),
  _xlfn.LAMBDA(_xlpm._x,_xlpm._y,_xlpm._x&amp;IF(_xlpm._x="","",CHAR(10))&amp;_xlpm._y))))</f>
        <v/>
      </c>
      <c r="AM5" s="11" cm="1">
        <f t="array" aca="1" ref="AM5" ca="1">CreateID($AM$2,$AL5&lt;&gt;"")</f>
        <v>0</v>
      </c>
    </row>
    <row r="6" spans="1:39" ht="75" x14ac:dyDescent="0.25">
      <c r="A6" s="9" t="s">
        <v>274</v>
      </c>
      <c r="B6" s="10" t="s">
        <v>1540</v>
      </c>
      <c r="C6" s="10" t="s">
        <v>1541</v>
      </c>
      <c r="D6" s="10" t="s">
        <v>1368</v>
      </c>
      <c r="E6" s="10" t="str">
        <f>Definitions!$C$4</f>
        <v>&lt;&lt; OEM Name &gt;&gt;</v>
      </c>
      <c r="F6" s="10" t="s">
        <v>920</v>
      </c>
      <c r="G6" s="25" t="str" cm="1">
        <f t="array" aca="1" ref="G6" ca="1">OperateOnList(
  SanitizeInput($F6),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QI4 Is &lt;&lt; OEM Name &gt;&gt; (typically) obliged to keep the processed / stored data (including third-party IP) confidential by contract or law? (Note that this concerns individual obligations, not the standard product warranty). [No]</v>
      </c>
      <c r="H6" s="10"/>
      <c r="I6" s="13" t="str" cm="1">
        <f t="array" ref="I6">LookupNames($H6,'Attack Steps'!$A:$B)</f>
        <v/>
      </c>
      <c r="J6" s="10"/>
      <c r="K6" s="25" t="str" cm="1">
        <f t="array" ref="K6">IF($J6="","",SUBSTITUTE(SUBSTITUTE(SUBSTITUTE(SUBSTITUTE(SUBSTITUTE(SUBSTITUTE(SUBSTITUTE(SUBSTITUTE(SUBSTITUTE(
GetTransformation(SanitizeInput($J6),'Damage Scenarios'!$A:$J,COLUMNS('Damage Scenarios'!$A:$J),CHAR(10),"[#0][#1][#2]")&amp;"§",
"[#1][#2]",""),
"[#2]",""),
"[#0][#1]","[#1]"),
"[#0]","Removes:"&amp;CHAR(10)),
"[#1]","Transforms:"&amp;CHAR(10)),
CHAR(10)&amp;"§",""),
"§",""),
CHAR(10),CHAR(10)&amp;"   "),
"   "&amp;"Transforms:","Transforms:"))</f>
        <v/>
      </c>
      <c r="L6" s="10"/>
      <c r="M6" s="10"/>
      <c r="N6" s="10"/>
      <c r="O6" s="10"/>
      <c r="P6" s="10"/>
      <c r="Q6" s="13" t="str">
        <f ca="1">IF($A6="","",IFERROR(VLOOKUP($AA6,Definitions!$V:$W,COLUMNS(Definitions!$V:$W),TRUE),""))</f>
        <v>Basic</v>
      </c>
      <c r="R6" s="10" t="s">
        <v>454</v>
      </c>
      <c r="S6" s="10"/>
      <c r="T6" s="10" t="s">
        <v>310</v>
      </c>
      <c r="U6" s="9" cm="1">
        <f t="array" aca="1" ref="U6" ca="1">CreateID($U$2,$A6&lt;&gt;"")</f>
        <v>4</v>
      </c>
      <c r="V6" s="11" t="b">
        <f ca="1">OR(CheckRelevance(SanitizeInput(F6),Questionnaire!$J:$J),IFERROR(_xlfn.XMATCH("*,"&amp;$A6&amp;",*",Countermeasures!$AC:$AC,2)&gt;0,FALSE))</f>
        <v>0</v>
      </c>
      <c r="W6" s="11" t="b">
        <f>IFERROR(_xlfn.XMATCH("*,"&amp;$A6&amp;",*",Mitigation!$X:$X,2)&gt;0,FALSE)</f>
        <v>0</v>
      </c>
      <c r="X6" s="11" cm="1">
        <f t="array" ref="X6">CreateTaskID($X$2,$X:$X,Tasks!$B$17,$T6)</f>
        <v>0</v>
      </c>
      <c r="Y6" s="11" t="str" cm="1">
        <f t="array" aca="1" ref="Y6" ca="1">IF(OR($H6="",NOT($V6)),"",","&amp;SanitizeInput($H6))</f>
        <v/>
      </c>
      <c r="Z6" s="11" t="str" cm="1">
        <f t="array" ref="Z6">CreateSearchString($H6)</f>
        <v/>
      </c>
      <c r="AA6" s="11" cm="1">
        <f t="array" aca="1" ref="AA6" ca="1">OperateOnRange(
  $L6,
  TRUE,
  Helper!$B$16,
  0,
  _xlfn.LAMBDA(_xlpm._factor,IF(_xlpm._factor="",0,SimpleLookup(_xlpm._factor,Definitions!$Z:$AA))),
  _xlfn.LAMBDA(_xlpm._x,_xlpm._y,_xlpm._x+_xlpm._y))</f>
        <v>0</v>
      </c>
      <c r="AB6" s="11" t="str" cm="1">
        <f t="array" ref="AB6">SUBSTITUTE(IF($W6,IF($J6="","",","&amp;SanitizeInput($J6)),""),"&gt;",",")</f>
        <v/>
      </c>
      <c r="AC6" s="11" cm="1">
        <f t="array" aca="1" ref="AC6" ca="1">CreateID($AC$2,OR($V6,$W6))</f>
        <v>0</v>
      </c>
      <c r="AD6" s="11" t="str" cm="1">
        <f t="array" aca="1" ref="AD6" ca="1">IF(OR($V6,$W6),IF($R6="","",","&amp;SanitizeInput($R6)),"")</f>
        <v/>
      </c>
      <c r="AE6" s="11" t="str">
        <f t="shared" si="0"/>
        <v>SDR 2.1 – No legal or contractual obligations for data confidentiality [&lt;&lt; OEM Name &gt;&gt;]</v>
      </c>
      <c r="AF6" s="11" t="str" cm="1">
        <f t="array" aca="1" ref="AF6" ca="1">IF($F6="*","",InverseLookupList(SanitizeInput($F6),Questionnaire!$AB$3,Questionnaire!$B$3,Helper!$B$12,","))</f>
        <v/>
      </c>
      <c r="AG6" s="11" t="str" cm="1">
        <f t="array" aca="1" ref="AG6" ca="1">RemoveDelimiter(GetValues($AF6,Questionnaire!$B:$H," ",CHAR(10)&amp;CHAR(10),TRUE),CHAR(10)&amp;CHAR(10))</f>
        <v/>
      </c>
      <c r="AH6" s="11" t="str" cm="1">
        <f t="array" aca="1" ref="AH6" ca="1">CreateSearchString($AF6)</f>
        <v/>
      </c>
      <c r="AI6" s="11" t="str" cm="1">
        <f t="array" aca="1" ref="AI6" ca="1">InverseLookup($A6,Mitigation!$AD$2,Mitigation!$A$2,1,Helper!$B$5,",")</f>
        <v/>
      </c>
      <c r="AJ6" s="11" t="str" cm="1">
        <f t="array" aca="1" ref="AJ6" ca="1">CreateSearchString(GetValues($AI6,'Attack Steps'!$A:$P,"",",",FALSE))</f>
        <v/>
      </c>
      <c r="AK6" s="11" t="str">
        <f t="shared" si="1"/>
        <v>A4</v>
      </c>
      <c r="AL6" s="11" t="str" cm="1">
        <f t="array" aca="1" ref="AL6" ca="1">_xlfn.SWITCH($F6,
"*","",
"","",
_xlfn.LET(
_xlpm._answers,SUBSTITUTE(SanitizeInput($F6),"&amp;",","),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IF(_xlpm._questionIDUndefined,$A6&amp;" - "&amp;_xlpm._question&amp;": ERROR: Unknown question ID.",
        IF(_xlpm._firstAnswerIsValidOption,"",$A6&amp;" - "&amp;_xlpm._question&amp;": First answer ("&amp;_xlpm._firstAnswer&amp;") is not a valid option.")&amp;
        IF(_xlpm._secondAnswerRequired,IF(_xlpm._secondAnswerProvided,"",$A6&amp;" - "&amp;_xlpm._question&amp;": Second answer required but not provided."),"")&amp;
        IF(NOT(_xlpm._secondAnswerRequired),IF(_xlpm._secondAnswerProvided,$A6&amp;" - "&amp;_xlpm._question&amp;": Second answer ("&amp;_xlpm._secondAnswer&amp;") provided but the question only supports one answer.",""),"")&amp;
        IF(_xlpm._secondAnswerIsValidOption,"",$A6&amp;" - "&amp;_xlpm._question&amp;": Second answer ("&amp;_xlpm._secondAnswer&amp;") is not a valid option.")))),
  _xlfn.LAMBDA(_xlpm._x,_xlpm._y,_xlpm._x&amp;IF(_xlpm._x="","",CHAR(10))&amp;_xlpm._y))))</f>
        <v/>
      </c>
      <c r="AM6" s="11" cm="1">
        <f t="array" aca="1" ref="AM6" ca="1">CreateID($AM$2,$AL6&lt;&gt;"")</f>
        <v>0</v>
      </c>
    </row>
    <row r="7" spans="1:39" ht="60.75" x14ac:dyDescent="0.25">
      <c r="A7" s="9" t="s">
        <v>275</v>
      </c>
      <c r="B7" s="10" t="s">
        <v>1686</v>
      </c>
      <c r="C7" s="10" t="s">
        <v>1549</v>
      </c>
      <c r="D7" s="10" t="s">
        <v>1685</v>
      </c>
      <c r="E7" s="10" t="s">
        <v>296</v>
      </c>
      <c r="F7" s="10" t="s">
        <v>1676</v>
      </c>
      <c r="G7" s="25" t="str" cm="1">
        <f t="array" aca="1" ref="G7" ca="1">OperateOnList(
  SanitizeInput($F7),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QI6 Can a loss of availability of the product (or its communication) endanger the health of people?
(Consider how the operational environment reacts to a loss of availability of the product.) [No]
» Is the product a safety product? [No],
QI10 Can a manipulated product (or its communication) endanger the health of people? Also consider cases where the product is used against its intended use or misconfigured! [No]</v>
      </c>
      <c r="H7" s="10"/>
      <c r="I7" s="13" t="str" cm="1">
        <f t="array" ref="I7">LookupNames($H7,'Attack Steps'!$A:$B)</f>
        <v/>
      </c>
      <c r="J7" s="10"/>
      <c r="K7" s="25" t="str" cm="1">
        <f t="array" ref="K7">IF($J7="","",SUBSTITUTE(SUBSTITUTE(SUBSTITUTE(SUBSTITUTE(SUBSTITUTE(SUBSTITUTE(SUBSTITUTE(SUBSTITUTE(SUBSTITUTE(
GetTransformation(SanitizeInput($J7),'Damage Scenarios'!$A:$J,COLUMNS('Damage Scenarios'!$A:$J),CHAR(10),"[#0][#1][#2]")&amp;"§",
"[#1][#2]",""),
"[#2]",""),
"[#0][#1]","[#1]"),
"[#0]","Removes:"&amp;CHAR(10)),
"[#1]","Transforms:"&amp;CHAR(10)),
CHAR(10)&amp;"§",""),
"§",""),
CHAR(10),CHAR(10)&amp;"   "),
"   "&amp;"Transforms:","Transforms:"))</f>
        <v/>
      </c>
      <c r="L7" s="10"/>
      <c r="M7" s="10"/>
      <c r="N7" s="10"/>
      <c r="O7" s="10"/>
      <c r="P7" s="10"/>
      <c r="Q7" s="13" t="str">
        <f ca="1">IF($A7="","",IFERROR(VLOOKUP($AA7,Definitions!$V:$W,COLUMNS(Definitions!$V:$W),TRUE),""))</f>
        <v>Basic</v>
      </c>
      <c r="R7" s="10" t="s">
        <v>452</v>
      </c>
      <c r="S7" s="10"/>
      <c r="T7" s="10"/>
      <c r="U7" s="9" cm="1">
        <f t="array" aca="1" ref="U7" ca="1">CreateID($U$2,$A7&lt;&gt;"")</f>
        <v>5</v>
      </c>
      <c r="V7" s="11" t="b">
        <f ca="1">OR(CheckRelevance(SanitizeInput(F7),Questionnaire!$J:$J),IFERROR(_xlfn.XMATCH("*,"&amp;$A7&amp;",*",Countermeasures!$AC:$AC,2)&gt;0,FALSE))</f>
        <v>0</v>
      </c>
      <c r="W7" s="11" t="b">
        <f>IFERROR(_xlfn.XMATCH("*,"&amp;$A7&amp;",*",Mitigation!$X:$X,2)&gt;0,FALSE)</f>
        <v>0</v>
      </c>
      <c r="X7" s="11" cm="1">
        <f t="array" ref="X7">CreateTaskID($X$2,$X:$X,Tasks!$B$17,$T7)</f>
        <v>0</v>
      </c>
      <c r="Y7" s="11" t="str" cm="1">
        <f t="array" aca="1" ref="Y7" ca="1">IF(OR($H7="",NOT($V7)),"",","&amp;SanitizeInput($H7))</f>
        <v/>
      </c>
      <c r="Z7" s="11" t="str" cm="1">
        <f t="array" ref="Z7">CreateSearchString($H7)</f>
        <v/>
      </c>
      <c r="AA7" s="11" cm="1">
        <f t="array" aca="1" ref="AA7" ca="1">OperateOnRange(
  $L7,
  TRUE,
  Helper!$B$16,
  0,
  _xlfn.LAMBDA(_xlpm._factor,IF(_xlpm._factor="",0,SimpleLookup(_xlpm._factor,Definitions!$Z:$AA))),
  _xlfn.LAMBDA(_xlpm._x,_xlpm._y,_xlpm._x+_xlpm._y))</f>
        <v>0</v>
      </c>
      <c r="AB7" s="11" t="str" cm="1">
        <f t="array" ref="AB7">SUBSTITUTE(IF($W7,IF($J7="","",","&amp;SanitizeInput($J7)),""),"&gt;",",")</f>
        <v/>
      </c>
      <c r="AC7" s="11" cm="1">
        <f t="array" aca="1" ref="AC7" ca="1">CreateID($AC$2,OR($V7,$W7))</f>
        <v>0</v>
      </c>
      <c r="AD7" s="11" t="str" cm="1">
        <f t="array" aca="1" ref="AD7" ca="1">IF(OR($V7,$W7),IF($R7="","",","&amp;SanitizeInput($R7)),"")</f>
        <v/>
      </c>
      <c r="AE7" s="11" t="str">
        <f t="shared" si="0"/>
        <v>SDR 1.5 – Product is not used for safety-relevant use cases on its own [Customer]</v>
      </c>
      <c r="AF7" s="11" t="str" cm="1">
        <f t="array" aca="1" ref="AF7" ca="1">IF($F7="*","",InverseLookupList(SanitizeInput($F7),Questionnaire!$AB$3,Questionnaire!$B$3,Helper!$B$12,","))</f>
        <v/>
      </c>
      <c r="AG7" s="11" t="str" cm="1">
        <f t="array" aca="1" ref="AG7" ca="1">RemoveDelimiter(GetValues($AF7,Questionnaire!$B:$H," ",CHAR(10)&amp;CHAR(10),TRUE),CHAR(10)&amp;CHAR(10))</f>
        <v/>
      </c>
      <c r="AH7" s="11" t="str" cm="1">
        <f t="array" aca="1" ref="AH7" ca="1">CreateSearchString($AF7)</f>
        <v/>
      </c>
      <c r="AI7" s="11" t="str" cm="1">
        <f t="array" aca="1" ref="AI7" ca="1">InverseLookup($A7,Mitigation!$AD$2,Mitigation!$A$2,1,Helper!$B$5,",")</f>
        <v/>
      </c>
      <c r="AJ7" s="11" t="str" cm="1">
        <f t="array" aca="1" ref="AJ7" ca="1">CreateSearchString(GetValues($AI7,'Attack Steps'!$A:$P,"",",",FALSE))</f>
        <v/>
      </c>
      <c r="AK7" s="11" t="str">
        <f t="shared" si="1"/>
        <v>A5</v>
      </c>
      <c r="AL7" s="11" t="str" cm="1">
        <f t="array" aca="1" ref="AL7" ca="1">_xlfn.SWITCH($F7,
"*","",
"","",
_xlfn.LET(
_xlpm._answers,SUBSTITUTE(SanitizeInput($F7),"&amp;",","),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IF(_xlpm._questionIDUndefined,$A7&amp;" - "&amp;_xlpm._question&amp;": ERROR: Unknown question ID.",
        IF(_xlpm._firstAnswerIsValidOption,"",$A7&amp;" - "&amp;_xlpm._question&amp;": First answer ("&amp;_xlpm._firstAnswer&amp;") is not a valid option.")&amp;
        IF(_xlpm._secondAnswerRequired,IF(_xlpm._secondAnswerProvided,"",$A7&amp;" - "&amp;_xlpm._question&amp;": Second answer required but not provided."),"")&amp;
        IF(NOT(_xlpm._secondAnswerRequired),IF(_xlpm._secondAnswerProvided,$A7&amp;" - "&amp;_xlpm._question&amp;": Second answer ("&amp;_xlpm._secondAnswer&amp;") provided but the question only supports one answer.",""),"")&amp;
        IF(_xlpm._secondAnswerIsValidOption,"",$A7&amp;" - "&amp;_xlpm._question&amp;": Second answer ("&amp;_xlpm._secondAnswer&amp;") is not a valid option.")))),
  _xlfn.LAMBDA(_xlpm._x,_xlpm._y,_xlpm._x&amp;IF(_xlpm._x="","",CHAR(10))&amp;_xlpm._y))))</f>
        <v/>
      </c>
      <c r="AM7" s="11" cm="1">
        <f t="array" aca="1" ref="AM7" ca="1">CreateID($AM$2,$AL7&lt;&gt;"")</f>
        <v>0</v>
      </c>
    </row>
    <row r="8" spans="1:39" ht="45" x14ac:dyDescent="0.25">
      <c r="A8" s="9" t="s">
        <v>291</v>
      </c>
      <c r="B8" s="10" t="s">
        <v>1326</v>
      </c>
      <c r="C8" s="10" t="s">
        <v>583</v>
      </c>
      <c r="D8" s="10" t="s">
        <v>1327</v>
      </c>
      <c r="E8" s="10" t="s">
        <v>296</v>
      </c>
      <c r="F8" s="10" t="s">
        <v>936</v>
      </c>
      <c r="G8" s="25" t="str" cm="1">
        <f t="array" aca="1" ref="G8" ca="1">OperateOnList(
  SanitizeInput($F8),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QI7 Is the availability of the product relevant for its operational environment? [No]</v>
      </c>
      <c r="H8" s="10"/>
      <c r="I8" s="13" t="str" cm="1">
        <f t="array" ref="I8">LookupNames($H8,'Attack Steps'!$A:$B)</f>
        <v/>
      </c>
      <c r="J8" s="10"/>
      <c r="K8" s="25" t="str" cm="1">
        <f t="array" ref="K8">IF($J8="","",SUBSTITUTE(SUBSTITUTE(SUBSTITUTE(SUBSTITUTE(SUBSTITUTE(SUBSTITUTE(SUBSTITUTE(SUBSTITUTE(SUBSTITUTE(
GetTransformation(SanitizeInput($J8),'Damage Scenarios'!$A:$J,COLUMNS('Damage Scenarios'!$A:$J),CHAR(10),"[#0][#1][#2]")&amp;"§",
"[#1][#2]",""),
"[#2]",""),
"[#0][#1]","[#1]"),
"[#0]","Removes:"&amp;CHAR(10)),
"[#1]","Transforms:"&amp;CHAR(10)),
CHAR(10)&amp;"§",""),
"§",""),
CHAR(10),CHAR(10)&amp;"   "),
"   "&amp;"Transforms:","Transforms:"))</f>
        <v/>
      </c>
      <c r="L8" s="10"/>
      <c r="M8" s="10"/>
      <c r="N8" s="10"/>
      <c r="O8" s="10"/>
      <c r="P8" s="10"/>
      <c r="Q8" s="13" t="str">
        <f ca="1">IF($A8="","",IFERROR(VLOOKUP($AA8,Definitions!$V:$W,COLUMNS(Definitions!$V:$W),TRUE),""))</f>
        <v>Basic</v>
      </c>
      <c r="R8" s="10" t="s">
        <v>452</v>
      </c>
      <c r="S8" s="10"/>
      <c r="T8" s="10"/>
      <c r="U8" s="9" cm="1">
        <f t="array" aca="1" ref="U8" ca="1">CreateID($U$2,$A8&lt;&gt;"")</f>
        <v>6</v>
      </c>
      <c r="V8" s="11" t="b">
        <f ca="1">OR(CheckRelevance(SanitizeInput(F8),Questionnaire!$J:$J),IFERROR(_xlfn.XMATCH("*,"&amp;$A8&amp;",*",Countermeasures!$AC:$AC,2)&gt;0,FALSE))</f>
        <v>0</v>
      </c>
      <c r="W8" s="11" t="b">
        <f>IFERROR(_xlfn.XMATCH("*,"&amp;$A8&amp;",*",Mitigation!$X:$X,2)&gt;0,FALSE)</f>
        <v>0</v>
      </c>
      <c r="X8" s="11" cm="1">
        <f t="array" ref="X8">CreateTaskID($X$2,$X:$X,Tasks!$B$17,$T8)</f>
        <v>0</v>
      </c>
      <c r="Y8" s="11" t="str" cm="1">
        <f t="array" aca="1" ref="Y8" ca="1">IF(OR($H8="",NOT($V8)),"",","&amp;SanitizeInput($H8))</f>
        <v/>
      </c>
      <c r="Z8" s="11" t="str" cm="1">
        <f t="array" ref="Z8">CreateSearchString($H8)</f>
        <v/>
      </c>
      <c r="AA8" s="11" cm="1">
        <f t="array" aca="1" ref="AA8" ca="1">OperateOnRange(
  $L8,
  TRUE,
  Helper!$B$16,
  0,
  _xlfn.LAMBDA(_xlpm._factor,IF(_xlpm._factor="",0,SimpleLookup(_xlpm._factor,Definitions!$Z:$AA))),
  _xlfn.LAMBDA(_xlpm._x,_xlpm._y,_xlpm._x+_xlpm._y))</f>
        <v>0</v>
      </c>
      <c r="AB8" s="11" t="str" cm="1">
        <f t="array" ref="AB8">SUBSTITUTE(IF($W8,IF($J8="","",","&amp;SanitizeInput($J8)),""),"&gt;",",")</f>
        <v/>
      </c>
      <c r="AC8" s="11" cm="1">
        <f t="array" aca="1" ref="AC8" ca="1">CreateID($AC$2,OR($V8,$W8))</f>
        <v>0</v>
      </c>
      <c r="AD8" s="11" t="str" cm="1">
        <f t="array" aca="1" ref="AD8" ca="1">IF(OR($V8,$W8),IF($R8="","",","&amp;SanitizeInput($R8)),"")</f>
        <v/>
      </c>
      <c r="AE8" s="11" t="str">
        <f t="shared" si="0"/>
        <v>SDR 1.6 – Product not relevant for availability of operational environment [Customer]</v>
      </c>
      <c r="AF8" s="11" t="str" cm="1">
        <f t="array" aca="1" ref="AF8" ca="1">IF($F8="*","",InverseLookupList(SanitizeInput($F8),Questionnaire!$AB$3,Questionnaire!$B$3,Helper!$B$12,","))</f>
        <v/>
      </c>
      <c r="AG8" s="11" t="str" cm="1">
        <f t="array" aca="1" ref="AG8" ca="1">RemoveDelimiter(GetValues($AF8,Questionnaire!$B:$H," ",CHAR(10)&amp;CHAR(10),TRUE),CHAR(10)&amp;CHAR(10))</f>
        <v/>
      </c>
      <c r="AH8" s="11" t="str" cm="1">
        <f t="array" aca="1" ref="AH8" ca="1">CreateSearchString($AF8)</f>
        <v/>
      </c>
      <c r="AI8" s="11" t="str" cm="1">
        <f t="array" aca="1" ref="AI8" ca="1">InverseLookup($A8,Mitigation!$AD$2,Mitigation!$A$2,1,Helper!$B$5,",")</f>
        <v/>
      </c>
      <c r="AJ8" s="11" t="str" cm="1">
        <f t="array" aca="1" ref="AJ8" ca="1">CreateSearchString(GetValues($AI8,'Attack Steps'!$A:$P,"",",",FALSE))</f>
        <v/>
      </c>
      <c r="AK8" s="11" t="str">
        <f t="shared" si="1"/>
        <v>A6</v>
      </c>
      <c r="AL8" s="11" t="str" cm="1">
        <f t="array" aca="1" ref="AL8" ca="1">_xlfn.SWITCH($F8,
"*","",
"","",
_xlfn.LET(
_xlpm._answers,SUBSTITUTE(SanitizeInput($F8),"&amp;",","),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IF(_xlpm._questionIDUndefined,$A8&amp;" - "&amp;_xlpm._question&amp;": ERROR: Unknown question ID.",
        IF(_xlpm._firstAnswerIsValidOption,"",$A8&amp;" - "&amp;_xlpm._question&amp;": First answer ("&amp;_xlpm._firstAnswer&amp;") is not a valid option.")&amp;
        IF(_xlpm._secondAnswerRequired,IF(_xlpm._secondAnswerProvided,"",$A8&amp;" - "&amp;_xlpm._question&amp;": Second answer required but not provided."),"")&amp;
        IF(NOT(_xlpm._secondAnswerRequired),IF(_xlpm._secondAnswerProvided,$A8&amp;" - "&amp;_xlpm._question&amp;": Second answer ("&amp;_xlpm._secondAnswer&amp;") provided but the question only supports one answer.",""),"")&amp;
        IF(_xlpm._secondAnswerIsValidOption,"",$A8&amp;" - "&amp;_xlpm._question&amp;": Second answer ("&amp;_xlpm._secondAnswer&amp;") is not a valid option.")))),
  _xlfn.LAMBDA(_xlpm._x,_xlpm._y,_xlpm._x&amp;IF(_xlpm._x="","",CHAR(10))&amp;_xlpm._y))))</f>
        <v/>
      </c>
      <c r="AM8" s="11" cm="1">
        <f t="array" aca="1" ref="AM8" ca="1">CreateID($AM$2,$AL8&lt;&gt;"")</f>
        <v>0</v>
      </c>
    </row>
    <row r="9" spans="1:39" ht="409.6" x14ac:dyDescent="0.25">
      <c r="A9" s="9" t="s">
        <v>1687</v>
      </c>
      <c r="B9" s="10" t="s">
        <v>1689</v>
      </c>
      <c r="C9" s="10" t="str" cm="1">
        <f t="array" aca="1" ref="C9" ca="1">_xlfn.LET(
_xlpm._maxDamage,MAX(Definitions!$R:$R),
_xlpm._impact7,IFERROR(SimpleLookup(SimpleLookup("QI7",Questionnaire!$B:$F),Definitions!$H:$J),""),
_xlpm._impact14,IFERROR(SimpleLookup(SimpleLookup("QI14",Questionnaire!$B:$F),Definitions!$H:$J),""),
_xlpm._impactValue7,IFERROR(SimpleLookup(_xlpm._impact7,Definitions!$Q:$R),_xlpm._maxDamage),
_xlpm._impactValue14,IFERROR(SimpleLookup(_xlpm._impact14,Definitions!$Q:$R),_xlpm._maxDamage),
_xlpm._maxImpact,IF(
  OR(_xlpm._impact7="",_xlpm._impact14="",_xlpm._impactValue7=_xlpm._maxDamage,_xlpm._impactValue14=_xlpm._maxDamage),
  "&lt;&lt; No upper limit is assumed. &gt;&gt;",
  IF(_xlpm._impactValue7&gt;_xlpm._impactValue14,_xlpm._impact7,_xlpm._impact14)),
"If the product stops working, then the damages to its operational environment are at most: "&amp;_xlpm._maxImpact)</f>
        <v>If the product stops working, then the damages to its operational environment are at most: &lt;&lt; No upper limit is assumed. &gt;&gt;</v>
      </c>
      <c r="D9" s="10" t="s">
        <v>1690</v>
      </c>
      <c r="E9" s="10" t="s">
        <v>296</v>
      </c>
      <c r="F9" s="10" t="str" cm="1">
        <f t="array" aca="1" ref="F9" ca="1">OperateOnRange(Definitions!$H$19,FALSE,4,0,
  _xlfn.LAMBDA(_xlpm._criterion,
    _xlfn.LET(
      _xlpm._qi7String,"QI7[Yes|"&amp;_xlpm._criterion&amp;"]",
      OperateOnRange(Definitions!$H$19,FALSE,4,0,
        _xlfn.LAMBDA(_xlpm._secondCriterion,_xlpm._qi7String&amp;" &amp; "&amp;"QI14[Yes|"&amp;_xlpm._secondCriterion&amp;"]"),
        _xlfn.LAMBDA(_xlpm._x,_xlpm._y,_xlpm._x&amp;", "&amp;_xlpm._y)))),
  _xlfn.LAMBDA(_xlpm._x,_xlpm._y,_xlpm._x&amp;", "&amp;_xlpm._y))</f>
        <v>QI7[Yes|Service required] &amp; QI14[Yes|Service required], QI7[Yes|Service required] &amp; QI14[Yes|Major disturbance], QI7[Yes|Service required] &amp; QI14[Yes|Environmental damage], QI7[Yes|Service required] &amp; QI14[Yes|Critical disturbance (destruction)], QI7[Yes|Major disturbance] &amp; QI14[Yes|Service required], QI7[Yes|Major disturbance] &amp; QI14[Yes|Major disturbance], QI7[Yes|Major disturbance] &amp; QI14[Yes|Environmental damage], QI7[Yes|Major disturbance] &amp; QI14[Yes|Critical disturbance (destruction)], QI7[Yes|Environmental damage] &amp; QI14[Yes|Service required], QI7[Yes|Environmental damage] &amp; QI14[Yes|Major disturbance], QI7[Yes|Environmental damage] &amp; QI14[Yes|Environmental damage], QI7[Yes|Environmental damage] &amp; QI14[Yes|Critical disturbance (destruction)], QI7[Yes|Critical disturbance (destruction)] &amp; QI14[Yes|Service required], QI7[Yes|Critical disturbance (destruction)] &amp; QI14[Yes|Major disturbance], QI7[Yes|Critical disturbance (destruction)] &amp; QI14[Yes|Environmental damage], QI7[Yes|Critical disturbance (destruction)] &amp; QI14[Yes|Critical disturbance (destruction)]</v>
      </c>
      <c r="G9" s="25" t="str" cm="1">
        <f t="array" aca="1" ref="G9" ca="1">OperateOnList(
  SanitizeInput($F9),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QI7 Is the availability of the product relevant for its operational environment? [Yes]
» What is the worst case effect on the operational environment for the intended use of the product? [Servicerequired]
 &amp; QI14 Can a manipulated product affect the operation of its operational environment? [Yes]
» What is the worst case effect on the operational environment for the intended use of the product? [Servicerequired],
QI7 Is the availability of the product relevant for its operational environment? [Yes]
» What is the worst case effect on the operational environment for the intended use of the product? [Servicerequired]
 &amp; QI14 Can a manipulated product affect the operation of its operational environment? [Yes]
» What is the worst case effect on the operational environment for the intended use of the product? [Majordisturbance],
QI7 Is the availability of the product relevant for its operational environment? [Yes]
» What is the worst case effect on the operational environment for the intended use of the product? [Servicerequired]
 &amp; QI14 Can a manipulated product affect the operation of its operational environment? [Yes]
» What is the worst case effect on the operational environment for the intended use of the product? [Environmentaldamage],
QI7 Is the availability of the product relevant for its operational environment? [Yes]
» What is the worst case effect on the operational environment for the intended use of the product? [Servicerequired]
 &amp; QI14 Can a manipulated product affect the operation of its operational environment? [Yes]
» What is the worst case effect on the operational environment for the intended use of the product? [Criticaldisturbance(destruction)],
QI7 Is the availability of the product relevant for its operational environment? [Yes]
» What is the worst case effect on the operational environment for the intended use of the product? [Majordisturbance]
 &amp; QI14 Can a manipulated product affect the operation of its operational environment? [Yes]
» What is the worst case effect on the operational environment for the intended use of the product? [Servicerequired],
QI7 Is the availability of the product relevant for its operational environment? [Yes]
» What is the worst case effect on the operational environment for the intended use of the product? [Majordisturbance]
 &amp; QI14 Can a manipulated product affect the operation of its operational environment? [Yes]
» What is the worst case effect on the operational environment for the intended use of the product? [Majordisturbance],
QI7 Is the availability of the product relevant for its operational environment? [Yes]
» What is the worst case effect on the operational environment for the intended use of the product? [Majordisturbance]
 &amp; QI14 Can a manipulated product affect the operation of its operational environment? [Yes]
» What is the worst case effect on the operational environment for the intended use of the product? [Environmentaldamage],
QI7 Is the availability of the product relevant for its operational environment? [Yes]
» What is the worst case effect on the operational environment for the intended use of the product? [Majordisturbance]
 &amp; QI14 Can a manipulated product affect the operation of its operational environment? [Yes]
» What is the worst case effect on the operational environment for the intended use of the product? [Criticaldisturbance(destruction)],
QI7 Is the availability of the product relevant for its operational environment? [Yes]
» What is the worst case effect on the operational environment for the intended use of the product? [Environmentaldamage]
 &amp; QI14 Can a manipulated product affect the operation of its operational environment? [Yes]
» What is the worst case effect on the operational environment for the intended use of the product? [Servicerequired],
QI7 Is the availability of the product relevant for its operational environment? [Yes]
» What is the worst case effect on the operational environment for the intended use of the product? [Environmentaldamage]
 &amp; QI14 Can a manipulated product affect the operation of its operational environment? [Yes]
» What is the worst case effect on the operational environment for the intended use of the product? [Majordisturbance],
QI7 Is the availability of the product relevant for its operational environment? [Yes]
» What is the worst case effect on the operational environment for the intended use of the product? [Environmentaldamage]
 &amp; QI14 Can a manipulated product affect the operation of its operational environment? [Yes]
» What is the worst case effect on the operational environment for the intended use of the product? [Environmentaldamage],
QI7 Is the availability of the product relevant for its operational environment? [Yes]
» What is the worst case effect on the operational environment for the intended use of the product? [Environmentaldamage]
 &amp; QI14 Can a manipulated product affect the operation of its operational environment? [Yes]
» What is the worst case effect on the operational environment for the intended use of the product? [Criticaldisturbance(destruction)],
QI7 Is the availability of the product relevant for its operational environment? [Yes]
» What is the worst case effect on the operational environment for the intended use of the product? [Criticaldisturbance(destruction)]
 &amp; QI14 Can a manipulated product affect the operation of its operational environment? [Yes]
» What is the worst case effect on the operational environment for the intended use of the product? [Servicerequired],
QI7 Is the availability of the product relevant for its operational environment? [Yes]
» What is the worst case effect on the operational environment for the intended use of the product? [Criticaldisturbance(destruction)]
 &amp; QI14 Can a manipulated product affect the operation of its operational environment? [Yes]
» What is the worst case effect on the operational environment for the intended use of the product? [Majordisturbance],
QI7 Is the availability of the product relevant for its operational environment? [Yes]
» What is the worst case effect on the operational environment for the intended use of the product? [Criticaldisturbance(destruction)]
 &amp; QI14 Can a manipulated product affect the operation of its operational environment? [Yes]
» What is the worst case effect on the operational environment for the intended use of the product? [Environmentaldamage],
QI7 Is the availability of the product relevant for its operational environment? [Yes]
» What is the worst case effect on the operational environment for the intended use of the product? [Criticaldisturbance(destruction)]
 &amp; QI14 Can a manipulated product affect the operation of its operational environment? [Yes]
» What is the worst case effect on the operational environment for the intended use of the product? [Criticaldisturbance(destruction)]</v>
      </c>
      <c r="H9" s="10"/>
      <c r="I9" s="13" t="str" cm="1">
        <f t="array" ref="I9">LookupNames($H9,'Attack Steps'!$A:$B)</f>
        <v/>
      </c>
      <c r="J9" s="10"/>
      <c r="K9" s="25" t="str" cm="1">
        <f t="array" ref="K9">IF($J9="","",SUBSTITUTE(SUBSTITUTE(SUBSTITUTE(SUBSTITUTE(SUBSTITUTE(SUBSTITUTE(SUBSTITUTE(SUBSTITUTE(SUBSTITUTE(
GetTransformation(SanitizeInput($J9),'Damage Scenarios'!$A:$J,COLUMNS('Damage Scenarios'!$A:$J),CHAR(10),"[#0][#1][#2]")&amp;"§",
"[#1][#2]",""),
"[#2]",""),
"[#0][#1]","[#1]"),
"[#0]","Removes:"&amp;CHAR(10)),
"[#1]","Transforms:"&amp;CHAR(10)),
CHAR(10)&amp;"§",""),
"§",""),
CHAR(10),CHAR(10)&amp;"   "),
"   "&amp;"Transforms:","Transforms:"))</f>
        <v/>
      </c>
      <c r="L9" s="10"/>
      <c r="M9" s="10"/>
      <c r="N9" s="10"/>
      <c r="O9" s="10"/>
      <c r="P9" s="10"/>
      <c r="Q9" s="13" t="str">
        <f ca="1">IF($A9="","",IFERROR(VLOOKUP($AA9,Definitions!$V:$W,COLUMNS(Definitions!$V:$W),TRUE),""))</f>
        <v>Basic</v>
      </c>
      <c r="R9" s="10" t="s">
        <v>452</v>
      </c>
      <c r="S9" s="10"/>
      <c r="T9" s="10" t="s">
        <v>1691</v>
      </c>
      <c r="U9" s="9" cm="1">
        <f t="array" aca="1" ref="U9" ca="1">CreateID($U$2,$A9&lt;&gt;"")</f>
        <v>7</v>
      </c>
      <c r="V9" s="11" t="b">
        <f ca="1">OR(CheckRelevance(SanitizeInput(F9),Questionnaire!$J:$J),IFERROR(_xlfn.XMATCH("*,"&amp;$A9&amp;",*",Countermeasures!$AC:$AC,2)&gt;0,FALSE))</f>
        <v>0</v>
      </c>
      <c r="W9" s="11" t="b">
        <f>IFERROR(_xlfn.XMATCH("*,"&amp;$A9&amp;",*",Mitigation!$X:$X,2)&gt;0,FALSE)</f>
        <v>0</v>
      </c>
      <c r="X9" s="11" cm="1">
        <f t="array" ref="X9">CreateTaskID($X$2,$X:$X,Tasks!$B$17,$T9)</f>
        <v>0</v>
      </c>
      <c r="Y9" s="11" t="str" cm="1">
        <f t="array" aca="1" ref="Y9" ca="1">IF(OR($H9="",NOT($V9)),"",","&amp;SanitizeInput($H9))</f>
        <v/>
      </c>
      <c r="Z9" s="11" t="str" cm="1">
        <f t="array" ref="Z9">CreateSearchString($H9)</f>
        <v/>
      </c>
      <c r="AA9" s="11" cm="1">
        <f t="array" aca="1" ref="AA9" ca="1">OperateOnRange(
  $L9,
  TRUE,
  Helper!$B$16,
  0,
  _xlfn.LAMBDA(_xlpm._factor,IF(_xlpm._factor="",0,SimpleLookup(_xlpm._factor,Definitions!$Z:$AA))),
  _xlfn.LAMBDA(_xlpm._x,_xlpm._y,_xlpm._x+_xlpm._y))</f>
        <v>0</v>
      </c>
      <c r="AB9" s="11" t="str" cm="1">
        <f t="array" ref="AB9">SUBSTITUTE(IF($W9,IF($J9="","",","&amp;SanitizeInput($J9)),""),"&gt;",",")</f>
        <v/>
      </c>
      <c r="AC9" s="11" cm="1">
        <f t="array" aca="1" ref="AC9" ca="1">CreateID($AC$2,OR($V9,$W9))</f>
        <v>0</v>
      </c>
      <c r="AD9" s="11" t="str" cm="1">
        <f t="array" aca="1" ref="AD9" ca="1">IF(OR($V9,$W9),IF($R9="","",","&amp;SanitizeInput($R9)),"")</f>
        <v/>
      </c>
      <c r="AE9" s="11" t="str">
        <f t="shared" si="0"/>
        <v>SDR 1.78 – Limited damage in case of loss of availability or integrity [Customer]</v>
      </c>
      <c r="AF9" s="11" t="str" cm="1">
        <f t="array" aca="1" ref="AF9" ca="1">IF($F9="*","",InverseLookupList(SanitizeInput($F9),Questionnaire!$AB$3,Questionnaire!$B$3,Helper!$B$12,","))</f>
        <v/>
      </c>
      <c r="AG9" s="11" t="str" cm="1">
        <f t="array" aca="1" ref="AG9" ca="1">RemoveDelimiter(GetValues($AF9,Questionnaire!$B:$H," ",CHAR(10)&amp;CHAR(10),TRUE),CHAR(10)&amp;CHAR(10))</f>
        <v/>
      </c>
      <c r="AH9" s="11" t="str" cm="1">
        <f t="array" aca="1" ref="AH9" ca="1">CreateSearchString($AF9)</f>
        <v/>
      </c>
      <c r="AI9" s="11" t="str" cm="1">
        <f t="array" aca="1" ref="AI9" ca="1">InverseLookup($A9,Mitigation!$AD$2,Mitigation!$A$2,1,Helper!$B$5,",")</f>
        <v/>
      </c>
      <c r="AJ9" s="11" t="str" cm="1">
        <f t="array" aca="1" ref="AJ9" ca="1">CreateSearchString(GetValues($AI9,'Attack Steps'!$A:$P,"",",",FALSE))</f>
        <v/>
      </c>
      <c r="AK9" s="11" t="str">
        <f t="shared" si="1"/>
        <v>A7-8</v>
      </c>
      <c r="AL9" s="11" t="str" cm="1">
        <f t="array" aca="1" ref="AL9" ca="1">_xlfn.SWITCH($F9,
"*","",
"","",
_xlfn.LET(
_xlpm._answers,SUBSTITUTE(SanitizeInput($F9),"&amp;",","),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IF(_xlpm._questionIDUndefined,$A9&amp;" - "&amp;_xlpm._question&amp;": ERROR: Unknown question ID.",
        IF(_xlpm._firstAnswerIsValidOption,"",$A9&amp;" - "&amp;_xlpm._question&amp;": First answer ("&amp;_xlpm._firstAnswer&amp;") is not a valid option.")&amp;
        IF(_xlpm._secondAnswerRequired,IF(_xlpm._secondAnswerProvided,"",$A9&amp;" - "&amp;_xlpm._question&amp;": Second answer required but not provided."),"")&amp;
        IF(NOT(_xlpm._secondAnswerRequired),IF(_xlpm._secondAnswerProvided,$A9&amp;" - "&amp;_xlpm._question&amp;": Second answer ("&amp;_xlpm._secondAnswer&amp;") provided but the question only supports one answer.",""),"")&amp;
        IF(_xlpm._secondAnswerIsValidOption,"",$A9&amp;" - "&amp;_xlpm._question&amp;": Second answer ("&amp;_xlpm._secondAnswer&amp;") is not a valid option.")))),
  _xlfn.LAMBDA(_xlpm._x,_xlpm._y,_xlpm._x&amp;IF(_xlpm._x="","",CHAR(10))&amp;_xlpm._y))))</f>
        <v/>
      </c>
      <c r="AM9" s="11" cm="1">
        <f t="array" aca="1" ref="AM9" ca="1">CreateID($AM$2,$AL9&lt;&gt;"")</f>
        <v>0</v>
      </c>
    </row>
    <row r="10" spans="1:39" ht="60" x14ac:dyDescent="0.25">
      <c r="A10" s="9" t="s">
        <v>299</v>
      </c>
      <c r="B10" s="10" t="s">
        <v>1328</v>
      </c>
      <c r="C10" s="10" t="s">
        <v>314</v>
      </c>
      <c r="D10" s="10" t="s">
        <v>1329</v>
      </c>
      <c r="E10" s="10" t="s">
        <v>296</v>
      </c>
      <c r="F10" s="10" t="s">
        <v>912</v>
      </c>
      <c r="G10" s="25" t="str" cm="1">
        <f t="array" aca="1" ref="G10" ca="1">OperateOnList(
  SanitizeInput($F10),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QI8 Can a loss of availability allow an attacker access to assets of the customer (including physical access not detected by the &lt;&lt; OEM Name &gt;&gt; product)? Example: The product is used for access control. [No]</v>
      </c>
      <c r="H10" s="10"/>
      <c r="I10" s="13" t="str" cm="1">
        <f t="array" ref="I10">LookupNames($H10,'Attack Steps'!$A:$B)</f>
        <v/>
      </c>
      <c r="J10" s="10"/>
      <c r="K10" s="25" t="str" cm="1">
        <f t="array" ref="K10">IF($J10="","",SUBSTITUTE(SUBSTITUTE(SUBSTITUTE(SUBSTITUTE(SUBSTITUTE(SUBSTITUTE(SUBSTITUTE(SUBSTITUTE(SUBSTITUTE(
GetTransformation(SanitizeInput($J10),'Damage Scenarios'!$A:$J,COLUMNS('Damage Scenarios'!$A:$J),CHAR(10),"[#0][#1][#2]")&amp;"§",
"[#1][#2]",""),
"[#2]",""),
"[#0][#1]","[#1]"),
"[#0]","Removes:"&amp;CHAR(10)),
"[#1]","Transforms:"&amp;CHAR(10)),
CHAR(10)&amp;"§",""),
"§",""),
CHAR(10),CHAR(10)&amp;"   "),
"   "&amp;"Transforms:","Transforms:"))</f>
        <v/>
      </c>
      <c r="L10" s="10"/>
      <c r="M10" s="10"/>
      <c r="N10" s="10"/>
      <c r="O10" s="10"/>
      <c r="P10" s="10"/>
      <c r="Q10" s="13" t="str">
        <f ca="1">IF($A10="","",IFERROR(VLOOKUP($AA10,Definitions!$V:$W,COLUMNS(Definitions!$V:$W),TRUE),""))</f>
        <v>Basic</v>
      </c>
      <c r="R10" s="10" t="s">
        <v>55</v>
      </c>
      <c r="S10" s="10"/>
      <c r="T10" s="10"/>
      <c r="U10" s="9" cm="1">
        <f t="array" aca="1" ref="U10" ca="1">CreateID($U$2,$A10&lt;&gt;"")</f>
        <v>8</v>
      </c>
      <c r="V10" s="11" t="b">
        <f ca="1">OR(CheckRelevance(SanitizeInput(F10),Questionnaire!$J:$J),IFERROR(_xlfn.XMATCH("*,"&amp;$A10&amp;",*",Countermeasures!$AC:$AC,2)&gt;0,FALSE))</f>
        <v>0</v>
      </c>
      <c r="W10" s="11" t="b">
        <f>IFERROR(_xlfn.XMATCH("*,"&amp;$A10&amp;",*",Mitigation!$X:$X,2)&gt;0,FALSE)</f>
        <v>0</v>
      </c>
      <c r="X10" s="11" cm="1">
        <f t="array" ref="X10">CreateTaskID($X$2,$X:$X,Tasks!$B$17,$T10)</f>
        <v>0</v>
      </c>
      <c r="Y10" s="11" t="str" cm="1">
        <f t="array" aca="1" ref="Y10" ca="1">IF(OR($H10="",NOT($V10)),"",","&amp;SanitizeInput($H10))</f>
        <v/>
      </c>
      <c r="Z10" s="11" t="str" cm="1">
        <f t="array" ref="Z10">CreateSearchString($H10)</f>
        <v/>
      </c>
      <c r="AA10" s="11" cm="1">
        <f t="array" aca="1" ref="AA10" ca="1">OperateOnRange(
  $L10,
  TRUE,
  Helper!$B$16,
  0,
  _xlfn.LAMBDA(_xlpm._factor,IF(_xlpm._factor="",0,SimpleLookup(_xlpm._factor,Definitions!$Z:$AA))),
  _xlfn.LAMBDA(_xlpm._x,_xlpm._y,_xlpm._x+_xlpm._y))</f>
        <v>0</v>
      </c>
      <c r="AB10" s="11" t="str" cm="1">
        <f t="array" ref="AB10">SUBSTITUTE(IF($W10,IF($J10="","",","&amp;SanitizeInput($J10)),""),"&gt;",",")</f>
        <v/>
      </c>
      <c r="AC10" s="11" cm="1">
        <f t="array" aca="1" ref="AC10" ca="1">CreateID($AC$2,OR($V10,$W10))</f>
        <v>0</v>
      </c>
      <c r="AD10" s="11" t="str" cm="1">
        <f t="array" aca="1" ref="AD10" ca="1">IF(OR($V10,$W10),IF($R10="","",","&amp;SanitizeInput($R10)),"")</f>
        <v/>
      </c>
      <c r="AE10" s="11" t="str">
        <f t="shared" si="0"/>
        <v>SDR 1.9 – Not used for access control [Customer]</v>
      </c>
      <c r="AF10" s="11" t="str" cm="1">
        <f t="array" aca="1" ref="AF10" ca="1">IF($F10="*","",InverseLookupList(SanitizeInput($F10),Questionnaire!$AB$3,Questionnaire!$B$3,Helper!$B$12,","))</f>
        <v/>
      </c>
      <c r="AG10" s="11" t="str" cm="1">
        <f t="array" aca="1" ref="AG10" ca="1">RemoveDelimiter(GetValues($AF10,Questionnaire!$B:$H," ",CHAR(10)&amp;CHAR(10),TRUE),CHAR(10)&amp;CHAR(10))</f>
        <v/>
      </c>
      <c r="AH10" s="11" t="str" cm="1">
        <f t="array" aca="1" ref="AH10" ca="1">CreateSearchString($AF10)</f>
        <v/>
      </c>
      <c r="AI10" s="11" t="str" cm="1">
        <f t="array" aca="1" ref="AI10" ca="1">InverseLookup($A10,Mitigation!$AD$2,Mitigation!$A$2,1,Helper!$B$5,",")</f>
        <v/>
      </c>
      <c r="AJ10" s="11" t="str" cm="1">
        <f t="array" aca="1" ref="AJ10" ca="1">CreateSearchString(GetValues($AI10,'Attack Steps'!$A:$P,"",",",FALSE))</f>
        <v/>
      </c>
      <c r="AK10" s="11" t="str">
        <f t="shared" si="1"/>
        <v>A9</v>
      </c>
      <c r="AL10" s="11" t="str" cm="1">
        <f t="array" aca="1" ref="AL10" ca="1">_xlfn.SWITCH($F10,
"*","",
"","",
_xlfn.LET(
_xlpm._answers,SUBSTITUTE(SanitizeInput($F10),"&amp;",","),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IF(_xlpm._questionIDUndefined,$A10&amp;" - "&amp;_xlpm._question&amp;": ERROR: Unknown question ID.",
        IF(_xlpm._firstAnswerIsValidOption,"",$A10&amp;" - "&amp;_xlpm._question&amp;": First answer ("&amp;_xlpm._firstAnswer&amp;") is not a valid option.")&amp;
        IF(_xlpm._secondAnswerRequired,IF(_xlpm._secondAnswerProvided,"",$A10&amp;" - "&amp;_xlpm._question&amp;": Second answer required but not provided."),"")&amp;
        IF(NOT(_xlpm._secondAnswerRequired),IF(_xlpm._secondAnswerProvided,$A10&amp;" - "&amp;_xlpm._question&amp;": Second answer ("&amp;_xlpm._secondAnswer&amp;") provided but the question only supports one answer.",""),"")&amp;
        IF(_xlpm._secondAnswerIsValidOption,"",$A10&amp;" - "&amp;_xlpm._question&amp;": Second answer ("&amp;_xlpm._secondAnswer&amp;") is not a valid option.")))),
  _xlfn.LAMBDA(_xlpm._x,_xlpm._y,_xlpm._x&amp;IF(_xlpm._x="","",CHAR(10))&amp;_xlpm._y))))</f>
        <v/>
      </c>
      <c r="AM10" s="11" cm="1">
        <f t="array" aca="1" ref="AM10" ca="1">CreateID($AM$2,$AL10&lt;&gt;"")</f>
        <v>0</v>
      </c>
    </row>
    <row r="11" spans="1:39" ht="45" x14ac:dyDescent="0.25">
      <c r="A11" s="9" t="s">
        <v>300</v>
      </c>
      <c r="B11" s="10" t="s">
        <v>1542</v>
      </c>
      <c r="C11" s="10" t="s">
        <v>1543</v>
      </c>
      <c r="D11" s="10" t="s">
        <v>1369</v>
      </c>
      <c r="E11" s="10" t="str">
        <f>Definitions!$C$4</f>
        <v>&lt;&lt; OEM Name &gt;&gt;</v>
      </c>
      <c r="F11" s="10" t="s">
        <v>910</v>
      </c>
      <c r="G11" s="25" t="str" cm="1">
        <f t="array" aca="1" ref="G11" ca="1">OperateOnList(
  SanitizeInput($F11),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QI9 Can a loss of availability cause contract-related fines (e.g., based on a service level agreement)? [No]</v>
      </c>
      <c r="H11" s="10"/>
      <c r="I11" s="13" t="str" cm="1">
        <f t="array" ref="I11">LookupNames($H11,'Attack Steps'!$A:$B)</f>
        <v/>
      </c>
      <c r="J11" s="10"/>
      <c r="K11" s="25" t="str" cm="1">
        <f t="array" ref="K11">IF($J11="","",SUBSTITUTE(SUBSTITUTE(SUBSTITUTE(SUBSTITUTE(SUBSTITUTE(SUBSTITUTE(SUBSTITUTE(SUBSTITUTE(SUBSTITUTE(
GetTransformation(SanitizeInput($J11),'Damage Scenarios'!$A:$J,COLUMNS('Damage Scenarios'!$A:$J),CHAR(10),"[#0][#1][#2]")&amp;"§",
"[#1][#2]",""),
"[#2]",""),
"[#0][#1]","[#1]"),
"[#0]","Removes:"&amp;CHAR(10)),
"[#1]","Transforms:"&amp;CHAR(10)),
CHAR(10)&amp;"§",""),
"§",""),
CHAR(10),CHAR(10)&amp;"   "),
"   "&amp;"Transforms:","Transforms:"))</f>
        <v/>
      </c>
      <c r="L11" s="10"/>
      <c r="M11" s="10"/>
      <c r="N11" s="10"/>
      <c r="O11" s="10"/>
      <c r="P11" s="10"/>
      <c r="Q11" s="13" t="str">
        <f ca="1">IF($A11="","",IFERROR(VLOOKUP($AA11,Definitions!$V:$W,COLUMNS(Definitions!$V:$W),TRUE),""))</f>
        <v>Basic</v>
      </c>
      <c r="R11" s="10" t="s">
        <v>55</v>
      </c>
      <c r="S11" s="10"/>
      <c r="T11" s="10"/>
      <c r="U11" s="9" cm="1">
        <f t="array" aca="1" ref="U11" ca="1">CreateID($U$2,$A11&lt;&gt;"")</f>
        <v>9</v>
      </c>
      <c r="V11" s="11" t="b">
        <f ca="1">OR(CheckRelevance(SanitizeInput(F11),Questionnaire!$J:$J),IFERROR(_xlfn.XMATCH("*,"&amp;$A11&amp;",*",Countermeasures!$AC:$AC,2)&gt;0,FALSE))</f>
        <v>0</v>
      </c>
      <c r="W11" s="11" t="b">
        <f>IFERROR(_xlfn.XMATCH("*,"&amp;$A11&amp;",*",Mitigation!$X:$X,2)&gt;0,FALSE)</f>
        <v>0</v>
      </c>
      <c r="X11" s="11" cm="1">
        <f t="array" ref="X11">CreateTaskID($X$2,$X:$X,Tasks!$B$17,$T11)</f>
        <v>0</v>
      </c>
      <c r="Y11" s="11" t="str" cm="1">
        <f t="array" aca="1" ref="Y11" ca="1">IF(OR($H11="",NOT($V11)),"",","&amp;SanitizeInput($H11))</f>
        <v/>
      </c>
      <c r="Z11" s="11" t="str" cm="1">
        <f t="array" ref="Z11">CreateSearchString($H11)</f>
        <v/>
      </c>
      <c r="AA11" s="11" cm="1">
        <f t="array" aca="1" ref="AA11" ca="1">OperateOnRange(
  $L11,
  TRUE,
  Helper!$B$16,
  0,
  _xlfn.LAMBDA(_xlpm._factor,IF(_xlpm._factor="",0,SimpleLookup(_xlpm._factor,Definitions!$Z:$AA))),
  _xlfn.LAMBDA(_xlpm._x,_xlpm._y,_xlpm._x+_xlpm._y))</f>
        <v>0</v>
      </c>
      <c r="AB11" s="11" t="str" cm="1">
        <f t="array" ref="AB11">SUBSTITUTE(IF($W11,IF($J11="","",","&amp;SanitizeInput($J11)),""),"&gt;",",")</f>
        <v/>
      </c>
      <c r="AC11" s="11" cm="1">
        <f t="array" aca="1" ref="AC11" ca="1">CreateID($AC$2,OR($V11,$W11))</f>
        <v>0</v>
      </c>
      <c r="AD11" s="11" t="str" cm="1">
        <f t="array" aca="1" ref="AD11" ca="1">IF(OR($V11,$W11),IF($R11="","",","&amp;SanitizeInput($R11)),"")</f>
        <v/>
      </c>
      <c r="AE11" s="11" t="str">
        <f t="shared" si="0"/>
        <v>SDR 2.2 – No contractual obligations regarding product availability [&lt;&lt; OEM Name &gt;&gt;]</v>
      </c>
      <c r="AF11" s="11" t="str" cm="1">
        <f t="array" aca="1" ref="AF11" ca="1">IF($F11="*","",InverseLookupList(SanitizeInput($F11),Questionnaire!$AB$3,Questionnaire!$B$3,Helper!$B$12,","))</f>
        <v/>
      </c>
      <c r="AG11" s="11" t="str" cm="1">
        <f t="array" aca="1" ref="AG11" ca="1">RemoveDelimiter(GetValues($AF11,Questionnaire!$B:$H," ",CHAR(10)&amp;CHAR(10),TRUE),CHAR(10)&amp;CHAR(10))</f>
        <v/>
      </c>
      <c r="AH11" s="11" t="str" cm="1">
        <f t="array" aca="1" ref="AH11" ca="1">CreateSearchString($AF11)</f>
        <v/>
      </c>
      <c r="AI11" s="11" t="str" cm="1">
        <f t="array" aca="1" ref="AI11" ca="1">InverseLookup($A11,Mitigation!$AD$2,Mitigation!$A$2,1,Helper!$B$5,",")</f>
        <v/>
      </c>
      <c r="AJ11" s="11" t="str" cm="1">
        <f t="array" aca="1" ref="AJ11" ca="1">CreateSearchString(GetValues($AI11,'Attack Steps'!$A:$P,"",",",FALSE))</f>
        <v/>
      </c>
      <c r="AK11" s="11" t="str">
        <f t="shared" si="1"/>
        <v>A10</v>
      </c>
      <c r="AL11" s="11" t="str" cm="1">
        <f t="array" aca="1" ref="AL11" ca="1">_xlfn.SWITCH($F11,
"*","",
"","",
_xlfn.LET(
_xlpm._answers,SUBSTITUTE(SanitizeInput($F11),"&amp;",","),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IF(_xlpm._questionIDUndefined,$A11&amp;" - "&amp;_xlpm._question&amp;": ERROR: Unknown question ID.",
        IF(_xlpm._firstAnswerIsValidOption,"",$A11&amp;" - "&amp;_xlpm._question&amp;": First answer ("&amp;_xlpm._firstAnswer&amp;") is not a valid option.")&amp;
        IF(_xlpm._secondAnswerRequired,IF(_xlpm._secondAnswerProvided,"",$A11&amp;" - "&amp;_xlpm._question&amp;": Second answer required but not provided."),"")&amp;
        IF(NOT(_xlpm._secondAnswerRequired),IF(_xlpm._secondAnswerProvided,$A11&amp;" - "&amp;_xlpm._question&amp;": Second answer ("&amp;_xlpm._secondAnswer&amp;") provided but the question only supports one answer.",""),"")&amp;
        IF(_xlpm._secondAnswerIsValidOption,"",$A11&amp;" - "&amp;_xlpm._question&amp;": Second answer ("&amp;_xlpm._secondAnswer&amp;") is not a valid option.")))),
  _xlfn.LAMBDA(_xlpm._x,_xlpm._y,_xlpm._x&amp;IF(_xlpm._x="","",CHAR(10))&amp;_xlpm._y))))</f>
        <v/>
      </c>
      <c r="AM11" s="11" cm="1">
        <f t="array" aca="1" ref="AM11" ca="1">CreateID($AM$2,$AL11&lt;&gt;"")</f>
        <v>0</v>
      </c>
    </row>
    <row r="12" spans="1:39" ht="45" x14ac:dyDescent="0.25">
      <c r="A12" s="9" t="s">
        <v>301</v>
      </c>
      <c r="B12" s="10" t="s">
        <v>1544</v>
      </c>
      <c r="C12" s="10" t="s">
        <v>1545</v>
      </c>
      <c r="D12" s="10" t="s">
        <v>1370</v>
      </c>
      <c r="E12" s="10" t="str">
        <f>Definitions!$C$4</f>
        <v>&lt;&lt; OEM Name &gt;&gt;</v>
      </c>
      <c r="F12" s="10" t="s">
        <v>900</v>
      </c>
      <c r="G12" s="25" t="str" cm="1">
        <f t="array" aca="1" ref="G12" ca="1">OperateOnList(
  SanitizeInput($F12),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QI16 Can a manipulated product cause contract-related / legal fines? (Note that this concerns individual obligations, not the standard product warranty). [No]</v>
      </c>
      <c r="H12" s="10"/>
      <c r="I12" s="13" t="str" cm="1">
        <f t="array" ref="I12">LookupNames($H12,'Attack Steps'!$A:$B)</f>
        <v/>
      </c>
      <c r="J12" s="10"/>
      <c r="K12" s="25" t="str" cm="1">
        <f t="array" ref="K12">IF($J12="","",SUBSTITUTE(SUBSTITUTE(SUBSTITUTE(SUBSTITUTE(SUBSTITUTE(SUBSTITUTE(SUBSTITUTE(SUBSTITUTE(SUBSTITUTE(
GetTransformation(SanitizeInput($J12),'Damage Scenarios'!$A:$J,COLUMNS('Damage Scenarios'!$A:$J),CHAR(10),"[#0][#1][#2]")&amp;"§",
"[#1][#2]",""),
"[#2]",""),
"[#0][#1]","[#1]"),
"[#0]","Removes:"&amp;CHAR(10)),
"[#1]","Transforms:"&amp;CHAR(10)),
CHAR(10)&amp;"§",""),
"§",""),
CHAR(10),CHAR(10)&amp;"   "),
"   "&amp;"Transforms:","Transforms:"))</f>
        <v/>
      </c>
      <c r="L12" s="10"/>
      <c r="M12" s="10"/>
      <c r="N12" s="10"/>
      <c r="O12" s="10"/>
      <c r="P12" s="10"/>
      <c r="Q12" s="13" t="str">
        <f ca="1">IF($A12="","",IFERROR(VLOOKUP($AA12,Definitions!$V:$W,COLUMNS(Definitions!$V:$W),TRUE),""))</f>
        <v>Basic</v>
      </c>
      <c r="R12" s="10" t="s">
        <v>55</v>
      </c>
      <c r="S12" s="10"/>
      <c r="T12" s="10"/>
      <c r="U12" s="9" cm="1">
        <f t="array" aca="1" ref="U12" ca="1">CreateID($U$2,$A12&lt;&gt;"")</f>
        <v>10</v>
      </c>
      <c r="V12" s="11" t="b">
        <f ca="1">OR(CheckRelevance(SanitizeInput(F12),Questionnaire!$J:$J),IFERROR(_xlfn.XMATCH("*,"&amp;$A12&amp;",*",Countermeasures!$AC:$AC,2)&gt;0,FALSE))</f>
        <v>0</v>
      </c>
      <c r="W12" s="11" t="b">
        <f>IFERROR(_xlfn.XMATCH("*,"&amp;$A12&amp;",*",Mitigation!$X:$X,2)&gt;0,FALSE)</f>
        <v>0</v>
      </c>
      <c r="X12" s="11" cm="1">
        <f t="array" ref="X12">CreateTaskID($X$2,$X:$X,Tasks!$B$17,$T12)</f>
        <v>0</v>
      </c>
      <c r="Y12" s="11" t="str" cm="1">
        <f t="array" aca="1" ref="Y12" ca="1">IF(OR($H12="",NOT($V12)),"",","&amp;SanitizeInput($H12))</f>
        <v/>
      </c>
      <c r="Z12" s="11" t="str" cm="1">
        <f t="array" ref="Z12">CreateSearchString($H12)</f>
        <v/>
      </c>
      <c r="AA12" s="11" cm="1">
        <f t="array" aca="1" ref="AA12" ca="1">OperateOnRange(
  $L12,
  TRUE,
  Helper!$B$16,
  0,
  _xlfn.LAMBDA(_xlpm._factor,IF(_xlpm._factor="",0,SimpleLookup(_xlpm._factor,Definitions!$Z:$AA))),
  _xlfn.LAMBDA(_xlpm._x,_xlpm._y,_xlpm._x+_xlpm._y))</f>
        <v>0</v>
      </c>
      <c r="AB12" s="11" t="str" cm="1">
        <f t="array" ref="AB12">SUBSTITUTE(IF($W12,IF($J12="","",","&amp;SanitizeInput($J12)),""),"&gt;",",")</f>
        <v/>
      </c>
      <c r="AC12" s="11" cm="1">
        <f t="array" aca="1" ref="AC12" ca="1">CreateID($AC$2,OR($V12,$W12))</f>
        <v>0</v>
      </c>
      <c r="AD12" s="11" t="str" cm="1">
        <f t="array" aca="1" ref="AD12" ca="1">IF(OR($V12,$W12),IF($R12="","",","&amp;SanitizeInput($R12)),"")</f>
        <v/>
      </c>
      <c r="AE12" s="11" t="str">
        <f t="shared" si="0"/>
        <v>SDR 2.3 – No legal or contractual obligations for product integrity [&lt;&lt; OEM Name &gt;&gt;]</v>
      </c>
      <c r="AF12" s="11" t="str" cm="1">
        <f t="array" aca="1" ref="AF12" ca="1">IF($F12="*","",InverseLookupList(SanitizeInput($F12),Questionnaire!$AB$3,Questionnaire!$B$3,Helper!$B$12,","))</f>
        <v/>
      </c>
      <c r="AG12" s="11" t="str" cm="1">
        <f t="array" aca="1" ref="AG12" ca="1">RemoveDelimiter(GetValues($AF12,Questionnaire!$B:$H," ",CHAR(10)&amp;CHAR(10),TRUE),CHAR(10)&amp;CHAR(10))</f>
        <v/>
      </c>
      <c r="AH12" s="11" t="str" cm="1">
        <f t="array" aca="1" ref="AH12" ca="1">CreateSearchString($AF12)</f>
        <v/>
      </c>
      <c r="AI12" s="11" t="str" cm="1">
        <f t="array" aca="1" ref="AI12" ca="1">InverseLookup($A12,Mitigation!$AD$2,Mitigation!$A$2,1,Helper!$B$5,",")</f>
        <v/>
      </c>
      <c r="AJ12" s="11" t="str" cm="1">
        <f t="array" aca="1" ref="AJ12" ca="1">CreateSearchString(GetValues($AI12,'Attack Steps'!$A:$P,"",",",FALSE))</f>
        <v/>
      </c>
      <c r="AK12" s="11" t="str">
        <f t="shared" si="1"/>
        <v>A11</v>
      </c>
      <c r="AL12" s="11" t="str" cm="1">
        <f t="array" aca="1" ref="AL12" ca="1">_xlfn.SWITCH($F12,
"*","",
"","",
_xlfn.LET(
_xlpm._answers,SUBSTITUTE(SanitizeInput($F12),"&amp;",","),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IF(_xlpm._questionIDUndefined,$A12&amp;" - "&amp;_xlpm._question&amp;": ERROR: Unknown question ID.",
        IF(_xlpm._firstAnswerIsValidOption,"",$A12&amp;" - "&amp;_xlpm._question&amp;": First answer ("&amp;_xlpm._firstAnswer&amp;") is not a valid option.")&amp;
        IF(_xlpm._secondAnswerRequired,IF(_xlpm._secondAnswerProvided,"",$A12&amp;" - "&amp;_xlpm._question&amp;": Second answer required but not provided."),"")&amp;
        IF(NOT(_xlpm._secondAnswerRequired),IF(_xlpm._secondAnswerProvided,$A12&amp;" - "&amp;_xlpm._question&amp;": Second answer ("&amp;_xlpm._secondAnswer&amp;") provided but the question only supports one answer.",""),"")&amp;
        IF(_xlpm._secondAnswerIsValidOption,"",$A12&amp;" - "&amp;_xlpm._question&amp;": Second answer ("&amp;_xlpm._secondAnswer&amp;") is not a valid option.")))),
  _xlfn.LAMBDA(_xlpm._x,_xlpm._y,_xlpm._x&amp;IF(_xlpm._x="","",CHAR(10))&amp;_xlpm._y))))</f>
        <v/>
      </c>
      <c r="AM12" s="11" cm="1">
        <f t="array" aca="1" ref="AM12" ca="1">CreateID($AM$2,$AL12&lt;&gt;"")</f>
        <v>0</v>
      </c>
    </row>
    <row r="13" spans="1:39" ht="120.75" x14ac:dyDescent="0.25">
      <c r="A13" s="9" t="s">
        <v>302</v>
      </c>
      <c r="B13" s="10" t="s">
        <v>1330</v>
      </c>
      <c r="C13" s="10" t="s">
        <v>226</v>
      </c>
      <c r="D13" s="10" t="s">
        <v>1335</v>
      </c>
      <c r="E13" s="10" t="s">
        <v>296</v>
      </c>
      <c r="F13" s="10" t="s">
        <v>1067</v>
      </c>
      <c r="G13" s="25" t="str" cm="1">
        <f t="array" aca="1" ref="G13" ca="1">OperateOnList(
  SanitizeInput($F13),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QA4 Does the product have a direct connection to a local network? [Yes]
» Are the devices in the local network considered as trustworthy according to the intended use of the product? [Yes],
QA5 Does the product support wireless connections? [Yes]
» Is the access to the wireless connection restricted and are the devices the product communicates with considered as trustworthy? [Yes],
QA12 Does the product have a logical connection to a local network over a gateway? [Yes]
» Are the local network and the gateway considered as trustworthy? [Yes],
QA13 Does the product have a logical connection to a wireless network over a gateway? [Yes]
» Are the wireless network and the gateway considered as trustworthy? [Yes]</v>
      </c>
      <c r="H13" s="10" t="s">
        <v>77</v>
      </c>
      <c r="I13" s="13" t="str" cm="1">
        <f t="array" aca="1" ref="I13" ca="1">LookupNames($H13,'Attack Steps'!$A:$B)</f>
        <v>AS1 Getting access to a trusted operational environment</v>
      </c>
      <c r="J13" s="10"/>
      <c r="K13" s="25" t="str" cm="1">
        <f t="array" ref="K13">IF($J13="","",SUBSTITUTE(SUBSTITUTE(SUBSTITUTE(SUBSTITUTE(SUBSTITUTE(SUBSTITUTE(SUBSTITUTE(SUBSTITUTE(SUBSTITUTE(
GetTransformation(SanitizeInput($J13),'Damage Scenarios'!$A:$J,COLUMNS('Damage Scenarios'!$A:$J),CHAR(10),"[#0][#1][#2]")&amp;"§",
"[#1][#2]",""),
"[#2]",""),
"[#0][#1]","[#1]"),
"[#0]","Removes:"&amp;CHAR(10)),
"[#1]","Transforms:"&amp;CHAR(10)),
CHAR(10)&amp;"§",""),
"§",""),
CHAR(10),CHAR(10)&amp;"   "),
"   "&amp;"Transforms:","Transforms:"))</f>
        <v/>
      </c>
      <c r="L13" s="10"/>
      <c r="M13" s="10"/>
      <c r="N13" s="10"/>
      <c r="O13" s="10" t="s">
        <v>122</v>
      </c>
      <c r="P13" s="10"/>
      <c r="Q13" s="13" t="str">
        <f ca="1">IF($A13="","",IFERROR(VLOOKUP($AA13,Definitions!$V:$W,COLUMNS(Definitions!$V:$W),TRUE),""))</f>
        <v>Beyond High</v>
      </c>
      <c r="R13" s="10" t="s">
        <v>1404</v>
      </c>
      <c r="S13" s="10"/>
      <c r="T13" s="10" t="s">
        <v>852</v>
      </c>
      <c r="U13" s="9" cm="1">
        <f t="array" aca="1" ref="U13" ca="1">CreateID($U$2,$A13&lt;&gt;"")</f>
        <v>11</v>
      </c>
      <c r="V13" s="11" t="b">
        <f ca="1">OR(CheckRelevance(SanitizeInput(F13),Questionnaire!$J:$J),IFERROR(_xlfn.XMATCH("*,"&amp;$A13&amp;",*",Countermeasures!$AC:$AC,2)&gt;0,FALSE))</f>
        <v>0</v>
      </c>
      <c r="W13" s="11" t="b">
        <f>IFERROR(_xlfn.XMATCH("*,"&amp;$A13&amp;",*",Mitigation!$X:$X,2)&gt;0,FALSE)</f>
        <v>0</v>
      </c>
      <c r="X13" s="11" cm="1">
        <f t="array" ref="X13">CreateTaskID($X$2,$X:$X,Tasks!$B$17,$T13)</f>
        <v>0</v>
      </c>
      <c r="Y13" s="11" t="str" cm="1">
        <f t="array" aca="1" ref="Y13" ca="1">IF(OR($H13="",NOT($V13)),"",","&amp;SanitizeInput($H13))</f>
        <v/>
      </c>
      <c r="Z13" s="11" t="str" cm="1">
        <f t="array" ref="Z13">CreateSearchString($H13)</f>
        <v>,AS1,</v>
      </c>
      <c r="AA13" s="11" cm="1">
        <f t="array" aca="1" ref="AA13" ca="1">OperateOnRange(
  $L13,
  TRUE,
  Helper!$B$16,
  0,
  _xlfn.LAMBDA(_xlpm._factor,IF(_xlpm._factor="",0,SimpleLookup(_xlpm._factor,Definitions!$Z:$AA))),
  _xlfn.LAMBDA(_xlpm._x,_xlpm._y,_xlpm._x+_xlpm._y))</f>
        <v>25</v>
      </c>
      <c r="AB13" s="11" t="str" cm="1">
        <f t="array" ref="AB13">SUBSTITUTE(IF($W13,IF($J13="","",","&amp;SanitizeInput($J13)),""),"&gt;",",")</f>
        <v/>
      </c>
      <c r="AC13" s="11" cm="1">
        <f t="array" aca="1" ref="AC13" ca="1">CreateID($AC$2,OR($V13,$W13))</f>
        <v>0</v>
      </c>
      <c r="AD13" s="11" t="str" cm="1">
        <f t="array" aca="1" ref="AD13" ca="1">IF(OR($V13,$W13),IF($R13="","",","&amp;SanitizeInput($R13)),"")</f>
        <v/>
      </c>
      <c r="AE13" s="11" t="str">
        <f t="shared" si="0"/>
        <v>SDR 1.10 – Device operates in trustworthy operational environment [Customer]</v>
      </c>
      <c r="AF13" s="11" t="str" cm="1">
        <f t="array" aca="1" ref="AF13" ca="1">IF($F13="*","",InverseLookupList(SanitizeInput($F13),Questionnaire!$AB$3,Questionnaire!$B$3,Helper!$B$12,","))</f>
        <v/>
      </c>
      <c r="AG13" s="11" t="str" cm="1">
        <f t="array" aca="1" ref="AG13" ca="1">RemoveDelimiter(GetValues($AF13,Questionnaire!$B:$H," ",CHAR(10)&amp;CHAR(10),TRUE),CHAR(10)&amp;CHAR(10))</f>
        <v/>
      </c>
      <c r="AH13" s="11" t="str" cm="1">
        <f t="array" aca="1" ref="AH13" ca="1">CreateSearchString($AF13)</f>
        <v/>
      </c>
      <c r="AI13" s="11" t="str" cm="1">
        <f t="array" aca="1" ref="AI13" ca="1">InverseLookup($A13,Mitigation!$AD$2,Mitigation!$A$2,1,Helper!$B$5,",")</f>
        <v/>
      </c>
      <c r="AJ13" s="11" t="str" cm="1">
        <f t="array" aca="1" ref="AJ13" ca="1">CreateSearchString(GetValues($AI13,'Attack Steps'!$A:$P,"",",",FALSE))</f>
        <v/>
      </c>
      <c r="AK13" s="11" t="str">
        <f t="shared" si="1"/>
        <v>A12</v>
      </c>
      <c r="AL13" s="11" t="str" cm="1">
        <f t="array" aca="1" ref="AL13" ca="1">_xlfn.SWITCH($F13,
"*","",
"","",
_xlfn.LET(
_xlpm._answers,SUBSTITUTE(SanitizeInput($F13),"&amp;",","),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IF(_xlpm._questionIDUndefined,$A13&amp;" - "&amp;_xlpm._question&amp;": ERROR: Unknown question ID.",
        IF(_xlpm._firstAnswerIsValidOption,"",$A13&amp;" - "&amp;_xlpm._question&amp;": First answer ("&amp;_xlpm._firstAnswer&amp;") is not a valid option.")&amp;
        IF(_xlpm._secondAnswerRequired,IF(_xlpm._secondAnswerProvided,"",$A13&amp;" - "&amp;_xlpm._question&amp;": Second answer required but not provided."),"")&amp;
        IF(NOT(_xlpm._secondAnswerRequired),IF(_xlpm._secondAnswerProvided,$A13&amp;" - "&amp;_xlpm._question&amp;": Second answer ("&amp;_xlpm._secondAnswer&amp;") provided but the question only supports one answer.",""),"")&amp;
        IF(_xlpm._secondAnswerIsValidOption,"",$A13&amp;" - "&amp;_xlpm._question&amp;": Second answer ("&amp;_xlpm._secondAnswer&amp;") is not a valid option.")))),
  _xlfn.LAMBDA(_xlpm._x,_xlpm._y,_xlpm._x&amp;IF(_xlpm._x="","",CHAR(10))&amp;_xlpm._y))))</f>
        <v/>
      </c>
      <c r="AM13" s="11" cm="1">
        <f t="array" aca="1" ref="AM13" ca="1">CreateID($AM$2,$AL13&lt;&gt;"")</f>
        <v>0</v>
      </c>
    </row>
    <row r="14" spans="1:39" ht="96.75" x14ac:dyDescent="0.25">
      <c r="A14" s="9" t="s">
        <v>303</v>
      </c>
      <c r="B14" s="10" t="s">
        <v>1331</v>
      </c>
      <c r="C14" s="10" t="s">
        <v>228</v>
      </c>
      <c r="D14" s="10" t="s">
        <v>1336</v>
      </c>
      <c r="E14" s="10" t="s">
        <v>297</v>
      </c>
      <c r="F14" s="10" t="s">
        <v>1063</v>
      </c>
      <c r="G14" s="25" t="str" cm="1">
        <f t="array" aca="1" ref="G14" ca="1">OperateOnList(
  SanitizeInput($F14),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QA3 Does the product have a point-to-point connection to another device? [Yes]
» Is the connected device typically considered as trustworthy? [Yes],
QA10a Does the product communicate with an external system locally (e.g., a USB stick, an SD card, an RFID tag)? [Yes]
» Is the external system considered as trustworthy? In case of several systems, consider the worst case. [Yes],
QA10b Does the product communicate with an external system on the Internet (e.g., an untrusted 3rd party backend, a &lt;&lt; OEM Name &gt;&gt; cloud service, a &lt;&lt; OEM Name &gt;&gt; server system)? [Yes]
» Is the external system considered as trustworthy? In case of several systems, consider the worst case. [Yes]</v>
      </c>
      <c r="H14" s="10" t="s">
        <v>289</v>
      </c>
      <c r="I14" s="13" t="str" cm="1">
        <f t="array" aca="1" ref="I14" ca="1">LookupNames($H14,'Attack Steps'!$A:$B)</f>
        <v>AS28 Getting access to a trusted entity</v>
      </c>
      <c r="J14" s="10"/>
      <c r="K14" s="25" t="str" cm="1">
        <f t="array" ref="K14">IF($J14="","",SUBSTITUTE(SUBSTITUTE(SUBSTITUTE(SUBSTITUTE(SUBSTITUTE(SUBSTITUTE(SUBSTITUTE(SUBSTITUTE(SUBSTITUTE(
GetTransformation(SanitizeInput($J14),'Damage Scenarios'!$A:$J,COLUMNS('Damage Scenarios'!$A:$J),CHAR(10),"[#0][#1][#2]")&amp;"§",
"[#1][#2]",""),
"[#2]",""),
"[#0][#1]","[#1]"),
"[#0]","Removes:"&amp;CHAR(10)),
"[#1]","Transforms:"&amp;CHAR(10)),
CHAR(10)&amp;"§",""),
"§",""),
CHAR(10),CHAR(10)&amp;"   "),
"   "&amp;"Transforms:","Transforms:"))</f>
        <v/>
      </c>
      <c r="L14" s="10"/>
      <c r="M14" s="10"/>
      <c r="N14" s="10"/>
      <c r="O14" s="10" t="s">
        <v>122</v>
      </c>
      <c r="P14" s="10"/>
      <c r="Q14" s="13" t="str">
        <f ca="1">IF($A14="","",IFERROR(VLOOKUP($AA14,Definitions!$V:$W,COLUMNS(Definitions!$V:$W),TRUE),""))</f>
        <v>Beyond High</v>
      </c>
      <c r="R14" s="10" t="s">
        <v>1397</v>
      </c>
      <c r="S14" s="10"/>
      <c r="T14" s="10" t="str">
        <f>"The responsible party depends on whether the trusted communication partner is operated by "&amp;Definitions!$C$4&amp;", the customer, or another party. Please list all responsible parties in the documentation.
The communication partner is considered as trustworthy and currently not considered as the origin of attacks"</f>
        <v>The responsible party depends on whether the trusted communication partner is operated by &lt;&lt; OEM Name &gt;&gt;, the customer, or another party. Please list all responsible parties in the documentation.
The communication partner is considered as trustworthy and currently not considered as the origin of attacks</v>
      </c>
      <c r="U14" s="9" cm="1">
        <f t="array" aca="1" ref="U14" ca="1">CreateID($U$2,$A14&lt;&gt;"")</f>
        <v>12</v>
      </c>
      <c r="V14" s="11" t="b">
        <f ca="1">OR(CheckRelevance(SanitizeInput(F14),Questionnaire!$J:$J),IFERROR(_xlfn.XMATCH("*,"&amp;$A14&amp;",*",Countermeasures!$AC:$AC,2)&gt;0,FALSE))</f>
        <v>0</v>
      </c>
      <c r="W14" s="11" t="b">
        <f>IFERROR(_xlfn.XMATCH("*,"&amp;$A14&amp;",*",Mitigation!$X:$X,2)&gt;0,FALSE)</f>
        <v>0</v>
      </c>
      <c r="X14" s="11" cm="1">
        <f t="array" ref="X14">CreateTaskID($X$2,$X:$X,Tasks!$B$17,$T14)</f>
        <v>0</v>
      </c>
      <c r="Y14" s="11" t="str" cm="1">
        <f t="array" aca="1" ref="Y14" ca="1">IF(OR($H14="",NOT($V14)),"",","&amp;SanitizeInput($H14))</f>
        <v/>
      </c>
      <c r="Z14" s="11" t="str" cm="1">
        <f t="array" ref="Z14">CreateSearchString($H14)</f>
        <v>,AS28,</v>
      </c>
      <c r="AA14" s="11" cm="1">
        <f t="array" aca="1" ref="AA14" ca="1">OperateOnRange(
  $L14,
  TRUE,
  Helper!$B$16,
  0,
  _xlfn.LAMBDA(_xlpm._factor,IF(_xlpm._factor="",0,SimpleLookup(_xlpm._factor,Definitions!$Z:$AA))),
  _xlfn.LAMBDA(_xlpm._x,_xlpm._y,_xlpm._x+_xlpm._y))</f>
        <v>25</v>
      </c>
      <c r="AB14" s="11" t="str" cm="1">
        <f t="array" ref="AB14">SUBSTITUTE(IF($W14,IF($J14="","",","&amp;SanitizeInput($J14)),""),"&gt;",",")</f>
        <v/>
      </c>
      <c r="AC14" s="11" cm="1">
        <f t="array" aca="1" ref="AC14" ca="1">CreateID($AC$2,OR($V14,$W14))</f>
        <v>0</v>
      </c>
      <c r="AD14" s="11" t="str" cm="1">
        <f t="array" aca="1" ref="AD14" ca="1">IF(OR($V14,$W14),IF($R14="","",","&amp;SanitizeInput($R14)),"")</f>
        <v/>
      </c>
      <c r="AE14" s="11" t="str">
        <f t="shared" si="0"/>
        <v>SDR 1.11 – Trustworthy communication partner [Other (see comment)]</v>
      </c>
      <c r="AF14" s="11" t="str" cm="1">
        <f t="array" aca="1" ref="AF14" ca="1">IF($F14="*","",InverseLookupList(SanitizeInput($F14),Questionnaire!$AB$3,Questionnaire!$B$3,Helper!$B$12,","))</f>
        <v/>
      </c>
      <c r="AG14" s="11" t="str" cm="1">
        <f t="array" aca="1" ref="AG14" ca="1">RemoveDelimiter(GetValues($AF14,Questionnaire!$B:$H," ",CHAR(10)&amp;CHAR(10),TRUE),CHAR(10)&amp;CHAR(10))</f>
        <v/>
      </c>
      <c r="AH14" s="11" t="str" cm="1">
        <f t="array" aca="1" ref="AH14" ca="1">CreateSearchString($AF14)</f>
        <v/>
      </c>
      <c r="AI14" s="11" t="str" cm="1">
        <f t="array" aca="1" ref="AI14" ca="1">InverseLookup($A14,Mitigation!$AD$2,Mitigation!$A$2,1,Helper!$B$5,",")</f>
        <v/>
      </c>
      <c r="AJ14" s="11" t="str" cm="1">
        <f t="array" aca="1" ref="AJ14" ca="1">CreateSearchString(GetValues($AI14,'Attack Steps'!$A:$P,"",",",FALSE))</f>
        <v/>
      </c>
      <c r="AK14" s="11" t="str">
        <f t="shared" si="1"/>
        <v>A13</v>
      </c>
      <c r="AL14" s="11" t="str" cm="1">
        <f t="array" aca="1" ref="AL14" ca="1">_xlfn.SWITCH($F14,
"*","",
"","",
_xlfn.LET(
_xlpm._answers,SUBSTITUTE(SanitizeInput($F14),"&amp;",","),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IF(_xlpm._questionIDUndefined,$A14&amp;" - "&amp;_xlpm._question&amp;": ERROR: Unknown question ID.",
        IF(_xlpm._firstAnswerIsValidOption,"",$A14&amp;" - "&amp;_xlpm._question&amp;": First answer ("&amp;_xlpm._firstAnswer&amp;") is not a valid option.")&amp;
        IF(_xlpm._secondAnswerRequired,IF(_xlpm._secondAnswerProvided,"",$A14&amp;" - "&amp;_xlpm._question&amp;": Second answer required but not provided."),"")&amp;
        IF(NOT(_xlpm._secondAnswerRequired),IF(_xlpm._secondAnswerProvided,$A14&amp;" - "&amp;_xlpm._question&amp;": Second answer ("&amp;_xlpm._secondAnswer&amp;") provided but the question only supports one answer.",""),"")&amp;
        IF(_xlpm._secondAnswerIsValidOption,"",$A14&amp;" - "&amp;_xlpm._question&amp;": Second answer ("&amp;_xlpm._secondAnswer&amp;") is not a valid option.")))),
  _xlfn.LAMBDA(_xlpm._x,_xlpm._y,_xlpm._x&amp;IF(_xlpm._x="","",CHAR(10))&amp;_xlpm._y))))</f>
        <v/>
      </c>
      <c r="AM14" s="11" cm="1">
        <f t="array" aca="1" ref="AM14" ca="1">CreateID($AM$2,$AL14&lt;&gt;"")</f>
        <v>0</v>
      </c>
    </row>
    <row r="15" spans="1:39" ht="45" x14ac:dyDescent="0.25">
      <c r="A15" s="9" t="s">
        <v>304</v>
      </c>
      <c r="B15" s="10" t="s">
        <v>1332</v>
      </c>
      <c r="C15" s="10" t="s">
        <v>444</v>
      </c>
      <c r="D15" s="10" t="s">
        <v>1337</v>
      </c>
      <c r="E15" s="10" t="s">
        <v>296</v>
      </c>
      <c r="F15" s="10" t="s">
        <v>889</v>
      </c>
      <c r="G15" s="25" t="str" cm="1">
        <f t="array" aca="1" ref="G15" ca="1">OperateOnList(
  SanitizeInput($F15),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QA14 Is the product typically installed in a physically accessible position? [No]</v>
      </c>
      <c r="H15" s="10" t="s">
        <v>266</v>
      </c>
      <c r="I15" s="13" t="str" cm="1">
        <f t="array" aca="1" ref="I15" ca="1">LookupNames($H15,'Attack Steps'!$A:$B)</f>
        <v>AS21 Gaining physical access to the product (3rd party)</v>
      </c>
      <c r="J15" s="10"/>
      <c r="K15" s="25" t="str" cm="1">
        <f t="array" ref="K15">IF($J15="","",SUBSTITUTE(SUBSTITUTE(SUBSTITUTE(SUBSTITUTE(SUBSTITUTE(SUBSTITUTE(SUBSTITUTE(SUBSTITUTE(SUBSTITUTE(
GetTransformation(SanitizeInput($J15),'Damage Scenarios'!$A:$J,COLUMNS('Damage Scenarios'!$A:$J),CHAR(10),"[#0][#1][#2]")&amp;"§",
"[#1][#2]",""),
"[#2]",""),
"[#0][#1]","[#1]"),
"[#0]","Removes:"&amp;CHAR(10)),
"[#1]","Transforms:"&amp;CHAR(10)),
CHAR(10)&amp;"§",""),
"§",""),
CHAR(10),CHAR(10)&amp;"   "),
"   "&amp;"Transforms:","Transforms:"))</f>
        <v/>
      </c>
      <c r="L15" s="10"/>
      <c r="M15" s="10"/>
      <c r="N15" s="10"/>
      <c r="O15" s="10" t="s">
        <v>121</v>
      </c>
      <c r="P15" s="10"/>
      <c r="Q15" s="13" t="str">
        <f ca="1">IF($A15="","",IFERROR(VLOOKUP($AA15,Definitions!$V:$W,COLUMNS(Definitions!$V:$W),TRUE),""))</f>
        <v>Enhanced-Basic</v>
      </c>
      <c r="R15" s="10" t="s">
        <v>55</v>
      </c>
      <c r="S15" s="10"/>
      <c r="T15" s="10" t="s">
        <v>853</v>
      </c>
      <c r="U15" s="9" cm="1">
        <f t="array" aca="1" ref="U15" ca="1">CreateID($U$2,$A15&lt;&gt;"")</f>
        <v>13</v>
      </c>
      <c r="V15" s="11" t="b">
        <f ca="1">OR(CheckRelevance(SanitizeInput(F15),Questionnaire!$J:$J),IFERROR(_xlfn.XMATCH("*,"&amp;$A15&amp;",*",Countermeasures!$AC:$AC,2)&gt;0,FALSE))</f>
        <v>0</v>
      </c>
      <c r="W15" s="11" t="b">
        <f>IFERROR(_xlfn.XMATCH("*,"&amp;$A15&amp;",*",Mitigation!$X:$X,2)&gt;0,FALSE)</f>
        <v>0</v>
      </c>
      <c r="X15" s="11" cm="1">
        <f t="array" ref="X15">CreateTaskID($X$2,$X:$X,Tasks!$B$17,$T15)</f>
        <v>0</v>
      </c>
      <c r="Y15" s="11" t="str" cm="1">
        <f t="array" aca="1" ref="Y15" ca="1">IF(OR($H15="",NOT($V15)),"",","&amp;SanitizeInput($H15))</f>
        <v/>
      </c>
      <c r="Z15" s="11" t="str" cm="1">
        <f t="array" ref="Z15">CreateSearchString($H15)</f>
        <v>,AS21,</v>
      </c>
      <c r="AA15" s="11" cm="1">
        <f t="array" aca="1" ref="AA15" ca="1">OperateOnRange(
  $L15,
  TRUE,
  Helper!$B$16,
  0,
  _xlfn.LAMBDA(_xlpm._factor,IF(_xlpm._factor="",0,SimpleLookup(_xlpm._factor,Definitions!$Z:$AA))),
  _xlfn.LAMBDA(_xlpm._x,_xlpm._y,_xlpm._x+_xlpm._y))</f>
        <v>10</v>
      </c>
      <c r="AB15" s="11" t="str" cm="1">
        <f t="array" ref="AB15">SUBSTITUTE(IF($W15,IF($J15="","",","&amp;SanitizeInput($J15)),""),"&gt;",",")</f>
        <v/>
      </c>
      <c r="AC15" s="11" cm="1">
        <f t="array" aca="1" ref="AC15" ca="1">CreateID($AC$2,OR($V15,$W15))</f>
        <v>0</v>
      </c>
      <c r="AD15" s="11" t="str" cm="1">
        <f t="array" aca="1" ref="AD15" ca="1">IF(OR($V15,$W15),IF($R15="","",","&amp;SanitizeInput($R15)),"")</f>
        <v/>
      </c>
      <c r="AE15" s="11" t="str">
        <f t="shared" si="0"/>
        <v>SDR 1.12 – Product inaccessible [Customer]</v>
      </c>
      <c r="AF15" s="11" t="str" cm="1">
        <f t="array" aca="1" ref="AF15" ca="1">IF($F15="*","",InverseLookupList(SanitizeInput($F15),Questionnaire!$AB$3,Questionnaire!$B$3,Helper!$B$12,","))</f>
        <v/>
      </c>
      <c r="AG15" s="11" t="str" cm="1">
        <f t="array" aca="1" ref="AG15" ca="1">RemoveDelimiter(GetValues($AF15,Questionnaire!$B:$H," ",CHAR(10)&amp;CHAR(10),TRUE),CHAR(10)&amp;CHAR(10))</f>
        <v/>
      </c>
      <c r="AH15" s="11" t="str" cm="1">
        <f t="array" aca="1" ref="AH15" ca="1">CreateSearchString($AF15)</f>
        <v/>
      </c>
      <c r="AI15" s="11" t="str" cm="1">
        <f t="array" aca="1" ref="AI15" ca="1">InverseLookup($A15,Mitigation!$AD$2,Mitigation!$A$2,1,Helper!$B$5,",")</f>
        <v/>
      </c>
      <c r="AJ15" s="11" t="str" cm="1">
        <f t="array" aca="1" ref="AJ15" ca="1">CreateSearchString(GetValues($AI15,'Attack Steps'!$A:$P,"",",",FALSE))</f>
        <v/>
      </c>
      <c r="AK15" s="11" t="str">
        <f t="shared" si="1"/>
        <v>A14</v>
      </c>
      <c r="AL15" s="11" t="str" cm="1">
        <f t="array" aca="1" ref="AL15" ca="1">_xlfn.SWITCH($F15,
"*","",
"","",
_xlfn.LET(
_xlpm._answers,SUBSTITUTE(SanitizeInput($F15),"&amp;",","),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IF(_xlpm._questionIDUndefined,$A15&amp;" - "&amp;_xlpm._question&amp;": ERROR: Unknown question ID.",
        IF(_xlpm._firstAnswerIsValidOption,"",$A15&amp;" - "&amp;_xlpm._question&amp;": First answer ("&amp;_xlpm._firstAnswer&amp;") is not a valid option.")&amp;
        IF(_xlpm._secondAnswerRequired,IF(_xlpm._secondAnswerProvided,"",$A15&amp;" - "&amp;_xlpm._question&amp;": Second answer required but not provided."),"")&amp;
        IF(NOT(_xlpm._secondAnswerRequired),IF(_xlpm._secondAnswerProvided,$A15&amp;" - "&amp;_xlpm._question&amp;": Second answer ("&amp;_xlpm._secondAnswer&amp;") provided but the question only supports one answer.",""),"")&amp;
        IF(_xlpm._secondAnswerIsValidOption,"",$A15&amp;" - "&amp;_xlpm._question&amp;": Second answer ("&amp;_xlpm._secondAnswer&amp;") is not a valid option.")))),
  _xlfn.LAMBDA(_xlpm._x,_xlpm._y,_xlpm._x&amp;IF(_xlpm._x="","",CHAR(10))&amp;_xlpm._y))))</f>
        <v/>
      </c>
      <c r="AM15" s="11" cm="1">
        <f t="array" aca="1" ref="AM15" ca="1">CreateID($AM$2,$AL15&lt;&gt;"")</f>
        <v>0</v>
      </c>
    </row>
    <row r="16" spans="1:39" ht="45" x14ac:dyDescent="0.25">
      <c r="A16" s="9" t="s">
        <v>305</v>
      </c>
      <c r="B16" s="10" t="s">
        <v>1333</v>
      </c>
      <c r="C16" s="10" t="s">
        <v>273</v>
      </c>
      <c r="D16" s="10" t="s">
        <v>1338</v>
      </c>
      <c r="E16" s="10" t="s">
        <v>296</v>
      </c>
      <c r="F16" s="10" t="s">
        <v>891</v>
      </c>
      <c r="G16" s="25" t="str" cm="1">
        <f t="array" aca="1" ref="G16" ca="1">OperateOnList(
  SanitizeInput($F16),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QA15 Is the product typically installed in an operational environment with public access? [No]</v>
      </c>
      <c r="H16" s="10" t="s">
        <v>266</v>
      </c>
      <c r="I16" s="13" t="str" cm="1">
        <f t="array" aca="1" ref="I16" ca="1">LookupNames($H16,'Attack Steps'!$A:$B)</f>
        <v>AS21 Gaining physical access to the product (3rd party)</v>
      </c>
      <c r="J16" s="10"/>
      <c r="K16" s="25" t="str" cm="1">
        <f t="array" ref="K16">IF($J16="","",SUBSTITUTE(SUBSTITUTE(SUBSTITUTE(SUBSTITUTE(SUBSTITUTE(SUBSTITUTE(SUBSTITUTE(SUBSTITUTE(SUBSTITUTE(
GetTransformation(SanitizeInput($J16),'Damage Scenarios'!$A:$J,COLUMNS('Damage Scenarios'!$A:$J),CHAR(10),"[#0][#1][#2]")&amp;"§",
"[#1][#2]",""),
"[#2]",""),
"[#0][#1]","[#1]"),
"[#0]","Removes:"&amp;CHAR(10)),
"[#1]","Transforms:"&amp;CHAR(10)),
CHAR(10)&amp;"§",""),
"§",""),
CHAR(10),CHAR(10)&amp;"   "),
"   "&amp;"Transforms:","Transforms:"))</f>
        <v/>
      </c>
      <c r="L16" s="10"/>
      <c r="M16" s="10"/>
      <c r="N16" s="10"/>
      <c r="O16" s="10" t="s">
        <v>122</v>
      </c>
      <c r="P16" s="10"/>
      <c r="Q16" s="13" t="str">
        <f ca="1">IF($A16="","",IFERROR(VLOOKUP($AA16,Definitions!$V:$W,COLUMNS(Definitions!$V:$W),TRUE),""))</f>
        <v>Beyond High</v>
      </c>
      <c r="R16" s="10" t="s">
        <v>55</v>
      </c>
      <c r="S16" s="10"/>
      <c r="T16" s="10" t="s">
        <v>854</v>
      </c>
      <c r="U16" s="9" cm="1">
        <f t="array" aca="1" ref="U16" ca="1">CreateID($U$2,$A16&lt;&gt;"")</f>
        <v>14</v>
      </c>
      <c r="V16" s="11" t="b">
        <f ca="1">OR(CheckRelevance(SanitizeInput(F16),Questionnaire!$J:$J),IFERROR(_xlfn.XMATCH("*,"&amp;$A16&amp;",*",Countermeasures!$AC:$AC,2)&gt;0,FALSE))</f>
        <v>0</v>
      </c>
      <c r="W16" s="11" t="b">
        <f>IFERROR(_xlfn.XMATCH("*,"&amp;$A16&amp;",*",Mitigation!$X:$X,2)&gt;0,FALSE)</f>
        <v>0</v>
      </c>
      <c r="X16" s="11" cm="1">
        <f t="array" ref="X16">CreateTaskID($X$2,$X:$X,Tasks!$B$17,$T16)</f>
        <v>0</v>
      </c>
      <c r="Y16" s="11" t="str" cm="1">
        <f t="array" aca="1" ref="Y16" ca="1">IF(OR($H16="",NOT($V16)),"",","&amp;SanitizeInput($H16))</f>
        <v/>
      </c>
      <c r="Z16" s="11" t="str" cm="1">
        <f t="array" ref="Z16">CreateSearchString($H16)</f>
        <v>,AS21,</v>
      </c>
      <c r="AA16" s="11" cm="1">
        <f t="array" aca="1" ref="AA16" ca="1">OperateOnRange(
  $L16,
  TRUE,
  Helper!$B$16,
  0,
  _xlfn.LAMBDA(_xlpm._factor,IF(_xlpm._factor="",0,SimpleLookup(_xlpm._factor,Definitions!$Z:$AA))),
  _xlfn.LAMBDA(_xlpm._x,_xlpm._y,_xlpm._x+_xlpm._y))</f>
        <v>25</v>
      </c>
      <c r="AB16" s="11" t="str" cm="1">
        <f t="array" ref="AB16">SUBSTITUTE(IF($W16,IF($J16="","",","&amp;SanitizeInput($J16)),""),"&gt;",",")</f>
        <v/>
      </c>
      <c r="AC16" s="11" cm="1">
        <f t="array" aca="1" ref="AC16" ca="1">CreateID($AC$2,OR($V16,$W16))</f>
        <v>0</v>
      </c>
      <c r="AD16" s="11" t="str" cm="1">
        <f t="array" aca="1" ref="AD16" ca="1">IF(OR($V16,$W16),IF($R16="","",","&amp;SanitizeInput($R16)),"")</f>
        <v/>
      </c>
      <c r="AE16" s="11" t="str">
        <f t="shared" si="0"/>
        <v>SDR 1.13 – Area with restricted access [Customer]</v>
      </c>
      <c r="AF16" s="11" t="str" cm="1">
        <f t="array" aca="1" ref="AF16" ca="1">IF($F16="*","",InverseLookupList(SanitizeInput($F16),Questionnaire!$AB$3,Questionnaire!$B$3,Helper!$B$12,","))</f>
        <v/>
      </c>
      <c r="AG16" s="11" t="str" cm="1">
        <f t="array" aca="1" ref="AG16" ca="1">RemoveDelimiter(GetValues($AF16,Questionnaire!$B:$H," ",CHAR(10)&amp;CHAR(10),TRUE),CHAR(10)&amp;CHAR(10))</f>
        <v/>
      </c>
      <c r="AH16" s="11" t="str" cm="1">
        <f t="array" aca="1" ref="AH16" ca="1">CreateSearchString($AF16)</f>
        <v/>
      </c>
      <c r="AI16" s="11" t="str" cm="1">
        <f t="array" aca="1" ref="AI16" ca="1">InverseLookup($A16,Mitigation!$AD$2,Mitigation!$A$2,1,Helper!$B$5,",")</f>
        <v/>
      </c>
      <c r="AJ16" s="11" t="str" cm="1">
        <f t="array" aca="1" ref="AJ16" ca="1">CreateSearchString(GetValues($AI16,'Attack Steps'!$A:$P,"",",",FALSE))</f>
        <v/>
      </c>
      <c r="AK16" s="11" t="str">
        <f t="shared" si="1"/>
        <v>A15</v>
      </c>
      <c r="AL16" s="11" t="str" cm="1">
        <f t="array" aca="1" ref="AL16" ca="1">_xlfn.SWITCH($F16,
"*","",
"","",
_xlfn.LET(
_xlpm._answers,SUBSTITUTE(SanitizeInput($F16),"&amp;",","),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IF(_xlpm._questionIDUndefined,$A16&amp;" - "&amp;_xlpm._question&amp;": ERROR: Unknown question ID.",
        IF(_xlpm._firstAnswerIsValidOption,"",$A16&amp;" - "&amp;_xlpm._question&amp;": First answer ("&amp;_xlpm._firstAnswer&amp;") is not a valid option.")&amp;
        IF(_xlpm._secondAnswerRequired,IF(_xlpm._secondAnswerProvided,"",$A16&amp;" - "&amp;_xlpm._question&amp;": Second answer required but not provided."),"")&amp;
        IF(NOT(_xlpm._secondAnswerRequired),IF(_xlpm._secondAnswerProvided,$A16&amp;" - "&amp;_xlpm._question&amp;": Second answer ("&amp;_xlpm._secondAnswer&amp;") provided but the question only supports one answer.",""),"")&amp;
        IF(_xlpm._secondAnswerIsValidOption,"",$A16&amp;" - "&amp;_xlpm._question&amp;": Second answer ("&amp;_xlpm._secondAnswer&amp;") is not a valid option.")))),
  _xlfn.LAMBDA(_xlpm._x,_xlpm._y,_xlpm._x&amp;IF(_xlpm._x="","",CHAR(10))&amp;_xlpm._y))))</f>
        <v/>
      </c>
      <c r="AM16" s="11" cm="1">
        <f t="array" aca="1" ref="AM16" ca="1">CreateID($AM$2,$AL16&lt;&gt;"")</f>
        <v>0</v>
      </c>
    </row>
    <row r="17" spans="1:39" ht="45" x14ac:dyDescent="0.25">
      <c r="A17" s="9" t="s">
        <v>306</v>
      </c>
      <c r="B17" s="10" t="s">
        <v>1334</v>
      </c>
      <c r="C17" s="10" t="s">
        <v>276</v>
      </c>
      <c r="D17" s="10" t="s">
        <v>1339</v>
      </c>
      <c r="E17" s="10" t="s">
        <v>296</v>
      </c>
      <c r="F17" s="10" t="s">
        <v>893</v>
      </c>
      <c r="G17" s="25" t="str" cm="1">
        <f t="array" aca="1" ref="G17" ca="1">OperateOnList(
  SanitizeInput($F17),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QA16 Are the product's physical connections (such as attached bus cables) typically installed in an environment with public access? [No]</v>
      </c>
      <c r="H17" s="10" t="s">
        <v>284</v>
      </c>
      <c r="I17" s="13" t="str" cm="1">
        <f t="array" aca="1" ref="I17" ca="1">LookupNames($H17,'Attack Steps'!$A:$B)</f>
        <v>AS27 Getting physical access to the product's linked communication media (e.g., field buses)</v>
      </c>
      <c r="J17" s="10"/>
      <c r="K17" s="25" t="str" cm="1">
        <f t="array" ref="K17">IF($J17="","",SUBSTITUTE(SUBSTITUTE(SUBSTITUTE(SUBSTITUTE(SUBSTITUTE(SUBSTITUTE(SUBSTITUTE(SUBSTITUTE(SUBSTITUTE(
GetTransformation(SanitizeInput($J17),'Damage Scenarios'!$A:$J,COLUMNS('Damage Scenarios'!$A:$J),CHAR(10),"[#0][#1][#2]")&amp;"§",
"[#1][#2]",""),
"[#2]",""),
"[#0][#1]","[#1]"),
"[#0]","Removes:"&amp;CHAR(10)),
"[#1]","Transforms:"&amp;CHAR(10)),
CHAR(10)&amp;"§",""),
"§",""),
CHAR(10),CHAR(10)&amp;"   "),
"   "&amp;"Transforms:","Transforms:"))</f>
        <v/>
      </c>
      <c r="L17" s="10"/>
      <c r="M17" s="10"/>
      <c r="N17" s="10"/>
      <c r="O17" s="10" t="s">
        <v>122</v>
      </c>
      <c r="P17" s="10"/>
      <c r="Q17" s="13" t="str">
        <f ca="1">IF($A17="","",IFERROR(VLOOKUP($AA17,Definitions!$V:$W,COLUMNS(Definitions!$V:$W),TRUE),""))</f>
        <v>Beyond High</v>
      </c>
      <c r="R17" s="10" t="s">
        <v>55</v>
      </c>
      <c r="S17" s="10"/>
      <c r="T17" s="10" t="s">
        <v>854</v>
      </c>
      <c r="U17" s="9" cm="1">
        <f t="array" aca="1" ref="U17" ca="1">CreateID($U$2,$A17&lt;&gt;"")</f>
        <v>15</v>
      </c>
      <c r="V17" s="11" t="b">
        <f ca="1">OR(CheckRelevance(SanitizeInput(F17),Questionnaire!$J:$J),IFERROR(_xlfn.XMATCH("*,"&amp;$A17&amp;",*",Countermeasures!$AC:$AC,2)&gt;0,FALSE))</f>
        <v>0</v>
      </c>
      <c r="W17" s="11" t="b">
        <f>IFERROR(_xlfn.XMATCH("*,"&amp;$A17&amp;",*",Mitigation!$X:$X,2)&gt;0,FALSE)</f>
        <v>0</v>
      </c>
      <c r="X17" s="11" cm="1">
        <f t="array" ref="X17">CreateTaskID($X$2,$X:$X,Tasks!$B$17,$T17)</f>
        <v>0</v>
      </c>
      <c r="Y17" s="11" t="str" cm="1">
        <f t="array" aca="1" ref="Y17" ca="1">IF(OR($H17="",NOT($V17)),"",","&amp;SanitizeInput($H17))</f>
        <v/>
      </c>
      <c r="Z17" s="11" t="str" cm="1">
        <f t="array" ref="Z17">CreateSearchString($H17)</f>
        <v>,AS27,</v>
      </c>
      <c r="AA17" s="11" cm="1">
        <f t="array" aca="1" ref="AA17" ca="1">OperateOnRange(
  $L17,
  TRUE,
  Helper!$B$16,
  0,
  _xlfn.LAMBDA(_xlpm._factor,IF(_xlpm._factor="",0,SimpleLookup(_xlpm._factor,Definitions!$Z:$AA))),
  _xlfn.LAMBDA(_xlpm._x,_xlpm._y,_xlpm._x+_xlpm._y))</f>
        <v>25</v>
      </c>
      <c r="AB17" s="11" t="str" cm="1">
        <f t="array" ref="AB17">SUBSTITUTE(IF($W17,IF($J17="","",","&amp;SanitizeInput($J17)),""),"&gt;",",")</f>
        <v/>
      </c>
      <c r="AC17" s="11" cm="1">
        <f t="array" aca="1" ref="AC17" ca="1">CreateID($AC$2,OR($V17,$W17))</f>
        <v>0</v>
      </c>
      <c r="AD17" s="11" t="str" cm="1">
        <f t="array" aca="1" ref="AD17" ca="1">IF(OR($V17,$W17),IF($R17="","",","&amp;SanitizeInput($R17)),"")</f>
        <v/>
      </c>
      <c r="AE17" s="11" t="str">
        <f t="shared" si="0"/>
        <v>SDR 1.14 – Communication media located in restricted access area [Customer]</v>
      </c>
      <c r="AF17" s="11" t="str" cm="1">
        <f t="array" aca="1" ref="AF17" ca="1">IF($F17="*","",InverseLookupList(SanitizeInput($F17),Questionnaire!$AB$3,Questionnaire!$B$3,Helper!$B$12,","))</f>
        <v/>
      </c>
      <c r="AG17" s="11" t="str" cm="1">
        <f t="array" aca="1" ref="AG17" ca="1">RemoveDelimiter(GetValues($AF17,Questionnaire!$B:$H," ",CHAR(10)&amp;CHAR(10),TRUE),CHAR(10)&amp;CHAR(10))</f>
        <v/>
      </c>
      <c r="AH17" s="11" t="str" cm="1">
        <f t="array" aca="1" ref="AH17" ca="1">CreateSearchString($AF17)</f>
        <v/>
      </c>
      <c r="AI17" s="11" t="str" cm="1">
        <f t="array" aca="1" ref="AI17" ca="1">InverseLookup($A17,Mitigation!$AD$2,Mitigation!$A$2,1,Helper!$B$5,",")</f>
        <v/>
      </c>
      <c r="AJ17" s="11" t="str" cm="1">
        <f t="array" aca="1" ref="AJ17" ca="1">CreateSearchString(GetValues($AI17,'Attack Steps'!$A:$P,"",",",FALSE))</f>
        <v/>
      </c>
      <c r="AK17" s="11" t="str">
        <f t="shared" si="1"/>
        <v>A16</v>
      </c>
      <c r="AL17" s="11" t="str" cm="1">
        <f t="array" aca="1" ref="AL17" ca="1">_xlfn.SWITCH($F17,
"*","",
"","",
_xlfn.LET(
_xlpm._answers,SUBSTITUTE(SanitizeInput($F17),"&amp;",","),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IF(_xlpm._questionIDUndefined,$A17&amp;" - "&amp;_xlpm._question&amp;": ERROR: Unknown question ID.",
        IF(_xlpm._firstAnswerIsValidOption,"",$A17&amp;" - "&amp;_xlpm._question&amp;": First answer ("&amp;_xlpm._firstAnswer&amp;") is not a valid option.")&amp;
        IF(_xlpm._secondAnswerRequired,IF(_xlpm._secondAnswerProvided,"",$A17&amp;" - "&amp;_xlpm._question&amp;": Second answer required but not provided."),"")&amp;
        IF(NOT(_xlpm._secondAnswerRequired),IF(_xlpm._secondAnswerProvided,$A17&amp;" - "&amp;_xlpm._question&amp;": Second answer ("&amp;_xlpm._secondAnswer&amp;") provided but the question only supports one answer.",""),"")&amp;
        IF(_xlpm._secondAnswerIsValidOption,"",$A17&amp;" - "&amp;_xlpm._question&amp;": Second answer ("&amp;_xlpm._secondAnswer&amp;") is not a valid option.")))),
  _xlfn.LAMBDA(_xlpm._x,_xlpm._y,_xlpm._x&amp;IF(_xlpm._x="","",CHAR(10))&amp;_xlpm._y))))</f>
        <v/>
      </c>
      <c r="AM17" s="11" cm="1">
        <f t="array" aca="1" ref="AM17" ca="1">CreateID($AM$2,$AL17&lt;&gt;"")</f>
        <v>0</v>
      </c>
    </row>
    <row r="18" spans="1:39" ht="30" x14ac:dyDescent="0.25">
      <c r="A18" s="9" t="s">
        <v>307</v>
      </c>
      <c r="B18" s="10" t="s">
        <v>1371</v>
      </c>
      <c r="C18" s="10" t="str">
        <f>Definitions!$C$4&amp;"'s products are produced in a secure operational environment."</f>
        <v>&lt;&lt; OEM Name &gt;&gt;'s products are produced in a secure operational environment.</v>
      </c>
      <c r="D18" s="10" t="str">
        <f>"The "&amp;Definitions!$C$4&amp;" product shall be produced in a secure operational environment."</f>
        <v>The &lt;&lt; OEM Name &gt;&gt; product shall be produced in a secure operational environment.</v>
      </c>
      <c r="E18" s="10" t="str">
        <f>Definitions!$C$4</f>
        <v>&lt;&lt; OEM Name &gt;&gt;</v>
      </c>
      <c r="F18" s="10" t="s">
        <v>967</v>
      </c>
      <c r="G18" s="25" t="str" cm="1">
        <f t="array" aca="1" ref="G18" ca="1">OperateOnList(
  SanitizeInput($F18),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QA18 Is the product produced in a secure environment? [Yes]</v>
      </c>
      <c r="H18" s="10" t="s">
        <v>940</v>
      </c>
      <c r="I18" s="13" t="str" cm="1">
        <f t="array" aca="1" ref="I18" ca="1">LookupNames($H18,'Attack Steps'!$A:$B)</f>
        <v>AS37 The product is manipulated during production and consequently behaves maliciously</v>
      </c>
      <c r="J18" s="10"/>
      <c r="K18" s="25" t="str" cm="1">
        <f t="array" ref="K18">IF($J18="","",SUBSTITUTE(SUBSTITUTE(SUBSTITUTE(SUBSTITUTE(SUBSTITUTE(SUBSTITUTE(SUBSTITUTE(SUBSTITUTE(SUBSTITUTE(
GetTransformation(SanitizeInput($J18),'Damage Scenarios'!$A:$J,COLUMNS('Damage Scenarios'!$A:$J),CHAR(10),"[#0][#1][#2]")&amp;"§",
"[#1][#2]",""),
"[#2]",""),
"[#0][#1]","[#1]"),
"[#0]","Removes:"&amp;CHAR(10)),
"[#1]","Transforms:"&amp;CHAR(10)),
CHAR(10)&amp;"§",""),
"§",""),
CHAR(10),CHAR(10)&amp;"   "),
"   "&amp;"Transforms:","Transforms:"))</f>
        <v/>
      </c>
      <c r="L18" s="10"/>
      <c r="M18" s="10"/>
      <c r="N18" s="10"/>
      <c r="O18" s="10" t="s">
        <v>122</v>
      </c>
      <c r="P18" s="10"/>
      <c r="Q18" s="13" t="str">
        <f ca="1">IF($A18="","",IFERROR(VLOOKUP($AA18,Definitions!$V:$W,COLUMNS(Definitions!$V:$W),TRUE),""))</f>
        <v>Beyond High</v>
      </c>
      <c r="R18" s="10" t="s">
        <v>55</v>
      </c>
      <c r="S18" s="10"/>
      <c r="T18" s="10" t="str">
        <f>"None: "&amp;Definitions!$C$4&amp;"'s production environment is protected against attacks"</f>
        <v>None: &lt;&lt; OEM Name &gt;&gt;'s production environment is protected against attacks</v>
      </c>
      <c r="U18" s="9" cm="1">
        <f t="array" aca="1" ref="U18" ca="1">CreateID($U$2,$A18&lt;&gt;"")</f>
        <v>16</v>
      </c>
      <c r="V18" s="11" t="b">
        <f ca="1">OR(CheckRelevance(SanitizeInput(F18),Questionnaire!$J:$J),IFERROR(_xlfn.XMATCH("*,"&amp;$A18&amp;",*",Countermeasures!$AC:$AC,2)&gt;0,FALSE))</f>
        <v>0</v>
      </c>
      <c r="W18" s="11" t="b">
        <f>IFERROR(_xlfn.XMATCH("*,"&amp;$A18&amp;",*",Mitigation!$X:$X,2)&gt;0,FALSE)</f>
        <v>0</v>
      </c>
      <c r="X18" s="11" cm="1">
        <f t="array" ref="X18">CreateTaskID($X$2,$X:$X,Tasks!$B$17,$T18)</f>
        <v>0</v>
      </c>
      <c r="Y18" s="11" t="str" cm="1">
        <f t="array" aca="1" ref="Y18" ca="1">IF(OR($H18="",NOT($V18)),"",","&amp;SanitizeInput($H18))</f>
        <v/>
      </c>
      <c r="Z18" s="11" t="str" cm="1">
        <f t="array" ref="Z18">CreateSearchString($H18)</f>
        <v>,AS37,</v>
      </c>
      <c r="AA18" s="11" cm="1">
        <f t="array" aca="1" ref="AA18" ca="1">OperateOnRange(
  $L18,
  TRUE,
  Helper!$B$16,
  0,
  _xlfn.LAMBDA(_xlpm._factor,IF(_xlpm._factor="",0,SimpleLookup(_xlpm._factor,Definitions!$Z:$AA))),
  _xlfn.LAMBDA(_xlpm._x,_xlpm._y,_xlpm._x+_xlpm._y))</f>
        <v>25</v>
      </c>
      <c r="AB18" s="11" t="str" cm="1">
        <f t="array" ref="AB18">SUBSTITUTE(IF($W18,IF($J18="","",","&amp;SanitizeInput($J18)),""),"&gt;",",")</f>
        <v/>
      </c>
      <c r="AC18" s="11" cm="1">
        <f t="array" aca="1" ref="AC18" ca="1">CreateID($AC$2,OR($V18,$W18))</f>
        <v>0</v>
      </c>
      <c r="AD18" s="11" t="str" cm="1">
        <f t="array" aca="1" ref="AD18" ca="1">IF(OR($V18,$W18),IF($R18="","",","&amp;SanitizeInput($R18)),"")</f>
        <v/>
      </c>
      <c r="AE18" s="11" t="str">
        <f t="shared" si="0"/>
        <v>SDR 2.4 – Secure production [&lt;&lt; OEM Name &gt;&gt;]</v>
      </c>
      <c r="AF18" s="11" t="str" cm="1">
        <f t="array" aca="1" ref="AF18" ca="1">IF($F18="*","",InverseLookupList(SanitizeInput($F18),Questionnaire!$AB$3,Questionnaire!$B$3,Helper!$B$12,","))</f>
        <v/>
      </c>
      <c r="AG18" s="11" t="str" cm="1">
        <f t="array" aca="1" ref="AG18" ca="1">RemoveDelimiter(GetValues($AF18,Questionnaire!$B:$H," ",CHAR(10)&amp;CHAR(10),TRUE),CHAR(10)&amp;CHAR(10))</f>
        <v/>
      </c>
      <c r="AH18" s="11" t="str" cm="1">
        <f t="array" aca="1" ref="AH18" ca="1">CreateSearchString($AF18)</f>
        <v/>
      </c>
      <c r="AI18" s="11" t="str" cm="1">
        <f t="array" aca="1" ref="AI18" ca="1">InverseLookup($A18,Mitigation!$AD$2,Mitigation!$A$2,1,Helper!$B$5,",")</f>
        <v/>
      </c>
      <c r="AJ18" s="11" t="str" cm="1">
        <f t="array" aca="1" ref="AJ18" ca="1">CreateSearchString(GetValues($AI18,'Attack Steps'!$A:$P,"",",",FALSE))</f>
        <v/>
      </c>
      <c r="AK18" s="11" t="str">
        <f t="shared" si="1"/>
        <v>A17</v>
      </c>
      <c r="AL18" s="11" t="str" cm="1">
        <f t="array" aca="1" ref="AL18" ca="1">_xlfn.SWITCH($F18,
"*","",
"","",
_xlfn.LET(
_xlpm._answers,SUBSTITUTE(SanitizeInput($F18),"&amp;",","),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IF(_xlpm._questionIDUndefined,$A18&amp;" - "&amp;_xlpm._question&amp;": ERROR: Unknown question ID.",
        IF(_xlpm._firstAnswerIsValidOption,"",$A18&amp;" - "&amp;_xlpm._question&amp;": First answer ("&amp;_xlpm._firstAnswer&amp;") is not a valid option.")&amp;
        IF(_xlpm._secondAnswerRequired,IF(_xlpm._secondAnswerProvided,"",$A18&amp;" - "&amp;_xlpm._question&amp;": Second answer required but not provided."),"")&amp;
        IF(NOT(_xlpm._secondAnswerRequired),IF(_xlpm._secondAnswerProvided,$A18&amp;" - "&amp;_xlpm._question&amp;": Second answer ("&amp;_xlpm._secondAnswer&amp;") provided but the question only supports one answer.",""),"")&amp;
        IF(_xlpm._secondAnswerIsValidOption,"",$A18&amp;" - "&amp;_xlpm._question&amp;": Second answer ("&amp;_xlpm._secondAnswer&amp;") is not a valid option.")))),
  _xlfn.LAMBDA(_xlpm._x,_xlpm._y,_xlpm._x&amp;IF(_xlpm._x="","",CHAR(10))&amp;_xlpm._y))))</f>
        <v/>
      </c>
      <c r="AM18" s="11" cm="1">
        <f t="array" aca="1" ref="AM18" ca="1">CreateID($AM$2,$AL18&lt;&gt;"")</f>
        <v>0</v>
      </c>
    </row>
    <row r="19" spans="1:39" ht="120" x14ac:dyDescent="0.25">
      <c r="A19" s="9" t="s">
        <v>308</v>
      </c>
      <c r="B19" s="10" t="s">
        <v>1372</v>
      </c>
      <c r="C19" s="10" t="str">
        <f>Definitions!$C$4&amp;"'s suppliers are trustworthy and their products are not manipulated. The suppliers provide updates when needed."</f>
        <v>&lt;&lt; OEM Name &gt;&gt;'s suppliers are trustworthy and their products are not manipulated. The suppliers provide updates when needed.</v>
      </c>
      <c r="D19" s="10" t="str">
        <f>"The procurement process of external software and hardware components for the solution shall contain checks and guarantees that "&amp;Definitions!$C$4&amp;"'s suppliers are trustworthy and their products are not manipulated.
This should be done by the supplier complying with the "&amp;Definitions!$C$4&amp;" Cybersecurity supplier requirements or in the case of Open Source through the reputation, number of people, history of using the component, committing and other factors."</f>
        <v>The procurement process of external software and hardware components for the solution shall contain checks and guarantees that &lt;&lt; OEM Name &gt;&gt;'s suppliers are trustworthy and their products are not manipulated.
This should be done by the supplier complying with the &lt;&lt; OEM Name &gt;&gt; Cybersecurity supplier requirements or in the case of Open Source through the reputation, number of people, history of using the component, committing and other factors.</v>
      </c>
      <c r="E19" s="10" t="str">
        <f>Definitions!$C$4</f>
        <v>&lt;&lt; OEM Name &gt;&gt;</v>
      </c>
      <c r="F19" s="10" t="s">
        <v>969</v>
      </c>
      <c r="G19" s="25" t="str" cm="1">
        <f t="array" aca="1" ref="G19" ca="1">OperateOnList(
  SanitizeInput($F19),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QA19 Are the supply chain partners trustworthy and protected against attacks? [Yes]
» Will the supplier provide regular updates for the product? [Yes]</v>
      </c>
      <c r="H19" s="10" t="s">
        <v>942</v>
      </c>
      <c r="I19" s="13" t="str" cm="1">
        <f t="array" aca="1" ref="I19" ca="1">LookupNames($H19,'Attack Steps'!$A:$B)</f>
        <v>AS38 Manipulated parts from the supply chain are integrated into the product, leading to the product behaving maliciously</v>
      </c>
      <c r="J19" s="10"/>
      <c r="K19" s="25" t="str" cm="1">
        <f t="array" ref="K19">IF($J19="","",SUBSTITUTE(SUBSTITUTE(SUBSTITUTE(SUBSTITUTE(SUBSTITUTE(SUBSTITUTE(SUBSTITUTE(SUBSTITUTE(SUBSTITUTE(
GetTransformation(SanitizeInput($J19),'Damage Scenarios'!$A:$J,COLUMNS('Damage Scenarios'!$A:$J),CHAR(10),"[#0][#1][#2]")&amp;"§",
"[#1][#2]",""),
"[#2]",""),
"[#0][#1]","[#1]"),
"[#0]","Removes:"&amp;CHAR(10)),
"[#1]","Transforms:"&amp;CHAR(10)),
CHAR(10)&amp;"§",""),
"§",""),
CHAR(10),CHAR(10)&amp;"   "),
"   "&amp;"Transforms:","Transforms:"))</f>
        <v/>
      </c>
      <c r="L19" s="10"/>
      <c r="M19" s="10"/>
      <c r="N19" s="10"/>
      <c r="O19" s="10" t="s">
        <v>122</v>
      </c>
      <c r="P19" s="10"/>
      <c r="Q19" s="13" t="str">
        <f ca="1">IF($A19="","",IFERROR(VLOOKUP($AA19,Definitions!$V:$W,COLUMNS(Definitions!$V:$W),TRUE),""))</f>
        <v>Beyond High</v>
      </c>
      <c r="R19" s="10" t="s">
        <v>55</v>
      </c>
      <c r="S19" s="10"/>
      <c r="T19" s="10" t="s">
        <v>1049</v>
      </c>
      <c r="U19" s="9" cm="1">
        <f t="array" aca="1" ref="U19" ca="1">CreateID($U$2,$A19&lt;&gt;"")</f>
        <v>17</v>
      </c>
      <c r="V19" s="11" t="b">
        <f ca="1">OR(CheckRelevance(SanitizeInput(F19),Questionnaire!$J:$J),IFERROR(_xlfn.XMATCH("*,"&amp;$A19&amp;",*",Countermeasures!$AC:$AC,2)&gt;0,FALSE))</f>
        <v>0</v>
      </c>
      <c r="W19" s="11" t="b">
        <f>IFERROR(_xlfn.XMATCH("*,"&amp;$A19&amp;",*",Mitigation!$X:$X,2)&gt;0,FALSE)</f>
        <v>0</v>
      </c>
      <c r="X19" s="11" cm="1">
        <f t="array" ref="X19">CreateTaskID($X$2,$X:$X,Tasks!$B$17,$T19)</f>
        <v>0</v>
      </c>
      <c r="Y19" s="11" t="str" cm="1">
        <f t="array" aca="1" ref="Y19" ca="1">IF(OR($H19="",NOT($V19)),"",","&amp;SanitizeInput($H19))</f>
        <v/>
      </c>
      <c r="Z19" s="11" t="str" cm="1">
        <f t="array" ref="Z19">CreateSearchString($H19)</f>
        <v>,AS38,</v>
      </c>
      <c r="AA19" s="11" cm="1">
        <f t="array" aca="1" ref="AA19" ca="1">OperateOnRange(
  $L19,
  TRUE,
  Helper!$B$16,
  0,
  _xlfn.LAMBDA(_xlpm._factor,IF(_xlpm._factor="",0,SimpleLookup(_xlpm._factor,Definitions!$Z:$AA))),
  _xlfn.LAMBDA(_xlpm._x,_xlpm._y,_xlpm._x+_xlpm._y))</f>
        <v>25</v>
      </c>
      <c r="AB19" s="11" t="str" cm="1">
        <f t="array" ref="AB19">SUBSTITUTE(IF($W19,IF($J19="","",","&amp;SanitizeInput($J19)),""),"&gt;",",")</f>
        <v/>
      </c>
      <c r="AC19" s="11" cm="1">
        <f t="array" aca="1" ref="AC19" ca="1">CreateID($AC$2,OR($V19,$W19))</f>
        <v>0</v>
      </c>
      <c r="AD19" s="11" t="str" cm="1">
        <f t="array" aca="1" ref="AD19" ca="1">IF(OR($V19,$W19),IF($R19="","",","&amp;SanitizeInput($R19)),"")</f>
        <v/>
      </c>
      <c r="AE19" s="11" t="str">
        <f t="shared" si="0"/>
        <v>SDR 2.5 – Secure supply chain [&lt;&lt; OEM Name &gt;&gt;]</v>
      </c>
      <c r="AF19" s="11" t="str" cm="1">
        <f t="array" aca="1" ref="AF19" ca="1">IF($F19="*","",InverseLookupList(SanitizeInput($F19),Questionnaire!$AB$3,Questionnaire!$B$3,Helper!$B$12,","))</f>
        <v/>
      </c>
      <c r="AG19" s="11" t="str" cm="1">
        <f t="array" aca="1" ref="AG19" ca="1">RemoveDelimiter(GetValues($AF19,Questionnaire!$B:$H," ",CHAR(10)&amp;CHAR(10),TRUE),CHAR(10)&amp;CHAR(10))</f>
        <v/>
      </c>
      <c r="AH19" s="11" t="str" cm="1">
        <f t="array" aca="1" ref="AH19" ca="1">CreateSearchString($AF19)</f>
        <v/>
      </c>
      <c r="AI19" s="11" t="str" cm="1">
        <f t="array" aca="1" ref="AI19" ca="1">InverseLookup($A19,Mitigation!$AD$2,Mitigation!$A$2,1,Helper!$B$5,",")</f>
        <v/>
      </c>
      <c r="AJ19" s="11" t="str" cm="1">
        <f t="array" aca="1" ref="AJ19" ca="1">CreateSearchString(GetValues($AI19,'Attack Steps'!$A:$P,"",",",FALSE))</f>
        <v/>
      </c>
      <c r="AK19" s="11" t="str">
        <f t="shared" si="1"/>
        <v>A18</v>
      </c>
      <c r="AL19" s="11" t="str" cm="1">
        <f t="array" aca="1" ref="AL19" ca="1">_xlfn.SWITCH($F19,
"*","",
"","",
_xlfn.LET(
_xlpm._answers,SUBSTITUTE(SanitizeInput($F19),"&amp;",","),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IF(_xlpm._questionIDUndefined,$A19&amp;" - "&amp;_xlpm._question&amp;": ERROR: Unknown question ID.",
        IF(_xlpm._firstAnswerIsValidOption,"",$A19&amp;" - "&amp;_xlpm._question&amp;": First answer ("&amp;_xlpm._firstAnswer&amp;") is not a valid option.")&amp;
        IF(_xlpm._secondAnswerRequired,IF(_xlpm._secondAnswerProvided,"",$A19&amp;" - "&amp;_xlpm._question&amp;": Second answer required but not provided."),"")&amp;
        IF(NOT(_xlpm._secondAnswerRequired),IF(_xlpm._secondAnswerProvided,$A19&amp;" - "&amp;_xlpm._question&amp;": Second answer ("&amp;_xlpm._secondAnswer&amp;") provided but the question only supports one answer.",""),"")&amp;
        IF(_xlpm._secondAnswerIsValidOption,"",$A19&amp;" - "&amp;_xlpm._question&amp;": Second answer ("&amp;_xlpm._secondAnswer&amp;") is not a valid option.")))),
  _xlfn.LAMBDA(_xlpm._x,_xlpm._y,_xlpm._x&amp;IF(_xlpm._x="","",CHAR(10))&amp;_xlpm._y))))</f>
        <v/>
      </c>
      <c r="AM19" s="11" cm="1">
        <f t="array" aca="1" ref="AM19" ca="1">CreateID($AM$2,$AL19&lt;&gt;"")</f>
        <v>0</v>
      </c>
    </row>
    <row r="20" spans="1:39" ht="45" x14ac:dyDescent="0.25">
      <c r="A20" s="9" t="s">
        <v>309</v>
      </c>
      <c r="B20" s="10" t="s">
        <v>1340</v>
      </c>
      <c r="C20" s="10" t="s">
        <v>336</v>
      </c>
      <c r="D20" s="10" t="s">
        <v>1342</v>
      </c>
      <c r="E20" s="10" t="s">
        <v>296</v>
      </c>
      <c r="F20" s="10"/>
      <c r="G20" s="25" t="str" cm="1">
        <f t="array" ref="G20">OperateOnList(
  SanitizeInput($F20),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H20" s="10"/>
      <c r="I20" s="13" t="str" cm="1">
        <f t="array" ref="I20">LookupNames($H20,'Attack Steps'!$A:$B)</f>
        <v/>
      </c>
      <c r="J20" s="10"/>
      <c r="K20" s="25" t="str" cm="1">
        <f t="array" ref="K20">IF($J20="","",SUBSTITUTE(SUBSTITUTE(SUBSTITUTE(SUBSTITUTE(SUBSTITUTE(SUBSTITUTE(SUBSTITUTE(SUBSTITUTE(SUBSTITUTE(
GetTransformation(SanitizeInput($J20),'Damage Scenarios'!$A:$J,COLUMNS('Damage Scenarios'!$A:$J),CHAR(10),"[#0][#1][#2]")&amp;"§",
"[#1][#2]",""),
"[#2]",""),
"[#0][#1]","[#1]"),
"[#0]","Removes:"&amp;CHAR(10)),
"[#1]","Transforms:"&amp;CHAR(10)),
CHAR(10)&amp;"§",""),
"§",""),
CHAR(10),CHAR(10)&amp;"   "),
"   "&amp;"Transforms:","Transforms:"))</f>
        <v/>
      </c>
      <c r="L20" s="10"/>
      <c r="M20" s="10"/>
      <c r="N20" s="10"/>
      <c r="O20" s="10"/>
      <c r="P20" s="10"/>
      <c r="Q20" s="13" t="str">
        <f ca="1">IF($A20="","",IFERROR(VLOOKUP($AA20,Definitions!$V:$W,COLUMNS(Definitions!$V:$W),TRUE),""))</f>
        <v>Basic</v>
      </c>
      <c r="R20" s="10" t="s">
        <v>453</v>
      </c>
      <c r="S20" s="10"/>
      <c r="T20" s="10"/>
      <c r="U20" s="9" cm="1">
        <f t="array" aca="1" ref="U20" ca="1">CreateID($U$2,$A20&lt;&gt;"")</f>
        <v>18</v>
      </c>
      <c r="V20" s="11" t="b">
        <f ca="1">OR(CheckRelevance(SanitizeInput(F20),Questionnaire!$J:$J),IFERROR(_xlfn.XMATCH("*,"&amp;$A20&amp;",*",Countermeasures!$AC:$AC,2)&gt;0,FALSE))</f>
        <v>0</v>
      </c>
      <c r="W20" s="11" t="b">
        <f>IFERROR(_xlfn.XMATCH("*,"&amp;$A20&amp;",*",Mitigation!$X:$X,2)&gt;0,FALSE)</f>
        <v>0</v>
      </c>
      <c r="X20" s="11" cm="1">
        <f t="array" ref="X20">CreateTaskID($X$2,$X:$X,Tasks!$B$17,$T20)</f>
        <v>0</v>
      </c>
      <c r="Y20" s="11" t="str" cm="1">
        <f t="array" aca="1" ref="Y20" ca="1">IF(OR($H20="",NOT($V20)),"",","&amp;SanitizeInput($H20))</f>
        <v/>
      </c>
      <c r="Z20" s="11" t="str" cm="1">
        <f t="array" ref="Z20">CreateSearchString($H20)</f>
        <v/>
      </c>
      <c r="AA20" s="11" cm="1">
        <f t="array" aca="1" ref="AA20" ca="1">OperateOnRange(
  $L20,
  TRUE,
  Helper!$B$16,
  0,
  _xlfn.LAMBDA(_xlpm._factor,IF(_xlpm._factor="",0,SimpleLookup(_xlpm._factor,Definitions!$Z:$AA))),
  _xlfn.LAMBDA(_xlpm._x,_xlpm._y,_xlpm._x+_xlpm._y))</f>
        <v>0</v>
      </c>
      <c r="AB20" s="11" t="str" cm="1">
        <f t="array" ref="AB20">SUBSTITUTE(IF($W20,IF($J20="","",","&amp;SanitizeInput($J20)),""),"&gt;",",")</f>
        <v/>
      </c>
      <c r="AC20" s="11" cm="1">
        <f t="array" aca="1" ref="AC20" ca="1">CreateID($AC$2,OR($V20,$W20))</f>
        <v>0</v>
      </c>
      <c r="AD20" s="11" t="str" cm="1">
        <f t="array" aca="1" ref="AD20" ca="1">IF(OR($V20,$W20),IF($R20="","",","&amp;SanitizeInput($R20)),"")</f>
        <v/>
      </c>
      <c r="AE20" s="11" t="str">
        <f t="shared" si="0"/>
        <v>SDR 1.15 – Password security [Customer]</v>
      </c>
      <c r="AF20" s="11" t="str" cm="1">
        <f t="array" ref="AF20">IF($F20="*","",InverseLookupList(SanitizeInput($F20),Questionnaire!$AB$3,Questionnaire!$B$3,Helper!$B$12,","))</f>
        <v/>
      </c>
      <c r="AG20" s="11" t="str" cm="1">
        <f t="array" ref="AG20">RemoveDelimiter(GetValues($AF20,Questionnaire!$B:$H," ",CHAR(10)&amp;CHAR(10),TRUE),CHAR(10)&amp;CHAR(10))</f>
        <v/>
      </c>
      <c r="AH20" s="11" t="str" cm="1">
        <f t="array" ref="AH20">CreateSearchString($AF20)</f>
        <v/>
      </c>
      <c r="AI20" s="11" t="str" cm="1">
        <f t="array" aca="1" ref="AI20" ca="1">InverseLookup($A20,Mitigation!$AD$2,Mitigation!$A$2,1,Helper!$B$5,",")</f>
        <v/>
      </c>
      <c r="AJ20" s="11" t="str" cm="1">
        <f t="array" aca="1" ref="AJ20" ca="1">CreateSearchString(GetValues($AI20,'Attack Steps'!$A:$P,"",",",FALSE))</f>
        <v/>
      </c>
      <c r="AK20" s="11" t="str">
        <f t="shared" si="1"/>
        <v>A19</v>
      </c>
      <c r="AL20" s="11" t="str" cm="1">
        <f t="array" ref="AL20">_xlfn.SWITCH($F20,
"*","",
"","",
_xlfn.LET(
_xlpm._answers,SUBSTITUTE(SanitizeInput($F20),"&amp;",","),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IF(_xlpm._questionIDUndefined,$A20&amp;" - "&amp;_xlpm._question&amp;": ERROR: Unknown question ID.",
        IF(_xlpm._firstAnswerIsValidOption,"",$A20&amp;" - "&amp;_xlpm._question&amp;": First answer ("&amp;_xlpm._firstAnswer&amp;") is not a valid option.")&amp;
        IF(_xlpm._secondAnswerRequired,IF(_xlpm._secondAnswerProvided,"",$A20&amp;" - "&amp;_xlpm._question&amp;": Second answer required but not provided."),"")&amp;
        IF(NOT(_xlpm._secondAnswerRequired),IF(_xlpm._secondAnswerProvided,$A20&amp;" - "&amp;_xlpm._question&amp;": Second answer ("&amp;_xlpm._secondAnswer&amp;") provided but the question only supports one answer.",""),"")&amp;
        IF(_xlpm._secondAnswerIsValidOption,"",$A20&amp;" - "&amp;_xlpm._question&amp;": Second answer ("&amp;_xlpm._secondAnswer&amp;") is not a valid option.")))),
  _xlfn.LAMBDA(_xlpm._x,_xlpm._y,_xlpm._x&amp;IF(_xlpm._x="","",CHAR(10))&amp;_xlpm._y))))</f>
        <v/>
      </c>
      <c r="AM20" s="11" cm="1">
        <f t="array" aca="1" ref="AM20" ca="1">CreateID($AM$2,$AL20&lt;&gt;"")</f>
        <v>0</v>
      </c>
    </row>
    <row r="21" spans="1:39" ht="60" x14ac:dyDescent="0.25">
      <c r="A21" s="9" t="s">
        <v>311</v>
      </c>
      <c r="B21" s="10" t="s">
        <v>1341</v>
      </c>
      <c r="C21" s="10" t="s">
        <v>337</v>
      </c>
      <c r="D21" s="10" t="s">
        <v>1343</v>
      </c>
      <c r="E21" s="10" t="s">
        <v>296</v>
      </c>
      <c r="F21" s="10"/>
      <c r="G21" s="25" t="str" cm="1">
        <f t="array" ref="G21">OperateOnList(
  SanitizeInput($F21),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H21" s="10"/>
      <c r="I21" s="13" t="str" cm="1">
        <f t="array" ref="I21">LookupNames($H21,'Attack Steps'!$A:$B)</f>
        <v/>
      </c>
      <c r="J21" s="10"/>
      <c r="K21" s="25" t="str" cm="1">
        <f t="array" ref="K21">IF($J21="","",SUBSTITUTE(SUBSTITUTE(SUBSTITUTE(SUBSTITUTE(SUBSTITUTE(SUBSTITUTE(SUBSTITUTE(SUBSTITUTE(SUBSTITUTE(
GetTransformation(SanitizeInput($J21),'Damage Scenarios'!$A:$J,COLUMNS('Damage Scenarios'!$A:$J),CHAR(10),"[#0][#1][#2]")&amp;"§",
"[#1][#2]",""),
"[#2]",""),
"[#0][#1]","[#1]"),
"[#0]","Removes:"&amp;CHAR(10)),
"[#1]","Transforms:"&amp;CHAR(10)),
CHAR(10)&amp;"§",""),
"§",""),
CHAR(10),CHAR(10)&amp;"   "),
"   "&amp;"Transforms:","Transforms:"))</f>
        <v/>
      </c>
      <c r="L21" s="10"/>
      <c r="M21" s="10"/>
      <c r="N21" s="10"/>
      <c r="O21" s="10"/>
      <c r="P21" s="10"/>
      <c r="Q21" s="13" t="str">
        <f ca="1">IF($A21="","",IFERROR(VLOOKUP($AA21,Definitions!$V:$W,COLUMNS(Definitions!$V:$W),TRUE),""))</f>
        <v>Basic</v>
      </c>
      <c r="R21" s="10" t="s">
        <v>453</v>
      </c>
      <c r="S21" s="10"/>
      <c r="T21" s="10"/>
      <c r="U21" s="9" cm="1">
        <f t="array" aca="1" ref="U21" ca="1">CreateID($U$2,$A21&lt;&gt;"")</f>
        <v>19</v>
      </c>
      <c r="V21" s="11" t="b">
        <f ca="1">OR(CheckRelevance(SanitizeInput(F21),Questionnaire!$J:$J),IFERROR(_xlfn.XMATCH("*,"&amp;$A21&amp;",*",Countermeasures!$AC:$AC,2)&gt;0,FALSE))</f>
        <v>0</v>
      </c>
      <c r="W21" s="11" t="b">
        <f>IFERROR(_xlfn.XMATCH("*,"&amp;$A21&amp;",*",Mitigation!$X:$X,2)&gt;0,FALSE)</f>
        <v>0</v>
      </c>
      <c r="X21" s="11" cm="1">
        <f t="array" ref="X21">CreateTaskID($X$2,$X:$X,Tasks!$B$17,$T21)</f>
        <v>0</v>
      </c>
      <c r="Y21" s="11" t="str" cm="1">
        <f t="array" aca="1" ref="Y21" ca="1">IF(OR($H21="",NOT($V21)),"",","&amp;SanitizeInput($H21))</f>
        <v/>
      </c>
      <c r="Z21" s="11" t="str" cm="1">
        <f t="array" ref="Z21">CreateSearchString($H21)</f>
        <v/>
      </c>
      <c r="AA21" s="11" cm="1">
        <f t="array" aca="1" ref="AA21" ca="1">OperateOnRange(
  $L21,
  TRUE,
  Helper!$B$16,
  0,
  _xlfn.LAMBDA(_xlpm._factor,IF(_xlpm._factor="",0,SimpleLookup(_xlpm._factor,Definitions!$Z:$AA))),
  _xlfn.LAMBDA(_xlpm._x,_xlpm._y,_xlpm._x+_xlpm._y))</f>
        <v>0</v>
      </c>
      <c r="AB21" s="11" t="str" cm="1">
        <f t="array" ref="AB21">SUBSTITUTE(IF($W21,IF($J21="","",","&amp;SanitizeInput($J21)),""),"&gt;",",")</f>
        <v/>
      </c>
      <c r="AC21" s="11" cm="1">
        <f t="array" aca="1" ref="AC21" ca="1">CreateID($AC$2,OR($V21,$W21))</f>
        <v>0</v>
      </c>
      <c r="AD21" s="11" t="str" cm="1">
        <f t="array" aca="1" ref="AD21" ca="1">IF(OR($V21,$W21),IF($R21="","",","&amp;SanitizeInput($R21)),"")</f>
        <v/>
      </c>
      <c r="AE21" s="11" t="str">
        <f t="shared" si="0"/>
        <v>SDR 1.16 – Private key security [Customer]</v>
      </c>
      <c r="AF21" s="11" t="str" cm="1">
        <f t="array" ref="AF21">IF($F21="*","",InverseLookupList(SanitizeInput($F21),Questionnaire!$AB$3,Questionnaire!$B$3,Helper!$B$12,","))</f>
        <v/>
      </c>
      <c r="AG21" s="11" t="str" cm="1">
        <f t="array" ref="AG21">RemoveDelimiter(GetValues($AF21,Questionnaire!$B:$H," ",CHAR(10)&amp;CHAR(10),TRUE),CHAR(10)&amp;CHAR(10))</f>
        <v/>
      </c>
      <c r="AH21" s="11" t="str" cm="1">
        <f t="array" ref="AH21">CreateSearchString($AF21)</f>
        <v/>
      </c>
      <c r="AI21" s="11" t="str" cm="1">
        <f t="array" aca="1" ref="AI21" ca="1">InverseLookup($A21,Mitigation!$AD$2,Mitigation!$A$2,1,Helper!$B$5,",")</f>
        <v/>
      </c>
      <c r="AJ21" s="11" t="str" cm="1">
        <f t="array" aca="1" ref="AJ21" ca="1">CreateSearchString(GetValues($AI21,'Attack Steps'!$A:$P,"",",",FALSE))</f>
        <v/>
      </c>
      <c r="AK21" s="11" t="str">
        <f t="shared" si="1"/>
        <v>A20</v>
      </c>
      <c r="AL21" s="11" t="str" cm="1">
        <f t="array" ref="AL21">_xlfn.SWITCH($F21,
"*","",
"","",
_xlfn.LET(
_xlpm._answers,SUBSTITUTE(SanitizeInput($F21),"&amp;",","),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IF(_xlpm._questionIDUndefined,$A21&amp;" - "&amp;_xlpm._question&amp;": ERROR: Unknown question ID.",
        IF(_xlpm._firstAnswerIsValidOption,"",$A21&amp;" - "&amp;_xlpm._question&amp;": First answer ("&amp;_xlpm._firstAnswer&amp;") is not a valid option.")&amp;
        IF(_xlpm._secondAnswerRequired,IF(_xlpm._secondAnswerProvided,"",$A21&amp;" - "&amp;_xlpm._question&amp;": Second answer required but not provided."),"")&amp;
        IF(NOT(_xlpm._secondAnswerRequired),IF(_xlpm._secondAnswerProvided,$A21&amp;" - "&amp;_xlpm._question&amp;": Second answer ("&amp;_xlpm._secondAnswer&amp;") provided but the question only supports one answer.",""),"")&amp;
        IF(_xlpm._secondAnswerIsValidOption,"",$A21&amp;" - "&amp;_xlpm._question&amp;": Second answer ("&amp;_xlpm._secondAnswer&amp;") is not a valid option.")))),
  _xlfn.LAMBDA(_xlpm._x,_xlpm._y,_xlpm._x&amp;IF(_xlpm._x="","",CHAR(10))&amp;_xlpm._y))))</f>
        <v/>
      </c>
      <c r="AM21" s="11" cm="1">
        <f t="array" aca="1" ref="AM21" ca="1">CreateID($AM$2,$AL21&lt;&gt;"")</f>
        <v>0</v>
      </c>
    </row>
    <row r="22" spans="1:39" ht="168.75" x14ac:dyDescent="0.25">
      <c r="A22" s="9" t="s">
        <v>339</v>
      </c>
      <c r="B22" s="10" t="s">
        <v>1375</v>
      </c>
      <c r="C22" s="10" t="s">
        <v>340</v>
      </c>
      <c r="D22" s="10" t="str">
        <f>"The customer is not expected to take actions against the solution that impacts its security.
If the customer is expected to take actions against the product that impact its security, re-evaluate the risk-assessment."&amp;"
Evaluation of such kind should consider economic factors and damages to "&amp;Definitions!$C$4&amp;"."</f>
        <v>The customer is not expected to take actions against the solution that impacts its security.
If the customer is expected to take actions against the product that impact its security, re-evaluate the risk-assessment.
Evaluation of such kind should consider economic factors and damages to &lt;&lt; OEM Name &gt;&gt;.</v>
      </c>
      <c r="E22" s="10" t="str">
        <f>Definitions!$C$4</f>
        <v>&lt;&lt; OEM Name &gt;&gt;</v>
      </c>
      <c r="F22" s="10" t="s">
        <v>335</v>
      </c>
      <c r="G22" s="25" t="str" cm="1">
        <f t="array" ref="G22">OperateOnList(
  SanitizeInput($F22),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v>
      </c>
      <c r="H22" s="10" t="s">
        <v>267</v>
      </c>
      <c r="I22" s="13" t="str" cm="1">
        <f t="array" aca="1" ref="I22" ca="1">LookupNames($H22,'Attack Steps'!$A:$B)</f>
        <v>AS22 Gaining physical access to the product (customer)</v>
      </c>
      <c r="J22" s="10" t="s">
        <v>1432</v>
      </c>
      <c r="K22" s="25" t="str" cm="1">
        <f t="array" aca="1" ref="K22" ca="1">IF($J22="","",SUBSTITUTE(SUBSTITUTE(SUBSTITUTE(SUBSTITUTE(SUBSTITUTE(SUBSTITUTE(SUBSTITUTE(SUBSTITUTE(SUBSTITUTE(
GetTransformation(SanitizeInput($J22),'Damage Scenarios'!$A:$J,COLUMNS('Damage Scenarios'!$A:$J),CHAR(10),"[#0][#1][#2]")&amp;"§",
"[#1][#2]",""),
"[#2]",""),
"[#0][#1]","[#1]"),
"[#0]","Removes:"&amp;CHAR(10)),
"[#1]","Transforms:"&amp;CHAR(10)),
CHAR(10)&amp;"§",""),
"§",""),
CHAR(10),CHAR(10)&amp;"   "),
"   "&amp;"Transforms:","Transforms:"))</f>
        <v xml:space="preserve">Removes:
   DS1 
   DS2 
   DS4 
   DS5 
   DS7 
   DS8 
   DS9 
   DS10 
   DS11 
   DS13 
   DS14 
   DS15 
   DS16 </v>
      </c>
      <c r="L22" s="10"/>
      <c r="M22" s="10"/>
      <c r="N22" s="10"/>
      <c r="O22" s="10"/>
      <c r="P22" s="10"/>
      <c r="Q22" s="13" t="str">
        <f ca="1">IF($A22="","",IFERROR(VLOOKUP($AA22,Definitions!$V:$W,COLUMNS(Definitions!$V:$W),TRUE),""))</f>
        <v>Basic</v>
      </c>
      <c r="R22" s="10" t="s">
        <v>55</v>
      </c>
      <c r="S22" s="10"/>
      <c r="T22" s="10" t="s">
        <v>1209</v>
      </c>
      <c r="U22" s="9" cm="1">
        <f t="array" aca="1" ref="U22" ca="1">CreateID($U$2,$A22&lt;&gt;"")</f>
        <v>20</v>
      </c>
      <c r="V22" s="11" t="b">
        <f ca="1">OR(CheckRelevance(SanitizeInput(F22),Questionnaire!$J:$J),IFERROR(_xlfn.XMATCH("*,"&amp;$A22&amp;",*",Countermeasures!$AC:$AC,2)&gt;0,FALSE))</f>
        <v>1</v>
      </c>
      <c r="W22" s="11" t="b">
        <f>IFERROR(_xlfn.XMATCH("*,"&amp;$A22&amp;",*",Mitigation!$X:$X,2)&gt;0,FALSE)</f>
        <v>0</v>
      </c>
      <c r="X22" s="11" cm="1">
        <f t="array" ref="X22">CreateTaskID($X$2,$X:$X,Tasks!$B$17,$T22)</f>
        <v>0</v>
      </c>
      <c r="Y22" s="11" t="str" cm="1">
        <f t="array" aca="1" ref="Y22" ca="1">IF(OR($H22="",NOT($V22)),"",","&amp;SanitizeInput($H22))</f>
        <v>,AS22,</v>
      </c>
      <c r="Z22" s="11" t="str" cm="1">
        <f t="array" ref="Z22">CreateSearchString($H22)</f>
        <v>,AS22,</v>
      </c>
      <c r="AA22" s="11" cm="1">
        <f t="array" aca="1" ref="AA22" ca="1">OperateOnRange(
  $L22,
  TRUE,
  Helper!$B$16,
  0,
  _xlfn.LAMBDA(_xlpm._factor,IF(_xlpm._factor="",0,SimpleLookup(_xlpm._factor,Definitions!$Z:$AA))),
  _xlfn.LAMBDA(_xlpm._x,_xlpm._y,_xlpm._x+_xlpm._y))</f>
        <v>0</v>
      </c>
      <c r="AB22" s="11" t="str" cm="1">
        <f t="array" ref="AB22">SUBSTITUTE(IF($W22,IF($J22="","",","&amp;SanitizeInput($J22)),""),"&gt;",",")</f>
        <v/>
      </c>
      <c r="AC22" s="11" cm="1">
        <f t="array" aca="1" ref="AC22" ca="1">CreateID($AC$2,OR($V22,$W22))</f>
        <v>1</v>
      </c>
      <c r="AD22" s="11" t="str" cm="1">
        <f t="array" aca="1" ref="AD22" ca="1">IF(OR($V22,$W22),IF($R22="","",","&amp;SanitizeInput($R22)),"")</f>
        <v/>
      </c>
      <c r="AE22" s="11" t="str">
        <f t="shared" si="0"/>
        <v>SDR 2.7 - Scope for customer-based attacks [&lt;&lt; OEM Name &gt;&gt;]</v>
      </c>
      <c r="AF22" s="11" t="str" cm="1">
        <f t="array" ref="AF22">IF($F22="*","",InverseLookupList(SanitizeInput($F22),Questionnaire!$AB$3,Questionnaire!$B$3,Helper!$B$12,","))</f>
        <v/>
      </c>
      <c r="AG22" s="11" t="str" cm="1">
        <f t="array" ref="AG22">RemoveDelimiter(GetValues($AF22,Questionnaire!$B:$H," ",CHAR(10)&amp;CHAR(10),TRUE),CHAR(10)&amp;CHAR(10))</f>
        <v/>
      </c>
      <c r="AH22" s="11" t="str" cm="1">
        <f t="array" ref="AH22">CreateSearchString($AF22)</f>
        <v/>
      </c>
      <c r="AI22" s="11" t="str" cm="1">
        <f t="array" aca="1" ref="AI22" ca="1">InverseLookup($A22,Mitigation!$AD$2,Mitigation!$A$2,1,Helper!$B$5,",")</f>
        <v/>
      </c>
      <c r="AJ22" s="11" t="str" cm="1">
        <f t="array" aca="1" ref="AJ22" ca="1">CreateSearchString(GetValues($AI22,'Attack Steps'!$A:$P,"",",",FALSE))</f>
        <v/>
      </c>
      <c r="AK22" s="11" t="str">
        <f t="shared" si="1"/>
        <v>A21</v>
      </c>
      <c r="AL22" s="11" t="str" cm="1">
        <f t="array" ref="AL22">_xlfn.SWITCH($F22,
"*","",
"","",
_xlfn.LET(
_xlpm._answers,SUBSTITUTE(SanitizeInput($F22),"&amp;",","),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IF(_xlpm._questionIDUndefined,$A22&amp;" - "&amp;_xlpm._question&amp;": ERROR: Unknown question ID.",
        IF(_xlpm._firstAnswerIsValidOption,"",$A22&amp;" - "&amp;_xlpm._question&amp;": First answer ("&amp;_xlpm._firstAnswer&amp;") is not a valid option.")&amp;
        IF(_xlpm._secondAnswerRequired,IF(_xlpm._secondAnswerProvided,"",$A22&amp;" - "&amp;_xlpm._question&amp;": Second answer required but not provided."),"")&amp;
        IF(NOT(_xlpm._secondAnswerRequired),IF(_xlpm._secondAnswerProvided,$A22&amp;" - "&amp;_xlpm._question&amp;": Second answer ("&amp;_xlpm._secondAnswer&amp;") provided but the question only supports one answer.",""),"")&amp;
        IF(_xlpm._secondAnswerIsValidOption,"",$A22&amp;" - "&amp;_xlpm._question&amp;": Second answer ("&amp;_xlpm._secondAnswer&amp;") is not a valid option.")))),
  _xlfn.LAMBDA(_xlpm._x,_xlpm._y,_xlpm._x&amp;IF(_xlpm._x="","",CHAR(10))&amp;_xlpm._y))))</f>
        <v/>
      </c>
      <c r="AM22" s="11" cm="1">
        <f t="array" aca="1" ref="AM22" ca="1">CreateID($AM$2,$AL22&lt;&gt;"")</f>
        <v>0</v>
      </c>
    </row>
    <row r="23" spans="1:39" ht="180.75" x14ac:dyDescent="0.25">
      <c r="A23" s="9" t="s">
        <v>458</v>
      </c>
      <c r="B23" s="10" t="s">
        <v>1376</v>
      </c>
      <c r="C23" s="10" t="s">
        <v>459</v>
      </c>
      <c r="D23" s="10" t="s">
        <v>1378</v>
      </c>
      <c r="E23" s="10" t="str">
        <f>Definitions!$C$4</f>
        <v>&lt;&lt; OEM Name &gt;&gt;</v>
      </c>
      <c r="F23" s="10"/>
      <c r="G23" s="25" t="str" cm="1">
        <f t="array" ref="G23">OperateOnList(
  SanitizeInput($F23),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H23" s="10" t="s">
        <v>456</v>
      </c>
      <c r="I23" s="13" t="str" cm="1">
        <f t="array" aca="1" ref="I23" ca="1">LookupNames($H23,'Attack Steps'!$A:$B)</f>
        <v>AS29 Brute-forcing the authentication mechanism over IP</v>
      </c>
      <c r="J23" s="10" t="s">
        <v>365</v>
      </c>
      <c r="K23" s="25" t="str" cm="1">
        <f t="array" aca="1" ref="K23" ca="1">IF($J23="","",SUBSTITUTE(SUBSTITUTE(SUBSTITUTE(SUBSTITUTE(SUBSTITUTE(SUBSTITUTE(SUBSTITUTE(SUBSTITUTE(SUBSTITUTE(
GetTransformation(SanitizeInput($J23),'Damage Scenarios'!$A:$J,COLUMNS('Damage Scenarios'!$A:$J),CHAR(10),"[#0][#1][#2]")&amp;"§",
"[#1][#2]",""),
"[#2]",""),
"[#0][#1]","[#1]"),
"[#0]","Removes:"&amp;CHAR(10)),
"[#1]","Transforms:"&amp;CHAR(10)),
CHAR(10)&amp;"§",""),
"§",""),
CHAR(10),CHAR(10)&amp;"   "),
"   "&amp;"Transforms:","Transforms:"))</f>
        <v xml:space="preserve">Removes:
   DS1 
   DS2 
   DS4 
   DS5 
   DS6 
   DS7 
   DS8 
   DS9 
   DS10 
   DS11 
   DS13 
   DS14 
   DS15 
   DS16 </v>
      </c>
      <c r="L23" s="10"/>
      <c r="M23" s="10"/>
      <c r="N23" s="10"/>
      <c r="O23" s="10"/>
      <c r="P23" s="10"/>
      <c r="Q23" s="13" t="str">
        <f ca="1">IF($A23="","",IFERROR(VLOOKUP($AA23,Definitions!$V:$W,COLUMNS(Definitions!$V:$W),TRUE),""))</f>
        <v>Basic</v>
      </c>
      <c r="R23" s="10" t="s">
        <v>55</v>
      </c>
      <c r="S23" s="10"/>
      <c r="T23" s="10" t="s">
        <v>460</v>
      </c>
      <c r="U23" s="9" cm="1">
        <f t="array" aca="1" ref="U23" ca="1">CreateID($U$2,$A23&lt;&gt;"")</f>
        <v>21</v>
      </c>
      <c r="V23" s="11" t="b">
        <f ca="1">OR(CheckRelevance(SanitizeInput(F23),Questionnaire!$J:$J),IFERROR(_xlfn.XMATCH("*,"&amp;$A23&amp;",*",Countermeasures!$AC:$AC,2)&gt;0,FALSE))</f>
        <v>0</v>
      </c>
      <c r="W23" s="11" t="b">
        <f>IFERROR(_xlfn.XMATCH("*,"&amp;$A23&amp;",*",Mitigation!$X:$X,2)&gt;0,FALSE)</f>
        <v>0</v>
      </c>
      <c r="X23" s="11" cm="1">
        <f t="array" ref="X23">CreateTaskID($X$2,$X:$X,Tasks!$B$17,$T23)</f>
        <v>0</v>
      </c>
      <c r="Y23" s="11" t="str" cm="1">
        <f t="array" aca="1" ref="Y23" ca="1">IF(OR($H23="",NOT($V23)),"",","&amp;SanitizeInput($H23))</f>
        <v/>
      </c>
      <c r="Z23" s="11" t="str" cm="1">
        <f t="array" ref="Z23">CreateSearchString($H23)</f>
        <v>,AS29,</v>
      </c>
      <c r="AA23" s="11" cm="1">
        <f t="array" aca="1" ref="AA23" ca="1">OperateOnRange(
  $L23,
  TRUE,
  Helper!$B$16,
  0,
  _xlfn.LAMBDA(_xlpm._factor,IF(_xlpm._factor="",0,SimpleLookup(_xlpm._factor,Definitions!$Z:$AA))),
  _xlfn.LAMBDA(_xlpm._x,_xlpm._y,_xlpm._x+_xlpm._y))</f>
        <v>0</v>
      </c>
      <c r="AB23" s="11" t="str" cm="1">
        <f t="array" ref="AB23">SUBSTITUTE(IF($W23,IF($J23="","",","&amp;SanitizeInput($J23)),""),"&gt;",",")</f>
        <v/>
      </c>
      <c r="AC23" s="11" cm="1">
        <f t="array" aca="1" ref="AC23" ca="1">CreateID($AC$2,OR($V23,$W23))</f>
        <v>1</v>
      </c>
      <c r="AD23" s="11" t="str" cm="1">
        <f t="array" aca="1" ref="AD23" ca="1">IF(OR($V23,$W23),IF($R23="","",","&amp;SanitizeInput($R23)),"")</f>
        <v/>
      </c>
      <c r="AE23" s="11" t="str">
        <f t="shared" si="0"/>
        <v>SDR 2.8 - No authentication over the IP stack possible [&lt;&lt; OEM Name &gt;&gt;]</v>
      </c>
      <c r="AF23" s="11" t="str" cm="1">
        <f t="array" ref="AF23">IF($F23="*","",InverseLookupList(SanitizeInput($F23),Questionnaire!$AB$3,Questionnaire!$B$3,Helper!$B$12,","))</f>
        <v/>
      </c>
      <c r="AG23" s="11" t="str" cm="1">
        <f t="array" ref="AG23">RemoveDelimiter(GetValues($AF23,Questionnaire!$B:$H," ",CHAR(10)&amp;CHAR(10),TRUE),CHAR(10)&amp;CHAR(10))</f>
        <v/>
      </c>
      <c r="AH23" s="11" t="str" cm="1">
        <f t="array" ref="AH23">CreateSearchString($AF23)</f>
        <v/>
      </c>
      <c r="AI23" s="11" t="str" cm="1">
        <f t="array" aca="1" ref="AI23" ca="1">InverseLookup($A23,Mitigation!$AD$2,Mitigation!$A$2,1,Helper!$B$5,",")</f>
        <v/>
      </c>
      <c r="AJ23" s="11" t="str" cm="1">
        <f t="array" aca="1" ref="AJ23" ca="1">CreateSearchString(GetValues($AI23,'Attack Steps'!$A:$P,"",",",FALSE))</f>
        <v/>
      </c>
      <c r="AK23" s="11" t="str">
        <f t="shared" si="1"/>
        <v>A22</v>
      </c>
      <c r="AL23" s="11" t="str" cm="1">
        <f t="array" ref="AL23">_xlfn.SWITCH($F23,
"*","",
"","",
_xlfn.LET(
_xlpm._answers,SUBSTITUTE(SanitizeInput($F23),"&amp;",","),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IF(_xlpm._questionIDUndefined,$A23&amp;" - "&amp;_xlpm._question&amp;": ERROR: Unknown question ID.",
        IF(_xlpm._firstAnswerIsValidOption,"",$A23&amp;" - "&amp;_xlpm._question&amp;": First answer ("&amp;_xlpm._firstAnswer&amp;") is not a valid option.")&amp;
        IF(_xlpm._secondAnswerRequired,IF(_xlpm._secondAnswerProvided,"",$A23&amp;" - "&amp;_xlpm._question&amp;": Second answer required but not provided."),"")&amp;
        IF(NOT(_xlpm._secondAnswerRequired),IF(_xlpm._secondAnswerProvided,$A23&amp;" - "&amp;_xlpm._question&amp;": Second answer ("&amp;_xlpm._secondAnswer&amp;") provided but the question only supports one answer.",""),"")&amp;
        IF(_xlpm._secondAnswerIsValidOption,"",$A23&amp;" - "&amp;_xlpm._question&amp;": Second answer ("&amp;_xlpm._secondAnswer&amp;") is not a valid option.")))),
  _xlfn.LAMBDA(_xlpm._x,_xlpm._y,_xlpm._x&amp;IF(_xlpm._x="","",CHAR(10))&amp;_xlpm._y))))</f>
        <v/>
      </c>
      <c r="AM23" s="11" cm="1">
        <f t="array" aca="1" ref="AM23" ca="1">CreateID($AM$2,$AL23&lt;&gt;"")</f>
        <v>0</v>
      </c>
    </row>
    <row r="24" spans="1:39" ht="45" x14ac:dyDescent="0.25">
      <c r="A24" s="9" t="s">
        <v>602</v>
      </c>
      <c r="B24" s="10" t="s">
        <v>1377</v>
      </c>
      <c r="C24" s="10" t="s">
        <v>603</v>
      </c>
      <c r="D24" s="10" t="s">
        <v>1379</v>
      </c>
      <c r="E24" s="10" t="str">
        <f>Definitions!$C$4</f>
        <v>&lt;&lt; OEM Name &gt;&gt;</v>
      </c>
      <c r="F24" s="10" t="s">
        <v>878</v>
      </c>
      <c r="G24" s="25" t="str" cm="1">
        <f t="array" aca="1" ref="G24" ca="1">OperateOnList(
  SanitizeInput($F24),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QA8 Does the product offer a configuration interface? [No]</v>
      </c>
      <c r="H24" s="10"/>
      <c r="I24" s="13" t="str" cm="1">
        <f t="array" ref="I24">LookupNames($H24,'Attack Steps'!$A:$B)</f>
        <v/>
      </c>
      <c r="J24" s="10"/>
      <c r="K24" s="25" t="str" cm="1">
        <f t="array" ref="K24">IF($J24="","",SUBSTITUTE(SUBSTITUTE(SUBSTITUTE(SUBSTITUTE(SUBSTITUTE(SUBSTITUTE(SUBSTITUTE(SUBSTITUTE(SUBSTITUTE(
GetTransformation(SanitizeInput($J24),'Damage Scenarios'!$A:$J,COLUMNS('Damage Scenarios'!$A:$J),CHAR(10),"[#0][#1][#2]")&amp;"§",
"[#1][#2]",""),
"[#2]",""),
"[#0][#1]","[#1]"),
"[#0]","Removes:"&amp;CHAR(10)),
"[#1]","Transforms:"&amp;CHAR(10)),
CHAR(10)&amp;"§",""),
"§",""),
CHAR(10),CHAR(10)&amp;"   "),
"   "&amp;"Transforms:","Transforms:"))</f>
        <v/>
      </c>
      <c r="L24" s="10"/>
      <c r="M24" s="10"/>
      <c r="N24" s="10"/>
      <c r="O24" s="10"/>
      <c r="P24" s="10"/>
      <c r="Q24" s="13" t="str">
        <f ca="1">IF($A24="","",IFERROR(VLOOKUP($AA24,Definitions!$V:$W,COLUMNS(Definitions!$V:$W),TRUE),""))</f>
        <v>Basic</v>
      </c>
      <c r="R24" s="10" t="s">
        <v>55</v>
      </c>
      <c r="S24" s="10"/>
      <c r="T24" s="10"/>
      <c r="U24" s="9" cm="1">
        <f t="array" aca="1" ref="U24" ca="1">CreateID($U$2,$A24&lt;&gt;"")</f>
        <v>22</v>
      </c>
      <c r="V24" s="11" t="b">
        <f ca="1">OR(CheckRelevance(SanitizeInput(F24),Questionnaire!$J:$J),IFERROR(_xlfn.XMATCH("*,"&amp;$A24&amp;",*",Countermeasures!$AC:$AC,2)&gt;0,FALSE))</f>
        <v>0</v>
      </c>
      <c r="W24" s="11" t="b">
        <f>IFERROR(_xlfn.XMATCH("*,"&amp;$A24&amp;",*",Mitigation!$X:$X,2)&gt;0,FALSE)</f>
        <v>0</v>
      </c>
      <c r="X24" s="11" cm="1">
        <f t="array" ref="X24">CreateTaskID($X$2,$X:$X,Tasks!$B$17,$T24)</f>
        <v>0</v>
      </c>
      <c r="Y24" s="11" t="str" cm="1">
        <f t="array" aca="1" ref="Y24" ca="1">IF(OR($H24="",NOT($V24)),"",","&amp;SanitizeInput($H24))</f>
        <v/>
      </c>
      <c r="Z24" s="11" t="str" cm="1">
        <f t="array" ref="Z24">CreateSearchString($H24)</f>
        <v/>
      </c>
      <c r="AA24" s="11" cm="1">
        <f t="array" aca="1" ref="AA24" ca="1">OperateOnRange(
  $L24,
  TRUE,
  Helper!$B$16,
  0,
  _xlfn.LAMBDA(_xlpm._factor,IF(_xlpm._factor="",0,SimpleLookup(_xlpm._factor,Definitions!$Z:$AA))),
  _xlfn.LAMBDA(_xlpm._x,_xlpm._y,_xlpm._x+_xlpm._y))</f>
        <v>0</v>
      </c>
      <c r="AB24" s="11" t="str" cm="1">
        <f t="array" ref="AB24">SUBSTITUTE(IF($W24,IF($J24="","",","&amp;SanitizeInput($J24)),""),"&gt;",",")</f>
        <v/>
      </c>
      <c r="AC24" s="11" cm="1">
        <f t="array" aca="1" ref="AC24" ca="1">CreateID($AC$2,OR($V24,$W24))</f>
        <v>1</v>
      </c>
      <c r="AD24" s="11" t="str" cm="1">
        <f t="array" aca="1" ref="AD24" ca="1">IF(OR($V24,$W24),IF($R24="","",","&amp;SanitizeInput($R24)),"")</f>
        <v/>
      </c>
      <c r="AE24" s="11" t="str">
        <f t="shared" si="0"/>
        <v>SDR 2.9 - No configuration interface required [&lt;&lt; OEM Name &gt;&gt;]</v>
      </c>
      <c r="AF24" s="11" t="str" cm="1">
        <f t="array" aca="1" ref="AF24" ca="1">IF($F24="*","",InverseLookupList(SanitizeInput($F24),Questionnaire!$AB$3,Questionnaire!$B$3,Helper!$B$12,","))</f>
        <v/>
      </c>
      <c r="AG24" s="11" t="str" cm="1">
        <f t="array" aca="1" ref="AG24" ca="1">RemoveDelimiter(GetValues($AF24,Questionnaire!$B:$H," ",CHAR(10)&amp;CHAR(10),TRUE),CHAR(10)&amp;CHAR(10))</f>
        <v/>
      </c>
      <c r="AH24" s="11" t="str" cm="1">
        <f t="array" aca="1" ref="AH24" ca="1">CreateSearchString($AF24)</f>
        <v/>
      </c>
      <c r="AI24" s="11" t="str" cm="1">
        <f t="array" aca="1" ref="AI24" ca="1">InverseLookup($A24,Mitigation!$AD$2,Mitigation!$A$2,1,Helper!$B$5,",")</f>
        <v/>
      </c>
      <c r="AJ24" s="11" t="str" cm="1">
        <f t="array" aca="1" ref="AJ24" ca="1">CreateSearchString(GetValues($AI24,'Attack Steps'!$A:$P,"",",",FALSE))</f>
        <v/>
      </c>
      <c r="AK24" s="11" t="str">
        <f t="shared" si="1"/>
        <v>A23</v>
      </c>
      <c r="AL24" s="11" t="str" cm="1">
        <f t="array" aca="1" ref="AL24" ca="1">_xlfn.SWITCH($F24,
"*","",
"","",
_xlfn.LET(
_xlpm._answers,SUBSTITUTE(SanitizeInput($F24),"&amp;",","),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IF(_xlpm._questionIDUndefined,$A24&amp;" - "&amp;_xlpm._question&amp;": ERROR: Unknown question ID.",
        IF(_xlpm._firstAnswerIsValidOption,"",$A24&amp;" - "&amp;_xlpm._question&amp;": First answer ("&amp;_xlpm._firstAnswer&amp;") is not a valid option.")&amp;
        IF(_xlpm._secondAnswerRequired,IF(_xlpm._secondAnswerProvided,"",$A24&amp;" - "&amp;_xlpm._question&amp;": Second answer required but not provided."),"")&amp;
        IF(NOT(_xlpm._secondAnswerRequired),IF(_xlpm._secondAnswerProvided,$A24&amp;" - "&amp;_xlpm._question&amp;": Second answer ("&amp;_xlpm._secondAnswer&amp;") provided but the question only supports one answer.",""),"")&amp;
        IF(_xlpm._secondAnswerIsValidOption,"",$A24&amp;" - "&amp;_xlpm._question&amp;": Second answer ("&amp;_xlpm._secondAnswer&amp;") is not a valid option.")))),
  _xlfn.LAMBDA(_xlpm._x,_xlpm._y,_xlpm._x&amp;IF(_xlpm._x="","",CHAR(10))&amp;_xlpm._y))))</f>
        <v/>
      </c>
      <c r="AM24" s="11" cm="1">
        <f t="array" aca="1" ref="AM24" ca="1">CreateID($AM$2,$AL24&lt;&gt;"")</f>
        <v>0</v>
      </c>
    </row>
    <row r="25" spans="1:39" ht="45" x14ac:dyDescent="0.25">
      <c r="A25" s="9" t="s">
        <v>771</v>
      </c>
      <c r="B25" s="10" t="s">
        <v>1352</v>
      </c>
      <c r="C25" s="10" t="s">
        <v>772</v>
      </c>
      <c r="D25" s="10" t="s">
        <v>1353</v>
      </c>
      <c r="E25" s="10" t="s">
        <v>296</v>
      </c>
      <c r="F25" s="10" t="s">
        <v>918</v>
      </c>
      <c r="G25" s="25" t="str" cm="1">
        <f t="array" aca="1" ref="G25" ca="1">OperateOnList(
  SanitizeInput($F25),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QI5 Does the product contain credentials / cryptographic keys that allow access to sensitive data or to systems in the product's operational environment? (Note: this includes cryptographic data introduced by the customer.) [No]</v>
      </c>
      <c r="H25" s="10"/>
      <c r="I25" s="13" t="str" cm="1">
        <f t="array" ref="I25">LookupNames($H25,'Attack Steps'!$A:$B)</f>
        <v/>
      </c>
      <c r="J25" s="10"/>
      <c r="K25" s="25" t="str" cm="1">
        <f t="array" ref="K25">IF($J25="","",SUBSTITUTE(SUBSTITUTE(SUBSTITUTE(SUBSTITUTE(SUBSTITUTE(SUBSTITUTE(SUBSTITUTE(SUBSTITUTE(SUBSTITUTE(
GetTransformation(SanitizeInput($J25),'Damage Scenarios'!$A:$J,COLUMNS('Damage Scenarios'!$A:$J),CHAR(10),"[#0][#1][#2]")&amp;"§",
"[#1][#2]",""),
"[#2]",""),
"[#0][#1]","[#1]"),
"[#0]","Removes:"&amp;CHAR(10)),
"[#1]","Transforms:"&amp;CHAR(10)),
CHAR(10)&amp;"§",""),
"§",""),
CHAR(10),CHAR(10)&amp;"   "),
"   "&amp;"Transforms:","Transforms:"))</f>
        <v/>
      </c>
      <c r="L25" s="10"/>
      <c r="M25" s="10"/>
      <c r="N25" s="10"/>
      <c r="O25" s="10"/>
      <c r="P25" s="10"/>
      <c r="Q25" s="13" t="str">
        <f ca="1">IF($A25="","",IFERROR(VLOOKUP($AA25,Definitions!$V:$W,COLUMNS(Definitions!$V:$W),TRUE),""))</f>
        <v>Basic</v>
      </c>
      <c r="R25" s="10" t="s">
        <v>454</v>
      </c>
      <c r="S25" s="10"/>
      <c r="T25" s="10"/>
      <c r="U25" s="9" cm="1">
        <f t="array" aca="1" ref="U25" ca="1">CreateID($U$2,$A25&lt;&gt;"")</f>
        <v>23</v>
      </c>
      <c r="V25" s="11" t="b">
        <f ca="1">OR(CheckRelevance(SanitizeInput(F25),Questionnaire!$J:$J),IFERROR(_xlfn.XMATCH("*,"&amp;$A25&amp;",*",Countermeasures!$AC:$AC,2)&gt;0,FALSE))</f>
        <v>0</v>
      </c>
      <c r="W25" s="11" t="b">
        <f>IFERROR(_xlfn.XMATCH("*,"&amp;$A25&amp;",*",Mitigation!$X:$X,2)&gt;0,FALSE)</f>
        <v>0</v>
      </c>
      <c r="X25" s="11" cm="1">
        <f t="array" ref="X25">CreateTaskID($X$2,$X:$X,Tasks!$B$17,$T25)</f>
        <v>0</v>
      </c>
      <c r="Y25" s="11" t="str" cm="1">
        <f t="array" aca="1" ref="Y25" ca="1">IF(OR($H25="",NOT($V25)),"",","&amp;SanitizeInput($H25))</f>
        <v/>
      </c>
      <c r="Z25" s="11" t="str" cm="1">
        <f t="array" ref="Z25">CreateSearchString($H25)</f>
        <v/>
      </c>
      <c r="AA25" s="11" cm="1">
        <f t="array" aca="1" ref="AA25" ca="1">OperateOnRange(
  $L25,
  TRUE,
  Helper!$B$16,
  0,
  _xlfn.LAMBDA(_xlpm._factor,IF(_xlpm._factor="",0,SimpleLookup(_xlpm._factor,Definitions!$Z:$AA))),
  _xlfn.LAMBDA(_xlpm._x,_xlpm._y,_xlpm._x+_xlpm._y))</f>
        <v>0</v>
      </c>
      <c r="AB25" s="11" t="str" cm="1">
        <f t="array" ref="AB25">SUBSTITUTE(IF($W25,IF($J25="","",","&amp;SanitizeInput($J25)),""),"&gt;",",")</f>
        <v/>
      </c>
      <c r="AC25" s="11" cm="1">
        <f t="array" aca="1" ref="AC25" ca="1">CreateID($AC$2,OR($V25,$W25))</f>
        <v>1</v>
      </c>
      <c r="AD25" s="11" t="str" cm="1">
        <f t="array" aca="1" ref="AD25" ca="1">IF(OR($V25,$W25),IF($R25="","",","&amp;SanitizeInput($R25)),"")</f>
        <v/>
      </c>
      <c r="AE25" s="11" t="str">
        <f t="shared" si="0"/>
        <v>SDR 1.21 - Product not storing secrets [Customer]</v>
      </c>
      <c r="AF25" s="11" t="str" cm="1">
        <f t="array" aca="1" ref="AF25" ca="1">IF($F25="*","",InverseLookupList(SanitizeInput($F25),Questionnaire!$AB$3,Questionnaire!$B$3,Helper!$B$12,","))</f>
        <v/>
      </c>
      <c r="AG25" s="11" t="str" cm="1">
        <f t="array" aca="1" ref="AG25" ca="1">RemoveDelimiter(GetValues($AF25,Questionnaire!$B:$H," ",CHAR(10)&amp;CHAR(10),TRUE),CHAR(10)&amp;CHAR(10))</f>
        <v/>
      </c>
      <c r="AH25" s="11" t="str" cm="1">
        <f t="array" aca="1" ref="AH25" ca="1">CreateSearchString($AF25)</f>
        <v/>
      </c>
      <c r="AI25" s="11" t="str" cm="1">
        <f t="array" aca="1" ref="AI25" ca="1">InverseLookup($A25,Mitigation!$AD$2,Mitigation!$A$2,1,Helper!$B$5,",")</f>
        <v/>
      </c>
      <c r="AJ25" s="11" t="str" cm="1">
        <f t="array" aca="1" ref="AJ25" ca="1">CreateSearchString(GetValues($AI25,'Attack Steps'!$A:$P,"",",",FALSE))</f>
        <v/>
      </c>
      <c r="AK25" s="11" t="str">
        <f t="shared" si="1"/>
        <v>A24</v>
      </c>
      <c r="AL25" s="11" t="str" cm="1">
        <f t="array" aca="1" ref="AL25" ca="1">_xlfn.SWITCH($F25,
"*","",
"","",
_xlfn.LET(
_xlpm._answers,SUBSTITUTE(SanitizeInput($F25),"&amp;",","),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IF(_xlpm._questionIDUndefined,$A25&amp;" - "&amp;_xlpm._question&amp;": ERROR: Unknown question ID.",
        IF(_xlpm._firstAnswerIsValidOption,"",$A25&amp;" - "&amp;_xlpm._question&amp;": First answer ("&amp;_xlpm._firstAnswer&amp;") is not a valid option.")&amp;
        IF(_xlpm._secondAnswerRequired,IF(_xlpm._secondAnswerProvided,"",$A25&amp;" - "&amp;_xlpm._question&amp;": Second answer required but not provided."),"")&amp;
        IF(NOT(_xlpm._secondAnswerRequired),IF(_xlpm._secondAnswerProvided,$A25&amp;" - "&amp;_xlpm._question&amp;": Second answer ("&amp;_xlpm._secondAnswer&amp;") provided but the question only supports one answer.",""),"")&amp;
        IF(_xlpm._secondAnswerIsValidOption,"",$A25&amp;" - "&amp;_xlpm._question&amp;": Second answer ("&amp;_xlpm._secondAnswer&amp;") is not a valid option.")))),
  _xlfn.LAMBDA(_xlpm._x,_xlpm._y,_xlpm._x&amp;IF(_xlpm._x="","",CHAR(10))&amp;_xlpm._y))))</f>
        <v/>
      </c>
      <c r="AM25" s="11" cm="1">
        <f t="array" aca="1" ref="AM25" ca="1">CreateID($AM$2,$AL25&lt;&gt;"")</f>
        <v>0</v>
      </c>
    </row>
    <row r="26" spans="1:39" ht="72.75" x14ac:dyDescent="0.25">
      <c r="A26" s="9" t="s">
        <v>803</v>
      </c>
      <c r="B26" s="10" t="s">
        <v>1354</v>
      </c>
      <c r="C26" s="10" t="s">
        <v>804</v>
      </c>
      <c r="D26" s="10" t="s">
        <v>1358</v>
      </c>
      <c r="E26" s="10" t="s">
        <v>296</v>
      </c>
      <c r="F26" s="10"/>
      <c r="G26" s="25" t="str" cm="1">
        <f t="array" ref="G26">OperateOnList(
  SanitizeInput($F26),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H26" s="10" t="s">
        <v>800</v>
      </c>
      <c r="I26" s="13" t="str" cm="1">
        <f t="array" aca="1" ref="I26" ca="1">LookupNames($H26,'Attack Steps'!$A:$B)</f>
        <v>AS33 Disclosure of data by an untrusted entity receiving data from the product</v>
      </c>
      <c r="J26" s="10" t="s">
        <v>805</v>
      </c>
      <c r="K26" s="25" t="str" cm="1">
        <f t="array" aca="1" ref="K26" ca="1">IF($J26="","",SUBSTITUTE(SUBSTITUTE(SUBSTITUTE(SUBSTITUTE(SUBSTITUTE(SUBSTITUTE(SUBSTITUTE(SUBSTITUTE(SUBSTITUTE(
GetTransformation(SanitizeInput($J26),'Damage Scenarios'!$A:$J,COLUMNS('Damage Scenarios'!$A:$J),CHAR(10),"[#0][#1][#2]")&amp;"§",
"[#1][#2]",""),
"[#2]",""),
"[#0][#1]","[#1]"),
"[#0]","Removes:"&amp;CHAR(10)),
"[#1]","Transforms:"&amp;CHAR(10)),
CHAR(10)&amp;"§",""),
"§",""),
CHAR(10),CHAR(10)&amp;"   "),
"   "&amp;"Transforms:","Transforms:"))</f>
        <v xml:space="preserve">Removes:
   DS1 
   DS2 
   DS3 
   DS4 
   DS5 </v>
      </c>
      <c r="L26" s="10"/>
      <c r="M26" s="10"/>
      <c r="N26" s="10"/>
      <c r="O26" s="10"/>
      <c r="P26" s="10"/>
      <c r="Q26" s="13" t="str">
        <f ca="1">IF($A26="","",IFERROR(VLOOKUP($AA26,Definitions!$V:$W,COLUMNS(Definitions!$V:$W),TRUE),""))</f>
        <v>Basic</v>
      </c>
      <c r="R26" s="10" t="s">
        <v>55</v>
      </c>
      <c r="S26" s="10"/>
      <c r="T26" s="10" t="s">
        <v>855</v>
      </c>
      <c r="U26" s="9" cm="1">
        <f t="array" aca="1" ref="U26" ca="1">CreateID($U$2,$A26&lt;&gt;"")</f>
        <v>24</v>
      </c>
      <c r="V26" s="11" t="b">
        <f ca="1">OR(CheckRelevance(SanitizeInput(F26),Questionnaire!$J:$J),IFERROR(_xlfn.XMATCH("*,"&amp;$A26&amp;",*",Countermeasures!$AC:$AC,2)&gt;0,FALSE))</f>
        <v>0</v>
      </c>
      <c r="W26" s="11" t="b">
        <f>IFERROR(_xlfn.XMATCH("*,"&amp;$A26&amp;",*",Mitigation!$X:$X,2)&gt;0,FALSE)</f>
        <v>0</v>
      </c>
      <c r="X26" s="11" cm="1">
        <f t="array" ref="X26">CreateTaskID($X$2,$X:$X,Tasks!$B$17,$T26)</f>
        <v>0</v>
      </c>
      <c r="Y26" s="11" t="str" cm="1">
        <f t="array" aca="1" ref="Y26" ca="1">IF(OR($H26="",NOT($V26)),"",","&amp;SanitizeInput($H26))</f>
        <v/>
      </c>
      <c r="Z26" s="11" t="str" cm="1">
        <f t="array" ref="Z26">CreateSearchString($H26)</f>
        <v>,AS33,</v>
      </c>
      <c r="AA26" s="11" cm="1">
        <f t="array" aca="1" ref="AA26" ca="1">OperateOnRange(
  $L26,
  TRUE,
  Helper!$B$16,
  0,
  _xlfn.LAMBDA(_xlpm._factor,IF(_xlpm._factor="",0,SimpleLookup(_xlpm._factor,Definitions!$Z:$AA))),
  _xlfn.LAMBDA(_xlpm._x,_xlpm._y,_xlpm._x+_xlpm._y))</f>
        <v>0</v>
      </c>
      <c r="AB26" s="11" t="str" cm="1">
        <f t="array" ref="AB26">SUBSTITUTE(IF($W26,IF($J26="","",","&amp;SanitizeInput($J26)),""),"&gt;",",")</f>
        <v/>
      </c>
      <c r="AC26" s="11" cm="1">
        <f t="array" aca="1" ref="AC26" ca="1">CreateID($AC$2,OR($V26,$W26))</f>
        <v>1</v>
      </c>
      <c r="AD26" s="11" t="str" cm="1">
        <f t="array" aca="1" ref="AD26" ca="1">IF(OR($V26,$W26),IF($R26="","",","&amp;SanitizeInput($R26)),"")</f>
        <v/>
      </c>
      <c r="AE26" s="11" t="str">
        <f t="shared" si="0"/>
        <v>SDR 1.22 - The product does not communicate any confidential data to an external communication partner [Customer]</v>
      </c>
      <c r="AF26" s="11" t="str" cm="1">
        <f t="array" ref="AF26">IF($F26="*","",InverseLookupList(SanitizeInput($F26),Questionnaire!$AB$3,Questionnaire!$B$3,Helper!$B$12,","))</f>
        <v/>
      </c>
      <c r="AG26" s="11" t="str" cm="1">
        <f t="array" ref="AG26">RemoveDelimiter(GetValues($AF26,Questionnaire!$B:$H," ",CHAR(10)&amp;CHAR(10),TRUE),CHAR(10)&amp;CHAR(10))</f>
        <v/>
      </c>
      <c r="AH26" s="11" t="str" cm="1">
        <f t="array" ref="AH26">CreateSearchString($AF26)</f>
        <v/>
      </c>
      <c r="AI26" s="11" t="str" cm="1">
        <f t="array" aca="1" ref="AI26" ca="1">InverseLookup($A26,Mitigation!$AD$2,Mitigation!$A$2,1,Helper!$B$5,",")</f>
        <v/>
      </c>
      <c r="AJ26" s="11" t="str" cm="1">
        <f t="array" aca="1" ref="AJ26" ca="1">CreateSearchString(GetValues($AI26,'Attack Steps'!$A:$P,"",",",FALSE))</f>
        <v/>
      </c>
      <c r="AK26" s="11" t="str">
        <f t="shared" si="1"/>
        <v>A25</v>
      </c>
      <c r="AL26" s="11" t="str" cm="1">
        <f t="array" ref="AL26">_xlfn.SWITCH($F26,
"*","",
"","",
_xlfn.LET(
_xlpm._answers,SUBSTITUTE(SanitizeInput($F26),"&amp;",","),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IF(_xlpm._questionIDUndefined,$A26&amp;" - "&amp;_xlpm._question&amp;": ERROR: Unknown question ID.",
        IF(_xlpm._firstAnswerIsValidOption,"",$A26&amp;" - "&amp;_xlpm._question&amp;": First answer ("&amp;_xlpm._firstAnswer&amp;") is not a valid option.")&amp;
        IF(_xlpm._secondAnswerRequired,IF(_xlpm._secondAnswerProvided,"",$A26&amp;" - "&amp;_xlpm._question&amp;": Second answer required but not provided."),"")&amp;
        IF(NOT(_xlpm._secondAnswerRequired),IF(_xlpm._secondAnswerProvided,$A26&amp;" - "&amp;_xlpm._question&amp;": Second answer ("&amp;_xlpm._secondAnswer&amp;") provided but the question only supports one answer.",""),"")&amp;
        IF(_xlpm._secondAnswerIsValidOption,"",$A26&amp;" - "&amp;_xlpm._question&amp;": Second answer ("&amp;_xlpm._secondAnswer&amp;") is not a valid option.")))),
  _xlfn.LAMBDA(_xlpm._x,_xlpm._y,_xlpm._x&amp;IF(_xlpm._x="","",CHAR(10))&amp;_xlpm._y))))</f>
        <v/>
      </c>
      <c r="AM26" s="11" cm="1">
        <f t="array" aca="1" ref="AM26" ca="1">CreateID($AM$2,$AL26&lt;&gt;"")</f>
        <v>0</v>
      </c>
    </row>
    <row r="27" spans="1:39" ht="60" x14ac:dyDescent="0.25">
      <c r="A27" s="9" t="s">
        <v>815</v>
      </c>
      <c r="B27" s="10" t="s">
        <v>1493</v>
      </c>
      <c r="C27" s="10" t="str">
        <f>"As the product does not send any sensitive data (i.e., data that must be confidential or authentic) to an external communication partner, attacks on external communication partners via the link to the "&amp;Definitions!$C$4&amp;" product are not in scope for the analysis."</f>
        <v>As the product does not send any sensitive data (i.e., data that must be confidential or authentic) to an external communication partner, attacks on external communication partners via the link to the &lt;&lt; OEM Name &gt;&gt; product are not in scope for the analysis.</v>
      </c>
      <c r="D27" s="10" t="s">
        <v>1491</v>
      </c>
      <c r="E27" s="10" t="str">
        <f>Definitions!$C$4</f>
        <v>&lt;&lt; OEM Name &gt;&gt;</v>
      </c>
      <c r="F27" s="10"/>
      <c r="G27" s="25" t="str" cm="1">
        <f t="array" ref="G27">OperateOnList(
  SanitizeInput($F27),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H27" s="10" t="s">
        <v>813</v>
      </c>
      <c r="I27" s="13" t="str" cm="1">
        <f t="array" aca="1" ref="I27" ca="1">LookupNames($H27,'Attack Steps'!$A:$B)</f>
        <v>AS34 Attacking the product's outgoing communication to an external communication partner over the Internet or a mobile network</v>
      </c>
      <c r="J27" s="10"/>
      <c r="K27" s="25" t="str" cm="1">
        <f t="array" ref="K27">IF($J27="","",SUBSTITUTE(SUBSTITUTE(SUBSTITUTE(SUBSTITUTE(SUBSTITUTE(SUBSTITUTE(SUBSTITUTE(SUBSTITUTE(SUBSTITUTE(
GetTransformation(SanitizeInput($J27),'Damage Scenarios'!$A:$J,COLUMNS('Damage Scenarios'!$A:$J),CHAR(10),"[#0][#1][#2]")&amp;"§",
"[#1][#2]",""),
"[#2]",""),
"[#0][#1]","[#1]"),
"[#0]","Removes:"&amp;CHAR(10)),
"[#1]","Transforms:"&amp;CHAR(10)),
CHAR(10)&amp;"§",""),
"§",""),
CHAR(10),CHAR(10)&amp;"   "),
"   "&amp;"Transforms:","Transforms:"))</f>
        <v/>
      </c>
      <c r="L27" s="10"/>
      <c r="M27" s="10"/>
      <c r="N27" s="10"/>
      <c r="O27" s="10" t="s">
        <v>122</v>
      </c>
      <c r="P27" s="10"/>
      <c r="Q27" s="13" t="str">
        <f ca="1">IF($A27="","",IFERROR(VLOOKUP($AA27,Definitions!$V:$W,COLUMNS(Definitions!$V:$W),TRUE),""))</f>
        <v>Beyond High</v>
      </c>
      <c r="R27" s="10" t="s">
        <v>55</v>
      </c>
      <c r="S27" s="10"/>
      <c r="T27" s="10" t="s">
        <v>851</v>
      </c>
      <c r="U27" s="9" cm="1">
        <f t="array" aca="1" ref="U27" ca="1">CreateID($U$2,$A27&lt;&gt;"")</f>
        <v>25</v>
      </c>
      <c r="V27" s="11" t="b">
        <f ca="1">OR(CheckRelevance(SanitizeInput(F27),Questionnaire!$J:$J),IFERROR(_xlfn.XMATCH("*,"&amp;$A27&amp;",*",Countermeasures!$AC:$AC,2)&gt;0,FALSE))</f>
        <v>0</v>
      </c>
      <c r="W27" s="11" t="b">
        <f>IFERROR(_xlfn.XMATCH("*,"&amp;$A27&amp;",*",Mitigation!$X:$X,2)&gt;0,FALSE)</f>
        <v>0</v>
      </c>
      <c r="X27" s="11" cm="1">
        <f t="array" ref="X27">CreateTaskID($X$2,$X:$X,Tasks!$B$17,$T27)</f>
        <v>0</v>
      </c>
      <c r="Y27" s="11" t="str" cm="1">
        <f t="array" aca="1" ref="Y27" ca="1">IF(OR($H27="",NOT($V27)),"",","&amp;SanitizeInput($H27))</f>
        <v/>
      </c>
      <c r="Z27" s="11" t="str" cm="1">
        <f t="array" ref="Z27">CreateSearchString($H27)</f>
        <v>,AS34,</v>
      </c>
      <c r="AA27" s="11" cm="1">
        <f t="array" aca="1" ref="AA27" ca="1">OperateOnRange(
  $L27,
  TRUE,
  Helper!$B$16,
  0,
  _xlfn.LAMBDA(_xlpm._factor,IF(_xlpm._factor="",0,SimpleLookup(_xlpm._factor,Definitions!$Z:$AA))),
  _xlfn.LAMBDA(_xlpm._x,_xlpm._y,_xlpm._x+_xlpm._y))</f>
        <v>25</v>
      </c>
      <c r="AB27" s="11" t="str" cm="1">
        <f t="array" ref="AB27">SUBSTITUTE(IF($W27,IF($J27="","",","&amp;SanitizeInput($J27)),""),"&gt;",",")</f>
        <v/>
      </c>
      <c r="AC27" s="11" cm="1">
        <f t="array" aca="1" ref="AC27" ca="1">CreateID($AC$2,OR($V27,$W27))</f>
        <v>1</v>
      </c>
      <c r="AD27" s="11" t="str" cm="1">
        <f t="array" aca="1" ref="AD27" ca="1">IF(OR($V27,$W27),IF($R27="","",","&amp;SanitizeInput($R27)),"")</f>
        <v/>
      </c>
      <c r="AE27" s="11" t="str">
        <f t="shared" si="0"/>
        <v>SDR 1.23 - The product does not send any sensitive data to communication partners over the Internet or a mobile network [&lt;&lt; OEM Name &gt;&gt;]</v>
      </c>
      <c r="AF27" s="11" t="str" cm="1">
        <f t="array" ref="AF27">IF($F27="*","",InverseLookupList(SanitizeInput($F27),Questionnaire!$AB$3,Questionnaire!$B$3,Helper!$B$12,","))</f>
        <v/>
      </c>
      <c r="AG27" s="11" t="str" cm="1">
        <f t="array" ref="AG27">RemoveDelimiter(GetValues($AF27,Questionnaire!$B:$H," ",CHAR(10)&amp;CHAR(10),TRUE),CHAR(10)&amp;CHAR(10))</f>
        <v/>
      </c>
      <c r="AH27" s="11" t="str" cm="1">
        <f t="array" ref="AH27">CreateSearchString($AF27)</f>
        <v/>
      </c>
      <c r="AI27" s="11" t="str" cm="1">
        <f t="array" aca="1" ref="AI27" ca="1">InverseLookup($A27,Mitigation!$AD$2,Mitigation!$A$2,1,Helper!$B$5,",")</f>
        <v/>
      </c>
      <c r="AJ27" s="11" t="str" cm="1">
        <f t="array" aca="1" ref="AJ27" ca="1">CreateSearchString(GetValues($AI27,'Attack Steps'!$A:$P,"",",",FALSE))</f>
        <v/>
      </c>
      <c r="AK27" s="11" t="str">
        <f t="shared" si="1"/>
        <v>A26</v>
      </c>
      <c r="AL27" s="11" t="str" cm="1">
        <f t="array" ref="AL27">_xlfn.SWITCH($F27,
"*","",
"","",
_xlfn.LET(
_xlpm._answers,SUBSTITUTE(SanitizeInput($F27),"&amp;",","),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IF(_xlpm._questionIDUndefined,$A27&amp;" - "&amp;_xlpm._question&amp;": ERROR: Unknown question ID.",
        IF(_xlpm._firstAnswerIsValidOption,"",$A27&amp;" - "&amp;_xlpm._question&amp;": First answer ("&amp;_xlpm._firstAnswer&amp;") is not a valid option.")&amp;
        IF(_xlpm._secondAnswerRequired,IF(_xlpm._secondAnswerProvided,"",$A27&amp;" - "&amp;_xlpm._question&amp;": Second answer required but not provided."),"")&amp;
        IF(NOT(_xlpm._secondAnswerRequired),IF(_xlpm._secondAnswerProvided,$A27&amp;" - "&amp;_xlpm._question&amp;": Second answer ("&amp;_xlpm._secondAnswer&amp;") provided but the question only supports one answer.",""),"")&amp;
        IF(_xlpm._secondAnswerIsValidOption,"",$A27&amp;" - "&amp;_xlpm._question&amp;": Second answer ("&amp;_xlpm._secondAnswer&amp;") is not a valid option.")))),
  _xlfn.LAMBDA(_xlpm._x,_xlpm._y,_xlpm._x&amp;IF(_xlpm._x="","",CHAR(10))&amp;_xlpm._y))))</f>
        <v/>
      </c>
      <c r="AM27" s="11" cm="1">
        <f t="array" aca="1" ref="AM27" ca="1">CreateID($AM$2,$AL27&lt;&gt;"")</f>
        <v>0</v>
      </c>
    </row>
    <row r="28" spans="1:39" ht="75" x14ac:dyDescent="0.25">
      <c r="A28" s="9" t="s">
        <v>816</v>
      </c>
      <c r="B28" s="10" t="s">
        <v>1355</v>
      </c>
      <c r="C28" s="10" t="s">
        <v>970</v>
      </c>
      <c r="D28" s="10" t="s">
        <v>1359</v>
      </c>
      <c r="E28" s="10" t="str">
        <f>Definitions!$C$4</f>
        <v>&lt;&lt; OEM Name &gt;&gt;</v>
      </c>
      <c r="F28" s="10"/>
      <c r="G28" s="25" t="str" cm="1">
        <f t="array" ref="G28">OperateOnList(
  SanitizeInput($F28),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H28" s="10" t="s">
        <v>835</v>
      </c>
      <c r="I28" s="13" t="str" cm="1">
        <f t="array" aca="1" ref="I28" ca="1">LookupNames($H28,'Attack Steps'!$A:$B)</f>
        <v>AS36 Attacking the product's incoming communication from the Internet or a mobile network</v>
      </c>
      <c r="J28" s="10"/>
      <c r="K28" s="25" t="str" cm="1">
        <f t="array" ref="K28">IF($J28="","",SUBSTITUTE(SUBSTITUTE(SUBSTITUTE(SUBSTITUTE(SUBSTITUTE(SUBSTITUTE(SUBSTITUTE(SUBSTITUTE(SUBSTITUTE(
GetTransformation(SanitizeInput($J28),'Damage Scenarios'!$A:$J,COLUMNS('Damage Scenarios'!$A:$J),CHAR(10),"[#0][#1][#2]")&amp;"§",
"[#1][#2]",""),
"[#2]",""),
"[#0][#1]","[#1]"),
"[#0]","Removes:"&amp;CHAR(10)),
"[#1]","Transforms:"&amp;CHAR(10)),
CHAR(10)&amp;"§",""),
"§",""),
CHAR(10),CHAR(10)&amp;"   "),
"   "&amp;"Transforms:","Transforms:"))</f>
        <v/>
      </c>
      <c r="L28" s="10"/>
      <c r="M28" s="10"/>
      <c r="N28" s="10"/>
      <c r="O28" s="10" t="s">
        <v>122</v>
      </c>
      <c r="P28" s="10"/>
      <c r="Q28" s="13" t="str">
        <f ca="1">IF($A28="","",IFERROR(VLOOKUP($AA28,Definitions!$V:$W,COLUMNS(Definitions!$V:$W),TRUE),""))</f>
        <v>Beyond High</v>
      </c>
      <c r="R28" s="10" t="s">
        <v>55</v>
      </c>
      <c r="S28" s="10"/>
      <c r="T28" s="10" t="s">
        <v>971</v>
      </c>
      <c r="U28" s="9" cm="1">
        <f t="array" aca="1" ref="U28" ca="1">CreateID($U$2,$A28&lt;&gt;"")</f>
        <v>26</v>
      </c>
      <c r="V28" s="11" t="b">
        <f ca="1">OR(CheckRelevance(SanitizeInput(F28),Questionnaire!$J:$J),IFERROR(_xlfn.XMATCH("*,"&amp;$A28&amp;",*",Countermeasures!$AC:$AC,2)&gt;0,FALSE))</f>
        <v>0</v>
      </c>
      <c r="W28" s="11" t="b">
        <f>IFERROR(_xlfn.XMATCH("*,"&amp;$A28&amp;",*",Mitigation!$X:$X,2)&gt;0,FALSE)</f>
        <v>0</v>
      </c>
      <c r="X28" s="11" cm="1">
        <f t="array" ref="X28">CreateTaskID($X$2,$X:$X,Tasks!$B$17,$T28)</f>
        <v>0</v>
      </c>
      <c r="Y28" s="11" t="str" cm="1">
        <f t="array" aca="1" ref="Y28" ca="1">IF(OR($H28="",NOT($V28)),"",","&amp;SanitizeInput($H28))</f>
        <v/>
      </c>
      <c r="Z28" s="11" t="str" cm="1">
        <f t="array" ref="Z28">CreateSearchString($H28)</f>
        <v>,AS36,</v>
      </c>
      <c r="AA28" s="11" cm="1">
        <f t="array" aca="1" ref="AA28" ca="1">OperateOnRange(
  $L28,
  TRUE,
  Helper!$B$16,
  0,
  _xlfn.LAMBDA(_xlpm._factor,IF(_xlpm._factor="",0,SimpleLookup(_xlpm._factor,Definitions!$Z:$AA))),
  _xlfn.LAMBDA(_xlpm._x,_xlpm._y,_xlpm._x+_xlpm._y))</f>
        <v>25</v>
      </c>
      <c r="AB28" s="11" t="str" cm="1">
        <f t="array" ref="AB28">SUBSTITUTE(IF($W28,IF($J28="","",","&amp;SanitizeInput($J28)),""),"&gt;",",")</f>
        <v/>
      </c>
      <c r="AC28" s="11" cm="1">
        <f t="array" aca="1" ref="AC28" ca="1">CreateID($AC$2,OR($V28,$W28))</f>
        <v>1</v>
      </c>
      <c r="AD28" s="11" t="str" cm="1">
        <f t="array" aca="1" ref="AD28" ca="1">IF(OR($V28,$W28),IF($R28="","",","&amp;SanitizeInput($R28)),"")</f>
        <v/>
      </c>
      <c r="AE28" s="11" t="str">
        <f t="shared" si="0"/>
        <v>SDR 1.24 - The product does not receive any sensitive data (except updates / configuration / debug communication) from external communication partners over the Internet or a mobile network [&lt;&lt; OEM Name &gt;&gt;]</v>
      </c>
      <c r="AF28" s="11" t="str" cm="1">
        <f t="array" ref="AF28">IF($F28="*","",InverseLookupList(SanitizeInput($F28),Questionnaire!$AB$3,Questionnaire!$B$3,Helper!$B$12,","))</f>
        <v/>
      </c>
      <c r="AG28" s="11" t="str" cm="1">
        <f t="array" ref="AG28">RemoveDelimiter(GetValues($AF28,Questionnaire!$B:$H," ",CHAR(10)&amp;CHAR(10),TRUE),CHAR(10)&amp;CHAR(10))</f>
        <v/>
      </c>
      <c r="AH28" s="11" t="str" cm="1">
        <f t="array" ref="AH28">CreateSearchString($AF28)</f>
        <v/>
      </c>
      <c r="AI28" s="11" t="str" cm="1">
        <f t="array" aca="1" ref="AI28" ca="1">InverseLookup($A28,Mitigation!$AD$2,Mitigation!$A$2,1,Helper!$B$5,",")</f>
        <v/>
      </c>
      <c r="AJ28" s="11" t="str" cm="1">
        <f t="array" aca="1" ref="AJ28" ca="1">CreateSearchString(GetValues($AI28,'Attack Steps'!$A:$P,"",",",FALSE))</f>
        <v/>
      </c>
      <c r="AK28" s="11" t="str">
        <f t="shared" si="1"/>
        <v>A27</v>
      </c>
      <c r="AL28" s="11" t="str" cm="1">
        <f t="array" ref="AL28">_xlfn.SWITCH($F28,
"*","",
"","",
_xlfn.LET(
_xlpm._answers,SUBSTITUTE(SanitizeInput($F28),"&amp;",","),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IF(_xlpm._questionIDUndefined,$A28&amp;" - "&amp;_xlpm._question&amp;": ERROR: Unknown question ID.",
        IF(_xlpm._firstAnswerIsValidOption,"",$A28&amp;" - "&amp;_xlpm._question&amp;": First answer ("&amp;_xlpm._firstAnswer&amp;") is not a valid option.")&amp;
        IF(_xlpm._secondAnswerRequired,IF(_xlpm._secondAnswerProvided,"",$A28&amp;" - "&amp;_xlpm._question&amp;": Second answer required but not provided."),"")&amp;
        IF(NOT(_xlpm._secondAnswerRequired),IF(_xlpm._secondAnswerProvided,$A28&amp;" - "&amp;_xlpm._question&amp;": Second answer ("&amp;_xlpm._secondAnswer&amp;") provided but the question only supports one answer.",""),"")&amp;
        IF(_xlpm._secondAnswerIsValidOption,"",$A28&amp;" - "&amp;_xlpm._question&amp;": Second answer ("&amp;_xlpm._secondAnswer&amp;") is not a valid option.")))),
  _xlfn.LAMBDA(_xlpm._x,_xlpm._y,_xlpm._x&amp;IF(_xlpm._x="","",CHAR(10))&amp;_xlpm._y))))</f>
        <v/>
      </c>
      <c r="AM28" s="11" cm="1">
        <f t="array" aca="1" ref="AM28" ca="1">CreateID($AM$2,$AL28&lt;&gt;"")</f>
        <v>0</v>
      </c>
    </row>
    <row r="29" spans="1:39" ht="60" x14ac:dyDescent="0.25">
      <c r="A29" s="9" t="s">
        <v>820</v>
      </c>
      <c r="B29" s="10" t="s">
        <v>1356</v>
      </c>
      <c r="C29" s="10" t="s">
        <v>825</v>
      </c>
      <c r="D29" s="10" t="s">
        <v>1360</v>
      </c>
      <c r="E29" s="10" t="s">
        <v>296</v>
      </c>
      <c r="F29" s="10"/>
      <c r="G29" s="25" t="str" cm="1">
        <f t="array" ref="G29">OperateOnList(
  SanitizeInput($F29),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H29" s="10" t="s">
        <v>82</v>
      </c>
      <c r="I29" s="13" t="str" cm="1">
        <f t="array" aca="1" ref="I29" ca="1">LookupNames($H29,'Attack Steps'!$A:$B)</f>
        <v>AS5 Eavesdropping on the product's communication</v>
      </c>
      <c r="J29" s="10" t="s">
        <v>133</v>
      </c>
      <c r="K29" s="25" t="str" cm="1">
        <f t="array" aca="1" ref="K29" ca="1">IF($J29="","",SUBSTITUTE(SUBSTITUTE(SUBSTITUTE(SUBSTITUTE(SUBSTITUTE(SUBSTITUTE(SUBSTITUTE(SUBSTITUTE(SUBSTITUTE(
GetTransformation(SanitizeInput($J29),'Damage Scenarios'!$A:$J,COLUMNS('Damage Scenarios'!$A:$J),CHAR(10),"[#0][#1][#2]")&amp;"§",
"[#1][#2]",""),
"[#2]",""),
"[#0][#1]","[#1]"),
"[#0]","Removes:"&amp;CHAR(10)),
"[#1]","Transforms:"&amp;CHAR(10)),
CHAR(10)&amp;"§",""),
"§",""),
CHAR(10),CHAR(10)&amp;"   "),
"   "&amp;"Transforms:","Transforms:"))</f>
        <v xml:space="preserve">Removes:
   DS5 </v>
      </c>
      <c r="L29" s="10"/>
      <c r="M29" s="10"/>
      <c r="N29" s="10"/>
      <c r="O29" s="10"/>
      <c r="P29" s="10"/>
      <c r="Q29" s="13" t="str">
        <f ca="1">IF($A29="","",IFERROR(VLOOKUP($AA29,Definitions!$V:$W,COLUMNS(Definitions!$V:$W),TRUE),""))</f>
        <v>Basic</v>
      </c>
      <c r="R29" s="10" t="s">
        <v>454</v>
      </c>
      <c r="S29" s="10"/>
      <c r="T29" s="10" t="s">
        <v>856</v>
      </c>
      <c r="U29" s="9" cm="1">
        <f t="array" aca="1" ref="U29" ca="1">CreateID($U$2,$A29&lt;&gt;"")</f>
        <v>27</v>
      </c>
      <c r="V29" s="11" t="b">
        <f ca="1">OR(CheckRelevance(SanitizeInput(F29),Questionnaire!$J:$J),IFERROR(_xlfn.XMATCH("*,"&amp;$A29&amp;",*",Countermeasures!$AC:$AC,2)&gt;0,FALSE))</f>
        <v>0</v>
      </c>
      <c r="W29" s="11" t="b">
        <f>IFERROR(_xlfn.XMATCH("*,"&amp;$A29&amp;",*",Mitigation!$X:$X,2)&gt;0,FALSE)</f>
        <v>0</v>
      </c>
      <c r="X29" s="11" cm="1">
        <f t="array" ref="X29">CreateTaskID($X$2,$X:$X,Tasks!$B$17,$T29)</f>
        <v>0</v>
      </c>
      <c r="Y29" s="11" t="str" cm="1">
        <f t="array" aca="1" ref="Y29" ca="1">IF(OR($H29="",NOT($V29)),"",","&amp;SanitizeInput($H29))</f>
        <v/>
      </c>
      <c r="Z29" s="11" t="str" cm="1">
        <f t="array" ref="Z29">CreateSearchString($H29)</f>
        <v>,AS5,</v>
      </c>
      <c r="AA29" s="11" cm="1">
        <f t="array" aca="1" ref="AA29" ca="1">OperateOnRange(
  $L29,
  TRUE,
  Helper!$B$16,
  0,
  _xlfn.LAMBDA(_xlpm._factor,IF(_xlpm._factor="",0,SimpleLookup(_xlpm._factor,Definitions!$Z:$AA))),
  _xlfn.LAMBDA(_xlpm._x,_xlpm._y,_xlpm._x+_xlpm._y))</f>
        <v>0</v>
      </c>
      <c r="AB29" s="11" t="str" cm="1">
        <f t="array" ref="AB29">SUBSTITUTE(IF($W29,IF($J29="","",","&amp;SanitizeInput($J29)),""),"&gt;",",")</f>
        <v/>
      </c>
      <c r="AC29" s="11" cm="1">
        <f t="array" aca="1" ref="AC29" ca="1">CreateID($AC$2,OR($V29,$W29))</f>
        <v>1</v>
      </c>
      <c r="AD29" s="11" t="str" cm="1">
        <f t="array" aca="1" ref="AD29" ca="1">IF(OR($V29,$W29),IF($R29="","",","&amp;SanitizeInput($R29)),"")</f>
        <v/>
      </c>
      <c r="AE29" s="11" t="str">
        <f t="shared" si="0"/>
        <v>SDR 1.25 - The product does not transmit confidential cryptographic material (such as passwords) [Customer]</v>
      </c>
      <c r="AF29" s="11" t="str" cm="1">
        <f t="array" ref="AF29">IF($F29="*","",InverseLookupList(SanitizeInput($F29),Questionnaire!$AB$3,Questionnaire!$B$3,Helper!$B$12,","))</f>
        <v/>
      </c>
      <c r="AG29" s="11" t="str" cm="1">
        <f t="array" ref="AG29">RemoveDelimiter(GetValues($AF29,Questionnaire!$B:$H," ",CHAR(10)&amp;CHAR(10),TRUE),CHAR(10)&amp;CHAR(10))</f>
        <v/>
      </c>
      <c r="AH29" s="11" t="str" cm="1">
        <f t="array" ref="AH29">CreateSearchString($AF29)</f>
        <v/>
      </c>
      <c r="AI29" s="11" t="str" cm="1">
        <f t="array" aca="1" ref="AI29" ca="1">InverseLookup($A29,Mitigation!$AD$2,Mitigation!$A$2,1,Helper!$B$5,",")</f>
        <v/>
      </c>
      <c r="AJ29" s="11" t="str" cm="1">
        <f t="array" aca="1" ref="AJ29" ca="1">CreateSearchString(GetValues($AI29,'Attack Steps'!$A:$P,"",",",FALSE))</f>
        <v/>
      </c>
      <c r="AK29" s="11" t="str">
        <f t="shared" si="1"/>
        <v>A28</v>
      </c>
      <c r="AL29" s="11" t="str" cm="1">
        <f t="array" ref="AL29">_xlfn.SWITCH($F29,
"*","",
"","",
_xlfn.LET(
_xlpm._answers,SUBSTITUTE(SanitizeInput($F29),"&amp;",","),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IF(_xlpm._questionIDUndefined,$A29&amp;" - "&amp;_xlpm._question&amp;": ERROR: Unknown question ID.",
        IF(_xlpm._firstAnswerIsValidOption,"",$A29&amp;" - "&amp;_xlpm._question&amp;": First answer ("&amp;_xlpm._firstAnswer&amp;") is not a valid option.")&amp;
        IF(_xlpm._secondAnswerRequired,IF(_xlpm._secondAnswerProvided,"",$A29&amp;" - "&amp;_xlpm._question&amp;": Second answer required but not provided."),"")&amp;
        IF(NOT(_xlpm._secondAnswerRequired),IF(_xlpm._secondAnswerProvided,$A29&amp;" - "&amp;_xlpm._question&amp;": Second answer ("&amp;_xlpm._secondAnswer&amp;") provided but the question only supports one answer.",""),"")&amp;
        IF(_xlpm._secondAnswerIsValidOption,"",$A29&amp;" - "&amp;_xlpm._question&amp;": Second answer ("&amp;_xlpm._secondAnswer&amp;") is not a valid option.")))),
  _xlfn.LAMBDA(_xlpm._x,_xlpm._y,_xlpm._x&amp;IF(_xlpm._x="","",CHAR(10))&amp;_xlpm._y))))</f>
        <v/>
      </c>
      <c r="AM29" s="11" cm="1">
        <f t="array" aca="1" ref="AM29" ca="1">CreateID($AM$2,$AL29&lt;&gt;"")</f>
        <v>0</v>
      </c>
    </row>
    <row r="30" spans="1:39" ht="75" x14ac:dyDescent="0.25">
      <c r="A30" s="9" t="s">
        <v>823</v>
      </c>
      <c r="B30" s="10" t="s">
        <v>1357</v>
      </c>
      <c r="C30" s="10" t="s">
        <v>824</v>
      </c>
      <c r="D30" s="10" t="s">
        <v>1361</v>
      </c>
      <c r="E30" s="10" t="s">
        <v>296</v>
      </c>
      <c r="F30" s="10"/>
      <c r="G30" s="25" t="str" cm="1">
        <f t="array" ref="G30">OperateOnList(
  SanitizeInput($F30),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H30" s="10" t="s">
        <v>89</v>
      </c>
      <c r="I30" s="13" t="str" cm="1">
        <f t="array" aca="1" ref="I30" ca="1">LookupNames($H30,'Attack Steps'!$A:$B)</f>
        <v>AS8 Disrupting the product's communication over the wireless network</v>
      </c>
      <c r="J30" s="10" t="s">
        <v>826</v>
      </c>
      <c r="K30" s="25" t="str" cm="1">
        <f t="array" aca="1" ref="K30" ca="1">IF($J30="","",SUBSTITUTE(SUBSTITUTE(SUBSTITUTE(SUBSTITUTE(SUBSTITUTE(SUBSTITUTE(SUBSTITUTE(SUBSTITUTE(SUBSTITUTE(
GetTransformation(SanitizeInput($J30),'Damage Scenarios'!$A:$J,COLUMNS('Damage Scenarios'!$A:$J),CHAR(10),"[#0][#1][#2]")&amp;"§",
"[#1][#2]",""),
"[#2]",""),
"[#0][#1]","[#1]"),
"[#0]","Removes:"&amp;CHAR(10)),
"[#1]","Transforms:"&amp;CHAR(10)),
CHAR(10)&amp;"§",""),
"§",""),
CHAR(10),CHAR(10)&amp;"   "),
"   "&amp;"Transforms:","Transforms:"))</f>
        <v xml:space="preserve">Removes:
   DS7 
   DS9 </v>
      </c>
      <c r="L30" s="10"/>
      <c r="M30" s="10"/>
      <c r="N30" s="10"/>
      <c r="O30" s="10"/>
      <c r="P30" s="10"/>
      <c r="Q30" s="13" t="str">
        <f ca="1">IF($A30="","",IFERROR(VLOOKUP($AA30,Definitions!$V:$W,COLUMNS(Definitions!$V:$W),TRUE),""))</f>
        <v>Basic</v>
      </c>
      <c r="R30" s="10" t="s">
        <v>452</v>
      </c>
      <c r="S30" s="10"/>
      <c r="T30" s="10" t="s">
        <v>857</v>
      </c>
      <c r="U30" s="9" cm="1">
        <f t="array" aca="1" ref="U30" ca="1">CreateID($U$2,$A30&lt;&gt;"")</f>
        <v>28</v>
      </c>
      <c r="V30" s="11" t="b">
        <f ca="1">OR(CheckRelevance(SanitizeInput(F30),Questionnaire!$J:$J),IFERROR(_xlfn.XMATCH("*,"&amp;$A30&amp;",*",Countermeasures!$AC:$AC,2)&gt;0,FALSE))</f>
        <v>0</v>
      </c>
      <c r="W30" s="11" t="b">
        <f>IFERROR(_xlfn.XMATCH("*,"&amp;$A30&amp;",*",Mitigation!$X:$X,2)&gt;0,FALSE)</f>
        <v>0</v>
      </c>
      <c r="X30" s="11" cm="1">
        <f t="array" ref="X30">CreateTaskID($X$2,$X:$X,Tasks!$B$17,$T30)</f>
        <v>0</v>
      </c>
      <c r="Y30" s="11" t="str" cm="1">
        <f t="array" aca="1" ref="Y30" ca="1">IF(OR($H30="",NOT($V30)),"",","&amp;SanitizeInput($H30))</f>
        <v/>
      </c>
      <c r="Z30" s="11" t="str" cm="1">
        <f t="array" ref="Z30">CreateSearchString($H30)</f>
        <v>,AS8,</v>
      </c>
      <c r="AA30" s="11" cm="1">
        <f t="array" aca="1" ref="AA30" ca="1">OperateOnRange(
  $L30,
  TRUE,
  Helper!$B$16,
  0,
  _xlfn.LAMBDA(_xlpm._factor,IF(_xlpm._factor="",0,SimpleLookup(_xlpm._factor,Definitions!$Z:$AA))),
  _xlfn.LAMBDA(_xlpm._x,_xlpm._y,_xlpm._x+_xlpm._y))</f>
        <v>0</v>
      </c>
      <c r="AB30" s="11" t="str" cm="1">
        <f t="array" ref="AB30">SUBSTITUTE(IF($W30,IF($J30="","",","&amp;SanitizeInput($J30)),""),"&gt;",",")</f>
        <v/>
      </c>
      <c r="AC30" s="11" cm="1">
        <f t="array" aca="1" ref="AC30" ca="1">CreateID($AC$2,OR($V30,$W30))</f>
        <v>1</v>
      </c>
      <c r="AD30" s="11" t="str" cm="1">
        <f t="array" aca="1" ref="AD30" ca="1">IF(OR($V30,$W30),IF($R30="","",","&amp;SanitizeInput($R30)),"")</f>
        <v/>
      </c>
      <c r="AE30" s="11" t="str">
        <f t="shared" si="0"/>
        <v>SDR 1.26 - The customer ensures that a loss of wireless communication with the product is manageable [Customer]</v>
      </c>
      <c r="AF30" s="11" t="str" cm="1">
        <f t="array" ref="AF30">IF($F30="*","",InverseLookupList(SanitizeInput($F30),Questionnaire!$AB$3,Questionnaire!$B$3,Helper!$B$12,","))</f>
        <v/>
      </c>
      <c r="AG30" s="11" t="str" cm="1">
        <f t="array" ref="AG30">RemoveDelimiter(GetValues($AF30,Questionnaire!$B:$H," ",CHAR(10)&amp;CHAR(10),TRUE),CHAR(10)&amp;CHAR(10))</f>
        <v/>
      </c>
      <c r="AH30" s="11" t="str" cm="1">
        <f t="array" ref="AH30">CreateSearchString($AF30)</f>
        <v/>
      </c>
      <c r="AI30" s="11" t="str" cm="1">
        <f t="array" aca="1" ref="AI30" ca="1">InverseLookup($A30,Mitigation!$AD$2,Mitigation!$A$2,1,Helper!$B$5,",")</f>
        <v/>
      </c>
      <c r="AJ30" s="11" t="str" cm="1">
        <f t="array" aca="1" ref="AJ30" ca="1">CreateSearchString(GetValues($AI30,'Attack Steps'!$A:$P,"",",",FALSE))</f>
        <v/>
      </c>
      <c r="AK30" s="11" t="str">
        <f t="shared" si="1"/>
        <v>A29</v>
      </c>
      <c r="AL30" s="11" t="str" cm="1">
        <f t="array" ref="AL30">_xlfn.SWITCH($F30,
"*","",
"","",
_xlfn.LET(
_xlpm._answers,SUBSTITUTE(SanitizeInput($F30),"&amp;",","),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IF(_xlpm._questionIDUndefined,$A30&amp;" - "&amp;_xlpm._question&amp;": ERROR: Unknown question ID.",
        IF(_xlpm._firstAnswerIsValidOption,"",$A30&amp;" - "&amp;_xlpm._question&amp;": First answer ("&amp;_xlpm._firstAnswer&amp;") is not a valid option.")&amp;
        IF(_xlpm._secondAnswerRequired,IF(_xlpm._secondAnswerProvided,"",$A30&amp;" - "&amp;_xlpm._question&amp;": Second answer required but not provided."),"")&amp;
        IF(NOT(_xlpm._secondAnswerRequired),IF(_xlpm._secondAnswerProvided,$A30&amp;" - "&amp;_xlpm._question&amp;": Second answer ("&amp;_xlpm._secondAnswer&amp;") provided but the question only supports one answer.",""),"")&amp;
        IF(_xlpm._secondAnswerIsValidOption,"",$A30&amp;" - "&amp;_xlpm._question&amp;": Second answer ("&amp;_xlpm._secondAnswer&amp;") is not a valid option.")))),
  _xlfn.LAMBDA(_xlpm._x,_xlpm._y,_xlpm._x&amp;IF(_xlpm._x="","",CHAR(10))&amp;_xlpm._y))))</f>
        <v/>
      </c>
      <c r="AM30" s="11" cm="1">
        <f t="array" aca="1" ref="AM30" ca="1">CreateID($AM$2,$AL30&lt;&gt;"")</f>
        <v>0</v>
      </c>
    </row>
    <row r="31" spans="1:39" ht="75" x14ac:dyDescent="0.25">
      <c r="A31" s="9" t="s">
        <v>829</v>
      </c>
      <c r="B31" s="10" t="s">
        <v>1349</v>
      </c>
      <c r="C31" s="10" t="s">
        <v>830</v>
      </c>
      <c r="D31" s="10" t="s">
        <v>1350</v>
      </c>
      <c r="E31" s="10" t="s">
        <v>297</v>
      </c>
      <c r="F31" s="10" t="s">
        <v>335</v>
      </c>
      <c r="G31" s="25" t="str" cm="1">
        <f t="array" ref="G31">OperateOnList(
  SanitizeInput($F31),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v>
      </c>
      <c r="H31" s="10"/>
      <c r="I31" s="13" t="str" cm="1">
        <f t="array" ref="I31">LookupNames($H31,'Attack Steps'!$A:$B)</f>
        <v/>
      </c>
      <c r="J31" s="10"/>
      <c r="K31" s="25" t="str" cm="1">
        <f t="array" ref="K31">IF($J31="","",SUBSTITUTE(SUBSTITUTE(SUBSTITUTE(SUBSTITUTE(SUBSTITUTE(SUBSTITUTE(SUBSTITUTE(SUBSTITUTE(SUBSTITUTE(
GetTransformation(SanitizeInput($J31),'Damage Scenarios'!$A:$J,COLUMNS('Damage Scenarios'!$A:$J),CHAR(10),"[#0][#1][#2]")&amp;"§",
"[#1][#2]",""),
"[#2]",""),
"[#0][#1]","[#1]"),
"[#0]","Removes:"&amp;CHAR(10)),
"[#1]","Transforms:"&amp;CHAR(10)),
CHAR(10)&amp;"§",""),
"§",""),
CHAR(10),CHAR(10)&amp;"   "),
"   "&amp;"Transforms:","Transforms:"))</f>
        <v/>
      </c>
      <c r="L31" s="10"/>
      <c r="M31" s="10"/>
      <c r="N31" s="10"/>
      <c r="O31" s="10"/>
      <c r="P31" s="10"/>
      <c r="Q31" s="13" t="str">
        <f ca="1">IF($A31="","",IFERROR(VLOOKUP($AA31,Definitions!$V:$W,COLUMNS(Definitions!$V:$W),TRUE),""))</f>
        <v>Basic</v>
      </c>
      <c r="R31" s="10" t="s">
        <v>55</v>
      </c>
      <c r="S31" s="10"/>
      <c r="T31" s="10" t="s">
        <v>831</v>
      </c>
      <c r="U31" s="9" cm="1">
        <f t="array" aca="1" ref="U31" ca="1">CreateID($U$2,$A31&lt;&gt;"")</f>
        <v>29</v>
      </c>
      <c r="V31" s="11" t="b">
        <f ca="1">OR(CheckRelevance(SanitizeInput(F31),Questionnaire!$J:$J),IFERROR(_xlfn.XMATCH("*,"&amp;$A31&amp;",*",Countermeasures!$AC:$AC,2)&gt;0,FALSE))</f>
        <v>1</v>
      </c>
      <c r="W31" s="11" t="b">
        <f>IFERROR(_xlfn.XMATCH("*,"&amp;$A31&amp;",*",Mitigation!$X:$X,2)&gt;0,FALSE)</f>
        <v>0</v>
      </c>
      <c r="X31" s="11" cm="1">
        <f t="array" ref="X31">CreateTaskID($X$2,$X:$X,Tasks!$B$17,$T31)</f>
        <v>0</v>
      </c>
      <c r="Y31" s="11" t="str" cm="1">
        <f t="array" aca="1" ref="Y31" ca="1">IF(OR($H31="",NOT($V31)),"",","&amp;SanitizeInput($H31))</f>
        <v/>
      </c>
      <c r="Z31" s="11" t="str" cm="1">
        <f t="array" ref="Z31">CreateSearchString($H31)</f>
        <v/>
      </c>
      <c r="AA31" s="11" cm="1">
        <f t="array" aca="1" ref="AA31" ca="1">OperateOnRange(
  $L31,
  TRUE,
  Helper!$B$16,
  0,
  _xlfn.LAMBDA(_xlpm._factor,IF(_xlpm._factor="",0,SimpleLookup(_xlpm._factor,Definitions!$Z:$AA))),
  _xlfn.LAMBDA(_xlpm._x,_xlpm._y,_xlpm._x+_xlpm._y))</f>
        <v>0</v>
      </c>
      <c r="AB31" s="11" t="str" cm="1">
        <f t="array" ref="AB31">SUBSTITUTE(IF($W31,IF($J31="","",","&amp;SanitizeInput($J31)),""),"&gt;",",")</f>
        <v/>
      </c>
      <c r="AC31" s="11" cm="1">
        <f t="array" aca="1" ref="AC31" ca="1">CreateID($AC$2,OR($V31,$W31))</f>
        <v>2</v>
      </c>
      <c r="AD31" s="11" t="str" cm="1">
        <f t="array" aca="1" ref="AD31" ca="1">IF(OR($V31,$W31),IF($R31="","",","&amp;SanitizeInput($R31)),"")</f>
        <v/>
      </c>
      <c r="AE31" s="11" t="str">
        <f t="shared" si="0"/>
        <v>SDR 1.19 - Physical destruction [Other (see comment)]</v>
      </c>
      <c r="AF31" s="11" t="str" cm="1">
        <f t="array" ref="AF31">IF($F31="*","",InverseLookupList(SanitizeInput($F31),Questionnaire!$AB$3,Questionnaire!$B$3,Helper!$B$12,","))</f>
        <v/>
      </c>
      <c r="AG31" s="11" t="str" cm="1">
        <f t="array" ref="AG31">RemoveDelimiter(GetValues($AF31,Questionnaire!$B:$H," ",CHAR(10)&amp;CHAR(10),TRUE),CHAR(10)&amp;CHAR(10))</f>
        <v/>
      </c>
      <c r="AH31" s="11" t="str" cm="1">
        <f t="array" ref="AH31">CreateSearchString($AF31)</f>
        <v/>
      </c>
      <c r="AI31" s="11" t="str" cm="1">
        <f t="array" aca="1" ref="AI31" ca="1">InverseLookup($A31,Mitigation!$AD$2,Mitigation!$A$2,1,Helper!$B$5,",")</f>
        <v/>
      </c>
      <c r="AJ31" s="11" t="str" cm="1">
        <f t="array" aca="1" ref="AJ31" ca="1">CreateSearchString(GetValues($AI31,'Attack Steps'!$A:$P,"",",",FALSE))</f>
        <v/>
      </c>
      <c r="AK31" s="11" t="str">
        <f t="shared" si="1"/>
        <v>A30</v>
      </c>
      <c r="AL31" s="11" t="str" cm="1">
        <f t="array" ref="AL31">_xlfn.SWITCH($F31,
"*","",
"","",
_xlfn.LET(
_xlpm._answers,SUBSTITUTE(SanitizeInput($F31),"&amp;",","),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IF(_xlpm._questionIDUndefined,$A31&amp;" - "&amp;_xlpm._question&amp;": ERROR: Unknown question ID.",
        IF(_xlpm._firstAnswerIsValidOption,"",$A31&amp;" - "&amp;_xlpm._question&amp;": First answer ("&amp;_xlpm._firstAnswer&amp;") is not a valid option.")&amp;
        IF(_xlpm._secondAnswerRequired,IF(_xlpm._secondAnswerProvided,"",$A31&amp;" - "&amp;_xlpm._question&amp;": Second answer required but not provided."),"")&amp;
        IF(NOT(_xlpm._secondAnswerRequired),IF(_xlpm._secondAnswerProvided,$A31&amp;" - "&amp;_xlpm._question&amp;": Second answer ("&amp;_xlpm._secondAnswer&amp;") provided but the question only supports one answer.",""),"")&amp;
        IF(_xlpm._secondAnswerIsValidOption,"",$A31&amp;" - "&amp;_xlpm._question&amp;": Second answer ("&amp;_xlpm._secondAnswer&amp;") is not a valid option.")))),
  _xlfn.LAMBDA(_xlpm._x,_xlpm._y,_xlpm._x&amp;IF(_xlpm._x="","",CHAR(10))&amp;_xlpm._y))))</f>
        <v/>
      </c>
      <c r="AM31" s="11" cm="1">
        <f t="array" aca="1" ref="AM31" ca="1">CreateID($AM$2,$AL31&lt;&gt;"")</f>
        <v>0</v>
      </c>
    </row>
    <row r="32" spans="1:39" ht="60" x14ac:dyDescent="0.25">
      <c r="A32" s="9" t="s">
        <v>933</v>
      </c>
      <c r="B32" s="10" t="s">
        <v>1362</v>
      </c>
      <c r="C32" s="10" t="s">
        <v>934</v>
      </c>
      <c r="D32" s="10" t="s">
        <v>1364</v>
      </c>
      <c r="E32" s="10" t="s">
        <v>296</v>
      </c>
      <c r="F32" s="10" t="s">
        <v>935</v>
      </c>
      <c r="G32" s="25" t="str" cm="1">
        <f t="array" aca="1" ref="G32" ca="1">OperateOnList(
  SanitizeInput($F32),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QI11 Can a manipulated product disclose personal data to an attacker? Also consider cases where the product is used against its intended use or misconfigured! [No]</v>
      </c>
      <c r="H32" s="10"/>
      <c r="I32" s="13" t="str" cm="1">
        <f t="array" ref="I32">LookupNames($H32,'Attack Steps'!$A:$B)</f>
        <v/>
      </c>
      <c r="J32" s="10"/>
      <c r="K32" s="25" t="str" cm="1">
        <f t="array" ref="K32">IF($J32="","",SUBSTITUTE(SUBSTITUTE(SUBSTITUTE(SUBSTITUTE(SUBSTITUTE(SUBSTITUTE(SUBSTITUTE(SUBSTITUTE(SUBSTITUTE(
GetTransformation(SanitizeInput($J32),'Damage Scenarios'!$A:$J,COLUMNS('Damage Scenarios'!$A:$J),CHAR(10),"[#0][#1][#2]")&amp;"§",
"[#1][#2]",""),
"[#2]",""),
"[#0][#1]","[#1]"),
"[#0]","Removes:"&amp;CHAR(10)),
"[#1]","Transforms:"&amp;CHAR(10)),
CHAR(10)&amp;"§",""),
"§",""),
CHAR(10),CHAR(10)&amp;"   "),
"   "&amp;"Transforms:","Transforms:"))</f>
        <v/>
      </c>
      <c r="L32" s="10"/>
      <c r="M32" s="10"/>
      <c r="N32" s="10"/>
      <c r="O32" s="10"/>
      <c r="P32" s="10"/>
      <c r="Q32" s="13" t="str">
        <f ca="1">IF($A32="","",IFERROR(VLOOKUP($AA32,Definitions!$V:$W,COLUMNS(Definitions!$V:$W),TRUE),""))</f>
        <v>Basic</v>
      </c>
      <c r="R32" s="10" t="s">
        <v>55</v>
      </c>
      <c r="S32" s="10"/>
      <c r="T32" s="10"/>
      <c r="U32" s="9" cm="1">
        <f t="array" aca="1" ref="U32" ca="1">CreateID($U$2,$A32&lt;&gt;"")</f>
        <v>30</v>
      </c>
      <c r="V32" s="11" t="b">
        <f ca="1">OR(CheckRelevance(SanitizeInput(F32),Questionnaire!$J:$J),IFERROR(_xlfn.XMATCH("*,"&amp;$A32&amp;",*",Countermeasures!$AC:$AC,2)&gt;0,FALSE))</f>
        <v>0</v>
      </c>
      <c r="W32" s="11" t="b">
        <f>IFERROR(_xlfn.XMATCH("*,"&amp;$A32&amp;",*",Mitigation!$X:$X,2)&gt;0,FALSE)</f>
        <v>0</v>
      </c>
      <c r="X32" s="11" cm="1">
        <f t="array" ref="X32">CreateTaskID($X$2,$X:$X,Tasks!$B$17,$T32)</f>
        <v>0</v>
      </c>
      <c r="Y32" s="11" t="str" cm="1">
        <f t="array" aca="1" ref="Y32" ca="1">IF(OR($H32="",NOT($V32)),"",","&amp;SanitizeInput($H32))</f>
        <v/>
      </c>
      <c r="Z32" s="11" t="str" cm="1">
        <f t="array" ref="Z32">CreateSearchString($H32)</f>
        <v/>
      </c>
      <c r="AA32" s="11" cm="1">
        <f t="array" aca="1" ref="AA32" ca="1">OperateOnRange(
  $L32,
  TRUE,
  Helper!$B$16,
  0,
  _xlfn.LAMBDA(_xlpm._factor,IF(_xlpm._factor="",0,SimpleLookup(_xlpm._factor,Definitions!$Z:$AA))),
  _xlfn.LAMBDA(_xlpm._x,_xlpm._y,_xlpm._x+_xlpm._y))</f>
        <v>0</v>
      </c>
      <c r="AB32" s="11" t="str" cm="1">
        <f t="array" ref="AB32">SUBSTITUTE(IF($W32,IF($J32="","",","&amp;SanitizeInput($J32)),""),"&gt;",",")</f>
        <v/>
      </c>
      <c r="AC32" s="11" cm="1">
        <f t="array" aca="1" ref="AC32" ca="1">CreateID($AC$2,OR($V32,$W32))</f>
        <v>2</v>
      </c>
      <c r="AD32" s="11" t="str" cm="1">
        <f t="array" aca="1" ref="AD32" ca="1">IF(OR($V32,$W32),IF($R32="","",","&amp;SanitizeInput($R32)),"")</f>
        <v/>
      </c>
      <c r="AE32" s="11" t="str">
        <f t="shared" si="0"/>
        <v>SDR 1.27 - The product has no access to personal data [Customer]</v>
      </c>
      <c r="AF32" s="11" t="str" cm="1">
        <f t="array" aca="1" ref="AF32" ca="1">IF($F32="*","",InverseLookupList(SanitizeInput($F32),Questionnaire!$AB$3,Questionnaire!$B$3,Helper!$B$12,","))</f>
        <v/>
      </c>
      <c r="AG32" s="11" t="str" cm="1">
        <f t="array" aca="1" ref="AG32" ca="1">RemoveDelimiter(GetValues($AF32,Questionnaire!$B:$H," ",CHAR(10)&amp;CHAR(10),TRUE),CHAR(10)&amp;CHAR(10))</f>
        <v/>
      </c>
      <c r="AH32" s="11" t="str" cm="1">
        <f t="array" aca="1" ref="AH32" ca="1">CreateSearchString($AF32)</f>
        <v/>
      </c>
      <c r="AI32" s="11" t="str" cm="1">
        <f t="array" aca="1" ref="AI32" ca="1">InverseLookup($A32,Mitigation!$AD$2,Mitigation!$A$2,1,Helper!$B$5,",")</f>
        <v/>
      </c>
      <c r="AJ32" s="11" t="str" cm="1">
        <f t="array" aca="1" ref="AJ32" ca="1">CreateSearchString(GetValues($AI32,'Attack Steps'!$A:$P,"",",",FALSE))</f>
        <v/>
      </c>
      <c r="AK32" s="11" t="str">
        <f t="shared" si="1"/>
        <v>A32</v>
      </c>
      <c r="AL32" s="11" t="str" cm="1">
        <f t="array" aca="1" ref="AL32" ca="1">_xlfn.SWITCH($F32,
"*","",
"","",
_xlfn.LET(
_xlpm._answers,SUBSTITUTE(SanitizeInput($F32),"&amp;",","),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IF(_xlpm._questionIDUndefined,$A32&amp;" - "&amp;_xlpm._question&amp;": ERROR: Unknown question ID.",
        IF(_xlpm._firstAnswerIsValidOption,"",$A32&amp;" - "&amp;_xlpm._question&amp;": First answer ("&amp;_xlpm._firstAnswer&amp;") is not a valid option.")&amp;
        IF(_xlpm._secondAnswerRequired,IF(_xlpm._secondAnswerProvided,"",$A32&amp;" - "&amp;_xlpm._question&amp;": Second answer required but not provided."),"")&amp;
        IF(NOT(_xlpm._secondAnswerRequired),IF(_xlpm._secondAnswerProvided,$A32&amp;" - "&amp;_xlpm._question&amp;": Second answer ("&amp;_xlpm._secondAnswer&amp;") provided but the question only supports one answer.",""),"")&amp;
        IF(_xlpm._secondAnswerIsValidOption,"",$A32&amp;" - "&amp;_xlpm._question&amp;": Second answer ("&amp;_xlpm._secondAnswer&amp;") is not a valid option.")))),
  _xlfn.LAMBDA(_xlpm._x,_xlpm._y,_xlpm._x&amp;IF(_xlpm._x="","",CHAR(10))&amp;_xlpm._y))))</f>
        <v/>
      </c>
      <c r="AM32" s="11" cm="1">
        <f t="array" aca="1" ref="AM32" ca="1">CreateID($AM$2,$AL32&lt;&gt;"")</f>
        <v>0</v>
      </c>
    </row>
    <row r="33" spans="1:39" ht="45" x14ac:dyDescent="0.25">
      <c r="A33" s="9" t="s">
        <v>937</v>
      </c>
      <c r="B33" s="10" t="s">
        <v>1363</v>
      </c>
      <c r="C33" s="10" t="s">
        <v>938</v>
      </c>
      <c r="D33" s="10" t="s">
        <v>1365</v>
      </c>
      <c r="E33" s="10" t="s">
        <v>296</v>
      </c>
      <c r="F33" s="10" t="s">
        <v>939</v>
      </c>
      <c r="G33" s="25" t="str" cm="1">
        <f t="array" aca="1" ref="G33" ca="1">OperateOnList(
  SanitizeInput($F33),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QI14 Can a manipulated product affect the operation of its operational environment? [No]</v>
      </c>
      <c r="H33" s="10"/>
      <c r="I33" s="13" t="str" cm="1">
        <f t="array" ref="I33">LookupNames($H33,'Attack Steps'!$A:$B)</f>
        <v/>
      </c>
      <c r="J33" s="10"/>
      <c r="K33" s="25" t="str" cm="1">
        <f t="array" ref="K33">IF($J33="","",SUBSTITUTE(SUBSTITUTE(SUBSTITUTE(SUBSTITUTE(SUBSTITUTE(SUBSTITUTE(SUBSTITUTE(SUBSTITUTE(SUBSTITUTE(
GetTransformation(SanitizeInput($J33),'Damage Scenarios'!$A:$J,COLUMNS('Damage Scenarios'!$A:$J),CHAR(10),"[#0][#1][#2]")&amp;"§",
"[#1][#2]",""),
"[#2]",""),
"[#0][#1]","[#1]"),
"[#0]","Removes:"&amp;CHAR(10)),
"[#1]","Transforms:"&amp;CHAR(10)),
CHAR(10)&amp;"§",""),
"§",""),
CHAR(10),CHAR(10)&amp;"   "),
"   "&amp;"Transforms:","Transforms:"))</f>
        <v/>
      </c>
      <c r="L33" s="10"/>
      <c r="M33" s="10"/>
      <c r="N33" s="10"/>
      <c r="O33" s="10"/>
      <c r="P33" s="10"/>
      <c r="Q33" s="13" t="str">
        <f ca="1">IF($A33="","",IFERROR(VLOOKUP($AA33,Definitions!$V:$W,COLUMNS(Definitions!$V:$W),TRUE),""))</f>
        <v>Basic</v>
      </c>
      <c r="R33" s="10" t="s">
        <v>55</v>
      </c>
      <c r="S33" s="10"/>
      <c r="T33" s="10"/>
      <c r="U33" s="9" cm="1">
        <f t="array" aca="1" ref="U33" ca="1">CreateID($U$2,$A33&lt;&gt;"")</f>
        <v>31</v>
      </c>
      <c r="V33" s="11" t="b">
        <f ca="1">OR(CheckRelevance(SanitizeInput(F33),Questionnaire!$J:$J),IFERROR(_xlfn.XMATCH("*,"&amp;$A33&amp;",*",Countermeasures!$AC:$AC,2)&gt;0,FALSE))</f>
        <v>0</v>
      </c>
      <c r="W33" s="11" t="b">
        <f>IFERROR(_xlfn.XMATCH("*,"&amp;$A33&amp;",*",Mitigation!$X:$X,2)&gt;0,FALSE)</f>
        <v>0</v>
      </c>
      <c r="X33" s="11" cm="1">
        <f t="array" ref="X33">CreateTaskID($X$2,$X:$X,Tasks!$B$17,$T33)</f>
        <v>0</v>
      </c>
      <c r="Y33" s="11" t="str" cm="1">
        <f t="array" aca="1" ref="Y33" ca="1">IF(OR($H33="",NOT($V33)),"",","&amp;SanitizeInput($H33))</f>
        <v/>
      </c>
      <c r="Z33" s="11" t="str" cm="1">
        <f t="array" ref="Z33">CreateSearchString($H33)</f>
        <v/>
      </c>
      <c r="AA33" s="11" cm="1">
        <f t="array" aca="1" ref="AA33" ca="1">OperateOnRange(
  $L33,
  TRUE,
  Helper!$B$16,
  0,
  _xlfn.LAMBDA(_xlpm._factor,IF(_xlpm._factor="",0,SimpleLookup(_xlpm._factor,Definitions!$Z:$AA))),
  _xlfn.LAMBDA(_xlpm._x,_xlpm._y,_xlpm._x+_xlpm._y))</f>
        <v>0</v>
      </c>
      <c r="AB33" s="11" t="str" cm="1">
        <f t="array" ref="AB33">SUBSTITUTE(IF($W33,IF($J33="","",","&amp;SanitizeInput($J33)),""),"&gt;",",")</f>
        <v/>
      </c>
      <c r="AC33" s="11" cm="1">
        <f t="array" aca="1" ref="AC33" ca="1">CreateID($AC$2,OR($V33,$W33))</f>
        <v>2</v>
      </c>
      <c r="AD33" s="11" t="str" cm="1">
        <f t="array" aca="1" ref="AD33" ca="1">IF(OR($V33,$W33),IF($R33="","",","&amp;SanitizeInput($R33)),"")</f>
        <v/>
      </c>
      <c r="AE33" s="11" t="str">
        <f t="shared" si="0"/>
        <v>SDR 1.28 - The product cannot affect the availability of its operational environment [Customer]</v>
      </c>
      <c r="AF33" s="11" t="str" cm="1">
        <f t="array" aca="1" ref="AF33" ca="1">IF($F33="*","",InverseLookupList(SanitizeInput($F33),Questionnaire!$AB$3,Questionnaire!$B$3,Helper!$B$12,","))</f>
        <v/>
      </c>
      <c r="AG33" s="11" t="str" cm="1">
        <f t="array" aca="1" ref="AG33" ca="1">RemoveDelimiter(GetValues($AF33,Questionnaire!$B:$H," ",CHAR(10)&amp;CHAR(10),TRUE),CHAR(10)&amp;CHAR(10))</f>
        <v/>
      </c>
      <c r="AH33" s="11" t="str" cm="1">
        <f t="array" aca="1" ref="AH33" ca="1">CreateSearchString($AF33)</f>
        <v/>
      </c>
      <c r="AI33" s="11" t="str" cm="1">
        <f t="array" aca="1" ref="AI33" ca="1">InverseLookup($A33,Mitigation!$AD$2,Mitigation!$A$2,1,Helper!$B$5,",")</f>
        <v/>
      </c>
      <c r="AJ33" s="11" t="str" cm="1">
        <f t="array" aca="1" ref="AJ33" ca="1">CreateSearchString(GetValues($AI33,'Attack Steps'!$A:$P,"",",",FALSE))</f>
        <v/>
      </c>
      <c r="AK33" s="11" t="str">
        <f t="shared" si="1"/>
        <v>A33</v>
      </c>
      <c r="AL33" s="11" t="str" cm="1">
        <f t="array" aca="1" ref="AL33" ca="1">_xlfn.SWITCH($F33,
"*","",
"","",
_xlfn.LET(
_xlpm._answers,SUBSTITUTE(SanitizeInput($F33),"&amp;",","),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IF(_xlpm._questionIDUndefined,$A33&amp;" - "&amp;_xlpm._question&amp;": ERROR: Unknown question ID.",
        IF(_xlpm._firstAnswerIsValidOption,"",$A33&amp;" - "&amp;_xlpm._question&amp;": First answer ("&amp;_xlpm._firstAnswer&amp;") is not a valid option.")&amp;
        IF(_xlpm._secondAnswerRequired,IF(_xlpm._secondAnswerProvided,"",$A33&amp;" - "&amp;_xlpm._question&amp;": Second answer required but not provided."),"")&amp;
        IF(NOT(_xlpm._secondAnswerRequired),IF(_xlpm._secondAnswerProvided,$A33&amp;" - "&amp;_xlpm._question&amp;": Second answer ("&amp;_xlpm._secondAnswer&amp;") provided but the question only supports one answer.",""),"")&amp;
        IF(_xlpm._secondAnswerIsValidOption,"",$A33&amp;" - "&amp;_xlpm._question&amp;": Second answer ("&amp;_xlpm._secondAnswer&amp;") is not a valid option.")))),
  _xlfn.LAMBDA(_xlpm._x,_xlpm._y,_xlpm._x&amp;IF(_xlpm._x="","",CHAR(10))&amp;_xlpm._y))))</f>
        <v/>
      </c>
      <c r="AM33" s="11" cm="1">
        <f t="array" aca="1" ref="AM33" ca="1">CreateID($AM$2,$AL33&lt;&gt;"")</f>
        <v>0</v>
      </c>
    </row>
    <row r="34" spans="1:39" ht="60" x14ac:dyDescent="0.25">
      <c r="A34" s="9" t="s">
        <v>1038</v>
      </c>
      <c r="B34" s="10" t="s">
        <v>1380</v>
      </c>
      <c r="C34" s="10" t="s">
        <v>1039</v>
      </c>
      <c r="D34" s="10" t="s">
        <v>1381</v>
      </c>
      <c r="E34" s="10" t="str">
        <f>Definitions!$C$4</f>
        <v>&lt;&lt; OEM Name &gt;&gt;</v>
      </c>
      <c r="F34" s="10" t="s">
        <v>335</v>
      </c>
      <c r="G34" s="25" t="str" cm="1">
        <f t="array" ref="G34">OperateOnList(
  SanitizeInput($F34),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v>
      </c>
      <c r="H34" s="10"/>
      <c r="I34" s="13" t="str" cm="1">
        <f t="array" ref="I34">LookupNames($H34,'Attack Steps'!$A:$B)</f>
        <v/>
      </c>
      <c r="J34" s="10"/>
      <c r="K34" s="25" t="str" cm="1">
        <f t="array" ref="K34">IF($J34="","",SUBSTITUTE(SUBSTITUTE(SUBSTITUTE(SUBSTITUTE(SUBSTITUTE(SUBSTITUTE(SUBSTITUTE(SUBSTITUTE(SUBSTITUTE(
GetTransformation(SanitizeInput($J34),'Damage Scenarios'!$A:$J,COLUMNS('Damage Scenarios'!$A:$J),CHAR(10),"[#0][#1][#2]")&amp;"§",
"[#1][#2]",""),
"[#2]",""),
"[#0][#1]","[#1]"),
"[#0]","Removes:"&amp;CHAR(10)),
"[#1]","Transforms:"&amp;CHAR(10)),
CHAR(10)&amp;"§",""),
"§",""),
CHAR(10),CHAR(10)&amp;"   "),
"   "&amp;"Transforms:","Transforms:"))</f>
        <v/>
      </c>
      <c r="L34" s="10"/>
      <c r="M34" s="10"/>
      <c r="N34" s="10"/>
      <c r="O34" s="10"/>
      <c r="P34" s="10"/>
      <c r="Q34" s="13" t="str">
        <f ca="1">IF($A34="","",IFERROR(VLOOKUP($AA34,Definitions!$V:$W,COLUMNS(Definitions!$V:$W),TRUE),""))</f>
        <v>Basic</v>
      </c>
      <c r="R34" s="10" t="s">
        <v>446</v>
      </c>
      <c r="S34" s="10"/>
      <c r="T34" s="10"/>
      <c r="U34" s="9" cm="1">
        <f t="array" aca="1" ref="U34" ca="1">CreateID($U$2,$A34&lt;&gt;"")</f>
        <v>32</v>
      </c>
      <c r="V34" s="11" t="b">
        <f ca="1">OR(CheckRelevance(SanitizeInput(F34),Questionnaire!$J:$J),IFERROR(_xlfn.XMATCH("*,"&amp;$A34&amp;",*",Countermeasures!$AC:$AC,2)&gt;0,FALSE))</f>
        <v>1</v>
      </c>
      <c r="W34" s="11" t="b">
        <f>IFERROR(_xlfn.XMATCH("*,"&amp;$A34&amp;",*",Mitigation!$X:$X,2)&gt;0,FALSE)</f>
        <v>0</v>
      </c>
      <c r="X34" s="11" cm="1">
        <f t="array" ref="X34">CreateTaskID($X$2,$X:$X,Tasks!$B$17,$T34)</f>
        <v>0</v>
      </c>
      <c r="Y34" s="11" t="str" cm="1">
        <f t="array" aca="1" ref="Y34" ca="1">IF(OR($H34="",NOT($V34)),"",","&amp;SanitizeInput($H34))</f>
        <v/>
      </c>
      <c r="Z34" s="11" t="str" cm="1">
        <f t="array" ref="Z34">CreateSearchString($H34)</f>
        <v/>
      </c>
      <c r="AA34" s="11" cm="1">
        <f t="array" aca="1" ref="AA34" ca="1">OperateOnRange(
  $L34,
  TRUE,
  Helper!$B$16,
  0,
  _xlfn.LAMBDA(_xlpm._factor,IF(_xlpm._factor="",0,SimpleLookup(_xlpm._factor,Definitions!$Z:$AA))),
  _xlfn.LAMBDA(_xlpm._x,_xlpm._y,_xlpm._x+_xlpm._y))</f>
        <v>0</v>
      </c>
      <c r="AB34" s="11" t="str" cm="1">
        <f t="array" ref="AB34">SUBSTITUTE(IF($W34,IF($J34="","",","&amp;SanitizeInput($J34)),""),"&gt;",",")</f>
        <v/>
      </c>
      <c r="AC34" s="11" cm="1">
        <f t="array" aca="1" ref="AC34" ca="1">CreateID($AC$2,OR($V34,$W34))</f>
        <v>3</v>
      </c>
      <c r="AD34" s="11" t="str" cm="1">
        <f t="array" aca="1" ref="AD34" ca="1">IF(OR($V34,$W34),IF($R34="","",","&amp;SanitizeInput($R34)),"")</f>
        <v>,b,</v>
      </c>
      <c r="AE34" s="11" t="str">
        <f t="shared" si="0"/>
        <v>SDR 2.10 - The product is delivered with a secure by default configuration [&lt;&lt; OEM Name &gt;&gt;]</v>
      </c>
      <c r="AF34" s="11" t="str" cm="1">
        <f t="array" ref="AF34">IF($F34="*","",InverseLookupList(SanitizeInput($F34),Questionnaire!$AB$3,Questionnaire!$B$3,Helper!$B$12,","))</f>
        <v/>
      </c>
      <c r="AG34" s="11" t="str" cm="1">
        <f t="array" ref="AG34">RemoveDelimiter(GetValues($AF34,Questionnaire!$B:$H," ",CHAR(10)&amp;CHAR(10),TRUE),CHAR(10)&amp;CHAR(10))</f>
        <v/>
      </c>
      <c r="AH34" s="11" t="str" cm="1">
        <f t="array" ref="AH34">CreateSearchString($AF34)</f>
        <v/>
      </c>
      <c r="AI34" s="11" t="str" cm="1">
        <f t="array" aca="1" ref="AI34" ca="1">InverseLookup($A34,Mitigation!$AD$2,Mitigation!$A$2,1,Helper!$B$5,",")</f>
        <v/>
      </c>
      <c r="AJ34" s="11" t="str" cm="1">
        <f t="array" aca="1" ref="AJ34" ca="1">CreateSearchString(GetValues($AI34,'Attack Steps'!$A:$P,"",",",FALSE))</f>
        <v/>
      </c>
      <c r="AK34" s="11" t="str">
        <f t="shared" si="1"/>
        <v>A34</v>
      </c>
      <c r="AL34" s="11" t="str" cm="1">
        <f t="array" ref="AL34">_xlfn.SWITCH($F34,
"*","",
"","",
_xlfn.LET(
_xlpm._answers,SUBSTITUTE(SanitizeInput($F34),"&amp;",","),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IF(_xlpm._questionIDUndefined,$A34&amp;" - "&amp;_xlpm._question&amp;": ERROR: Unknown question ID.",
        IF(_xlpm._firstAnswerIsValidOption,"",$A34&amp;" - "&amp;_xlpm._question&amp;": First answer ("&amp;_xlpm._firstAnswer&amp;") is not a valid option.")&amp;
        IF(_xlpm._secondAnswerRequired,IF(_xlpm._secondAnswerProvided,"",$A34&amp;" - "&amp;_xlpm._question&amp;": Second answer required but not provided."),"")&amp;
        IF(NOT(_xlpm._secondAnswerRequired),IF(_xlpm._secondAnswerProvided,$A34&amp;" - "&amp;_xlpm._question&amp;": Second answer ("&amp;_xlpm._secondAnswer&amp;") provided but the question only supports one answer.",""),"")&amp;
        IF(_xlpm._secondAnswerIsValidOption,"",$A34&amp;" - "&amp;_xlpm._question&amp;": Second answer ("&amp;_xlpm._secondAnswer&amp;") is not a valid option.")))),
  _xlfn.LAMBDA(_xlpm._x,_xlpm._y,_xlpm._x&amp;IF(_xlpm._x="","",CHAR(10))&amp;_xlpm._y))))</f>
        <v/>
      </c>
      <c r="AM34" s="11" cm="1">
        <f t="array" aca="1" ref="AM34" ca="1">CreateID($AM$2,$AL34&lt;&gt;"")</f>
        <v>0</v>
      </c>
    </row>
    <row r="35" spans="1:39" ht="60" x14ac:dyDescent="0.25">
      <c r="A35" s="9" t="s">
        <v>1052</v>
      </c>
      <c r="B35" s="10" t="s">
        <v>1053</v>
      </c>
      <c r="C35" s="10" t="s">
        <v>1054</v>
      </c>
      <c r="D35" s="10"/>
      <c r="E35" s="10" t="s">
        <v>297</v>
      </c>
      <c r="F35" s="10"/>
      <c r="G35" s="25" t="str" cm="1">
        <f t="array" ref="G35">OperateOnList(
  SanitizeInput($F35),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H35" s="10"/>
      <c r="I35" s="13" t="str" cm="1">
        <f t="array" ref="I35">LookupNames($H35,'Attack Steps'!$A:$B)</f>
        <v/>
      </c>
      <c r="J35" s="10"/>
      <c r="K35" s="25" t="str" cm="1">
        <f t="array" ref="K35">IF($J35="","",SUBSTITUTE(SUBSTITUTE(SUBSTITUTE(SUBSTITUTE(SUBSTITUTE(SUBSTITUTE(SUBSTITUTE(SUBSTITUTE(SUBSTITUTE(
GetTransformation(SanitizeInput($J35),'Damage Scenarios'!$A:$J,COLUMNS('Damage Scenarios'!$A:$J),CHAR(10),"[#0][#1][#2]")&amp;"§",
"[#1][#2]",""),
"[#2]",""),
"[#0][#1]","[#1]"),
"[#0]","Removes:"&amp;CHAR(10)),
"[#1]","Transforms:"&amp;CHAR(10)),
CHAR(10)&amp;"§",""),
"§",""),
CHAR(10),CHAR(10)&amp;"   "),
"   "&amp;"Transforms:","Transforms:"))</f>
        <v/>
      </c>
      <c r="L35" s="10"/>
      <c r="M35" s="10"/>
      <c r="N35" s="10"/>
      <c r="O35" s="10"/>
      <c r="P35" s="10"/>
      <c r="Q35" s="13" t="str">
        <f ca="1">IF($A35="","",IFERROR(VLOOKUP($AA35,Definitions!$V:$W,COLUMNS(Definitions!$V:$W),TRUE),""))</f>
        <v>Basic</v>
      </c>
      <c r="R35" s="10" t="s">
        <v>55</v>
      </c>
      <c r="S35" s="10"/>
      <c r="T35" s="10" t="s">
        <v>1711</v>
      </c>
      <c r="U35" s="9" cm="1">
        <f t="array" aca="1" ref="U35" ca="1">CreateID($U$2,$A35&lt;&gt;"")</f>
        <v>33</v>
      </c>
      <c r="V35" s="11" t="b">
        <f ca="1">OR(CheckRelevance(SanitizeInput(F35),Questionnaire!$J:$J),IFERROR(_xlfn.XMATCH("*,"&amp;$A35&amp;",*",Countermeasures!$AC:$AC,2)&gt;0,FALSE))</f>
        <v>0</v>
      </c>
      <c r="W35" s="11" t="b">
        <f>IFERROR(_xlfn.XMATCH("*,"&amp;$A35&amp;",*",Mitigation!$X:$X,2)&gt;0,FALSE)</f>
        <v>0</v>
      </c>
      <c r="X35" s="11" cm="1">
        <f t="array" ref="X35">CreateTaskID($X$2,$X:$X,Tasks!$B$17,$T35)</f>
        <v>0</v>
      </c>
      <c r="Y35" s="11" t="str" cm="1">
        <f t="array" aca="1" ref="Y35" ca="1">IF(OR($H35="",NOT($V35)),"",","&amp;SanitizeInput($H35))</f>
        <v/>
      </c>
      <c r="Z35" s="11" t="str" cm="1">
        <f t="array" ref="Z35">CreateSearchString($H35)</f>
        <v/>
      </c>
      <c r="AA35" s="11" cm="1">
        <f t="array" aca="1" ref="AA35" ca="1">OperateOnRange(
  $L35,
  TRUE,
  Helper!$B$16,
  0,
  _xlfn.LAMBDA(_xlpm._factor,IF(_xlpm._factor="",0,SimpleLookup(_xlpm._factor,Definitions!$Z:$AA))),
  _xlfn.LAMBDA(_xlpm._x,_xlpm._y,_xlpm._x+_xlpm._y))</f>
        <v>0</v>
      </c>
      <c r="AB35" s="11" t="str" cm="1">
        <f t="array" ref="AB35">SUBSTITUTE(IF($W35,IF($J35="","",","&amp;SanitizeInput($J35)),""),"&gt;",",")</f>
        <v/>
      </c>
      <c r="AC35" s="11" cm="1">
        <f t="array" aca="1" ref="AC35" ca="1">CreateID($AC$2,OR($V35,$W35))</f>
        <v>3</v>
      </c>
      <c r="AD35" s="11" t="str" cm="1">
        <f t="array" aca="1" ref="AD35" ca="1">IF(OR($V35,$W35),IF($R35="","",","&amp;SanitizeInput($R35)),"")</f>
        <v/>
      </c>
      <c r="AE35" s="11" t="str">
        <f t="shared" si="0"/>
        <v>Attack path not applicable or not plausible [Other (see comment)]</v>
      </c>
      <c r="AF35" s="11" t="str" cm="1">
        <f t="array" ref="AF35">IF($F35="*","",InverseLookupList(SanitizeInput($F35),Questionnaire!$AB$3,Questionnaire!$B$3,Helper!$B$12,","))</f>
        <v/>
      </c>
      <c r="AG35" s="11" t="str" cm="1">
        <f t="array" ref="AG35">RemoveDelimiter(GetValues($AF35,Questionnaire!$B:$H," ",CHAR(10)&amp;CHAR(10),TRUE),CHAR(10)&amp;CHAR(10))</f>
        <v/>
      </c>
      <c r="AH35" s="11" t="str" cm="1">
        <f t="array" ref="AH35">CreateSearchString($AF35)</f>
        <v/>
      </c>
      <c r="AI35" s="11" t="str" cm="1">
        <f t="array" aca="1" ref="AI35" ca="1">InverseLookup($A35,Mitigation!$AD$2,Mitigation!$A$2,1,Helper!$B$5,",")</f>
        <v/>
      </c>
      <c r="AJ35" s="11" t="str" cm="1">
        <f t="array" aca="1" ref="AJ35" ca="1">CreateSearchString(GetValues($AI35,'Attack Steps'!$A:$P,"",",",FALSE))</f>
        <v/>
      </c>
      <c r="AK35" s="11" t="str">
        <f t="shared" si="1"/>
        <v>A35</v>
      </c>
      <c r="AL35" s="11" t="str" cm="1">
        <f t="array" ref="AL35">_xlfn.SWITCH($F35,
"*","",
"","",
_xlfn.LET(
_xlpm._answers,SUBSTITUTE(SanitizeInput($F35),"&amp;",","),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IF(_xlpm._questionIDUndefined,$A35&amp;" - "&amp;_xlpm._question&amp;": ERROR: Unknown question ID.",
        IF(_xlpm._firstAnswerIsValidOption,"",$A35&amp;" - "&amp;_xlpm._question&amp;": First answer ("&amp;_xlpm._firstAnswer&amp;") is not a valid option.")&amp;
        IF(_xlpm._secondAnswerRequired,IF(_xlpm._secondAnswerProvided,"",$A35&amp;" - "&amp;_xlpm._question&amp;": Second answer required but not provided."),"")&amp;
        IF(NOT(_xlpm._secondAnswerRequired),IF(_xlpm._secondAnswerProvided,$A35&amp;" - "&amp;_xlpm._question&amp;": Second answer ("&amp;_xlpm._secondAnswer&amp;") provided but the question only supports one answer.",""),"")&amp;
        IF(_xlpm._secondAnswerIsValidOption,"",$A35&amp;" - "&amp;_xlpm._question&amp;": Second answer ("&amp;_xlpm._secondAnswer&amp;") is not a valid option.")))),
  _xlfn.LAMBDA(_xlpm._x,_xlpm._y,_xlpm._x&amp;IF(_xlpm._x="","",CHAR(10))&amp;_xlpm._y))))</f>
        <v/>
      </c>
      <c r="AM35" s="11" cm="1">
        <f t="array" aca="1" ref="AM35" ca="1">CreateID($AM$2,$AL35&lt;&gt;"")</f>
        <v>0</v>
      </c>
    </row>
    <row r="36" spans="1:39" ht="75" x14ac:dyDescent="0.25">
      <c r="A36" s="9" t="s">
        <v>1068</v>
      </c>
      <c r="B36" s="10" t="s">
        <v>1347</v>
      </c>
      <c r="C36" s="10" t="s">
        <v>1069</v>
      </c>
      <c r="D36" s="10" t="s">
        <v>1348</v>
      </c>
      <c r="E36" s="10" t="s">
        <v>296</v>
      </c>
      <c r="F36" s="10" t="s">
        <v>1070</v>
      </c>
      <c r="G36" s="25" t="str" cm="1">
        <f t="array" aca="1" ref="G36" ca="1">OperateOnList(
  SanitizeInput($F36),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QA13 Does the product have a logical connection to a wireless network over a gateway? [Yes]
» Are the wireless network and the gateway considered as trustworthy? [Yes]</v>
      </c>
      <c r="H36" s="10" t="s">
        <v>79</v>
      </c>
      <c r="I36" s="13" t="str" cm="1">
        <f t="array" aca="1" ref="I36" ca="1">LookupNames($H36,'Attack Steps'!$A:$B)</f>
        <v>AS2 Getting access to a wireless network</v>
      </c>
      <c r="J36" s="10"/>
      <c r="K36" s="25" t="str" cm="1">
        <f t="array" ref="K36">IF($J36="","",SUBSTITUTE(SUBSTITUTE(SUBSTITUTE(SUBSTITUTE(SUBSTITUTE(SUBSTITUTE(SUBSTITUTE(SUBSTITUTE(SUBSTITUTE(
GetTransformation(SanitizeInput($J36),'Damage Scenarios'!$A:$J,COLUMNS('Damage Scenarios'!$A:$J),CHAR(10),"[#0][#1][#2]")&amp;"§",
"[#1][#2]",""),
"[#2]",""),
"[#0][#1]","[#1]"),
"[#0]","Removes:"&amp;CHAR(10)),
"[#1]","Transforms:"&amp;CHAR(10)),
CHAR(10)&amp;"§",""),
"§",""),
CHAR(10),CHAR(10)&amp;"   "),
"   "&amp;"Transforms:","Transforms:"))</f>
        <v/>
      </c>
      <c r="L36" s="10"/>
      <c r="M36" s="10"/>
      <c r="N36" s="10"/>
      <c r="O36" s="10" t="s">
        <v>122</v>
      </c>
      <c r="P36" s="10"/>
      <c r="Q36" s="13" t="str">
        <f ca="1">IF($A36="","",IFERROR(VLOOKUP($AA36,Definitions!$V:$W,COLUMNS(Definitions!$V:$W),TRUE),""))</f>
        <v>Beyond High</v>
      </c>
      <c r="R36" s="10" t="s">
        <v>1404</v>
      </c>
      <c r="S36" s="10"/>
      <c r="T36" s="10" t="s">
        <v>1071</v>
      </c>
      <c r="U36" s="9" cm="1">
        <f t="array" aca="1" ref="U36" ca="1">CreateID($U$2,$A36&lt;&gt;"")</f>
        <v>34</v>
      </c>
      <c r="V36" s="11" t="b">
        <f ca="1">OR(CheckRelevance(SanitizeInput(F36),Questionnaire!$J:$J),IFERROR(_xlfn.XMATCH("*,"&amp;$A36&amp;",*",Countermeasures!$AC:$AC,2)&gt;0,FALSE))</f>
        <v>0</v>
      </c>
      <c r="W36" s="11" t="b">
        <f>IFERROR(_xlfn.XMATCH("*,"&amp;$A36&amp;",*",Mitigation!$X:$X,2)&gt;0,FALSE)</f>
        <v>0</v>
      </c>
      <c r="X36" s="11" cm="1">
        <f t="array" ref="X36">CreateTaskID($X$2,$X:$X,Tasks!$B$17,$T36)</f>
        <v>0</v>
      </c>
      <c r="Y36" s="11" t="str" cm="1">
        <f t="array" aca="1" ref="Y36" ca="1">IF(OR($H36="",NOT($V36)),"",","&amp;SanitizeInput($H36))</f>
        <v/>
      </c>
      <c r="Z36" s="11" t="str" cm="1">
        <f t="array" ref="Z36">CreateSearchString($H36)</f>
        <v>,AS2,</v>
      </c>
      <c r="AA36" s="11" cm="1">
        <f t="array" aca="1" ref="AA36" ca="1">OperateOnRange(
  $L36,
  TRUE,
  Helper!$B$16,
  0,
  _xlfn.LAMBDA(_xlpm._factor,IF(_xlpm._factor="",0,SimpleLookup(_xlpm._factor,Definitions!$Z:$AA))),
  _xlfn.LAMBDA(_xlpm._x,_xlpm._y,_xlpm._x+_xlpm._y))</f>
        <v>25</v>
      </c>
      <c r="AB36" s="11" t="str" cm="1">
        <f t="array" ref="AB36">SUBSTITUTE(IF($W36,IF($J36="","",","&amp;SanitizeInput($J36)),""),"&gt;",",")</f>
        <v/>
      </c>
      <c r="AC36" s="11" cm="1">
        <f t="array" aca="1" ref="AC36" ca="1">CreateID($AC$2,OR($V36,$W36))</f>
        <v>3</v>
      </c>
      <c r="AD36" s="11" t="str" cm="1">
        <f t="array" aca="1" ref="AD36" ca="1">IF(OR($V36,$W36),IF($R36="","",","&amp;SanitizeInput($R36)),"")</f>
        <v/>
      </c>
      <c r="AE36" s="11" t="str">
        <f t="shared" si="0"/>
        <v>SDR 1.18 - Well-protected trustworthy wireless network [Customer]</v>
      </c>
      <c r="AF36" s="11" t="str" cm="1">
        <f t="array" aca="1" ref="AF36" ca="1">IF($F36="*","",InverseLookupList(SanitizeInput($F36),Questionnaire!$AB$3,Questionnaire!$B$3,Helper!$B$12,","))</f>
        <v/>
      </c>
      <c r="AG36" s="11" t="str" cm="1">
        <f t="array" aca="1" ref="AG36" ca="1">RemoveDelimiter(GetValues($AF36,Questionnaire!$B:$H," ",CHAR(10)&amp;CHAR(10),TRUE),CHAR(10)&amp;CHAR(10))</f>
        <v/>
      </c>
      <c r="AH36" s="11" t="str" cm="1">
        <f t="array" aca="1" ref="AH36" ca="1">CreateSearchString($AF36)</f>
        <v/>
      </c>
      <c r="AI36" s="11" t="str" cm="1">
        <f t="array" aca="1" ref="AI36" ca="1">InverseLookup($A36,Mitigation!$AD$2,Mitigation!$A$2,1,Helper!$B$5,",")</f>
        <v/>
      </c>
      <c r="AJ36" s="11" t="str" cm="1">
        <f t="array" aca="1" ref="AJ36" ca="1">CreateSearchString(GetValues($AI36,'Attack Steps'!$A:$P,"",",",FALSE))</f>
        <v/>
      </c>
      <c r="AK36" s="11" t="str">
        <f t="shared" si="1"/>
        <v>A36</v>
      </c>
      <c r="AL36" s="11" t="str" cm="1">
        <f t="array" aca="1" ref="AL36" ca="1">_xlfn.SWITCH($F36,
"*","",
"","",
_xlfn.LET(
_xlpm._answers,SUBSTITUTE(SanitizeInput($F36),"&amp;",","),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IF(_xlpm._questionIDUndefined,$A36&amp;" - "&amp;_xlpm._question&amp;": ERROR: Unknown question ID.",
        IF(_xlpm._firstAnswerIsValidOption,"",$A36&amp;" - "&amp;_xlpm._question&amp;": First answer ("&amp;_xlpm._firstAnswer&amp;") is not a valid option.")&amp;
        IF(_xlpm._secondAnswerRequired,IF(_xlpm._secondAnswerProvided,"",$A36&amp;" - "&amp;_xlpm._question&amp;": Second answer required but not provided."),"")&amp;
        IF(NOT(_xlpm._secondAnswerRequired),IF(_xlpm._secondAnswerProvided,$A36&amp;" - "&amp;_xlpm._question&amp;": Second answer ("&amp;_xlpm._secondAnswer&amp;") provided but the question only supports one answer.",""),"")&amp;
        IF(_xlpm._secondAnswerIsValidOption,"",$A36&amp;" - "&amp;_xlpm._question&amp;": Second answer ("&amp;_xlpm._secondAnswer&amp;") is not a valid option.")))),
  _xlfn.LAMBDA(_xlpm._x,_xlpm._y,_xlpm._x&amp;IF(_xlpm._x="","",CHAR(10))&amp;_xlpm._y))))</f>
        <v/>
      </c>
      <c r="AM36" s="11" cm="1">
        <f t="array" aca="1" ref="AM36" ca="1">CreateID($AM$2,$AL36&lt;&gt;"")</f>
        <v>0</v>
      </c>
    </row>
    <row r="37" spans="1:39" ht="60" x14ac:dyDescent="0.25">
      <c r="A37" s="9" t="s">
        <v>1079</v>
      </c>
      <c r="B37" s="10" t="s">
        <v>1373</v>
      </c>
      <c r="C37" s="10" t="s">
        <v>1080</v>
      </c>
      <c r="D37" s="10" t="s">
        <v>1374</v>
      </c>
      <c r="E37" s="10" t="str">
        <f>Definitions!$C$4</f>
        <v>&lt;&lt; OEM Name &gt;&gt;</v>
      </c>
      <c r="F37" s="10"/>
      <c r="G37" s="25" t="str" cm="1">
        <f t="array" ref="G37">OperateOnList(
  SanitizeInput($F37),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H37" s="10" t="s">
        <v>1081</v>
      </c>
      <c r="I37" s="13" t="str" cm="1">
        <f t="array" aca="1" ref="I37" ca="1">LookupNames($H37,'Attack Steps'!$A:$B)</f>
        <v>AS5 Eavesdropping on the product's communication,
AS6 Spoofing / tampering with the product's outgoing communication</v>
      </c>
      <c r="J37" s="10"/>
      <c r="K37" s="25" t="str" cm="1">
        <f t="array" ref="K37">IF($J37="","",SUBSTITUTE(SUBSTITUTE(SUBSTITUTE(SUBSTITUTE(SUBSTITUTE(SUBSTITUTE(SUBSTITUTE(SUBSTITUTE(SUBSTITUTE(
GetTransformation(SanitizeInput($J37),'Damage Scenarios'!$A:$J,COLUMNS('Damage Scenarios'!$A:$J),CHAR(10),"[#0][#1][#2]")&amp;"§",
"[#1][#2]",""),
"[#2]",""),
"[#0][#1]","[#1]"),
"[#0]","Removes:"&amp;CHAR(10)),
"[#1]","Transforms:"&amp;CHAR(10)),
CHAR(10)&amp;"§",""),
"§",""),
CHAR(10),CHAR(10)&amp;"   "),
"   "&amp;"Transforms:","Transforms:"))</f>
        <v/>
      </c>
      <c r="L37" s="10"/>
      <c r="M37" s="10"/>
      <c r="N37" s="10"/>
      <c r="O37" s="10" t="s">
        <v>121</v>
      </c>
      <c r="P37" s="10"/>
      <c r="Q37" s="13" t="str">
        <f ca="1">IF($A37="","",IFERROR(VLOOKUP($AA37,Definitions!$V:$W,COLUMNS(Definitions!$V:$W),TRUE),""))</f>
        <v>Enhanced-Basic</v>
      </c>
      <c r="R37" s="10" t="s">
        <v>55</v>
      </c>
      <c r="S37" s="10"/>
      <c r="T37" s="10"/>
      <c r="U37" s="9" cm="1">
        <f t="array" aca="1" ref="U37" ca="1">CreateID($U$2,$A37&lt;&gt;"")</f>
        <v>35</v>
      </c>
      <c r="V37" s="11" t="b">
        <f ca="1">OR(CheckRelevance(SanitizeInput(F37),Questionnaire!$J:$J),IFERROR(_xlfn.XMATCH("*,"&amp;$A37&amp;",*",Countermeasures!$AC:$AC,2)&gt;0,FALSE))</f>
        <v>0</v>
      </c>
      <c r="W37" s="11" t="b">
        <f>IFERROR(_xlfn.XMATCH("*,"&amp;$A37&amp;",*",Mitigation!$X:$X,2)&gt;0,FALSE)</f>
        <v>0</v>
      </c>
      <c r="X37" s="11" cm="1">
        <f t="array" ref="X37">CreateTaskID($X$2,$X:$X,Tasks!$B$17,$T37)</f>
        <v>0</v>
      </c>
      <c r="Y37" s="11" t="str" cm="1">
        <f t="array" aca="1" ref="Y37" ca="1">IF(OR($H37="",NOT($V37)),"",","&amp;SanitizeInput($H37))</f>
        <v/>
      </c>
      <c r="Z37" s="11" t="str" cm="1">
        <f t="array" ref="Z37">CreateSearchString($H37)</f>
        <v>,AS5,AS6,</v>
      </c>
      <c r="AA37" s="11" cm="1">
        <f t="array" aca="1" ref="AA37" ca="1">OperateOnRange(
  $L37,
  TRUE,
  Helper!$B$16,
  0,
  _xlfn.LAMBDA(_xlpm._factor,IF(_xlpm._factor="",0,SimpleLookup(_xlpm._factor,Definitions!$Z:$AA))),
  _xlfn.LAMBDA(_xlpm._x,_xlpm._y,_xlpm._x+_xlpm._y))</f>
        <v>10</v>
      </c>
      <c r="AB37" s="11" t="str" cm="1">
        <f t="array" ref="AB37">SUBSTITUTE(IF($W37,IF($J37="","",","&amp;SanitizeInput($J37)),""),"&gt;",",")</f>
        <v/>
      </c>
      <c r="AC37" s="11" cm="1">
        <f t="array" aca="1" ref="AC37" ca="1">CreateID($AC$2,OR($V37,$W37))</f>
        <v>3</v>
      </c>
      <c r="AD37" s="11" t="str" cm="1">
        <f t="array" aca="1" ref="AD37" ca="1">IF(OR($V37,$W37),IF($R37="","",","&amp;SanitizeInput($R37)),"")</f>
        <v/>
      </c>
      <c r="AE37" s="11" t="str">
        <f t="shared" si="0"/>
        <v>SDR 2.6 - Limited accessibility of short-range wireless communication [&lt;&lt; OEM Name &gt;&gt;]</v>
      </c>
      <c r="AF37" s="11" t="str" cm="1">
        <f t="array" ref="AF37">IF($F37="*","",InverseLookupList(SanitizeInput($F37),Questionnaire!$AB$3,Questionnaire!$B$3,Helper!$B$12,","))</f>
        <v/>
      </c>
      <c r="AG37" s="11" t="str" cm="1">
        <f t="array" ref="AG37">RemoveDelimiter(GetValues($AF37,Questionnaire!$B:$H," ",CHAR(10)&amp;CHAR(10),TRUE),CHAR(10)&amp;CHAR(10))</f>
        <v/>
      </c>
      <c r="AH37" s="11" t="str" cm="1">
        <f t="array" ref="AH37">CreateSearchString($AF37)</f>
        <v/>
      </c>
      <c r="AI37" s="11" t="str" cm="1">
        <f t="array" aca="1" ref="AI37" ca="1">InverseLookup($A37,Mitigation!$AD$2,Mitigation!$A$2,1,Helper!$B$5,",")</f>
        <v/>
      </c>
      <c r="AJ37" s="11" t="str" cm="1">
        <f t="array" aca="1" ref="AJ37" ca="1">CreateSearchString(GetValues($AI37,'Attack Steps'!$A:$P,"",",",FALSE))</f>
        <v/>
      </c>
      <c r="AK37" s="11" t="str">
        <f t="shared" si="1"/>
        <v>A37</v>
      </c>
      <c r="AL37" s="11" t="str" cm="1">
        <f t="array" ref="AL37">_xlfn.SWITCH($F37,
"*","",
"","",
_xlfn.LET(
_xlpm._answers,SUBSTITUTE(SanitizeInput($F37),"&amp;",","),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IF(_xlpm._questionIDUndefined,$A37&amp;" - "&amp;_xlpm._question&amp;": ERROR: Unknown question ID.",
        IF(_xlpm._firstAnswerIsValidOption,"",$A37&amp;" - "&amp;_xlpm._question&amp;": First answer ("&amp;_xlpm._firstAnswer&amp;") is not a valid option.")&amp;
        IF(_xlpm._secondAnswerRequired,IF(_xlpm._secondAnswerProvided,"",$A37&amp;" - "&amp;_xlpm._question&amp;": Second answer required but not provided."),"")&amp;
        IF(NOT(_xlpm._secondAnswerRequired),IF(_xlpm._secondAnswerProvided,$A37&amp;" - "&amp;_xlpm._question&amp;": Second answer ("&amp;_xlpm._secondAnswer&amp;") provided but the question only supports one answer.",""),"")&amp;
        IF(_xlpm._secondAnswerIsValidOption,"",$A37&amp;" - "&amp;_xlpm._question&amp;": Second answer ("&amp;_xlpm._secondAnswer&amp;") is not a valid option.")))),
  _xlfn.LAMBDA(_xlpm._x,_xlpm._y,_xlpm._x&amp;IF(_xlpm._x="","",CHAR(10))&amp;_xlpm._y))))</f>
        <v/>
      </c>
      <c r="AM37" s="11" cm="1">
        <f t="array" aca="1" ref="AM37" ca="1">CreateID($AM$2,$AL37&lt;&gt;"")</f>
        <v>0</v>
      </c>
    </row>
    <row r="38" spans="1:39" ht="150" x14ac:dyDescent="0.25">
      <c r="A38" s="9" t="s">
        <v>1172</v>
      </c>
      <c r="B38" s="10" t="s">
        <v>1351</v>
      </c>
      <c r="C38" s="10" t="str" cm="1">
        <f t="array" ref="C38">"As the credentials stored on the product are exclusively used for the intended purpose, the resulting damages are at most: "&amp;IFERROR(SimpleLookup*(SimpleLookup*(Questions!$A$13,Questionnaire!$B:$F),Definitions!$H:$J),"")&amp;CHAR(10)&amp;CHAR(10)&amp;
"The customer applies the principle of least privilege to access rights allowing changes to the product or its configuration:"&amp;CHAR(10)&amp;
"Applying the principle of least privilege to access rights that allow changes to the product (including its configuration), the customer prevents workers from disabling safety measures."&amp;" It is up to the customer to ensure that the privileged persons act responsibly and that they do not disable safety measures."</f>
        <v>As the credentials stored on the product are exclusively used for the intended purpose, the resulting damages are at most: 
The customer applies the principle of least privilege to access rights allowing changes to the product or its configuration:
Applying the principle of least privilege to access rights that allow changes to the product (including its configuration), the customer prevents workers from disabling safety measures. It is up to the customer to ensure that the privileged persons act responsibly and that they do not disable safety measures.</v>
      </c>
      <c r="D38" s="10" t="s">
        <v>1414</v>
      </c>
      <c r="E38" s="10" t="s">
        <v>296</v>
      </c>
      <c r="F38" s="10" t="s">
        <v>1415</v>
      </c>
      <c r="G38" s="25" t="str" cm="1">
        <f t="array" aca="1" ref="G38" ca="1">OperateOnList(
  SanitizeInput($F38),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QI5 Does the product contain credentials / cryptographic keys that allow access to sensitive data or to systems in the product's operational environment? (Note: this includes cryptographic data introduced by the customer.) [*]</v>
      </c>
      <c r="H38" s="10"/>
      <c r="I38" s="13" t="str" cm="1">
        <f t="array" ref="I38">LookupNames($H38,'Attack Steps'!$A:$B)</f>
        <v/>
      </c>
      <c r="J38" s="10"/>
      <c r="K38" s="25" t="str" cm="1">
        <f t="array" ref="K38">IF($J38="","",SUBSTITUTE(SUBSTITUTE(SUBSTITUTE(SUBSTITUTE(SUBSTITUTE(SUBSTITUTE(SUBSTITUTE(SUBSTITUTE(SUBSTITUTE(
GetTransformation(SanitizeInput($J38),'Damage Scenarios'!$A:$J,COLUMNS('Damage Scenarios'!$A:$J),CHAR(10),"[#0][#1][#2]")&amp;"§",
"[#1][#2]",""),
"[#2]",""),
"[#0][#1]","[#1]"),
"[#0]","Removes:"&amp;CHAR(10)),
"[#1]","Transforms:"&amp;CHAR(10)),
CHAR(10)&amp;"§",""),
"§",""),
CHAR(10),CHAR(10)&amp;"   "),
"   "&amp;"Transforms:","Transforms:"))</f>
        <v/>
      </c>
      <c r="L38" s="10"/>
      <c r="M38" s="10"/>
      <c r="N38" s="10"/>
      <c r="O38" s="10"/>
      <c r="P38" s="10"/>
      <c r="Q38" s="13" t="str">
        <f ca="1">IF($A38="","",IFERROR(VLOOKUP($AA38,Definitions!$V:$W,COLUMNS(Definitions!$V:$W),TRUE),""))</f>
        <v>Basic</v>
      </c>
      <c r="R38" s="10" t="s">
        <v>467</v>
      </c>
      <c r="S38" s="10"/>
      <c r="T38" s="10" t="str">
        <f>"Note that the effects of this are modeled in countermeasure "&amp;Countermeasures!A7&amp;", as the product must offer the functionality to apply the principle of least privilege."&amp;"
Note that a device with no credentials fulfills this requirement."</f>
        <v>Note that the effects of this are modeled in countermeasure C3, as the product must offer the functionality to apply the principle of least privilege.
Note that a device with no credentials fulfills this requirement.</v>
      </c>
      <c r="U38" s="9" cm="1">
        <f t="array" aca="1" ref="U38" ca="1">CreateID($U$2,$A38&lt;&gt;"")</f>
        <v>36</v>
      </c>
      <c r="V38" s="11" t="b">
        <f ca="1">OR(CheckRelevance(SanitizeInput(F38),Questionnaire!$J:$J),IFERROR(_xlfn.XMATCH("*,"&amp;$A38&amp;",*",Countermeasures!$AC:$AC,2)&gt;0,FALSE))</f>
        <v>1</v>
      </c>
      <c r="W38" s="11" t="b">
        <f>IFERROR(_xlfn.XMATCH("*,"&amp;$A38&amp;",*",Mitigation!$X:$X,2)&gt;0,FALSE)</f>
        <v>0</v>
      </c>
      <c r="X38" s="11" cm="1">
        <f t="array" ref="X38">CreateTaskID($X$2,$X:$X,Tasks!$B$17,$T38)</f>
        <v>0</v>
      </c>
      <c r="Y38" s="11" t="str" cm="1">
        <f t="array" aca="1" ref="Y38" ca="1">IF(OR($H38="",NOT($V38)),"",","&amp;SanitizeInput($H38))</f>
        <v/>
      </c>
      <c r="Z38" s="11" t="str" cm="1">
        <f t="array" ref="Z38">CreateSearchString($H38)</f>
        <v/>
      </c>
      <c r="AA38" s="11" cm="1">
        <f t="array" aca="1" ref="AA38" ca="1">OperateOnRange(
  $L38,
  TRUE,
  Helper!$B$16,
  0,
  _xlfn.LAMBDA(_xlpm._factor,IF(_xlpm._factor="",0,SimpleLookup(_xlpm._factor,Definitions!$Z:$AA))),
  _xlfn.LAMBDA(_xlpm._x,_xlpm._y,_xlpm._x+_xlpm._y))</f>
        <v>0</v>
      </c>
      <c r="AB38" s="11" t="str" cm="1">
        <f t="array" ref="AB38">SUBSTITUTE(IF($W38,IF($J38="","",","&amp;SanitizeInput($J38)),""),"&gt;",",")</f>
        <v/>
      </c>
      <c r="AC38" s="11" cm="1">
        <f t="array" aca="1" ref="AC38" ca="1">CreateID($AC$2,OR($V38,$W38))</f>
        <v>4</v>
      </c>
      <c r="AD38" s="11" t="str" cm="1">
        <f t="array" aca="1" ref="AD38" ca="1">IF(OR($V38,$W38),IF($R38="","",","&amp;SanitizeInput($R38)),"")</f>
        <v>,j,</v>
      </c>
      <c r="AE38" s="11" t="str">
        <f t="shared" si="0"/>
        <v>SDR 1.20 - Least privilege for provided credentials [Customer]</v>
      </c>
      <c r="AF38" s="11" t="str" cm="1">
        <f t="array" aca="1" ref="AF38" ca="1">IF($F38="*","",InverseLookupList(SanitizeInput($F38),Questionnaire!$AB$3,Questionnaire!$B$3,Helper!$B$12,","))</f>
        <v>QI5,</v>
      </c>
      <c r="AG38" s="11" t="str" cm="1">
        <f t="array" aca="1" ref="AG38" ca="1">RemoveDelimiter(GetValues($AF38,Questionnaire!$B:$H," ",CHAR(10)&amp;CHAR(10),TRUE),CHAR(10)&amp;CHAR(10))</f>
        <v xml:space="preserve">QI5 </v>
      </c>
      <c r="AH38" s="11" t="str" cm="1">
        <f t="array" aca="1" ref="AH38" ca="1">CreateSearchString($AF38)</f>
        <v>,QI5,</v>
      </c>
      <c r="AI38" s="11" t="str" cm="1">
        <f t="array" aca="1" ref="AI38" ca="1">InverseLookup($A38,Mitigation!$AD$2,Mitigation!$A$2,1,Helper!$B$5,",")</f>
        <v/>
      </c>
      <c r="AJ38" s="11" t="str" cm="1">
        <f t="array" aca="1" ref="AJ38" ca="1">CreateSearchString(GetValues($AI38,'Attack Steps'!$A:$P,"",",",FALSE))</f>
        <v/>
      </c>
      <c r="AK38" s="11" t="str">
        <f t="shared" si="1"/>
        <v>A38</v>
      </c>
      <c r="AL38" s="11" t="str" cm="1">
        <f t="array" aca="1" ref="AL38" ca="1">_xlfn.SWITCH($F38,
"*","",
"","",
_xlfn.LET(
_xlpm._answers,SUBSTITUTE(SanitizeInput($F38),"&amp;",","),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IF(_xlpm._questionIDUndefined,$A38&amp;" - "&amp;_xlpm._question&amp;": ERROR: Unknown question ID.",
        IF(_xlpm._firstAnswerIsValidOption,"",$A38&amp;" - "&amp;_xlpm._question&amp;": First answer ("&amp;_xlpm._firstAnswer&amp;") is not a valid option.")&amp;
        IF(_xlpm._secondAnswerRequired,IF(_xlpm._secondAnswerProvided,"",$A38&amp;" - "&amp;_xlpm._question&amp;": Second answer required but not provided."),"")&amp;
        IF(NOT(_xlpm._secondAnswerRequired),IF(_xlpm._secondAnswerProvided,$A38&amp;" - "&amp;_xlpm._question&amp;": Second answer ("&amp;_xlpm._secondAnswer&amp;") provided but the question only supports one answer.",""),"")&amp;
        IF(_xlpm._secondAnswerIsValidOption,"",$A38&amp;" - "&amp;_xlpm._question&amp;": Second answer ("&amp;_xlpm._secondAnswer&amp;") is not a valid option.")))),
  _xlfn.LAMBDA(_xlpm._x,_xlpm._y,_xlpm._x&amp;IF(_xlpm._x="","",CHAR(10))&amp;_xlpm._y))))</f>
        <v/>
      </c>
      <c r="AM38" s="11" cm="1">
        <f t="array" aca="1" ref="AM38" ca="1">CreateID($AM$2,$AL38&lt;&gt;"")</f>
        <v>0</v>
      </c>
    </row>
    <row r="39" spans="1:39" ht="60" x14ac:dyDescent="0.25">
      <c r="A39" s="9" t="s">
        <v>1198</v>
      </c>
      <c r="B39" s="10" t="str">
        <f>"SDR 2.11 - The customer is trusted not to extract "&amp;Definitions!$C$4&amp;" IP"</f>
        <v>SDR 2.11 - The customer is trusted not to extract &lt;&lt; OEM Name &gt;&gt; IP</v>
      </c>
      <c r="C39" s="10" t="str">
        <f>"Customers buying the product are trusted not to extract "&amp;Definitions!$C$4&amp;" intellectual property from the product. Note that this implies that the product cannot be bought freely by any party, but only by selected customers."</f>
        <v>Customers buying the product are trusted not to extract &lt;&lt; OEM Name &gt;&gt; intellectual property from the product. Note that this implies that the product cannot be bought freely by any party, but only by selected customers.</v>
      </c>
      <c r="D39" s="10" t="str">
        <f>"Customers buying the product are trusted not to extract "&amp;Definitions!$C$4&amp;" intellectual property from the product. This is only valid if the product cannot be bought freely by any party, but only by selected customers."</f>
        <v>Customers buying the product are trusted not to extract &lt;&lt; OEM Name &gt;&gt; intellectual property from the product. This is only valid if the product cannot be bought freely by any party, but only by selected customers.</v>
      </c>
      <c r="E39" s="10" t="str">
        <f>Definitions!$C$4</f>
        <v>&lt;&lt; OEM Name &gt;&gt;</v>
      </c>
      <c r="F39" s="10"/>
      <c r="G39" s="25" t="str" cm="1">
        <f t="array" ref="G39">OperateOnList(
  SanitizeInput($F39),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H39" s="10" t="s">
        <v>267</v>
      </c>
      <c r="I39" s="13" t="str" cm="1">
        <f t="array" aca="1" ref="I39" ca="1">LookupNames($H39,'Attack Steps'!$A:$B)</f>
        <v>AS22 Gaining physical access to the product (customer)</v>
      </c>
      <c r="J39" s="10" t="s">
        <v>1199</v>
      </c>
      <c r="K39" s="25" t="str" cm="1">
        <f t="array" aca="1" ref="K39" ca="1">IF($J39="","",SUBSTITUTE(SUBSTITUTE(SUBSTITUTE(SUBSTITUTE(SUBSTITUTE(SUBSTITUTE(SUBSTITUTE(SUBSTITUTE(SUBSTITUTE(
GetTransformation(SanitizeInput($J39),'Damage Scenarios'!$A:$J,COLUMNS('Damage Scenarios'!$A:$J),CHAR(10),"[#0][#1][#2]")&amp;"§",
"[#1][#2]",""),
"[#2]",""),
"[#0][#1]","[#1]"),
"[#0]","Removes:"&amp;CHAR(10)),
"[#1]","Transforms:"&amp;CHAR(10)),
CHAR(10)&amp;"§",""),
"§",""),
CHAR(10),CHAR(10)&amp;"   "),
"   "&amp;"Transforms:","Transforms:"))</f>
        <v xml:space="preserve">Removes:
   DS3 
   DS12 </v>
      </c>
      <c r="L39" s="10"/>
      <c r="M39" s="10"/>
      <c r="N39" s="10"/>
      <c r="O39" s="10"/>
      <c r="P39" s="10"/>
      <c r="Q39" s="13" t="str">
        <f ca="1">IF($A39="","",IFERROR(VLOOKUP($AA39,Definitions!$V:$W,COLUMNS(Definitions!$V:$W),TRUE),""))</f>
        <v>Basic</v>
      </c>
      <c r="R39" s="10" t="s">
        <v>55</v>
      </c>
      <c r="S39" s="10"/>
      <c r="T39" s="10" t="str" cm="1">
        <f t="array" aca="1" ref="T39" ca="1">"If this assumption is assigned to AS22 in the "&amp;GetSheetName(Mitigation!$P$2)&amp;" sheet, then all attack paths with AS22 as attack preparation ignore IP-related damages."</f>
        <v>If this assumption is assigned to AS22 in the Mitigation sheet, then all attack paths with AS22 as attack preparation ignore IP-related damages.</v>
      </c>
      <c r="U39" s="9" cm="1">
        <f t="array" aca="1" ref="U39" ca="1">CreateID($U$2,$A39&lt;&gt;"")</f>
        <v>37</v>
      </c>
      <c r="V39" s="11" t="b">
        <f ca="1">OR(CheckRelevance(SanitizeInput(F39),Questionnaire!$J:$J),IFERROR(_xlfn.XMATCH("*,"&amp;$A39&amp;",*",Countermeasures!$AC:$AC,2)&gt;0,FALSE))</f>
        <v>0</v>
      </c>
      <c r="W39" s="11" t="b">
        <f>IFERROR(_xlfn.XMATCH("*,"&amp;$A39&amp;",*",Mitigation!$X:$X,2)&gt;0,FALSE)</f>
        <v>0</v>
      </c>
      <c r="X39" s="11" cm="1">
        <f t="array" aca="1" ref="X39" ca="1">CreateTaskID($X$2,$X:$X,Tasks!$B$17,$T39)</f>
        <v>0</v>
      </c>
      <c r="Y39" s="11" t="str" cm="1">
        <f t="array" aca="1" ref="Y39" ca="1">IF(OR($H39="",NOT($V39)),"",","&amp;SanitizeInput($H39))</f>
        <v/>
      </c>
      <c r="Z39" s="11" t="str" cm="1">
        <f t="array" ref="Z39">CreateSearchString($H39)</f>
        <v>,AS22,</v>
      </c>
      <c r="AA39" s="11" cm="1">
        <f t="array" aca="1" ref="AA39" ca="1">OperateOnRange(
  $L39,
  TRUE,
  Helper!$B$16,
  0,
  _xlfn.LAMBDA(_xlpm._factor,IF(_xlpm._factor="",0,SimpleLookup(_xlpm._factor,Definitions!$Z:$AA))),
  _xlfn.LAMBDA(_xlpm._x,_xlpm._y,_xlpm._x+_xlpm._y))</f>
        <v>0</v>
      </c>
      <c r="AB39" s="11" t="str" cm="1">
        <f t="array" ref="AB39">SUBSTITUTE(IF($W39,IF($J39="","",","&amp;SanitizeInput($J39)),""),"&gt;",",")</f>
        <v/>
      </c>
      <c r="AC39" s="11" cm="1">
        <f t="array" aca="1" ref="AC39" ca="1">CreateID($AC$2,OR($V39,$W39))</f>
        <v>4</v>
      </c>
      <c r="AD39" s="11" t="str" cm="1">
        <f t="array" aca="1" ref="AD39" ca="1">IF(OR($V39,$W39),IF($R39="","",","&amp;SanitizeInput($R39)),"")</f>
        <v/>
      </c>
      <c r="AE39" s="11" t="str">
        <f t="shared" si="0"/>
        <v>SDR 2.11 - The customer is trusted not to extract &lt;&lt; OEM Name &gt;&gt; IP [&lt;&lt; OEM Name &gt;&gt;]</v>
      </c>
      <c r="AF39" s="11" t="str" cm="1">
        <f t="array" ref="AF39">IF($F39="*","",InverseLookupList(SanitizeInput($F39),Questionnaire!$AB$3,Questionnaire!$B$3,Helper!$B$12,","))</f>
        <v/>
      </c>
      <c r="AG39" s="11" t="str" cm="1">
        <f t="array" ref="AG39">RemoveDelimiter(GetValues($AF39,Questionnaire!$B:$H," ",CHAR(10)&amp;CHAR(10),TRUE),CHAR(10)&amp;CHAR(10))</f>
        <v/>
      </c>
      <c r="AH39" s="11" t="str" cm="1">
        <f t="array" ref="AH39">CreateSearchString($AF39)</f>
        <v/>
      </c>
      <c r="AI39" s="11" t="str" cm="1">
        <f t="array" aca="1" ref="AI39" ca="1">InverseLookup($A39,Mitigation!$AD$2,Mitigation!$A$2,1,Helper!$B$5,",")</f>
        <v/>
      </c>
      <c r="AJ39" s="11" t="str" cm="1">
        <f t="array" aca="1" ref="AJ39" ca="1">CreateSearchString(GetValues($AI39,'Attack Steps'!$A:$P,"",",",FALSE))</f>
        <v/>
      </c>
      <c r="AK39" s="11" t="str">
        <f t="shared" si="1"/>
        <v>A39</v>
      </c>
      <c r="AL39" s="11" t="str" cm="1">
        <f t="array" ref="AL39">_xlfn.SWITCH($F39,
"*","",
"","",
_xlfn.LET(
_xlpm._answers,SUBSTITUTE(SanitizeInput($F39),"&amp;",","),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IF(_xlpm._questionIDUndefined,$A39&amp;" - "&amp;_xlpm._question&amp;": ERROR: Unknown question ID.",
        IF(_xlpm._firstAnswerIsValidOption,"",$A39&amp;" - "&amp;_xlpm._question&amp;": First answer ("&amp;_xlpm._firstAnswer&amp;") is not a valid option.")&amp;
        IF(_xlpm._secondAnswerRequired,IF(_xlpm._secondAnswerProvided,"",$A39&amp;" - "&amp;_xlpm._question&amp;": Second answer required but not provided."),"")&amp;
        IF(NOT(_xlpm._secondAnswerRequired),IF(_xlpm._secondAnswerProvided,$A39&amp;" - "&amp;_xlpm._question&amp;": Second answer ("&amp;_xlpm._secondAnswer&amp;") provided but the question only supports one answer.",""),"")&amp;
        IF(_xlpm._secondAnswerIsValidOption,"",$A39&amp;" - "&amp;_xlpm._question&amp;": Second answer ("&amp;_xlpm._secondAnswer&amp;") is not a valid option.")))),
  _xlfn.LAMBDA(_xlpm._x,_xlpm._y,_xlpm._x&amp;IF(_xlpm._x="","",CHAR(10))&amp;_xlpm._y))))</f>
        <v/>
      </c>
      <c r="AM39" s="11" cm="1">
        <f t="array" aca="1" ref="AM39" ca="1">CreateID($AM$2,$AL39&lt;&gt;"")</f>
        <v>0</v>
      </c>
    </row>
    <row r="40" spans="1:39" ht="105" x14ac:dyDescent="0.25">
      <c r="A40" s="9" t="s">
        <v>1261</v>
      </c>
      <c r="B40" s="10" t="s">
        <v>1366</v>
      </c>
      <c r="C40" s="10" t="s">
        <v>1262</v>
      </c>
      <c r="D40" s="10" t="s">
        <v>1367</v>
      </c>
      <c r="E40" s="10" t="str">
        <f>Definitions!$C$4</f>
        <v>&lt;&lt; OEM Name &gt;&gt;</v>
      </c>
      <c r="F40" s="10"/>
      <c r="G40" s="25" t="str" cm="1">
        <f t="array" ref="G40">OperateOnList(
  SanitizeInput($F40),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H40" s="10" t="s">
        <v>817</v>
      </c>
      <c r="I40" s="13" t="str" cm="1">
        <f t="array" aca="1" ref="I40" ca="1">LookupNames($H40,'Attack Steps'!$A:$B)</f>
        <v>AS35 Disrupting the product's communication with an external entity (with communication over the Internet or a mobile network)</v>
      </c>
      <c r="J40" s="10" t="s">
        <v>1263</v>
      </c>
      <c r="K40" s="25" t="str" cm="1">
        <f t="array" aca="1" ref="K40" ca="1">IF($J40="","",SUBSTITUTE(SUBSTITUTE(SUBSTITUTE(SUBSTITUTE(SUBSTITUTE(SUBSTITUTE(SUBSTITUTE(SUBSTITUTE(SUBSTITUTE(
GetTransformation(SanitizeInput($J40),'Damage Scenarios'!$A:$J,COLUMNS('Damage Scenarios'!$A:$J),CHAR(10),"[#0][#1][#2]")&amp;"§",
"[#1][#2]",""),
"[#2]",""),
"[#0][#1]","[#1]"),
"[#0]","Removes:"&amp;CHAR(10)),
"[#1]","Transforms:"&amp;CHAR(10)),
CHAR(10)&amp;"§",""),
"§",""),
CHAR(10),CHAR(10)&amp;"   "),
"   "&amp;"Transforms:","Transforms:"))</f>
        <v xml:space="preserve">Removes:
   DS6 
   DS7 
   DS8 </v>
      </c>
      <c r="L40" s="10"/>
      <c r="M40" s="10"/>
      <c r="N40" s="10"/>
      <c r="O40" s="10"/>
      <c r="P40" s="10"/>
      <c r="Q40" s="13" t="str">
        <f ca="1">IF($A40="","",IFERROR(VLOOKUP($AA40,Definitions!$V:$W,COLUMNS(Definitions!$V:$W),TRUE),""))</f>
        <v>Basic</v>
      </c>
      <c r="R40" s="10" t="s">
        <v>55</v>
      </c>
      <c r="S40" s="10"/>
      <c r="T40" s="10" t="s">
        <v>1264</v>
      </c>
      <c r="U40" s="9" cm="1">
        <f t="array" aca="1" ref="U40" ca="1">CreateID($U$2,$A40&lt;&gt;"")</f>
        <v>38</v>
      </c>
      <c r="V40" s="11" t="b">
        <f ca="1">OR(CheckRelevance(SanitizeInput(F40),Questionnaire!$J:$J),IFERROR(_xlfn.XMATCH("*,"&amp;$A40&amp;",*",Countermeasures!$AC:$AC,2)&gt;0,FALSE))</f>
        <v>0</v>
      </c>
      <c r="W40" s="11" t="b">
        <f>IFERROR(_xlfn.XMATCH("*,"&amp;$A40&amp;",*",Mitigation!$X:$X,2)&gt;0,FALSE)</f>
        <v>0</v>
      </c>
      <c r="X40" s="11" cm="1">
        <f t="array" aca="1" ref="X40" ca="1">CreateTaskID($X$2,$X:$X,Tasks!$B$17,$T40)</f>
        <v>0</v>
      </c>
      <c r="Y40" s="11" t="str" cm="1">
        <f t="array" aca="1" ref="Y40" ca="1">IF(OR($H40="",NOT($V40)),"",","&amp;SanitizeInput($H40))</f>
        <v/>
      </c>
      <c r="Z40" s="11" t="str" cm="1">
        <f t="array" ref="Z40">CreateSearchString($H40)</f>
        <v>,AS35,</v>
      </c>
      <c r="AA40" s="11" cm="1">
        <f t="array" aca="1" ref="AA40" ca="1">OperateOnRange(
  $L40,
  TRUE,
  Helper!$B$16,
  0,
  _xlfn.LAMBDA(_xlpm._factor,IF(_xlpm._factor="",0,SimpleLookup(_xlpm._factor,Definitions!$Z:$AA))),
  _xlfn.LAMBDA(_xlpm._x,_xlpm._y,_xlpm._x+_xlpm._y))</f>
        <v>0</v>
      </c>
      <c r="AB40" s="11" t="str" cm="1">
        <f t="array" ref="AB40">SUBSTITUTE(IF($W40,IF($J40="","",","&amp;SanitizeInput($J40)),""),"&gt;",",")</f>
        <v/>
      </c>
      <c r="AC40" s="11" cm="1">
        <f t="array" aca="1" ref="AC40" ca="1">CreateID($AC$2,OR($V40,$W40))</f>
        <v>4</v>
      </c>
      <c r="AD40" s="11" t="str" cm="1">
        <f t="array" aca="1" ref="AD40" ca="1">IF(OR($V40,$W40),IF($R40="","",","&amp;SanitizeInput($R40)),"")</f>
        <v/>
      </c>
      <c r="AE40" s="11" t="str">
        <f t="shared" si="0"/>
        <v>SDR 1.29 - Loss of external connectivity (Internet, mobile network) only leads to quality-related issues [&lt;&lt; OEM Name &gt;&gt;]</v>
      </c>
      <c r="AF40" s="11" t="str" cm="1">
        <f t="array" ref="AF40">IF($F40="*","",InverseLookupList(SanitizeInput($F40),Questionnaire!$AB$3,Questionnaire!$B$3,Helper!$B$12,","))</f>
        <v/>
      </c>
      <c r="AG40" s="11" t="str" cm="1">
        <f t="array" ref="AG40">RemoveDelimiter(GetValues($AF40,Questionnaire!$B:$H," ",CHAR(10)&amp;CHAR(10),TRUE),CHAR(10)&amp;CHAR(10))</f>
        <v/>
      </c>
      <c r="AH40" s="11" t="str" cm="1">
        <f t="array" ref="AH40">CreateSearchString($AF40)</f>
        <v/>
      </c>
      <c r="AI40" s="11" t="str" cm="1">
        <f t="array" aca="1" ref="AI40" ca="1">InverseLookup($A40,Mitigation!$AD$2,Mitigation!$A$2,1,Helper!$B$5,",")</f>
        <v/>
      </c>
      <c r="AJ40" s="11" t="str" cm="1">
        <f t="array" aca="1" ref="AJ40" ca="1">CreateSearchString(GetValues($AI40,'Attack Steps'!$A:$P,"",",",FALSE))</f>
        <v/>
      </c>
      <c r="AK40" s="11" t="str">
        <f t="shared" si="1"/>
        <v>A41</v>
      </c>
      <c r="AL40" s="11" t="str" cm="1">
        <f t="array" ref="AL40">_xlfn.SWITCH($F40,
"*","",
"","",
_xlfn.LET(
_xlpm._answers,SUBSTITUTE(SanitizeInput($F40),"&amp;",","),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IF(_xlpm._questionIDUndefined,$A40&amp;" - "&amp;_xlpm._question&amp;": ERROR: Unknown question ID.",
        IF(_xlpm._firstAnswerIsValidOption,"",$A40&amp;" - "&amp;_xlpm._question&amp;": First answer ("&amp;_xlpm._firstAnswer&amp;") is not a valid option.")&amp;
        IF(_xlpm._secondAnswerRequired,IF(_xlpm._secondAnswerProvided,"",$A40&amp;" - "&amp;_xlpm._question&amp;": Second answer required but not provided."),"")&amp;
        IF(NOT(_xlpm._secondAnswerRequired),IF(_xlpm._secondAnswerProvided,$A40&amp;" - "&amp;_xlpm._question&amp;": Second answer ("&amp;_xlpm._secondAnswer&amp;") provided but the question only supports one answer.",""),"")&amp;
        IF(_xlpm._secondAnswerIsValidOption,"",$A40&amp;" - "&amp;_xlpm._question&amp;": Second answer ("&amp;_xlpm._secondAnswer&amp;") is not a valid option.")))),
  _xlfn.LAMBDA(_xlpm._x,_xlpm._y,_xlpm._x&amp;IF(_xlpm._x="","",CHAR(10))&amp;_xlpm._y))))</f>
        <v/>
      </c>
      <c r="AM40" s="11" cm="1">
        <f t="array" aca="1" ref="AM40" ca="1">CreateID($AM$2,$AL40&lt;&gt;"")</f>
        <v>0</v>
      </c>
    </row>
    <row r="41" spans="1:39" ht="45" x14ac:dyDescent="0.25">
      <c r="A41" s="9" t="s">
        <v>1317</v>
      </c>
      <c r="B41" s="10" t="s">
        <v>1318</v>
      </c>
      <c r="C41" s="10" t="s">
        <v>1322</v>
      </c>
      <c r="D41" s="10" t="s">
        <v>1319</v>
      </c>
      <c r="E41" s="10" t="str">
        <f>Definitions!$C$4</f>
        <v>&lt;&lt; OEM Name &gt;&gt;</v>
      </c>
      <c r="F41" s="10" t="s">
        <v>1411</v>
      </c>
      <c r="G41" s="25" t="str" cm="1">
        <f t="array" aca="1" ref="G41" ca="1">OperateOnList(
  SanitizeInput($F41),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 Does the product have any connectivity? [Yes]</v>
      </c>
      <c r="H41" s="10"/>
      <c r="I41" s="13" t="str" cm="1">
        <f t="array" ref="I41">LookupNames($H41,'Attack Steps'!$A:$B)</f>
        <v/>
      </c>
      <c r="J41" s="10"/>
      <c r="K41" s="25" t="str" cm="1">
        <f t="array" ref="K41">IF($J41="","",SUBSTITUTE(SUBSTITUTE(SUBSTITUTE(SUBSTITUTE(SUBSTITUTE(SUBSTITUTE(SUBSTITUTE(SUBSTITUTE(SUBSTITUTE(
GetTransformation(SanitizeInput($J41),'Damage Scenarios'!$A:$J,COLUMNS('Damage Scenarios'!$A:$J),CHAR(10),"[#0][#1][#2]")&amp;"§",
"[#1][#2]",""),
"[#2]",""),
"[#0][#1]","[#1]"),
"[#0]","Removes:"&amp;CHAR(10)),
"[#1]","Transforms:"&amp;CHAR(10)),
CHAR(10)&amp;"§",""),
"§",""),
CHAR(10),CHAR(10)&amp;"   "),
"   "&amp;"Transforms:","Transforms:"))</f>
        <v/>
      </c>
      <c r="L41" s="10"/>
      <c r="M41" s="10"/>
      <c r="N41" s="10"/>
      <c r="O41" s="10"/>
      <c r="P41" s="10"/>
      <c r="Q41" s="13" t="str">
        <f ca="1">IF($A41="","",IFERROR(VLOOKUP($AA41,Definitions!$V:$W,COLUMNS(Definitions!$V:$W),TRUE),""))</f>
        <v>Basic</v>
      </c>
      <c r="R41" s="10" t="s">
        <v>55</v>
      </c>
      <c r="S41" s="10"/>
      <c r="T41" s="10" t="s">
        <v>1430</v>
      </c>
      <c r="U41" s="9" cm="1">
        <f t="array" aca="1" ref="U41" ca="1">CreateID($U$2,$A41&lt;&gt;"")</f>
        <v>39</v>
      </c>
      <c r="V41" s="11" t="b">
        <f ca="1">OR(CheckRelevance(SanitizeInput(F41),Questionnaire!$J:$J),IFERROR(_xlfn.XMATCH("*,"&amp;$A41&amp;",*",Countermeasures!$AC:$AC,2)&gt;0,FALSE))</f>
        <v>0</v>
      </c>
      <c r="W41" s="11" t="b">
        <f>IFERROR(_xlfn.XMATCH("*,"&amp;$A41&amp;",*",Mitigation!$X:$X,2)&gt;0,FALSE)</f>
        <v>0</v>
      </c>
      <c r="X41" s="11" cm="1">
        <f t="array" aca="1" ref="X41" ca="1">CreateTaskID($X$2,$X:$X,Tasks!$B$17,$T41)</f>
        <v>0</v>
      </c>
      <c r="Y41" s="11" t="str" cm="1">
        <f t="array" aca="1" ref="Y41" ca="1">IF(OR($H41="",NOT($V41)),"",","&amp;SanitizeInput($H41))</f>
        <v/>
      </c>
      <c r="Z41" s="11" t="str" cm="1">
        <f t="array" ref="Z41">CreateSearchString($H41)</f>
        <v/>
      </c>
      <c r="AA41" s="11" cm="1">
        <f t="array" aca="1" ref="AA41" ca="1">OperateOnRange(
  $L41,
  TRUE,
  Helper!$B$16,
  0,
  _xlfn.LAMBDA(_xlpm._factor,IF(_xlpm._factor="",0,SimpleLookup(_xlpm._factor,Definitions!$Z:$AA))),
  _xlfn.LAMBDA(_xlpm._x,_xlpm._y,_xlpm._x+_xlpm._y))</f>
        <v>0</v>
      </c>
      <c r="AB41" s="11" t="str" cm="1">
        <f t="array" ref="AB41">SUBSTITUTE(IF($W41,IF($J41="","",","&amp;SanitizeInput($J41)),""),"&gt;",",")</f>
        <v/>
      </c>
      <c r="AC41" s="11" cm="1">
        <f t="array" aca="1" ref="AC41" ca="1">CreateID($AC$2,OR($V41,$W41))</f>
        <v>4</v>
      </c>
      <c r="AD41" s="11" t="str" cm="1">
        <f t="array" aca="1" ref="AD41" ca="1">IF(OR($V41,$W41),IF($R41="","",","&amp;SanitizeInput($R41)),"")</f>
        <v/>
      </c>
      <c r="AE41" s="11" t="str">
        <f t="shared" si="0"/>
        <v>SDR 1.1 – List all network traffic [&lt;&lt; OEM Name &gt;&gt;]</v>
      </c>
      <c r="AF41" s="11" t="str" cm="1">
        <f t="array" aca="1" ref="AF41" ca="1">IF($F41="*","",InverseLookupList(SanitizeInput($F41),Questionnaire!$AB$3,Questionnaire!$B$3,Helper!$B$12,","))</f>
        <v/>
      </c>
      <c r="AG41" s="11" t="str" cm="1">
        <f t="array" aca="1" ref="AG41" ca="1">RemoveDelimiter(GetValues($AF41,Questionnaire!$B:$H," ",CHAR(10)&amp;CHAR(10),TRUE),CHAR(10)&amp;CHAR(10))</f>
        <v/>
      </c>
      <c r="AH41" s="11" t="str" cm="1">
        <f t="array" aca="1" ref="AH41" ca="1">CreateSearchString($AF41)</f>
        <v/>
      </c>
      <c r="AI41" s="11" t="str" cm="1">
        <f t="array" aca="1" ref="AI41" ca="1">InverseLookup($A41,Mitigation!$AD$2,Mitigation!$A$2,1,Helper!$B$5,",")</f>
        <v/>
      </c>
      <c r="AJ41" s="11" t="str" cm="1">
        <f t="array" aca="1" ref="AJ41" ca="1">CreateSearchString(GetValues($AI41,'Attack Steps'!$A:$P,"",",",FALSE))</f>
        <v/>
      </c>
      <c r="AK41" s="11" t="str">
        <f t="shared" si="1"/>
        <v>A42</v>
      </c>
      <c r="AL41" s="11" t="str" cm="1">
        <f t="array" aca="1" ref="AL41" ca="1">_xlfn.SWITCH($F41,
"*","",
"","",
_xlfn.LET(
_xlpm._answers,SUBSTITUTE(SanitizeInput($F41),"&amp;",","),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IF(_xlpm._questionIDUndefined,$A41&amp;" - "&amp;_xlpm._question&amp;": ERROR: Unknown question ID.",
        IF(_xlpm._firstAnswerIsValidOption,"",$A41&amp;" - "&amp;_xlpm._question&amp;": First answer ("&amp;_xlpm._firstAnswer&amp;") is not a valid option.")&amp;
        IF(_xlpm._secondAnswerRequired,IF(_xlpm._secondAnswerProvided,"",$A41&amp;" - "&amp;_xlpm._question&amp;": Second answer required but not provided."),"")&amp;
        IF(NOT(_xlpm._secondAnswerRequired),IF(_xlpm._secondAnswerProvided,$A41&amp;" - "&amp;_xlpm._question&amp;": Second answer ("&amp;_xlpm._secondAnswer&amp;") provided but the question only supports one answer.",""),"")&amp;
        IF(_xlpm._secondAnswerIsValidOption,"",$A41&amp;" - "&amp;_xlpm._question&amp;": Second answer ("&amp;_xlpm._secondAnswer&amp;") is not a valid option.")))),
  _xlfn.LAMBDA(_xlpm._x,_xlpm._y,_xlpm._x&amp;IF(_xlpm._x="","",CHAR(10))&amp;_xlpm._y))))</f>
        <v/>
      </c>
      <c r="AM41" s="11" cm="1">
        <f t="array" aca="1" ref="AM41" ca="1">CreateID($AM$2,$AL41&lt;&gt;"")</f>
        <v>0</v>
      </c>
    </row>
    <row r="42" spans="1:39" ht="48.75" x14ac:dyDescent="0.25">
      <c r="A42" s="9" t="s">
        <v>1346</v>
      </c>
      <c r="B42" s="10" t="s">
        <v>1344</v>
      </c>
      <c r="C42" s="10" t="s">
        <v>1345</v>
      </c>
      <c r="D42" s="10" t="s">
        <v>1412</v>
      </c>
      <c r="E42" s="10" t="str">
        <f>Definitions!$C$4</f>
        <v>&lt;&lt; OEM Name &gt;&gt;</v>
      </c>
      <c r="F42" s="10" t="s">
        <v>1675</v>
      </c>
      <c r="G42" s="25" t="str" cm="1">
        <f t="array" aca="1" ref="G42" ca="1">OperateOnList(
  SanitizeInput($F42),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QI1 Does the product have / support cameras or other sensors that can potentially identify people? (Regarding "supporting a camera / sensor": only answer with Yes if attaching a camera / sensor is in the intended or foreseeable use of the product.) [Yes]
» Can you argue that the product cannot identify people in its operational environment? [*]</v>
      </c>
      <c r="H42" s="10"/>
      <c r="I42" s="13" t="str" cm="1">
        <f t="array" ref="I42">LookupNames($H42,'Attack Steps'!$A:$B)</f>
        <v/>
      </c>
      <c r="J42" s="10"/>
      <c r="K42" s="25" t="str" cm="1">
        <f t="array" ref="K42">IF($J42="","",SUBSTITUTE(SUBSTITUTE(SUBSTITUTE(SUBSTITUTE(SUBSTITUTE(SUBSTITUTE(SUBSTITUTE(SUBSTITUTE(SUBSTITUTE(
GetTransformation(SanitizeInput($J42),'Damage Scenarios'!$A:$J,COLUMNS('Damage Scenarios'!$A:$J),CHAR(10),"[#0][#1][#2]")&amp;"§",
"[#1][#2]",""),
"[#2]",""),
"[#0][#1]","[#1]"),
"[#0]","Removes:"&amp;CHAR(10)),
"[#1]","Transforms:"&amp;CHAR(10)),
CHAR(10)&amp;"§",""),
"§",""),
CHAR(10),CHAR(10)&amp;"   "),
"   "&amp;"Transforms:","Transforms:"))</f>
        <v/>
      </c>
      <c r="L42" s="10"/>
      <c r="M42" s="10"/>
      <c r="N42" s="10"/>
      <c r="O42" s="10"/>
      <c r="P42" s="10"/>
      <c r="Q42" s="13" t="str">
        <f ca="1">IF($A42="","",IFERROR(VLOOKUP($AA42,Definitions!$V:$W,COLUMNS(Definitions!$V:$W),TRUE),""))</f>
        <v>Basic</v>
      </c>
      <c r="R42" s="10" t="s">
        <v>55</v>
      </c>
      <c r="S42" s="10"/>
      <c r="T42" s="10"/>
      <c r="U42" s="9" cm="1">
        <f t="array" aca="1" ref="U42" ca="1">CreateID($U$2,$A42&lt;&gt;"")</f>
        <v>40</v>
      </c>
      <c r="V42" s="11" t="b">
        <f ca="1">OR(CheckRelevance(SanitizeInput(F42),Questionnaire!$J:$J),IFERROR(_xlfn.XMATCH("*,"&amp;$A42&amp;",*",Countermeasures!$AC:$AC,2)&gt;0,FALSE))</f>
        <v>0</v>
      </c>
      <c r="W42" s="11" t="b">
        <f>IFERROR(_xlfn.XMATCH("*,"&amp;$A42&amp;",*",Mitigation!$X:$X,2)&gt;0,FALSE)</f>
        <v>0</v>
      </c>
      <c r="X42" s="11" cm="1">
        <f t="array" aca="1" ref="X42" ca="1">CreateTaskID($X$2,$X:$X,Tasks!$B$17,$T42)</f>
        <v>0</v>
      </c>
      <c r="Y42" s="11" t="str" cm="1">
        <f t="array" aca="1" ref="Y42" ca="1">IF(OR($H42="",NOT($V42)),"",","&amp;SanitizeInput($H42))</f>
        <v/>
      </c>
      <c r="Z42" s="11" t="str" cm="1">
        <f t="array" ref="Z42">CreateSearchString($H42)</f>
        <v/>
      </c>
      <c r="AA42" s="11" cm="1">
        <f t="array" aca="1" ref="AA42" ca="1">OperateOnRange(
  $L42,
  TRUE,
  Helper!$B$16,
  0,
  _xlfn.LAMBDA(_xlpm._factor,IF(_xlpm._factor="",0,SimpleLookup(_xlpm._factor,Definitions!$Z:$AA))),
  _xlfn.LAMBDA(_xlpm._x,_xlpm._y,_xlpm._x+_xlpm._y))</f>
        <v>0</v>
      </c>
      <c r="AB42" s="11" t="str" cm="1">
        <f t="array" ref="AB42">SUBSTITUTE(IF($W42,IF($J42="","",","&amp;SanitizeInput($J42)),""),"&gt;",",")</f>
        <v/>
      </c>
      <c r="AC42" s="11" cm="1">
        <f t="array" aca="1" ref="AC42" ca="1">CreateID($AC$2,OR($V42,$W42))</f>
        <v>4</v>
      </c>
      <c r="AD42" s="11" t="str" cm="1">
        <f t="array" aca="1" ref="AD42" ca="1">IF(OR($V42,$W42),IF($R42="","",","&amp;SanitizeInput($R42)),"")</f>
        <v/>
      </c>
      <c r="AE42" s="11" t="str">
        <f t="shared" si="0"/>
        <v>SDR 1.17 - Sensing capabilities [&lt;&lt; OEM Name &gt;&gt;]</v>
      </c>
      <c r="AF42" s="11" t="str" cm="1">
        <f t="array" aca="1" ref="AF42" ca="1">IF($F42="*","",InverseLookupList(SanitizeInput($F42),Questionnaire!$AB$3,Questionnaire!$B$3,Helper!$B$12,","))</f>
        <v/>
      </c>
      <c r="AG42" s="11" t="str" cm="1">
        <f t="array" aca="1" ref="AG42" ca="1">RemoveDelimiter(GetValues($AF42,Questionnaire!$B:$H," ",CHAR(10)&amp;CHAR(10),TRUE),CHAR(10)&amp;CHAR(10))</f>
        <v/>
      </c>
      <c r="AH42" s="11" t="str" cm="1">
        <f t="array" aca="1" ref="AH42" ca="1">CreateSearchString($AF42)</f>
        <v/>
      </c>
      <c r="AI42" s="11" t="str" cm="1">
        <f t="array" aca="1" ref="AI42" ca="1">InverseLookup($A42,Mitigation!$AD$2,Mitigation!$A$2,1,Helper!$B$5,",")</f>
        <v/>
      </c>
      <c r="AJ42" s="11" t="str" cm="1">
        <f t="array" aca="1" ref="AJ42" ca="1">CreateSearchString(GetValues($AI42,'Attack Steps'!$A:$P,"",",",FALSE))</f>
        <v/>
      </c>
      <c r="AK42" s="11" t="str">
        <f t="shared" si="1"/>
        <v>A43</v>
      </c>
      <c r="AL42" s="11" t="str" cm="1">
        <f t="array" aca="1" ref="AL42" ca="1">_xlfn.SWITCH($F42,
"*","",
"","",
_xlfn.LET(
_xlpm._answers,SUBSTITUTE(SanitizeInput($F42),"&amp;",","),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IF(_xlpm._questionIDUndefined,$A42&amp;" - "&amp;_xlpm._question&amp;": ERROR: Unknown question ID.",
        IF(_xlpm._firstAnswerIsValidOption,"",$A42&amp;" - "&amp;_xlpm._question&amp;": First answer ("&amp;_xlpm._firstAnswer&amp;") is not a valid option.")&amp;
        IF(_xlpm._secondAnswerRequired,IF(_xlpm._secondAnswerProvided,"",$A42&amp;" - "&amp;_xlpm._question&amp;": Second answer required but not provided."),"")&amp;
        IF(NOT(_xlpm._secondAnswerRequired),IF(_xlpm._secondAnswerProvided,$A42&amp;" - "&amp;_xlpm._question&amp;": Second answer ("&amp;_xlpm._secondAnswer&amp;") provided but the question only supports one answer.",""),"")&amp;
        IF(_xlpm._secondAnswerIsValidOption,"",$A42&amp;" - "&amp;_xlpm._question&amp;": Second answer ("&amp;_xlpm._secondAnswer&amp;") is not a valid option.")))),
  _xlfn.LAMBDA(_xlpm._x,_xlpm._y,_xlpm._x&amp;IF(_xlpm._x="","",CHAR(10))&amp;_xlpm._y))))</f>
        <v/>
      </c>
      <c r="AM42" s="11" cm="1">
        <f t="array" aca="1" ref="AM42" ca="1">CreateID($AM$2,$AL42&lt;&gt;"")</f>
        <v>0</v>
      </c>
    </row>
    <row r="43" spans="1:39" ht="60.75" x14ac:dyDescent="0.25">
      <c r="A43" s="9" t="s">
        <v>1463</v>
      </c>
      <c r="B43" s="10" t="s">
        <v>1494</v>
      </c>
      <c r="C43" s="10" t="s">
        <v>1464</v>
      </c>
      <c r="D43" s="10"/>
      <c r="E43" s="10" t="s">
        <v>296</v>
      </c>
      <c r="F43" s="10"/>
      <c r="G43" s="25" t="str" cm="1">
        <f t="array" ref="G43">OperateOnList(
  SanitizeInput($F43),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H43" s="10" t="s">
        <v>172</v>
      </c>
      <c r="I43" s="13" t="str" cm="1">
        <f t="array" aca="1" ref="I43" ca="1">LookupNames($H43,'Attack Steps'!$A:$B)</f>
        <v>AS14 Disrupting the product's communication over the local network</v>
      </c>
      <c r="J43" s="10" t="s">
        <v>1465</v>
      </c>
      <c r="K43" s="25" t="str" cm="1">
        <f t="array" aca="1" ref="K43" ca="1">IF($J43="","",SUBSTITUTE(SUBSTITUTE(SUBSTITUTE(SUBSTITUTE(SUBSTITUTE(SUBSTITUTE(SUBSTITUTE(SUBSTITUTE(SUBSTITUTE(
GetTransformation(SanitizeInput($J43),'Damage Scenarios'!$A:$J,COLUMNS('Damage Scenarios'!$A:$J),CHAR(10),"[#0][#1][#2]")&amp;"§",
"[#1][#2]",""),
"[#2]",""),
"[#0][#1]","[#1]"),
"[#0]","Removes:"&amp;CHAR(10)),
"[#1]","Transforms:"&amp;CHAR(10)),
CHAR(10)&amp;"§",""),
"§",""),
CHAR(10),CHAR(10)&amp;"   "),
"   "&amp;"Transforms:","Transforms:"))</f>
        <v xml:space="preserve">Removes:
   DS7 
   DS9 
   DS17 
   DS18 </v>
      </c>
      <c r="L43" s="10"/>
      <c r="M43" s="10"/>
      <c r="N43" s="10"/>
      <c r="O43" s="10"/>
      <c r="P43" s="10"/>
      <c r="Q43" s="13" t="str">
        <f ca="1">IF($A43="","",IFERROR(VLOOKUP($AA43,Definitions!$V:$W,COLUMNS(Definitions!$V:$W),TRUE),""))</f>
        <v>Basic</v>
      </c>
      <c r="R43" s="10"/>
      <c r="S43" s="10"/>
      <c r="T43" s="10"/>
      <c r="U43" s="9" cm="1">
        <f t="array" aca="1" ref="U43" ca="1">CreateID($U$2,$A43&lt;&gt;"")</f>
        <v>41</v>
      </c>
      <c r="V43" s="11" t="b">
        <f ca="1">OR(CheckRelevance(SanitizeInput(F43),Questionnaire!$J:$J),IFERROR(_xlfn.XMATCH("*,"&amp;$A43&amp;",*",Countermeasures!$AC:$AC,2)&gt;0,FALSE))</f>
        <v>0</v>
      </c>
      <c r="W43" s="11" t="b">
        <f>IFERROR(_xlfn.XMATCH("*,"&amp;$A43&amp;",*",Mitigation!$X:$X,2)&gt;0,FALSE)</f>
        <v>0</v>
      </c>
      <c r="X43" s="11" cm="1">
        <f t="array" aca="1" ref="X43" ca="1">CreateTaskID($X$2,$X:$X,Tasks!$B$17,$T43)</f>
        <v>0</v>
      </c>
      <c r="Y43" s="11" t="str" cm="1">
        <f t="array" aca="1" ref="Y43" ca="1">IF(OR($H43="",NOT($V43)),"",","&amp;SanitizeInput($H43))</f>
        <v/>
      </c>
      <c r="Z43" s="11" t="str" cm="1">
        <f t="array" ref="Z43">CreateSearchString($H43)</f>
        <v>,AS14,</v>
      </c>
      <c r="AA43" s="11" cm="1">
        <f t="array" aca="1" ref="AA43" ca="1">OperateOnRange(
  $L43,
  TRUE,
  Helper!$B$16,
  0,
  _xlfn.LAMBDA(_xlpm._factor,IF(_xlpm._factor="",0,SimpleLookup(_xlpm._factor,Definitions!$Z:$AA))),
  _xlfn.LAMBDA(_xlpm._x,_xlpm._y,_xlpm._x+_xlpm._y))</f>
        <v>0</v>
      </c>
      <c r="AB43" s="11" t="str" cm="1">
        <f t="array" ref="AB43">SUBSTITUTE(IF($W43,IF($J43="","",","&amp;SanitizeInput($J43)),""),"&gt;",",")</f>
        <v/>
      </c>
      <c r="AC43" s="11" cm="1">
        <f t="array" aca="1" ref="AC43" ca="1">CreateID($AC$2,OR($V43,$W43))</f>
        <v>4</v>
      </c>
      <c r="AD43" s="11" t="str" cm="1">
        <f t="array" aca="1" ref="AD43" ca="1">IF(OR($V43,$W43),IF($R43="","",","&amp;SanitizeInput($R43)),"")</f>
        <v/>
      </c>
      <c r="AE43" s="11" t="str">
        <f>$B43&amp;" ["&amp;$E43&amp;"]"</f>
        <v>SDR 1.30 - Network monitoring [Customer]</v>
      </c>
      <c r="AF43" s="11" t="str" cm="1">
        <f t="array" ref="AF43">IF($F43="*","",InverseLookupList(SanitizeInput($F43),Questionnaire!$AB$3,Questionnaire!$B$3,Helper!$B$12,","))</f>
        <v/>
      </c>
      <c r="AG43" s="11" t="str" cm="1">
        <f t="array" ref="AG43">RemoveDelimiter(GetValues($AF43,Questionnaire!$B:$H," ",CHAR(10)&amp;CHAR(10),TRUE),CHAR(10)&amp;CHAR(10))</f>
        <v/>
      </c>
      <c r="AH43" s="11" t="str" cm="1">
        <f t="array" ref="AH43">CreateSearchString($AF43)</f>
        <v/>
      </c>
      <c r="AI43" s="11" t="str" cm="1">
        <f t="array" aca="1" ref="AI43" ca="1">InverseLookup($A43,Mitigation!$AD$2,Mitigation!$A$2,1,Helper!$B$5,",")</f>
        <v/>
      </c>
      <c r="AJ43" s="11" t="str" cm="1">
        <f t="array" aca="1" ref="AJ43" ca="1">CreateSearchString(GetValues($AI43,'Attack Steps'!$A:$P,"",",",FALSE))</f>
        <v/>
      </c>
      <c r="AK43" s="11" t="str">
        <f>IF($A43="","",$A43)</f>
        <v>A44</v>
      </c>
      <c r="AL43" s="11" t="str" cm="1">
        <f t="array" ref="AL43">_xlfn.SWITCH($F43,
"*","",
"","",
_xlfn.LET(
_xlpm._answers,SUBSTITUTE(SanitizeInput($F43),"&amp;",","),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IF(_xlpm._questionIDUndefined,$A43&amp;" - "&amp;_xlpm._question&amp;": ERROR: Unknown question ID.",
        IF(_xlpm._firstAnswerIsValidOption,"",$A43&amp;" - "&amp;_xlpm._question&amp;": First answer ("&amp;_xlpm._firstAnswer&amp;") is not a valid option.")&amp;
        IF(_xlpm._secondAnswerRequired,IF(_xlpm._secondAnswerProvided,"",$A43&amp;" - "&amp;_xlpm._question&amp;": Second answer required but not provided."),"")&amp;
        IF(NOT(_xlpm._secondAnswerRequired),IF(_xlpm._secondAnswerProvided,$A43&amp;" - "&amp;_xlpm._question&amp;": Second answer ("&amp;_xlpm._secondAnswer&amp;") provided but the question only supports one answer.",""),"")&amp;
        IF(_xlpm._secondAnswerIsValidOption,"",$A43&amp;" - "&amp;_xlpm._question&amp;": Second answer ("&amp;_xlpm._secondAnswer&amp;") is not a valid option.")))),
  _xlfn.LAMBDA(_xlpm._x,_xlpm._y,_xlpm._x&amp;IF(_xlpm._x="","",CHAR(10))&amp;_xlpm._y))))</f>
        <v/>
      </c>
      <c r="AM43" s="11" cm="1">
        <f t="array" aca="1" ref="AM43" ca="1">CreateID($AM$2,$AL43&lt;&gt;"")</f>
        <v>0</v>
      </c>
    </row>
    <row r="44" spans="1:39" ht="60" x14ac:dyDescent="0.25">
      <c r="A44" s="9" t="s">
        <v>1469</v>
      </c>
      <c r="B44" s="10" t="s">
        <v>1495</v>
      </c>
      <c r="C44" s="10" t="s">
        <v>1470</v>
      </c>
      <c r="D44" s="10"/>
      <c r="E44" s="10" t="s">
        <v>296</v>
      </c>
      <c r="F44" s="10" t="s">
        <v>1472</v>
      </c>
      <c r="G44" s="25" t="str" cm="1">
        <f t="array" aca="1" ref="G44" ca="1">OperateOnList(
  SanitizeInput($F44),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QA15 Is the product typically installed in an operational environment with public access? [Yes]
» Can an attacker plausibly tamper with the hardware without being detected? [No]</v>
      </c>
      <c r="H44" s="10" t="s">
        <v>266</v>
      </c>
      <c r="I44" s="13" t="str" cm="1">
        <f t="array" aca="1" ref="I44" ca="1">LookupNames($H44,'Attack Steps'!$A:$B)</f>
        <v>AS21 Gaining physical access to the product (3rd party)</v>
      </c>
      <c r="J44" s="10"/>
      <c r="K44" s="25" t="str" cm="1">
        <f t="array" ref="K44">IF($J44="","",SUBSTITUTE(SUBSTITUTE(SUBSTITUTE(SUBSTITUTE(SUBSTITUTE(SUBSTITUTE(SUBSTITUTE(SUBSTITUTE(SUBSTITUTE(
GetTransformation(SanitizeInput($J44),'Damage Scenarios'!$A:$J,COLUMNS('Damage Scenarios'!$A:$J),CHAR(10),"[#0][#1][#2]")&amp;"§",
"[#1][#2]",""),
"[#2]",""),
"[#0][#1]","[#1]"),
"[#0]","Removes:"&amp;CHAR(10)),
"[#1]","Transforms:"&amp;CHAR(10)),
CHAR(10)&amp;"§",""),
"§",""),
CHAR(10),CHAR(10)&amp;"   "),
"   "&amp;"Transforms:","Transforms:"))</f>
        <v/>
      </c>
      <c r="L44" s="10"/>
      <c r="M44" s="10"/>
      <c r="N44" s="10"/>
      <c r="O44" s="10" t="s">
        <v>122</v>
      </c>
      <c r="P44" s="10"/>
      <c r="Q44" s="13" t="str">
        <f ca="1">IF($A44="","",IFERROR(VLOOKUP($AA44,Definitions!$V:$W,COLUMNS(Definitions!$V:$W),TRUE),""))</f>
        <v>Beyond High</v>
      </c>
      <c r="R44" s="10"/>
      <c r="S44" s="10"/>
      <c r="T44" s="10" t="s">
        <v>1471</v>
      </c>
      <c r="U44" s="9" cm="1">
        <f t="array" aca="1" ref="U44" ca="1">CreateID($U$2,$A44&lt;&gt;"")</f>
        <v>42</v>
      </c>
      <c r="V44" s="11" t="b">
        <f ca="1">OR(CheckRelevance(SanitizeInput(F44),Questionnaire!$J:$J),IFERROR(_xlfn.XMATCH("*,"&amp;$A44&amp;",*",Countermeasures!$AC:$AC,2)&gt;0,FALSE))</f>
        <v>0</v>
      </c>
      <c r="W44" s="11" t="b">
        <f>IFERROR(_xlfn.XMATCH("*,"&amp;$A44&amp;",*",Mitigation!$X:$X,2)&gt;0,FALSE)</f>
        <v>0</v>
      </c>
      <c r="X44" s="11" cm="1">
        <f t="array" aca="1" ref="X44" ca="1">CreateTaskID($X$2,$X:$X,Tasks!$B$17,$T44)</f>
        <v>0</v>
      </c>
      <c r="Y44" s="11" t="str" cm="1">
        <f t="array" aca="1" ref="Y44" ca="1">IF(OR($H44="",NOT($V44)),"",","&amp;SanitizeInput($H44))</f>
        <v/>
      </c>
      <c r="Z44" s="11" t="str" cm="1">
        <f t="array" ref="Z44">CreateSearchString($H44)</f>
        <v>,AS21,</v>
      </c>
      <c r="AA44" s="11" cm="1">
        <f t="array" aca="1" ref="AA44" ca="1">OperateOnRange(
  $L44,
  TRUE,
  Helper!$B$16,
  0,
  _xlfn.LAMBDA(_xlpm._factor,IF(_xlpm._factor="",0,SimpleLookup(_xlpm._factor,Definitions!$Z:$AA))),
  _xlfn.LAMBDA(_xlpm._x,_xlpm._y,_xlpm._x+_xlpm._y))</f>
        <v>25</v>
      </c>
      <c r="AB44" s="11" t="str" cm="1">
        <f t="array" ref="AB44">SUBSTITUTE(IF($W44,IF($J44="","",","&amp;SanitizeInput($J44)),""),"&gt;",",")</f>
        <v/>
      </c>
      <c r="AC44" s="11" cm="1">
        <f t="array" aca="1" ref="AC44" ca="1">CreateID($AC$2,OR($V44,$W44))</f>
        <v>4</v>
      </c>
      <c r="AD44" s="11" t="str" cm="1">
        <f t="array" aca="1" ref="AD44" ca="1">IF(OR($V44,$W44),IF($R44="","",","&amp;SanitizeInput($R44)),"")</f>
        <v/>
      </c>
      <c r="AE44" s="11" t="str">
        <f>$B44&amp;" ["&amp;$E44&amp;"]"</f>
        <v>SDR 2.12 - Physical tampering with the product not plausible [Customer]</v>
      </c>
      <c r="AF44" s="11" t="str" cm="1">
        <f t="array" aca="1" ref="AF44" ca="1">IF($F44="*","",InverseLookupList(SanitizeInput($F44),Questionnaire!$AB$3,Questionnaire!$B$3,Helper!$B$12,","))</f>
        <v/>
      </c>
      <c r="AG44" s="11" t="str" cm="1">
        <f t="array" aca="1" ref="AG44" ca="1">RemoveDelimiter(GetValues($AF44,Questionnaire!$B:$H," ",CHAR(10)&amp;CHAR(10),TRUE),CHAR(10)&amp;CHAR(10))</f>
        <v/>
      </c>
      <c r="AH44" s="11" t="str" cm="1">
        <f t="array" aca="1" ref="AH44" ca="1">CreateSearchString($AF44)</f>
        <v/>
      </c>
      <c r="AI44" s="11" t="str" cm="1">
        <f t="array" aca="1" ref="AI44" ca="1">InverseLookup($A44,Mitigation!$AD$2,Mitigation!$A$2,1,Helper!$B$5,",")</f>
        <v/>
      </c>
      <c r="AJ44" s="11" t="str" cm="1">
        <f t="array" aca="1" ref="AJ44" ca="1">CreateSearchString(GetValues($AI44,'Attack Steps'!$A:$P,"",",",FALSE))</f>
        <v/>
      </c>
      <c r="AK44" s="11" t="str">
        <f>IF($A44="","",$A44)</f>
        <v>A45</v>
      </c>
      <c r="AL44" s="11" t="str" cm="1">
        <f t="array" aca="1" ref="AL44" ca="1">_xlfn.SWITCH($F44,
"*","",
"","",
_xlfn.LET(
_xlpm._answers,SUBSTITUTE(SanitizeInput($F44),"&amp;",","),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_xlpm._firstAnswerIsValidOption,IF(_xlpm._firstAnswer="*",TRUE,IFERROR(FIND(","&amp;SanitizeInput(_xlpm._firstAnswer),","&amp;_xlpm._firstAnswerOptions)&gt;0,FALSE)),
      _xlpm._secondAnswerRequired,_xlpm._secondAnswerOptionsEnd&gt;_xlpm._secondAnswerOptionsStart,
      _xlpm._secondAnswerProvided,_xlpm._secondAnswer&lt;&gt;"",
      _xlpm._secondAnswerIsValidOption,IF(OR(_xlpm._secondAnswer="",NOT(_xlpm._secondAnswerRequired)),TRUE,IFERROR(FIND(","&amp;SanitizeInput(_xlpm._secondAnswer),","&amp;_xlpm._secondAnswerOptions)&gt;0,AND(_xlpm._secondAnswer="*",_xlpm._secondAnswerRequired))),
      _xlpm._questionIDUndefined,IFERROR(MATCH(_xlpm._question,Questions!$A:$A,0)&lt;0,TRUE),
      IF(_xlpm._questionIDUndefined,$A44&amp;" - "&amp;_xlpm._question&amp;": ERROR: Unknown question ID.",
        IF(_xlpm._firstAnswerIsValidOption,"",$A44&amp;" - "&amp;_xlpm._question&amp;": First answer ("&amp;_xlpm._firstAnswer&amp;") is not a valid option.")&amp;
        IF(_xlpm._secondAnswerRequired,IF(_xlpm._secondAnswerProvided,"",$A44&amp;" - "&amp;_xlpm._question&amp;": Second answer required but not provided."),"")&amp;
        IF(NOT(_xlpm._secondAnswerRequired),IF(_xlpm._secondAnswerProvided,$A44&amp;" - "&amp;_xlpm._question&amp;": Second answer ("&amp;_xlpm._secondAnswer&amp;") provided but the question only supports one answer.",""),"")&amp;
        IF(_xlpm._secondAnswerIsValidOption,"",$A44&amp;" - "&amp;_xlpm._question&amp;": Second answer ("&amp;_xlpm._secondAnswer&amp;") is not a valid option.")))),
  _xlfn.LAMBDA(_xlpm._x,_xlpm._y,_xlpm._x&amp;IF(_xlpm._x="","",CHAR(10))&amp;_xlpm._y))))</f>
        <v/>
      </c>
      <c r="AM44" s="11" cm="1">
        <f t="array" aca="1" ref="AM44" ca="1">CreateID($AM$2,$AL44&lt;&gt;"")</f>
        <v>0</v>
      </c>
    </row>
  </sheetData>
  <phoneticPr fontId="4" type="noConversion"/>
  <conditionalFormatting sqref="A1:S1048576">
    <cfRule type="expression" dxfId="3" priority="450">
      <formula>AND(ROW(A1)&gt;ROW($A$2),$V1&lt;&gt;TRUE)</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1" id="{00000000-000E-0000-0600-000001000000}">
            <xm:f>AND(ROW(A1)&gt;ROW($A$2),OR(MATCH(A1,$A:$A,0)&lt;ROW(A1),IFERROR(MATCH(A1,Countermeasures!$A:$A,0)&gt;0,FALSE)))</xm:f>
            <x14:dxf>
              <font>
                <strike/>
                <color rgb="FFC00000"/>
              </font>
              <border>
                <left style="thin">
                  <color rgb="FFC00000"/>
                </left>
                <right style="thin">
                  <color rgb="FFC00000"/>
                </right>
                <top style="thin">
                  <color rgb="FFC00000"/>
                </top>
                <bottom style="thin">
                  <color rgb="FFC00000"/>
                </bottom>
                <vertical/>
                <horizontal/>
              </border>
            </x14:dxf>
          </x14:cfRule>
          <xm:sqref>A1:A1048576</xm:sqref>
        </x14:conditionalFormatting>
        <x14:conditionalFormatting xmlns:xm="http://schemas.microsoft.com/office/excel/2006/main">
          <x14:cfRule type="expression" priority="2" id="{5B6D9F6A-C04C-42F3-9C1D-BDD22AD58B2C}">
            <xm:f>IFERROR(FIND(Tasks!$B$17,T1)&gt;0,FALSE)</xm:f>
            <x14:dxf>
              <font>
                <b/>
                <i val="0"/>
                <color rgb="FF99FFCC"/>
              </font>
            </x14:dxf>
          </x14:cfRule>
          <xm:sqref>T1:T1048576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A3FB7985-1E19-4912-BD8C-15474024CC86}">
          <x14:formula1>
            <xm:f>Definitions!$AO$4:$AO$6</xm:f>
          </x14:formula1>
          <xm:sqref>E3:E44</xm:sqref>
        </x14:dataValidation>
        <x14:dataValidation type="list" allowBlank="1" showInputMessage="1" showErrorMessage="1" xr:uid="{6268F6A1-5251-4A5D-A357-C91641119137}">
          <x14:formula1>
            <xm:f>OFFSET(Definitions!$Z$2,MATCH(COLUMN()-COLUMN($L$2)+1,Definitions!$AB:$AB,0)-ROW(Definitions!$Z$2),0,COUNTIF(Definitions!$AB:$AB,COLUMN()-COLUMN($L$2)+1),1)</xm:f>
          </x14:formula1>
          <xm:sqref>L3:P44</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5BC7C-4A6C-41ED-99E6-EADA5FDFD218}">
  <sheetPr>
    <tabColor theme="6"/>
  </sheetPr>
  <dimension ref="A1:AP67"/>
  <sheetViews>
    <sheetView zoomScaleNormal="100" workbookViewId="0">
      <pane xSplit="3" ySplit="2" topLeftCell="D3" activePane="bottomRight" state="frozen"/>
      <selection pane="topRight" activeCell="D1" sqref="D1"/>
      <selection pane="bottomLeft" activeCell="A3" sqref="A3"/>
      <selection pane="bottomRight" activeCell="A2" sqref="A2"/>
    </sheetView>
  </sheetViews>
  <sheetFormatPr defaultColWidth="9.140625" defaultRowHeight="15" outlineLevelCol="1" x14ac:dyDescent="0.25"/>
  <cols>
    <col min="1" max="1" width="9.140625" style="2"/>
    <col min="2" max="2" width="45.7109375" style="2" customWidth="1"/>
    <col min="3" max="3" width="60.7109375" style="2" customWidth="1"/>
    <col min="4" max="4" width="30.7109375" style="2" customWidth="1"/>
    <col min="5" max="5" width="90.7109375" style="2" customWidth="1"/>
    <col min="6" max="6" width="17.42578125" style="2" customWidth="1"/>
    <col min="7" max="7" width="60.7109375" style="8" customWidth="1"/>
    <col min="8" max="8" width="10.7109375" style="2" customWidth="1"/>
    <col min="9" max="9" width="45.7109375" style="8" customWidth="1"/>
    <col min="10" max="10" width="15.7109375" style="2" customWidth="1"/>
    <col min="11" max="11" width="45.7109375" style="8" customWidth="1"/>
    <col min="12" max="16" width="25.7109375" style="2" customWidth="1" outlineLevel="1"/>
    <col min="17" max="17" width="15.7109375" style="2" customWidth="1" outlineLevel="1"/>
    <col min="18" max="18" width="30.140625" style="2" bestFit="1" customWidth="1" outlineLevel="1"/>
    <col min="19" max="19" width="20.7109375" style="2" customWidth="1" outlineLevel="1"/>
    <col min="20" max="20" width="60.7109375" style="2" customWidth="1"/>
    <col min="21" max="21" width="15.42578125" style="2" hidden="1" customWidth="1"/>
    <col min="22" max="22" width="21.28515625" style="2" hidden="1" customWidth="1"/>
    <col min="23" max="23" width="26.140625" style="2" hidden="1" customWidth="1"/>
    <col min="24" max="24" width="9.140625" style="2" hidden="1" customWidth="1"/>
    <col min="25" max="25" width="19.85546875" style="2" hidden="1" customWidth="1"/>
    <col min="26" max="26" width="9.140625" style="2" hidden="1" customWidth="1"/>
    <col min="27" max="27" width="21" style="2" hidden="1" customWidth="1"/>
    <col min="28" max="28" width="42.7109375" style="2" hidden="1" customWidth="1"/>
    <col min="29" max="29" width="29" style="2" hidden="1" customWidth="1"/>
    <col min="30" max="30" width="33.140625" style="2" hidden="1" customWidth="1"/>
    <col min="31" max="31" width="26.85546875" style="2" hidden="1" customWidth="1"/>
    <col min="32" max="32" width="38.42578125" style="2" hidden="1" customWidth="1"/>
    <col min="33" max="34" width="25.7109375" style="2" hidden="1" customWidth="1"/>
    <col min="35" max="35" width="22.7109375" style="2" hidden="1" customWidth="1"/>
    <col min="36" max="36" width="39.7109375" style="2" hidden="1" customWidth="1"/>
    <col min="37" max="37" width="26" style="2" hidden="1" customWidth="1"/>
    <col min="38" max="38" width="23.28515625" style="2" hidden="1" customWidth="1"/>
    <col min="39" max="39" width="47" style="2" hidden="1" customWidth="1"/>
    <col min="40" max="40" width="27" style="2" hidden="1" customWidth="1"/>
    <col min="41" max="41" width="36.42578125" style="2" hidden="1" customWidth="1"/>
    <col min="42" max="42" width="34.28515625" style="2" hidden="1" customWidth="1"/>
    <col min="43" max="16384" width="9.140625" style="2"/>
  </cols>
  <sheetData>
    <row r="1" spans="1:42" s="80" customFormat="1" x14ac:dyDescent="0.25">
      <c r="A1" s="80" t="str" cm="1">
        <f t="array" aca="1" ref="A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HYPERLINK("#'"&amp;Helper!$G$2&amp;"'!"&amp;CHAR(CODE("A")+COLUMN(_xlpm._columnNameHeader)-1)&amp;_xlpm._entryOffset,Definitions!$AY$4)))(Helper!$G$8,A$2,README!$E:$E,README!$I$35,README!$B$35)</f>
        <v>◈</v>
      </c>
      <c r="B1" s="80" t="str" cm="1">
        <f t="array" aca="1" ref="B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HYPERLINK("#'"&amp;Helper!$G$2&amp;"'!"&amp;CHAR(CODE("A")+COLUMN(_xlpm._columnNameHeader)-1)&amp;_xlpm._entryOffset,Definitions!$AY$4)))(Helper!$G$8,B$2,README!$E:$E,README!$I$35,README!$B$35)</f>
        <v>◈</v>
      </c>
      <c r="C1" s="80" t="str" cm="1">
        <f t="array" aca="1" ref="C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HYPERLINK("#'"&amp;Helper!$G$2&amp;"'!"&amp;CHAR(CODE("A")+COLUMN(_xlpm._columnNameHeader)-1)&amp;_xlpm._entryOffset,Definitions!$AY$4)))(Helper!$G$8,C$2,README!$E:$E,README!$I$35,README!$B$35)</f>
        <v>◈</v>
      </c>
      <c r="D1" s="80" t="str" cm="1">
        <f t="array" aca="1" ref="D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HYPERLINK("#'"&amp;Helper!$G$2&amp;"'!"&amp;CHAR(CODE("A")+COLUMN(_xlpm._columnNameHeader)-1)&amp;_xlpm._entryOffset,Definitions!$AY$4)))(Helper!$G$8,D$2,README!$E:$E,README!$I$35,README!$B$35)</f>
        <v>◈</v>
      </c>
      <c r="E1" s="80" t="str" cm="1">
        <f t="array" aca="1" ref="E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HYPERLINK("#'"&amp;Helper!$G$2&amp;"'!"&amp;CHAR(CODE("A")+COLUMN(_xlpm._columnNameHeader)-1)&amp;_xlpm._entryOffset,Definitions!$AY$4)))(Helper!$G$8,E$2,README!$E:$E,README!$I$35,README!$B$35)</f>
        <v>◈</v>
      </c>
      <c r="F1" s="80" t="str" cm="1">
        <f t="array" aca="1" ref="F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HYPERLINK("#'"&amp;Helper!$G$2&amp;"'!"&amp;CHAR(CODE("A")+COLUMN(_xlpm._columnNameHeader)-1)&amp;_xlpm._entryOffset,Definitions!$AY$4)))(Helper!$G$8,F$2,README!$E:$E,README!$I$35,README!$B$35)</f>
        <v>◈</v>
      </c>
      <c r="G1" s="80" t="str" cm="1">
        <f t="array" aca="1" ref="G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HYPERLINK("#'"&amp;Helper!$G$2&amp;"'!"&amp;CHAR(CODE("A")+COLUMN(_xlpm._columnNameHeader)-1)&amp;_xlpm._entryOffset,Definitions!$AY$4)))(Helper!$G$8,G$2,README!$E:$E,README!$I$35,README!$B$35)</f>
        <v>◈</v>
      </c>
      <c r="H1" s="80" t="str" cm="1">
        <f t="array" aca="1" ref="H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HYPERLINK("#'"&amp;Helper!$G$2&amp;"'!"&amp;CHAR(CODE("A")+COLUMN(_xlpm._columnNameHeader)-1)&amp;_xlpm._entryOffset,Definitions!$AY$4)))(Helper!$G$8,H$2,README!$E:$E,README!$I$35,README!$B$35)</f>
        <v>◈</v>
      </c>
      <c r="I1" s="80" t="str" cm="1">
        <f t="array" aca="1" ref="I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HYPERLINK("#'"&amp;Helper!$G$2&amp;"'!"&amp;CHAR(CODE("A")+COLUMN(_xlpm._columnNameHeader)-1)&amp;_xlpm._entryOffset,Definitions!$AY$4)))(Helper!$G$8,I$2,README!$E:$E,README!$I$35,README!$B$35)</f>
        <v>◈</v>
      </c>
      <c r="J1" s="80" t="str" cm="1">
        <f t="array" aca="1" ref="J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HYPERLINK("#'"&amp;Helper!$G$2&amp;"'!"&amp;CHAR(CODE("A")+COLUMN(_xlpm._columnNameHeader)-1)&amp;_xlpm._entryOffset,Definitions!$AY$4)))(Helper!$G$8,J$2,README!$E:$E,README!$I$35,README!$B$35)</f>
        <v>◈</v>
      </c>
      <c r="K1" s="80" t="str" cm="1">
        <f t="array" aca="1" ref="K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HYPERLINK("#'"&amp;Helper!$G$2&amp;"'!"&amp;CHAR(CODE("A")+COLUMN(_xlpm._columnNameHeader)-1)&amp;_xlpm._entryOffset,Definitions!$AY$4)))(Helper!$G$8,K$2,README!$E:$E,README!$I$35,README!$B$35)</f>
        <v>◈</v>
      </c>
      <c r="L1" s="80" t="str" cm="1">
        <f t="array" aca="1" ref="L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HYPERLINK("#'"&amp;Helper!$G$2&amp;"'!"&amp;CHAR(CODE("A")+COLUMN(_xlpm._columnNameHeader)-1)&amp;_xlpm._entryOffset,Definitions!$AY$4)))(Helper!$G$8,L$2,README!$E:$E,README!$I$35,README!$B$35)</f>
        <v>◈</v>
      </c>
      <c r="M1" s="80" t="str" cm="1">
        <f t="array" aca="1" ref="M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HYPERLINK("#'"&amp;Helper!$G$2&amp;"'!"&amp;CHAR(CODE("A")+COLUMN(_xlpm._columnNameHeader)-1)&amp;_xlpm._entryOffset,Definitions!$AY$4)))(Helper!$G$8,M$2,README!$E:$E,README!$I$35,README!$B$35)</f>
        <v>◈</v>
      </c>
      <c r="N1" s="80" t="str" cm="1">
        <f t="array" aca="1" ref="N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HYPERLINK("#'"&amp;Helper!$G$2&amp;"'!"&amp;CHAR(CODE("A")+COLUMN(_xlpm._columnNameHeader)-1)&amp;_xlpm._entryOffset,Definitions!$AY$4)))(Helper!$G$8,N$2,README!$E:$E,README!$I$35,README!$B$35)</f>
        <v>◈</v>
      </c>
      <c r="O1" s="80" t="str" cm="1">
        <f t="array" aca="1" ref="O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HYPERLINK("#'"&amp;Helper!$G$2&amp;"'!"&amp;CHAR(CODE("A")+COLUMN(_xlpm._columnNameHeader)-1)&amp;_xlpm._entryOffset,Definitions!$AY$4)))(Helper!$G$8,O$2,README!$E:$E,README!$I$35,README!$B$35)</f>
        <v>◈</v>
      </c>
      <c r="P1" s="80" t="str" cm="1">
        <f t="array" aca="1" ref="P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HYPERLINK("#'"&amp;Helper!$G$2&amp;"'!"&amp;CHAR(CODE("A")+COLUMN(_xlpm._columnNameHeader)-1)&amp;_xlpm._entryOffset,Definitions!$AY$4)))(Helper!$G$8,P$2,README!$E:$E,README!$I$35,README!$B$35)</f>
        <v>◈</v>
      </c>
      <c r="Q1" s="80" t="str" cm="1">
        <f t="array" aca="1" ref="Q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HYPERLINK("#'"&amp;Helper!$G$2&amp;"'!"&amp;CHAR(CODE("A")+COLUMN(_xlpm._columnNameHeader)-1)&amp;_xlpm._entryOffset,Definitions!$AY$4)))(Helper!$G$8,Q$2,README!$E:$E,README!$I$35,README!$B$35)</f>
        <v>◈</v>
      </c>
      <c r="R1" s="80" t="str" cm="1">
        <f t="array" aca="1" ref="R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HYPERLINK("#'"&amp;Helper!$G$2&amp;"'!"&amp;CHAR(CODE("A")+COLUMN(_xlpm._columnNameHeader)-1)&amp;_xlpm._entryOffset,Definitions!$AY$4)))(Helper!$G$8,R$2,README!$E:$E,README!$I$35,README!$B$35)</f>
        <v>◈</v>
      </c>
      <c r="S1" s="80" t="str" cm="1">
        <f t="array" aca="1" ref="S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HYPERLINK("#'"&amp;Helper!$G$2&amp;"'!"&amp;CHAR(CODE("A")+COLUMN(_xlpm._columnNameHeader)-1)&amp;_xlpm._entryOffset,Definitions!$AY$4)))(Helper!$G$8,S$2,README!$E:$E,README!$I$35,README!$B$35)</f>
        <v>◈</v>
      </c>
      <c r="T1" s="80" t="str" cm="1">
        <f t="array" aca="1" ref="T1" ca="1">_xlfn.LAMBDA(_xlpm._thisSheet,_xlpm._columnName,_xlpm._readmeSheetsRange,_xlpm._columnSearchHeader,_xlpm._columnNameHeader,
_xlfn.LET(
_xlpm._rowColumnNameHeader,ROW(_xlpm._columnNameHeader),
_xlpm._startOfSheetExplanations,MATCH(_xlpm._thisSheet,_xlpm._readmeSheetsRange,0),
_xlpm._numberOfEntriesForSheet,COUNTIF(_xlpm._readmeSheetsRange,_xlpm._thisSheet),
_xlpm._searchRange,OFFSET(_xlpm._columnSearchHeader,_xlpm._startOfSheetExplanations-_xlpm._rowColumnNameHeader,0,_xlpm._numberOfEntriesForSheet,1),
_xlpm._entryOffset,MATCH(_xlpm._columnName,_xlpm._searchRange,0)-1+_xlpm._startOfSheetExplanations,
HYPERLINK("#'"&amp;Helper!$G$2&amp;"'!"&amp;CHAR(CODE("A")+COLUMN(_xlpm._columnNameHeader)-1)&amp;_xlpm._entryOffset,Definitions!$AY$4)))(Helper!$G$8,T$2,README!$E:$E,README!$I$35,README!$B$35)</f>
        <v>◈</v>
      </c>
    </row>
    <row r="2" spans="1:42" x14ac:dyDescent="0.25">
      <c r="A2" s="9" t="s">
        <v>46</v>
      </c>
      <c r="B2" s="9" t="s">
        <v>229</v>
      </c>
      <c r="C2" s="9" t="s">
        <v>184</v>
      </c>
      <c r="D2" s="9" t="s">
        <v>90</v>
      </c>
      <c r="E2" s="12" t="s">
        <v>1538</v>
      </c>
      <c r="F2" s="9" t="s">
        <v>795</v>
      </c>
      <c r="G2" s="12" t="s">
        <v>794</v>
      </c>
      <c r="H2" s="9" t="s">
        <v>333</v>
      </c>
      <c r="I2" s="12" t="s">
        <v>334</v>
      </c>
      <c r="J2" s="9" t="s">
        <v>341</v>
      </c>
      <c r="K2" s="12" t="s">
        <v>342</v>
      </c>
      <c r="L2" s="9" t="s">
        <v>102</v>
      </c>
      <c r="M2" s="9" t="s">
        <v>109</v>
      </c>
      <c r="N2" s="9" t="s">
        <v>114</v>
      </c>
      <c r="O2" s="9" t="s">
        <v>118</v>
      </c>
      <c r="P2" s="9" t="s">
        <v>123</v>
      </c>
      <c r="Q2" s="12" t="s">
        <v>159</v>
      </c>
      <c r="R2" s="9" t="s">
        <v>1401</v>
      </c>
      <c r="S2" s="9" t="s">
        <v>1481</v>
      </c>
      <c r="T2" s="9" t="s">
        <v>2</v>
      </c>
      <c r="U2" s="9" t="s">
        <v>47</v>
      </c>
      <c r="V2" s="9" t="s">
        <v>354</v>
      </c>
      <c r="W2" s="9" t="s">
        <v>355</v>
      </c>
      <c r="X2" s="9" t="s">
        <v>196</v>
      </c>
      <c r="Y2" s="9" t="s">
        <v>238</v>
      </c>
      <c r="Z2" s="9" t="s">
        <v>70</v>
      </c>
      <c r="AA2" s="9" t="s">
        <v>382</v>
      </c>
      <c r="AB2" s="9" t="s">
        <v>381</v>
      </c>
      <c r="AC2" s="9" t="s">
        <v>347</v>
      </c>
      <c r="AD2" s="9" t="s">
        <v>353</v>
      </c>
      <c r="AE2" s="9" t="s">
        <v>380</v>
      </c>
      <c r="AF2" s="9" t="s">
        <v>468</v>
      </c>
      <c r="AG2" s="9" t="s">
        <v>482</v>
      </c>
      <c r="AH2" s="9" t="s">
        <v>1436</v>
      </c>
      <c r="AI2" s="9" t="s">
        <v>533</v>
      </c>
      <c r="AJ2" s="9" t="s">
        <v>520</v>
      </c>
      <c r="AK2" s="9" t="s">
        <v>534</v>
      </c>
      <c r="AL2" s="9" t="s">
        <v>548</v>
      </c>
      <c r="AM2" s="9" t="s">
        <v>549</v>
      </c>
      <c r="AN2" s="9" t="s">
        <v>1231</v>
      </c>
      <c r="AO2" s="9" t="s">
        <v>1515</v>
      </c>
      <c r="AP2" s="9" t="s">
        <v>1516</v>
      </c>
    </row>
    <row r="3" spans="1:42" x14ac:dyDescent="0.25">
      <c r="A3" s="9" t="s">
        <v>1725</v>
      </c>
      <c r="B3" s="10" t="s">
        <v>1726</v>
      </c>
      <c r="C3" s="10" t="s">
        <v>1727</v>
      </c>
      <c r="D3" s="10" t="s">
        <v>335</v>
      </c>
      <c r="E3" s="25" t="str" cm="1">
        <f t="array" ref="E3">OperateOnList(
  SanitizeInput($D3),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v>
      </c>
      <c r="F3" s="10"/>
      <c r="G3" s="13" t="str" cm="1">
        <f t="array" ref="G3">LookupNames($F3,'Attack Steps'!$A:$B)</f>
        <v/>
      </c>
      <c r="H3" s="10"/>
      <c r="I3" s="13" t="str" cm="1">
        <f t="array" ref="I3">RemoveDelimiter(GetValuesWithFallback(SanitizeInput($H3),$A:$B,Assumptions!$A:$B," ",","&amp;CHAR(10),TRUE),","&amp;CHAR(10))</f>
        <v/>
      </c>
      <c r="J3" s="10"/>
      <c r="K3" s="25" t="str" cm="1">
        <f t="array" ref="K3">IF($J3="","",SUBSTITUTE(SUBSTITUTE(SUBSTITUTE(SUBSTITUTE(SUBSTITUTE(SUBSTITUTE(SUBSTITUTE(SUBSTITUTE(SUBSTITUTE(
GetTransformation(SanitizeInput($J3),'Damage Scenarios'!$A:$J,COLUMNS('Damage Scenarios'!$A:$J),CHAR(10),"[#0][#1][#2]")&amp;"§",
"[#1][#2]",""),
"[#2]",""),
"[#0][#1]","[#1]"),
"[#0]","Removes:"&amp;CHAR(10)),
"[#1]","Transforms:"&amp;CHAR(10)),
CHAR(10)&amp;"§",""),
"§",""),
CHAR(10),CHAR(10)&amp;"   "),
"   "&amp;"Transforms:","Transforms:"))</f>
        <v/>
      </c>
      <c r="L3" s="10"/>
      <c r="M3" s="10"/>
      <c r="N3" s="10"/>
      <c r="O3" s="10"/>
      <c r="P3" s="10"/>
      <c r="Q3" s="13" t="str">
        <f ca="1">IF($A3="","",IFERROR(VLOOKUP($Z3,Definitions!$V:$W,COLUMNS(Definitions!$V:$W),TRUE),""))</f>
        <v>Basic</v>
      </c>
      <c r="R3" s="10" t="s">
        <v>55</v>
      </c>
      <c r="S3" s="10"/>
      <c r="T3" s="10"/>
      <c r="U3" s="9" cm="1">
        <f t="array" aca="1" ref="U3" ca="1">CreateID($U$2,$A3&lt;&gt;"")</f>
        <v>1</v>
      </c>
      <c r="V3" s="11" t="b" cm="1">
        <f t="array" ref="V3">CheckRelevance(SanitizeInput(F3),Questionnaire!$J:$J)</f>
        <v>0</v>
      </c>
      <c r="W3" s="11" t="b">
        <f>IFERROR(_xlfn.XMATCH("*,"&amp;$A3&amp;",*",Mitigation!$X:$X,2)&gt;0,FALSE)</f>
        <v>0</v>
      </c>
      <c r="X3" s="11" cm="1">
        <f t="array" ref="X3">CreateTaskID($X$2,$X:$X,Tasks!$B$17,$T3)</f>
        <v>0</v>
      </c>
      <c r="Y3" s="11" t="str" cm="1">
        <f t="array" ref="Y3">CreateSearchString($F3)</f>
        <v/>
      </c>
      <c r="Z3" s="11" cm="1">
        <f t="array" aca="1" ref="Z3" ca="1">OperateOnRange(
  $L3,
  TRUE,
  Helper!$B$16,
  0,
  _xlfn.LAMBDA(_xlpm._factor,IF(_xlpm._factor="",0,SimpleLookup(_xlpm._factor,Definitions!$Z:$AA))),
  _xlfn.LAMBDA(_xlpm._x,_xlpm._y,_xlpm._x+_xlpm._y))</f>
        <v>0</v>
      </c>
      <c r="AA3" s="11" t="str" cm="1">
        <f t="array" ref="AA3">CreateSearchString($H3)</f>
        <v/>
      </c>
      <c r="AB3" s="11" t="b" cm="1">
        <f t="array" aca="1" ref="AB3" ca="1">IF($A3="",FALSE,
OR($AG3,_xlfn.LAMBDA(_xlpm._ownID,_xlpm._searchHeader,_xlpm._resultHeader,_xlpm._elementCount,_xlpm._delimiter,_xlpm._activeInTreatmentRange,_xlpm._activeByAnswersRange,_xlpm._dependencies,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InverseLookup(_xlpm._ownID,_xlpm._searchHeader,_xlpm._resultHeader,1,_xlpm._elementCount,_xlpm._delimiter))))))($A3,$AA$2,$A$2,Helper!$B$4,",",$A:$W,$A:$AG,InverseLookup($A3,$AA$2,$A$2,1,Helper!$B$4,","))))</f>
        <v>1</v>
      </c>
      <c r="AC3" s="11" t="str" cm="1">
        <f t="array" aca="1" ref="AC3" ca="1">IF(OR($W3,$AB3,$AG3),CreateSearchString($H3),"")</f>
        <v/>
      </c>
      <c r="AD3" s="11" t="str" cm="1">
        <f t="array" ref="AD3">SUBSTITUTE(IF($W3,CreateSearchString($J3),""),"&gt;",",")</f>
        <v/>
      </c>
      <c r="AE3" s="11" cm="1">
        <f t="array" aca="1" ref="AE3" ca="1">CreateID($AE$2,$AB3)</f>
        <v>1</v>
      </c>
      <c r="AF3" s="11" t="str" cm="1">
        <f t="array" aca="1" ref="AF3" ca="1">IF($AB3,CreateSearchString($R3),"")</f>
        <v/>
      </c>
      <c r="AG3" s="11" t="b">
        <f>OR(CheckRelevance(SanitizeInput($D3),Questionnaire!$J:$J),CheckRelevance(SanitizeInput($D3),Questionnaire!$K:$K))</f>
        <v>1</v>
      </c>
      <c r="AH3" s="11" t="str" cm="1">
        <f t="array" ref="AH3">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FilterPreconditionCandidates(RemoveFirstElement(_xlpm._preconditionCandidates),_xlpm._searchColumn,_xlpm._delimiter))))(SanitizeInput($D3),Questionnaire!$AB:$AB,",")</f>
        <v>*,</v>
      </c>
      <c r="AI3" s="11" t="str" cm="1">
        <f t="array" ref="AI3">IF($D3="*","",InverseLookupList($AH3,Questionnaire!$AB$3,Questionnaire!$B$3,Helper!$B$12,","))</f>
        <v/>
      </c>
      <c r="AJ3" s="11" t="str" cm="1">
        <f t="array" ref="AJ3">RemoveDelimiter(GetValues($AI3,Questionnaire!$B:$H," ",CHAR(10)&amp;CHAR(10),TRUE),CHAR(10)&amp;CHAR(10))</f>
        <v/>
      </c>
      <c r="AK3" s="11" t="str" cm="1">
        <f t="array" ref="AK3">CreateSearchString($AI3)</f>
        <v/>
      </c>
      <c r="AL3" s="11" t="str" cm="1">
        <f t="array" aca="1" ref="AL3" ca="1">InverseLookup($A3,Mitigation!$AD$2,Mitigation!$A$2,1,Helper!$B$5,",")</f>
        <v/>
      </c>
      <c r="AM3" s="11" t="str" cm="1">
        <f t="array" aca="1" ref="AM3" ca="1">CreateSearchString(GetValues($AL3,'Attack Steps'!$A:$P,"",",",FALSE))</f>
        <v/>
      </c>
      <c r="AN3" s="11" t="str">
        <f t="shared" ref="AN3:AN33" si="0">IF($A3="","",$A3)</f>
        <v>C0</v>
      </c>
      <c r="AO3" s="11" t="str" cm="1">
        <f t="array" ref="AO3">_xlfn.SWITCH($D3,
"*","",
"","",
_xlfn.LET(
_xlpm._answers,SUBSTITUTE(SanitizeInput($D3),"&amp;",","),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IF(_xlpm._questionIDUndefined,$A3&amp;" - "&amp;_xlpm._question&amp;": ERROR: Unknown question ID.",
        IF(_xlpm._firstAnswerIsValidOption,"",$A3&amp;" - "&amp;_xlpm._question&amp;": First answer ("&amp;_xlpm._firstAnswer&amp;") is not a valid option.")&amp;
        IF(_xlpm._secondAnswerRequired,IF(_xlpm._secondAnswerProvided,"",$A3&amp;" - "&amp;_xlpm._question&amp;": Second answer required but not provided."),"")&amp;
        IF(NOT(_xlpm._secondAnswerRequired),IF(_xlpm._secondAnswerProvided,$A3&amp;" - "&amp;_xlpm._question&amp;": Second answer ("&amp;_xlpm._secondAnswer&amp;") provided but the question only supports one answer.",""),"")&amp;
        IF(_xlpm._secondAnswerIsValidOption,"",$A3&amp;" - "&amp;_xlpm._question&amp;": Second answer ("&amp;_xlpm._secondAnswer&amp;") is not a valid option.")))),
  _xlfn.LAMBDA(_xlpm._x,_xlpm._y,_xlpm._x&amp;IF(_xlpm._x="","",CHAR(10))&amp;_xlpm._y))))</f>
        <v/>
      </c>
      <c r="AP3" s="11" cm="1">
        <f t="array" aca="1" ref="AP3" ca="1">CreateID($AP$2,$AO3&lt;&gt;"")</f>
        <v>0</v>
      </c>
    </row>
    <row r="4" spans="1:42" ht="30" x14ac:dyDescent="0.25">
      <c r="A4" s="9" t="s">
        <v>1681</v>
      </c>
      <c r="B4" s="10" t="s">
        <v>1682</v>
      </c>
      <c r="C4" s="10" t="s">
        <v>1683</v>
      </c>
      <c r="D4" s="10" t="s">
        <v>335</v>
      </c>
      <c r="E4" s="25" t="str" cm="1">
        <f t="array" ref="E4">OperateOnList(
  SanitizeInput($D4),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v>
      </c>
      <c r="F4" s="10"/>
      <c r="G4" s="13" t="str" cm="1">
        <f t="array" ref="G4">LookupNames($F4,'Attack Steps'!$A:$B)</f>
        <v/>
      </c>
      <c r="H4" s="10"/>
      <c r="I4" s="13" t="str" cm="1">
        <f t="array" ref="I4">RemoveDelimiter(GetValuesWithFallback(SanitizeInput($H4),$A:$B,Assumptions!$A:$B," ",","&amp;CHAR(10),TRUE),","&amp;CHAR(10))</f>
        <v/>
      </c>
      <c r="J4" s="10"/>
      <c r="K4" s="25" t="str" cm="1">
        <f t="array" ref="K4">IF($J4="","",SUBSTITUTE(SUBSTITUTE(SUBSTITUTE(SUBSTITUTE(SUBSTITUTE(SUBSTITUTE(SUBSTITUTE(SUBSTITUTE(SUBSTITUTE(
GetTransformation(SanitizeInput($J4),'Damage Scenarios'!$A:$J,COLUMNS('Damage Scenarios'!$A:$J),CHAR(10),"[#0][#1][#2]")&amp;"§",
"[#1][#2]",""),
"[#2]",""),
"[#0][#1]","[#1]"),
"[#0]","Removes:"&amp;CHAR(10)),
"[#1]","Transforms:"&amp;CHAR(10)),
CHAR(10)&amp;"§",""),
"§",""),
CHAR(10),CHAR(10)&amp;"   "),
"   "&amp;"Transforms:","Transforms:"))</f>
        <v/>
      </c>
      <c r="L4" s="10"/>
      <c r="M4" s="10"/>
      <c r="N4" s="10"/>
      <c r="O4" s="10"/>
      <c r="P4" s="10"/>
      <c r="Q4" s="13" t="str">
        <f ca="1">IF($A4="","",IFERROR(VLOOKUP($Z4,Definitions!$V:$W,COLUMNS(Definitions!$V:$W),TRUE),""))</f>
        <v>Basic</v>
      </c>
      <c r="R4" s="10"/>
      <c r="S4" s="10"/>
      <c r="T4" s="10" t="s">
        <v>1684</v>
      </c>
      <c r="U4" s="9" cm="1">
        <f t="array" aca="1" ref="U4" ca="1">CreateID($U$2,$A4&lt;&gt;"")</f>
        <v>2</v>
      </c>
      <c r="V4" s="11" t="b" cm="1">
        <f t="array" ref="V4">CheckRelevance(SanitizeInput(F4),Questionnaire!$J:$J)</f>
        <v>0</v>
      </c>
      <c r="W4" s="11" t="b">
        <f>IFERROR(_xlfn.XMATCH("*,"&amp;$A4&amp;",*",Mitigation!$X:$X,2)&gt;0,FALSE)</f>
        <v>0</v>
      </c>
      <c r="X4" s="11" cm="1">
        <f t="array" ref="X4">CreateTaskID($X$2,$X:$X,Tasks!$B$17,$T4)</f>
        <v>0</v>
      </c>
      <c r="Y4" s="11" t="str" cm="1">
        <f t="array" ref="Y4">CreateSearchString($F4)</f>
        <v/>
      </c>
      <c r="Z4" s="11" cm="1">
        <f t="array" aca="1" ref="Z4" ca="1">OperateOnRange(
  $L4,
  TRUE,
  Helper!$B$16,
  0,
  _xlfn.LAMBDA(_xlpm._factor,IF(_xlpm._factor="",0,SimpleLookup(_xlpm._factor,Definitions!$Z:$AA))),
  _xlfn.LAMBDA(_xlpm._x,_xlpm._y,_xlpm._x+_xlpm._y))</f>
        <v>0</v>
      </c>
      <c r="AA4" s="11" t="str" cm="1">
        <f t="array" ref="AA4">CreateSearchString($H4)</f>
        <v/>
      </c>
      <c r="AB4" s="11" t="b" cm="1">
        <f t="array" aca="1" ref="AB4" ca="1">IF($A4="",FALSE,
OR($AG4,_xlfn.LAMBDA(_xlpm._ownID,_xlpm._searchHeader,_xlpm._resultHeader,_xlpm._elementCount,_xlpm._delimiter,_xlpm._activeInTreatmentRange,_xlpm._activeByAnswersRange,_xlpm._dependencies,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InverseLookup(_xlpm._ownID,_xlpm._searchHeader,_xlpm._resultHeader,1,_xlpm._elementCount,_xlpm._delimiter))))))($A4,$AA$2,$A$2,Helper!$B$4,",",$A:$W,$A:$AG,InverseLookup($A4,$AA$2,$A$2,1,Helper!$B$4,","))))</f>
        <v>1</v>
      </c>
      <c r="AC4" s="11" t="str" cm="1">
        <f t="array" aca="1" ref="AC4" ca="1">IF(OR($W4,$AB4,$AG4),CreateSearchString($H4),"")</f>
        <v/>
      </c>
      <c r="AD4" s="11" t="str" cm="1">
        <f t="array" ref="AD4">SUBSTITUTE(IF($W4,CreateSearchString($J4),""),"&gt;",",")</f>
        <v/>
      </c>
      <c r="AE4" s="11" cm="1">
        <f t="array" aca="1" ref="AE4" ca="1">CreateID($AE$2,$AB4)</f>
        <v>2</v>
      </c>
      <c r="AF4" s="11" t="str" cm="1">
        <f t="array" aca="1" ref="AF4" ca="1">IF($AB4,CreateSearchString($R4),"")</f>
        <v/>
      </c>
      <c r="AG4" s="11" t="b">
        <f>OR(CheckRelevance(SanitizeInput($D4),Questionnaire!$J:$J),CheckRelevance(SanitizeInput($D4),Questionnaire!$K:$K))</f>
        <v>1</v>
      </c>
      <c r="AH4" s="11" t="str" cm="1">
        <f t="array" ref="AH4">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FilterPreconditionCandidates(RemoveFirstElement(_xlpm._preconditionCandidates),_xlpm._searchColumn,_xlpm._delimiter))))(SanitizeInput($D4),Questionnaire!$AB:$AB,",")</f>
        <v>*,</v>
      </c>
      <c r="AI4" s="11" t="str" cm="1">
        <f t="array" ref="AI4">IF($D4="*","",InverseLookupList($AH4,Questionnaire!$AB$3,Questionnaire!$B$3,Helper!$B$12,","))</f>
        <v/>
      </c>
      <c r="AJ4" s="11" t="str" cm="1">
        <f t="array" ref="AJ4">RemoveDelimiter(GetValues($AI4,Questionnaire!$B:$H," ",CHAR(10)&amp;CHAR(10),TRUE),CHAR(10)&amp;CHAR(10))</f>
        <v/>
      </c>
      <c r="AK4" s="11" t="str" cm="1">
        <f t="array" ref="AK4">CreateSearchString($AI4)</f>
        <v/>
      </c>
      <c r="AL4" s="11" t="str" cm="1">
        <f t="array" aca="1" ref="AL4" ca="1">InverseLookup($A4,Mitigation!$AD$2,Mitigation!$A$2,1,Helper!$B$5,",")</f>
        <v/>
      </c>
      <c r="AM4" s="11" t="str" cm="1">
        <f t="array" aca="1" ref="AM4" ca="1">CreateSearchString(GetValues($AL4,'Attack Steps'!$A:$P,"",",",FALSE))</f>
        <v/>
      </c>
      <c r="AN4" s="11" t="str">
        <f>IF($A4="","",$A4)</f>
        <v>DR1</v>
      </c>
      <c r="AO4" s="11" t="str" cm="1">
        <f t="array" ref="AO4">_xlfn.SWITCH($D4,
"*","",
"","",
_xlfn.LET(
_xlpm._answers,SUBSTITUTE(SanitizeInput($D4),"&amp;",","),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IF(_xlpm._questionIDUndefined,$A4&amp;" - "&amp;_xlpm._question&amp;": ERROR: Unknown question ID.",
        IF(_xlpm._firstAnswerIsValidOption,"",$A4&amp;" - "&amp;_xlpm._question&amp;": First answer ("&amp;_xlpm._firstAnswer&amp;") is not a valid option.")&amp;
        IF(_xlpm._secondAnswerRequired,IF(_xlpm._secondAnswerProvided,"",$A4&amp;" - "&amp;_xlpm._question&amp;": Second answer required but not provided."),"")&amp;
        IF(NOT(_xlpm._secondAnswerRequired),IF(_xlpm._secondAnswerProvided,$A4&amp;" - "&amp;_xlpm._question&amp;": Second answer ("&amp;_xlpm._secondAnswer&amp;") provided but the question only supports one answer.",""),"")&amp;
        IF(_xlpm._secondAnswerIsValidOption,"",$A4&amp;" - "&amp;_xlpm._question&amp;": Second answer ("&amp;_xlpm._secondAnswer&amp;") is not a valid option.")))),
  _xlfn.LAMBDA(_xlpm._x,_xlpm._y,_xlpm._x&amp;IF(_xlpm._x="","",CHAR(10))&amp;_xlpm._y))))</f>
        <v/>
      </c>
      <c r="AP4" s="11" cm="1">
        <f t="array" aca="1" ref="AP4" ca="1">CreateID($AP$2,$AO4&lt;&gt;"")</f>
        <v>0</v>
      </c>
    </row>
    <row r="5" spans="1:42" x14ac:dyDescent="0.25">
      <c r="A5" s="9" t="s">
        <v>230</v>
      </c>
      <c r="B5" s="10" t="s">
        <v>556</v>
      </c>
      <c r="C5" s="10" t="s">
        <v>1732</v>
      </c>
      <c r="D5" s="10"/>
      <c r="E5" s="25" t="str" cm="1">
        <f t="array" ref="E5">OperateOnList(
  SanitizeInput($D5),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5" s="10"/>
      <c r="G5" s="13" t="str" cm="1">
        <f t="array" ref="G5">LookupNames($F5,'Attack Steps'!$A:$B)</f>
        <v/>
      </c>
      <c r="H5" s="10"/>
      <c r="I5" s="13" t="str" cm="1">
        <f t="array" ref="I5">RemoveDelimiter(GetValuesWithFallback(SanitizeInput($H5),$A:$B,Assumptions!$A:$B," ",","&amp;CHAR(10),TRUE),","&amp;CHAR(10))</f>
        <v/>
      </c>
      <c r="J5" s="10"/>
      <c r="K5" s="25" t="str" cm="1">
        <f t="array" ref="K5">IF($J5="","",SUBSTITUTE(SUBSTITUTE(SUBSTITUTE(SUBSTITUTE(SUBSTITUTE(SUBSTITUTE(SUBSTITUTE(SUBSTITUTE(SUBSTITUTE(
GetTransformation(SanitizeInput($J5),'Damage Scenarios'!$A:$J,COLUMNS('Damage Scenarios'!$A:$J),CHAR(10),"[#0][#1][#2]")&amp;"§",
"[#1][#2]",""),
"[#2]",""),
"[#0][#1]","[#1]"),
"[#0]","Removes:"&amp;CHAR(10)),
"[#1]","Transforms:"&amp;CHAR(10)),
CHAR(10)&amp;"§",""),
"§",""),
CHAR(10),CHAR(10)&amp;"   "),
"   "&amp;"Transforms:","Transforms:"))</f>
        <v/>
      </c>
      <c r="L5" s="10"/>
      <c r="M5" s="10"/>
      <c r="N5" s="10"/>
      <c r="O5" s="10"/>
      <c r="P5" s="10"/>
      <c r="Q5" s="13" t="str">
        <f ca="1">IF($A5="","",IFERROR(VLOOKUP($Z5,Definitions!$V:$W,COLUMNS(Definitions!$V:$W),TRUE),""))</f>
        <v>Basic</v>
      </c>
      <c r="R5" s="10" t="s">
        <v>449</v>
      </c>
      <c r="S5" s="10"/>
      <c r="T5" s="10"/>
      <c r="U5" s="9" cm="1">
        <f t="array" aca="1" ref="U5" ca="1">CreateID($U$2,$A5&lt;&gt;"")</f>
        <v>3</v>
      </c>
      <c r="V5" s="11" t="b" cm="1">
        <f t="array" ref="V5">CheckRelevance(SanitizeInput(F5),Questionnaire!$J:$J)</f>
        <v>0</v>
      </c>
      <c r="W5" s="11" t="b">
        <f>IFERROR(_xlfn.XMATCH("*,"&amp;$A5&amp;",*",Mitigation!$X:$X,2)&gt;0,FALSE)</f>
        <v>0</v>
      </c>
      <c r="X5" s="11" cm="1">
        <f t="array" ref="X5">CreateTaskID($X$2,$X:$X,Tasks!$B$17,$T5)</f>
        <v>0</v>
      </c>
      <c r="Y5" s="11" t="str" cm="1">
        <f t="array" ref="Y5">CreateSearchString($F5)</f>
        <v/>
      </c>
      <c r="Z5" s="11" cm="1">
        <f t="array" aca="1" ref="Z5" ca="1">OperateOnRange(
  $L5,
  TRUE,
  Helper!$B$16,
  0,
  _xlfn.LAMBDA(_xlpm._factor,IF(_xlpm._factor="",0,SimpleLookup(_xlpm._factor,Definitions!$Z:$AA))),
  _xlfn.LAMBDA(_xlpm._x,_xlpm._y,_xlpm._x+_xlpm._y))</f>
        <v>0</v>
      </c>
      <c r="AA5" s="11" t="str" cm="1">
        <f t="array" ref="AA5">CreateSearchString($H5)</f>
        <v/>
      </c>
      <c r="AB5" s="11" t="b" cm="1">
        <f t="array" aca="1" ref="AB5" ca="1">IF($A5="",FALSE,
OR($AG5,_xlfn.LAMBDA(_xlpm._ownID,_xlpm._searchHeader,_xlpm._resultHeader,_xlpm._elementCount,_xlpm._delimiter,_xlpm._activeInTreatmentRange,_xlpm._activeByAnswersRange,_xlpm._dependencies,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InverseLookup(_xlpm._ownID,_xlpm._searchHeader,_xlpm._resultHeader,1,_xlpm._elementCount,_xlpm._delimiter))))))($A5,$AA$2,$A$2,Helper!$B$4,",",$A:$W,$A:$AG,InverseLookup($A5,$AA$2,$A$2,1,Helper!$B$4,","))))</f>
        <v>0</v>
      </c>
      <c r="AC5" s="11" t="str" cm="1">
        <f t="array" aca="1" ref="AC5" ca="1">IF(OR($W5,$AB5,$AG5),CreateSearchString($H5),"")</f>
        <v/>
      </c>
      <c r="AD5" s="11" t="str" cm="1">
        <f t="array" ref="AD5">SUBSTITUTE(IF($W5,CreateSearchString($J5),""),"&gt;",",")</f>
        <v/>
      </c>
      <c r="AE5" s="11" cm="1">
        <f t="array" aca="1" ref="AE5" ca="1">CreateID($AE$2,$AB5)</f>
        <v>2</v>
      </c>
      <c r="AF5" s="11" t="str" cm="1">
        <f t="array" aca="1" ref="AF5" ca="1">IF($AB5,CreateSearchString($R5),"")</f>
        <v/>
      </c>
      <c r="AG5" s="11" t="b">
        <f>OR(CheckRelevance(SanitizeInput($D5),Questionnaire!$J:$J),CheckRelevance(SanitizeInput($D5),Questionnaire!$K:$K))</f>
        <v>0</v>
      </c>
      <c r="AH5" s="11" t="str" cm="1">
        <f t="array" ref="AH5">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FilterPreconditionCandidates(RemoveFirstElement(_xlpm._preconditionCandidates),_xlpm._searchColumn,_xlpm._delimiter))))(SanitizeInput($D5),Questionnaire!$AB:$AB,",")</f>
        <v/>
      </c>
      <c r="AI5" s="11" t="str" cm="1">
        <f t="array" ref="AI5">IF($D5="*","",InverseLookupList($AH5,Questionnaire!$AB$3,Questionnaire!$B$3,Helper!$B$12,","))</f>
        <v/>
      </c>
      <c r="AJ5" s="11" t="str" cm="1">
        <f t="array" ref="AJ5">RemoveDelimiter(GetValues($AI5,Questionnaire!$B:$H," ",CHAR(10)&amp;CHAR(10),TRUE),CHAR(10)&amp;CHAR(10))</f>
        <v/>
      </c>
      <c r="AK5" s="11" t="str" cm="1">
        <f t="array" ref="AK5">CreateSearchString($AI5)</f>
        <v/>
      </c>
      <c r="AL5" s="11" t="str" cm="1">
        <f t="array" aca="1" ref="AL5" ca="1">InverseLookup($A5,Mitigation!$AD$2,Mitigation!$A$2,1,Helper!$B$5,",")</f>
        <v/>
      </c>
      <c r="AM5" s="11" t="str" cm="1">
        <f t="array" aca="1" ref="AM5" ca="1">CreateSearchString(GetValues($AL5,'Attack Steps'!$A:$P,"",",",FALSE))</f>
        <v/>
      </c>
      <c r="AN5" s="11" t="str">
        <f t="shared" si="0"/>
        <v>C1</v>
      </c>
      <c r="AO5" s="11" t="str" cm="1">
        <f t="array" ref="AO5">_xlfn.SWITCH($D5,
"*","",
"","",
_xlfn.LET(
_xlpm._answers,SUBSTITUTE(SanitizeInput($D5),"&amp;",","),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IF(_xlpm._questionIDUndefined,$A5&amp;" - "&amp;_xlpm._question&amp;": ERROR: Unknown question ID.",
        IF(_xlpm._firstAnswerIsValidOption,"",$A5&amp;" - "&amp;_xlpm._question&amp;": First answer ("&amp;_xlpm._firstAnswer&amp;") is not a valid option.")&amp;
        IF(_xlpm._secondAnswerRequired,IF(_xlpm._secondAnswerProvided,"",$A5&amp;" - "&amp;_xlpm._question&amp;": Second answer required but not provided."),"")&amp;
        IF(NOT(_xlpm._secondAnswerRequired),IF(_xlpm._secondAnswerProvided,$A5&amp;" - "&amp;_xlpm._question&amp;": Second answer ("&amp;_xlpm._secondAnswer&amp;") provided but the question only supports one answer.",""),"")&amp;
        IF(_xlpm._secondAnswerIsValidOption,"",$A5&amp;" - "&amp;_xlpm._question&amp;": Second answer ("&amp;_xlpm._secondAnswer&amp;") is not a valid option.")))),
  _xlfn.LAMBDA(_xlpm._x,_xlpm._y,_xlpm._x&amp;IF(_xlpm._x="","",CHAR(10))&amp;_xlpm._y))))</f>
        <v/>
      </c>
      <c r="AP5" s="11" cm="1">
        <f t="array" aca="1" ref="AP5" ca="1">CreateID($AP$2,$AO5&lt;&gt;"")</f>
        <v>0</v>
      </c>
    </row>
    <row r="6" spans="1:42" ht="132.75" x14ac:dyDescent="0.25">
      <c r="A6" s="9" t="s">
        <v>232</v>
      </c>
      <c r="B6" s="10" t="s">
        <v>557</v>
      </c>
      <c r="C6" s="10" t="s">
        <v>1732</v>
      </c>
      <c r="D6" s="10" t="s">
        <v>894</v>
      </c>
      <c r="E6" s="25" t="str" cm="1">
        <f t="array" aca="1" ref="E6" ca="1">OperateOnList(
  SanitizeInput($D6),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QA3 Does the product have a point-to-point connection to another device? [Yes]
» Is the connected device typically considered as trustworthy? [Yes],
QA4 Does the product have a direct connection to a local network? [Yes]
» Are the devices in the local network considered as trustworthy according to the intended use of the product? [Yes],
QA5 Does the product support wireless connections? [Yes]
» Is the access to the wireless connection restricted and are the devices the product communicates with considered as trustworthy? [Yes],
QA15 Is the product typically installed in an operational environment with public access? [No],
QA16 Are the product's physical connections (such as attached bus cables) typically installed in an environment with public access? [No]</v>
      </c>
      <c r="F6" s="10"/>
      <c r="G6" s="13" t="str" cm="1">
        <f t="array" ref="G6">LookupNames($F6,'Attack Steps'!$A:$B)</f>
        <v/>
      </c>
      <c r="H6" s="10"/>
      <c r="I6" s="13" t="str" cm="1">
        <f t="array" ref="I6">RemoveDelimiter(GetValuesWithFallback(SanitizeInput($H6),$A:$B,Assumptions!$A:$B," ",","&amp;CHAR(10),TRUE),","&amp;CHAR(10))</f>
        <v/>
      </c>
      <c r="J6" s="10"/>
      <c r="K6" s="25" t="str" cm="1">
        <f t="array" ref="K6">IF($J6="","",SUBSTITUTE(SUBSTITUTE(SUBSTITUTE(SUBSTITUTE(SUBSTITUTE(SUBSTITUTE(SUBSTITUTE(SUBSTITUTE(SUBSTITUTE(
GetTransformation(SanitizeInput($J6),'Damage Scenarios'!$A:$J,COLUMNS('Damage Scenarios'!$A:$J),CHAR(10),"[#0][#1][#2]")&amp;"§",
"[#1][#2]",""),
"[#2]",""),
"[#0][#1]","[#1]"),
"[#0]","Removes:"&amp;CHAR(10)),
"[#1]","Transforms:"&amp;CHAR(10)),
CHAR(10)&amp;"§",""),
"§",""),
CHAR(10),CHAR(10)&amp;"   "),
"   "&amp;"Transforms:","Transforms:"))</f>
        <v/>
      </c>
      <c r="L6" s="10"/>
      <c r="M6" s="10"/>
      <c r="N6" s="10"/>
      <c r="O6" s="10"/>
      <c r="P6" s="10"/>
      <c r="Q6" s="13" t="str">
        <f ca="1">IF($A6="","",IFERROR(VLOOKUP($Z6,Definitions!$V:$W,COLUMNS(Definitions!$V:$W),TRUE),""))</f>
        <v>Basic</v>
      </c>
      <c r="R6" s="10"/>
      <c r="S6" s="10"/>
      <c r="T6" s="10" t="s">
        <v>1073</v>
      </c>
      <c r="U6" s="9" cm="1">
        <f t="array" aca="1" ref="U6" ca="1">CreateID($U$2,$A6&lt;&gt;"")</f>
        <v>4</v>
      </c>
      <c r="V6" s="11" t="b" cm="1">
        <f t="array" ref="V6">CheckRelevance(SanitizeInput(F6),Questionnaire!$J:$J)</f>
        <v>0</v>
      </c>
      <c r="W6" s="11" t="b">
        <f>IFERROR(_xlfn.XMATCH("*,"&amp;$A6&amp;",*",Mitigation!$X:$X,2)&gt;0,FALSE)</f>
        <v>0</v>
      </c>
      <c r="X6" s="11" cm="1">
        <f t="array" ref="X6">CreateTaskID($X$2,$X:$X,Tasks!$B$17,$T6)</f>
        <v>0</v>
      </c>
      <c r="Y6" s="11" t="str" cm="1">
        <f t="array" ref="Y6">CreateSearchString($F6)</f>
        <v/>
      </c>
      <c r="Z6" s="11" cm="1">
        <f t="array" aca="1" ref="Z6" ca="1">OperateOnRange(
  $L6,
  TRUE,
  Helper!$B$16,
  0,
  _xlfn.LAMBDA(_xlpm._factor,IF(_xlpm._factor="",0,SimpleLookup(_xlpm._factor,Definitions!$Z:$AA))),
  _xlfn.LAMBDA(_xlpm._x,_xlpm._y,_xlpm._x+_xlpm._y))</f>
        <v>0</v>
      </c>
      <c r="AA6" s="11" t="str" cm="1">
        <f t="array" ref="AA6">CreateSearchString($H6)</f>
        <v/>
      </c>
      <c r="AB6" s="11" t="b" cm="1">
        <f t="array" aca="1" ref="AB6" ca="1">IF($A6="",FALSE,
OR($AG6,_xlfn.LAMBDA(_xlpm._ownID,_xlpm._searchHeader,_xlpm._resultHeader,_xlpm._elementCount,_xlpm._delimiter,_xlpm._activeInTreatmentRange,_xlpm._activeByAnswersRange,_xlpm._dependencies,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InverseLookup(_xlpm._ownID,_xlpm._searchHeader,_xlpm._resultHeader,1,_xlpm._elementCount,_xlpm._delimiter))))))($A6,$AA$2,$A$2,Helper!$B$4,",",$A:$W,$A:$AG,InverseLookup($A6,$AA$2,$A$2,1,Helper!$B$4,","))))</f>
        <v>0</v>
      </c>
      <c r="AC6" s="11" t="str" cm="1">
        <f t="array" aca="1" ref="AC6" ca="1">IF(OR($W6,$AB6,$AG6),CreateSearchString($H6),"")</f>
        <v/>
      </c>
      <c r="AD6" s="11" t="str" cm="1">
        <f t="array" ref="AD6">SUBSTITUTE(IF($W6,CreateSearchString($J6),""),"&gt;",",")</f>
        <v/>
      </c>
      <c r="AE6" s="11" cm="1">
        <f t="array" aca="1" ref="AE6" ca="1">CreateID($AE$2,$AB6)</f>
        <v>2</v>
      </c>
      <c r="AF6" s="11" t="str" cm="1">
        <f t="array" aca="1" ref="AF6" ca="1">IF($AB6,CreateSearchString($R6),"")</f>
        <v/>
      </c>
      <c r="AG6" s="11" t="b">
        <f ca="1">OR(CheckRelevance(SanitizeInput($D6),Questionnaire!$J:$J),CheckRelevance(SanitizeInput($D6),Questionnaire!$K:$K))</f>
        <v>0</v>
      </c>
      <c r="AH6" s="11" t="str" cm="1">
        <f t="array" aca="1" ref="AH6" ca="1">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FilterPreconditionCandidates(RemoveFirstElement(_xlpm._preconditionCandidates),_xlpm._searchColumn,_xlpm._delimiter))))(SanitizeInput($D6),Questionnaire!$AB:$AB,",")</f>
        <v/>
      </c>
      <c r="AI6" s="11" t="str" cm="1">
        <f t="array" aca="1" ref="AI6" ca="1">IF($D6="*","",InverseLookupList($AH6,Questionnaire!$AB$3,Questionnaire!$B$3,Helper!$B$12,","))</f>
        <v/>
      </c>
      <c r="AJ6" s="11" t="str" cm="1">
        <f t="array" aca="1" ref="AJ6" ca="1">RemoveDelimiter(GetValues($AI6,Questionnaire!$B:$H," ",CHAR(10)&amp;CHAR(10),TRUE),CHAR(10)&amp;CHAR(10))</f>
        <v/>
      </c>
      <c r="AK6" s="11" t="str" cm="1">
        <f t="array" aca="1" ref="AK6" ca="1">CreateSearchString($AI6)</f>
        <v/>
      </c>
      <c r="AL6" s="11" t="str" cm="1">
        <f t="array" aca="1" ref="AL6" ca="1">InverseLookup($A6,Mitigation!$AD$2,Mitigation!$A$2,1,Helper!$B$5,",")</f>
        <v/>
      </c>
      <c r="AM6" s="11" t="str" cm="1">
        <f t="array" aca="1" ref="AM6" ca="1">CreateSearchString(GetValues($AL6,'Attack Steps'!$A:$P,"",",",FALSE))</f>
        <v/>
      </c>
      <c r="AN6" s="11" t="str">
        <f t="shared" si="0"/>
        <v>C2</v>
      </c>
      <c r="AO6" s="17" t="str" cm="1">
        <f t="array" aca="1" ref="AO6" ca="1">_xlfn.SWITCH($D6,
"*","",
"","",
_xlfn.LET(
_xlpm._answers,SUBSTITUTE(SanitizeInput($D6),"&amp;",","),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IF(_xlpm._questionIDUndefined,$A6&amp;" - "&amp;_xlpm._question&amp;": ERROR: Unknown question ID.",
        IF(_xlpm._firstAnswerIsValidOption,"",$A6&amp;" - "&amp;_xlpm._question&amp;": First answer ("&amp;_xlpm._firstAnswer&amp;") is not a valid option.")&amp;
        IF(_xlpm._secondAnswerRequired,IF(_xlpm._secondAnswerProvided,"",$A6&amp;" - "&amp;_xlpm._question&amp;": Second answer required but not provided."),"")&amp;
        IF(NOT(_xlpm._secondAnswerRequired),IF(_xlpm._secondAnswerProvided,$A6&amp;" - "&amp;_xlpm._question&amp;": Second answer ("&amp;_xlpm._secondAnswer&amp;") provided but the question only supports one answer.",""),"")&amp;
        IF(_xlpm._secondAnswerIsValidOption,"",$A6&amp;" - "&amp;_xlpm._question&amp;": Second answer ("&amp;_xlpm._secondAnswer&amp;") is not a valid option.")))),
  _xlfn.LAMBDA(_xlpm._x,_xlpm._y,_xlpm._x&amp;IF(_xlpm._x="","",CHAR(10))&amp;_xlpm._y))))</f>
        <v/>
      </c>
      <c r="AP6" s="11" cm="1">
        <f t="array" aca="1" ref="AP6" ca="1">CreateID($AP$2,$AO6&lt;&gt;"")</f>
        <v>0</v>
      </c>
    </row>
    <row r="7" spans="1:42" ht="36.75" x14ac:dyDescent="0.25">
      <c r="A7" s="9" t="s">
        <v>292</v>
      </c>
      <c r="B7" s="10" t="s">
        <v>558</v>
      </c>
      <c r="C7" s="10" t="s">
        <v>1732</v>
      </c>
      <c r="D7" s="10"/>
      <c r="E7" s="25" t="str" cm="1">
        <f t="array" ref="E7">OperateOnList(
  SanitizeInput($D7),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7" s="10" t="s">
        <v>267</v>
      </c>
      <c r="G7" s="13" t="str" cm="1">
        <f t="array" aca="1" ref="G7" ca="1">LookupNames($F7,'Attack Steps'!$A:$B)</f>
        <v>AS22 Gaining physical access to the product (customer)</v>
      </c>
      <c r="H7" s="10" t="s">
        <v>1172</v>
      </c>
      <c r="I7" s="13" t="str" cm="1">
        <f t="array" aca="1" ref="I7" ca="1">RemoveDelimiter(GetValuesWithFallback(SanitizeInput($H7),$A:$B,Assumptions!$A:$B," ",","&amp;CHAR(10),TRUE),","&amp;CHAR(10))</f>
        <v>A38 SDR 1.20 - Least privilege for provided credentials</v>
      </c>
      <c r="J7" s="10" t="s">
        <v>1210</v>
      </c>
      <c r="K7" s="25" t="str" cm="1">
        <f t="array" aca="1" ref="K7" ca="1">IF($J7="","",SUBSTITUTE(SUBSTITUTE(SUBSTITUTE(SUBSTITUTE(SUBSTITUTE(SUBSTITUTE(SUBSTITUTE(SUBSTITUTE(SUBSTITUTE(
GetTransformation(SanitizeInput($J7),'Damage Scenarios'!$A:$J,COLUMNS('Damage Scenarios'!$A:$J),CHAR(10),"[#0][#1][#2]")&amp;"§",
"[#1][#2]",""),
"[#2]",""),
"[#0][#1]","[#1]"),
"[#0]","Removes:"&amp;CHAR(10)),
"[#1]","Transforms:"&amp;CHAR(10)),
CHAR(10)&amp;"§",""),
"§",""),
CHAR(10),CHAR(10)&amp;"   "),
"   "&amp;"Transforms:","Transforms:"))</f>
        <v xml:space="preserve">Removes:
   DS6 
   DS10 </v>
      </c>
      <c r="L7" s="10"/>
      <c r="M7" s="10"/>
      <c r="N7" s="10"/>
      <c r="O7" s="10"/>
      <c r="P7" s="10"/>
      <c r="Q7" s="13" t="str">
        <f ca="1">IF($A7="","",IFERROR(VLOOKUP($Z7,Definitions!$V:$W,COLUMNS(Definitions!$V:$W),TRUE),""))</f>
        <v>Basic</v>
      </c>
      <c r="R7" s="10" t="s">
        <v>452</v>
      </c>
      <c r="S7" s="10"/>
      <c r="T7" s="10" t="s">
        <v>1211</v>
      </c>
      <c r="U7" s="9" cm="1">
        <f t="array" aca="1" ref="U7" ca="1">CreateID($U$2,$A7&lt;&gt;"")</f>
        <v>5</v>
      </c>
      <c r="V7" s="11" t="b" cm="1">
        <f t="array" aca="1" ref="V7" ca="1">CheckRelevance(SanitizeInput(F7),Questionnaire!$J:$J)</f>
        <v>0</v>
      </c>
      <c r="W7" s="11" t="b">
        <f>IFERROR(_xlfn.XMATCH("*,"&amp;$A7&amp;",*",Mitigation!$X:$X,2)&gt;0,FALSE)</f>
        <v>0</v>
      </c>
      <c r="X7" s="11" cm="1">
        <f t="array" ref="X7">CreateTaskID($X$2,$X:$X,Tasks!$B$17,$T7)</f>
        <v>0</v>
      </c>
      <c r="Y7" s="11" t="str" cm="1">
        <f t="array" ref="Y7">CreateSearchString($F7)</f>
        <v>,AS22,</v>
      </c>
      <c r="Z7" s="11" cm="1">
        <f t="array" aca="1" ref="Z7" ca="1">OperateOnRange(
  $L7,
  TRUE,
  Helper!$B$16,
  0,
  _xlfn.LAMBDA(_xlpm._factor,IF(_xlpm._factor="",0,SimpleLookup(_xlpm._factor,Definitions!$Z:$AA))),
  _xlfn.LAMBDA(_xlpm._x,_xlpm._y,_xlpm._x+_xlpm._y))</f>
        <v>0</v>
      </c>
      <c r="AA7" s="11" t="str" cm="1">
        <f t="array" ref="AA7">CreateSearchString($H7)</f>
        <v>,A38,</v>
      </c>
      <c r="AB7" s="11" t="b" cm="1">
        <f t="array" aca="1" ref="AB7" ca="1">IF($A7="",FALSE,
OR($AG7,_xlfn.LAMBDA(_xlpm._ownID,_xlpm._searchHeader,_xlpm._resultHeader,_xlpm._elementCount,_xlpm._delimiter,_xlpm._activeInTreatmentRange,_xlpm._activeByAnswersRange,_xlpm._dependencies,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InverseLookup(_xlpm._ownID,_xlpm._searchHeader,_xlpm._resultHeader,1,_xlpm._elementCount,_xlpm._delimiter))))))($A7,$AA$2,$A$2,Helper!$B$4,",",$A:$W,$A:$AG,InverseLookup($A7,$AA$2,$A$2,1,Helper!$B$4,","))))</f>
        <v>0</v>
      </c>
      <c r="AC7" s="11" t="str" cm="1">
        <f t="array" aca="1" ref="AC7" ca="1">IF(OR($W7,$AB7,$AG7),CreateSearchString($H7),"")</f>
        <v/>
      </c>
      <c r="AD7" s="11" t="str" cm="1">
        <f t="array" ref="AD7">SUBSTITUTE(IF($W7,CreateSearchString($J7),""),"&gt;",",")</f>
        <v/>
      </c>
      <c r="AE7" s="11" cm="1">
        <f t="array" aca="1" ref="AE7" ca="1">CreateID($AE$2,$AB7)</f>
        <v>2</v>
      </c>
      <c r="AF7" s="11" t="str" cm="1">
        <f t="array" aca="1" ref="AF7" ca="1">IF($AB7,CreateSearchString($R7),"")</f>
        <v/>
      </c>
      <c r="AG7" s="11" t="b">
        <f>OR(CheckRelevance(SanitizeInput($D7),Questionnaire!$J:$J),CheckRelevance(SanitizeInput($D7),Questionnaire!$K:$K))</f>
        <v>0</v>
      </c>
      <c r="AH7" s="11" t="str" cm="1">
        <f t="array" ref="AH7">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FilterPreconditionCandidates(RemoveFirstElement(_xlpm._preconditionCandidates),_xlpm._searchColumn,_xlpm._delimiter))))(SanitizeInput($D7),Questionnaire!$AB:$AB,",")</f>
        <v/>
      </c>
      <c r="AI7" s="11" t="str" cm="1">
        <f t="array" ref="AI7">IF($D7="*","",InverseLookupList($AH7,Questionnaire!$AB$3,Questionnaire!$B$3,Helper!$B$12,","))</f>
        <v/>
      </c>
      <c r="AJ7" s="11" t="str" cm="1">
        <f t="array" ref="AJ7">RemoveDelimiter(GetValues($AI7,Questionnaire!$B:$H," ",CHAR(10)&amp;CHAR(10),TRUE),CHAR(10)&amp;CHAR(10))</f>
        <v/>
      </c>
      <c r="AK7" s="11" t="str" cm="1">
        <f t="array" ref="AK7">CreateSearchString($AI7)</f>
        <v/>
      </c>
      <c r="AL7" s="11" t="str" cm="1">
        <f t="array" aca="1" ref="AL7" ca="1">InverseLookup($A7,Mitigation!$AD$2,Mitigation!$A$2,1,Helper!$B$5,",")</f>
        <v/>
      </c>
      <c r="AM7" s="11" t="str" cm="1">
        <f t="array" aca="1" ref="AM7" ca="1">CreateSearchString(GetValues($AL7,'Attack Steps'!$A:$P,"",",",FALSE))</f>
        <v/>
      </c>
      <c r="AN7" s="11" t="str">
        <f t="shared" si="0"/>
        <v>C3</v>
      </c>
      <c r="AO7" s="11" t="str" cm="1">
        <f t="array" ref="AO7">_xlfn.SWITCH($D7,
"*","",
"","",
_xlfn.LET(
_xlpm._answers,SUBSTITUTE(SanitizeInput($D7),"&amp;",","),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IF(_xlpm._questionIDUndefined,$A7&amp;" - "&amp;_xlpm._question&amp;": ERROR: Unknown question ID.",
        IF(_xlpm._firstAnswerIsValidOption,"",$A7&amp;" - "&amp;_xlpm._question&amp;": First answer ("&amp;_xlpm._firstAnswer&amp;") is not a valid option.")&amp;
        IF(_xlpm._secondAnswerRequired,IF(_xlpm._secondAnswerProvided,"",$A7&amp;" - "&amp;_xlpm._question&amp;": Second answer required but not provided."),"")&amp;
        IF(NOT(_xlpm._secondAnswerRequired),IF(_xlpm._secondAnswerProvided,$A7&amp;" - "&amp;_xlpm._question&amp;": Second answer ("&amp;_xlpm._secondAnswer&amp;") provided but the question only supports one answer.",""),"")&amp;
        IF(_xlpm._secondAnswerIsValidOption,"",$A7&amp;" - "&amp;_xlpm._question&amp;": Second answer ("&amp;_xlpm._secondAnswer&amp;") is not a valid option.")))),
  _xlfn.LAMBDA(_xlpm._x,_xlpm._y,_xlpm._x&amp;IF(_xlpm._x="","",CHAR(10))&amp;_xlpm._y))))</f>
        <v/>
      </c>
      <c r="AP7" s="11" cm="1">
        <f t="array" aca="1" ref="AP7" ca="1">CreateID($AP$2,$AO7&lt;&gt;"")</f>
        <v>0</v>
      </c>
    </row>
    <row r="8" spans="1:42" ht="105" x14ac:dyDescent="0.25">
      <c r="A8" s="9" t="s">
        <v>293</v>
      </c>
      <c r="B8" s="10" t="s">
        <v>559</v>
      </c>
      <c r="C8" s="10" t="s">
        <v>1727</v>
      </c>
      <c r="D8" s="10"/>
      <c r="E8" s="25" t="str" cm="1">
        <f t="array" ref="E8">OperateOnList(
  SanitizeInput($D8),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8" s="10"/>
      <c r="G8" s="13" t="str" cm="1">
        <f t="array" ref="G8">LookupNames($F8,'Attack Steps'!$A:$B)</f>
        <v/>
      </c>
      <c r="H8" s="10" t="s">
        <v>972</v>
      </c>
      <c r="I8" s="13" t="str" cm="1">
        <f t="array" aca="1" ref="I8" ca="1">RemoveDelimiter(GetValuesWithFallback(SanitizeInput($H8),$A:$B,Assumptions!$A:$B," ",","&amp;CHAR(10),TRUE),","&amp;CHAR(10))</f>
        <v>C1 CCSC 1: Support of essential functions,
C3 CCSC 3: Least privilege,
C5 CR 1.3 – Account management,
C6 CR 1.4 – Identifier management,
C7 CR 1.12 – System use notification,
C8 CR 2.1 – Authorization enforcement,
C28 SRS 1.5 – Authenticator management</v>
      </c>
      <c r="J8" s="10"/>
      <c r="K8" s="25" t="str" cm="1">
        <f t="array" ref="K8">IF($J8="","",SUBSTITUTE(SUBSTITUTE(SUBSTITUTE(SUBSTITUTE(SUBSTITUTE(SUBSTITUTE(SUBSTITUTE(SUBSTITUTE(SUBSTITUTE(
GetTransformation(SanitizeInput($J8),'Damage Scenarios'!$A:$J,COLUMNS('Damage Scenarios'!$A:$J),CHAR(10),"[#0][#1][#2]")&amp;"§",
"[#1][#2]",""),
"[#2]",""),
"[#0][#1]","[#1]"),
"[#0]","Removes:"&amp;CHAR(10)),
"[#1]","Transforms:"&amp;CHAR(10)),
CHAR(10)&amp;"§",""),
"§",""),
CHAR(10),CHAR(10)&amp;"   "),
"   "&amp;"Transforms:","Transforms:"))</f>
        <v/>
      </c>
      <c r="L8" s="10"/>
      <c r="M8" s="10"/>
      <c r="N8" s="10"/>
      <c r="O8" s="10"/>
      <c r="P8" s="10"/>
      <c r="Q8" s="13" t="str">
        <f ca="1">IF($A8="","",IFERROR(VLOOKUP($Z8,Definitions!$V:$W,COLUMNS(Definitions!$V:$W),TRUE),""))</f>
        <v>Basic</v>
      </c>
      <c r="R8" s="10" t="s">
        <v>453</v>
      </c>
      <c r="S8" s="10"/>
      <c r="T8" s="10"/>
      <c r="U8" s="9" cm="1">
        <f t="array" aca="1" ref="U8" ca="1">CreateID($U$2,$A8&lt;&gt;"")</f>
        <v>6</v>
      </c>
      <c r="V8" s="11" t="b" cm="1">
        <f t="array" ref="V8">CheckRelevance(SanitizeInput(F8),Questionnaire!$J:$J)</f>
        <v>0</v>
      </c>
      <c r="W8" s="11" t="b">
        <f>IFERROR(_xlfn.XMATCH("*,"&amp;$A8&amp;",*",Mitigation!$X:$X,2)&gt;0,FALSE)</f>
        <v>0</v>
      </c>
      <c r="X8" s="11" cm="1">
        <f t="array" ref="X8">CreateTaskID($X$2,$X:$X,Tasks!$B$17,$T8)</f>
        <v>0</v>
      </c>
      <c r="Y8" s="11" t="str" cm="1">
        <f t="array" ref="Y8">CreateSearchString($F8)</f>
        <v/>
      </c>
      <c r="Z8" s="11" cm="1">
        <f t="array" aca="1" ref="Z8" ca="1">OperateOnRange(
  $L8,
  TRUE,
  Helper!$B$16,
  0,
  _xlfn.LAMBDA(_xlpm._factor,IF(_xlpm._factor="",0,SimpleLookup(_xlpm._factor,Definitions!$Z:$AA))),
  _xlfn.LAMBDA(_xlpm._x,_xlpm._y,_xlpm._x+_xlpm._y))</f>
        <v>0</v>
      </c>
      <c r="AA8" s="11" t="str" cm="1">
        <f t="array" ref="AA8">CreateSearchString($H8)</f>
        <v>,C1,C3,C5,C6,C7,C8,C28,</v>
      </c>
      <c r="AB8" s="11" t="b" cm="1">
        <f t="array" aca="1" ref="AB8" ca="1">IF($A8="",FALSE,
OR($AG8,_xlfn.LAMBDA(_xlpm._ownID,_xlpm._searchHeader,_xlpm._resultHeader,_xlpm._elementCount,_xlpm._delimiter,_xlpm._activeInTreatmentRange,_xlpm._activeByAnswersRange,_xlpm._dependencies,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InverseLookup(_xlpm._ownID,_xlpm._searchHeader,_xlpm._resultHeader,1,_xlpm._elementCount,_xlpm._delimiter))))))($A8,$AA$2,$A$2,Helper!$B$4,",",$A:$W,$A:$AG,InverseLookup($A8,$AA$2,$A$2,1,Helper!$B$4,","))))</f>
        <v>0</v>
      </c>
      <c r="AC8" s="11" t="str" cm="1">
        <f t="array" aca="1" ref="AC8" ca="1">IF(OR($W8,$AB8,$AG8),CreateSearchString($H8),"")</f>
        <v/>
      </c>
      <c r="AD8" s="11" t="str" cm="1">
        <f t="array" ref="AD8">SUBSTITUTE(IF($W8,CreateSearchString($J8),""),"&gt;",",")</f>
        <v/>
      </c>
      <c r="AE8" s="11" cm="1">
        <f t="array" aca="1" ref="AE8" ca="1">CreateID($AE$2,$AB8)</f>
        <v>2</v>
      </c>
      <c r="AF8" s="11" t="str" cm="1">
        <f t="array" aca="1" ref="AF8" ca="1">IF($AB8,CreateSearchString($R8),"")</f>
        <v/>
      </c>
      <c r="AG8" s="11" t="b">
        <f>OR(CheckRelevance(SanitizeInput($D8),Questionnaire!$J:$J),CheckRelevance(SanitizeInput($D8),Questionnaire!$K:$K))</f>
        <v>0</v>
      </c>
      <c r="AH8" s="11" t="str" cm="1">
        <f t="array" ref="AH8">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FilterPreconditionCandidates(RemoveFirstElement(_xlpm._preconditionCandidates),_xlpm._searchColumn,_xlpm._delimiter))))(SanitizeInput($D8),Questionnaire!$AB:$AB,",")</f>
        <v/>
      </c>
      <c r="AI8" s="11" t="str" cm="1">
        <f t="array" ref="AI8">IF($D8="*","",InverseLookupList($AH8,Questionnaire!$AB$3,Questionnaire!$B$3,Helper!$B$12,","))</f>
        <v/>
      </c>
      <c r="AJ8" s="11" t="str" cm="1">
        <f t="array" ref="AJ8">RemoveDelimiter(GetValues($AI8,Questionnaire!$B:$H," ",CHAR(10)&amp;CHAR(10),TRUE),CHAR(10)&amp;CHAR(10))</f>
        <v/>
      </c>
      <c r="AK8" s="11" t="str" cm="1">
        <f t="array" ref="AK8">CreateSearchString($AI8)</f>
        <v/>
      </c>
      <c r="AL8" s="11" t="str" cm="1">
        <f t="array" aca="1" ref="AL8" ca="1">InverseLookup($A8,Mitigation!$AD$2,Mitigation!$A$2,1,Helper!$B$5,",")</f>
        <v/>
      </c>
      <c r="AM8" s="11" t="str" cm="1">
        <f t="array" aca="1" ref="AM8" ca="1">CreateSearchString(GetValues($AL8,'Attack Steps'!$A:$P,"",",",FALSE))</f>
        <v/>
      </c>
      <c r="AN8" s="11" t="str">
        <f t="shared" si="0"/>
        <v>C4</v>
      </c>
      <c r="AO8" s="11" t="str" cm="1">
        <f t="array" ref="AO8">_xlfn.SWITCH($D8,
"*","",
"","",
_xlfn.LET(
_xlpm._answers,SUBSTITUTE(SanitizeInput($D8),"&amp;",","),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IF(_xlpm._questionIDUndefined,$A8&amp;" - "&amp;_xlpm._question&amp;": ERROR: Unknown question ID.",
        IF(_xlpm._firstAnswerIsValidOption,"",$A8&amp;" - "&amp;_xlpm._question&amp;": First answer ("&amp;_xlpm._firstAnswer&amp;") is not a valid option.")&amp;
        IF(_xlpm._secondAnswerRequired,IF(_xlpm._secondAnswerProvided,"",$A8&amp;" - "&amp;_xlpm._question&amp;": Second answer required but not provided."),"")&amp;
        IF(NOT(_xlpm._secondAnswerRequired),IF(_xlpm._secondAnswerProvided,$A8&amp;" - "&amp;_xlpm._question&amp;": Second answer ("&amp;_xlpm._secondAnswer&amp;") provided but the question only supports one answer.",""),"")&amp;
        IF(_xlpm._secondAnswerIsValidOption,"",$A8&amp;" - "&amp;_xlpm._question&amp;": Second answer ("&amp;_xlpm._secondAnswer&amp;") is not a valid option.")))),
  _xlfn.LAMBDA(_xlpm._x,_xlpm._y,_xlpm._x&amp;IF(_xlpm._x="","",CHAR(10))&amp;_xlpm._y))))</f>
        <v/>
      </c>
      <c r="AP8" s="11" cm="1">
        <f t="array" aca="1" ref="AP8" ca="1">CreateID($AP$2,$AO8&lt;&gt;"")</f>
        <v>0</v>
      </c>
    </row>
    <row r="9" spans="1:42" x14ac:dyDescent="0.25">
      <c r="A9" s="9" t="s">
        <v>316</v>
      </c>
      <c r="B9" s="10" t="s">
        <v>560</v>
      </c>
      <c r="C9" s="10" t="s">
        <v>1727</v>
      </c>
      <c r="D9" s="10"/>
      <c r="E9" s="25" t="str" cm="1">
        <f t="array" ref="E9">OperateOnList(
  SanitizeInput($D9),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9" s="10"/>
      <c r="G9" s="13" t="str" cm="1">
        <f t="array" ref="G9">LookupNames($F9,'Attack Steps'!$A:$B)</f>
        <v/>
      </c>
      <c r="H9" s="10"/>
      <c r="I9" s="13" t="str" cm="1">
        <f t="array" ref="I9">RemoveDelimiter(GetValuesWithFallback(SanitizeInput($H9),$A:$B,Assumptions!$A:$B," ",","&amp;CHAR(10),TRUE),","&amp;CHAR(10))</f>
        <v/>
      </c>
      <c r="J9" s="10"/>
      <c r="K9" s="25" t="str" cm="1">
        <f t="array" ref="K9">IF($J9="","",SUBSTITUTE(SUBSTITUTE(SUBSTITUTE(SUBSTITUTE(SUBSTITUTE(SUBSTITUTE(SUBSTITUTE(SUBSTITUTE(SUBSTITUTE(
GetTransformation(SanitizeInput($J9),'Damage Scenarios'!$A:$J,COLUMNS('Damage Scenarios'!$A:$J),CHAR(10),"[#0][#1][#2]")&amp;"§",
"[#1][#2]",""),
"[#2]",""),
"[#0][#1]","[#1]"),
"[#0]","Removes:"&amp;CHAR(10)),
"[#1]","Transforms:"&amp;CHAR(10)),
CHAR(10)&amp;"§",""),
"§",""),
CHAR(10),CHAR(10)&amp;"   "),
"   "&amp;"Transforms:","Transforms:"))</f>
        <v/>
      </c>
      <c r="L9" s="10"/>
      <c r="M9" s="10"/>
      <c r="N9" s="10"/>
      <c r="O9" s="10"/>
      <c r="P9" s="10"/>
      <c r="Q9" s="13" t="str">
        <f ca="1">IF($A9="","",IFERROR(VLOOKUP($Z9,Definitions!$V:$W,COLUMNS(Definitions!$V:$W),TRUE),""))</f>
        <v>Basic</v>
      </c>
      <c r="R9" s="10" t="s">
        <v>453</v>
      </c>
      <c r="S9" s="10"/>
      <c r="T9" s="10"/>
      <c r="U9" s="9" cm="1">
        <f t="array" aca="1" ref="U9" ca="1">CreateID($U$2,$A9&lt;&gt;"")</f>
        <v>7</v>
      </c>
      <c r="V9" s="11" t="b" cm="1">
        <f t="array" ref="V9">CheckRelevance(SanitizeInput(F9),Questionnaire!$J:$J)</f>
        <v>0</v>
      </c>
      <c r="W9" s="11" t="b">
        <f>IFERROR(_xlfn.XMATCH("*,"&amp;$A9&amp;",*",Mitigation!$X:$X,2)&gt;0,FALSE)</f>
        <v>0</v>
      </c>
      <c r="X9" s="11" cm="1">
        <f t="array" ref="X9">CreateTaskID($X$2,$X:$X,Tasks!$B$17,$T9)</f>
        <v>0</v>
      </c>
      <c r="Y9" s="11" t="str" cm="1">
        <f t="array" ref="Y9">CreateSearchString($F9)</f>
        <v/>
      </c>
      <c r="Z9" s="11" cm="1">
        <f t="array" aca="1" ref="Z9" ca="1">OperateOnRange(
  $L9,
  TRUE,
  Helper!$B$16,
  0,
  _xlfn.LAMBDA(_xlpm._factor,IF(_xlpm._factor="",0,SimpleLookup(_xlpm._factor,Definitions!$Z:$AA))),
  _xlfn.LAMBDA(_xlpm._x,_xlpm._y,_xlpm._x+_xlpm._y))</f>
        <v>0</v>
      </c>
      <c r="AA9" s="11" t="str" cm="1">
        <f t="array" ref="AA9">CreateSearchString($H9)</f>
        <v/>
      </c>
      <c r="AB9" s="11" t="b" cm="1">
        <f t="array" aca="1" ref="AB9" ca="1">IF($A9="",FALSE,
OR($AG9,_xlfn.LAMBDA(_xlpm._ownID,_xlpm._searchHeader,_xlpm._resultHeader,_xlpm._elementCount,_xlpm._delimiter,_xlpm._activeInTreatmentRange,_xlpm._activeByAnswersRange,_xlpm._dependencies,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InverseLookup(_xlpm._ownID,_xlpm._searchHeader,_xlpm._resultHeader,1,_xlpm._elementCount,_xlpm._delimiter))))))($A9,$AA$2,$A$2,Helper!$B$4,",",$A:$W,$A:$AG,InverseLookup($A9,$AA$2,$A$2,1,Helper!$B$4,","))))</f>
        <v>0</v>
      </c>
      <c r="AC9" s="11" t="str" cm="1">
        <f t="array" aca="1" ref="AC9" ca="1">IF(OR($W9,$AB9,$AG9),CreateSearchString($H9),"")</f>
        <v/>
      </c>
      <c r="AD9" s="11" t="str" cm="1">
        <f t="array" ref="AD9">SUBSTITUTE(IF($W9,CreateSearchString($J9),""),"&gt;",",")</f>
        <v/>
      </c>
      <c r="AE9" s="11" cm="1">
        <f t="array" aca="1" ref="AE9" ca="1">CreateID($AE$2,$AB9)</f>
        <v>2</v>
      </c>
      <c r="AF9" s="11" t="str" cm="1">
        <f t="array" aca="1" ref="AF9" ca="1">IF($AB9,CreateSearchString($R9),"")</f>
        <v/>
      </c>
      <c r="AG9" s="11" t="b">
        <f>OR(CheckRelevance(SanitizeInput($D9),Questionnaire!$J:$J),CheckRelevance(SanitizeInput($D9),Questionnaire!$K:$K))</f>
        <v>0</v>
      </c>
      <c r="AH9" s="11" t="str" cm="1">
        <f t="array" ref="AH9">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FilterPreconditionCandidates(RemoveFirstElement(_xlpm._preconditionCandidates),_xlpm._searchColumn,_xlpm._delimiter))))(SanitizeInput($D9),Questionnaire!$AB:$AB,",")</f>
        <v/>
      </c>
      <c r="AI9" s="11" t="str" cm="1">
        <f t="array" ref="AI9">IF($D9="*","",InverseLookupList($AH9,Questionnaire!$AB$3,Questionnaire!$B$3,Helper!$B$12,","))</f>
        <v/>
      </c>
      <c r="AJ9" s="11" t="str" cm="1">
        <f t="array" ref="AJ9">RemoveDelimiter(GetValues($AI9,Questionnaire!$B:$H," ",CHAR(10)&amp;CHAR(10),TRUE),CHAR(10)&amp;CHAR(10))</f>
        <v/>
      </c>
      <c r="AK9" s="11" t="str" cm="1">
        <f t="array" ref="AK9">CreateSearchString($AI9)</f>
        <v/>
      </c>
      <c r="AL9" s="11" t="str" cm="1">
        <f t="array" aca="1" ref="AL9" ca="1">InverseLookup($A9,Mitigation!$AD$2,Mitigation!$A$2,1,Helper!$B$5,",")</f>
        <v/>
      </c>
      <c r="AM9" s="11" t="str" cm="1">
        <f t="array" aca="1" ref="AM9" ca="1">CreateSearchString(GetValues($AL9,'Attack Steps'!$A:$P,"",",",FALSE))</f>
        <v/>
      </c>
      <c r="AN9" s="11" t="str">
        <f t="shared" si="0"/>
        <v>C5</v>
      </c>
      <c r="AO9" s="11" t="str" cm="1">
        <f t="array" ref="AO9">_xlfn.SWITCH($D9,
"*","",
"","",
_xlfn.LET(
_xlpm._answers,SUBSTITUTE(SanitizeInput($D9),"&amp;",","),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IF(_xlpm._questionIDUndefined,$A9&amp;" - "&amp;_xlpm._question&amp;": ERROR: Unknown question ID.",
        IF(_xlpm._firstAnswerIsValidOption,"",$A9&amp;" - "&amp;_xlpm._question&amp;": First answer ("&amp;_xlpm._firstAnswer&amp;") is not a valid option.")&amp;
        IF(_xlpm._secondAnswerRequired,IF(_xlpm._secondAnswerProvided,"",$A9&amp;" - "&amp;_xlpm._question&amp;": Second answer required but not provided."),"")&amp;
        IF(NOT(_xlpm._secondAnswerRequired),IF(_xlpm._secondAnswerProvided,$A9&amp;" - "&amp;_xlpm._question&amp;": Second answer ("&amp;_xlpm._secondAnswer&amp;") provided but the question only supports one answer.",""),"")&amp;
        IF(_xlpm._secondAnswerIsValidOption,"",$A9&amp;" - "&amp;_xlpm._question&amp;": Second answer ("&amp;_xlpm._secondAnswer&amp;") is not a valid option.")))),
  _xlfn.LAMBDA(_xlpm._x,_xlpm._y,_xlpm._x&amp;IF(_xlpm._x="","",CHAR(10))&amp;_xlpm._y))))</f>
        <v/>
      </c>
      <c r="AP9" s="11" cm="1">
        <f t="array" aca="1" ref="AP9" ca="1">CreateID($AP$2,$AO9&lt;&gt;"")</f>
        <v>0</v>
      </c>
    </row>
    <row r="10" spans="1:42" x14ac:dyDescent="0.25">
      <c r="A10" s="9" t="s">
        <v>317</v>
      </c>
      <c r="B10" s="10" t="s">
        <v>561</v>
      </c>
      <c r="C10" s="10" t="s">
        <v>1727</v>
      </c>
      <c r="D10" s="10"/>
      <c r="E10" s="25" t="str" cm="1">
        <f t="array" ref="E10">OperateOnList(
  SanitizeInput($D10),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10" s="10"/>
      <c r="G10" s="13" t="str" cm="1">
        <f t="array" ref="G10">LookupNames($F10,'Attack Steps'!$A:$B)</f>
        <v/>
      </c>
      <c r="H10" s="10"/>
      <c r="I10" s="13" t="str" cm="1">
        <f t="array" ref="I10">RemoveDelimiter(GetValuesWithFallback(SanitizeInput($H10),$A:$B,Assumptions!$A:$B," ",","&amp;CHAR(10),TRUE),","&amp;CHAR(10))</f>
        <v/>
      </c>
      <c r="J10" s="10"/>
      <c r="K10" s="25" t="str" cm="1">
        <f t="array" ref="K10">IF($J10="","",SUBSTITUTE(SUBSTITUTE(SUBSTITUTE(SUBSTITUTE(SUBSTITUTE(SUBSTITUTE(SUBSTITUTE(SUBSTITUTE(SUBSTITUTE(
GetTransformation(SanitizeInput($J10),'Damage Scenarios'!$A:$J,COLUMNS('Damage Scenarios'!$A:$J),CHAR(10),"[#0][#1][#2]")&amp;"§",
"[#1][#2]",""),
"[#2]",""),
"[#0][#1]","[#1]"),
"[#0]","Removes:"&amp;CHAR(10)),
"[#1]","Transforms:"&amp;CHAR(10)),
CHAR(10)&amp;"§",""),
"§",""),
CHAR(10),CHAR(10)&amp;"   "),
"   "&amp;"Transforms:","Transforms:"))</f>
        <v/>
      </c>
      <c r="L10" s="10"/>
      <c r="M10" s="10"/>
      <c r="N10" s="10"/>
      <c r="O10" s="10"/>
      <c r="P10" s="10"/>
      <c r="Q10" s="13" t="str">
        <f ca="1">IF($A10="","",IFERROR(VLOOKUP($Z10,Definitions!$V:$W,COLUMNS(Definitions!$V:$W),TRUE),""))</f>
        <v>Basic</v>
      </c>
      <c r="R10" s="10" t="s">
        <v>453</v>
      </c>
      <c r="S10" s="10"/>
      <c r="T10" s="10"/>
      <c r="U10" s="9" cm="1">
        <f t="array" aca="1" ref="U10" ca="1">CreateID($U$2,$A10&lt;&gt;"")</f>
        <v>8</v>
      </c>
      <c r="V10" s="11" t="b" cm="1">
        <f t="array" ref="V10">CheckRelevance(SanitizeInput(F10),Questionnaire!$J:$J)</f>
        <v>0</v>
      </c>
      <c r="W10" s="11" t="b">
        <f>IFERROR(_xlfn.XMATCH("*,"&amp;$A10&amp;",*",Mitigation!$X:$X,2)&gt;0,FALSE)</f>
        <v>0</v>
      </c>
      <c r="X10" s="11" cm="1">
        <f t="array" ref="X10">CreateTaskID($X$2,$X:$X,Tasks!$B$17,$T10)</f>
        <v>0</v>
      </c>
      <c r="Y10" s="11" t="str" cm="1">
        <f t="array" ref="Y10">CreateSearchString($F10)</f>
        <v/>
      </c>
      <c r="Z10" s="11" cm="1">
        <f t="array" aca="1" ref="Z10" ca="1">OperateOnRange(
  $L10,
  TRUE,
  Helper!$B$16,
  0,
  _xlfn.LAMBDA(_xlpm._factor,IF(_xlpm._factor="",0,SimpleLookup(_xlpm._factor,Definitions!$Z:$AA))),
  _xlfn.LAMBDA(_xlpm._x,_xlpm._y,_xlpm._x+_xlpm._y))</f>
        <v>0</v>
      </c>
      <c r="AA10" s="11" t="str" cm="1">
        <f t="array" ref="AA10">CreateSearchString($H10)</f>
        <v/>
      </c>
      <c r="AB10" s="11" t="b" cm="1">
        <f t="array" aca="1" ref="AB10" ca="1">IF($A10="",FALSE,
OR($AG10,_xlfn.LAMBDA(_xlpm._ownID,_xlpm._searchHeader,_xlpm._resultHeader,_xlpm._elementCount,_xlpm._delimiter,_xlpm._activeInTreatmentRange,_xlpm._activeByAnswersRange,_xlpm._dependencies,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InverseLookup(_xlpm._ownID,_xlpm._searchHeader,_xlpm._resultHeader,1,_xlpm._elementCount,_xlpm._delimiter))))))($A10,$AA$2,$A$2,Helper!$B$4,",",$A:$W,$A:$AG,InverseLookup($A10,$AA$2,$A$2,1,Helper!$B$4,","))))</f>
        <v>0</v>
      </c>
      <c r="AC10" s="11" t="str" cm="1">
        <f t="array" aca="1" ref="AC10" ca="1">IF(OR($W10,$AB10,$AG10),CreateSearchString($H10),"")</f>
        <v/>
      </c>
      <c r="AD10" s="11" t="str" cm="1">
        <f t="array" ref="AD10">SUBSTITUTE(IF($W10,CreateSearchString($J10),""),"&gt;",",")</f>
        <v/>
      </c>
      <c r="AE10" s="11" cm="1">
        <f t="array" aca="1" ref="AE10" ca="1">CreateID($AE$2,$AB10)</f>
        <v>2</v>
      </c>
      <c r="AF10" s="11" t="str" cm="1">
        <f t="array" aca="1" ref="AF10" ca="1">IF($AB10,CreateSearchString($R10),"")</f>
        <v/>
      </c>
      <c r="AG10" s="11" t="b">
        <f>OR(CheckRelevance(SanitizeInput($D10),Questionnaire!$J:$J),CheckRelevance(SanitizeInput($D10),Questionnaire!$K:$K))</f>
        <v>0</v>
      </c>
      <c r="AH10" s="11" t="str" cm="1">
        <f t="array" ref="AH10">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FilterPreconditionCandidates(RemoveFirstElement(_xlpm._preconditionCandidates),_xlpm._searchColumn,_xlpm._delimiter))))(SanitizeInput($D10),Questionnaire!$AB:$AB,",")</f>
        <v/>
      </c>
      <c r="AI10" s="11" t="str" cm="1">
        <f t="array" ref="AI10">IF($D10="*","",InverseLookupList($AH10,Questionnaire!$AB$3,Questionnaire!$B$3,Helper!$B$12,","))</f>
        <v/>
      </c>
      <c r="AJ10" s="11" t="str" cm="1">
        <f t="array" ref="AJ10">RemoveDelimiter(GetValues($AI10,Questionnaire!$B:$H," ",CHAR(10)&amp;CHAR(10),TRUE),CHAR(10)&amp;CHAR(10))</f>
        <v/>
      </c>
      <c r="AK10" s="11" t="str" cm="1">
        <f t="array" ref="AK10">CreateSearchString($AI10)</f>
        <v/>
      </c>
      <c r="AL10" s="11" t="str" cm="1">
        <f t="array" aca="1" ref="AL10" ca="1">InverseLookup($A10,Mitigation!$AD$2,Mitigation!$A$2,1,Helper!$B$5,",")</f>
        <v/>
      </c>
      <c r="AM10" s="11" t="str" cm="1">
        <f t="array" aca="1" ref="AM10" ca="1">CreateSearchString(GetValues($AL10,'Attack Steps'!$A:$P,"",",",FALSE))</f>
        <v/>
      </c>
      <c r="AN10" s="11" t="str">
        <f t="shared" si="0"/>
        <v>C6</v>
      </c>
      <c r="AO10" s="11" t="str" cm="1">
        <f t="array" ref="AO10">_xlfn.SWITCH($D10,
"*","",
"","",
_xlfn.LET(
_xlpm._answers,SUBSTITUTE(SanitizeInput($D10),"&amp;",","),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IF(_xlpm._questionIDUndefined,$A10&amp;" - "&amp;_xlpm._question&amp;": ERROR: Unknown question ID.",
        IF(_xlpm._firstAnswerIsValidOption,"",$A10&amp;" - "&amp;_xlpm._question&amp;": First answer ("&amp;_xlpm._firstAnswer&amp;") is not a valid option.")&amp;
        IF(_xlpm._secondAnswerRequired,IF(_xlpm._secondAnswerProvided,"",$A10&amp;" - "&amp;_xlpm._question&amp;": Second answer required but not provided."),"")&amp;
        IF(NOT(_xlpm._secondAnswerRequired),IF(_xlpm._secondAnswerProvided,$A10&amp;" - "&amp;_xlpm._question&amp;": Second answer ("&amp;_xlpm._secondAnswer&amp;") provided but the question only supports one answer.",""),"")&amp;
        IF(_xlpm._secondAnswerIsValidOption,"",$A10&amp;" - "&amp;_xlpm._question&amp;": Second answer ("&amp;_xlpm._secondAnswer&amp;") is not a valid option.")))),
  _xlfn.LAMBDA(_xlpm._x,_xlpm._y,_xlpm._x&amp;IF(_xlpm._x="","",CHAR(10))&amp;_xlpm._y))))</f>
        <v/>
      </c>
      <c r="AP10" s="11" cm="1">
        <f t="array" aca="1" ref="AP10" ca="1">CreateID($AP$2,$AO10&lt;&gt;"")</f>
        <v>0</v>
      </c>
    </row>
    <row r="11" spans="1:42" ht="84.75" x14ac:dyDescent="0.25">
      <c r="A11" s="9" t="s">
        <v>318</v>
      </c>
      <c r="B11" s="10" t="s">
        <v>562</v>
      </c>
      <c r="C11" s="10" t="s">
        <v>1727</v>
      </c>
      <c r="D11" s="10" t="s">
        <v>1190</v>
      </c>
      <c r="E11" s="25" t="str" cm="1">
        <f t="array" aca="1" ref="E11" ca="1">OperateOnList(
  SanitizeInput($D11),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QA8 Does the product offer a configuration interface? [Yes]
» Is the configuration interface protected against unwanted write access? [*],
QA11a Can the product's software be updated over an interface? [Yes]
» Does the software originate from a trustworthy source (e.g., the &lt;&lt; OEM Name &gt;&gt; backend, potentially over multiple communication media)? [*],
QA17 Does the product have debug / development interfaces (e.g., JTAG, root access over ssh)? [Yes]
» Is network access to the debug interface(s) possible? [*]</v>
      </c>
      <c r="F11" s="10"/>
      <c r="G11" s="13" t="str" cm="1">
        <f t="array" ref="G11">LookupNames($F11,'Attack Steps'!$A:$B)</f>
        <v/>
      </c>
      <c r="H11" s="10"/>
      <c r="I11" s="13" t="str" cm="1">
        <f t="array" ref="I11">RemoveDelimiter(GetValuesWithFallback(SanitizeInput($H11),$A:$B,Assumptions!$A:$B," ",","&amp;CHAR(10),TRUE),","&amp;CHAR(10))</f>
        <v/>
      </c>
      <c r="J11" s="10"/>
      <c r="K11" s="25" t="str" cm="1">
        <f t="array" ref="K11">IF($J11="","",SUBSTITUTE(SUBSTITUTE(SUBSTITUTE(SUBSTITUTE(SUBSTITUTE(SUBSTITUTE(SUBSTITUTE(SUBSTITUTE(SUBSTITUTE(
GetTransformation(SanitizeInput($J11),'Damage Scenarios'!$A:$J,COLUMNS('Damage Scenarios'!$A:$J),CHAR(10),"[#0][#1][#2]")&amp;"§",
"[#1][#2]",""),
"[#2]",""),
"[#0][#1]","[#1]"),
"[#0]","Removes:"&amp;CHAR(10)),
"[#1]","Transforms:"&amp;CHAR(10)),
CHAR(10)&amp;"§",""),
"§",""),
CHAR(10),CHAR(10)&amp;"   "),
"   "&amp;"Transforms:","Transforms:"))</f>
        <v/>
      </c>
      <c r="L11" s="10"/>
      <c r="M11" s="10"/>
      <c r="N11" s="10"/>
      <c r="O11" s="10"/>
      <c r="P11" s="10"/>
      <c r="Q11" s="13" t="str">
        <f ca="1">IF($A11="","",IFERROR(VLOOKUP($Z11,Definitions!$V:$W,COLUMNS(Definitions!$V:$W),TRUE),""))</f>
        <v>Basic</v>
      </c>
      <c r="R11" s="10" t="s">
        <v>455</v>
      </c>
      <c r="S11" s="10"/>
      <c r="T11" s="10"/>
      <c r="U11" s="9" cm="1">
        <f t="array" aca="1" ref="U11" ca="1">CreateID($U$2,$A11&lt;&gt;"")</f>
        <v>9</v>
      </c>
      <c r="V11" s="11" t="b" cm="1">
        <f t="array" ref="V11">CheckRelevance(SanitizeInput(F11),Questionnaire!$J:$J)</f>
        <v>0</v>
      </c>
      <c r="W11" s="11" t="b">
        <f>IFERROR(_xlfn.XMATCH("*,"&amp;$A11&amp;",*",Mitigation!$X:$X,2)&gt;0,FALSE)</f>
        <v>0</v>
      </c>
      <c r="X11" s="11" cm="1">
        <f t="array" ref="X11">CreateTaskID($X$2,$X:$X,Tasks!$B$17,$T11)</f>
        <v>0</v>
      </c>
      <c r="Y11" s="11" t="str" cm="1">
        <f t="array" ref="Y11">CreateSearchString($F11)</f>
        <v/>
      </c>
      <c r="Z11" s="11" cm="1">
        <f t="array" aca="1" ref="Z11" ca="1">OperateOnRange(
  $L11,
  TRUE,
  Helper!$B$16,
  0,
  _xlfn.LAMBDA(_xlpm._factor,IF(_xlpm._factor="",0,SimpleLookup(_xlpm._factor,Definitions!$Z:$AA))),
  _xlfn.LAMBDA(_xlpm._x,_xlpm._y,_xlpm._x+_xlpm._y))</f>
        <v>0</v>
      </c>
      <c r="AA11" s="11" t="str" cm="1">
        <f t="array" ref="AA11">CreateSearchString($H11)</f>
        <v/>
      </c>
      <c r="AB11" s="11" t="b" cm="1">
        <f t="array" aca="1" ref="AB11" ca="1">IF($A11="",FALSE,
OR($AG11,_xlfn.LAMBDA(_xlpm._ownID,_xlpm._searchHeader,_xlpm._resultHeader,_xlpm._elementCount,_xlpm._delimiter,_xlpm._activeInTreatmentRange,_xlpm._activeByAnswersRange,_xlpm._dependencies,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InverseLookup(_xlpm._ownID,_xlpm._searchHeader,_xlpm._resultHeader,1,_xlpm._elementCount,_xlpm._delimiter))))))($A11,$AA$2,$A$2,Helper!$B$4,",",$A:$W,$A:$AG,InverseLookup($A11,$AA$2,$A$2,1,Helper!$B$4,","))))</f>
        <v>0</v>
      </c>
      <c r="AC11" s="11" t="str" cm="1">
        <f t="array" aca="1" ref="AC11" ca="1">IF(OR($W11,$AB11,$AG11),CreateSearchString($H11),"")</f>
        <v/>
      </c>
      <c r="AD11" s="11" t="str" cm="1">
        <f t="array" ref="AD11">SUBSTITUTE(IF($W11,CreateSearchString($J11),""),"&gt;",",")</f>
        <v/>
      </c>
      <c r="AE11" s="11" cm="1">
        <f t="array" aca="1" ref="AE11" ca="1">CreateID($AE$2,$AB11)</f>
        <v>2</v>
      </c>
      <c r="AF11" s="11" t="str" cm="1">
        <f t="array" aca="1" ref="AF11" ca="1">IF($AB11,CreateSearchString($R11),"")</f>
        <v/>
      </c>
      <c r="AG11" s="11" t="b">
        <f ca="1">OR(CheckRelevance(SanitizeInput($D11),Questionnaire!$J:$J),CheckRelevance(SanitizeInput($D11),Questionnaire!$K:$K))</f>
        <v>0</v>
      </c>
      <c r="AH11" s="11" t="str" cm="1">
        <f t="array" aca="1" ref="AH11" ca="1">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FilterPreconditionCandidates(RemoveFirstElement(_xlpm._preconditionCandidates),_xlpm._searchColumn,_xlpm._delimiter))))(SanitizeInput($D11),Questionnaire!$AB:$AB,",")</f>
        <v/>
      </c>
      <c r="AI11" s="11" t="str" cm="1">
        <f t="array" aca="1" ref="AI11" ca="1">IF($D11="*","",InverseLookupList($AH11,Questionnaire!$AB$3,Questionnaire!$B$3,Helper!$B$12,","))</f>
        <v/>
      </c>
      <c r="AJ11" s="11" t="str" cm="1">
        <f t="array" aca="1" ref="AJ11" ca="1">RemoveDelimiter(GetValues($AI11,Questionnaire!$B:$H," ",CHAR(10)&amp;CHAR(10),TRUE),CHAR(10)&amp;CHAR(10))</f>
        <v/>
      </c>
      <c r="AK11" s="11" t="str" cm="1">
        <f t="array" aca="1" ref="AK11" ca="1">CreateSearchString($AI11)</f>
        <v/>
      </c>
      <c r="AL11" s="11" t="str" cm="1">
        <f t="array" aca="1" ref="AL11" ca="1">InverseLookup($A11,Mitigation!$AD$2,Mitigation!$A$2,1,Helper!$B$5,",")</f>
        <v/>
      </c>
      <c r="AM11" s="11" t="str" cm="1">
        <f t="array" aca="1" ref="AM11" ca="1">CreateSearchString(GetValues($AL11,'Attack Steps'!$A:$P,"",",",FALSE))</f>
        <v/>
      </c>
      <c r="AN11" s="11" t="str">
        <f t="shared" si="0"/>
        <v>C7</v>
      </c>
      <c r="AO11" s="11" t="str" cm="1">
        <f t="array" aca="1" ref="AO11" ca="1">_xlfn.SWITCH($D11,
"*","",
"","",
_xlfn.LET(
_xlpm._answers,SUBSTITUTE(SanitizeInput($D11),"&amp;",","),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IF(_xlpm._questionIDUndefined,$A11&amp;" - "&amp;_xlpm._question&amp;": ERROR: Unknown question ID.",
        IF(_xlpm._firstAnswerIsValidOption,"",$A11&amp;" - "&amp;_xlpm._question&amp;": First answer ("&amp;_xlpm._firstAnswer&amp;") is not a valid option.")&amp;
        IF(_xlpm._secondAnswerRequired,IF(_xlpm._secondAnswerProvided,"",$A11&amp;" - "&amp;_xlpm._question&amp;": Second answer required but not provided."),"")&amp;
        IF(NOT(_xlpm._secondAnswerRequired),IF(_xlpm._secondAnswerProvided,$A11&amp;" - "&amp;_xlpm._question&amp;": Second answer ("&amp;_xlpm._secondAnswer&amp;") provided but the question only supports one answer.",""),"")&amp;
        IF(_xlpm._secondAnswerIsValidOption,"",$A11&amp;" - "&amp;_xlpm._question&amp;": Second answer ("&amp;_xlpm._secondAnswer&amp;") is not a valid option.")))),
  _xlfn.LAMBDA(_xlpm._x,_xlpm._y,_xlpm._x&amp;IF(_xlpm._x="","",CHAR(10))&amp;_xlpm._y))))</f>
        <v/>
      </c>
      <c r="AP11" s="11" cm="1">
        <f t="array" aca="1" ref="AP11" ca="1">CreateID($AP$2,$AO11&lt;&gt;"")</f>
        <v>0</v>
      </c>
    </row>
    <row r="12" spans="1:42" x14ac:dyDescent="0.25">
      <c r="A12" s="9" t="s">
        <v>319</v>
      </c>
      <c r="B12" s="10" t="s">
        <v>563</v>
      </c>
      <c r="C12" s="10" t="s">
        <v>1727</v>
      </c>
      <c r="D12" s="10"/>
      <c r="E12" s="25" t="str" cm="1">
        <f t="array" ref="E12">OperateOnList(
  SanitizeInput($D12),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12" s="10"/>
      <c r="G12" s="13" t="str" cm="1">
        <f t="array" ref="G12">LookupNames($F12,'Attack Steps'!$A:$B)</f>
        <v/>
      </c>
      <c r="H12" s="10"/>
      <c r="I12" s="13" t="str" cm="1">
        <f t="array" ref="I12">RemoveDelimiter(GetValuesWithFallback(SanitizeInput($H12),$A:$B,Assumptions!$A:$B," ",","&amp;CHAR(10),TRUE),","&amp;CHAR(10))</f>
        <v/>
      </c>
      <c r="J12" s="10"/>
      <c r="K12" s="25" t="str" cm="1">
        <f t="array" ref="K12">IF($J12="","",SUBSTITUTE(SUBSTITUTE(SUBSTITUTE(SUBSTITUTE(SUBSTITUTE(SUBSTITUTE(SUBSTITUTE(SUBSTITUTE(SUBSTITUTE(
GetTransformation(SanitizeInput($J12),'Damage Scenarios'!$A:$J,COLUMNS('Damage Scenarios'!$A:$J),CHAR(10),"[#0][#1][#2]")&amp;"§",
"[#1][#2]",""),
"[#2]",""),
"[#0][#1]","[#1]"),
"[#0]","Removes:"&amp;CHAR(10)),
"[#1]","Transforms:"&amp;CHAR(10)),
CHAR(10)&amp;"§",""),
"§",""),
CHAR(10),CHAR(10)&amp;"   "),
"   "&amp;"Transforms:","Transforms:"))</f>
        <v/>
      </c>
      <c r="L12" s="10"/>
      <c r="M12" s="10"/>
      <c r="N12" s="10"/>
      <c r="O12" s="10"/>
      <c r="P12" s="10"/>
      <c r="Q12" s="13" t="str">
        <f ca="1">IF($A12="","",IFERROR(VLOOKUP($Z12,Definitions!$V:$W,COLUMNS(Definitions!$V:$W),TRUE),""))</f>
        <v>Basic</v>
      </c>
      <c r="R12" s="10" t="s">
        <v>453</v>
      </c>
      <c r="S12" s="10"/>
      <c r="T12" s="10"/>
      <c r="U12" s="9" cm="1">
        <f t="array" aca="1" ref="U12" ca="1">CreateID($U$2,$A12&lt;&gt;"")</f>
        <v>10</v>
      </c>
      <c r="V12" s="11" t="b" cm="1">
        <f t="array" ref="V12">CheckRelevance(SanitizeInput(F12),Questionnaire!$J:$J)</f>
        <v>0</v>
      </c>
      <c r="W12" s="11" t="b">
        <f>IFERROR(_xlfn.XMATCH("*,"&amp;$A12&amp;",*",Mitigation!$X:$X,2)&gt;0,FALSE)</f>
        <v>0</v>
      </c>
      <c r="X12" s="11" cm="1">
        <f t="array" ref="X12">CreateTaskID($X$2,$X:$X,Tasks!$B$17,$T12)</f>
        <v>0</v>
      </c>
      <c r="Y12" s="11" t="str" cm="1">
        <f t="array" ref="Y12">CreateSearchString($F12)</f>
        <v/>
      </c>
      <c r="Z12" s="11" cm="1">
        <f t="array" aca="1" ref="Z12" ca="1">OperateOnRange(
  $L12,
  TRUE,
  Helper!$B$16,
  0,
  _xlfn.LAMBDA(_xlpm._factor,IF(_xlpm._factor="",0,SimpleLookup(_xlpm._factor,Definitions!$Z:$AA))),
  _xlfn.LAMBDA(_xlpm._x,_xlpm._y,_xlpm._x+_xlpm._y))</f>
        <v>0</v>
      </c>
      <c r="AA12" s="11" t="str" cm="1">
        <f t="array" ref="AA12">CreateSearchString($H12)</f>
        <v/>
      </c>
      <c r="AB12" s="11" t="b" cm="1">
        <f t="array" aca="1" ref="AB12" ca="1">IF($A12="",FALSE,
OR($AG12,_xlfn.LAMBDA(_xlpm._ownID,_xlpm._searchHeader,_xlpm._resultHeader,_xlpm._elementCount,_xlpm._delimiter,_xlpm._activeInTreatmentRange,_xlpm._activeByAnswersRange,_xlpm._dependencies,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InverseLookup(_xlpm._ownID,_xlpm._searchHeader,_xlpm._resultHeader,1,_xlpm._elementCount,_xlpm._delimiter))))))($A12,$AA$2,$A$2,Helper!$B$4,",",$A:$W,$A:$AG,InverseLookup($A12,$AA$2,$A$2,1,Helper!$B$4,","))))</f>
        <v>0</v>
      </c>
      <c r="AC12" s="11" t="str" cm="1">
        <f t="array" aca="1" ref="AC12" ca="1">IF(OR($W12,$AB12,$AG12),CreateSearchString($H12),"")</f>
        <v/>
      </c>
      <c r="AD12" s="11" t="str" cm="1">
        <f t="array" ref="AD12">SUBSTITUTE(IF($W12,CreateSearchString($J12),""),"&gt;",",")</f>
        <v/>
      </c>
      <c r="AE12" s="11" cm="1">
        <f t="array" aca="1" ref="AE12" ca="1">CreateID($AE$2,$AB12)</f>
        <v>2</v>
      </c>
      <c r="AF12" s="11" t="str" cm="1">
        <f t="array" aca="1" ref="AF12" ca="1">IF($AB12,CreateSearchString($R12),"")</f>
        <v/>
      </c>
      <c r="AG12" s="11" t="b">
        <f>OR(CheckRelevance(SanitizeInput($D12),Questionnaire!$J:$J),CheckRelevance(SanitizeInput($D12),Questionnaire!$K:$K))</f>
        <v>0</v>
      </c>
      <c r="AH12" s="11" t="str" cm="1">
        <f t="array" ref="AH12">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FilterPreconditionCandidates(RemoveFirstElement(_xlpm._preconditionCandidates),_xlpm._searchColumn,_xlpm._delimiter))))(SanitizeInput($D12),Questionnaire!$AB:$AB,",")</f>
        <v/>
      </c>
      <c r="AI12" s="11" t="str" cm="1">
        <f t="array" ref="AI12">IF($D12="*","",InverseLookupList($AH12,Questionnaire!$AB$3,Questionnaire!$B$3,Helper!$B$12,","))</f>
        <v/>
      </c>
      <c r="AJ12" s="11" t="str" cm="1">
        <f t="array" ref="AJ12">RemoveDelimiter(GetValues($AI12,Questionnaire!$B:$H," ",CHAR(10)&amp;CHAR(10),TRUE),CHAR(10)&amp;CHAR(10))</f>
        <v/>
      </c>
      <c r="AK12" s="11" t="str" cm="1">
        <f t="array" ref="AK12">CreateSearchString($AI12)</f>
        <v/>
      </c>
      <c r="AL12" s="11" t="str" cm="1">
        <f t="array" aca="1" ref="AL12" ca="1">InverseLookup($A12,Mitigation!$AD$2,Mitigation!$A$2,1,Helper!$B$5,",")</f>
        <v/>
      </c>
      <c r="AM12" s="11" t="str" cm="1">
        <f t="array" aca="1" ref="AM12" ca="1">CreateSearchString(GetValues($AL12,'Attack Steps'!$A:$P,"",",",FALSE))</f>
        <v/>
      </c>
      <c r="AN12" s="11" t="str">
        <f t="shared" si="0"/>
        <v>C8</v>
      </c>
      <c r="AO12" s="11" t="str" cm="1">
        <f t="array" ref="AO12">_xlfn.SWITCH($D12,
"*","",
"","",
_xlfn.LET(
_xlpm._answers,SUBSTITUTE(SanitizeInput($D12),"&amp;",","),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IF(_xlpm._questionIDUndefined,$A12&amp;" - "&amp;_xlpm._question&amp;": ERROR: Unknown question ID.",
        IF(_xlpm._firstAnswerIsValidOption,"",$A12&amp;" - "&amp;_xlpm._question&amp;": First answer ("&amp;_xlpm._firstAnswer&amp;") is not a valid option.")&amp;
        IF(_xlpm._secondAnswerRequired,IF(_xlpm._secondAnswerProvided,"",$A12&amp;" - "&amp;_xlpm._question&amp;": Second answer required but not provided."),"")&amp;
        IF(NOT(_xlpm._secondAnswerRequired),IF(_xlpm._secondAnswerProvided,$A12&amp;" - "&amp;_xlpm._question&amp;": Second answer ("&amp;_xlpm._secondAnswer&amp;") provided but the question only supports one answer.",""),"")&amp;
        IF(_xlpm._secondAnswerIsValidOption,"",$A12&amp;" - "&amp;_xlpm._question&amp;": Second answer ("&amp;_xlpm._secondAnswer&amp;") is not a valid option.")))),
  _xlfn.LAMBDA(_xlpm._x,_xlpm._y,_xlpm._x&amp;IF(_xlpm._x="","",CHAR(10))&amp;_xlpm._y))))</f>
        <v/>
      </c>
      <c r="AP12" s="11" cm="1">
        <f t="array" aca="1" ref="AP12" ca="1">CreateID($AP$2,$AO12&lt;&gt;"")</f>
        <v>0</v>
      </c>
    </row>
    <row r="13" spans="1:42" ht="48.75" x14ac:dyDescent="0.25">
      <c r="A13" s="9" t="s">
        <v>320</v>
      </c>
      <c r="B13" s="10" t="s">
        <v>564</v>
      </c>
      <c r="C13" s="10" t="s">
        <v>1727</v>
      </c>
      <c r="D13" s="10" t="s">
        <v>1523</v>
      </c>
      <c r="E13" s="25" t="str" cm="1">
        <f t="array" aca="1" ref="E13" ca="1">OperateOnList(
  SanitizeInput($D13),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QA5 Does the product support wireless connections? [Yes]
» Is the access to the wireless connection restricted and are the devices the product communicates with considered as trustworthy? [*],
QA6 Does the product have a direct connection to a mobile network / the Internet? [Yes]</v>
      </c>
      <c r="F13" s="10"/>
      <c r="G13" s="13" t="str" cm="1">
        <f t="array" ref="G13">LookupNames($F13,'Attack Steps'!$A:$B)</f>
        <v/>
      </c>
      <c r="H13" s="10"/>
      <c r="I13" s="13" t="str" cm="1">
        <f t="array" ref="I13">RemoveDelimiter(GetValuesWithFallback(SanitizeInput($H13),$A:$B,Assumptions!$A:$B," ",","&amp;CHAR(10),TRUE),","&amp;CHAR(10))</f>
        <v/>
      </c>
      <c r="J13" s="10"/>
      <c r="K13" s="25" t="str" cm="1">
        <f t="array" ref="K13">IF($J13="","",SUBSTITUTE(SUBSTITUTE(SUBSTITUTE(SUBSTITUTE(SUBSTITUTE(SUBSTITUTE(SUBSTITUTE(SUBSTITUTE(SUBSTITUTE(
GetTransformation(SanitizeInput($J13),'Damage Scenarios'!$A:$J,COLUMNS('Damage Scenarios'!$A:$J),CHAR(10),"[#0][#1][#2]")&amp;"§",
"[#1][#2]",""),
"[#2]",""),
"[#0][#1]","[#1]"),
"[#0]","Removes:"&amp;CHAR(10)),
"[#1]","Transforms:"&amp;CHAR(10)),
CHAR(10)&amp;"§",""),
"§",""),
CHAR(10),CHAR(10)&amp;"   "),
"   "&amp;"Transforms:","Transforms:"))</f>
        <v/>
      </c>
      <c r="L13" s="10"/>
      <c r="M13" s="10"/>
      <c r="N13" s="10"/>
      <c r="O13" s="10"/>
      <c r="P13" s="10"/>
      <c r="Q13" s="13" t="str">
        <f ca="1">IF($A13="","",IFERROR(VLOOKUP($Z13,Definitions!$V:$W,COLUMNS(Definitions!$V:$W),TRUE),""))</f>
        <v>Basic</v>
      </c>
      <c r="R13" s="10" t="s">
        <v>1403</v>
      </c>
      <c r="S13" s="10"/>
      <c r="T13" s="10"/>
      <c r="U13" s="9" cm="1">
        <f t="array" aca="1" ref="U13" ca="1">CreateID($U$2,$A13&lt;&gt;"")</f>
        <v>11</v>
      </c>
      <c r="V13" s="11" t="b" cm="1">
        <f t="array" ref="V13">CheckRelevance(SanitizeInput(F13),Questionnaire!$J:$J)</f>
        <v>0</v>
      </c>
      <c r="W13" s="11" t="b">
        <f>IFERROR(_xlfn.XMATCH("*,"&amp;$A13&amp;",*",Mitigation!$X:$X,2)&gt;0,FALSE)</f>
        <v>0</v>
      </c>
      <c r="X13" s="11" cm="1">
        <f t="array" ref="X13">CreateTaskID($X$2,$X:$X,Tasks!$B$17,$T13)</f>
        <v>0</v>
      </c>
      <c r="Y13" s="11" t="str" cm="1">
        <f t="array" ref="Y13">CreateSearchString($F13)</f>
        <v/>
      </c>
      <c r="Z13" s="11" cm="1">
        <f t="array" aca="1" ref="Z13" ca="1">OperateOnRange(
  $L13,
  TRUE,
  Helper!$B$16,
  0,
  _xlfn.LAMBDA(_xlpm._factor,IF(_xlpm._factor="",0,SimpleLookup(_xlpm._factor,Definitions!$Z:$AA))),
  _xlfn.LAMBDA(_xlpm._x,_xlpm._y,_xlpm._x+_xlpm._y))</f>
        <v>0</v>
      </c>
      <c r="AA13" s="11" t="str" cm="1">
        <f t="array" ref="AA13">CreateSearchString($H13)</f>
        <v/>
      </c>
      <c r="AB13" s="11" t="b" cm="1">
        <f t="array" aca="1" ref="AB13" ca="1">IF($A13="",FALSE,
OR($AG13,_xlfn.LAMBDA(_xlpm._ownID,_xlpm._searchHeader,_xlpm._resultHeader,_xlpm._elementCount,_xlpm._delimiter,_xlpm._activeInTreatmentRange,_xlpm._activeByAnswersRange,_xlpm._dependencies,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InverseLookup(_xlpm._ownID,_xlpm._searchHeader,_xlpm._resultHeader,1,_xlpm._elementCount,_xlpm._delimiter))))))($A13,$AA$2,$A$2,Helper!$B$4,",",$A:$W,$A:$AG,InverseLookup($A13,$AA$2,$A$2,1,Helper!$B$4,","))))</f>
        <v>0</v>
      </c>
      <c r="AC13" s="11" t="str" cm="1">
        <f t="array" aca="1" ref="AC13" ca="1">IF(OR($W13,$AB13,$AG13),CreateSearchString($H13),"")</f>
        <v/>
      </c>
      <c r="AD13" s="11" t="str" cm="1">
        <f t="array" ref="AD13">SUBSTITUTE(IF($W13,CreateSearchString($J13),""),"&gt;",",")</f>
        <v/>
      </c>
      <c r="AE13" s="11" cm="1">
        <f t="array" aca="1" ref="AE13" ca="1">CreateID($AE$2,$AB13)</f>
        <v>2</v>
      </c>
      <c r="AF13" s="11" t="str" cm="1">
        <f t="array" aca="1" ref="AF13" ca="1">IF($AB13,CreateSearchString($R13),"")</f>
        <v/>
      </c>
      <c r="AG13" s="11" t="b">
        <f ca="1">OR(CheckRelevance(SanitizeInput($D13),Questionnaire!$J:$J),CheckRelevance(SanitizeInput($D13),Questionnaire!$K:$K))</f>
        <v>0</v>
      </c>
      <c r="AH13" s="11" t="str" cm="1">
        <f t="array" aca="1" ref="AH13" ca="1">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FilterPreconditionCandidates(RemoveFirstElement(_xlpm._preconditionCandidates),_xlpm._searchColumn,_xlpm._delimiter))))(SanitizeInput($D13),Questionnaire!$AB:$AB,",")</f>
        <v/>
      </c>
      <c r="AI13" s="11" t="str" cm="1">
        <f t="array" aca="1" ref="AI13" ca="1">IF($D13="*","",InverseLookupList($AH13,Questionnaire!$AB$3,Questionnaire!$B$3,Helper!$B$12,","))</f>
        <v/>
      </c>
      <c r="AJ13" s="11" t="str" cm="1">
        <f t="array" aca="1" ref="AJ13" ca="1">RemoveDelimiter(GetValues($AI13,Questionnaire!$B:$H," ",CHAR(10)&amp;CHAR(10),TRUE),CHAR(10)&amp;CHAR(10))</f>
        <v/>
      </c>
      <c r="AK13" s="11" t="str" cm="1">
        <f t="array" aca="1" ref="AK13" ca="1">CreateSearchString($AI13)</f>
        <v/>
      </c>
      <c r="AL13" s="11" t="str" cm="1">
        <f t="array" aca="1" ref="AL13" ca="1">InverseLookup($A13,Mitigation!$AD$2,Mitigation!$A$2,1,Helper!$B$5,",")</f>
        <v/>
      </c>
      <c r="AM13" s="11" t="str" cm="1">
        <f t="array" aca="1" ref="AM13" ca="1">CreateSearchString(GetValues($AL13,'Attack Steps'!$A:$P,"",",",FALSE))</f>
        <v/>
      </c>
      <c r="AN13" s="11" t="str">
        <f t="shared" si="0"/>
        <v>C9</v>
      </c>
      <c r="AO13" s="17" t="str" cm="1">
        <f t="array" aca="1" ref="AO13" ca="1">_xlfn.SWITCH($D13,
"*","",
"","",
_xlfn.LET(
_xlpm._answers,SUBSTITUTE(SanitizeInput($D13),"&amp;",","),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IF(_xlpm._questionIDUndefined,$A13&amp;" - "&amp;_xlpm._question&amp;": ERROR: Unknown question ID.",
        IF(_xlpm._firstAnswerIsValidOption,"",$A13&amp;" - "&amp;_xlpm._question&amp;": First answer ("&amp;_xlpm._firstAnswer&amp;") is not a valid option.")&amp;
        IF(_xlpm._secondAnswerRequired,IF(_xlpm._secondAnswerProvided,"",$A13&amp;" - "&amp;_xlpm._question&amp;": Second answer required but not provided."),"")&amp;
        IF(NOT(_xlpm._secondAnswerRequired),IF(_xlpm._secondAnswerProvided,$A13&amp;" - "&amp;_xlpm._question&amp;": Second answer ("&amp;_xlpm._secondAnswer&amp;") provided but the question only supports one answer.",""),"")&amp;
        IF(_xlpm._secondAnswerIsValidOption,"",$A13&amp;" - "&amp;_xlpm._question&amp;": Second answer ("&amp;_xlpm._secondAnswer&amp;") is not a valid option.")))),
  _xlfn.LAMBDA(_xlpm._x,_xlpm._y,_xlpm._x&amp;IF(_xlpm._x="","",CHAR(10))&amp;_xlpm._y))))</f>
        <v/>
      </c>
      <c r="AP13" s="11" cm="1">
        <f t="array" aca="1" ref="AP13" ca="1">CreateID($AP$2,$AO13&lt;&gt;"")</f>
        <v>0</v>
      </c>
    </row>
    <row r="14" spans="1:42" ht="72.75" x14ac:dyDescent="0.25">
      <c r="A14" s="9" t="s">
        <v>321</v>
      </c>
      <c r="B14" s="10" t="s">
        <v>565</v>
      </c>
      <c r="C14" s="10" t="s">
        <v>1727</v>
      </c>
      <c r="D14" s="10" t="s">
        <v>1514</v>
      </c>
      <c r="E14" s="25" t="str" cm="1">
        <f t="array" aca="1" ref="E14" ca="1">OperateOnList(
  SanitizeInput($D14),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QA2 Does the product connect two networks to each other (e.g., as a gateway)? [Yes]
» Please select the kind of connectivity: [*],
QA6 Does the product have a direct connection to a mobile network / the Internet? [Yes],
QA14 Is the product typically installed in a physically accessible position? [Yes]
 &amp; QA15 Is the product typically installed in an operational environment with public access? [Yes]
» Can an attacker plausibly tamper with the hardware without being detected? [*]</v>
      </c>
      <c r="F14" s="10"/>
      <c r="G14" s="13" t="str" cm="1">
        <f t="array" ref="G14">LookupNames($F14,'Attack Steps'!$A:$B)</f>
        <v/>
      </c>
      <c r="H14" s="10" t="s">
        <v>597</v>
      </c>
      <c r="I14" s="13" t="str" cm="1">
        <f t="array" aca="1" ref="I14" ca="1">RemoveDelimiter(GetValuesWithFallback(SanitizeInput($H14),$A:$B,Assumptions!$A:$B," ",","&amp;CHAR(10),TRUE),","&amp;CHAR(10))</f>
        <v>C11 CR 2.10 – Response to audit processing failures,
C12 SRS 2.11 – Timestamps</v>
      </c>
      <c r="J14" s="10"/>
      <c r="K14" s="25" t="str" cm="1">
        <f t="array" ref="K14">IF($J14="","",SUBSTITUTE(SUBSTITUTE(SUBSTITUTE(SUBSTITUTE(SUBSTITUTE(SUBSTITUTE(SUBSTITUTE(SUBSTITUTE(SUBSTITUTE(
GetTransformation(SanitizeInput($J14),'Damage Scenarios'!$A:$J,COLUMNS('Damage Scenarios'!$A:$J),CHAR(10),"[#0][#1][#2]")&amp;"§",
"[#1][#2]",""),
"[#2]",""),
"[#0][#1]","[#1]"),
"[#0]","Removes:"&amp;CHAR(10)),
"[#1]","Transforms:"&amp;CHAR(10)),
CHAR(10)&amp;"§",""),
"§",""),
CHAR(10),CHAR(10)&amp;"   "),
"   "&amp;"Transforms:","Transforms:"))</f>
        <v/>
      </c>
      <c r="L14" s="10"/>
      <c r="M14" s="10"/>
      <c r="N14" s="10"/>
      <c r="O14" s="10"/>
      <c r="P14" s="10"/>
      <c r="Q14" s="13" t="str">
        <f ca="1">IF($A14="","",IFERROR(VLOOKUP($Z14,Definitions!$V:$W,COLUMNS(Definitions!$V:$W),TRUE),""))</f>
        <v>Basic</v>
      </c>
      <c r="R14" s="10" t="s">
        <v>1384</v>
      </c>
      <c r="S14" s="10"/>
      <c r="T14" s="10"/>
      <c r="U14" s="9" cm="1">
        <f t="array" aca="1" ref="U14" ca="1">CreateID($U$2,$A14&lt;&gt;"")</f>
        <v>12</v>
      </c>
      <c r="V14" s="11" t="b" cm="1">
        <f t="array" ref="V14">CheckRelevance(SanitizeInput(F14),Questionnaire!$J:$J)</f>
        <v>0</v>
      </c>
      <c r="W14" s="11" t="b">
        <f>IFERROR(_xlfn.XMATCH("*,"&amp;$A14&amp;",*",Mitigation!$X:$X,2)&gt;0,FALSE)</f>
        <v>0</v>
      </c>
      <c r="X14" s="11" cm="1">
        <f t="array" ref="X14">CreateTaskID($X$2,$X:$X,Tasks!$B$17,$T14)</f>
        <v>0</v>
      </c>
      <c r="Y14" s="11" t="str" cm="1">
        <f t="array" ref="Y14">CreateSearchString($F14)</f>
        <v/>
      </c>
      <c r="Z14" s="11" cm="1">
        <f t="array" aca="1" ref="Z14" ca="1">OperateOnRange(
  $L14,
  TRUE,
  Helper!$B$16,
  0,
  _xlfn.LAMBDA(_xlpm._factor,IF(_xlpm._factor="",0,SimpleLookup(_xlpm._factor,Definitions!$Z:$AA))),
  _xlfn.LAMBDA(_xlpm._x,_xlpm._y,_xlpm._x+_xlpm._y))</f>
        <v>0</v>
      </c>
      <c r="AA14" s="11" t="str" cm="1">
        <f t="array" ref="AA14">CreateSearchString($H14)</f>
        <v>,C11,C12,</v>
      </c>
      <c r="AB14" s="11" t="b" cm="1">
        <f t="array" aca="1" ref="AB14" ca="1">IF($A14="",FALSE,
OR($AG14,_xlfn.LAMBDA(_xlpm._ownID,_xlpm._searchHeader,_xlpm._resultHeader,_xlpm._elementCount,_xlpm._delimiter,_xlpm._activeInTreatmentRange,_xlpm._activeByAnswersRange,_xlpm._dependencies,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InverseLookup(_xlpm._ownID,_xlpm._searchHeader,_xlpm._resultHeader,1,_xlpm._elementCount,_xlpm._delimiter))))))($A14,$AA$2,$A$2,Helper!$B$4,",",$A:$W,$A:$AG,InverseLookup($A14,$AA$2,$A$2,1,Helper!$B$4,","))))</f>
        <v>0</v>
      </c>
      <c r="AC14" s="11" t="str" cm="1">
        <f t="array" aca="1" ref="AC14" ca="1">IF(OR($W14,$AB14,$AG14),CreateSearchString($H14),"")</f>
        <v/>
      </c>
      <c r="AD14" s="11" t="str" cm="1">
        <f t="array" ref="AD14">SUBSTITUTE(IF($W14,CreateSearchString($J14),""),"&gt;",",")</f>
        <v/>
      </c>
      <c r="AE14" s="11" cm="1">
        <f t="array" aca="1" ref="AE14" ca="1">CreateID($AE$2,$AB14)</f>
        <v>2</v>
      </c>
      <c r="AF14" s="11" t="str" cm="1">
        <f t="array" aca="1" ref="AF14" ca="1">IF($AB14,CreateSearchString($R14),"")</f>
        <v/>
      </c>
      <c r="AG14" s="11" t="b">
        <f ca="1">OR(CheckRelevance(SanitizeInput($D14),Questionnaire!$J:$J),CheckRelevance(SanitizeInput($D14),Questionnaire!$K:$K))</f>
        <v>0</v>
      </c>
      <c r="AH14" s="11" t="str" cm="1">
        <f t="array" aca="1" ref="AH14" ca="1">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FilterPreconditionCandidates(RemoveFirstElement(_xlpm._preconditionCandidates),_xlpm._searchColumn,_xlpm._delimiter))))(SanitizeInput($D14),Questionnaire!$AB:$AB,",")</f>
        <v/>
      </c>
      <c r="AI14" s="11" t="str" cm="1">
        <f t="array" aca="1" ref="AI14" ca="1">IF($D14="*","",InverseLookupList($AH14,Questionnaire!$AB$3,Questionnaire!$B$3,Helper!$B$12,","))</f>
        <v/>
      </c>
      <c r="AJ14" s="11" t="str" cm="1">
        <f t="array" aca="1" ref="AJ14" ca="1">RemoveDelimiter(GetValues($AI14,Questionnaire!$B:$H," ",CHAR(10)&amp;CHAR(10),TRUE),CHAR(10)&amp;CHAR(10))</f>
        <v/>
      </c>
      <c r="AK14" s="11" t="str" cm="1">
        <f t="array" aca="1" ref="AK14" ca="1">CreateSearchString($AI14)</f>
        <v/>
      </c>
      <c r="AL14" s="11" t="str" cm="1">
        <f t="array" aca="1" ref="AL14" ca="1">InverseLookup($A14,Mitigation!$AD$2,Mitigation!$A$2,1,Helper!$B$5,",")</f>
        <v/>
      </c>
      <c r="AM14" s="11" t="str" cm="1">
        <f t="array" aca="1" ref="AM14" ca="1">CreateSearchString(GetValues($AL14,'Attack Steps'!$A:$P,"",",",FALSE))</f>
        <v/>
      </c>
      <c r="AN14" s="11" t="str">
        <f t="shared" si="0"/>
        <v>C10</v>
      </c>
      <c r="AO14" s="11" t="str" cm="1">
        <f t="array" aca="1" ref="AO14" ca="1">_xlfn.SWITCH($D14,
"*","",
"","",
_xlfn.LET(
_xlpm._answers,SUBSTITUTE(SanitizeInput($D14),"&amp;",","),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IF(_xlpm._questionIDUndefined,$A14&amp;" - "&amp;_xlpm._question&amp;": ERROR: Unknown question ID.",
        IF(_xlpm._firstAnswerIsValidOption,"",$A14&amp;" - "&amp;_xlpm._question&amp;": First answer ("&amp;_xlpm._firstAnswer&amp;") is not a valid option.")&amp;
        IF(_xlpm._secondAnswerRequired,IF(_xlpm._secondAnswerProvided,"",$A14&amp;" - "&amp;_xlpm._question&amp;": Second answer required but not provided."),"")&amp;
        IF(NOT(_xlpm._secondAnswerRequired),IF(_xlpm._secondAnswerProvided,$A14&amp;" - "&amp;_xlpm._question&amp;": Second answer ("&amp;_xlpm._secondAnswer&amp;") provided but the question only supports one answer.",""),"")&amp;
        IF(_xlpm._secondAnswerIsValidOption,"",$A14&amp;" - "&amp;_xlpm._question&amp;": Second answer ("&amp;_xlpm._secondAnswer&amp;") is not a valid option.")))),
  _xlfn.LAMBDA(_xlpm._x,_xlpm._y,_xlpm._x&amp;IF(_xlpm._x="","",CHAR(10))&amp;_xlpm._y))))</f>
        <v/>
      </c>
      <c r="AP14" s="11" cm="1">
        <f t="array" aca="1" ref="AP14" ca="1">CreateID($AP$2,$AO14&lt;&gt;"")</f>
        <v>0</v>
      </c>
    </row>
    <row r="15" spans="1:42" x14ac:dyDescent="0.25">
      <c r="A15" s="9" t="s">
        <v>322</v>
      </c>
      <c r="B15" s="10" t="s">
        <v>566</v>
      </c>
      <c r="C15" s="10" t="s">
        <v>1727</v>
      </c>
      <c r="D15" s="10"/>
      <c r="E15" s="25" t="str" cm="1">
        <f t="array" ref="E15">OperateOnList(
  SanitizeInput($D15),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15" s="10"/>
      <c r="G15" s="13" t="str" cm="1">
        <f t="array" ref="G15">LookupNames($F15,'Attack Steps'!$A:$B)</f>
        <v/>
      </c>
      <c r="H15" s="10"/>
      <c r="I15" s="13" t="str" cm="1">
        <f t="array" ref="I15">RemoveDelimiter(GetValuesWithFallback(SanitizeInput($H15),$A:$B,Assumptions!$A:$B," ",","&amp;CHAR(10),TRUE),","&amp;CHAR(10))</f>
        <v/>
      </c>
      <c r="J15" s="10"/>
      <c r="K15" s="25" t="str" cm="1">
        <f t="array" ref="K15">IF($J15="","",SUBSTITUTE(SUBSTITUTE(SUBSTITUTE(SUBSTITUTE(SUBSTITUTE(SUBSTITUTE(SUBSTITUTE(SUBSTITUTE(SUBSTITUTE(
GetTransformation(SanitizeInput($J15),'Damage Scenarios'!$A:$J,COLUMNS('Damage Scenarios'!$A:$J),CHAR(10),"[#0][#1][#2]")&amp;"§",
"[#1][#2]",""),
"[#2]",""),
"[#0][#1]","[#1]"),
"[#0]","Removes:"&amp;CHAR(10)),
"[#1]","Transforms:"&amp;CHAR(10)),
CHAR(10)&amp;"§",""),
"§",""),
CHAR(10),CHAR(10)&amp;"   "),
"   "&amp;"Transforms:","Transforms:"))</f>
        <v/>
      </c>
      <c r="L15" s="10"/>
      <c r="M15" s="10"/>
      <c r="N15" s="10"/>
      <c r="O15" s="10"/>
      <c r="P15" s="10"/>
      <c r="Q15" s="13" t="str">
        <f ca="1">IF($A15="","",IFERROR(VLOOKUP($Z15,Definitions!$V:$W,COLUMNS(Definitions!$V:$W),TRUE),""))</f>
        <v>Basic</v>
      </c>
      <c r="R15" s="10" t="s">
        <v>452</v>
      </c>
      <c r="S15" s="10"/>
      <c r="T15" s="10"/>
      <c r="U15" s="9" cm="1">
        <f t="array" aca="1" ref="U15" ca="1">CreateID($U$2,$A15&lt;&gt;"")</f>
        <v>13</v>
      </c>
      <c r="V15" s="11" t="b" cm="1">
        <f t="array" ref="V15">CheckRelevance(SanitizeInput(F15),Questionnaire!$J:$J)</f>
        <v>0</v>
      </c>
      <c r="W15" s="11" t="b">
        <f>IFERROR(_xlfn.XMATCH("*,"&amp;$A15&amp;",*",Mitigation!$X:$X,2)&gt;0,FALSE)</f>
        <v>0</v>
      </c>
      <c r="X15" s="11" cm="1">
        <f t="array" ref="X15">CreateTaskID($X$2,$X:$X,Tasks!$B$17,$T15)</f>
        <v>0</v>
      </c>
      <c r="Y15" s="11" t="str" cm="1">
        <f t="array" ref="Y15">CreateSearchString($F15)</f>
        <v/>
      </c>
      <c r="Z15" s="11" cm="1">
        <f t="array" aca="1" ref="Z15" ca="1">OperateOnRange(
  $L15,
  TRUE,
  Helper!$B$16,
  0,
  _xlfn.LAMBDA(_xlpm._factor,IF(_xlpm._factor="",0,SimpleLookup(_xlpm._factor,Definitions!$Z:$AA))),
  _xlfn.LAMBDA(_xlpm._x,_xlpm._y,_xlpm._x+_xlpm._y))</f>
        <v>0</v>
      </c>
      <c r="AA15" s="11" t="str" cm="1">
        <f t="array" ref="AA15">CreateSearchString($H15)</f>
        <v/>
      </c>
      <c r="AB15" s="11" t="b" cm="1">
        <f t="array" aca="1" ref="AB15" ca="1">IF($A15="",FALSE,
OR($AG15,_xlfn.LAMBDA(_xlpm._ownID,_xlpm._searchHeader,_xlpm._resultHeader,_xlpm._elementCount,_xlpm._delimiter,_xlpm._activeInTreatmentRange,_xlpm._activeByAnswersRange,_xlpm._dependencies,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InverseLookup(_xlpm._ownID,_xlpm._searchHeader,_xlpm._resultHeader,1,_xlpm._elementCount,_xlpm._delimiter))))))($A15,$AA$2,$A$2,Helper!$B$4,",",$A:$W,$A:$AG,InverseLookup($A15,$AA$2,$A$2,1,Helper!$B$4,","))))</f>
        <v>0</v>
      </c>
      <c r="AC15" s="11" t="str" cm="1">
        <f t="array" aca="1" ref="AC15" ca="1">IF(OR($W15,$AB15,$AG15),CreateSearchString($H15),"")</f>
        <v/>
      </c>
      <c r="AD15" s="11" t="str" cm="1">
        <f t="array" ref="AD15">SUBSTITUTE(IF($W15,CreateSearchString($J15),""),"&gt;",",")</f>
        <v/>
      </c>
      <c r="AE15" s="11" cm="1">
        <f t="array" aca="1" ref="AE15" ca="1">CreateID($AE$2,$AB15)</f>
        <v>2</v>
      </c>
      <c r="AF15" s="11" t="str" cm="1">
        <f t="array" aca="1" ref="AF15" ca="1">IF($AB15,CreateSearchString($R15),"")</f>
        <v/>
      </c>
      <c r="AG15" s="11" t="b">
        <f>OR(CheckRelevance(SanitizeInput($D15),Questionnaire!$J:$J),CheckRelevance(SanitizeInput($D15),Questionnaire!$K:$K))</f>
        <v>0</v>
      </c>
      <c r="AH15" s="11" t="str" cm="1">
        <f t="array" ref="AH15">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FilterPreconditionCandidates(RemoveFirstElement(_xlpm._preconditionCandidates),_xlpm._searchColumn,_xlpm._delimiter))))(SanitizeInput($D15),Questionnaire!$AB:$AB,",")</f>
        <v/>
      </c>
      <c r="AI15" s="11" t="str" cm="1">
        <f t="array" ref="AI15">IF($D15="*","",InverseLookupList($AH15,Questionnaire!$AB$3,Questionnaire!$B$3,Helper!$B$12,","))</f>
        <v/>
      </c>
      <c r="AJ15" s="11" t="str" cm="1">
        <f t="array" ref="AJ15">RemoveDelimiter(GetValues($AI15,Questionnaire!$B:$H," ",CHAR(10)&amp;CHAR(10),TRUE),CHAR(10)&amp;CHAR(10))</f>
        <v/>
      </c>
      <c r="AK15" s="11" t="str" cm="1">
        <f t="array" ref="AK15">CreateSearchString($AI15)</f>
        <v/>
      </c>
      <c r="AL15" s="11" t="str" cm="1">
        <f t="array" aca="1" ref="AL15" ca="1">InverseLookup($A15,Mitigation!$AD$2,Mitigation!$A$2,1,Helper!$B$5,",")</f>
        <v/>
      </c>
      <c r="AM15" s="11" t="str" cm="1">
        <f t="array" aca="1" ref="AM15" ca="1">CreateSearchString(GetValues($AL15,'Attack Steps'!$A:$P,"",",",FALSE))</f>
        <v/>
      </c>
      <c r="AN15" s="11" t="str">
        <f t="shared" si="0"/>
        <v>C11</v>
      </c>
      <c r="AO15" s="11" t="str" cm="1">
        <f t="array" ref="AO15">_xlfn.SWITCH($D15,
"*","",
"","",
_xlfn.LET(
_xlpm._answers,SUBSTITUTE(SanitizeInput($D15),"&amp;",","),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IF(_xlpm._questionIDUndefined,$A15&amp;" - "&amp;_xlpm._question&amp;": ERROR: Unknown question ID.",
        IF(_xlpm._firstAnswerIsValidOption,"",$A15&amp;" - "&amp;_xlpm._question&amp;": First answer ("&amp;_xlpm._firstAnswer&amp;") is not a valid option.")&amp;
        IF(_xlpm._secondAnswerRequired,IF(_xlpm._secondAnswerProvided,"",$A15&amp;" - "&amp;_xlpm._question&amp;": Second answer required but not provided."),"")&amp;
        IF(NOT(_xlpm._secondAnswerRequired),IF(_xlpm._secondAnswerProvided,$A15&amp;" - "&amp;_xlpm._question&amp;": Second answer ("&amp;_xlpm._secondAnswer&amp;") provided but the question only supports one answer.",""),"")&amp;
        IF(_xlpm._secondAnswerIsValidOption,"",$A15&amp;" - "&amp;_xlpm._question&amp;": Second answer ("&amp;_xlpm._secondAnswer&amp;") is not a valid option.")))),
  _xlfn.LAMBDA(_xlpm._x,_xlpm._y,_xlpm._x&amp;IF(_xlpm._x="","",CHAR(10))&amp;_xlpm._y))))</f>
        <v/>
      </c>
      <c r="AP15" s="11" cm="1">
        <f t="array" aca="1" ref="AP15" ca="1">CreateID($AP$2,$AO15&lt;&gt;"")</f>
        <v>0</v>
      </c>
    </row>
    <row r="16" spans="1:42" x14ac:dyDescent="0.25">
      <c r="A16" s="9" t="s">
        <v>323</v>
      </c>
      <c r="B16" s="10" t="s">
        <v>1433</v>
      </c>
      <c r="C16" s="10" t="s">
        <v>1727</v>
      </c>
      <c r="D16" s="10"/>
      <c r="E16" s="25" t="str" cm="1">
        <f t="array" ref="E16">OperateOnList(
  SanitizeInput($D16),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16" s="10"/>
      <c r="G16" s="13" t="str" cm="1">
        <f t="array" ref="G16">LookupNames($F16,'Attack Steps'!$A:$B)</f>
        <v/>
      </c>
      <c r="H16" s="10"/>
      <c r="I16" s="13" t="str" cm="1">
        <f t="array" ref="I16">RemoveDelimiter(GetValuesWithFallback(SanitizeInput($H16),$A:$B,Assumptions!$A:$B," ",","&amp;CHAR(10),TRUE),","&amp;CHAR(10))</f>
        <v/>
      </c>
      <c r="J16" s="10"/>
      <c r="K16" s="25" t="str" cm="1">
        <f t="array" ref="K16">IF($J16="","",SUBSTITUTE(SUBSTITUTE(SUBSTITUTE(SUBSTITUTE(SUBSTITUTE(SUBSTITUTE(SUBSTITUTE(SUBSTITUTE(SUBSTITUTE(
GetTransformation(SanitizeInput($J16),'Damage Scenarios'!$A:$J,COLUMNS('Damage Scenarios'!$A:$J),CHAR(10),"[#0][#1][#2]")&amp;"§",
"[#1][#2]",""),
"[#2]",""),
"[#0][#1]","[#1]"),
"[#0]","Removes:"&amp;CHAR(10)),
"[#1]","Transforms:"&amp;CHAR(10)),
CHAR(10)&amp;"§",""),
"§",""),
CHAR(10),CHAR(10)&amp;"   "),
"   "&amp;"Transforms:","Transforms:"))</f>
        <v/>
      </c>
      <c r="L16" s="10"/>
      <c r="M16" s="10"/>
      <c r="N16" s="10"/>
      <c r="O16" s="10"/>
      <c r="P16" s="10"/>
      <c r="Q16" s="13" t="str">
        <f ca="1">IF($A16="","",IFERROR(VLOOKUP($Z16,Definitions!$V:$W,COLUMNS(Definitions!$V:$W),TRUE),""))</f>
        <v>Basic</v>
      </c>
      <c r="R16" s="10" t="s">
        <v>1384</v>
      </c>
      <c r="S16" s="10"/>
      <c r="T16" s="10"/>
      <c r="U16" s="9" cm="1">
        <f t="array" aca="1" ref="U16" ca="1">CreateID($U$2,$A16&lt;&gt;"")</f>
        <v>14</v>
      </c>
      <c r="V16" s="11" t="b" cm="1">
        <f t="array" ref="V16">CheckRelevance(SanitizeInput(F16),Questionnaire!$J:$J)</f>
        <v>0</v>
      </c>
      <c r="W16" s="11" t="b">
        <f>IFERROR(_xlfn.XMATCH("*,"&amp;$A16&amp;",*",Mitigation!$X:$X,2)&gt;0,FALSE)</f>
        <v>0</v>
      </c>
      <c r="X16" s="11" cm="1">
        <f t="array" ref="X16">CreateTaskID($X$2,$X:$X,Tasks!$B$17,$T16)</f>
        <v>0</v>
      </c>
      <c r="Y16" s="11" t="str" cm="1">
        <f t="array" ref="Y16">CreateSearchString($F16)</f>
        <v/>
      </c>
      <c r="Z16" s="11" cm="1">
        <f t="array" aca="1" ref="Z16" ca="1">OperateOnRange(
  $L16,
  TRUE,
  Helper!$B$16,
  0,
  _xlfn.LAMBDA(_xlpm._factor,IF(_xlpm._factor="",0,SimpleLookup(_xlpm._factor,Definitions!$Z:$AA))),
  _xlfn.LAMBDA(_xlpm._x,_xlpm._y,_xlpm._x+_xlpm._y))</f>
        <v>0</v>
      </c>
      <c r="AA16" s="11" t="str" cm="1">
        <f t="array" ref="AA16">CreateSearchString($H16)</f>
        <v/>
      </c>
      <c r="AB16" s="11" t="b" cm="1">
        <f t="array" aca="1" ref="AB16" ca="1">IF($A16="",FALSE,
OR($AG16,_xlfn.LAMBDA(_xlpm._ownID,_xlpm._searchHeader,_xlpm._resultHeader,_xlpm._elementCount,_xlpm._delimiter,_xlpm._activeInTreatmentRange,_xlpm._activeByAnswersRange,_xlpm._dependencies,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InverseLookup(_xlpm._ownID,_xlpm._searchHeader,_xlpm._resultHeader,1,_xlpm._elementCount,_xlpm._delimiter))))))($A16,$AA$2,$A$2,Helper!$B$4,",",$A:$W,$A:$AG,InverseLookup($A16,$AA$2,$A$2,1,Helper!$B$4,","))))</f>
        <v>0</v>
      </c>
      <c r="AC16" s="11" t="str" cm="1">
        <f t="array" aca="1" ref="AC16" ca="1">IF(OR($W16,$AB16,$AG16),CreateSearchString($H16),"")</f>
        <v/>
      </c>
      <c r="AD16" s="11" t="str" cm="1">
        <f t="array" ref="AD16">SUBSTITUTE(IF($W16,CreateSearchString($J16),""),"&gt;",",")</f>
        <v/>
      </c>
      <c r="AE16" s="11" cm="1">
        <f t="array" aca="1" ref="AE16" ca="1">CreateID($AE$2,$AB16)</f>
        <v>2</v>
      </c>
      <c r="AF16" s="11" t="str" cm="1">
        <f t="array" aca="1" ref="AF16" ca="1">IF($AB16,CreateSearchString($R16),"")</f>
        <v/>
      </c>
      <c r="AG16" s="11" t="b">
        <f>OR(CheckRelevance(SanitizeInput($D16),Questionnaire!$J:$J),CheckRelevance(SanitizeInput($D16),Questionnaire!$K:$K))</f>
        <v>0</v>
      </c>
      <c r="AH16" s="11" t="str" cm="1">
        <f t="array" ref="AH16">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FilterPreconditionCandidates(RemoveFirstElement(_xlpm._preconditionCandidates),_xlpm._searchColumn,_xlpm._delimiter))))(SanitizeInput($D16),Questionnaire!$AB:$AB,",")</f>
        <v/>
      </c>
      <c r="AI16" s="11" t="str" cm="1">
        <f t="array" ref="AI16">IF($D16="*","",InverseLookupList($AH16,Questionnaire!$AB$3,Questionnaire!$B$3,Helper!$B$12,","))</f>
        <v/>
      </c>
      <c r="AJ16" s="11" t="str" cm="1">
        <f t="array" ref="AJ16">RemoveDelimiter(GetValues($AI16,Questionnaire!$B:$H," ",CHAR(10)&amp;CHAR(10),TRUE),CHAR(10)&amp;CHAR(10))</f>
        <v/>
      </c>
      <c r="AK16" s="11" t="str" cm="1">
        <f t="array" ref="AK16">CreateSearchString($AI16)</f>
        <v/>
      </c>
      <c r="AL16" s="11" t="str" cm="1">
        <f t="array" aca="1" ref="AL16" ca="1">InverseLookup($A16,Mitigation!$AD$2,Mitigation!$A$2,1,Helper!$B$5,",")</f>
        <v/>
      </c>
      <c r="AM16" s="11" t="str" cm="1">
        <f t="array" aca="1" ref="AM16" ca="1">CreateSearchString(GetValues($AL16,'Attack Steps'!$A:$P,"",",",FALSE))</f>
        <v/>
      </c>
      <c r="AN16" s="11" t="str">
        <f t="shared" si="0"/>
        <v>C12</v>
      </c>
      <c r="AO16" s="11" t="str" cm="1">
        <f t="array" ref="AO16">_xlfn.SWITCH($D16,
"*","",
"","",
_xlfn.LET(
_xlpm._answers,SUBSTITUTE(SanitizeInput($D16),"&amp;",","),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IF(_xlpm._questionIDUndefined,$A16&amp;" - "&amp;_xlpm._question&amp;": ERROR: Unknown question ID.",
        IF(_xlpm._firstAnswerIsValidOption,"",$A16&amp;" - "&amp;_xlpm._question&amp;": First answer ("&amp;_xlpm._firstAnswer&amp;") is not a valid option.")&amp;
        IF(_xlpm._secondAnswerRequired,IF(_xlpm._secondAnswerProvided,"",$A16&amp;" - "&amp;_xlpm._question&amp;": Second answer required but not provided."),"")&amp;
        IF(NOT(_xlpm._secondAnswerRequired),IF(_xlpm._secondAnswerProvided,$A16&amp;" - "&amp;_xlpm._question&amp;": Second answer ("&amp;_xlpm._secondAnswer&amp;") provided but the question only supports one answer.",""),"")&amp;
        IF(_xlpm._secondAnswerIsValidOption,"",$A16&amp;" - "&amp;_xlpm._question&amp;": Second answer ("&amp;_xlpm._secondAnswer&amp;") is not a valid option.")))),
  _xlfn.LAMBDA(_xlpm._x,_xlpm._y,_xlpm._x&amp;IF(_xlpm._x="","",CHAR(10))&amp;_xlpm._y))))</f>
        <v/>
      </c>
      <c r="AP16" s="11" cm="1">
        <f t="array" aca="1" ref="AP16" ca="1">CreateID($AP$2,$AO16&lt;&gt;"")</f>
        <v>0</v>
      </c>
    </row>
    <row r="17" spans="1:42" x14ac:dyDescent="0.25">
      <c r="A17" s="9" t="s">
        <v>324</v>
      </c>
      <c r="B17" s="10" t="s">
        <v>567</v>
      </c>
      <c r="C17" s="10" t="s">
        <v>1727</v>
      </c>
      <c r="D17" s="10" t="s">
        <v>335</v>
      </c>
      <c r="E17" s="25" t="str" cm="1">
        <f t="array" ref="E17">OperateOnList(
  SanitizeInput($D17),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v>
      </c>
      <c r="F17" s="10"/>
      <c r="G17" s="13" t="str" cm="1">
        <f t="array" ref="G17">LookupNames($F17,'Attack Steps'!$A:$B)</f>
        <v/>
      </c>
      <c r="H17" s="10"/>
      <c r="I17" s="13" t="str" cm="1">
        <f t="array" ref="I17">RemoveDelimiter(GetValuesWithFallback(SanitizeInput($H17),$A:$B,Assumptions!$A:$B," ",","&amp;CHAR(10),TRUE),","&amp;CHAR(10))</f>
        <v/>
      </c>
      <c r="J17" s="10"/>
      <c r="K17" s="25" t="str" cm="1">
        <f t="array" ref="K17">IF($J17="","",SUBSTITUTE(SUBSTITUTE(SUBSTITUTE(SUBSTITUTE(SUBSTITUTE(SUBSTITUTE(SUBSTITUTE(SUBSTITUTE(SUBSTITUTE(
GetTransformation(SanitizeInput($J17),'Damage Scenarios'!$A:$J,COLUMNS('Damage Scenarios'!$A:$J),CHAR(10),"[#0][#1][#2]")&amp;"§",
"[#1][#2]",""),
"[#2]",""),
"[#0][#1]","[#1]"),
"[#0]","Removes:"&amp;CHAR(10)),
"[#1]","Transforms:"&amp;CHAR(10)),
CHAR(10)&amp;"§",""),
"§",""),
CHAR(10),CHAR(10)&amp;"   "),
"   "&amp;"Transforms:","Transforms:"))</f>
        <v/>
      </c>
      <c r="L17" s="10"/>
      <c r="M17" s="10"/>
      <c r="N17" s="10"/>
      <c r="O17" s="10"/>
      <c r="P17" s="10"/>
      <c r="Q17" s="13" t="str">
        <f ca="1">IF($A17="","",IFERROR(VLOOKUP($Z17,Definitions!$V:$W,COLUMNS(Definitions!$V:$W),TRUE),""))</f>
        <v>Basic</v>
      </c>
      <c r="R17" s="10" t="s">
        <v>450</v>
      </c>
      <c r="S17" s="10"/>
      <c r="T17" s="10"/>
      <c r="U17" s="9" cm="1">
        <f t="array" aca="1" ref="U17" ca="1">CreateID($U$2,$A17&lt;&gt;"")</f>
        <v>15</v>
      </c>
      <c r="V17" s="11" t="b" cm="1">
        <f t="array" ref="V17">CheckRelevance(SanitizeInput(F17),Questionnaire!$J:$J)</f>
        <v>0</v>
      </c>
      <c r="W17" s="11" t="b">
        <f>IFERROR(_xlfn.XMATCH("*,"&amp;$A17&amp;",*",Mitigation!$X:$X,2)&gt;0,FALSE)</f>
        <v>0</v>
      </c>
      <c r="X17" s="11" cm="1">
        <f t="array" ref="X17">CreateTaskID($X$2,$X:$X,Tasks!$B$17,$T17)</f>
        <v>0</v>
      </c>
      <c r="Y17" s="11" t="str" cm="1">
        <f t="array" ref="Y17">CreateSearchString($F17)</f>
        <v/>
      </c>
      <c r="Z17" s="11" cm="1">
        <f t="array" aca="1" ref="Z17" ca="1">OperateOnRange(
  $L17,
  TRUE,
  Helper!$B$16,
  0,
  _xlfn.LAMBDA(_xlpm._factor,IF(_xlpm._factor="",0,SimpleLookup(_xlpm._factor,Definitions!$Z:$AA))),
  _xlfn.LAMBDA(_xlpm._x,_xlpm._y,_xlpm._x+_xlpm._y))</f>
        <v>0</v>
      </c>
      <c r="AA17" s="11" t="str" cm="1">
        <f t="array" ref="AA17">CreateSearchString($H17)</f>
        <v/>
      </c>
      <c r="AB17" s="11" t="b" cm="1">
        <f t="array" aca="1" ref="AB17" ca="1">IF($A17="",FALSE,
OR($AG17,_xlfn.LAMBDA(_xlpm._ownID,_xlpm._searchHeader,_xlpm._resultHeader,_xlpm._elementCount,_xlpm._delimiter,_xlpm._activeInTreatmentRange,_xlpm._activeByAnswersRange,_xlpm._dependencies,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InverseLookup(_xlpm._ownID,_xlpm._searchHeader,_xlpm._resultHeader,1,_xlpm._elementCount,_xlpm._delimiter))))))($A17,$AA$2,$A$2,Helper!$B$4,",",$A:$W,$A:$AG,InverseLookup($A17,$AA$2,$A$2,1,Helper!$B$4,","))))</f>
        <v>1</v>
      </c>
      <c r="AC17" s="11" t="str" cm="1">
        <f t="array" aca="1" ref="AC17" ca="1">IF(OR($W17,$AB17,$AG17),CreateSearchString($H17),"")</f>
        <v/>
      </c>
      <c r="AD17" s="11" t="str" cm="1">
        <f t="array" ref="AD17">SUBSTITUTE(IF($W17,CreateSearchString($J17),""),"&gt;",",")</f>
        <v/>
      </c>
      <c r="AE17" s="11" cm="1">
        <f t="array" aca="1" ref="AE17" ca="1">CreateID($AE$2,$AB17)</f>
        <v>3</v>
      </c>
      <c r="AF17" s="11" t="str" cm="1">
        <f t="array" aca="1" ref="AF17" ca="1">IF($AB17,CreateSearchString($R17),"")</f>
        <v>,f,</v>
      </c>
      <c r="AG17" s="11" t="b">
        <f>OR(CheckRelevance(SanitizeInput($D17),Questionnaire!$J:$J),CheckRelevance(SanitizeInput($D17),Questionnaire!$K:$K))</f>
        <v>1</v>
      </c>
      <c r="AH17" s="11" t="str" cm="1">
        <f t="array" ref="AH17">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FilterPreconditionCandidates(RemoveFirstElement(_xlpm._preconditionCandidates),_xlpm._searchColumn,_xlpm._delimiter))))(SanitizeInput($D17),Questionnaire!$AB:$AB,",")</f>
        <v>*,</v>
      </c>
      <c r="AI17" s="11" t="str" cm="1">
        <f t="array" ref="AI17">IF($D17="*","",InverseLookupList($AH17,Questionnaire!$AB$3,Questionnaire!$B$3,Helper!$B$12,","))</f>
        <v/>
      </c>
      <c r="AJ17" s="11" t="str" cm="1">
        <f t="array" ref="AJ17">RemoveDelimiter(GetValues($AI17,Questionnaire!$B:$H," ",CHAR(10)&amp;CHAR(10),TRUE),CHAR(10)&amp;CHAR(10))</f>
        <v/>
      </c>
      <c r="AK17" s="11" t="str" cm="1">
        <f t="array" ref="AK17">CreateSearchString($AI17)</f>
        <v/>
      </c>
      <c r="AL17" s="11" t="str" cm="1">
        <f t="array" aca="1" ref="AL17" ca="1">InverseLookup($A17,Mitigation!$AD$2,Mitigation!$A$2,1,Helper!$B$5,",")</f>
        <v/>
      </c>
      <c r="AM17" s="11" t="str" cm="1">
        <f t="array" aca="1" ref="AM17" ca="1">CreateSearchString(GetValues($AL17,'Attack Steps'!$A:$P,"",",",FALSE))</f>
        <v/>
      </c>
      <c r="AN17" s="11" t="str">
        <f t="shared" si="0"/>
        <v>C13</v>
      </c>
      <c r="AO17" s="11" t="str" cm="1">
        <f t="array" ref="AO17">_xlfn.SWITCH($D17,
"*","",
"","",
_xlfn.LET(
_xlpm._answers,SUBSTITUTE(SanitizeInput($D17),"&amp;",","),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IF(_xlpm._questionIDUndefined,$A17&amp;" - "&amp;_xlpm._question&amp;": ERROR: Unknown question ID.",
        IF(_xlpm._firstAnswerIsValidOption,"",$A17&amp;" - "&amp;_xlpm._question&amp;": First answer ("&amp;_xlpm._firstAnswer&amp;") is not a valid option.")&amp;
        IF(_xlpm._secondAnswerRequired,IF(_xlpm._secondAnswerProvided,"",$A17&amp;" - "&amp;_xlpm._question&amp;": Second answer required but not provided."),"")&amp;
        IF(NOT(_xlpm._secondAnswerRequired),IF(_xlpm._secondAnswerProvided,$A17&amp;" - "&amp;_xlpm._question&amp;": Second answer ("&amp;_xlpm._secondAnswer&amp;") provided but the question only supports one answer.",""),"")&amp;
        IF(_xlpm._secondAnswerIsValidOption,"",$A17&amp;" - "&amp;_xlpm._question&amp;": Second answer ("&amp;_xlpm._secondAnswer&amp;") is not a valid option.")))),
  _xlfn.LAMBDA(_xlpm._x,_xlpm._y,_xlpm._x&amp;IF(_xlpm._x="","",CHAR(10))&amp;_xlpm._y))))</f>
        <v/>
      </c>
      <c r="AP17" s="11" cm="1">
        <f t="array" aca="1" ref="AP17" ca="1">CreateID($AP$2,$AO17&lt;&gt;"")</f>
        <v>0</v>
      </c>
    </row>
    <row r="18" spans="1:42" ht="72.75" x14ac:dyDescent="0.25">
      <c r="A18" s="9" t="s">
        <v>325</v>
      </c>
      <c r="B18" s="10" t="s">
        <v>568</v>
      </c>
      <c r="C18" s="10" t="s">
        <v>1727</v>
      </c>
      <c r="D18" s="10" t="s">
        <v>1514</v>
      </c>
      <c r="E18" s="25" t="str" cm="1">
        <f t="array" aca="1" ref="E18" ca="1">OperateOnList(
  SanitizeInput($D18),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QA2 Does the product connect two networks to each other (e.g., as a gateway)? [Yes]
» Please select the kind of connectivity: [*],
QA6 Does the product have a direct connection to a mobile network / the Internet? [Yes],
QA14 Is the product typically installed in a physically accessible position? [Yes]
 &amp; QA15 Is the product typically installed in an operational environment with public access? [Yes]
» Can an attacker plausibly tamper with the hardware without being detected? [*]</v>
      </c>
      <c r="F18" s="10"/>
      <c r="G18" s="13" t="str" cm="1">
        <f t="array" ref="G18">LookupNames($F18,'Attack Steps'!$A:$B)</f>
        <v/>
      </c>
      <c r="H18" s="10"/>
      <c r="I18" s="13" t="str" cm="1">
        <f t="array" ref="I18">RemoveDelimiter(GetValuesWithFallback(SanitizeInput($H18),$A:$B,Assumptions!$A:$B," ",","&amp;CHAR(10),TRUE),","&amp;CHAR(10))</f>
        <v/>
      </c>
      <c r="J18" s="10"/>
      <c r="K18" s="25" t="str" cm="1">
        <f t="array" ref="K18">IF($J18="","",SUBSTITUTE(SUBSTITUTE(SUBSTITUTE(SUBSTITUTE(SUBSTITUTE(SUBSTITUTE(SUBSTITUTE(SUBSTITUTE(SUBSTITUTE(
GetTransformation(SanitizeInput($J18),'Damage Scenarios'!$A:$J,COLUMNS('Damage Scenarios'!$A:$J),CHAR(10),"[#0][#1][#2]")&amp;"§",
"[#1][#2]",""),
"[#2]",""),
"[#0][#1]","[#1]"),
"[#0]","Removes:"&amp;CHAR(10)),
"[#1]","Transforms:"&amp;CHAR(10)),
CHAR(10)&amp;"§",""),
"§",""),
CHAR(10),CHAR(10)&amp;"   "),
"   "&amp;"Transforms:","Transforms:"))</f>
        <v/>
      </c>
      <c r="L18" s="10"/>
      <c r="M18" s="10"/>
      <c r="N18" s="10"/>
      <c r="O18" s="10"/>
      <c r="P18" s="10"/>
      <c r="Q18" s="13" t="str">
        <f ca="1">IF($A18="","",IFERROR(VLOOKUP($Z18,Definitions!$V:$W,COLUMNS(Definitions!$V:$W),TRUE),""))</f>
        <v>Basic</v>
      </c>
      <c r="R18" s="10" t="s">
        <v>450</v>
      </c>
      <c r="S18" s="10"/>
      <c r="T18" s="10"/>
      <c r="U18" s="9" cm="1">
        <f t="array" aca="1" ref="U18" ca="1">CreateID($U$2,$A18&lt;&gt;"")</f>
        <v>16</v>
      </c>
      <c r="V18" s="11" t="b" cm="1">
        <f t="array" ref="V18">CheckRelevance(SanitizeInput(F18),Questionnaire!$J:$J)</f>
        <v>0</v>
      </c>
      <c r="W18" s="11" t="b">
        <f>IFERROR(_xlfn.XMATCH("*,"&amp;$A18&amp;",*",Mitigation!$X:$X,2)&gt;0,FALSE)</f>
        <v>0</v>
      </c>
      <c r="X18" s="11" cm="1">
        <f t="array" ref="X18">CreateTaskID($X$2,$X:$X,Tasks!$B$17,$T18)</f>
        <v>0</v>
      </c>
      <c r="Y18" s="11" t="str" cm="1">
        <f t="array" ref="Y18">CreateSearchString($F18)</f>
        <v/>
      </c>
      <c r="Z18" s="11" cm="1">
        <f t="array" aca="1" ref="Z18" ca="1">OperateOnRange(
  $L18,
  TRUE,
  Helper!$B$16,
  0,
  _xlfn.LAMBDA(_xlpm._factor,IF(_xlpm._factor="",0,SimpleLookup(_xlpm._factor,Definitions!$Z:$AA))),
  _xlfn.LAMBDA(_xlpm._x,_xlpm._y,_xlpm._x+_xlpm._y))</f>
        <v>0</v>
      </c>
      <c r="AA18" s="11" t="str" cm="1">
        <f t="array" ref="AA18">CreateSearchString($H18)</f>
        <v/>
      </c>
      <c r="AB18" s="11" t="b" cm="1">
        <f t="array" aca="1" ref="AB18" ca="1">IF($A18="",FALSE,
OR($AG18,_xlfn.LAMBDA(_xlpm._ownID,_xlpm._searchHeader,_xlpm._resultHeader,_xlpm._elementCount,_xlpm._delimiter,_xlpm._activeInTreatmentRange,_xlpm._activeByAnswersRange,_xlpm._dependencies,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InverseLookup(_xlpm._ownID,_xlpm._searchHeader,_xlpm._resultHeader,1,_xlpm._elementCount,_xlpm._delimiter))))))($A18,$AA$2,$A$2,Helper!$B$4,",",$A:$W,$A:$AG,InverseLookup($A18,$AA$2,$A$2,1,Helper!$B$4,","))))</f>
        <v>0</v>
      </c>
      <c r="AC18" s="11" t="str" cm="1">
        <f t="array" aca="1" ref="AC18" ca="1">IF(OR($W18,$AB18,$AG18),CreateSearchString($H18),"")</f>
        <v/>
      </c>
      <c r="AD18" s="11" t="str" cm="1">
        <f t="array" ref="AD18">SUBSTITUTE(IF($W18,CreateSearchString($J18),""),"&gt;",",")</f>
        <v/>
      </c>
      <c r="AE18" s="11" cm="1">
        <f t="array" aca="1" ref="AE18" ca="1">CreateID($AE$2,$AB18)</f>
        <v>3</v>
      </c>
      <c r="AF18" s="11" t="str" cm="1">
        <f t="array" aca="1" ref="AF18" ca="1">IF($AB18,CreateSearchString($R18),"")</f>
        <v/>
      </c>
      <c r="AG18" s="11" t="b">
        <f ca="1">OR(CheckRelevance(SanitizeInput($D18),Questionnaire!$J:$J),CheckRelevance(SanitizeInput($D18),Questionnaire!$K:$K))</f>
        <v>0</v>
      </c>
      <c r="AH18" s="11" t="str" cm="1">
        <f t="array" aca="1" ref="AH18" ca="1">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FilterPreconditionCandidates(RemoveFirstElement(_xlpm._preconditionCandidates),_xlpm._searchColumn,_xlpm._delimiter))))(SanitizeInput($D18),Questionnaire!$AB:$AB,",")</f>
        <v/>
      </c>
      <c r="AI18" s="11" t="str" cm="1">
        <f t="array" aca="1" ref="AI18" ca="1">IF($D18="*","",InverseLookupList($AH18,Questionnaire!$AB$3,Questionnaire!$B$3,Helper!$B$12,","))</f>
        <v/>
      </c>
      <c r="AJ18" s="11" t="str" cm="1">
        <f t="array" aca="1" ref="AJ18" ca="1">RemoveDelimiter(GetValues($AI18,Questionnaire!$B:$H," ",CHAR(10)&amp;CHAR(10),TRUE),CHAR(10)&amp;CHAR(10))</f>
        <v/>
      </c>
      <c r="AK18" s="11" t="str" cm="1">
        <f t="array" aca="1" ref="AK18" ca="1">CreateSearchString($AI18)</f>
        <v/>
      </c>
      <c r="AL18" s="11" t="str" cm="1">
        <f t="array" aca="1" ref="AL18" ca="1">InverseLookup($A18,Mitigation!$AD$2,Mitigation!$A$2,1,Helper!$B$5,",")</f>
        <v/>
      </c>
      <c r="AM18" s="11" t="str" cm="1">
        <f t="array" aca="1" ref="AM18" ca="1">CreateSearchString(GetValues($AL18,'Attack Steps'!$A:$P,"",",",FALSE))</f>
        <v/>
      </c>
      <c r="AN18" s="11" t="str">
        <f t="shared" si="0"/>
        <v>C14</v>
      </c>
      <c r="AO18" s="11" t="str" cm="1">
        <f t="array" aca="1" ref="AO18" ca="1">_xlfn.SWITCH($D18,
"*","",
"","",
_xlfn.LET(
_xlpm._answers,SUBSTITUTE(SanitizeInput($D18),"&amp;",","),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IF(_xlpm._questionIDUndefined,$A18&amp;" - "&amp;_xlpm._question&amp;": ERROR: Unknown question ID.",
        IF(_xlpm._firstAnswerIsValidOption,"",$A18&amp;" - "&amp;_xlpm._question&amp;": First answer ("&amp;_xlpm._firstAnswer&amp;") is not a valid option.")&amp;
        IF(_xlpm._secondAnswerRequired,IF(_xlpm._secondAnswerProvided,"",$A18&amp;" - "&amp;_xlpm._question&amp;": Second answer required but not provided."),"")&amp;
        IF(NOT(_xlpm._secondAnswerRequired),IF(_xlpm._secondAnswerProvided,$A18&amp;" - "&amp;_xlpm._question&amp;": Second answer ("&amp;_xlpm._secondAnswer&amp;") provided but the question only supports one answer.",""),"")&amp;
        IF(_xlpm._secondAnswerIsValidOption,"",$A18&amp;" - "&amp;_xlpm._question&amp;": Second answer ("&amp;_xlpm._secondAnswer&amp;") is not a valid option.")))),
  _xlfn.LAMBDA(_xlpm._x,_xlpm._y,_xlpm._x&amp;IF(_xlpm._x="","",CHAR(10))&amp;_xlpm._y))))</f>
        <v/>
      </c>
      <c r="AP18" s="11" cm="1">
        <f t="array" aca="1" ref="AP18" ca="1">CreateID($AP$2,$AO18&lt;&gt;"")</f>
        <v>0</v>
      </c>
    </row>
    <row r="19" spans="1:42" ht="90" x14ac:dyDescent="0.25">
      <c r="A19" s="9" t="s">
        <v>326</v>
      </c>
      <c r="B19" s="10" t="s">
        <v>569</v>
      </c>
      <c r="C19" s="10" t="s">
        <v>1727</v>
      </c>
      <c r="D19" s="10" t="s">
        <v>335</v>
      </c>
      <c r="E19" s="25" t="str" cm="1">
        <f t="array" ref="E19">OperateOnList(
  SanitizeInput($D19),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v>
      </c>
      <c r="F19" s="10" t="s">
        <v>370</v>
      </c>
      <c r="G19" s="13" t="str" cm="1">
        <f t="array" aca="1" ref="G19" ca="1">LookupNames($F19,'Attack Steps'!$A:$B)</f>
        <v>AS12 Compromising an untrusted device that communicates directly with the product,
AS17 Sending manipulated or malicious data to the product (from an untrusted source)</v>
      </c>
      <c r="H19" s="10"/>
      <c r="I19" s="13" t="str" cm="1">
        <f t="array" ref="I19">RemoveDelimiter(GetValuesWithFallback(SanitizeInput($H19),$A:$B,Assumptions!$A:$B," ",","&amp;CHAR(10),TRUE),","&amp;CHAR(10))</f>
        <v/>
      </c>
      <c r="J19" s="10"/>
      <c r="K19" s="25" t="str" cm="1">
        <f t="array" ref="K19">IF($J19="","",SUBSTITUTE(SUBSTITUTE(SUBSTITUTE(SUBSTITUTE(SUBSTITUTE(SUBSTITUTE(SUBSTITUTE(SUBSTITUTE(SUBSTITUTE(
GetTransformation(SanitizeInput($J19),'Damage Scenarios'!$A:$J,COLUMNS('Damage Scenarios'!$A:$J),CHAR(10),"[#0][#1][#2]")&amp;"§",
"[#1][#2]",""),
"[#2]",""),
"[#0][#1]","[#1]"),
"[#0]","Removes:"&amp;CHAR(10)),
"[#1]","Transforms:"&amp;CHAR(10)),
CHAR(10)&amp;"§",""),
"§",""),
CHAR(10),CHAR(10)&amp;"   "),
"   "&amp;"Transforms:","Transforms:"))</f>
        <v/>
      </c>
      <c r="L19" s="10" t="s">
        <v>104</v>
      </c>
      <c r="M19" s="10" t="s">
        <v>112</v>
      </c>
      <c r="N19" s="10" t="s">
        <v>117</v>
      </c>
      <c r="O19" s="10"/>
      <c r="P19" s="10"/>
      <c r="Q19" s="13" t="str">
        <f ca="1">IF($A19="","",IFERROR(VLOOKUP($Z19,Definitions!$V:$W,COLUMNS(Definitions!$V:$W),TRUE),""))</f>
        <v>Moderate</v>
      </c>
      <c r="R19" s="10" t="s">
        <v>1398</v>
      </c>
      <c r="S19" s="10"/>
      <c r="T19" s="10" t="s">
        <v>1066</v>
      </c>
      <c r="U19" s="9" cm="1">
        <f t="array" aca="1" ref="U19" ca="1">CreateID($U$2,$A19&lt;&gt;"")</f>
        <v>17</v>
      </c>
      <c r="V19" s="11" t="b" cm="1">
        <f t="array" aca="1" ref="V19" ca="1">CheckRelevance(SanitizeInput(F19),Questionnaire!$J:$J)</f>
        <v>0</v>
      </c>
      <c r="W19" s="11" t="b">
        <f>IFERROR(_xlfn.XMATCH("*,"&amp;$A19&amp;",*",Mitigation!$X:$X,2)&gt;0,FALSE)</f>
        <v>0</v>
      </c>
      <c r="X19" s="11" cm="1">
        <f t="array" ref="X19">CreateTaskID($X$2,$X:$X,Tasks!$B$17,$T19)</f>
        <v>0</v>
      </c>
      <c r="Y19" s="11" t="str" cm="1">
        <f t="array" ref="Y19">CreateSearchString($F19)</f>
        <v>,AS12,AS17,</v>
      </c>
      <c r="Z19" s="11" cm="1">
        <f t="array" aca="1" ref="Z19" ca="1">OperateOnRange(
  $L19,
  TRUE,
  Helper!$B$16,
  0,
  _xlfn.LAMBDA(_xlpm._factor,IF(_xlpm._factor="",0,SimpleLookup(_xlpm._factor,Definitions!$Z:$AA))),
  _xlfn.LAMBDA(_xlpm._x,_xlpm._y,_xlpm._x+_xlpm._y))</f>
        <v>14</v>
      </c>
      <c r="AA19" s="11" t="str" cm="1">
        <f t="array" ref="AA19">CreateSearchString($H19)</f>
        <v/>
      </c>
      <c r="AB19" s="11" t="b" cm="1">
        <f t="array" aca="1" ref="AB19" ca="1">IF($A19="",FALSE,
OR($AG19,_xlfn.LAMBDA(_xlpm._ownID,_xlpm._searchHeader,_xlpm._resultHeader,_xlpm._elementCount,_xlpm._delimiter,_xlpm._activeInTreatmentRange,_xlpm._activeByAnswersRange,_xlpm._dependencies,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InverseLookup(_xlpm._ownID,_xlpm._searchHeader,_xlpm._resultHeader,1,_xlpm._elementCount,_xlpm._delimiter))))))($A19,$AA$2,$A$2,Helper!$B$4,",",$A:$W,$A:$AG,InverseLookup($A19,$AA$2,$A$2,1,Helper!$B$4,","))))</f>
        <v>1</v>
      </c>
      <c r="AC19" s="11" t="str" cm="1">
        <f t="array" aca="1" ref="AC19" ca="1">IF(OR($W19,$AB19,$AG19),CreateSearchString($H19),"")</f>
        <v/>
      </c>
      <c r="AD19" s="11" t="str" cm="1">
        <f t="array" ref="AD19">SUBSTITUTE(IF($W19,CreateSearchString($J19),""),"&gt;",",")</f>
        <v/>
      </c>
      <c r="AE19" s="11" cm="1">
        <f t="array" aca="1" ref="AE19" ca="1">CreateID($AE$2,$AB19)</f>
        <v>4</v>
      </c>
      <c r="AF19" s="11" t="str" cm="1">
        <f t="array" aca="1" ref="AF19" ca="1">IF($AB19,CreateSearchString($R19),"")</f>
        <v>,j,k,</v>
      </c>
      <c r="AG19" s="11" t="b">
        <f>OR(CheckRelevance(SanitizeInput($D19),Questionnaire!$J:$J),CheckRelevance(SanitizeInput($D19),Questionnaire!$K:$K))</f>
        <v>1</v>
      </c>
      <c r="AH19" s="11" t="str" cm="1">
        <f t="array" ref="AH19">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FilterPreconditionCandidates(RemoveFirstElement(_xlpm._preconditionCandidates),_xlpm._searchColumn,_xlpm._delimiter))))(SanitizeInput($D19),Questionnaire!$AB:$AB,",")</f>
        <v>*,</v>
      </c>
      <c r="AI19" s="11" t="str" cm="1">
        <f t="array" ref="AI19">IF($D19="*","",InverseLookupList($AH19,Questionnaire!$AB$3,Questionnaire!$B$3,Helper!$B$12,","))</f>
        <v/>
      </c>
      <c r="AJ19" s="11" t="str" cm="1">
        <f t="array" ref="AJ19">RemoveDelimiter(GetValues($AI19,Questionnaire!$B:$H," ",CHAR(10)&amp;CHAR(10),TRUE),CHAR(10)&amp;CHAR(10))</f>
        <v/>
      </c>
      <c r="AK19" s="11" t="str" cm="1">
        <f t="array" ref="AK19">CreateSearchString($AI19)</f>
        <v/>
      </c>
      <c r="AL19" s="11" t="str" cm="1">
        <f t="array" aca="1" ref="AL19" ca="1">InverseLookup($A19,Mitigation!$AD$2,Mitigation!$A$2,1,Helper!$B$5,",")</f>
        <v/>
      </c>
      <c r="AM19" s="11" t="str" cm="1">
        <f t="array" aca="1" ref="AM19" ca="1">CreateSearchString(GetValues($AL19,'Attack Steps'!$A:$P,"",",",FALSE))</f>
        <v/>
      </c>
      <c r="AN19" s="11" t="str">
        <f t="shared" si="0"/>
        <v>C15</v>
      </c>
      <c r="AO19" s="11" t="str" cm="1">
        <f t="array" ref="AO19">_xlfn.SWITCH($D19,
"*","",
"","",
_xlfn.LET(
_xlpm._answers,SUBSTITUTE(SanitizeInput($D19),"&amp;",","),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IF(_xlpm._questionIDUndefined,$A19&amp;" - "&amp;_xlpm._question&amp;": ERROR: Unknown question ID.",
        IF(_xlpm._firstAnswerIsValidOption,"",$A19&amp;" - "&amp;_xlpm._question&amp;": First answer ("&amp;_xlpm._firstAnswer&amp;") is not a valid option.")&amp;
        IF(_xlpm._secondAnswerRequired,IF(_xlpm._secondAnswerProvided,"",$A19&amp;" - "&amp;_xlpm._question&amp;": Second answer required but not provided."),"")&amp;
        IF(NOT(_xlpm._secondAnswerRequired),IF(_xlpm._secondAnswerProvided,$A19&amp;" - "&amp;_xlpm._question&amp;": Second answer ("&amp;_xlpm._secondAnswer&amp;") provided but the question only supports one answer.",""),"")&amp;
        IF(_xlpm._secondAnswerIsValidOption,"",$A19&amp;" - "&amp;_xlpm._question&amp;": Second answer ("&amp;_xlpm._secondAnswer&amp;") is not a valid option.")))),
  _xlfn.LAMBDA(_xlpm._x,_xlpm._y,_xlpm._x&amp;IF(_xlpm._x="","",CHAR(10))&amp;_xlpm._y))))</f>
        <v/>
      </c>
      <c r="AP19" s="11" cm="1">
        <f t="array" aca="1" ref="AP19" ca="1">CreateID($AP$2,$AO19&lt;&gt;"")</f>
        <v>0</v>
      </c>
    </row>
    <row r="20" spans="1:42" ht="48.75" x14ac:dyDescent="0.25">
      <c r="A20" s="9" t="s">
        <v>327</v>
      </c>
      <c r="B20" s="10" t="s">
        <v>570</v>
      </c>
      <c r="C20" s="10" t="s">
        <v>1727</v>
      </c>
      <c r="D20" s="10" t="s">
        <v>1435</v>
      </c>
      <c r="E20" s="25" t="str" cm="1">
        <f t="array" aca="1" ref="E20" ca="1">OperateOnList(
  SanitizeInput($D20),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QI7 Is the availability of the product relevant for its operational environment? [Yes]
» What is the worst case effect on the operational environment for the intended use of the product? [*],
QI14 Can a manipulated product affect the operation of its operational environment? [Yes]
» What is the worst case effect on the operational environment for the intended use of the product? [*]</v>
      </c>
      <c r="F20" s="10"/>
      <c r="G20" s="13" t="str" cm="1">
        <f t="array" ref="G20">LookupNames($F20,'Attack Steps'!$A:$B)</f>
        <v/>
      </c>
      <c r="H20" s="10"/>
      <c r="I20" s="13" t="str" cm="1">
        <f t="array" ref="I20">RemoveDelimiter(GetValuesWithFallback(SanitizeInput($H20),$A:$B,Assumptions!$A:$B," ",","&amp;CHAR(10),TRUE),","&amp;CHAR(10))</f>
        <v/>
      </c>
      <c r="J20" s="10"/>
      <c r="K20" s="25" t="str" cm="1">
        <f t="array" ref="K20">IF($J20="","",SUBSTITUTE(SUBSTITUTE(SUBSTITUTE(SUBSTITUTE(SUBSTITUTE(SUBSTITUTE(SUBSTITUTE(SUBSTITUTE(SUBSTITUTE(
GetTransformation(SanitizeInput($J20),'Damage Scenarios'!$A:$J,COLUMNS('Damage Scenarios'!$A:$J),CHAR(10),"[#0][#1][#2]")&amp;"§",
"[#1][#2]",""),
"[#2]",""),
"[#0][#1]","[#1]"),
"[#0]","Removes:"&amp;CHAR(10)),
"[#1]","Transforms:"&amp;CHAR(10)),
CHAR(10)&amp;"§",""),
"§",""),
CHAR(10),CHAR(10)&amp;"   "),
"   "&amp;"Transforms:","Transforms:"))</f>
        <v/>
      </c>
      <c r="L20" s="10"/>
      <c r="M20" s="10"/>
      <c r="N20" s="10"/>
      <c r="O20" s="10"/>
      <c r="P20" s="10"/>
      <c r="Q20" s="13" t="str">
        <f ca="1">IF($A20="","",IFERROR(VLOOKUP($Z20,Definitions!$V:$W,COLUMNS(Definitions!$V:$W),TRUE),""))</f>
        <v>Basic</v>
      </c>
      <c r="R20" s="10" t="s">
        <v>450</v>
      </c>
      <c r="S20" s="10"/>
      <c r="T20" s="10"/>
      <c r="U20" s="9" cm="1">
        <f t="array" aca="1" ref="U20" ca="1">CreateID($U$2,$A20&lt;&gt;"")</f>
        <v>18</v>
      </c>
      <c r="V20" s="11" t="b" cm="1">
        <f t="array" ref="V20">CheckRelevance(SanitizeInput(F20),Questionnaire!$J:$J)</f>
        <v>0</v>
      </c>
      <c r="W20" s="11" t="b">
        <f>IFERROR(_xlfn.XMATCH("*,"&amp;$A20&amp;",*",Mitigation!$X:$X,2)&gt;0,FALSE)</f>
        <v>0</v>
      </c>
      <c r="X20" s="11" cm="1">
        <f t="array" ref="X20">CreateTaskID($X$2,$X:$X,Tasks!$B$17,$T20)</f>
        <v>0</v>
      </c>
      <c r="Y20" s="11" t="str" cm="1">
        <f t="array" ref="Y20">CreateSearchString($F20)</f>
        <v/>
      </c>
      <c r="Z20" s="11" cm="1">
        <f t="array" aca="1" ref="Z20" ca="1">OperateOnRange(
  $L20,
  TRUE,
  Helper!$B$16,
  0,
  _xlfn.LAMBDA(_xlpm._factor,IF(_xlpm._factor="",0,SimpleLookup(_xlpm._factor,Definitions!$Z:$AA))),
  _xlfn.LAMBDA(_xlpm._x,_xlpm._y,_xlpm._x+_xlpm._y))</f>
        <v>0</v>
      </c>
      <c r="AA20" s="11" t="str" cm="1">
        <f t="array" ref="AA20">CreateSearchString($H20)</f>
        <v/>
      </c>
      <c r="AB20" s="11" t="b" cm="1">
        <f t="array" aca="1" ref="AB20" ca="1">IF($A20="",FALSE,
OR($AG20,_xlfn.LAMBDA(_xlpm._ownID,_xlpm._searchHeader,_xlpm._resultHeader,_xlpm._elementCount,_xlpm._delimiter,_xlpm._activeInTreatmentRange,_xlpm._activeByAnswersRange,_xlpm._dependencies,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InverseLookup(_xlpm._ownID,_xlpm._searchHeader,_xlpm._resultHeader,1,_xlpm._elementCount,_xlpm._delimiter))))))($A20,$AA$2,$A$2,Helper!$B$4,",",$A:$W,$A:$AG,InverseLookup($A20,$AA$2,$A$2,1,Helper!$B$4,","))))</f>
        <v>0</v>
      </c>
      <c r="AC20" s="11" t="str" cm="1">
        <f t="array" aca="1" ref="AC20" ca="1">IF(OR($W20,$AB20,$AG20),CreateSearchString($H20),"")</f>
        <v/>
      </c>
      <c r="AD20" s="11" t="str" cm="1">
        <f t="array" ref="AD20">SUBSTITUTE(IF($W20,CreateSearchString($J20),""),"&gt;",",")</f>
        <v/>
      </c>
      <c r="AE20" s="11" cm="1">
        <f t="array" aca="1" ref="AE20" ca="1">CreateID($AE$2,$AB20)</f>
        <v>4</v>
      </c>
      <c r="AF20" s="11" t="str" cm="1">
        <f t="array" aca="1" ref="AF20" ca="1">IF($AB20,CreateSearchString($R20),"")</f>
        <v/>
      </c>
      <c r="AG20" s="11" t="b">
        <f ca="1">OR(CheckRelevance(SanitizeInput($D20),Questionnaire!$J:$J),CheckRelevance(SanitizeInput($D20),Questionnaire!$K:$K))</f>
        <v>0</v>
      </c>
      <c r="AH20" s="11" t="str" cm="1">
        <f t="array" aca="1" ref="AH20" ca="1">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FilterPreconditionCandidates(RemoveFirstElement(_xlpm._preconditionCandidates),_xlpm._searchColumn,_xlpm._delimiter))))(SanitizeInput($D20),Questionnaire!$AB:$AB,",")</f>
        <v/>
      </c>
      <c r="AI20" s="11" t="str" cm="1">
        <f t="array" aca="1" ref="AI20" ca="1">IF($D20="*","",InverseLookupList($AH20,Questionnaire!$AB$3,Questionnaire!$B$3,Helper!$B$12,","))</f>
        <v/>
      </c>
      <c r="AJ20" s="11" t="str" cm="1">
        <f t="array" aca="1" ref="AJ20" ca="1">RemoveDelimiter(GetValues($AI20,Questionnaire!$B:$H," ",CHAR(10)&amp;CHAR(10),TRUE),CHAR(10)&amp;CHAR(10))</f>
        <v/>
      </c>
      <c r="AK20" s="11" t="str" cm="1">
        <f t="array" aca="1" ref="AK20" ca="1">CreateSearchString($AI20)</f>
        <v/>
      </c>
      <c r="AL20" s="11" t="str" cm="1">
        <f t="array" aca="1" ref="AL20" ca="1">InverseLookup($A20,Mitigation!$AD$2,Mitigation!$A$2,1,Helper!$B$5,",")</f>
        <v/>
      </c>
      <c r="AM20" s="11" t="str" cm="1">
        <f t="array" aca="1" ref="AM20" ca="1">CreateSearchString(GetValues($AL20,'Attack Steps'!$A:$P,"",",",FALSE))</f>
        <v/>
      </c>
      <c r="AN20" s="11" t="str">
        <f t="shared" si="0"/>
        <v>C16</v>
      </c>
      <c r="AO20" s="11" t="str" cm="1">
        <f t="array" aca="1" ref="AO20" ca="1">_xlfn.SWITCH($D20,
"*","",
"","",
_xlfn.LET(
_xlpm._answers,SUBSTITUTE(SanitizeInput($D20),"&amp;",","),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IF(_xlpm._questionIDUndefined,$A20&amp;" - "&amp;_xlpm._question&amp;": ERROR: Unknown question ID.",
        IF(_xlpm._firstAnswerIsValidOption,"",$A20&amp;" - "&amp;_xlpm._question&amp;": First answer ("&amp;_xlpm._firstAnswer&amp;") is not a valid option.")&amp;
        IF(_xlpm._secondAnswerRequired,IF(_xlpm._secondAnswerProvided,"",$A20&amp;" - "&amp;_xlpm._question&amp;": Second answer required but not provided."),"")&amp;
        IF(NOT(_xlpm._secondAnswerRequired),IF(_xlpm._secondAnswerProvided,$A20&amp;" - "&amp;_xlpm._question&amp;": Second answer ("&amp;_xlpm._secondAnswer&amp;") provided but the question only supports one answer.",""),"")&amp;
        IF(_xlpm._secondAnswerIsValidOption,"",$A20&amp;" - "&amp;_xlpm._question&amp;": Second answer ("&amp;_xlpm._secondAnswer&amp;") is not a valid option.")))),
  _xlfn.LAMBDA(_xlpm._x,_xlpm._y,_xlpm._x&amp;IF(_xlpm._x="","",CHAR(10))&amp;_xlpm._y))))</f>
        <v/>
      </c>
      <c r="AP20" s="11" cm="1">
        <f t="array" aca="1" ref="AP20" ca="1">CreateID($AP$2,$AO20&lt;&gt;"")</f>
        <v>0</v>
      </c>
    </row>
    <row r="21" spans="1:42" ht="60" x14ac:dyDescent="0.25">
      <c r="A21" s="9" t="s">
        <v>328</v>
      </c>
      <c r="B21" s="10" t="s">
        <v>571</v>
      </c>
      <c r="C21" s="10" t="s">
        <v>1727</v>
      </c>
      <c r="D21" s="10"/>
      <c r="E21" s="25" t="str" cm="1">
        <f t="array" ref="E21">OperateOnList(
  SanitizeInput($D21),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21" s="10" t="s">
        <v>1444</v>
      </c>
      <c r="G21" s="13" t="str" cm="1">
        <f t="array" aca="1" ref="G21" ca="1">LookupNames($F21,'Attack Steps'!$A:$B)</f>
        <v>AS30 Extracting information from a decommissioned or second-hand device's persistent memory,
AS41 Extracting information from a decommissioned or second-hand device's RAM</v>
      </c>
      <c r="H21" s="10" t="s">
        <v>230</v>
      </c>
      <c r="I21" s="13" t="str" cm="1">
        <f t="array" aca="1" ref="I21" ca="1">RemoveDelimiter(GetValuesWithFallback(SanitizeInput($H21),$A:$B,Assumptions!$A:$B," ",","&amp;CHAR(10),TRUE),","&amp;CHAR(10))</f>
        <v>C1 CCSC 1: Support of essential functions</v>
      </c>
      <c r="J21" s="10"/>
      <c r="K21" s="25" t="str" cm="1">
        <f t="array" ref="K21">IF($J21="","",SUBSTITUTE(SUBSTITUTE(SUBSTITUTE(SUBSTITUTE(SUBSTITUTE(SUBSTITUTE(SUBSTITUTE(SUBSTITUTE(SUBSTITUTE(
GetTransformation(SanitizeInput($J21),'Damage Scenarios'!$A:$J,COLUMNS('Damage Scenarios'!$A:$J),CHAR(10),"[#0][#1][#2]")&amp;"§",
"[#1][#2]",""),
"[#2]",""),
"[#0][#1]","[#1]"),
"[#0]","Removes:"&amp;CHAR(10)),
"[#1]","Transforms:"&amp;CHAR(10)),
CHAR(10)&amp;"§",""),
"§",""),
CHAR(10),CHAR(10)&amp;"   "),
"   "&amp;"Transforms:","Transforms:"))</f>
        <v/>
      </c>
      <c r="L21" s="10"/>
      <c r="M21" s="10"/>
      <c r="N21" s="10"/>
      <c r="O21" s="10" t="s">
        <v>122</v>
      </c>
      <c r="P21" s="10"/>
      <c r="Q21" s="13" t="str">
        <f ca="1">IF($A21="","",IFERROR(VLOOKUP($Z21,Definitions!$V:$W,COLUMNS(Definitions!$V:$W),TRUE),""))</f>
        <v>Beyond High</v>
      </c>
      <c r="R21" s="10" t="s">
        <v>1385</v>
      </c>
      <c r="S21" s="10"/>
      <c r="T21" s="10" t="s">
        <v>1383</v>
      </c>
      <c r="U21" s="9" cm="1">
        <f t="array" aca="1" ref="U21" ca="1">CreateID($U$2,$A21&lt;&gt;"")</f>
        <v>19</v>
      </c>
      <c r="V21" s="11" t="b" cm="1">
        <f t="array" aca="1" ref="V21" ca="1">CheckRelevance(SanitizeInput(F21),Questionnaire!$J:$J)</f>
        <v>0</v>
      </c>
      <c r="W21" s="11" t="b">
        <f>IFERROR(_xlfn.XMATCH("*,"&amp;$A21&amp;",*",Mitigation!$X:$X,2)&gt;0,FALSE)</f>
        <v>0</v>
      </c>
      <c r="X21" s="11" cm="1">
        <f t="array" ref="X21">CreateTaskID($X$2,$X:$X,Tasks!$B$17,$T21)</f>
        <v>0</v>
      </c>
      <c r="Y21" s="11" t="str" cm="1">
        <f t="array" ref="Y21">CreateSearchString($F21)</f>
        <v>,AS30,AS41,</v>
      </c>
      <c r="Z21" s="11" cm="1">
        <f t="array" aca="1" ref="Z21" ca="1">OperateOnRange(
  $L21,
  TRUE,
  Helper!$B$16,
  0,
  _xlfn.LAMBDA(_xlpm._factor,IF(_xlpm._factor="",0,SimpleLookup(_xlpm._factor,Definitions!$Z:$AA))),
  _xlfn.LAMBDA(_xlpm._x,_xlpm._y,_xlpm._x+_xlpm._y))</f>
        <v>25</v>
      </c>
      <c r="AA21" s="11" t="str" cm="1">
        <f t="array" ref="AA21">CreateSearchString($H21)</f>
        <v>,C1,</v>
      </c>
      <c r="AB21" s="11" t="b" cm="1">
        <f t="array" aca="1" ref="AB21" ca="1">IF($A21="",FALSE,
OR($AG21,_xlfn.LAMBDA(_xlpm._ownID,_xlpm._searchHeader,_xlpm._resultHeader,_xlpm._elementCount,_xlpm._delimiter,_xlpm._activeInTreatmentRange,_xlpm._activeByAnswersRange,_xlpm._dependencies,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InverseLookup(_xlpm._ownID,_xlpm._searchHeader,_xlpm._resultHeader,1,_xlpm._elementCount,_xlpm._delimiter))))))($A21,$AA$2,$A$2,Helper!$B$4,",",$A:$W,$A:$AG,InverseLookup($A21,$AA$2,$A$2,1,Helper!$B$4,","))))</f>
        <v>0</v>
      </c>
      <c r="AC21" s="11" t="str" cm="1">
        <f t="array" aca="1" ref="AC21" ca="1">IF(OR($W21,$AB21,$AG21),CreateSearchString($H21),"")</f>
        <v/>
      </c>
      <c r="AD21" s="11" t="str" cm="1">
        <f t="array" ref="AD21">SUBSTITUTE(IF($W21,CreateSearchString($J21),""),"&gt;",",")</f>
        <v/>
      </c>
      <c r="AE21" s="11" cm="1">
        <f t="array" aca="1" ref="AE21" ca="1">CreateID($AE$2,$AB21)</f>
        <v>4</v>
      </c>
      <c r="AF21" s="11" t="str" cm="1">
        <f t="array" aca="1" ref="AF21" ca="1">IF($AB21,CreateSearchString($R21),"")</f>
        <v/>
      </c>
      <c r="AG21" s="11" t="b">
        <f>OR(CheckRelevance(SanitizeInput($D21),Questionnaire!$J:$J),CheckRelevance(SanitizeInput($D21),Questionnaire!$K:$K))</f>
        <v>0</v>
      </c>
      <c r="AH21" s="11" t="str" cm="1">
        <f t="array" ref="AH21">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FilterPreconditionCandidates(RemoveFirstElement(_xlpm._preconditionCandidates),_xlpm._searchColumn,_xlpm._delimiter))))(SanitizeInput($D21),Questionnaire!$AB:$AB,",")</f>
        <v/>
      </c>
      <c r="AI21" s="11" t="str" cm="1">
        <f t="array" ref="AI21">IF($D21="*","",InverseLookupList($AH21,Questionnaire!$AB$3,Questionnaire!$B$3,Helper!$B$12,","))</f>
        <v/>
      </c>
      <c r="AJ21" s="11" t="str" cm="1">
        <f t="array" ref="AJ21">RemoveDelimiter(GetValues($AI21,Questionnaire!$B:$H," ",CHAR(10)&amp;CHAR(10),TRUE),CHAR(10)&amp;CHAR(10))</f>
        <v/>
      </c>
      <c r="AK21" s="11" t="str" cm="1">
        <f t="array" ref="AK21">CreateSearchString($AI21)</f>
        <v/>
      </c>
      <c r="AL21" s="11" t="str" cm="1">
        <f t="array" aca="1" ref="AL21" ca="1">InverseLookup($A21,Mitigation!$AD$2,Mitigation!$A$2,1,Helper!$B$5,",")</f>
        <v/>
      </c>
      <c r="AM21" s="11" t="str" cm="1">
        <f t="array" aca="1" ref="AM21" ca="1">CreateSearchString(GetValues($AL21,'Attack Steps'!$A:$P,"",",",FALSE))</f>
        <v/>
      </c>
      <c r="AN21" s="11" t="str">
        <f t="shared" si="0"/>
        <v>C17</v>
      </c>
      <c r="AO21" s="11" t="str" cm="1">
        <f t="array" ref="AO21">_xlfn.SWITCH($D21,
"*","",
"","",
_xlfn.LET(
_xlpm._answers,SUBSTITUTE(SanitizeInput($D21),"&amp;",","),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IF(_xlpm._questionIDUndefined,$A21&amp;" - "&amp;_xlpm._question&amp;": ERROR: Unknown question ID.",
        IF(_xlpm._firstAnswerIsValidOption,"",$A21&amp;" - "&amp;_xlpm._question&amp;": First answer ("&amp;_xlpm._firstAnswer&amp;") is not a valid option.")&amp;
        IF(_xlpm._secondAnswerRequired,IF(_xlpm._secondAnswerProvided,"",$A21&amp;" - "&amp;_xlpm._question&amp;": Second answer required but not provided."),"")&amp;
        IF(NOT(_xlpm._secondAnswerRequired),IF(_xlpm._secondAnswerProvided,$A21&amp;" - "&amp;_xlpm._question&amp;": Second answer ("&amp;_xlpm._secondAnswer&amp;") provided but the question only supports one answer.",""),"")&amp;
        IF(_xlpm._secondAnswerIsValidOption,"",$A21&amp;" - "&amp;_xlpm._question&amp;": Second answer ("&amp;_xlpm._secondAnswer&amp;") is not a valid option.")))),
  _xlfn.LAMBDA(_xlpm._x,_xlpm._y,_xlpm._x&amp;IF(_xlpm._x="","",CHAR(10))&amp;_xlpm._y))))</f>
        <v/>
      </c>
      <c r="AP21" s="11" cm="1">
        <f t="array" aca="1" ref="AP21" ca="1">CreateID($AP$2,$AO21&lt;&gt;"")</f>
        <v>0</v>
      </c>
    </row>
    <row r="22" spans="1:42" x14ac:dyDescent="0.25">
      <c r="A22" s="9" t="s">
        <v>329</v>
      </c>
      <c r="B22" s="10" t="s">
        <v>572</v>
      </c>
      <c r="C22" s="10" t="s">
        <v>1727</v>
      </c>
      <c r="D22" s="10"/>
      <c r="E22" s="25" t="str" cm="1">
        <f t="array" ref="E22">OperateOnList(
  SanitizeInput($D22),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22" s="10"/>
      <c r="G22" s="13" t="str" cm="1">
        <f t="array" ref="G22">LookupNames($F22,'Attack Steps'!$A:$B)</f>
        <v/>
      </c>
      <c r="H22" s="10"/>
      <c r="I22" s="13" t="str" cm="1">
        <f t="array" ref="I22">RemoveDelimiter(GetValuesWithFallback(SanitizeInput($H22),$A:$B,Assumptions!$A:$B," ",","&amp;CHAR(10),TRUE),","&amp;CHAR(10))</f>
        <v/>
      </c>
      <c r="J22" s="10"/>
      <c r="K22" s="25" t="str" cm="1">
        <f t="array" ref="K22">IF($J22="","",SUBSTITUTE(SUBSTITUTE(SUBSTITUTE(SUBSTITUTE(SUBSTITUTE(SUBSTITUTE(SUBSTITUTE(SUBSTITUTE(SUBSTITUTE(
GetTransformation(SanitizeInput($J22),'Damage Scenarios'!$A:$J,COLUMNS('Damage Scenarios'!$A:$J),CHAR(10),"[#0][#1][#2]")&amp;"§",
"[#1][#2]",""),
"[#2]",""),
"[#0][#1]","[#1]"),
"[#0]","Removes:"&amp;CHAR(10)),
"[#1]","Transforms:"&amp;CHAR(10)),
CHAR(10)&amp;"§",""),
"§",""),
CHAR(10),CHAR(10)&amp;"   "),
"   "&amp;"Transforms:","Transforms:"))</f>
        <v/>
      </c>
      <c r="L22" s="10"/>
      <c r="M22" s="10"/>
      <c r="N22" s="10"/>
      <c r="O22" s="10"/>
      <c r="P22" s="10"/>
      <c r="Q22" s="13" t="str">
        <f ca="1">IF($A22="","",IFERROR(VLOOKUP($Z22,Definitions!$V:$W,COLUMNS(Definitions!$V:$W),TRUE),""))</f>
        <v>Basic</v>
      </c>
      <c r="R22" s="10" t="s">
        <v>446</v>
      </c>
      <c r="S22" s="10"/>
      <c r="T22" s="10"/>
      <c r="U22" s="9" cm="1">
        <f t="array" aca="1" ref="U22" ca="1">CreateID($U$2,$A22&lt;&gt;"")</f>
        <v>20</v>
      </c>
      <c r="V22" s="11" t="b" cm="1">
        <f t="array" ref="V22">CheckRelevance(SanitizeInput(F22),Questionnaire!$J:$J)</f>
        <v>0</v>
      </c>
      <c r="W22" s="11" t="b">
        <f>IFERROR(_xlfn.XMATCH("*,"&amp;$A22&amp;",*",Mitigation!$X:$X,2)&gt;0,FALSE)</f>
        <v>0</v>
      </c>
      <c r="X22" s="11" cm="1">
        <f t="array" ref="X22">CreateTaskID($X$2,$X:$X,Tasks!$B$17,$T22)</f>
        <v>0</v>
      </c>
      <c r="Y22" s="11" t="str" cm="1">
        <f t="array" ref="Y22">CreateSearchString($F22)</f>
        <v/>
      </c>
      <c r="Z22" s="11" cm="1">
        <f t="array" aca="1" ref="Z22" ca="1">OperateOnRange(
  $L22,
  TRUE,
  Helper!$B$16,
  0,
  _xlfn.LAMBDA(_xlpm._factor,IF(_xlpm._factor="",0,SimpleLookup(_xlpm._factor,Definitions!$Z:$AA))),
  _xlfn.LAMBDA(_xlpm._x,_xlpm._y,_xlpm._x+_xlpm._y))</f>
        <v>0</v>
      </c>
      <c r="AA22" s="11" t="str" cm="1">
        <f t="array" ref="AA22">CreateSearchString($H22)</f>
        <v/>
      </c>
      <c r="AB22" s="11" t="b" cm="1">
        <f t="array" aca="1" ref="AB22" ca="1">IF($A22="",FALSE,
OR($AG22,_xlfn.LAMBDA(_xlpm._ownID,_xlpm._searchHeader,_xlpm._resultHeader,_xlpm._elementCount,_xlpm._delimiter,_xlpm._activeInTreatmentRange,_xlpm._activeByAnswersRange,_xlpm._dependencies,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InverseLookup(_xlpm._ownID,_xlpm._searchHeader,_xlpm._resultHeader,1,_xlpm._elementCount,_xlpm._delimiter))))))($A22,$AA$2,$A$2,Helper!$B$4,",",$A:$W,$A:$AG,InverseLookup($A22,$AA$2,$A$2,1,Helper!$B$4,","))))</f>
        <v>0</v>
      </c>
      <c r="AC22" s="11" t="str" cm="1">
        <f t="array" aca="1" ref="AC22" ca="1">IF(OR($W22,$AB22,$AG22),CreateSearchString($H22),"")</f>
        <v/>
      </c>
      <c r="AD22" s="11" t="str" cm="1">
        <f t="array" ref="AD22">SUBSTITUTE(IF($W22,CreateSearchString($J22),""),"&gt;",",")</f>
        <v/>
      </c>
      <c r="AE22" s="11" cm="1">
        <f t="array" aca="1" ref="AE22" ca="1">CreateID($AE$2,$AB22)</f>
        <v>4</v>
      </c>
      <c r="AF22" s="11" t="str" cm="1">
        <f t="array" aca="1" ref="AF22" ca="1">IF($AB22,CreateSearchString($R22),"")</f>
        <v/>
      </c>
      <c r="AG22" s="11" t="b">
        <f>OR(CheckRelevance(SanitizeInput($D22),Questionnaire!$J:$J),CheckRelevance(SanitizeInput($D22),Questionnaire!$K:$K))</f>
        <v>0</v>
      </c>
      <c r="AH22" s="11" t="str" cm="1">
        <f t="array" ref="AH22">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FilterPreconditionCandidates(RemoveFirstElement(_xlpm._preconditionCandidates),_xlpm._searchColumn,_xlpm._delimiter))))(SanitizeInput($D22),Questionnaire!$AB:$AB,",")</f>
        <v/>
      </c>
      <c r="AI22" s="11" t="str" cm="1">
        <f t="array" ref="AI22">IF($D22="*","",InverseLookupList($AH22,Questionnaire!$AB$3,Questionnaire!$B$3,Helper!$B$12,","))</f>
        <v/>
      </c>
      <c r="AJ22" s="11" t="str" cm="1">
        <f t="array" ref="AJ22">RemoveDelimiter(GetValues($AI22,Questionnaire!$B:$H," ",CHAR(10)&amp;CHAR(10),TRUE),CHAR(10)&amp;CHAR(10))</f>
        <v/>
      </c>
      <c r="AK22" s="11" t="str" cm="1">
        <f t="array" ref="AK22">CreateSearchString($AI22)</f>
        <v/>
      </c>
      <c r="AL22" s="11" t="str" cm="1">
        <f t="array" aca="1" ref="AL22" ca="1">InverseLookup($A22,Mitigation!$AD$2,Mitigation!$A$2,1,Helper!$B$5,",")</f>
        <v/>
      </c>
      <c r="AM22" s="11" t="str" cm="1">
        <f t="array" aca="1" ref="AM22" ca="1">CreateSearchString(GetValues($AL22,'Attack Steps'!$A:$P,"",",",FALSE))</f>
        <v/>
      </c>
      <c r="AN22" s="11" t="str">
        <f t="shared" si="0"/>
        <v>C18</v>
      </c>
      <c r="AO22" s="11" t="str" cm="1">
        <f t="array" ref="AO22">_xlfn.SWITCH($D22,
"*","",
"","",
_xlfn.LET(
_xlpm._answers,SUBSTITUTE(SanitizeInput($D22),"&amp;",","),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IF(_xlpm._questionIDUndefined,$A22&amp;" - "&amp;_xlpm._question&amp;": ERROR: Unknown question ID.",
        IF(_xlpm._firstAnswerIsValidOption,"",$A22&amp;" - "&amp;_xlpm._question&amp;": First answer ("&amp;_xlpm._firstAnswer&amp;") is not a valid option.")&amp;
        IF(_xlpm._secondAnswerRequired,IF(_xlpm._secondAnswerProvided,"",$A22&amp;" - "&amp;_xlpm._question&amp;": Second answer required but not provided."),"")&amp;
        IF(NOT(_xlpm._secondAnswerRequired),IF(_xlpm._secondAnswerProvided,$A22&amp;" - "&amp;_xlpm._question&amp;": Second answer ("&amp;_xlpm._secondAnswer&amp;") provided but the question only supports one answer.",""),"")&amp;
        IF(_xlpm._secondAnswerIsValidOption,"",$A22&amp;" - "&amp;_xlpm._question&amp;": Second answer ("&amp;_xlpm._secondAnswer&amp;") is not a valid option.")))),
  _xlfn.LAMBDA(_xlpm._x,_xlpm._y,_xlpm._x&amp;IF(_xlpm._x="","",CHAR(10))&amp;_xlpm._y))))</f>
        <v/>
      </c>
      <c r="AP22" s="11" cm="1">
        <f t="array" aca="1" ref="AP22" ca="1">CreateID($AP$2,$AO22&lt;&gt;"")</f>
        <v>0</v>
      </c>
    </row>
    <row r="23" spans="1:42" x14ac:dyDescent="0.25">
      <c r="A23" s="9" t="s">
        <v>330</v>
      </c>
      <c r="B23" s="10" t="s">
        <v>573</v>
      </c>
      <c r="C23" s="10" t="s">
        <v>1727</v>
      </c>
      <c r="D23" s="10" t="s">
        <v>880</v>
      </c>
      <c r="E23" s="25" t="str" cm="1">
        <f t="array" aca="1" ref="E23" ca="1">OperateOnList(
  SanitizeInput($D23),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QA9 Does the product have an IP stack (or another routable protocol)? [Yes]</v>
      </c>
      <c r="F23" s="10"/>
      <c r="G23" s="13" t="str" cm="1">
        <f t="array" ref="G23">LookupNames($F23,'Attack Steps'!$A:$B)</f>
        <v/>
      </c>
      <c r="H23" s="10"/>
      <c r="I23" s="13" t="str" cm="1">
        <f t="array" ref="I23">RemoveDelimiter(GetValuesWithFallback(SanitizeInput($H23),$A:$B,Assumptions!$A:$B," ",","&amp;CHAR(10),TRUE),","&amp;CHAR(10))</f>
        <v/>
      </c>
      <c r="J23" s="10"/>
      <c r="K23" s="25" t="str" cm="1">
        <f t="array" ref="K23">IF($J23="","",SUBSTITUTE(SUBSTITUTE(SUBSTITUTE(SUBSTITUTE(SUBSTITUTE(SUBSTITUTE(SUBSTITUTE(SUBSTITUTE(SUBSTITUTE(
GetTransformation(SanitizeInput($J23),'Damage Scenarios'!$A:$J,COLUMNS('Damage Scenarios'!$A:$J),CHAR(10),"[#0][#1][#2]")&amp;"§",
"[#1][#2]",""),
"[#2]",""),
"[#0][#1]","[#1]"),
"[#0]","Removes:"&amp;CHAR(10)),
"[#1]","Transforms:"&amp;CHAR(10)),
CHAR(10)&amp;"§",""),
"§",""),
CHAR(10),CHAR(10)&amp;"   "),
"   "&amp;"Transforms:","Transforms:"))</f>
        <v/>
      </c>
      <c r="L23" s="10"/>
      <c r="M23" s="10"/>
      <c r="N23" s="10"/>
      <c r="O23" s="10"/>
      <c r="P23" s="10"/>
      <c r="Q23" s="13" t="str">
        <f ca="1">IF($A23="","",IFERROR(VLOOKUP($Z23,Definitions!$V:$W,COLUMNS(Definitions!$V:$W),TRUE),""))</f>
        <v>Basic</v>
      </c>
      <c r="R23" s="10" t="s">
        <v>467</v>
      </c>
      <c r="S23" s="10"/>
      <c r="T23" s="10"/>
      <c r="U23" s="9" cm="1">
        <f t="array" aca="1" ref="U23" ca="1">CreateID($U$2,$A23&lt;&gt;"")</f>
        <v>21</v>
      </c>
      <c r="V23" s="11" t="b" cm="1">
        <f t="array" ref="V23">CheckRelevance(SanitizeInput(F23),Questionnaire!$J:$J)</f>
        <v>0</v>
      </c>
      <c r="W23" s="11" t="b">
        <f>IFERROR(_xlfn.XMATCH("*,"&amp;$A23&amp;",*",Mitigation!$X:$X,2)&gt;0,FALSE)</f>
        <v>0</v>
      </c>
      <c r="X23" s="11" cm="1">
        <f t="array" ref="X23">CreateTaskID($X$2,$X:$X,Tasks!$B$17,$T23)</f>
        <v>0</v>
      </c>
      <c r="Y23" s="11" t="str" cm="1">
        <f t="array" ref="Y23">CreateSearchString($F23)</f>
        <v/>
      </c>
      <c r="Z23" s="11" cm="1">
        <f t="array" aca="1" ref="Z23" ca="1">OperateOnRange(
  $L23,
  TRUE,
  Helper!$B$16,
  0,
  _xlfn.LAMBDA(_xlpm._factor,IF(_xlpm._factor="",0,SimpleLookup(_xlpm._factor,Definitions!$Z:$AA))),
  _xlfn.LAMBDA(_xlpm._x,_xlpm._y,_xlpm._x+_xlpm._y))</f>
        <v>0</v>
      </c>
      <c r="AA23" s="11" t="str" cm="1">
        <f t="array" ref="AA23">CreateSearchString($H23)</f>
        <v/>
      </c>
      <c r="AB23" s="11" t="b" cm="1">
        <f t="array" aca="1" ref="AB23" ca="1">IF($A23="",FALSE,
OR($AG23,_xlfn.LAMBDA(_xlpm._ownID,_xlpm._searchHeader,_xlpm._resultHeader,_xlpm._elementCount,_xlpm._delimiter,_xlpm._activeInTreatmentRange,_xlpm._activeByAnswersRange,_xlpm._dependencies,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InverseLookup(_xlpm._ownID,_xlpm._searchHeader,_xlpm._resultHeader,1,_xlpm._elementCount,_xlpm._delimiter))))))($A23,$AA$2,$A$2,Helper!$B$4,",",$A:$W,$A:$AG,InverseLookup($A23,$AA$2,$A$2,1,Helper!$B$4,","))))</f>
        <v>0</v>
      </c>
      <c r="AC23" s="11" t="str" cm="1">
        <f t="array" aca="1" ref="AC23" ca="1">IF(OR($W23,$AB23,$AG23),CreateSearchString($H23),"")</f>
        <v/>
      </c>
      <c r="AD23" s="11" t="str" cm="1">
        <f t="array" ref="AD23">SUBSTITUTE(IF($W23,CreateSearchString($J23),""),"&gt;",",")</f>
        <v/>
      </c>
      <c r="AE23" s="11" cm="1">
        <f t="array" aca="1" ref="AE23" ca="1">CreateID($AE$2,$AB23)</f>
        <v>4</v>
      </c>
      <c r="AF23" s="11" t="str" cm="1">
        <f t="array" aca="1" ref="AF23" ca="1">IF($AB23,CreateSearchString($R23),"")</f>
        <v/>
      </c>
      <c r="AG23" s="11" t="b">
        <f ca="1">OR(CheckRelevance(SanitizeInput($D23),Questionnaire!$J:$J),CheckRelevance(SanitizeInput($D23),Questionnaire!$K:$K))</f>
        <v>0</v>
      </c>
      <c r="AH23" s="11" t="str" cm="1">
        <f t="array" aca="1" ref="AH23" ca="1">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FilterPreconditionCandidates(RemoveFirstElement(_xlpm._preconditionCandidates),_xlpm._searchColumn,_xlpm._delimiter))))(SanitizeInput($D23),Questionnaire!$AB:$AB,",")</f>
        <v/>
      </c>
      <c r="AI23" s="11" t="str" cm="1">
        <f t="array" aca="1" ref="AI23" ca="1">IF($D23="*","",InverseLookupList($AH23,Questionnaire!$AB$3,Questionnaire!$B$3,Helper!$B$12,","))</f>
        <v/>
      </c>
      <c r="AJ23" s="11" t="str" cm="1">
        <f t="array" aca="1" ref="AJ23" ca="1">RemoveDelimiter(GetValues($AI23,Questionnaire!$B:$H," ",CHAR(10)&amp;CHAR(10),TRUE),CHAR(10)&amp;CHAR(10))</f>
        <v/>
      </c>
      <c r="AK23" s="11" t="str" cm="1">
        <f t="array" aca="1" ref="AK23" ca="1">CreateSearchString($AI23)</f>
        <v/>
      </c>
      <c r="AL23" s="11" t="str" cm="1">
        <f t="array" aca="1" ref="AL23" ca="1">InverseLookup($A23,Mitigation!$AD$2,Mitigation!$A$2,1,Helper!$B$5,",")</f>
        <v/>
      </c>
      <c r="AM23" s="11" t="str" cm="1">
        <f t="array" aca="1" ref="AM23" ca="1">CreateSearchString(GetValues($AL23,'Attack Steps'!$A:$P,"",",",FALSE))</f>
        <v/>
      </c>
      <c r="AN23" s="11" t="str">
        <f t="shared" si="0"/>
        <v>C19</v>
      </c>
      <c r="AO23" s="11" t="str" cm="1">
        <f t="array" aca="1" ref="AO23" ca="1">_xlfn.SWITCH($D23,
"*","",
"","",
_xlfn.LET(
_xlpm._answers,SUBSTITUTE(SanitizeInput($D23),"&amp;",","),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IF(_xlpm._questionIDUndefined,$A23&amp;" - "&amp;_xlpm._question&amp;": ERROR: Unknown question ID.",
        IF(_xlpm._firstAnswerIsValidOption,"",$A23&amp;" - "&amp;_xlpm._question&amp;": First answer ("&amp;_xlpm._firstAnswer&amp;") is not a valid option.")&amp;
        IF(_xlpm._secondAnswerRequired,IF(_xlpm._secondAnswerProvided,"",$A23&amp;" - "&amp;_xlpm._question&amp;": Second answer required but not provided."),"")&amp;
        IF(NOT(_xlpm._secondAnswerRequired),IF(_xlpm._secondAnswerProvided,$A23&amp;" - "&amp;_xlpm._question&amp;": Second answer ("&amp;_xlpm._secondAnswer&amp;") provided but the question only supports one answer.",""),"")&amp;
        IF(_xlpm._secondAnswerIsValidOption,"",$A23&amp;" - "&amp;_xlpm._question&amp;": Second answer ("&amp;_xlpm._secondAnswer&amp;") is not a valid option.")))),
  _xlfn.LAMBDA(_xlpm._x,_xlpm._y,_xlpm._x&amp;IF(_xlpm._x="","",CHAR(10))&amp;_xlpm._y))))</f>
        <v/>
      </c>
      <c r="AP23" s="11" cm="1">
        <f t="array" aca="1" ref="AP23" ca="1">CreateID($AP$2,$AO23&lt;&gt;"")</f>
        <v>0</v>
      </c>
    </row>
    <row r="24" spans="1:42" ht="60.75" x14ac:dyDescent="0.25">
      <c r="A24" s="9" t="s">
        <v>331</v>
      </c>
      <c r="B24" s="10" t="s">
        <v>574</v>
      </c>
      <c r="C24" s="10" t="s">
        <v>1727</v>
      </c>
      <c r="D24" s="10"/>
      <c r="E24" s="25" t="str" cm="1">
        <f t="array" ref="E24">OperateOnList(
  SanitizeInput($D24),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24" s="10" t="s">
        <v>81</v>
      </c>
      <c r="G24" s="13" t="str" cm="1">
        <f t="array" aca="1" ref="G24" ca="1">LookupNames($F24,'Attack Steps'!$A:$B)</f>
        <v>AS4 Interrupting the product with a denial of service attack</v>
      </c>
      <c r="H24" s="10" t="s">
        <v>367</v>
      </c>
      <c r="I24" s="13" t="str" cm="1">
        <f t="array" aca="1" ref="I24" ca="1">RemoveDelimiter(GetValuesWithFallback(SanitizeInput($H24),$A:$B,Assumptions!$A:$B," ",","&amp;CHAR(10),TRUE),","&amp;CHAR(10))</f>
        <v>C22 CR 7.2 – Resource management</v>
      </c>
      <c r="J24" s="10" t="s">
        <v>601</v>
      </c>
      <c r="K24" s="25" t="str" cm="1">
        <f t="array" aca="1" ref="K24" ca="1">IF($J24="","",SUBSTITUTE(SUBSTITUTE(SUBSTITUTE(SUBSTITUTE(SUBSTITUTE(SUBSTITUTE(SUBSTITUTE(SUBSTITUTE(SUBSTITUTE(
GetTransformation(SanitizeInput($J24),'Damage Scenarios'!$A:$J,COLUMNS('Damage Scenarios'!$A:$J),CHAR(10),"[#0][#1][#2]")&amp;"§",
"[#1][#2]",""),
"[#2]",""),
"[#0][#1]","[#1]"),
"[#0]","Removes:"&amp;CHAR(10)),
"[#1]","Transforms:"&amp;CHAR(10)),
CHAR(10)&amp;"§",""),
"§",""),
CHAR(10),CHAR(10)&amp;"   "),
"   "&amp;"Transforms:","Transforms:"))</f>
        <v xml:space="preserve">Transforms:
   DS6 
   -----&gt; DS18 
   DS7 
   -----&gt; DS18 </v>
      </c>
      <c r="L24" s="10" t="s">
        <v>104</v>
      </c>
      <c r="M24" s="10" t="s">
        <v>112</v>
      </c>
      <c r="N24" s="10" t="s">
        <v>116</v>
      </c>
      <c r="O24" s="10"/>
      <c r="P24" s="10"/>
      <c r="Q24" s="13" t="str">
        <f ca="1">IF($A24="","",IFERROR(VLOOKUP($Z24,Definitions!$V:$W,COLUMNS(Definitions!$V:$W),TRUE),""))</f>
        <v>Enhanced-Basic</v>
      </c>
      <c r="R24" s="10" t="s">
        <v>449</v>
      </c>
      <c r="S24" s="10"/>
      <c r="T24" s="10" t="s">
        <v>1462</v>
      </c>
      <c r="U24" s="9" cm="1">
        <f t="array" aca="1" ref="U24" ca="1">CreateID($U$2,$A24&lt;&gt;"")</f>
        <v>22</v>
      </c>
      <c r="V24" s="11" t="b" cm="1">
        <f t="array" aca="1" ref="V24" ca="1">CheckRelevance(SanitizeInput(F24),Questionnaire!$J:$J)</f>
        <v>0</v>
      </c>
      <c r="W24" s="11" t="b">
        <f>IFERROR(_xlfn.XMATCH("*,"&amp;$A24&amp;",*",Mitigation!$X:$X,2)&gt;0,FALSE)</f>
        <v>0</v>
      </c>
      <c r="X24" s="11" cm="1">
        <f t="array" ref="X24">CreateTaskID($X$2,$X:$X,Tasks!$B$17,$T24)</f>
        <v>0</v>
      </c>
      <c r="Y24" s="11" t="str" cm="1">
        <f t="array" ref="Y24">CreateSearchString($F24)</f>
        <v>,AS4,</v>
      </c>
      <c r="Z24" s="11" cm="1">
        <f t="array" aca="1" ref="Z24" ca="1">OperateOnRange(
  $L24,
  TRUE,
  Helper!$B$16,
  0,
  _xlfn.LAMBDA(_xlpm._factor,IF(_xlpm._factor="",0,SimpleLookup(_xlpm._factor,Definitions!$Z:$AA))),
  _xlfn.LAMBDA(_xlpm._x,_xlpm._y,_xlpm._x+_xlpm._y))</f>
        <v>10</v>
      </c>
      <c r="AA24" s="11" t="str" cm="1">
        <f t="array" ref="AA24">CreateSearchString($H24)</f>
        <v>,C22,</v>
      </c>
      <c r="AB24" s="11" t="b" cm="1">
        <f t="array" aca="1" ref="AB24" ca="1">IF($A24="",FALSE,
OR($AG24,_xlfn.LAMBDA(_xlpm._ownID,_xlpm._searchHeader,_xlpm._resultHeader,_xlpm._elementCount,_xlpm._delimiter,_xlpm._activeInTreatmentRange,_xlpm._activeByAnswersRange,_xlpm._dependencies,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InverseLookup(_xlpm._ownID,_xlpm._searchHeader,_xlpm._resultHeader,1,_xlpm._elementCount,_xlpm._delimiter))))))($A24,$AA$2,$A$2,Helper!$B$4,",",$A:$W,$A:$AG,InverseLookup($A24,$AA$2,$A$2,1,Helper!$B$4,","))))</f>
        <v>0</v>
      </c>
      <c r="AC24" s="11" t="str" cm="1">
        <f t="array" aca="1" ref="AC24" ca="1">IF(OR($W24,$AB24,$AG24),CreateSearchString($H24),"")</f>
        <v/>
      </c>
      <c r="AD24" s="11" t="str" cm="1">
        <f t="array" ref="AD24">SUBSTITUTE(IF($W24,CreateSearchString($J24),""),"&gt;",",")</f>
        <v/>
      </c>
      <c r="AE24" s="11" cm="1">
        <f t="array" aca="1" ref="AE24" ca="1">CreateID($AE$2,$AB24)</f>
        <v>4</v>
      </c>
      <c r="AF24" s="11" t="str" cm="1">
        <f t="array" aca="1" ref="AF24" ca="1">IF($AB24,CreateSearchString($R24),"")</f>
        <v/>
      </c>
      <c r="AG24" s="11" t="b">
        <f>OR(CheckRelevance(SanitizeInput($D24),Questionnaire!$J:$J),CheckRelevance(SanitizeInput($D24),Questionnaire!$K:$K))</f>
        <v>0</v>
      </c>
      <c r="AH24" s="11" t="str" cm="1">
        <f t="array" ref="AH24">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FilterPreconditionCandidates(RemoveFirstElement(_xlpm._preconditionCandidates),_xlpm._searchColumn,_xlpm._delimiter))))(SanitizeInput($D24),Questionnaire!$AB:$AB,",")</f>
        <v/>
      </c>
      <c r="AI24" s="11" t="str" cm="1">
        <f t="array" ref="AI24">IF($D24="*","",InverseLookupList($AH24,Questionnaire!$AB$3,Questionnaire!$B$3,Helper!$B$12,","))</f>
        <v/>
      </c>
      <c r="AJ24" s="11" t="str" cm="1">
        <f t="array" ref="AJ24">RemoveDelimiter(GetValues($AI24,Questionnaire!$B:$H," ",CHAR(10)&amp;CHAR(10),TRUE),CHAR(10)&amp;CHAR(10))</f>
        <v/>
      </c>
      <c r="AK24" s="11" t="str" cm="1">
        <f t="array" ref="AK24">CreateSearchString($AI24)</f>
        <v/>
      </c>
      <c r="AL24" s="11" t="str" cm="1">
        <f t="array" aca="1" ref="AL24" ca="1">InverseLookup($A24,Mitigation!$AD$2,Mitigation!$A$2,1,Helper!$B$5,",")</f>
        <v/>
      </c>
      <c r="AM24" s="11" t="str" cm="1">
        <f t="array" aca="1" ref="AM24" ca="1">CreateSearchString(GetValues($AL24,'Attack Steps'!$A:$P,"",",",FALSE))</f>
        <v/>
      </c>
      <c r="AN24" s="11" t="str">
        <f t="shared" si="0"/>
        <v>C20</v>
      </c>
      <c r="AO24" s="11" t="str" cm="1">
        <f t="array" ref="AO24">_xlfn.SWITCH($D24,
"*","",
"","",
_xlfn.LET(
_xlpm._answers,SUBSTITUTE(SanitizeInput($D24),"&amp;",","),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IF(_xlpm._questionIDUndefined,$A24&amp;" - "&amp;_xlpm._question&amp;": ERROR: Unknown question ID.",
        IF(_xlpm._firstAnswerIsValidOption,"",$A24&amp;" - "&amp;_xlpm._question&amp;": First answer ("&amp;_xlpm._firstAnswer&amp;") is not a valid option.")&amp;
        IF(_xlpm._secondAnswerRequired,IF(_xlpm._secondAnswerProvided,"",$A24&amp;" - "&amp;_xlpm._question&amp;": Second answer required but not provided."),"")&amp;
        IF(NOT(_xlpm._secondAnswerRequired),IF(_xlpm._secondAnswerProvided,$A24&amp;" - "&amp;_xlpm._question&amp;": Second answer ("&amp;_xlpm._secondAnswer&amp;") provided but the question only supports one answer.",""),"")&amp;
        IF(_xlpm._secondAnswerIsValidOption,"",$A24&amp;" - "&amp;_xlpm._question&amp;": Second answer ("&amp;_xlpm._secondAnswer&amp;") is not a valid option.")))),
  _xlfn.LAMBDA(_xlpm._x,_xlpm._y,_xlpm._x&amp;IF(_xlpm._x="","",CHAR(10))&amp;_xlpm._y))))</f>
        <v/>
      </c>
      <c r="AP24" s="11" cm="1">
        <f t="array" aca="1" ref="AP24" ca="1">CreateID($AP$2,$AO24&lt;&gt;"")</f>
        <v>0</v>
      </c>
    </row>
    <row r="25" spans="1:42" ht="108.75" x14ac:dyDescent="0.25">
      <c r="A25" s="9" t="s">
        <v>332</v>
      </c>
      <c r="B25" s="10" t="s">
        <v>575</v>
      </c>
      <c r="C25" s="10" t="s">
        <v>1727</v>
      </c>
      <c r="D25" s="10"/>
      <c r="E25" s="25" t="str" cm="1">
        <f t="array" ref="E25">OperateOnList(
  SanitizeInput($D25),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25" s="10" t="s">
        <v>81</v>
      </c>
      <c r="G25" s="13" t="str" cm="1">
        <f t="array" aca="1" ref="G25" ca="1">LookupNames($F25,'Attack Steps'!$A:$B)</f>
        <v>AS4 Interrupting the product with a denial of service attack</v>
      </c>
      <c r="H25" s="10" t="s">
        <v>331</v>
      </c>
      <c r="I25" s="13" t="str" cm="1">
        <f t="array" aca="1" ref="I25" ca="1">RemoveDelimiter(GetValuesWithFallback(SanitizeInput($H25),$A:$B,Assumptions!$A:$B," ",","&amp;CHAR(10),TRUE),","&amp;CHAR(10))</f>
        <v>C20 CR 7.1 – Denial of service protection</v>
      </c>
      <c r="J25" s="10" t="s">
        <v>360</v>
      </c>
      <c r="K25" s="25" t="str" cm="1">
        <f t="array" aca="1" ref="K25" ca="1">IF($J25="","",SUBSTITUTE(SUBSTITUTE(SUBSTITUTE(SUBSTITUTE(SUBSTITUTE(SUBSTITUTE(SUBSTITUTE(SUBSTITUTE(SUBSTITUTE(
GetTransformation(SanitizeInput($J25),'Damage Scenarios'!$A:$J,COLUMNS('Damage Scenarios'!$A:$J),CHAR(10),"[#0][#1][#2]")&amp;"§",
"[#1][#2]",""),
"[#2]",""),
"[#0][#1]","[#1]"),
"[#0]","Removes:"&amp;CHAR(10)),
"[#1]","Transforms:"&amp;CHAR(10)),
CHAR(10)&amp;"§",""),
"§",""),
CHAR(10),CHAR(10)&amp;"   "),
"   "&amp;"Transforms:","Transforms:"))</f>
        <v xml:space="preserve">Transforms:
   DS6 
   -----&gt; DS18 
   DS7 
   -----&gt; DS18 
   DS8 
   -----&gt; DS18 
   DS9 
   -----&gt; DS18 </v>
      </c>
      <c r="L25" s="10"/>
      <c r="M25" s="10"/>
      <c r="N25" s="10"/>
      <c r="O25" s="10"/>
      <c r="P25" s="10"/>
      <c r="Q25" s="13" t="str">
        <f ca="1">IF($A25="","",IFERROR(VLOOKUP($Z25,Definitions!$V:$W,COLUMNS(Definitions!$V:$W),TRUE),""))</f>
        <v>Basic</v>
      </c>
      <c r="R25" s="10" t="s">
        <v>449</v>
      </c>
      <c r="S25" s="10"/>
      <c r="T25" s="10" t="s">
        <v>858</v>
      </c>
      <c r="U25" s="9" cm="1">
        <f t="array" aca="1" ref="U25" ca="1">CreateID($U$2,$A25&lt;&gt;"")</f>
        <v>23</v>
      </c>
      <c r="V25" s="11" t="b" cm="1">
        <f t="array" aca="1" ref="V25" ca="1">CheckRelevance(SanitizeInput(F25),Questionnaire!$J:$J)</f>
        <v>0</v>
      </c>
      <c r="W25" s="11" t="b">
        <f>IFERROR(_xlfn.XMATCH("*,"&amp;$A25&amp;",*",Mitigation!$X:$X,2)&gt;0,FALSE)</f>
        <v>0</v>
      </c>
      <c r="X25" s="11" cm="1">
        <f t="array" ref="X25">CreateTaskID($X$2,$X:$X,Tasks!$B$17,$T25)</f>
        <v>0</v>
      </c>
      <c r="Y25" s="11" t="str" cm="1">
        <f t="array" ref="Y25">CreateSearchString($F25)</f>
        <v>,AS4,</v>
      </c>
      <c r="Z25" s="11" cm="1">
        <f t="array" aca="1" ref="Z25" ca="1">OperateOnRange(
  $L25,
  TRUE,
  Helper!$B$16,
  0,
  _xlfn.LAMBDA(_xlpm._factor,IF(_xlpm._factor="",0,SimpleLookup(_xlpm._factor,Definitions!$Z:$AA))),
  _xlfn.LAMBDA(_xlpm._x,_xlpm._y,_xlpm._x+_xlpm._y))</f>
        <v>0</v>
      </c>
      <c r="AA25" s="11" t="str" cm="1">
        <f t="array" ref="AA25">CreateSearchString($H25)</f>
        <v>,C20,</v>
      </c>
      <c r="AB25" s="11" t="b" cm="1">
        <f t="array" aca="1" ref="AB25" ca="1">IF($A25="",FALSE,
OR($AG25,_xlfn.LAMBDA(_xlpm._ownID,_xlpm._searchHeader,_xlpm._resultHeader,_xlpm._elementCount,_xlpm._delimiter,_xlpm._activeInTreatmentRange,_xlpm._activeByAnswersRange,_xlpm._dependencies,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InverseLookup(_xlpm._ownID,_xlpm._searchHeader,_xlpm._resultHeader,1,_xlpm._elementCount,_xlpm._delimiter))))))($A25,$AA$2,$A$2,Helper!$B$4,",",$A:$W,$A:$AG,InverseLookup($A25,$AA$2,$A$2,1,Helper!$B$4,","))))</f>
        <v>0</v>
      </c>
      <c r="AC25" s="11" t="str" cm="1">
        <f t="array" aca="1" ref="AC25" ca="1">IF(OR($W25,$AB25,$AG25),CreateSearchString($H25),"")</f>
        <v/>
      </c>
      <c r="AD25" s="11" t="str" cm="1">
        <f t="array" ref="AD25">SUBSTITUTE(IF($W25,CreateSearchString($J25),""),"&gt;",",")</f>
        <v/>
      </c>
      <c r="AE25" s="11" cm="1">
        <f t="array" aca="1" ref="AE25" ca="1">CreateID($AE$2,$AB25)</f>
        <v>4</v>
      </c>
      <c r="AF25" s="11" t="str" cm="1">
        <f t="array" aca="1" ref="AF25" ca="1">IF($AB25,CreateSearchString($R25),"")</f>
        <v/>
      </c>
      <c r="AG25" s="11" t="b">
        <f>OR(CheckRelevance(SanitizeInput($D25),Questionnaire!$J:$J),CheckRelevance(SanitizeInput($D25),Questionnaire!$K:$K))</f>
        <v>0</v>
      </c>
      <c r="AH25" s="11" t="str" cm="1">
        <f t="array" ref="AH25">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FilterPreconditionCandidates(RemoveFirstElement(_xlpm._preconditionCandidates),_xlpm._searchColumn,_xlpm._delimiter))))(SanitizeInput($D25),Questionnaire!$AB:$AB,",")</f>
        <v/>
      </c>
      <c r="AI25" s="11" t="str" cm="1">
        <f t="array" ref="AI25">IF($D25="*","",InverseLookupList($AH25,Questionnaire!$AB$3,Questionnaire!$B$3,Helper!$B$12,","))</f>
        <v/>
      </c>
      <c r="AJ25" s="11" t="str" cm="1">
        <f t="array" ref="AJ25">RemoveDelimiter(GetValues($AI25,Questionnaire!$B:$H," ",CHAR(10)&amp;CHAR(10),TRUE),CHAR(10)&amp;CHAR(10))</f>
        <v/>
      </c>
      <c r="AK25" s="11" t="str" cm="1">
        <f t="array" ref="AK25">CreateSearchString($AI25)</f>
        <v/>
      </c>
      <c r="AL25" s="11" t="str" cm="1">
        <f t="array" aca="1" ref="AL25" ca="1">InverseLookup($A25,Mitigation!$AD$2,Mitigation!$A$2,1,Helper!$B$5,",")</f>
        <v/>
      </c>
      <c r="AM25" s="11" t="str" cm="1">
        <f t="array" aca="1" ref="AM25" ca="1">CreateSearchString(GetValues($AL25,'Attack Steps'!$A:$P,"",",",FALSE))</f>
        <v/>
      </c>
      <c r="AN25" s="11" t="str">
        <f t="shared" si="0"/>
        <v>C21</v>
      </c>
      <c r="AO25" s="11" t="str" cm="1">
        <f t="array" ref="AO25">_xlfn.SWITCH($D25,
"*","",
"","",
_xlfn.LET(
_xlpm._answers,SUBSTITUTE(SanitizeInput($D25),"&amp;",","),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IF(_xlpm._questionIDUndefined,$A25&amp;" - "&amp;_xlpm._question&amp;": ERROR: Unknown question ID.",
        IF(_xlpm._firstAnswerIsValidOption,"",$A25&amp;" - "&amp;_xlpm._question&amp;": First answer ("&amp;_xlpm._firstAnswer&amp;") is not a valid option.")&amp;
        IF(_xlpm._secondAnswerRequired,IF(_xlpm._secondAnswerProvided,"",$A25&amp;" - "&amp;_xlpm._question&amp;": Second answer required but not provided."),"")&amp;
        IF(NOT(_xlpm._secondAnswerRequired),IF(_xlpm._secondAnswerProvided,$A25&amp;" - "&amp;_xlpm._question&amp;": Second answer ("&amp;_xlpm._secondAnswer&amp;") provided but the question only supports one answer.",""),"")&amp;
        IF(_xlpm._secondAnswerIsValidOption,"",$A25&amp;" - "&amp;_xlpm._question&amp;": Second answer ("&amp;_xlpm._secondAnswer&amp;") is not a valid option.")))),
  _xlfn.LAMBDA(_xlpm._x,_xlpm._y,_xlpm._x&amp;IF(_xlpm._x="","",CHAR(10))&amp;_xlpm._y))))</f>
        <v/>
      </c>
      <c r="AP25" s="11" cm="1">
        <f t="array" aca="1" ref="AP25" ca="1">CreateID($AP$2,$AO25&lt;&gt;"")</f>
        <v>0</v>
      </c>
    </row>
    <row r="26" spans="1:42" x14ac:dyDescent="0.25">
      <c r="A26" s="9" t="s">
        <v>367</v>
      </c>
      <c r="B26" s="10" t="s">
        <v>576</v>
      </c>
      <c r="C26" s="10" t="s">
        <v>1727</v>
      </c>
      <c r="D26" s="10"/>
      <c r="E26" s="25" t="str" cm="1">
        <f t="array" ref="E26">OperateOnList(
  SanitizeInput($D26),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26" s="10"/>
      <c r="G26" s="13" t="str" cm="1">
        <f t="array" ref="G26">LookupNames($F26,'Attack Steps'!$A:$B)</f>
        <v/>
      </c>
      <c r="H26" s="10"/>
      <c r="I26" s="13" t="str" cm="1">
        <f t="array" ref="I26">RemoveDelimiter(GetValuesWithFallback(SanitizeInput($H26),$A:$B,Assumptions!$A:$B," ",","&amp;CHAR(10),TRUE),","&amp;CHAR(10))</f>
        <v/>
      </c>
      <c r="J26" s="10"/>
      <c r="K26" s="25" t="str" cm="1">
        <f t="array" ref="K26">IF($J26="","",SUBSTITUTE(SUBSTITUTE(SUBSTITUTE(SUBSTITUTE(SUBSTITUTE(SUBSTITUTE(SUBSTITUTE(SUBSTITUTE(SUBSTITUTE(
GetTransformation(SanitizeInput($J26),'Damage Scenarios'!$A:$J,COLUMNS('Damage Scenarios'!$A:$J),CHAR(10),"[#0][#1][#2]")&amp;"§",
"[#1][#2]",""),
"[#2]",""),
"[#0][#1]","[#1]"),
"[#0]","Removes:"&amp;CHAR(10)),
"[#1]","Transforms:"&amp;CHAR(10)),
CHAR(10)&amp;"§",""),
"§",""),
CHAR(10),CHAR(10)&amp;"   "),
"   "&amp;"Transforms:","Transforms:"))</f>
        <v/>
      </c>
      <c r="L26" s="10"/>
      <c r="M26" s="10"/>
      <c r="N26" s="10"/>
      <c r="O26" s="10"/>
      <c r="P26" s="10"/>
      <c r="Q26" s="13" t="str">
        <f ca="1">IF($A26="","",IFERROR(VLOOKUP($Z26,Definitions!$V:$W,COLUMNS(Definitions!$V:$W),TRUE),""))</f>
        <v>Basic</v>
      </c>
      <c r="R26" s="10" t="s">
        <v>449</v>
      </c>
      <c r="S26" s="10"/>
      <c r="T26" s="10"/>
      <c r="U26" s="9" cm="1">
        <f t="array" aca="1" ref="U26" ca="1">CreateID($U$2,$A26&lt;&gt;"")</f>
        <v>24</v>
      </c>
      <c r="V26" s="11" t="b" cm="1">
        <f t="array" ref="V26">CheckRelevance(SanitizeInput(F26),Questionnaire!$J:$J)</f>
        <v>0</v>
      </c>
      <c r="W26" s="11" t="b">
        <f>IFERROR(_xlfn.XMATCH("*,"&amp;$A26&amp;",*",Mitigation!$X:$X,2)&gt;0,FALSE)</f>
        <v>0</v>
      </c>
      <c r="X26" s="11" cm="1">
        <f t="array" ref="X26">CreateTaskID($X$2,$X:$X,Tasks!$B$17,$T26)</f>
        <v>0</v>
      </c>
      <c r="Y26" s="11" t="str" cm="1">
        <f t="array" ref="Y26">CreateSearchString($F26)</f>
        <v/>
      </c>
      <c r="Z26" s="11" cm="1">
        <f t="array" aca="1" ref="Z26" ca="1">OperateOnRange(
  $L26,
  TRUE,
  Helper!$B$16,
  0,
  _xlfn.LAMBDA(_xlpm._factor,IF(_xlpm._factor="",0,SimpleLookup(_xlpm._factor,Definitions!$Z:$AA))),
  _xlfn.LAMBDA(_xlpm._x,_xlpm._y,_xlpm._x+_xlpm._y))</f>
        <v>0</v>
      </c>
      <c r="AA26" s="11" t="str" cm="1">
        <f t="array" ref="AA26">CreateSearchString($H26)</f>
        <v/>
      </c>
      <c r="AB26" s="11" t="b" cm="1">
        <f t="array" aca="1" ref="AB26" ca="1">IF($A26="",FALSE,
OR($AG26,_xlfn.LAMBDA(_xlpm._ownID,_xlpm._searchHeader,_xlpm._resultHeader,_xlpm._elementCount,_xlpm._delimiter,_xlpm._activeInTreatmentRange,_xlpm._activeByAnswersRange,_xlpm._dependencies,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InverseLookup(_xlpm._ownID,_xlpm._searchHeader,_xlpm._resultHeader,1,_xlpm._elementCount,_xlpm._delimiter))))))($A26,$AA$2,$A$2,Helper!$B$4,",",$A:$W,$A:$AG,InverseLookup($A26,$AA$2,$A$2,1,Helper!$B$4,","))))</f>
        <v>0</v>
      </c>
      <c r="AC26" s="11" t="str" cm="1">
        <f t="array" aca="1" ref="AC26" ca="1">IF(OR($W26,$AB26,$AG26),CreateSearchString($H26),"")</f>
        <v/>
      </c>
      <c r="AD26" s="11" t="str" cm="1">
        <f t="array" ref="AD26">SUBSTITUTE(IF($W26,CreateSearchString($J26),""),"&gt;",",")</f>
        <v/>
      </c>
      <c r="AE26" s="11" cm="1">
        <f t="array" aca="1" ref="AE26" ca="1">CreateID($AE$2,$AB26)</f>
        <v>4</v>
      </c>
      <c r="AF26" s="11" t="str" cm="1">
        <f t="array" aca="1" ref="AF26" ca="1">IF($AB26,CreateSearchString($R26),"")</f>
        <v/>
      </c>
      <c r="AG26" s="11" t="b">
        <f>OR(CheckRelevance(SanitizeInput($D26),Questionnaire!$J:$J),CheckRelevance(SanitizeInput($D26),Questionnaire!$K:$K))</f>
        <v>0</v>
      </c>
      <c r="AH26" s="11" t="str" cm="1">
        <f t="array" ref="AH26">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FilterPreconditionCandidates(RemoveFirstElement(_xlpm._preconditionCandidates),_xlpm._searchColumn,_xlpm._delimiter))))(SanitizeInput($D26),Questionnaire!$AB:$AB,",")</f>
        <v/>
      </c>
      <c r="AI26" s="11" t="str" cm="1">
        <f t="array" ref="AI26">IF($D26="*","",InverseLookupList($AH26,Questionnaire!$AB$3,Questionnaire!$B$3,Helper!$B$12,","))</f>
        <v/>
      </c>
      <c r="AJ26" s="11" t="str" cm="1">
        <f t="array" ref="AJ26">RemoveDelimiter(GetValues($AI26,Questionnaire!$B:$H," ",CHAR(10)&amp;CHAR(10),TRUE),CHAR(10)&amp;CHAR(10))</f>
        <v/>
      </c>
      <c r="AK26" s="11" t="str" cm="1">
        <f t="array" ref="AK26">CreateSearchString($AI26)</f>
        <v/>
      </c>
      <c r="AL26" s="11" t="str" cm="1">
        <f t="array" aca="1" ref="AL26" ca="1">InverseLookup($A26,Mitigation!$AD$2,Mitigation!$A$2,1,Helper!$B$5,",")</f>
        <v/>
      </c>
      <c r="AM26" s="11" t="str" cm="1">
        <f t="array" aca="1" ref="AM26" ca="1">CreateSearchString(GetValues($AL26,'Attack Steps'!$A:$P,"",",",FALSE))</f>
        <v/>
      </c>
      <c r="AN26" s="11" t="str">
        <f t="shared" si="0"/>
        <v>C22</v>
      </c>
      <c r="AO26" s="11" t="str" cm="1">
        <f t="array" ref="AO26">_xlfn.SWITCH($D26,
"*","",
"","",
_xlfn.LET(
_xlpm._answers,SUBSTITUTE(SanitizeInput($D26),"&amp;",","),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IF(_xlpm._questionIDUndefined,$A26&amp;" - "&amp;_xlpm._question&amp;": ERROR: Unknown question ID.",
        IF(_xlpm._firstAnswerIsValidOption,"",$A26&amp;" - "&amp;_xlpm._question&amp;": First answer ("&amp;_xlpm._firstAnswer&amp;") is not a valid option.")&amp;
        IF(_xlpm._secondAnswerRequired,IF(_xlpm._secondAnswerProvided,"",$A26&amp;" - "&amp;_xlpm._question&amp;": Second answer required but not provided."),"")&amp;
        IF(NOT(_xlpm._secondAnswerRequired),IF(_xlpm._secondAnswerProvided,$A26&amp;" - "&amp;_xlpm._question&amp;": Second answer ("&amp;_xlpm._secondAnswer&amp;") provided but the question only supports one answer.",""),"")&amp;
        IF(_xlpm._secondAnswerIsValidOption,"",$A26&amp;" - "&amp;_xlpm._question&amp;": Second answer ("&amp;_xlpm._secondAnswer&amp;") is not a valid option.")))),
  _xlfn.LAMBDA(_xlpm._x,_xlpm._y,_xlpm._x&amp;IF(_xlpm._x="","",CHAR(10))&amp;_xlpm._y))))</f>
        <v/>
      </c>
      <c r="AP26" s="11" cm="1">
        <f t="array" aca="1" ref="AP26" ca="1">CreateID($AP$2,$AO26&lt;&gt;"")</f>
        <v>0</v>
      </c>
    </row>
    <row r="27" spans="1:42" ht="30" x14ac:dyDescent="0.25">
      <c r="A27" s="9" t="s">
        <v>368</v>
      </c>
      <c r="B27" s="10" t="s">
        <v>577</v>
      </c>
      <c r="C27" s="10" t="s">
        <v>1727</v>
      </c>
      <c r="D27" s="10" t="s">
        <v>877</v>
      </c>
      <c r="E27" s="25" t="str" cm="1">
        <f t="array" aca="1" ref="E27" ca="1">OperateOnList(
  SanitizeInput($D27),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QA8 Does the product offer a configuration interface? [Yes]
» Is the configuration interface protected against unwanted write access? [*]</v>
      </c>
      <c r="F27" s="10"/>
      <c r="G27" s="13" t="str" cm="1">
        <f t="array" ref="G27">LookupNames($F27,'Attack Steps'!$A:$B)</f>
        <v/>
      </c>
      <c r="H27" s="10"/>
      <c r="I27" s="13" t="str" cm="1">
        <f t="array" ref="I27">RemoveDelimiter(GetValuesWithFallback(SanitizeInput($H27),$A:$B,Assumptions!$A:$B," ",","&amp;CHAR(10),TRUE),","&amp;CHAR(10))</f>
        <v/>
      </c>
      <c r="J27" s="10"/>
      <c r="K27" s="25" t="str" cm="1">
        <f t="array" ref="K27">IF($J27="","",SUBSTITUTE(SUBSTITUTE(SUBSTITUTE(SUBSTITUTE(SUBSTITUTE(SUBSTITUTE(SUBSTITUTE(SUBSTITUTE(SUBSTITUTE(
GetTransformation(SanitizeInput($J27),'Damage Scenarios'!$A:$J,COLUMNS('Damage Scenarios'!$A:$J),CHAR(10),"[#0][#1][#2]")&amp;"§",
"[#1][#2]",""),
"[#2]",""),
"[#0][#1]","[#1]"),
"[#0]","Removes:"&amp;CHAR(10)),
"[#1]","Transforms:"&amp;CHAR(10)),
CHAR(10)&amp;"§",""),
"§",""),
CHAR(10),CHAR(10)&amp;"   "),
"   "&amp;"Transforms:","Transforms:"))</f>
        <v/>
      </c>
      <c r="L27" s="10"/>
      <c r="M27" s="10"/>
      <c r="N27" s="10"/>
      <c r="O27" s="10"/>
      <c r="P27" s="10"/>
      <c r="Q27" s="13" t="str">
        <f ca="1">IF($A27="","",IFERROR(VLOOKUP($Z27,Definitions!$V:$W,COLUMNS(Definitions!$V:$W),TRUE),""))</f>
        <v>Basic</v>
      </c>
      <c r="R27" s="10" t="s">
        <v>467</v>
      </c>
      <c r="S27" s="10"/>
      <c r="T27" s="10"/>
      <c r="U27" s="9" cm="1">
        <f t="array" aca="1" ref="U27" ca="1">CreateID($U$2,$A27&lt;&gt;"")</f>
        <v>25</v>
      </c>
      <c r="V27" s="11" t="b" cm="1">
        <f t="array" ref="V27">CheckRelevance(SanitizeInput(F27),Questionnaire!$J:$J)</f>
        <v>0</v>
      </c>
      <c r="W27" s="11" t="b">
        <f>IFERROR(_xlfn.XMATCH("*,"&amp;$A27&amp;",*",Mitigation!$X:$X,2)&gt;0,FALSE)</f>
        <v>0</v>
      </c>
      <c r="X27" s="11" cm="1">
        <f t="array" ref="X27">CreateTaskID($X$2,$X:$X,Tasks!$B$17,$T27)</f>
        <v>0</v>
      </c>
      <c r="Y27" s="11" t="str" cm="1">
        <f t="array" ref="Y27">CreateSearchString($F27)</f>
        <v/>
      </c>
      <c r="Z27" s="11" cm="1">
        <f t="array" aca="1" ref="Z27" ca="1">OperateOnRange(
  $L27,
  TRUE,
  Helper!$B$16,
  0,
  _xlfn.LAMBDA(_xlpm._factor,IF(_xlpm._factor="",0,SimpleLookup(_xlpm._factor,Definitions!$Z:$AA))),
  _xlfn.LAMBDA(_xlpm._x,_xlpm._y,_xlpm._x+_xlpm._y))</f>
        <v>0</v>
      </c>
      <c r="AA27" s="11" t="str" cm="1">
        <f t="array" ref="AA27">CreateSearchString($H27)</f>
        <v/>
      </c>
      <c r="AB27" s="11" t="b" cm="1">
        <f t="array" aca="1" ref="AB27" ca="1">IF($A27="",FALSE,
OR($AG27,_xlfn.LAMBDA(_xlpm._ownID,_xlpm._searchHeader,_xlpm._resultHeader,_xlpm._elementCount,_xlpm._delimiter,_xlpm._activeInTreatmentRange,_xlpm._activeByAnswersRange,_xlpm._dependencies,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InverseLookup(_xlpm._ownID,_xlpm._searchHeader,_xlpm._resultHeader,1,_xlpm._elementCount,_xlpm._delimiter))))))($A27,$AA$2,$A$2,Helper!$B$4,",",$A:$W,$A:$AG,InverseLookup($A27,$AA$2,$A$2,1,Helper!$B$4,","))))</f>
        <v>0</v>
      </c>
      <c r="AC27" s="11" t="str" cm="1">
        <f t="array" aca="1" ref="AC27" ca="1">IF(OR($W27,$AB27,$AG27),CreateSearchString($H27),"")</f>
        <v/>
      </c>
      <c r="AD27" s="11" t="str" cm="1">
        <f t="array" ref="AD27">SUBSTITUTE(IF($W27,CreateSearchString($J27),""),"&gt;",",")</f>
        <v/>
      </c>
      <c r="AE27" s="11" cm="1">
        <f t="array" aca="1" ref="AE27" ca="1">CreateID($AE$2,$AB27)</f>
        <v>4</v>
      </c>
      <c r="AF27" s="11" t="str" cm="1">
        <f t="array" aca="1" ref="AF27" ca="1">IF($AB27,CreateSearchString($R27),"")</f>
        <v/>
      </c>
      <c r="AG27" s="11" t="b">
        <f ca="1">OR(CheckRelevance(SanitizeInput($D27),Questionnaire!$J:$J),CheckRelevance(SanitizeInput($D27),Questionnaire!$K:$K))</f>
        <v>0</v>
      </c>
      <c r="AH27" s="11" t="str" cm="1">
        <f t="array" aca="1" ref="AH27" ca="1">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FilterPreconditionCandidates(RemoveFirstElement(_xlpm._preconditionCandidates),_xlpm._searchColumn,_xlpm._delimiter))))(SanitizeInput($D27),Questionnaire!$AB:$AB,",")</f>
        <v/>
      </c>
      <c r="AI27" s="11" t="str" cm="1">
        <f t="array" aca="1" ref="AI27" ca="1">IF($D27="*","",InverseLookupList($AH27,Questionnaire!$AB$3,Questionnaire!$B$3,Helper!$B$12,","))</f>
        <v/>
      </c>
      <c r="AJ27" s="11" t="str" cm="1">
        <f t="array" aca="1" ref="AJ27" ca="1">RemoveDelimiter(GetValues($AI27,Questionnaire!$B:$H," ",CHAR(10)&amp;CHAR(10),TRUE),CHAR(10)&amp;CHAR(10))</f>
        <v/>
      </c>
      <c r="AK27" s="11" t="str" cm="1">
        <f t="array" aca="1" ref="AK27" ca="1">CreateSearchString($AI27)</f>
        <v/>
      </c>
      <c r="AL27" s="11" t="str" cm="1">
        <f t="array" aca="1" ref="AL27" ca="1">InverseLookup($A27,Mitigation!$AD$2,Mitigation!$A$2,1,Helper!$B$5,",")</f>
        <v/>
      </c>
      <c r="AM27" s="11" t="str" cm="1">
        <f t="array" aca="1" ref="AM27" ca="1">CreateSearchString(GetValues($AL27,'Attack Steps'!$A:$P,"",",",FALSE))</f>
        <v/>
      </c>
      <c r="AN27" s="11" t="str">
        <f t="shared" si="0"/>
        <v>C23</v>
      </c>
      <c r="AO27" s="11" t="str" cm="1">
        <f t="array" aca="1" ref="AO27" ca="1">_xlfn.SWITCH($D27,
"*","",
"","",
_xlfn.LET(
_xlpm._answers,SUBSTITUTE(SanitizeInput($D27),"&amp;",","),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IF(_xlpm._questionIDUndefined,$A27&amp;" - "&amp;_xlpm._question&amp;": ERROR: Unknown question ID.",
        IF(_xlpm._firstAnswerIsValidOption,"",$A27&amp;" - "&amp;_xlpm._question&amp;": First answer ("&amp;_xlpm._firstAnswer&amp;") is not a valid option.")&amp;
        IF(_xlpm._secondAnswerRequired,IF(_xlpm._secondAnswerProvided,"",$A27&amp;" - "&amp;_xlpm._question&amp;": Second answer required but not provided."),"")&amp;
        IF(NOT(_xlpm._secondAnswerRequired),IF(_xlpm._secondAnswerProvided,$A27&amp;" - "&amp;_xlpm._question&amp;": Second answer ("&amp;_xlpm._secondAnswer&amp;") provided but the question only supports one answer.",""),"")&amp;
        IF(_xlpm._secondAnswerIsValidOption,"",$A27&amp;" - "&amp;_xlpm._question&amp;": Second answer ("&amp;_xlpm._secondAnswer&amp;") is not a valid option.")))),
  _xlfn.LAMBDA(_xlpm._x,_xlpm._y,_xlpm._x&amp;IF(_xlpm._x="","",CHAR(10))&amp;_xlpm._y))))</f>
        <v/>
      </c>
      <c r="AP27" s="11" cm="1">
        <f t="array" aca="1" ref="AP27" ca="1">CreateID($AP$2,$AO27&lt;&gt;"")</f>
        <v>0</v>
      </c>
    </row>
    <row r="28" spans="1:42" x14ac:dyDescent="0.25">
      <c r="A28" s="9" t="s">
        <v>369</v>
      </c>
      <c r="B28" s="10" t="s">
        <v>578</v>
      </c>
      <c r="C28" s="10" t="s">
        <v>1727</v>
      </c>
      <c r="D28" s="10" t="s">
        <v>335</v>
      </c>
      <c r="E28" s="25" t="str" cm="1">
        <f t="array" ref="E28">OperateOnList(
  SanitizeInput($D28),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v>
      </c>
      <c r="F28" s="10"/>
      <c r="G28" s="13" t="str" cm="1">
        <f t="array" ref="G28">LookupNames($F28,'Attack Steps'!$A:$B)</f>
        <v/>
      </c>
      <c r="H28" s="10"/>
      <c r="I28" s="13" t="str" cm="1">
        <f t="array" ref="I28">RemoveDelimiter(GetValuesWithFallback(SanitizeInput($H28),$A:$B,Assumptions!$A:$B," ",","&amp;CHAR(10),TRUE),","&amp;CHAR(10))</f>
        <v/>
      </c>
      <c r="J28" s="10"/>
      <c r="K28" s="25" t="str" cm="1">
        <f t="array" ref="K28">IF($J28="","",SUBSTITUTE(SUBSTITUTE(SUBSTITUTE(SUBSTITUTE(SUBSTITUTE(SUBSTITUTE(SUBSTITUTE(SUBSTITUTE(SUBSTITUTE(
GetTransformation(SanitizeInput($J28),'Damage Scenarios'!$A:$J,COLUMNS('Damage Scenarios'!$A:$J),CHAR(10),"[#0][#1][#2]")&amp;"§",
"[#1][#2]",""),
"[#2]",""),
"[#0][#1]","[#1]"),
"[#0]","Removes:"&amp;CHAR(10)),
"[#1]","Transforms:"&amp;CHAR(10)),
CHAR(10)&amp;"§",""),
"§",""),
CHAR(10),CHAR(10)&amp;"   "),
"   "&amp;"Transforms:","Transforms:"))</f>
        <v/>
      </c>
      <c r="L28" s="10"/>
      <c r="M28" s="10"/>
      <c r="N28" s="10"/>
      <c r="O28" s="10"/>
      <c r="P28" s="10"/>
      <c r="Q28" s="13" t="str">
        <f ca="1">IF($A28="","",IFERROR(VLOOKUP($Z28,Definitions!$V:$W,COLUMNS(Definitions!$V:$W),TRUE),""))</f>
        <v>Basic</v>
      </c>
      <c r="R28" s="10" t="s">
        <v>467</v>
      </c>
      <c r="S28" s="10"/>
      <c r="T28" s="10"/>
      <c r="U28" s="9" cm="1">
        <f t="array" aca="1" ref="U28" ca="1">CreateID($U$2,$A28&lt;&gt;"")</f>
        <v>26</v>
      </c>
      <c r="V28" s="11" t="b" cm="1">
        <f t="array" ref="V28">CheckRelevance(SanitizeInput(F28),Questionnaire!$J:$J)</f>
        <v>0</v>
      </c>
      <c r="W28" s="11" t="b">
        <f>IFERROR(_xlfn.XMATCH("*,"&amp;$A28&amp;",*",Mitigation!$X:$X,2)&gt;0,FALSE)</f>
        <v>0</v>
      </c>
      <c r="X28" s="11" cm="1">
        <f t="array" ref="X28">CreateTaskID($X$2,$X:$X,Tasks!$B$17,$T28)</f>
        <v>0</v>
      </c>
      <c r="Y28" s="11" t="str" cm="1">
        <f t="array" ref="Y28">CreateSearchString($F28)</f>
        <v/>
      </c>
      <c r="Z28" s="11" cm="1">
        <f t="array" aca="1" ref="Z28" ca="1">OperateOnRange(
  $L28,
  TRUE,
  Helper!$B$16,
  0,
  _xlfn.LAMBDA(_xlpm._factor,IF(_xlpm._factor="",0,SimpleLookup(_xlpm._factor,Definitions!$Z:$AA))),
  _xlfn.LAMBDA(_xlpm._x,_xlpm._y,_xlpm._x+_xlpm._y))</f>
        <v>0</v>
      </c>
      <c r="AA28" s="11" t="str" cm="1">
        <f t="array" ref="AA28">CreateSearchString($H28)</f>
        <v/>
      </c>
      <c r="AB28" s="11" t="b" cm="1">
        <f t="array" aca="1" ref="AB28" ca="1">IF($A28="",FALSE,
OR($AG28,_xlfn.LAMBDA(_xlpm._ownID,_xlpm._searchHeader,_xlpm._resultHeader,_xlpm._elementCount,_xlpm._delimiter,_xlpm._activeInTreatmentRange,_xlpm._activeByAnswersRange,_xlpm._dependencies,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InverseLookup(_xlpm._ownID,_xlpm._searchHeader,_xlpm._resultHeader,1,_xlpm._elementCount,_xlpm._delimiter))))))($A28,$AA$2,$A$2,Helper!$B$4,",",$A:$W,$A:$AG,InverseLookup($A28,$AA$2,$A$2,1,Helper!$B$4,","))))</f>
        <v>1</v>
      </c>
      <c r="AC28" s="11" t="str" cm="1">
        <f t="array" aca="1" ref="AC28" ca="1">IF(OR($W28,$AB28,$AG28),CreateSearchString($H28),"")</f>
        <v/>
      </c>
      <c r="AD28" s="11" t="str" cm="1">
        <f t="array" ref="AD28">SUBSTITUTE(IF($W28,CreateSearchString($J28),""),"&gt;",",")</f>
        <v/>
      </c>
      <c r="AE28" s="11" cm="1">
        <f t="array" aca="1" ref="AE28" ca="1">CreateID($AE$2,$AB28)</f>
        <v>5</v>
      </c>
      <c r="AF28" s="11" t="str" cm="1">
        <f t="array" aca="1" ref="AF28" ca="1">IF($AB28,CreateSearchString($R28),"")</f>
        <v>,j,</v>
      </c>
      <c r="AG28" s="11" t="b">
        <f>OR(CheckRelevance(SanitizeInput($D28),Questionnaire!$J:$J),CheckRelevance(SanitizeInput($D28),Questionnaire!$K:$K))</f>
        <v>1</v>
      </c>
      <c r="AH28" s="11" t="str" cm="1">
        <f t="array" ref="AH28">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FilterPreconditionCandidates(RemoveFirstElement(_xlpm._preconditionCandidates),_xlpm._searchColumn,_xlpm._delimiter))))(SanitizeInput($D28),Questionnaire!$AB:$AB,",")</f>
        <v>*,</v>
      </c>
      <c r="AI28" s="11" t="str" cm="1">
        <f t="array" ref="AI28">IF($D28="*","",InverseLookupList($AH28,Questionnaire!$AB$3,Questionnaire!$B$3,Helper!$B$12,","))</f>
        <v/>
      </c>
      <c r="AJ28" s="11" t="str" cm="1">
        <f t="array" ref="AJ28">RemoveDelimiter(GetValues($AI28,Questionnaire!$B:$H," ",CHAR(10)&amp;CHAR(10),TRUE),CHAR(10)&amp;CHAR(10))</f>
        <v/>
      </c>
      <c r="AK28" s="11" t="str" cm="1">
        <f t="array" ref="AK28">CreateSearchString($AI28)</f>
        <v/>
      </c>
      <c r="AL28" s="11" t="str" cm="1">
        <f t="array" aca="1" ref="AL28" ca="1">InverseLookup($A28,Mitigation!$AD$2,Mitigation!$A$2,1,Helper!$B$5,",")</f>
        <v/>
      </c>
      <c r="AM28" s="11" t="str" cm="1">
        <f t="array" aca="1" ref="AM28" ca="1">CreateSearchString(GetValues($AL28,'Attack Steps'!$A:$P,"",",",FALSE))</f>
        <v/>
      </c>
      <c r="AN28" s="11" t="str">
        <f t="shared" si="0"/>
        <v>C24</v>
      </c>
      <c r="AO28" s="11" t="str" cm="1">
        <f t="array" ref="AO28">_xlfn.SWITCH($D28,
"*","",
"","",
_xlfn.LET(
_xlpm._answers,SUBSTITUTE(SanitizeInput($D28),"&amp;",","),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IF(_xlpm._questionIDUndefined,$A28&amp;" - "&amp;_xlpm._question&amp;": ERROR: Unknown question ID.",
        IF(_xlpm._firstAnswerIsValidOption,"",$A28&amp;" - "&amp;_xlpm._question&amp;": First answer ("&amp;_xlpm._firstAnswer&amp;") is not a valid option.")&amp;
        IF(_xlpm._secondAnswerRequired,IF(_xlpm._secondAnswerProvided,"",$A28&amp;" - "&amp;_xlpm._question&amp;": Second answer required but not provided."),"")&amp;
        IF(NOT(_xlpm._secondAnswerRequired),IF(_xlpm._secondAnswerProvided,$A28&amp;" - "&amp;_xlpm._question&amp;": Second answer ("&amp;_xlpm._secondAnswer&amp;") provided but the question only supports one answer.",""),"")&amp;
        IF(_xlpm._secondAnswerIsValidOption,"",$A28&amp;" - "&amp;_xlpm._question&amp;": Second answer ("&amp;_xlpm._secondAnswer&amp;") is not a valid option.")))),
  _xlfn.LAMBDA(_xlpm._x,_xlpm._y,_xlpm._x&amp;IF(_xlpm._x="","",CHAR(10))&amp;_xlpm._y))))</f>
        <v/>
      </c>
      <c r="AP28" s="11" cm="1">
        <f t="array" aca="1" ref="AP28" ca="1">CreateID($AP$2,$AO28&lt;&gt;"")</f>
        <v>0</v>
      </c>
    </row>
    <row r="29" spans="1:42" ht="345" x14ac:dyDescent="0.25">
      <c r="A29" s="9" t="s">
        <v>371</v>
      </c>
      <c r="B29" s="10" t="s">
        <v>606</v>
      </c>
      <c r="C29" s="10" t="s">
        <v>1727</v>
      </c>
      <c r="D29" s="10"/>
      <c r="E29" s="25" t="str" cm="1">
        <f t="array" ref="E29">OperateOnList(
  SanitizeInput($D29),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29" s="10"/>
      <c r="G29" s="13" t="str" cm="1">
        <f t="array" ref="G29">LookupNames($F29,'Attack Steps'!$A:$B)</f>
        <v/>
      </c>
      <c r="H29" s="10"/>
      <c r="I29" s="13" t="str" cm="1">
        <f t="array" ref="I29">RemoveDelimiter(GetValuesWithFallback(SanitizeInput($H29),$A:$B,Assumptions!$A:$B," ",","&amp;CHAR(10),TRUE),","&amp;CHAR(10))</f>
        <v/>
      </c>
      <c r="J29" s="10"/>
      <c r="K29" s="25" t="str" cm="1">
        <f t="array" ref="K29">IF($J29="","",SUBSTITUTE(SUBSTITUTE(SUBSTITUTE(SUBSTITUTE(SUBSTITUTE(SUBSTITUTE(SUBSTITUTE(SUBSTITUTE(SUBSTITUTE(
GetTransformation(SanitizeInput($J29),'Damage Scenarios'!$A:$J,COLUMNS('Damage Scenarios'!$A:$J),CHAR(10),"[#0][#1][#2]")&amp;"§",
"[#1][#2]",""),
"[#2]",""),
"[#0][#1]","[#1]"),
"[#0]","Removes:"&amp;CHAR(10)),
"[#1]","Transforms:"&amp;CHAR(10)),
CHAR(10)&amp;"§",""),
"§",""),
CHAR(10),CHAR(10)&amp;"   "),
"   "&amp;"Transforms:","Transforms:"))</f>
        <v/>
      </c>
      <c r="L29" s="10"/>
      <c r="M29" s="10"/>
      <c r="N29" s="10"/>
      <c r="O29" s="10"/>
      <c r="P29" s="10"/>
      <c r="Q29" s="13" t="str">
        <f ca="1">IF($A29="","",IFERROR(VLOOKUP($Z29,Definitions!$V:$W,COLUMNS(Definitions!$V:$W),TRUE),""))</f>
        <v>Basic</v>
      </c>
      <c r="R29" s="10" t="s">
        <v>447</v>
      </c>
      <c r="S29" s="10"/>
      <c r="T29" s="10" t="s">
        <v>1312</v>
      </c>
      <c r="U29" s="9" cm="1">
        <f t="array" aca="1" ref="U29" ca="1">CreateID($U$2,$A29&lt;&gt;"")</f>
        <v>27</v>
      </c>
      <c r="V29" s="11" t="b" cm="1">
        <f t="array" ref="V29">CheckRelevance(SanitizeInput(F29),Questionnaire!$J:$J)</f>
        <v>0</v>
      </c>
      <c r="W29" s="11" t="b">
        <f>IFERROR(_xlfn.XMATCH("*,"&amp;$A29&amp;",*",Mitigation!$X:$X,2)&gt;0,FALSE)</f>
        <v>0</v>
      </c>
      <c r="X29" s="11" cm="1">
        <f t="array" ref="X29">CreateTaskID($X$2,$X:$X,Tasks!$B$17,$T29)</f>
        <v>0</v>
      </c>
      <c r="Y29" s="11" t="str" cm="1">
        <f t="array" ref="Y29">CreateSearchString($F29)</f>
        <v/>
      </c>
      <c r="Z29" s="11" cm="1">
        <f t="array" aca="1" ref="Z29" ca="1">OperateOnRange(
  $L29,
  TRUE,
  Helper!$B$16,
  0,
  _xlfn.LAMBDA(_xlpm._factor,IF(_xlpm._factor="",0,SimpleLookup(_xlpm._factor,Definitions!$Z:$AA))),
  _xlfn.LAMBDA(_xlpm._x,_xlpm._y,_xlpm._x+_xlpm._y))</f>
        <v>0</v>
      </c>
      <c r="AA29" s="11" t="str" cm="1">
        <f t="array" ref="AA29">CreateSearchString($H29)</f>
        <v/>
      </c>
      <c r="AB29" s="11" t="b" cm="1">
        <f t="array" aca="1" ref="AB29" ca="1">IF($A29="",FALSE,
OR($AG29,_xlfn.LAMBDA(_xlpm._ownID,_xlpm._searchHeader,_xlpm._resultHeader,_xlpm._elementCount,_xlpm._delimiter,_xlpm._activeInTreatmentRange,_xlpm._activeByAnswersRange,_xlpm._dependencies,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InverseLookup(_xlpm._ownID,_xlpm._searchHeader,_xlpm._resultHeader,1,_xlpm._elementCount,_xlpm._delimiter))))))($A29,$AA$2,$A$2,Helper!$B$4,",",$A:$W,$A:$AG,InverseLookup($A29,$AA$2,$A$2,1,Helper!$B$4,","))))</f>
        <v>0</v>
      </c>
      <c r="AC29" s="11" t="str" cm="1">
        <f t="array" aca="1" ref="AC29" ca="1">IF(OR($W29,$AB29,$AG29),CreateSearchString($H29),"")</f>
        <v/>
      </c>
      <c r="AD29" s="11" t="str" cm="1">
        <f t="array" ref="AD29">SUBSTITUTE(IF($W29,CreateSearchString($J29),""),"&gt;",",")</f>
        <v/>
      </c>
      <c r="AE29" s="11" cm="1">
        <f t="array" aca="1" ref="AE29" ca="1">CreateID($AE$2,$AB29)</f>
        <v>5</v>
      </c>
      <c r="AF29" s="11" t="str" cm="1">
        <f t="array" aca="1" ref="AF29" ca="1">IF($AB29,CreateSearchString($R29),"")</f>
        <v/>
      </c>
      <c r="AG29" s="11" t="b">
        <f>OR(CheckRelevance(SanitizeInput($D29),Questionnaire!$J:$J),CheckRelevance(SanitizeInput($D29),Questionnaire!$K:$K))</f>
        <v>0</v>
      </c>
      <c r="AH29" s="11" t="str" cm="1">
        <f t="array" ref="AH29">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FilterPreconditionCandidates(RemoveFirstElement(_xlpm._preconditionCandidates),_xlpm._searchColumn,_xlpm._delimiter))))(SanitizeInput($D29),Questionnaire!$AB:$AB,",")</f>
        <v/>
      </c>
      <c r="AI29" s="11" t="str" cm="1">
        <f t="array" ref="AI29">IF($D29="*","",InverseLookupList($AH29,Questionnaire!$AB$3,Questionnaire!$B$3,Helper!$B$12,","))</f>
        <v/>
      </c>
      <c r="AJ29" s="11" t="str" cm="1">
        <f t="array" ref="AJ29">RemoveDelimiter(GetValues($AI29,Questionnaire!$B:$H," ",CHAR(10)&amp;CHAR(10),TRUE),CHAR(10)&amp;CHAR(10))</f>
        <v/>
      </c>
      <c r="AK29" s="11" t="str" cm="1">
        <f t="array" ref="AK29">CreateSearchString($AI29)</f>
        <v/>
      </c>
      <c r="AL29" s="11" t="str" cm="1">
        <f t="array" aca="1" ref="AL29" ca="1">InverseLookup($A29,Mitigation!$AD$2,Mitigation!$A$2,1,Helper!$B$5,",")</f>
        <v/>
      </c>
      <c r="AM29" s="11" t="str" cm="1">
        <f t="array" aca="1" ref="AM29" ca="1">CreateSearchString(GetValues($AL29,'Attack Steps'!$A:$P,"",",",FALSE))</f>
        <v/>
      </c>
      <c r="AN29" s="11" t="str">
        <f t="shared" si="0"/>
        <v>C25</v>
      </c>
      <c r="AO29" s="11" t="str" cm="1">
        <f t="array" ref="AO29">_xlfn.SWITCH($D29,
"*","",
"","",
_xlfn.LET(
_xlpm._answers,SUBSTITUTE(SanitizeInput($D29),"&amp;",","),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IF(_xlpm._questionIDUndefined,$A29&amp;" - "&amp;_xlpm._question&amp;": ERROR: Unknown question ID.",
        IF(_xlpm._firstAnswerIsValidOption,"",$A29&amp;" - "&amp;_xlpm._question&amp;": First answer ("&amp;_xlpm._firstAnswer&amp;") is not a valid option.")&amp;
        IF(_xlpm._secondAnswerRequired,IF(_xlpm._secondAnswerProvided,"",$A29&amp;" - "&amp;_xlpm._question&amp;": Second answer required but not provided."),"")&amp;
        IF(NOT(_xlpm._secondAnswerRequired),IF(_xlpm._secondAnswerProvided,$A29&amp;" - "&amp;_xlpm._question&amp;": Second answer ("&amp;_xlpm._secondAnswer&amp;") provided but the question only supports one answer.",""),"")&amp;
        IF(_xlpm._secondAnswerIsValidOption,"",$A29&amp;" - "&amp;_xlpm._question&amp;": Second answer ("&amp;_xlpm._secondAnswer&amp;") is not a valid option.")))),
  _xlfn.LAMBDA(_xlpm._x,_xlpm._y,_xlpm._x&amp;IF(_xlpm._x="","",CHAR(10))&amp;_xlpm._y))))</f>
        <v/>
      </c>
      <c r="AP29" s="11" cm="1">
        <f t="array" aca="1" ref="AP29" ca="1">CreateID($AP$2,$AO29&lt;&gt;"")</f>
        <v>0</v>
      </c>
    </row>
    <row r="30" spans="1:42" ht="255" x14ac:dyDescent="0.25">
      <c r="A30" s="9" t="s">
        <v>484</v>
      </c>
      <c r="B30" s="10" t="s">
        <v>608</v>
      </c>
      <c r="C30" s="10" t="s">
        <v>1727</v>
      </c>
      <c r="D30" s="10" t="s">
        <v>897</v>
      </c>
      <c r="E30" s="25" t="str" cm="1">
        <f t="array" aca="1" ref="E30" ca="1">OperateOnList(
  SanitizeInput($D30),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QA17 Does the product have debug / development interfaces (e.g., JTAG, root access over ssh)? [Yes]
» Is network access to the debug interface(s) possible? [*]</v>
      </c>
      <c r="F30" s="10"/>
      <c r="G30" s="13" t="str" cm="1">
        <f t="array" ref="G30">LookupNames($F30,'Attack Steps'!$A:$B)</f>
        <v/>
      </c>
      <c r="H30" s="10"/>
      <c r="I30" s="13" t="str" cm="1">
        <f t="array" ref="I30">RemoveDelimiter(GetValuesWithFallback(SanitizeInput($H30),$A:$B,Assumptions!$A:$B," ",","&amp;CHAR(10),TRUE),","&amp;CHAR(10))</f>
        <v/>
      </c>
      <c r="J30" s="10"/>
      <c r="K30" s="25" t="str" cm="1">
        <f t="array" ref="K30">IF($J30="","",SUBSTITUTE(SUBSTITUTE(SUBSTITUTE(SUBSTITUTE(SUBSTITUTE(SUBSTITUTE(SUBSTITUTE(SUBSTITUTE(SUBSTITUTE(
GetTransformation(SanitizeInput($J30),'Damage Scenarios'!$A:$J,COLUMNS('Damage Scenarios'!$A:$J),CHAR(10),"[#0][#1][#2]")&amp;"§",
"[#1][#2]",""),
"[#2]",""),
"[#0][#1]","[#1]"),
"[#0]","Removes:"&amp;CHAR(10)),
"[#1]","Transforms:"&amp;CHAR(10)),
CHAR(10)&amp;"§",""),
"§",""),
CHAR(10),CHAR(10)&amp;"   "),
"   "&amp;"Transforms:","Transforms:"))</f>
        <v/>
      </c>
      <c r="L30" s="10"/>
      <c r="M30" s="10"/>
      <c r="N30" s="10"/>
      <c r="O30" s="10"/>
      <c r="P30" s="10"/>
      <c r="Q30" s="13" t="str">
        <f ca="1">IF($A30="","",IFERROR(VLOOKUP($Z30,Definitions!$V:$W,COLUMNS(Definitions!$V:$W),TRUE),""))</f>
        <v>Basic</v>
      </c>
      <c r="R30" s="10" t="s">
        <v>453</v>
      </c>
      <c r="S30" s="10"/>
      <c r="T30" s="10" t="s">
        <v>1313</v>
      </c>
      <c r="U30" s="9" cm="1">
        <f t="array" aca="1" ref="U30" ca="1">CreateID($U$2,$A30&lt;&gt;"")</f>
        <v>28</v>
      </c>
      <c r="V30" s="11" t="b" cm="1">
        <f t="array" ref="V30">CheckRelevance(SanitizeInput(F30),Questionnaire!$J:$J)</f>
        <v>0</v>
      </c>
      <c r="W30" s="11" t="b">
        <f>IFERROR(_xlfn.XMATCH("*,"&amp;$A30&amp;",*",Mitigation!$X:$X,2)&gt;0,FALSE)</f>
        <v>0</v>
      </c>
      <c r="X30" s="11" cm="1">
        <f t="array" ref="X30">CreateTaskID($X$2,$X:$X,Tasks!$B$17,$T30)</f>
        <v>0</v>
      </c>
      <c r="Y30" s="11" t="str" cm="1">
        <f t="array" ref="Y30">CreateSearchString($F30)</f>
        <v/>
      </c>
      <c r="Z30" s="11" cm="1">
        <f t="array" aca="1" ref="Z30" ca="1">OperateOnRange(
  $L30,
  TRUE,
  Helper!$B$16,
  0,
  _xlfn.LAMBDA(_xlpm._factor,IF(_xlpm._factor="",0,SimpleLookup(_xlpm._factor,Definitions!$Z:$AA))),
  _xlfn.LAMBDA(_xlpm._x,_xlpm._y,_xlpm._x+_xlpm._y))</f>
        <v>0</v>
      </c>
      <c r="AA30" s="11" t="str" cm="1">
        <f t="array" ref="AA30">CreateSearchString($H30)</f>
        <v/>
      </c>
      <c r="AB30" s="11" t="b" cm="1">
        <f t="array" aca="1" ref="AB30" ca="1">IF($A30="",FALSE,
OR($AG30,_xlfn.LAMBDA(_xlpm._ownID,_xlpm._searchHeader,_xlpm._resultHeader,_xlpm._elementCount,_xlpm._delimiter,_xlpm._activeInTreatmentRange,_xlpm._activeByAnswersRange,_xlpm._dependencies,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InverseLookup(_xlpm._ownID,_xlpm._searchHeader,_xlpm._resultHeader,1,_xlpm._elementCount,_xlpm._delimiter))))))($A30,$AA$2,$A$2,Helper!$B$4,",",$A:$W,$A:$AG,InverseLookup($A30,$AA$2,$A$2,1,Helper!$B$4,","))))</f>
        <v>0</v>
      </c>
      <c r="AC30" s="11" t="str" cm="1">
        <f t="array" aca="1" ref="AC30" ca="1">IF(OR($W30,$AB30,$AG30),CreateSearchString($H30),"")</f>
        <v/>
      </c>
      <c r="AD30" s="11" t="str" cm="1">
        <f t="array" ref="AD30">SUBSTITUTE(IF($W30,CreateSearchString($J30),""),"&gt;",",")</f>
        <v/>
      </c>
      <c r="AE30" s="11" cm="1">
        <f t="array" aca="1" ref="AE30" ca="1">CreateID($AE$2,$AB30)</f>
        <v>5</v>
      </c>
      <c r="AF30" s="11" t="str" cm="1">
        <f t="array" aca="1" ref="AF30" ca="1">IF($AB30,CreateSearchString($R30),"")</f>
        <v/>
      </c>
      <c r="AG30" s="11" t="b">
        <f ca="1">OR(CheckRelevance(SanitizeInput($D30),Questionnaire!$J:$J),CheckRelevance(SanitizeInput($D30),Questionnaire!$K:$K))</f>
        <v>0</v>
      </c>
      <c r="AH30" s="11" t="str" cm="1">
        <f t="array" aca="1" ref="AH30" ca="1">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FilterPreconditionCandidates(RemoveFirstElement(_xlpm._preconditionCandidates),_xlpm._searchColumn,_xlpm._delimiter))))(SanitizeInput($D30),Questionnaire!$AB:$AB,",")</f>
        <v/>
      </c>
      <c r="AI30" s="11" t="str" cm="1">
        <f t="array" aca="1" ref="AI30" ca="1">IF($D30="*","",InverseLookupList($AH30,Questionnaire!$AB$3,Questionnaire!$B$3,Helper!$B$12,","))</f>
        <v/>
      </c>
      <c r="AJ30" s="11" t="str" cm="1">
        <f t="array" aca="1" ref="AJ30" ca="1">RemoveDelimiter(GetValues($AI30,Questionnaire!$B:$H," ",CHAR(10)&amp;CHAR(10),TRUE),CHAR(10)&amp;CHAR(10))</f>
        <v/>
      </c>
      <c r="AK30" s="11" t="str" cm="1">
        <f t="array" aca="1" ref="AK30" ca="1">CreateSearchString($AI30)</f>
        <v/>
      </c>
      <c r="AL30" s="11" t="str" cm="1">
        <f t="array" aca="1" ref="AL30" ca="1">InverseLookup($A30,Mitigation!$AD$2,Mitigation!$A$2,1,Helper!$B$5,",")</f>
        <v/>
      </c>
      <c r="AM30" s="11" t="str" cm="1">
        <f t="array" aca="1" ref="AM30" ca="1">CreateSearchString(GetValues($AL30,'Attack Steps'!$A:$P,"",",",FALSE))</f>
        <v/>
      </c>
      <c r="AN30" s="11" t="str">
        <f t="shared" si="0"/>
        <v>C26</v>
      </c>
      <c r="AO30" s="11" t="str" cm="1">
        <f t="array" aca="1" ref="AO30" ca="1">_xlfn.SWITCH($D30,
"*","",
"","",
_xlfn.LET(
_xlpm._answers,SUBSTITUTE(SanitizeInput($D30),"&amp;",","),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IF(_xlpm._questionIDUndefined,$A30&amp;" - "&amp;_xlpm._question&amp;": ERROR: Unknown question ID.",
        IF(_xlpm._firstAnswerIsValidOption,"",$A30&amp;" - "&amp;_xlpm._question&amp;": First answer ("&amp;_xlpm._firstAnswer&amp;") is not a valid option.")&amp;
        IF(_xlpm._secondAnswerRequired,IF(_xlpm._secondAnswerProvided,"",$A30&amp;" - "&amp;_xlpm._question&amp;": Second answer required but not provided."),"")&amp;
        IF(NOT(_xlpm._secondAnswerRequired),IF(_xlpm._secondAnswerProvided,$A30&amp;" - "&amp;_xlpm._question&amp;": Second answer ("&amp;_xlpm._secondAnswer&amp;") provided but the question only supports one answer.",""),"")&amp;
        IF(_xlpm._secondAnswerIsValidOption,"",$A30&amp;" - "&amp;_xlpm._question&amp;": Second answer ("&amp;_xlpm._secondAnswer&amp;") is not a valid option.")))),
  _xlfn.LAMBDA(_xlpm._x,_xlpm._y,_xlpm._x&amp;IF(_xlpm._x="","",CHAR(10))&amp;_xlpm._y))))</f>
        <v/>
      </c>
      <c r="AP30" s="11" cm="1">
        <f t="array" aca="1" ref="AP30" ca="1">CreateID($AP$2,$AO30&lt;&gt;"")</f>
        <v>0</v>
      </c>
    </row>
    <row r="31" spans="1:42" ht="285" x14ac:dyDescent="0.25">
      <c r="A31" s="9" t="s">
        <v>579</v>
      </c>
      <c r="B31" s="10" t="s">
        <v>607</v>
      </c>
      <c r="C31" s="10" t="s">
        <v>1727</v>
      </c>
      <c r="D31" s="10" t="s">
        <v>1191</v>
      </c>
      <c r="E31" s="25" t="str" cm="1">
        <f t="array" aca="1" ref="E31" ca="1">OperateOnList(
  SanitizeInput($D31),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QA11b Are software updates in the field (regularly or event-based) planned? [Yes]</v>
      </c>
      <c r="F31" s="10" t="s">
        <v>1179</v>
      </c>
      <c r="G31" s="13" t="str" cm="1">
        <f t="array" aca="1" ref="G31" ca="1">LookupNames($F31,'Attack Steps'!$A:$B)</f>
        <v>AS40 Abusing the lack of a software update functionality to exploit an unpatched vulnerability</v>
      </c>
      <c r="H31" s="10"/>
      <c r="I31" s="13" t="str" cm="1">
        <f t="array" ref="I31">RemoveDelimiter(GetValuesWithFallback(SanitizeInput($H31),$A:$B,Assumptions!$A:$B," ",","&amp;CHAR(10),TRUE),","&amp;CHAR(10))</f>
        <v/>
      </c>
      <c r="J31" s="10"/>
      <c r="K31" s="25" t="str" cm="1">
        <f t="array" ref="K31">IF($J31="","",SUBSTITUTE(SUBSTITUTE(SUBSTITUTE(SUBSTITUTE(SUBSTITUTE(SUBSTITUTE(SUBSTITUTE(SUBSTITUTE(SUBSTITUTE(
GetTransformation(SanitizeInput($J31),'Damage Scenarios'!$A:$J,COLUMNS('Damage Scenarios'!$A:$J),CHAR(10),"[#0][#1][#2]")&amp;"§",
"[#1][#2]",""),
"[#2]",""),
"[#0][#1]","[#1]"),
"[#0]","Removes:"&amp;CHAR(10)),
"[#1]","Transforms:"&amp;CHAR(10)),
CHAR(10)&amp;"§",""),
"§",""),
CHAR(10),CHAR(10)&amp;"   "),
"   "&amp;"Transforms:","Transforms:"))</f>
        <v/>
      </c>
      <c r="L31" s="10"/>
      <c r="M31" s="10"/>
      <c r="N31" s="10"/>
      <c r="O31" s="10" t="s">
        <v>122</v>
      </c>
      <c r="P31" s="10"/>
      <c r="Q31" s="13" t="str">
        <f ca="1">IF($A31="","",IFERROR(VLOOKUP($Z31,Definitions!$V:$W,COLUMNS(Definitions!$V:$W),TRUE),""))</f>
        <v>Beyond High</v>
      </c>
      <c r="R31" s="10" t="s">
        <v>451</v>
      </c>
      <c r="S31" s="10"/>
      <c r="T31" s="10" t="s">
        <v>1314</v>
      </c>
      <c r="U31" s="9" cm="1">
        <f t="array" aca="1" ref="U31" ca="1">CreateID($U$2,$A31&lt;&gt;"")</f>
        <v>29</v>
      </c>
      <c r="V31" s="11" t="b" cm="1">
        <f t="array" aca="1" ref="V31" ca="1">CheckRelevance(SanitizeInput(F31),Questionnaire!$J:$J)</f>
        <v>0</v>
      </c>
      <c r="W31" s="11" t="b">
        <f>IFERROR(_xlfn.XMATCH("*,"&amp;$A31&amp;",*",Mitigation!$X:$X,2)&gt;0,FALSE)</f>
        <v>0</v>
      </c>
      <c r="X31" s="11" cm="1">
        <f t="array" ref="X31">CreateTaskID($X$2,$X:$X,Tasks!$B$17,$T31)</f>
        <v>0</v>
      </c>
      <c r="Y31" s="11" t="str" cm="1">
        <f t="array" ref="Y31">CreateSearchString($F31)</f>
        <v>,AS40,</v>
      </c>
      <c r="Z31" s="11" cm="1">
        <f t="array" aca="1" ref="Z31" ca="1">OperateOnRange(
  $L31,
  TRUE,
  Helper!$B$16,
  0,
  _xlfn.LAMBDA(_xlpm._factor,IF(_xlpm._factor="",0,SimpleLookup(_xlpm._factor,Definitions!$Z:$AA))),
  _xlfn.LAMBDA(_xlpm._x,_xlpm._y,_xlpm._x+_xlpm._y))</f>
        <v>25</v>
      </c>
      <c r="AA31" s="11" t="str" cm="1">
        <f t="array" ref="AA31">CreateSearchString($H31)</f>
        <v/>
      </c>
      <c r="AB31" s="11" t="b" cm="1">
        <f t="array" aca="1" ref="AB31" ca="1">IF($A31="",FALSE,
OR($AG31,_xlfn.LAMBDA(_xlpm._ownID,_xlpm._searchHeader,_xlpm._resultHeader,_xlpm._elementCount,_xlpm._delimiter,_xlpm._activeInTreatmentRange,_xlpm._activeByAnswersRange,_xlpm._dependencies,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InverseLookup(_xlpm._ownID,_xlpm._searchHeader,_xlpm._resultHeader,1,_xlpm._elementCount,_xlpm._delimiter))))))($A31,$AA$2,$A$2,Helper!$B$4,",",$A:$W,$A:$AG,InverseLookup($A31,$AA$2,$A$2,1,Helper!$B$4,","))))</f>
        <v>0</v>
      </c>
      <c r="AC31" s="11" t="str" cm="1">
        <f t="array" aca="1" ref="AC31" ca="1">IF(OR($W31,$AB31,$AG31),CreateSearchString($H31),"")</f>
        <v/>
      </c>
      <c r="AD31" s="11" t="str" cm="1">
        <f t="array" ref="AD31">SUBSTITUTE(IF($W31,CreateSearchString($J31),""),"&gt;",",")</f>
        <v/>
      </c>
      <c r="AE31" s="11" cm="1">
        <f t="array" aca="1" ref="AE31" ca="1">CreateID($AE$2,$AB31)</f>
        <v>5</v>
      </c>
      <c r="AF31" s="11" t="str" cm="1">
        <f t="array" aca="1" ref="AF31" ca="1">IF($AB31,CreateSearchString($R31),"")</f>
        <v/>
      </c>
      <c r="AG31" s="11" t="b">
        <f ca="1">OR(CheckRelevance(SanitizeInput($D31),Questionnaire!$J:$J),CheckRelevance(SanitizeInput($D31),Questionnaire!$K:$K))</f>
        <v>0</v>
      </c>
      <c r="AH31" s="11" t="str" cm="1">
        <f t="array" aca="1" ref="AH31" ca="1">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FilterPreconditionCandidates(RemoveFirstElement(_xlpm._preconditionCandidates),_xlpm._searchColumn,_xlpm._delimiter))))(SanitizeInput($D31),Questionnaire!$AB:$AB,",")</f>
        <v/>
      </c>
      <c r="AI31" s="11" t="str" cm="1">
        <f t="array" aca="1" ref="AI31" ca="1">IF($D31="*","",InverseLookupList($AH31,Questionnaire!$AB$3,Questionnaire!$B$3,Helper!$B$12,","))</f>
        <v/>
      </c>
      <c r="AJ31" s="11" t="str" cm="1">
        <f t="array" aca="1" ref="AJ31" ca="1">RemoveDelimiter(GetValues($AI31,Questionnaire!$B:$H," ",CHAR(10)&amp;CHAR(10),TRUE),CHAR(10)&amp;CHAR(10))</f>
        <v/>
      </c>
      <c r="AK31" s="11" t="str" cm="1">
        <f t="array" aca="1" ref="AK31" ca="1">CreateSearchString($AI31)</f>
        <v/>
      </c>
      <c r="AL31" s="11" t="str" cm="1">
        <f t="array" aca="1" ref="AL31" ca="1">InverseLookup($A31,Mitigation!$AD$2,Mitigation!$A$2,1,Helper!$B$5,",")</f>
        <v/>
      </c>
      <c r="AM31" s="11" t="str" cm="1">
        <f t="array" aca="1" ref="AM31" ca="1">CreateSearchString(GetValues($AL31,'Attack Steps'!$A:$P,"",",",FALSE))</f>
        <v/>
      </c>
      <c r="AN31" s="11" t="str">
        <f t="shared" si="0"/>
        <v>C27</v>
      </c>
      <c r="AO31" s="11" t="str" cm="1">
        <f t="array" aca="1" ref="AO31" ca="1">_xlfn.SWITCH($D31,
"*","",
"","",
_xlfn.LET(
_xlpm._answers,SUBSTITUTE(SanitizeInput($D31),"&amp;",","),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IF(_xlpm._questionIDUndefined,$A31&amp;" - "&amp;_xlpm._question&amp;": ERROR: Unknown question ID.",
        IF(_xlpm._firstAnswerIsValidOption,"",$A31&amp;" - "&amp;_xlpm._question&amp;": First answer ("&amp;_xlpm._firstAnswer&amp;") is not a valid option.")&amp;
        IF(_xlpm._secondAnswerRequired,IF(_xlpm._secondAnswerProvided,"",$A31&amp;" - "&amp;_xlpm._question&amp;": Second answer required but not provided."),"")&amp;
        IF(NOT(_xlpm._secondAnswerRequired),IF(_xlpm._secondAnswerProvided,$A31&amp;" - "&amp;_xlpm._question&amp;": Second answer ("&amp;_xlpm._secondAnswer&amp;") provided but the question only supports one answer.",""),"")&amp;
        IF(_xlpm._secondAnswerIsValidOption,"",$A31&amp;" - "&amp;_xlpm._question&amp;": Second answer ("&amp;_xlpm._secondAnswer&amp;") is not a valid option.")))),
  _xlfn.LAMBDA(_xlpm._x,_xlpm._y,_xlpm._x&amp;IF(_xlpm._x="","",CHAR(10))&amp;_xlpm._y))))</f>
        <v/>
      </c>
      <c r="AP31" s="11" cm="1">
        <f t="array" aca="1" ref="AP31" ca="1">CreateID($AP$2,$AO31&lt;&gt;"")</f>
        <v>0</v>
      </c>
    </row>
    <row r="32" spans="1:42" x14ac:dyDescent="0.25">
      <c r="A32" s="9" t="s">
        <v>580</v>
      </c>
      <c r="B32" s="10" t="s">
        <v>1405</v>
      </c>
      <c r="C32" s="10" t="s">
        <v>1727</v>
      </c>
      <c r="D32" s="10"/>
      <c r="E32" s="25" t="str" cm="1">
        <f t="array" ref="E32">OperateOnList(
  SanitizeInput($D32),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32" s="10"/>
      <c r="G32" s="13" t="str" cm="1">
        <f t="array" ref="G32">LookupNames($F32,'Attack Steps'!$A:$B)</f>
        <v/>
      </c>
      <c r="H32" s="10"/>
      <c r="I32" s="13" t="str" cm="1">
        <f t="array" ref="I32">RemoveDelimiter(GetValuesWithFallback(SanitizeInput($H32),$A:$B,Assumptions!$A:$B," ",","&amp;CHAR(10),TRUE),","&amp;CHAR(10))</f>
        <v/>
      </c>
      <c r="J32" s="10"/>
      <c r="K32" s="25" t="str" cm="1">
        <f t="array" ref="K32">IF($J32="","",SUBSTITUTE(SUBSTITUTE(SUBSTITUTE(SUBSTITUTE(SUBSTITUTE(SUBSTITUTE(SUBSTITUTE(SUBSTITUTE(SUBSTITUTE(
GetTransformation(SanitizeInput($J32),'Damage Scenarios'!$A:$J,COLUMNS('Damage Scenarios'!$A:$J),CHAR(10),"[#0][#1][#2]")&amp;"§",
"[#1][#2]",""),
"[#2]",""),
"[#0][#1]","[#1]"),
"[#0]","Removes:"&amp;CHAR(10)),
"[#1]","Transforms:"&amp;CHAR(10)),
CHAR(10)&amp;"§",""),
"§",""),
CHAR(10),CHAR(10)&amp;"   "),
"   "&amp;"Transforms:","Transforms:"))</f>
        <v/>
      </c>
      <c r="L32" s="10"/>
      <c r="M32" s="10"/>
      <c r="N32" s="10"/>
      <c r="O32" s="10"/>
      <c r="P32" s="10"/>
      <c r="Q32" s="13" t="str">
        <f ca="1">IF($A32="","",IFERROR(VLOOKUP($Z32,Definitions!$V:$W,COLUMNS(Definitions!$V:$W),TRUE),""))</f>
        <v>Basic</v>
      </c>
      <c r="R32" s="10" t="s">
        <v>453</v>
      </c>
      <c r="S32" s="10"/>
      <c r="T32" s="10"/>
      <c r="U32" s="9" cm="1">
        <f t="array" aca="1" ref="U32" ca="1">CreateID($U$2,$A32&lt;&gt;"")</f>
        <v>30</v>
      </c>
      <c r="V32" s="11" t="b" cm="1">
        <f t="array" ref="V32">CheckRelevance(SanitizeInput(F32),Questionnaire!$J:$J)</f>
        <v>0</v>
      </c>
      <c r="W32" s="11" t="b">
        <f>IFERROR(_xlfn.XMATCH("*,"&amp;$A32&amp;",*",Mitigation!$X:$X,2)&gt;0,FALSE)</f>
        <v>0</v>
      </c>
      <c r="X32" s="11" cm="1">
        <f t="array" ref="X32">CreateTaskID($X$2,$X:$X,Tasks!$B$17,$T32)</f>
        <v>0</v>
      </c>
      <c r="Y32" s="11" t="str" cm="1">
        <f t="array" ref="Y32">CreateSearchString($F32)</f>
        <v/>
      </c>
      <c r="Z32" s="11" cm="1">
        <f t="array" aca="1" ref="Z32" ca="1">OperateOnRange(
  $L32,
  TRUE,
  Helper!$B$16,
  0,
  _xlfn.LAMBDA(_xlpm._factor,IF(_xlpm._factor="",0,SimpleLookup(_xlpm._factor,Definitions!$Z:$AA))),
  _xlfn.LAMBDA(_xlpm._x,_xlpm._y,_xlpm._x+_xlpm._y))</f>
        <v>0</v>
      </c>
      <c r="AA32" s="11" t="str" cm="1">
        <f t="array" ref="AA32">CreateSearchString($H32)</f>
        <v/>
      </c>
      <c r="AB32" s="11" t="b" cm="1">
        <f t="array" aca="1" ref="AB32" ca="1">IF($A32="",FALSE,
OR($AG32,_xlfn.LAMBDA(_xlpm._ownID,_xlpm._searchHeader,_xlpm._resultHeader,_xlpm._elementCount,_xlpm._delimiter,_xlpm._activeInTreatmentRange,_xlpm._activeByAnswersRange,_xlpm._dependencies,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InverseLookup(_xlpm._ownID,_xlpm._searchHeader,_xlpm._resultHeader,1,_xlpm._elementCount,_xlpm._delimiter))))))($A32,$AA$2,$A$2,Helper!$B$4,",",$A:$W,$A:$AG,InverseLookup($A32,$AA$2,$A$2,1,Helper!$B$4,","))))</f>
        <v>0</v>
      </c>
      <c r="AC32" s="11" t="str" cm="1">
        <f t="array" aca="1" ref="AC32" ca="1">IF(OR($W32,$AB32,$AG32),CreateSearchString($H32),"")</f>
        <v/>
      </c>
      <c r="AD32" s="11" t="str" cm="1">
        <f t="array" ref="AD32">SUBSTITUTE(IF($W32,CreateSearchString($J32),""),"&gt;",",")</f>
        <v/>
      </c>
      <c r="AE32" s="11" cm="1">
        <f t="array" aca="1" ref="AE32" ca="1">CreateID($AE$2,$AB32)</f>
        <v>5</v>
      </c>
      <c r="AF32" s="11" t="str" cm="1">
        <f t="array" aca="1" ref="AF32" ca="1">IF($AB32,CreateSearchString($R32),"")</f>
        <v/>
      </c>
      <c r="AG32" s="11" t="b">
        <f>OR(CheckRelevance(SanitizeInput($D32),Questionnaire!$J:$J),CheckRelevance(SanitizeInput($D32),Questionnaire!$K:$K))</f>
        <v>0</v>
      </c>
      <c r="AH32" s="11" t="str" cm="1">
        <f t="array" ref="AH32">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FilterPreconditionCandidates(RemoveFirstElement(_xlpm._preconditionCandidates),_xlpm._searchColumn,_xlpm._delimiter))))(SanitizeInput($D32),Questionnaire!$AB:$AB,",")</f>
        <v/>
      </c>
      <c r="AI32" s="11" t="str" cm="1">
        <f t="array" ref="AI32">IF($D32="*","",InverseLookupList($AH32,Questionnaire!$AB$3,Questionnaire!$B$3,Helper!$B$12,","))</f>
        <v/>
      </c>
      <c r="AJ32" s="11" t="str" cm="1">
        <f t="array" ref="AJ32">RemoveDelimiter(GetValues($AI32,Questionnaire!$B:$H," ",CHAR(10)&amp;CHAR(10),TRUE),CHAR(10)&amp;CHAR(10))</f>
        <v/>
      </c>
      <c r="AK32" s="11" t="str" cm="1">
        <f t="array" ref="AK32">CreateSearchString($AI32)</f>
        <v/>
      </c>
      <c r="AL32" s="11" t="str" cm="1">
        <f t="array" aca="1" ref="AL32" ca="1">InverseLookup($A32,Mitigation!$AD$2,Mitigation!$A$2,1,Helper!$B$5,",")</f>
        <v/>
      </c>
      <c r="AM32" s="11" t="str" cm="1">
        <f t="array" aca="1" ref="AM32" ca="1">CreateSearchString(GetValues($AL32,'Attack Steps'!$A:$P,"",",",FALSE))</f>
        <v/>
      </c>
      <c r="AN32" s="11" t="str">
        <f t="shared" si="0"/>
        <v>C28</v>
      </c>
      <c r="AO32" s="11" t="str" cm="1">
        <f t="array" ref="AO32">_xlfn.SWITCH($D32,
"*","",
"","",
_xlfn.LET(
_xlpm._answers,SUBSTITUTE(SanitizeInput($D32),"&amp;",","),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IF(_xlpm._questionIDUndefined,$A32&amp;" - "&amp;_xlpm._question&amp;": ERROR: Unknown question ID.",
        IF(_xlpm._firstAnswerIsValidOption,"",$A32&amp;" - "&amp;_xlpm._question&amp;": First answer ("&amp;_xlpm._firstAnswer&amp;") is not a valid option.")&amp;
        IF(_xlpm._secondAnswerRequired,IF(_xlpm._secondAnswerProvided,"",$A32&amp;" - "&amp;_xlpm._question&amp;": Second answer required but not provided."),"")&amp;
        IF(NOT(_xlpm._secondAnswerRequired),IF(_xlpm._secondAnswerProvided,$A32&amp;" - "&amp;_xlpm._question&amp;": Second answer ("&amp;_xlpm._secondAnswer&amp;") provided but the question only supports one answer.",""),"")&amp;
        IF(_xlpm._secondAnswerIsValidOption,"",$A32&amp;" - "&amp;_xlpm._question&amp;": Second answer ("&amp;_xlpm._secondAnswer&amp;") is not a valid option.")))),
  _xlfn.LAMBDA(_xlpm._x,_xlpm._y,_xlpm._x&amp;IF(_xlpm._x="","",CHAR(10))&amp;_xlpm._y))))</f>
        <v/>
      </c>
      <c r="AP32" s="11" cm="1">
        <f t="array" aca="1" ref="AP32" ca="1">CreateID($AP$2,$AO32&lt;&gt;"")</f>
        <v>0</v>
      </c>
    </row>
    <row r="33" spans="1:42" ht="120" x14ac:dyDescent="0.25">
      <c r="A33" s="9" t="s">
        <v>581</v>
      </c>
      <c r="B33" s="10" t="s">
        <v>1406</v>
      </c>
      <c r="C33" s="10" t="s">
        <v>1727</v>
      </c>
      <c r="D33" s="10"/>
      <c r="E33" s="25" t="str" cm="1">
        <f t="array" ref="E33">OperateOnList(
  SanitizeInput($D33),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33" s="10" t="s">
        <v>82</v>
      </c>
      <c r="G33" s="13" t="str" cm="1">
        <f t="array" aca="1" ref="G33" ca="1">LookupNames($F33,'Attack Steps'!$A:$B)</f>
        <v>AS5 Eavesdropping on the product's communication</v>
      </c>
      <c r="H33" s="10" t="s">
        <v>329</v>
      </c>
      <c r="I33" s="13" t="str" cm="1">
        <f t="array" aca="1" ref="I33" ca="1">RemoveDelimiter(GetValuesWithFallback(SanitizeInput($H33),$A:$B,Assumptions!$A:$B," ",","&amp;CHAR(10),TRUE),","&amp;CHAR(10))</f>
        <v>C18 CR 4.3 – Use of cryptography</v>
      </c>
      <c r="J33" s="10"/>
      <c r="K33" s="25" t="str" cm="1">
        <f t="array" ref="K33">IF($J33="","",SUBSTITUTE(SUBSTITUTE(SUBSTITUTE(SUBSTITUTE(SUBSTITUTE(SUBSTITUTE(SUBSTITUTE(SUBSTITUTE(SUBSTITUTE(
GetTransformation(SanitizeInput($J33),'Damage Scenarios'!$A:$J,COLUMNS('Damage Scenarios'!$A:$J),CHAR(10),"[#0][#1][#2]")&amp;"§",
"[#1][#2]",""),
"[#2]",""),
"[#0][#1]","[#1]"),
"[#0]","Removes:"&amp;CHAR(10)),
"[#1]","Transforms:"&amp;CHAR(10)),
CHAR(10)&amp;"§",""),
"§",""),
CHAR(10),CHAR(10)&amp;"   "),
"   "&amp;"Transforms:","Transforms:"))</f>
        <v/>
      </c>
      <c r="L33" s="10" t="s">
        <v>108</v>
      </c>
      <c r="M33" s="10"/>
      <c r="N33" s="10"/>
      <c r="O33" s="10"/>
      <c r="P33" s="10"/>
      <c r="Q33" s="13" t="str">
        <f ca="1">IF($A33="","",IFERROR(VLOOKUP($Z33,Definitions!$V:$W,COLUMNS(Definitions!$V:$W),TRUE),""))</f>
        <v>Beyond High</v>
      </c>
      <c r="R33" s="10" t="s">
        <v>454</v>
      </c>
      <c r="S33" s="10"/>
      <c r="T33" s="10" t="s">
        <v>1467</v>
      </c>
      <c r="U33" s="9" cm="1">
        <f t="array" aca="1" ref="U33" ca="1">CreateID($U$2,$A33&lt;&gt;"")</f>
        <v>31</v>
      </c>
      <c r="V33" s="11" t="b" cm="1">
        <f t="array" aca="1" ref="V33" ca="1">CheckRelevance(SanitizeInput(F33),Questionnaire!$J:$J)</f>
        <v>0</v>
      </c>
      <c r="W33" s="11" t="b">
        <f>IFERROR(_xlfn.XMATCH("*,"&amp;$A33&amp;",*",Mitigation!$X:$X,2)&gt;0,FALSE)</f>
        <v>0</v>
      </c>
      <c r="X33" s="11" cm="1">
        <f t="array" ref="X33">CreateTaskID($X$2,$X:$X,Tasks!$B$17,$T33)</f>
        <v>0</v>
      </c>
      <c r="Y33" s="11" t="str" cm="1">
        <f t="array" ref="Y33">CreateSearchString($F33)</f>
        <v>,AS5,</v>
      </c>
      <c r="Z33" s="11" cm="1">
        <f t="array" aca="1" ref="Z33" ca="1">OperateOnRange(
  $L33,
  TRUE,
  Helper!$B$16,
  0,
  _xlfn.LAMBDA(_xlpm._factor,IF(_xlpm._factor="",0,SimpleLookup(_xlpm._factor,Definitions!$Z:$AA))),
  _xlfn.LAMBDA(_xlpm._x,_xlpm._y,_xlpm._x+_xlpm._y))</f>
        <v>25</v>
      </c>
      <c r="AA33" s="11" t="str" cm="1">
        <f t="array" ref="AA33">CreateSearchString($H33)</f>
        <v>,C18,</v>
      </c>
      <c r="AB33" s="11" t="b" cm="1">
        <f t="array" aca="1" ref="AB33" ca="1">IF($A33="",FALSE,
OR($AG33,_xlfn.LAMBDA(_xlpm._ownID,_xlpm._searchHeader,_xlpm._resultHeader,_xlpm._elementCount,_xlpm._delimiter,_xlpm._activeInTreatmentRange,_xlpm._activeByAnswersRange,_xlpm._dependencies,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InverseLookup(_xlpm._ownID,_xlpm._searchHeader,_xlpm._resultHeader,1,_xlpm._elementCount,_xlpm._delimiter))))))($A33,$AA$2,$A$2,Helper!$B$4,",",$A:$W,$A:$AG,InverseLookup($A33,$AA$2,$A$2,1,Helper!$B$4,","))))</f>
        <v>0</v>
      </c>
      <c r="AC33" s="11" t="str" cm="1">
        <f t="array" aca="1" ref="AC33" ca="1">IF(OR($W33,$AB33,$AG33),CreateSearchString($H33),"")</f>
        <v/>
      </c>
      <c r="AD33" s="11" t="str" cm="1">
        <f t="array" ref="AD33">SUBSTITUTE(IF($W33,CreateSearchString($J33),""),"&gt;",",")</f>
        <v/>
      </c>
      <c r="AE33" s="11" cm="1">
        <f t="array" aca="1" ref="AE33" ca="1">CreateID($AE$2,$AB33)</f>
        <v>5</v>
      </c>
      <c r="AF33" s="11" t="str" cm="1">
        <f t="array" aca="1" ref="AF33" ca="1">IF($AB33,CreateSearchString($R33),"")</f>
        <v/>
      </c>
      <c r="AG33" s="11" t="b">
        <f>OR(CheckRelevance(SanitizeInput($D33),Questionnaire!$J:$J),CheckRelevance(SanitizeInput($D33),Questionnaire!$K:$K))</f>
        <v>0</v>
      </c>
      <c r="AH33" s="11" t="str" cm="1">
        <f t="array" ref="AH33">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FilterPreconditionCandidates(RemoveFirstElement(_xlpm._preconditionCandidates),_xlpm._searchColumn,_xlpm._delimiter))))(SanitizeInput($D33),Questionnaire!$AB:$AB,",")</f>
        <v/>
      </c>
      <c r="AI33" s="11" t="str" cm="1">
        <f t="array" ref="AI33">IF($D33="*","",InverseLookupList($AH33,Questionnaire!$AB$3,Questionnaire!$B$3,Helper!$B$12,","))</f>
        <v/>
      </c>
      <c r="AJ33" s="11" t="str" cm="1">
        <f t="array" ref="AJ33">RemoveDelimiter(GetValues($AI33,Questionnaire!$B:$H," ",CHAR(10)&amp;CHAR(10),TRUE),CHAR(10)&amp;CHAR(10))</f>
        <v/>
      </c>
      <c r="AK33" s="11" t="str" cm="1">
        <f t="array" ref="AK33">CreateSearchString($AI33)</f>
        <v/>
      </c>
      <c r="AL33" s="11" t="str" cm="1">
        <f t="array" aca="1" ref="AL33" ca="1">InverseLookup($A33,Mitigation!$AD$2,Mitigation!$A$2,1,Helper!$B$5,",")</f>
        <v/>
      </c>
      <c r="AM33" s="11" t="str" cm="1">
        <f t="array" aca="1" ref="AM33" ca="1">CreateSearchString(GetValues($AL33,'Attack Steps'!$A:$P,"",",",FALSE))</f>
        <v/>
      </c>
      <c r="AN33" s="11" t="str">
        <f t="shared" si="0"/>
        <v>C29</v>
      </c>
      <c r="AO33" s="11" t="str" cm="1">
        <f t="array" ref="AO33">_xlfn.SWITCH($D33,
"*","",
"","",
_xlfn.LET(
_xlpm._answers,SUBSTITUTE(SanitizeInput($D33),"&amp;",","),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IF(_xlpm._questionIDUndefined,$A33&amp;" - "&amp;_xlpm._question&amp;": ERROR: Unknown question ID.",
        IF(_xlpm._firstAnswerIsValidOption,"",$A33&amp;" - "&amp;_xlpm._question&amp;": First answer ("&amp;_xlpm._firstAnswer&amp;") is not a valid option.")&amp;
        IF(_xlpm._secondAnswerRequired,IF(_xlpm._secondAnswerProvided,"",$A33&amp;" - "&amp;_xlpm._question&amp;": Second answer required but not provided."),"")&amp;
        IF(NOT(_xlpm._secondAnswerRequired),IF(_xlpm._secondAnswerProvided,$A33&amp;" - "&amp;_xlpm._question&amp;": Second answer ("&amp;_xlpm._secondAnswer&amp;") provided but the question only supports one answer.",""),"")&amp;
        IF(_xlpm._secondAnswerIsValidOption,"",$A33&amp;" - "&amp;_xlpm._question&amp;": Second answer ("&amp;_xlpm._secondAnswer&amp;") is not a valid option.")))),
  _xlfn.LAMBDA(_xlpm._x,_xlpm._y,_xlpm._x&amp;IF(_xlpm._x="","",CHAR(10))&amp;_xlpm._y))))</f>
        <v/>
      </c>
      <c r="AP33" s="11" cm="1">
        <f t="array" aca="1" ref="AP33" ca="1">CreateID($AP$2,$AO33&lt;&gt;"")</f>
        <v>0</v>
      </c>
    </row>
    <row r="34" spans="1:42" ht="30" x14ac:dyDescent="0.25">
      <c r="A34" s="9" t="s">
        <v>1445</v>
      </c>
      <c r="B34" s="10" t="s">
        <v>1446</v>
      </c>
      <c r="C34" s="10" t="s">
        <v>1727</v>
      </c>
      <c r="D34" s="10"/>
      <c r="E34" s="25" t="str" cm="1">
        <f t="array" ref="E34">OperateOnList(
  SanitizeInput($D34),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34" s="10"/>
      <c r="G34" s="13" t="str" cm="1">
        <f t="array" ref="G34">LookupNames($F34,'Attack Steps'!$A:$B)</f>
        <v/>
      </c>
      <c r="H34" s="10"/>
      <c r="I34" s="13" t="str" cm="1">
        <f t="array" ref="I34">RemoveDelimiter(GetValuesWithFallback(SanitizeInput($H34),$A:$B,Assumptions!$A:$B," ",","&amp;CHAR(10),TRUE),","&amp;CHAR(10))</f>
        <v/>
      </c>
      <c r="J34" s="10"/>
      <c r="K34" s="25" t="str" cm="1">
        <f t="array" ref="K34">IF($J34="","",SUBSTITUTE(SUBSTITUTE(SUBSTITUTE(SUBSTITUTE(SUBSTITUTE(SUBSTITUTE(SUBSTITUTE(SUBSTITUTE(SUBSTITUTE(
GetTransformation(SanitizeInput($J34),'Damage Scenarios'!$A:$J,COLUMNS('Damage Scenarios'!$A:$J),CHAR(10),"[#0][#1][#2]")&amp;"§",
"[#1][#2]",""),
"[#2]",""),
"[#0][#1]","[#1]"),
"[#0]","Removes:"&amp;CHAR(10)),
"[#1]","Transforms:"&amp;CHAR(10)),
CHAR(10)&amp;"§",""),
"§",""),
CHAR(10),CHAR(10)&amp;"   "),
"   "&amp;"Transforms:","Transforms:"))</f>
        <v/>
      </c>
      <c r="L34" s="10"/>
      <c r="M34" s="10"/>
      <c r="N34" s="10"/>
      <c r="O34" s="10"/>
      <c r="P34" s="10"/>
      <c r="Q34" s="13" t="str">
        <f ca="1">IF($A34="","",IFERROR(VLOOKUP($Z34,Definitions!$V:$W,COLUMNS(Definitions!$V:$W),TRUE),""))</f>
        <v>Basic</v>
      </c>
      <c r="R34" s="10" t="s">
        <v>1429</v>
      </c>
      <c r="S34" s="10"/>
      <c r="T34" s="10" t="s">
        <v>1533</v>
      </c>
      <c r="U34" s="9" cm="1">
        <f t="array" aca="1" ref="U34" ca="1">CreateID($U$2,$A34&lt;&gt;"")</f>
        <v>32</v>
      </c>
      <c r="V34" s="11" t="b" cm="1">
        <f t="array" ref="V34">CheckRelevance(SanitizeInput(F34),Questionnaire!$J:$J)</f>
        <v>0</v>
      </c>
      <c r="W34" s="11" t="b">
        <f>IFERROR(_xlfn.XMATCH("*,"&amp;$A34&amp;",*",Mitigation!$X:$X,2)&gt;0,FALSE)</f>
        <v>0</v>
      </c>
      <c r="X34" s="11" cm="1">
        <f t="array" ref="X34">CreateTaskID($X$2,$X:$X,Tasks!$B$17,$T34)</f>
        <v>0</v>
      </c>
      <c r="Y34" s="11" t="str" cm="1">
        <f t="array" ref="Y34">CreateSearchString($F34)</f>
        <v/>
      </c>
      <c r="Z34" s="11" cm="1">
        <f t="array" aca="1" ref="Z34" ca="1">OperateOnRange(
  $L34,
  TRUE,
  Helper!$B$16,
  0,
  _xlfn.LAMBDA(_xlpm._factor,IF(_xlpm._factor="",0,SimpleLookup(_xlpm._factor,Definitions!$Z:$AA))),
  _xlfn.LAMBDA(_xlpm._x,_xlpm._y,_xlpm._x+_xlpm._y))</f>
        <v>0</v>
      </c>
      <c r="AA34" s="11" t="str" cm="1">
        <f t="array" ref="AA34">CreateSearchString($H34)</f>
        <v/>
      </c>
      <c r="AB34" s="11" t="b" cm="1">
        <f t="array" aca="1" ref="AB34" ca="1">IF($A34="",FALSE,
OR($AG34,_xlfn.LAMBDA(_xlpm._ownID,_xlpm._searchHeader,_xlpm._resultHeader,_xlpm._elementCount,_xlpm._delimiter,_xlpm._activeInTreatmentRange,_xlpm._activeByAnswersRange,_xlpm._dependencies,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InverseLookup(_xlpm._ownID,_xlpm._searchHeader,_xlpm._resultHeader,1,_xlpm._elementCount,_xlpm._delimiter))))))($A34,$AA$2,$A$2,Helper!$B$4,",",$A:$W,$A:$AG,InverseLookup($A34,$AA$2,$A$2,1,Helper!$B$4,","))))</f>
        <v>0</v>
      </c>
      <c r="AC34" s="11" t="str" cm="1">
        <f t="array" aca="1" ref="AC34" ca="1">IF(OR($W34,$AB34,$AG34),CreateSearchString($H34),"")</f>
        <v/>
      </c>
      <c r="AD34" s="11" t="str" cm="1">
        <f t="array" ref="AD34">SUBSTITUTE(IF($W34,CreateSearchString($J34),""),"&gt;",",")</f>
        <v/>
      </c>
      <c r="AE34" s="11" cm="1">
        <f t="array" aca="1" ref="AE34" ca="1">CreateID($AE$2,$AB34)</f>
        <v>5</v>
      </c>
      <c r="AF34" s="11" t="str" cm="1">
        <f t="array" aca="1" ref="AF34" ca="1">IF($AB34,CreateSearchString($R34),"")</f>
        <v/>
      </c>
      <c r="AG34" s="11" t="b">
        <f>OR(CheckRelevance(SanitizeInput($D34),Questionnaire!$J:$J),CheckRelevance(SanitizeInput($D34),Questionnaire!$K:$K))</f>
        <v>0</v>
      </c>
      <c r="AH34" s="11" t="str" cm="1">
        <f t="array" ref="AH34">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FilterPreconditionCandidates(RemoveFirstElement(_xlpm._preconditionCandidates),_xlpm._searchColumn,_xlpm._delimiter))))(SanitizeInput($D34),Questionnaire!$AB:$AB,",")</f>
        <v/>
      </c>
      <c r="AI34" s="11" t="str" cm="1">
        <f t="array" ref="AI34">IF($D34="*","",InverseLookupList($AH34,Questionnaire!$AB$3,Questionnaire!$B$3,Helper!$B$12,","))</f>
        <v/>
      </c>
      <c r="AJ34" s="11" t="str" cm="1">
        <f t="array" ref="AJ34">RemoveDelimiter(GetValues($AI34,Questionnaire!$B:$H," ",CHAR(10)&amp;CHAR(10),TRUE),CHAR(10)&amp;CHAR(10))</f>
        <v/>
      </c>
      <c r="AK34" s="11" t="str" cm="1">
        <f t="array" ref="AK34">CreateSearchString($AI34)</f>
        <v/>
      </c>
      <c r="AL34" s="11" t="str" cm="1">
        <f t="array" aca="1" ref="AL34" ca="1">InverseLookup($A34,Mitigation!$AD$2,Mitigation!$A$2,1,Helper!$B$5,",")</f>
        <v/>
      </c>
      <c r="AM34" s="11" t="str" cm="1">
        <f t="array" aca="1" ref="AM34" ca="1">CreateSearchString(GetValues($AL34,'Attack Steps'!$A:$P,"",",",FALSE))</f>
        <v/>
      </c>
      <c r="AN34" s="11" t="str">
        <f>IF($A34="","",$A34)</f>
        <v>C30a</v>
      </c>
      <c r="AO34" s="11" t="str" cm="1">
        <f t="array" ref="AO34">_xlfn.SWITCH($D34,
"*","",
"","",
_xlfn.LET(
_xlpm._answers,SUBSTITUTE(SanitizeInput($D34),"&amp;",","),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IF(_xlpm._questionIDUndefined,$A34&amp;" - "&amp;_xlpm._question&amp;": ERROR: Unknown question ID.",
        IF(_xlpm._firstAnswerIsValidOption,"",$A34&amp;" - "&amp;_xlpm._question&amp;": First answer ("&amp;_xlpm._firstAnswer&amp;") is not a valid option.")&amp;
        IF(_xlpm._secondAnswerRequired,IF(_xlpm._secondAnswerProvided,"",$A34&amp;" - "&amp;_xlpm._question&amp;": Second answer required but not provided."),"")&amp;
        IF(NOT(_xlpm._secondAnswerRequired),IF(_xlpm._secondAnswerProvided,$A34&amp;" - "&amp;_xlpm._question&amp;": Second answer ("&amp;_xlpm._secondAnswer&amp;") provided but the question only supports one answer.",""),"")&amp;
        IF(_xlpm._secondAnswerIsValidOption,"",$A34&amp;" - "&amp;_xlpm._question&amp;": Second answer ("&amp;_xlpm._secondAnswer&amp;") is not a valid option.")))),
  _xlfn.LAMBDA(_xlpm._x,_xlpm._y,_xlpm._x&amp;IF(_xlpm._x="","",CHAR(10))&amp;_xlpm._y))))</f>
        <v/>
      </c>
      <c r="AP34" s="11" cm="1">
        <f t="array" aca="1" ref="AP34" ca="1">CreateID($AP$2,$AO34&lt;&gt;"")</f>
        <v>0</v>
      </c>
    </row>
    <row r="35" spans="1:42" ht="108.75" x14ac:dyDescent="0.25">
      <c r="A35" s="9" t="s">
        <v>582</v>
      </c>
      <c r="B35" s="10" t="s">
        <v>1407</v>
      </c>
      <c r="C35" s="10" t="s">
        <v>1727</v>
      </c>
      <c r="D35" s="10"/>
      <c r="E35" s="25" t="str" cm="1">
        <f t="array" ref="E35">OperateOnList(
  SanitizeInput($D35),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35" s="10" t="s">
        <v>338</v>
      </c>
      <c r="G35" s="13" t="str" cm="1">
        <f t="array" aca="1" ref="G35" ca="1">LookupNames($F35,'Attack Steps'!$A:$B)</f>
        <v>AS13 Attacking the product or its communication from an untrusted local network,
AS23 Compromising the product with direct access to its persistent memory,
AS25 Accessing the product's debug interfaces remotely</v>
      </c>
      <c r="H35" s="10" t="s">
        <v>1445</v>
      </c>
      <c r="I35" s="13" t="str" cm="1">
        <f t="array" aca="1" ref="I35" ca="1">RemoveDelimiter(GetValuesWithFallback(SanitizeInput($H35),$A:$B,Assumptions!$A:$B," ",","&amp;CHAR(10),TRUE),","&amp;CHAR(10))</f>
        <v>C30a CR 7.3 – Control system backup</v>
      </c>
      <c r="J35" s="10" t="s">
        <v>350</v>
      </c>
      <c r="K35" s="25" t="str" cm="1">
        <f t="array" aca="1" ref="K35" ca="1">IF($J35="","",SUBSTITUTE(SUBSTITUTE(SUBSTITUTE(SUBSTITUTE(SUBSTITUTE(SUBSTITUTE(SUBSTITUTE(SUBSTITUTE(SUBSTITUTE(
GetTransformation(SanitizeInput($J35),'Damage Scenarios'!$A:$J,COLUMNS('Damage Scenarios'!$A:$J),CHAR(10),"[#0][#1][#2]")&amp;"§",
"[#1][#2]",""),
"[#2]",""),
"[#0][#1]","[#1]"),
"[#0]","Removes:"&amp;CHAR(10)),
"[#1]","Transforms:"&amp;CHAR(10)),
CHAR(10)&amp;"§",""),
"§",""),
CHAR(10),CHAR(10)&amp;"   "),
"   "&amp;"Transforms:","Transforms:"))</f>
        <v xml:space="preserve">Transforms:
   DS6 
   -----&gt; DS17 
   DS7 
   -----&gt; DS17 
   DS8 
   -----&gt; DS17 
   DS9 
   -----&gt; DS17 </v>
      </c>
      <c r="L35" s="10"/>
      <c r="M35" s="10"/>
      <c r="N35" s="10"/>
      <c r="O35" s="10"/>
      <c r="P35" s="10"/>
      <c r="Q35" s="13" t="str">
        <f ca="1">IF($A35="","",IFERROR(VLOOKUP($Z35,Definitions!$V:$W,COLUMNS(Definitions!$V:$W),TRUE),""))</f>
        <v>Basic</v>
      </c>
      <c r="R35" s="10" t="s">
        <v>1429</v>
      </c>
      <c r="S35" s="10"/>
      <c r="T35" s="10" t="s">
        <v>1408</v>
      </c>
      <c r="U35" s="9" cm="1">
        <f t="array" aca="1" ref="U35" ca="1">CreateID($U$2,$A35&lt;&gt;"")</f>
        <v>33</v>
      </c>
      <c r="V35" s="11" t="b" cm="1">
        <f t="array" aca="1" ref="V35" ca="1">CheckRelevance(SanitizeInput(F35),Questionnaire!$J:$J)</f>
        <v>0</v>
      </c>
      <c r="W35" s="11" t="b">
        <f>IFERROR(_xlfn.XMATCH("*,"&amp;$A35&amp;",*",Mitigation!$X:$X,2)&gt;0,FALSE)</f>
        <v>0</v>
      </c>
      <c r="X35" s="11" cm="1">
        <f t="array" ref="X35">CreateTaskID($X$2,$X:$X,Tasks!$B$17,$T35)</f>
        <v>0</v>
      </c>
      <c r="Y35" s="11" t="str" cm="1">
        <f t="array" ref="Y35">CreateSearchString($F35)</f>
        <v>,AS13,AS23,AS25,</v>
      </c>
      <c r="Z35" s="11" cm="1">
        <f t="array" aca="1" ref="Z35" ca="1">OperateOnRange(
  $L35,
  TRUE,
  Helper!$B$16,
  0,
  _xlfn.LAMBDA(_xlpm._factor,IF(_xlpm._factor="",0,SimpleLookup(_xlpm._factor,Definitions!$Z:$AA))),
  _xlfn.LAMBDA(_xlpm._x,_xlpm._y,_xlpm._x+_xlpm._y))</f>
        <v>0</v>
      </c>
      <c r="AA35" s="11" t="str" cm="1">
        <f t="array" ref="AA35">CreateSearchString($H35)</f>
        <v>,C30a,</v>
      </c>
      <c r="AB35" s="11" t="b" cm="1">
        <f t="array" aca="1" ref="AB35" ca="1">IF($A35="",FALSE,
OR($AG35,_xlfn.LAMBDA(_xlpm._ownID,_xlpm._searchHeader,_xlpm._resultHeader,_xlpm._elementCount,_xlpm._delimiter,_xlpm._activeInTreatmentRange,_xlpm._activeByAnswersRange,_xlpm._dependencies,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InverseLookup(_xlpm._ownID,_xlpm._searchHeader,_xlpm._resultHeader,1,_xlpm._elementCount,_xlpm._delimiter))))))($A35,$AA$2,$A$2,Helper!$B$4,",",$A:$W,$A:$AG,InverseLookup($A35,$AA$2,$A$2,1,Helper!$B$4,","))))</f>
        <v>0</v>
      </c>
      <c r="AC35" s="11" t="str" cm="1">
        <f t="array" aca="1" ref="AC35" ca="1">IF(OR($W35,$AB35,$AG35),CreateSearchString($H35),"")</f>
        <v/>
      </c>
      <c r="AD35" s="11" t="str" cm="1">
        <f t="array" ref="AD35">SUBSTITUTE(IF($W35,CreateSearchString($J35),""),"&gt;",",")</f>
        <v/>
      </c>
      <c r="AE35" s="11" cm="1">
        <f t="array" aca="1" ref="AE35" ca="1">CreateID($AE$2,$AB35)</f>
        <v>5</v>
      </c>
      <c r="AF35" s="11" t="str" cm="1">
        <f t="array" aca="1" ref="AF35" ca="1">IF($AB35,CreateSearchString($R35),"")</f>
        <v/>
      </c>
      <c r="AG35" s="11" t="b">
        <f>OR(CheckRelevance(SanitizeInput($D35),Questionnaire!$J:$J),CheckRelevance(SanitizeInput($D35),Questionnaire!$K:$K))</f>
        <v>0</v>
      </c>
      <c r="AH35" s="11" t="str" cm="1">
        <f t="array" ref="AH35">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FilterPreconditionCandidates(RemoveFirstElement(_xlpm._preconditionCandidates),_xlpm._searchColumn,_xlpm._delimiter))))(SanitizeInput($D35),Questionnaire!$AB:$AB,",")</f>
        <v/>
      </c>
      <c r="AI35" s="11" t="str" cm="1">
        <f t="array" ref="AI35">IF($D35="*","",InverseLookupList($AH35,Questionnaire!$AB$3,Questionnaire!$B$3,Helper!$B$12,","))</f>
        <v/>
      </c>
      <c r="AJ35" s="11" t="str" cm="1">
        <f t="array" ref="AJ35">RemoveDelimiter(GetValues($AI35,Questionnaire!$B:$H," ",CHAR(10)&amp;CHAR(10),TRUE),CHAR(10)&amp;CHAR(10))</f>
        <v/>
      </c>
      <c r="AK35" s="11" t="str" cm="1">
        <f t="array" ref="AK35">CreateSearchString($AI35)</f>
        <v/>
      </c>
      <c r="AL35" s="11" t="str" cm="1">
        <f t="array" aca="1" ref="AL35" ca="1">InverseLookup($A35,Mitigation!$AD$2,Mitigation!$A$2,1,Helper!$B$5,",")</f>
        <v/>
      </c>
      <c r="AM35" s="11" t="str" cm="1">
        <f t="array" aca="1" ref="AM35" ca="1">CreateSearchString(GetValues($AL35,'Attack Steps'!$A:$P,"",",",FALSE))</f>
        <v/>
      </c>
      <c r="AN35" s="11" t="str">
        <f t="shared" ref="AN35:AN61" si="1">IF($A35="","",$A35)</f>
        <v>C30</v>
      </c>
      <c r="AO35" s="11" t="str" cm="1">
        <f t="array" ref="AO35">_xlfn.SWITCH($D35,
"*","",
"","",
_xlfn.LET(
_xlpm._answers,SUBSTITUTE(SanitizeInput($D35),"&amp;",","),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IF(_xlpm._questionIDUndefined,$A35&amp;" - "&amp;_xlpm._question&amp;": ERROR: Unknown question ID.",
        IF(_xlpm._firstAnswerIsValidOption,"",$A35&amp;" - "&amp;_xlpm._question&amp;": First answer ("&amp;_xlpm._firstAnswer&amp;") is not a valid option.")&amp;
        IF(_xlpm._secondAnswerRequired,IF(_xlpm._secondAnswerProvided,"",$A35&amp;" - "&amp;_xlpm._question&amp;": Second answer required but not provided."),"")&amp;
        IF(NOT(_xlpm._secondAnswerRequired),IF(_xlpm._secondAnswerProvided,$A35&amp;" - "&amp;_xlpm._question&amp;": Second answer ("&amp;_xlpm._secondAnswer&amp;") provided but the question only supports one answer.",""),"")&amp;
        IF(_xlpm._secondAnswerIsValidOption,"",$A35&amp;" - "&amp;_xlpm._question&amp;": Second answer ("&amp;_xlpm._secondAnswer&amp;") is not a valid option.")))),
  _xlfn.LAMBDA(_xlpm._x,_xlpm._y,_xlpm._x&amp;IF(_xlpm._x="","",CHAR(10))&amp;_xlpm._y))))</f>
        <v/>
      </c>
      <c r="AP35" s="11" cm="1">
        <f t="array" aca="1" ref="AP35" ca="1">CreateID($AP$2,$AO35&lt;&gt;"")</f>
        <v>0</v>
      </c>
    </row>
    <row r="36" spans="1:42" x14ac:dyDescent="0.25">
      <c r="A36" s="9" t="s">
        <v>1268</v>
      </c>
      <c r="B36" s="10" t="s">
        <v>1269</v>
      </c>
      <c r="C36" s="10" t="s">
        <v>1727</v>
      </c>
      <c r="D36" s="10"/>
      <c r="E36" s="25" t="str" cm="1">
        <f t="array" ref="E36">OperateOnList(
  SanitizeInput($D36),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36" s="10"/>
      <c r="G36" s="13" t="str" cm="1">
        <f t="array" ref="G36">LookupNames($F36,'Attack Steps'!$A:$B)</f>
        <v/>
      </c>
      <c r="H36" s="10"/>
      <c r="I36" s="13" t="str" cm="1">
        <f t="array" ref="I36">RemoveDelimiter(GetValuesWithFallback(SanitizeInput($H36),$A:$B,Assumptions!$A:$B," ",","&amp;CHAR(10),TRUE),","&amp;CHAR(10))</f>
        <v/>
      </c>
      <c r="J36" s="10"/>
      <c r="K36" s="25" t="str" cm="1">
        <f t="array" ref="K36">IF($J36="","",SUBSTITUTE(SUBSTITUTE(SUBSTITUTE(SUBSTITUTE(SUBSTITUTE(SUBSTITUTE(SUBSTITUTE(SUBSTITUTE(SUBSTITUTE(
GetTransformation(SanitizeInput($J36),'Damage Scenarios'!$A:$J,COLUMNS('Damage Scenarios'!$A:$J),CHAR(10),"[#0][#1][#2]")&amp;"§",
"[#1][#2]",""),
"[#2]",""),
"[#0][#1]","[#1]"),
"[#0]","Removes:"&amp;CHAR(10)),
"[#1]","Transforms:"&amp;CHAR(10)),
CHAR(10)&amp;"§",""),
"§",""),
CHAR(10),CHAR(10)&amp;"   "),
"   "&amp;"Transforms:","Transforms:"))</f>
        <v/>
      </c>
      <c r="L36" s="10"/>
      <c r="M36" s="10"/>
      <c r="N36" s="10"/>
      <c r="O36" s="10"/>
      <c r="P36" s="10"/>
      <c r="Q36" s="13" t="str">
        <f ca="1">IF($A36="","",IFERROR(VLOOKUP($Z36,Definitions!$V:$W,COLUMNS(Definitions!$V:$W),TRUE),""))</f>
        <v>Basic</v>
      </c>
      <c r="R36" s="10" t="s">
        <v>454</v>
      </c>
      <c r="S36" s="10"/>
      <c r="T36" s="10"/>
      <c r="U36" s="9" cm="1">
        <f t="array" aca="1" ref="U36" ca="1">CreateID($U$2,$A36&lt;&gt;"")</f>
        <v>34</v>
      </c>
      <c r="V36" s="11" t="b" cm="1">
        <f t="array" ref="V36">CheckRelevance(SanitizeInput(F36),Questionnaire!$J:$J)</f>
        <v>0</v>
      </c>
      <c r="W36" s="11" t="b">
        <f>IFERROR(_xlfn.XMATCH("*,"&amp;$A36&amp;",*",Mitigation!$X:$X,2)&gt;0,FALSE)</f>
        <v>0</v>
      </c>
      <c r="X36" s="11" cm="1">
        <f t="array" ref="X36">CreateTaskID($X$2,$X:$X,Tasks!$B$17,$T36)</f>
        <v>0</v>
      </c>
      <c r="Y36" s="11" t="str" cm="1">
        <f t="array" ref="Y36">CreateSearchString($F36)</f>
        <v/>
      </c>
      <c r="Z36" s="11" cm="1">
        <f t="array" aca="1" ref="Z36" ca="1">OperateOnRange(
  $L36,
  TRUE,
  Helper!$B$16,
  0,
  _xlfn.LAMBDA(_xlpm._factor,IF(_xlpm._factor="",0,SimpleLookup(_xlpm._factor,Definitions!$Z:$AA))),
  _xlfn.LAMBDA(_xlpm._x,_xlpm._y,_xlpm._x+_xlpm._y))</f>
        <v>0</v>
      </c>
      <c r="AA36" s="11" t="str" cm="1">
        <f t="array" ref="AA36">CreateSearchString($H36)</f>
        <v/>
      </c>
      <c r="AB36" s="11" t="b" cm="1">
        <f t="array" aca="1" ref="AB36" ca="1">IF($A36="",FALSE,
OR($AG36,_xlfn.LAMBDA(_xlpm._ownID,_xlpm._searchHeader,_xlpm._resultHeader,_xlpm._elementCount,_xlpm._delimiter,_xlpm._activeInTreatmentRange,_xlpm._activeByAnswersRange,_xlpm._dependencies,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InverseLookup(_xlpm._ownID,_xlpm._searchHeader,_xlpm._resultHeader,1,_xlpm._elementCount,_xlpm._delimiter))))))($A36,$AA$2,$A$2,Helper!$B$4,",",$A:$W,$A:$AG,InverseLookup($A36,$AA$2,$A$2,1,Helper!$B$4,","))))</f>
        <v>0</v>
      </c>
      <c r="AC36" s="11" t="str" cm="1">
        <f t="array" aca="1" ref="AC36" ca="1">IF(OR($W36,$AB36,$AG36),CreateSearchString($H36),"")</f>
        <v/>
      </c>
      <c r="AD36" s="11" t="str" cm="1">
        <f t="array" ref="AD36">SUBSTITUTE(IF($W36,CreateSearchString($J36),""),"&gt;",",")</f>
        <v/>
      </c>
      <c r="AE36" s="11" cm="1">
        <f t="array" aca="1" ref="AE36" ca="1">CreateID($AE$2,$AB36)</f>
        <v>5</v>
      </c>
      <c r="AF36" s="11" t="str" cm="1">
        <f t="array" aca="1" ref="AF36" ca="1">IF($AB36,CreateSearchString($R36),"")</f>
        <v/>
      </c>
      <c r="AG36" s="11" t="b">
        <f>OR(CheckRelevance(SanitizeInput($D36),Questionnaire!$J:$J),CheckRelevance(SanitizeInput($D36),Questionnaire!$K:$K))</f>
        <v>0</v>
      </c>
      <c r="AH36" s="11" t="str" cm="1">
        <f t="array" ref="AH36">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FilterPreconditionCandidates(RemoveFirstElement(_xlpm._preconditionCandidates),_xlpm._searchColumn,_xlpm._delimiter))))(SanitizeInput($D36),Questionnaire!$AB:$AB,",")</f>
        <v/>
      </c>
      <c r="AI36" s="11" t="str" cm="1">
        <f t="array" ref="AI36">IF($D36="*","",InverseLookupList($AH36,Questionnaire!$AB$3,Questionnaire!$B$3,Helper!$B$12,","))</f>
        <v/>
      </c>
      <c r="AJ36" s="11" t="str" cm="1">
        <f t="array" ref="AJ36">RemoveDelimiter(GetValues($AI36,Questionnaire!$B:$H," ",CHAR(10)&amp;CHAR(10),TRUE),CHAR(10)&amp;CHAR(10))</f>
        <v/>
      </c>
      <c r="AK36" s="11" t="str" cm="1">
        <f t="array" ref="AK36">CreateSearchString($AI36)</f>
        <v/>
      </c>
      <c r="AL36" s="11" t="str" cm="1">
        <f t="array" aca="1" ref="AL36" ca="1">InverseLookup($A36,Mitigation!$AD$2,Mitigation!$A$2,1,Helper!$B$5,",")</f>
        <v/>
      </c>
      <c r="AM36" s="11" t="str" cm="1">
        <f t="array" aca="1" ref="AM36" ca="1">CreateSearchString(GetValues($AL36,'Attack Steps'!$A:$P,"",",",FALSE))</f>
        <v/>
      </c>
      <c r="AN36" s="11" t="str">
        <f>IF($A36="","",$A36)</f>
        <v>C31</v>
      </c>
      <c r="AO36" s="11" t="str" cm="1">
        <f t="array" ref="AO36">_xlfn.SWITCH($D36,
"*","",
"","",
_xlfn.LET(
_xlpm._answers,SUBSTITUTE(SanitizeInput($D36),"&amp;",","),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IF(_xlpm._questionIDUndefined,$A36&amp;" - "&amp;_xlpm._question&amp;": ERROR: Unknown question ID.",
        IF(_xlpm._firstAnswerIsValidOption,"",$A36&amp;" - "&amp;_xlpm._question&amp;": First answer ("&amp;_xlpm._firstAnswer&amp;") is not a valid option.")&amp;
        IF(_xlpm._secondAnswerRequired,IF(_xlpm._secondAnswerProvided,"",$A36&amp;" - "&amp;_xlpm._question&amp;": Second answer required but not provided."),"")&amp;
        IF(NOT(_xlpm._secondAnswerRequired),IF(_xlpm._secondAnswerProvided,$A36&amp;" - "&amp;_xlpm._question&amp;": Second answer ("&amp;_xlpm._secondAnswer&amp;") provided but the question only supports one answer.",""),"")&amp;
        IF(_xlpm._secondAnswerIsValidOption,"",$A36&amp;" - "&amp;_xlpm._question&amp;": Second answer ("&amp;_xlpm._secondAnswer&amp;") is not a valid option.")))),
  _xlfn.LAMBDA(_xlpm._x,_xlpm._y,_xlpm._x&amp;IF(_xlpm._x="","",CHAR(10))&amp;_xlpm._y))))</f>
        <v/>
      </c>
      <c r="AP36" s="11" cm="1">
        <f t="array" aca="1" ref="AP36" ca="1">CreateID($AP$2,$AO36&lt;&gt;"")</f>
        <v>0</v>
      </c>
    </row>
    <row r="37" spans="1:42" ht="30" x14ac:dyDescent="0.25">
      <c r="A37" s="9" t="s">
        <v>1271</v>
      </c>
      <c r="B37" s="10" t="s">
        <v>1270</v>
      </c>
      <c r="C37" s="10" t="s">
        <v>1727</v>
      </c>
      <c r="D37" s="10"/>
      <c r="E37" s="25" t="str" cm="1">
        <f t="array" ref="E37">OperateOnList(
  SanitizeInput($D37),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37" s="10" t="s">
        <v>456</v>
      </c>
      <c r="G37" s="13" t="str" cm="1">
        <f t="array" aca="1" ref="G37" ca="1">LookupNames($F37,'Attack Steps'!$A:$B)</f>
        <v>AS29 Brute-forcing the authentication mechanism over IP</v>
      </c>
      <c r="H37" s="10" t="s">
        <v>1268</v>
      </c>
      <c r="I37" s="13" t="str" cm="1">
        <f t="array" aca="1" ref="I37" ca="1">RemoveDelimiter(GetValuesWithFallback(SanitizeInput($H37),$A:$B,Assumptions!$A:$B," ",","&amp;CHAR(10),TRUE),","&amp;CHAR(10))</f>
        <v>C31 CR 1.10 – Authenticator feedback</v>
      </c>
      <c r="J37" s="10"/>
      <c r="K37" s="25" t="str" cm="1">
        <f t="array" ref="K37">IF($J37="","",SUBSTITUTE(SUBSTITUTE(SUBSTITUTE(SUBSTITUTE(SUBSTITUTE(SUBSTITUTE(SUBSTITUTE(SUBSTITUTE(SUBSTITUTE(
GetTransformation(SanitizeInput($J37),'Damage Scenarios'!$A:$J,COLUMNS('Damage Scenarios'!$A:$J),CHAR(10),"[#0][#1][#2]")&amp;"§",
"[#1][#2]",""),
"[#2]",""),
"[#0][#1]","[#1]"),
"[#0]","Removes:"&amp;CHAR(10)),
"[#1]","Transforms:"&amp;CHAR(10)),
CHAR(10)&amp;"§",""),
"§",""),
CHAR(10),CHAR(10)&amp;"   "),
"   "&amp;"Transforms:","Transforms:"))</f>
        <v/>
      </c>
      <c r="L37" s="10" t="s">
        <v>108</v>
      </c>
      <c r="M37" s="10"/>
      <c r="N37" s="10"/>
      <c r="O37" s="10"/>
      <c r="P37" s="10"/>
      <c r="Q37" s="13" t="str">
        <f ca="1">IF($A37="","",IFERROR(VLOOKUP($Z37,Definitions!$V:$W,COLUMNS(Definitions!$V:$W),TRUE),""))</f>
        <v>Beyond High</v>
      </c>
      <c r="R37" s="10" t="s">
        <v>453</v>
      </c>
      <c r="S37" s="10"/>
      <c r="T37" s="10" t="s">
        <v>1382</v>
      </c>
      <c r="U37" s="9" cm="1">
        <f t="array" aca="1" ref="U37" ca="1">CreateID($U$2,$A37&lt;&gt;"")</f>
        <v>35</v>
      </c>
      <c r="V37" s="11" t="b" cm="1">
        <f t="array" aca="1" ref="V37" ca="1">CheckRelevance(SanitizeInput(F37),Questionnaire!$J:$J)</f>
        <v>0</v>
      </c>
      <c r="W37" s="11" t="b">
        <f>IFERROR(_xlfn.XMATCH("*,"&amp;$A37&amp;",*",Mitigation!$X:$X,2)&gt;0,FALSE)</f>
        <v>0</v>
      </c>
      <c r="X37" s="11" cm="1">
        <f t="array" ref="X37">CreateTaskID($X$2,$X:$X,Tasks!$B$17,$T37)</f>
        <v>0</v>
      </c>
      <c r="Y37" s="11" t="str" cm="1">
        <f t="array" ref="Y37">CreateSearchString($F37)</f>
        <v>,AS29,</v>
      </c>
      <c r="Z37" s="11" cm="1">
        <f t="array" aca="1" ref="Z37" ca="1">OperateOnRange(
  $L37,
  TRUE,
  Helper!$B$16,
  0,
  _xlfn.LAMBDA(_xlpm._factor,IF(_xlpm._factor="",0,SimpleLookup(_xlpm._factor,Definitions!$Z:$AA))),
  _xlfn.LAMBDA(_xlpm._x,_xlpm._y,_xlpm._x+_xlpm._y))</f>
        <v>25</v>
      </c>
      <c r="AA37" s="11" t="str" cm="1">
        <f t="array" ref="AA37">CreateSearchString($H37)</f>
        <v>,C31,</v>
      </c>
      <c r="AB37" s="11" t="b" cm="1">
        <f t="array" aca="1" ref="AB37" ca="1">IF($A37="",FALSE,
OR($AG37,_xlfn.LAMBDA(_xlpm._ownID,_xlpm._searchHeader,_xlpm._resultHeader,_xlpm._elementCount,_xlpm._delimiter,_xlpm._activeInTreatmentRange,_xlpm._activeByAnswersRange,_xlpm._dependencies,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InverseLookup(_xlpm._ownID,_xlpm._searchHeader,_xlpm._resultHeader,1,_xlpm._elementCount,_xlpm._delimiter))))))($A37,$AA$2,$A$2,Helper!$B$4,",",$A:$W,$A:$AG,InverseLookup($A37,$AA$2,$A$2,1,Helper!$B$4,","))))</f>
        <v>0</v>
      </c>
      <c r="AC37" s="11" t="str" cm="1">
        <f t="array" aca="1" ref="AC37" ca="1">IF(OR($W37,$AB37,$AG37),CreateSearchString($H37),"")</f>
        <v/>
      </c>
      <c r="AD37" s="11" t="str" cm="1">
        <f t="array" ref="AD37">SUBSTITUTE(IF($W37,CreateSearchString($J37),""),"&gt;",",")</f>
        <v/>
      </c>
      <c r="AE37" s="11" cm="1">
        <f t="array" aca="1" ref="AE37" ca="1">CreateID($AE$2,$AB37)</f>
        <v>5</v>
      </c>
      <c r="AF37" s="11" t="str" cm="1">
        <f t="array" aca="1" ref="AF37" ca="1">IF($AB37,CreateSearchString($R37),"")</f>
        <v/>
      </c>
      <c r="AG37" s="11" t="b">
        <f>OR(CheckRelevance(SanitizeInput($D37),Questionnaire!$J:$J),CheckRelevance(SanitizeInput($D37),Questionnaire!$K:$K))</f>
        <v>0</v>
      </c>
      <c r="AH37" s="11" t="str" cm="1">
        <f t="array" ref="AH37">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FilterPreconditionCandidates(RemoveFirstElement(_xlpm._preconditionCandidates),_xlpm._searchColumn,_xlpm._delimiter))))(SanitizeInput($D37),Questionnaire!$AB:$AB,",")</f>
        <v/>
      </c>
      <c r="AI37" s="11" t="str" cm="1">
        <f t="array" ref="AI37">IF($D37="*","",InverseLookupList($AH37,Questionnaire!$AB$3,Questionnaire!$B$3,Helper!$B$12,","))</f>
        <v/>
      </c>
      <c r="AJ37" s="11" t="str" cm="1">
        <f t="array" ref="AJ37">RemoveDelimiter(GetValues($AI37,Questionnaire!$B:$H," ",CHAR(10)&amp;CHAR(10),TRUE),CHAR(10)&amp;CHAR(10))</f>
        <v/>
      </c>
      <c r="AK37" s="11" t="str" cm="1">
        <f t="array" ref="AK37">CreateSearchString($AI37)</f>
        <v/>
      </c>
      <c r="AL37" s="11" t="str" cm="1">
        <f t="array" aca="1" ref="AL37" ca="1">InverseLookup($A37,Mitigation!$AD$2,Mitigation!$A$2,1,Helper!$B$5,",")</f>
        <v/>
      </c>
      <c r="AM37" s="11" t="str" cm="1">
        <f t="array" aca="1" ref="AM37" ca="1">CreateSearchString(GetValues($AL37,'Attack Steps'!$A:$P,"",",",FALSE))</f>
        <v/>
      </c>
      <c r="AN37" s="11" t="str">
        <f>IF($A37="","",$A37)</f>
        <v>C32</v>
      </c>
      <c r="AO37" s="11" t="str" cm="1">
        <f t="array" ref="AO37">_xlfn.SWITCH($D37,
"*","",
"","",
_xlfn.LET(
_xlpm._answers,SUBSTITUTE(SanitizeInput($D37),"&amp;",","),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IF(_xlpm._questionIDUndefined,$A37&amp;" - "&amp;_xlpm._question&amp;": ERROR: Unknown question ID.",
        IF(_xlpm._firstAnswerIsValidOption,"",$A37&amp;" - "&amp;_xlpm._question&amp;": First answer ("&amp;_xlpm._firstAnswer&amp;") is not a valid option.")&amp;
        IF(_xlpm._secondAnswerRequired,IF(_xlpm._secondAnswerProvided,"",$A37&amp;" - "&amp;_xlpm._question&amp;": Second answer required but not provided."),"")&amp;
        IF(NOT(_xlpm._secondAnswerRequired),IF(_xlpm._secondAnswerProvided,$A37&amp;" - "&amp;_xlpm._question&amp;": Second answer ("&amp;_xlpm._secondAnswer&amp;") provided but the question only supports one answer.",""),"")&amp;
        IF(_xlpm._secondAnswerIsValidOption,"",$A37&amp;" - "&amp;_xlpm._question&amp;": Second answer ("&amp;_xlpm._secondAnswer&amp;") is not a valid option.")))),
  _xlfn.LAMBDA(_xlpm._x,_xlpm._y,_xlpm._x&amp;IF(_xlpm._x="","",CHAR(10))&amp;_xlpm._y))))</f>
        <v/>
      </c>
      <c r="AP37" s="11" cm="1">
        <f t="array" aca="1" ref="AP37" ca="1">CreateID($AP$2,$AO37&lt;&gt;"")</f>
        <v>0</v>
      </c>
    </row>
    <row r="38" spans="1:42" x14ac:dyDescent="0.25">
      <c r="A38" s="9" t="s">
        <v>1272</v>
      </c>
      <c r="B38" s="10" t="s">
        <v>1273</v>
      </c>
      <c r="C38" s="10" t="s">
        <v>1733</v>
      </c>
      <c r="D38" s="10" t="s">
        <v>335</v>
      </c>
      <c r="E38" s="25" t="str" cm="1">
        <f t="array" ref="E38">OperateOnList(
  SanitizeInput($D38),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v>
      </c>
      <c r="F38" s="10"/>
      <c r="G38" s="13" t="str" cm="1">
        <f t="array" ref="G38">LookupNames($F38,'Attack Steps'!$A:$B)</f>
        <v/>
      </c>
      <c r="H38" s="10"/>
      <c r="I38" s="13" t="str" cm="1">
        <f t="array" ref="I38">RemoveDelimiter(GetValuesWithFallback(SanitizeInput($H38),$A:$B,Assumptions!$A:$B," ",","&amp;CHAR(10),TRUE),","&amp;CHAR(10))</f>
        <v/>
      </c>
      <c r="J38" s="10"/>
      <c r="K38" s="25" t="str" cm="1">
        <f t="array" ref="K38">IF($J38="","",SUBSTITUTE(SUBSTITUTE(SUBSTITUTE(SUBSTITUTE(SUBSTITUTE(SUBSTITUTE(SUBSTITUTE(SUBSTITUTE(SUBSTITUTE(
GetTransformation(SanitizeInput($J38),'Damage Scenarios'!$A:$J,COLUMNS('Damage Scenarios'!$A:$J),CHAR(10),"[#0][#1][#2]")&amp;"§",
"[#1][#2]",""),
"[#2]",""),
"[#0][#1]","[#1]"),
"[#0]","Removes:"&amp;CHAR(10)),
"[#1]","Transforms:"&amp;CHAR(10)),
CHAR(10)&amp;"§",""),
"§",""),
CHAR(10),CHAR(10)&amp;"   "),
"   "&amp;"Transforms:","Transforms:"))</f>
        <v/>
      </c>
      <c r="L38" s="10"/>
      <c r="M38" s="10"/>
      <c r="N38" s="10"/>
      <c r="O38" s="10"/>
      <c r="P38" s="10"/>
      <c r="Q38" s="13" t="str">
        <f ca="1">IF($A38="","",IFERROR(VLOOKUP($Z38,Definitions!$V:$W,COLUMNS(Definitions!$V:$W),TRUE),""))</f>
        <v>Basic</v>
      </c>
      <c r="R38" s="10" t="s">
        <v>455</v>
      </c>
      <c r="S38" s="10"/>
      <c r="T38" s="10"/>
      <c r="U38" s="9" cm="1">
        <f t="array" aca="1" ref="U38" ca="1">CreateID($U$2,$A38&lt;&gt;"")</f>
        <v>36</v>
      </c>
      <c r="V38" s="11" t="b" cm="1">
        <f t="array" ref="V38">CheckRelevance(SanitizeInput(F38),Questionnaire!$J:$J)</f>
        <v>0</v>
      </c>
      <c r="W38" s="11" t="b">
        <f>IFERROR(_xlfn.XMATCH("*,"&amp;$A38&amp;",*",Mitigation!$X:$X,2)&gt;0,FALSE)</f>
        <v>0</v>
      </c>
      <c r="X38" s="11" cm="1">
        <f t="array" ref="X38">CreateTaskID($X$2,$X:$X,Tasks!$B$17,$T38)</f>
        <v>0</v>
      </c>
      <c r="Y38" s="11" t="str" cm="1">
        <f t="array" ref="Y38">CreateSearchString($F38)</f>
        <v/>
      </c>
      <c r="Z38" s="11" cm="1">
        <f t="array" aca="1" ref="Z38" ca="1">OperateOnRange(
  $L38,
  TRUE,
  Helper!$B$16,
  0,
  _xlfn.LAMBDA(_xlpm._factor,IF(_xlpm._factor="",0,SimpleLookup(_xlpm._factor,Definitions!$Z:$AA))),
  _xlfn.LAMBDA(_xlpm._x,_xlpm._y,_xlpm._x+_xlpm._y))</f>
        <v>0</v>
      </c>
      <c r="AA38" s="11" t="str" cm="1">
        <f t="array" ref="AA38">CreateSearchString($H38)</f>
        <v/>
      </c>
      <c r="AB38" s="11" t="b" cm="1">
        <f t="array" aca="1" ref="AB38" ca="1">IF($A38="",FALSE,
OR($AG38,_xlfn.LAMBDA(_xlpm._ownID,_xlpm._searchHeader,_xlpm._resultHeader,_xlpm._elementCount,_xlpm._delimiter,_xlpm._activeInTreatmentRange,_xlpm._activeByAnswersRange,_xlpm._dependencies,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InverseLookup(_xlpm._ownID,_xlpm._searchHeader,_xlpm._resultHeader,1,_xlpm._elementCount,_xlpm._delimiter))))))($A38,$AA$2,$A$2,Helper!$B$4,",",$A:$W,$A:$AG,InverseLookup($A38,$AA$2,$A$2,1,Helper!$B$4,","))))</f>
        <v>1</v>
      </c>
      <c r="AC38" s="11" t="str" cm="1">
        <f t="array" aca="1" ref="AC38" ca="1">IF(OR($W38,$AB38,$AG38),CreateSearchString($H38),"")</f>
        <v/>
      </c>
      <c r="AD38" s="11" t="str" cm="1">
        <f t="array" ref="AD38">SUBSTITUTE(IF($W38,CreateSearchString($J38),""),"&gt;",",")</f>
        <v/>
      </c>
      <c r="AE38" s="11" cm="1">
        <f t="array" aca="1" ref="AE38" ca="1">CreateID($AE$2,$AB38)</f>
        <v>6</v>
      </c>
      <c r="AF38" s="11" t="str" cm="1">
        <f t="array" aca="1" ref="AF38" ca="1">IF($AB38,CreateSearchString($R38),"")</f>
        <v>,g,</v>
      </c>
      <c r="AG38" s="11" t="b">
        <f>OR(CheckRelevance(SanitizeInput($D38),Questionnaire!$J:$J),CheckRelevance(SanitizeInput($D38),Questionnaire!$K:$K))</f>
        <v>1</v>
      </c>
      <c r="AH38" s="11" t="str" cm="1">
        <f t="array" ref="AH38">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FilterPreconditionCandidates(RemoveFirstElement(_xlpm._preconditionCandidates),_xlpm._searchColumn,_xlpm._delimiter))))(SanitizeInput($D38),Questionnaire!$AB:$AB,",")</f>
        <v>*,</v>
      </c>
      <c r="AI38" s="11" t="str" cm="1">
        <f t="array" ref="AI38">IF($D38="*","",InverseLookupList($AH38,Questionnaire!$AB$3,Questionnaire!$B$3,Helper!$B$12,","))</f>
        <v/>
      </c>
      <c r="AJ38" s="11" t="str" cm="1">
        <f t="array" ref="AJ38">RemoveDelimiter(GetValues($AI38,Questionnaire!$B:$H," ",CHAR(10)&amp;CHAR(10),TRUE),CHAR(10)&amp;CHAR(10))</f>
        <v/>
      </c>
      <c r="AK38" s="11" t="str" cm="1">
        <f t="array" ref="AK38">CreateSearchString($AI38)</f>
        <v/>
      </c>
      <c r="AL38" s="11" t="str" cm="1">
        <f t="array" aca="1" ref="AL38" ca="1">InverseLookup($A38,Mitigation!$AD$2,Mitigation!$A$2,1,Helper!$B$5,",")</f>
        <v/>
      </c>
      <c r="AM38" s="11" t="str" cm="1">
        <f t="array" aca="1" ref="AM38" ca="1">CreateSearchString(GetValues($AL38,'Attack Steps'!$A:$P,"",",",FALSE))</f>
        <v/>
      </c>
      <c r="AN38" s="11" t="str">
        <f>IF($A38="","",$A38)</f>
        <v>C33</v>
      </c>
      <c r="AO38" s="11" t="str" cm="1">
        <f t="array" ref="AO38">_xlfn.SWITCH($D38,
"*","",
"","",
_xlfn.LET(
_xlpm._answers,SUBSTITUTE(SanitizeInput($D38),"&amp;",","),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IF(_xlpm._questionIDUndefined,$A38&amp;" - "&amp;_xlpm._question&amp;": ERROR: Unknown question ID.",
        IF(_xlpm._firstAnswerIsValidOption,"",$A38&amp;" - "&amp;_xlpm._question&amp;": First answer ("&amp;_xlpm._firstAnswer&amp;") is not a valid option.")&amp;
        IF(_xlpm._secondAnswerRequired,IF(_xlpm._secondAnswerProvided,"",$A38&amp;" - "&amp;_xlpm._question&amp;": Second answer required but not provided."),"")&amp;
        IF(NOT(_xlpm._secondAnswerRequired),IF(_xlpm._secondAnswerProvided,$A38&amp;" - "&amp;_xlpm._question&amp;": Second answer ("&amp;_xlpm._secondAnswer&amp;") provided but the question only supports one answer.",""),"")&amp;
        IF(_xlpm._secondAnswerIsValidOption,"",$A38&amp;" - "&amp;_xlpm._question&amp;": Second answer ("&amp;_xlpm._secondAnswer&amp;") is not a valid option.")))),
  _xlfn.LAMBDA(_xlpm._x,_xlpm._y,_xlpm._x&amp;IF(_xlpm._x="","",CHAR(10))&amp;_xlpm._y))))</f>
        <v/>
      </c>
      <c r="AP38" s="11" cm="1">
        <f t="array" aca="1" ref="AP38" ca="1">CreateID($AP$2,$AO38&lt;&gt;"")</f>
        <v>0</v>
      </c>
    </row>
    <row r="39" spans="1:42" x14ac:dyDescent="0.25">
      <c r="A39" s="9" t="s">
        <v>1274</v>
      </c>
      <c r="B39" s="10" t="s">
        <v>1275</v>
      </c>
      <c r="C39" s="10" t="s">
        <v>1734</v>
      </c>
      <c r="D39" s="10" t="s">
        <v>335</v>
      </c>
      <c r="E39" s="25" t="str" cm="1">
        <f t="array" ref="E39">OperateOnList(
  SanitizeInput($D39),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v>
      </c>
      <c r="F39" s="10"/>
      <c r="G39" s="13" t="str" cm="1">
        <f t="array" ref="G39">LookupNames($F39,'Attack Steps'!$A:$B)</f>
        <v/>
      </c>
      <c r="H39" s="10"/>
      <c r="I39" s="13" t="str" cm="1">
        <f t="array" ref="I39">RemoveDelimiter(GetValuesWithFallback(SanitizeInput($H39),$A:$B,Assumptions!$A:$B," ",","&amp;CHAR(10),TRUE),","&amp;CHAR(10))</f>
        <v/>
      </c>
      <c r="J39" s="10"/>
      <c r="K39" s="25" t="str" cm="1">
        <f t="array" ref="K39">IF($J39="","",SUBSTITUTE(SUBSTITUTE(SUBSTITUTE(SUBSTITUTE(SUBSTITUTE(SUBSTITUTE(SUBSTITUTE(SUBSTITUTE(SUBSTITUTE(
GetTransformation(SanitizeInput($J39),'Damage Scenarios'!$A:$J,COLUMNS('Damage Scenarios'!$A:$J),CHAR(10),"[#0][#1][#2]")&amp;"§",
"[#1][#2]",""),
"[#2]",""),
"[#0][#1]","[#1]"),
"[#0]","Removes:"&amp;CHAR(10)),
"[#1]","Transforms:"&amp;CHAR(10)),
CHAR(10)&amp;"§",""),
"§",""),
CHAR(10),CHAR(10)&amp;"   "),
"   "&amp;"Transforms:","Transforms:"))</f>
        <v/>
      </c>
      <c r="L39" s="10"/>
      <c r="M39" s="10"/>
      <c r="N39" s="10"/>
      <c r="O39" s="10"/>
      <c r="P39" s="10"/>
      <c r="Q39" s="13" t="str">
        <f ca="1">IF($A39="","",IFERROR(VLOOKUP($Z39,Definitions!$V:$W,COLUMNS(Definitions!$V:$W),TRUE),""))</f>
        <v>Basic</v>
      </c>
      <c r="R39" s="10" t="s">
        <v>455</v>
      </c>
      <c r="S39" s="10"/>
      <c r="T39" s="10"/>
      <c r="U39" s="9" cm="1">
        <f t="array" aca="1" ref="U39" ca="1">CreateID($U$2,$A39&lt;&gt;"")</f>
        <v>37</v>
      </c>
      <c r="V39" s="11" t="b" cm="1">
        <f t="array" ref="V39">CheckRelevance(SanitizeInput(F39),Questionnaire!$J:$J)</f>
        <v>0</v>
      </c>
      <c r="W39" s="11" t="b">
        <f>IFERROR(_xlfn.XMATCH("*,"&amp;$A39&amp;",*",Mitigation!$X:$X,2)&gt;0,FALSE)</f>
        <v>0</v>
      </c>
      <c r="X39" s="11" cm="1">
        <f t="array" ref="X39">CreateTaskID($X$2,$X:$X,Tasks!$B$17,$T39)</f>
        <v>0</v>
      </c>
      <c r="Y39" s="11" t="str" cm="1">
        <f t="array" ref="Y39">CreateSearchString($F39)</f>
        <v/>
      </c>
      <c r="Z39" s="11" cm="1">
        <f t="array" aca="1" ref="Z39" ca="1">OperateOnRange(
  $L39,
  TRUE,
  Helper!$B$16,
  0,
  _xlfn.LAMBDA(_xlpm._factor,IF(_xlpm._factor="",0,SimpleLookup(_xlpm._factor,Definitions!$Z:$AA))),
  _xlfn.LAMBDA(_xlpm._x,_xlpm._y,_xlpm._x+_xlpm._y))</f>
        <v>0</v>
      </c>
      <c r="AA39" s="11" t="str" cm="1">
        <f t="array" ref="AA39">CreateSearchString($H39)</f>
        <v/>
      </c>
      <c r="AB39" s="11" t="b" cm="1">
        <f t="array" aca="1" ref="AB39" ca="1">IF($A39="",FALSE,
OR($AG39,_xlfn.LAMBDA(_xlpm._ownID,_xlpm._searchHeader,_xlpm._resultHeader,_xlpm._elementCount,_xlpm._delimiter,_xlpm._activeInTreatmentRange,_xlpm._activeByAnswersRange,_xlpm._dependencies,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InverseLookup(_xlpm._ownID,_xlpm._searchHeader,_xlpm._resultHeader,1,_xlpm._elementCount,_xlpm._delimiter))))))($A39,$AA$2,$A$2,Helper!$B$4,",",$A:$W,$A:$AG,InverseLookup($A39,$AA$2,$A$2,1,Helper!$B$4,","))))</f>
        <v>1</v>
      </c>
      <c r="AC39" s="11" t="str" cm="1">
        <f t="array" aca="1" ref="AC39" ca="1">IF(OR($W39,$AB39,$AG39),CreateSearchString($H39),"")</f>
        <v/>
      </c>
      <c r="AD39" s="11" t="str" cm="1">
        <f t="array" ref="AD39">SUBSTITUTE(IF($W39,CreateSearchString($J39),""),"&gt;",",")</f>
        <v/>
      </c>
      <c r="AE39" s="11" cm="1">
        <f t="array" aca="1" ref="AE39" ca="1">CreateID($AE$2,$AB39)</f>
        <v>7</v>
      </c>
      <c r="AF39" s="11" t="str" cm="1">
        <f t="array" aca="1" ref="AF39" ca="1">IF($AB39,CreateSearchString($R39),"")</f>
        <v>,g,</v>
      </c>
      <c r="AG39" s="11" t="b">
        <f>OR(CheckRelevance(SanitizeInput($D39),Questionnaire!$J:$J),CheckRelevance(SanitizeInput($D39),Questionnaire!$K:$K))</f>
        <v>1</v>
      </c>
      <c r="AH39" s="11" t="str" cm="1">
        <f t="array" ref="AH39">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FilterPreconditionCandidates(RemoveFirstElement(_xlpm._preconditionCandidates),_xlpm._searchColumn,_xlpm._delimiter))))(SanitizeInput($D39),Questionnaire!$AB:$AB,",")</f>
        <v>*,</v>
      </c>
      <c r="AI39" s="11" t="str" cm="1">
        <f t="array" ref="AI39">IF($D39="*","",InverseLookupList($AH39,Questionnaire!$AB$3,Questionnaire!$B$3,Helper!$B$12,","))</f>
        <v/>
      </c>
      <c r="AJ39" s="11" t="str" cm="1">
        <f t="array" ref="AJ39">RemoveDelimiter(GetValues($AI39,Questionnaire!$B:$H," ",CHAR(10)&amp;CHAR(10),TRUE),CHAR(10)&amp;CHAR(10))</f>
        <v/>
      </c>
      <c r="AK39" s="11" t="str" cm="1">
        <f t="array" ref="AK39">CreateSearchString($AI39)</f>
        <v/>
      </c>
      <c r="AL39" s="11" t="str" cm="1">
        <f t="array" aca="1" ref="AL39" ca="1">InverseLookup($A39,Mitigation!$AD$2,Mitigation!$A$2,1,Helper!$B$5,",")</f>
        <v/>
      </c>
      <c r="AM39" s="11" t="str" cm="1">
        <f t="array" aca="1" ref="AM39" ca="1">CreateSearchString(GetValues($AL39,'Attack Steps'!$A:$P,"",",",FALSE))</f>
        <v/>
      </c>
      <c r="AN39" s="11" t="str">
        <f>IF($A39="","",$A39)</f>
        <v>C34</v>
      </c>
      <c r="AO39" s="11" t="str" cm="1">
        <f t="array" ref="AO39">_xlfn.SWITCH($D39,
"*","",
"","",
_xlfn.LET(
_xlpm._answers,SUBSTITUTE(SanitizeInput($D39),"&amp;",","),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IF(_xlpm._questionIDUndefined,$A39&amp;" - "&amp;_xlpm._question&amp;": ERROR: Unknown question ID.",
        IF(_xlpm._firstAnswerIsValidOption,"",$A39&amp;" - "&amp;_xlpm._question&amp;": First answer ("&amp;_xlpm._firstAnswer&amp;") is not a valid option.")&amp;
        IF(_xlpm._secondAnswerRequired,IF(_xlpm._secondAnswerProvided,"",$A39&amp;" - "&amp;_xlpm._question&amp;": Second answer required but not provided."),"")&amp;
        IF(NOT(_xlpm._secondAnswerRequired),IF(_xlpm._secondAnswerProvided,$A39&amp;" - "&amp;_xlpm._question&amp;": Second answer ("&amp;_xlpm._secondAnswer&amp;") provided but the question only supports one answer.",""),"")&amp;
        IF(_xlpm._secondAnswerIsValidOption,"",$A39&amp;" - "&amp;_xlpm._question&amp;": Second answer ("&amp;_xlpm._secondAnswer&amp;") is not a valid option.")))),
  _xlfn.LAMBDA(_xlpm._x,_xlpm._y,_xlpm._x&amp;IF(_xlpm._x="","",CHAR(10))&amp;_xlpm._y))))</f>
        <v/>
      </c>
      <c r="AP39" s="11" cm="1">
        <f t="array" aca="1" ref="AP39" ca="1">CreateID($AP$2,$AO39&lt;&gt;"")</f>
        <v>0</v>
      </c>
    </row>
    <row r="40" spans="1:42" ht="30" x14ac:dyDescent="0.25">
      <c r="A40" s="9" t="s">
        <v>1315</v>
      </c>
      <c r="B40" s="10" t="s">
        <v>1316</v>
      </c>
      <c r="C40" s="10" t="s">
        <v>1727</v>
      </c>
      <c r="D40" s="10"/>
      <c r="E40" s="25" t="str" cm="1">
        <f t="array" ref="E40">OperateOnList(
  SanitizeInput($D40),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40" s="10" t="s">
        <v>270</v>
      </c>
      <c r="G40" s="13" t="str" cm="1">
        <f t="array" aca="1" ref="G40" ca="1">LookupNames($F40,'Attack Steps'!$A:$B)</f>
        <v>AS23 Compromising the product with direct access to its persistent memory</v>
      </c>
      <c r="H40" s="10"/>
      <c r="I40" s="13" t="str" cm="1">
        <f t="array" ref="I40">RemoveDelimiter(GetValuesWithFallback(SanitizeInput($H40),$A:$B,Assumptions!$A:$B," ",","&amp;CHAR(10),TRUE),","&amp;CHAR(10))</f>
        <v/>
      </c>
      <c r="J40" s="10"/>
      <c r="K40" s="25" t="str" cm="1">
        <f t="array" ref="K40">IF($J40="","",SUBSTITUTE(SUBSTITUTE(SUBSTITUTE(SUBSTITUTE(SUBSTITUTE(SUBSTITUTE(SUBSTITUTE(SUBSTITUTE(SUBSTITUTE(
GetTransformation(SanitizeInput($J40),'Damage Scenarios'!$A:$J,COLUMNS('Damage Scenarios'!$A:$J),CHAR(10),"[#0][#1][#2]")&amp;"§",
"[#1][#2]",""),
"[#2]",""),
"[#0][#1]","[#1]"),
"[#0]","Removes:"&amp;CHAR(10)),
"[#1]","Transforms:"&amp;CHAR(10)),
CHAR(10)&amp;"§",""),
"§",""),
CHAR(10),CHAR(10)&amp;"   "),
"   "&amp;"Transforms:","Transforms:"))</f>
        <v/>
      </c>
      <c r="L40" s="10" t="s">
        <v>104</v>
      </c>
      <c r="M40" s="10" t="s">
        <v>112</v>
      </c>
      <c r="N40" s="10" t="s">
        <v>116</v>
      </c>
      <c r="O40" s="10" t="s">
        <v>73</v>
      </c>
      <c r="P40" s="10" t="s">
        <v>125</v>
      </c>
      <c r="Q40" s="13" t="str">
        <f ca="1">IF($A40="","",IFERROR(VLOOKUP($Z40,Definitions!$V:$W,COLUMNS(Definitions!$V:$W),TRUE),""))</f>
        <v>Moderate</v>
      </c>
      <c r="R40" s="10" t="s">
        <v>450</v>
      </c>
      <c r="S40" s="10"/>
      <c r="T40" s="10" t="s">
        <v>1409</v>
      </c>
      <c r="U40" s="9" cm="1">
        <f t="array" aca="1" ref="U40" ca="1">CreateID($U$2,$A40&lt;&gt;"")</f>
        <v>38</v>
      </c>
      <c r="V40" s="11" t="b" cm="1">
        <f t="array" aca="1" ref="V40" ca="1">CheckRelevance(SanitizeInput(F40),Questionnaire!$J:$J)</f>
        <v>0</v>
      </c>
      <c r="W40" s="11" t="b">
        <f>IFERROR(_xlfn.XMATCH("*,"&amp;$A40&amp;",*",Mitigation!$X:$X,2)&gt;0,FALSE)</f>
        <v>0</v>
      </c>
      <c r="X40" s="11" cm="1">
        <f t="array" ref="X40">CreateTaskID($X$2,$X:$X,Tasks!$B$17,$T40)</f>
        <v>0</v>
      </c>
      <c r="Y40" s="11" t="str" cm="1">
        <f t="array" ref="Y40">CreateSearchString($F40)</f>
        <v>,AS23,</v>
      </c>
      <c r="Z40" s="11" cm="1">
        <f t="array" aca="1" ref="Z40" ca="1">OperateOnRange(
  $L40,
  TRUE,
  Helper!$B$16,
  0,
  _xlfn.LAMBDA(_xlpm._factor,IF(_xlpm._factor="",0,SimpleLookup(_xlpm._factor,Definitions!$Z:$AA))),
  _xlfn.LAMBDA(_xlpm._x,_xlpm._y,_xlpm._x+_xlpm._y))</f>
        <v>18</v>
      </c>
      <c r="AA40" s="11" t="str" cm="1">
        <f t="array" ref="AA40">CreateSearchString($H40)</f>
        <v/>
      </c>
      <c r="AB40" s="11" t="b" cm="1">
        <f t="array" aca="1" ref="AB40" ca="1">IF($A40="",FALSE,
OR($AG40,_xlfn.LAMBDA(_xlpm._ownID,_xlpm._searchHeader,_xlpm._resultHeader,_xlpm._elementCount,_xlpm._delimiter,_xlpm._activeInTreatmentRange,_xlpm._activeByAnswersRange,_xlpm._dependencies,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InverseLookup(_xlpm._ownID,_xlpm._searchHeader,_xlpm._resultHeader,1,_xlpm._elementCount,_xlpm._delimiter))))))($A40,$AA$2,$A$2,Helper!$B$4,",",$A:$W,$A:$AG,InverseLookup($A40,$AA$2,$A$2,1,Helper!$B$4,","))))</f>
        <v>0</v>
      </c>
      <c r="AC40" s="11" t="str" cm="1">
        <f t="array" aca="1" ref="AC40" ca="1">IF(OR($W40,$AB40,$AG40),CreateSearchString($H40),"")</f>
        <v/>
      </c>
      <c r="AD40" s="11" t="str" cm="1">
        <f t="array" ref="AD40">SUBSTITUTE(IF($W40,CreateSearchString($J40),""),"&gt;",",")</f>
        <v/>
      </c>
      <c r="AE40" s="11" cm="1">
        <f t="array" aca="1" ref="AE40" ca="1">CreateID($AE$2,$AB40)</f>
        <v>7</v>
      </c>
      <c r="AF40" s="11" t="str" cm="1">
        <f t="array" aca="1" ref="AF40" ca="1">IF($AB40,CreateSearchString($R40),"")</f>
        <v/>
      </c>
      <c r="AG40" s="11" t="b">
        <f>OR(CheckRelevance(SanitizeInput($D40),Questionnaire!$J:$J),CheckRelevance(SanitizeInput($D40),Questionnaire!$K:$K))</f>
        <v>0</v>
      </c>
      <c r="AH40" s="11" t="str" cm="1">
        <f t="array" ref="AH40">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FilterPreconditionCandidates(RemoveFirstElement(_xlpm._preconditionCandidates),_xlpm._searchColumn,_xlpm._delimiter))))(SanitizeInput($D40),Questionnaire!$AB:$AB,",")</f>
        <v/>
      </c>
      <c r="AI40" s="11" t="str" cm="1">
        <f t="array" ref="AI40">IF($D40="*","",InverseLookupList($AH40,Questionnaire!$AB$3,Questionnaire!$B$3,Helper!$B$12,","))</f>
        <v/>
      </c>
      <c r="AJ40" s="11" t="str" cm="1">
        <f t="array" ref="AJ40">RemoveDelimiter(GetValues($AI40,Questionnaire!$B:$H," ",CHAR(10)&amp;CHAR(10),TRUE),CHAR(10)&amp;CHAR(10))</f>
        <v/>
      </c>
      <c r="AK40" s="11" t="str" cm="1">
        <f t="array" ref="AK40">CreateSearchString($AI40)</f>
        <v/>
      </c>
      <c r="AL40" s="11" t="str" cm="1">
        <f t="array" aca="1" ref="AL40" ca="1">InverseLookup($A40,Mitigation!$AD$2,Mitigation!$A$2,1,Helper!$B$5,",")</f>
        <v/>
      </c>
      <c r="AM40" s="11" t="str" cm="1">
        <f t="array" aca="1" ref="AM40" ca="1">CreateSearchString(GetValues($AL40,'Attack Steps'!$A:$P,"",",",FALSE))</f>
        <v/>
      </c>
      <c r="AN40" s="11" t="str">
        <f>IF($A40="","",$A40)</f>
        <v>C35</v>
      </c>
      <c r="AO40" s="11" t="str" cm="1">
        <f t="array" ref="AO40">_xlfn.SWITCH($D40,
"*","",
"","",
_xlfn.LET(
_xlpm._answers,SUBSTITUTE(SanitizeInput($D40),"&amp;",","),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IF(_xlpm._questionIDUndefined,$A40&amp;" - "&amp;_xlpm._question&amp;": ERROR: Unknown question ID.",
        IF(_xlpm._firstAnswerIsValidOption,"",$A40&amp;" - "&amp;_xlpm._question&amp;": First answer ("&amp;_xlpm._firstAnswer&amp;") is not a valid option.")&amp;
        IF(_xlpm._secondAnswerRequired,IF(_xlpm._secondAnswerProvided,"",$A40&amp;" - "&amp;_xlpm._question&amp;": Second answer required but not provided."),"")&amp;
        IF(NOT(_xlpm._secondAnswerRequired),IF(_xlpm._secondAnswerProvided,$A40&amp;" - "&amp;_xlpm._question&amp;": Second answer ("&amp;_xlpm._secondAnswer&amp;") provided but the question only supports one answer.",""),"")&amp;
        IF(_xlpm._secondAnswerIsValidOption,"",$A40&amp;" - "&amp;_xlpm._question&amp;": Second answer ("&amp;_xlpm._secondAnswer&amp;") is not a valid option.")))),
  _xlfn.LAMBDA(_xlpm._x,_xlpm._y,_xlpm._x&amp;IF(_xlpm._x="","",CHAR(10))&amp;_xlpm._y))))</f>
        <v/>
      </c>
      <c r="AP40" s="11" cm="1">
        <f t="array" aca="1" ref="AP40" ca="1">CreateID($AP$2,$AO40&lt;&gt;"")</f>
        <v>0</v>
      </c>
    </row>
    <row r="41" spans="1:42" ht="210" x14ac:dyDescent="0.25">
      <c r="A41" s="9" t="s">
        <v>585</v>
      </c>
      <c r="B41" s="10" t="s">
        <v>1276</v>
      </c>
      <c r="C41" s="10" t="s">
        <v>1277</v>
      </c>
      <c r="D41" s="10"/>
      <c r="E41" s="25" t="str" cm="1">
        <f t="array" ref="E41">OperateOnList(
  SanitizeInput($D41),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41" s="10" t="s">
        <v>600</v>
      </c>
      <c r="G41" s="13" t="str" cm="1">
        <f t="array" aca="1" ref="G41" ca="1">LookupNames($F41,'Attack Steps'!$A:$B)</f>
        <v>AS9 Attacking the product's internal gateway from the Internet,
AS15 Attacking the product from the Internet or a mobile network,
AS31 Attacking a customer network from another customer network via the product's internal gateway</v>
      </c>
      <c r="H41" s="10" t="s">
        <v>330</v>
      </c>
      <c r="I41" s="13" t="str" cm="1">
        <f t="array" aca="1" ref="I41" ca="1">RemoveDelimiter(GetValuesWithFallback(SanitizeInput($H41),$A:$B,Assumptions!$A:$B," ",","&amp;CHAR(10),TRUE),","&amp;CHAR(10))</f>
        <v>C19 CR 5.1 – Network segmentation</v>
      </c>
      <c r="J41" s="10"/>
      <c r="K41" s="25" t="str" cm="1">
        <f t="array" ref="K41">IF($J41="","",SUBSTITUTE(SUBSTITUTE(SUBSTITUTE(SUBSTITUTE(SUBSTITUTE(SUBSTITUTE(SUBSTITUTE(SUBSTITUTE(SUBSTITUTE(
GetTransformation(SanitizeInput($J41),'Damage Scenarios'!$A:$J,COLUMNS('Damage Scenarios'!$A:$J),CHAR(10),"[#0][#1][#2]")&amp;"§",
"[#1][#2]",""),
"[#2]",""),
"[#0][#1]","[#1]"),
"[#0]","Removes:"&amp;CHAR(10)),
"[#1]","Transforms:"&amp;CHAR(10)),
CHAR(10)&amp;"§",""),
"§",""),
CHAR(10),CHAR(10)&amp;"   "),
"   "&amp;"Transforms:","Transforms:"))</f>
        <v/>
      </c>
      <c r="L41" s="10" t="s">
        <v>104</v>
      </c>
      <c r="M41" s="10" t="s">
        <v>112</v>
      </c>
      <c r="N41" s="10" t="s">
        <v>116</v>
      </c>
      <c r="O41" s="10" t="s">
        <v>121</v>
      </c>
      <c r="P41" s="10"/>
      <c r="Q41" s="13" t="str">
        <f ca="1">IF($A41="","",IFERROR(VLOOKUP($Z41,Definitions!$V:$W,COLUMNS(Definitions!$V:$W),TRUE),""))</f>
        <v>High</v>
      </c>
      <c r="R41" s="10" t="s">
        <v>467</v>
      </c>
      <c r="S41" s="10"/>
      <c r="T41" s="10" t="s">
        <v>1434</v>
      </c>
      <c r="U41" s="9" cm="1">
        <f t="array" aca="1" ref="U41" ca="1">CreateID($U$2,$A41&lt;&gt;"")</f>
        <v>39</v>
      </c>
      <c r="V41" s="11" t="b" cm="1">
        <f t="array" aca="1" ref="V41" ca="1">CheckRelevance(SanitizeInput(F41),Questionnaire!$J:$J)</f>
        <v>0</v>
      </c>
      <c r="W41" s="11" t="b">
        <f>IFERROR(_xlfn.XMATCH("*,"&amp;$A41&amp;",*",Mitigation!$X:$X,2)&gt;0,FALSE)</f>
        <v>0</v>
      </c>
      <c r="X41" s="11" cm="1">
        <f t="array" ref="X41">CreateTaskID($X$2,$X:$X,Tasks!$B$17,$T41)</f>
        <v>0</v>
      </c>
      <c r="Y41" s="11" t="str" cm="1">
        <f t="array" ref="Y41">CreateSearchString($F41)</f>
        <v>,AS9,AS15,AS31,</v>
      </c>
      <c r="Z41" s="11" cm="1">
        <f t="array" aca="1" ref="Z41" ca="1">OperateOnRange(
  $L41,
  TRUE,
  Helper!$B$16,
  0,
  _xlfn.LAMBDA(_xlpm._factor,IF(_xlpm._factor="",0,SimpleLookup(_xlpm._factor,Definitions!$Z:$AA))),
  _xlfn.LAMBDA(_xlpm._x,_xlpm._y,_xlpm._x+_xlpm._y))</f>
        <v>20</v>
      </c>
      <c r="AA41" s="11" t="str" cm="1">
        <f t="array" ref="AA41">CreateSearchString($H41)</f>
        <v>,C19,</v>
      </c>
      <c r="AB41" s="11" t="b" cm="1">
        <f t="array" aca="1" ref="AB41" ca="1">IF($A41="",FALSE,
OR($AG41,_xlfn.LAMBDA(_xlpm._ownID,_xlpm._searchHeader,_xlpm._resultHeader,_xlpm._elementCount,_xlpm._delimiter,_xlpm._activeInTreatmentRange,_xlpm._activeByAnswersRange,_xlpm._dependencies,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InverseLookup(_xlpm._ownID,_xlpm._searchHeader,_xlpm._resultHeader,1,_xlpm._elementCount,_xlpm._delimiter))))))($A41,$AA$2,$A$2,Helper!$B$4,",",$A:$W,$A:$AG,InverseLookup($A41,$AA$2,$A$2,1,Helper!$B$4,","))))</f>
        <v>0</v>
      </c>
      <c r="AC41" s="11" t="str" cm="1">
        <f t="array" aca="1" ref="AC41" ca="1">IF(OR($W41,$AB41,$AG41),CreateSearchString($H41),"")</f>
        <v/>
      </c>
      <c r="AD41" s="11" t="str" cm="1">
        <f t="array" ref="AD41">SUBSTITUTE(IF($W41,CreateSearchString($J41),""),"&gt;",",")</f>
        <v/>
      </c>
      <c r="AE41" s="11" cm="1">
        <f t="array" aca="1" ref="AE41" ca="1">CreateID($AE$2,$AB41)</f>
        <v>7</v>
      </c>
      <c r="AF41" s="11" t="str" cm="1">
        <f t="array" aca="1" ref="AF41" ca="1">IF($AB41,CreateSearchString($R41),"")</f>
        <v/>
      </c>
      <c r="AG41" s="11" t="b">
        <f>OR(CheckRelevance(SanitizeInput($D41),Questionnaire!$J:$J),CheckRelevance(SanitizeInput($D41),Questionnaire!$K:$K))</f>
        <v>0</v>
      </c>
      <c r="AH41" s="11" t="str" cm="1">
        <f t="array" ref="AH41">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FilterPreconditionCandidates(RemoveFirstElement(_xlpm._preconditionCandidates),_xlpm._searchColumn,_xlpm._delimiter))))(SanitizeInput($D41),Questionnaire!$AB:$AB,",")</f>
        <v/>
      </c>
      <c r="AI41" s="11" t="str" cm="1">
        <f t="array" ref="AI41">IF($D41="*","",InverseLookupList($AH41,Questionnaire!$AB$3,Questionnaire!$B$3,Helper!$B$12,","))</f>
        <v/>
      </c>
      <c r="AJ41" s="11" t="str" cm="1">
        <f t="array" ref="AJ41">RemoveDelimiter(GetValues($AI41,Questionnaire!$B:$H," ",CHAR(10)&amp;CHAR(10),TRUE),CHAR(10)&amp;CHAR(10))</f>
        <v/>
      </c>
      <c r="AK41" s="11" t="str" cm="1">
        <f t="array" ref="AK41">CreateSearchString($AI41)</f>
        <v/>
      </c>
      <c r="AL41" s="11" t="str" cm="1">
        <f t="array" aca="1" ref="AL41" ca="1">InverseLookup($A41,Mitigation!$AD$2,Mitigation!$A$2,1,Helper!$B$5,",")</f>
        <v/>
      </c>
      <c r="AM41" s="11" t="str" cm="1">
        <f t="array" aca="1" ref="AM41" ca="1">CreateSearchString(GetValues($AL41,'Attack Steps'!$A:$P,"",",",FALSE))</f>
        <v/>
      </c>
      <c r="AN41" s="11" t="str">
        <f t="shared" si="1"/>
        <v>CM1</v>
      </c>
      <c r="AO41" s="11" t="str" cm="1">
        <f t="array" ref="AO41">_xlfn.SWITCH($D41,
"*","",
"","",
_xlfn.LET(
_xlpm._answers,SUBSTITUTE(SanitizeInput($D41),"&amp;",","),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IF(_xlpm._questionIDUndefined,$A41&amp;" - "&amp;_xlpm._question&amp;": ERROR: Unknown question ID.",
        IF(_xlpm._firstAnswerIsValidOption,"",$A41&amp;" - "&amp;_xlpm._question&amp;": First answer ("&amp;_xlpm._firstAnswer&amp;") is not a valid option.")&amp;
        IF(_xlpm._secondAnswerRequired,IF(_xlpm._secondAnswerProvided,"",$A41&amp;" - "&amp;_xlpm._question&amp;": Second answer required but not provided."),"")&amp;
        IF(NOT(_xlpm._secondAnswerRequired),IF(_xlpm._secondAnswerProvided,$A41&amp;" - "&amp;_xlpm._question&amp;": Second answer ("&amp;_xlpm._secondAnswer&amp;") provided but the question only supports one answer.",""),"")&amp;
        IF(_xlpm._secondAnswerIsValidOption,"",$A41&amp;" - "&amp;_xlpm._question&amp;": Second answer ("&amp;_xlpm._secondAnswer&amp;") is not a valid option.")))),
  _xlfn.LAMBDA(_xlpm._x,_xlpm._y,_xlpm._x&amp;IF(_xlpm._x="","",CHAR(10))&amp;_xlpm._y))))</f>
        <v/>
      </c>
      <c r="AP41" s="11" cm="1">
        <f t="array" aca="1" ref="AP41" ca="1">CreateID($AP$2,$AO41&lt;&gt;"")</f>
        <v>0</v>
      </c>
    </row>
    <row r="42" spans="1:42" ht="240" x14ac:dyDescent="0.25">
      <c r="A42" s="9" t="s">
        <v>1522</v>
      </c>
      <c r="B42" s="10" t="s">
        <v>1511</v>
      </c>
      <c r="C42" s="10" t="s">
        <v>1512</v>
      </c>
      <c r="D42" s="10"/>
      <c r="E42" s="25" t="str" cm="1">
        <f t="array" ref="E42">OperateOnList(
  SanitizeInput($D42),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42" s="10" t="s">
        <v>80</v>
      </c>
      <c r="G42" s="13" t="str" cm="1">
        <f t="array" aca="1" ref="G42" ca="1">LookupNames($F42,'Attack Steps'!$A:$B)</f>
        <v>AS3 Compromising the product using a software vulnerability</v>
      </c>
      <c r="H42" s="10" t="s">
        <v>1034</v>
      </c>
      <c r="I42" s="13" t="str" cm="1">
        <f t="array" aca="1" ref="I42" ca="1">RemoveDelimiter(GetValuesWithFallback(SanitizeInput($H42),$A:$B,Assumptions!$A:$B," ",","&amp;CHAR(10),TRUE),","&amp;CHAR(10))</f>
        <v>C14 CR 3.4 – Software and information integrity,
C15 CR 3.5 – Input validation,
C25 SAR 3.2 / EDR 3.2 / HDR 3.2 / NDR 3.2 – Protection from malicious code,
C27 EDR 3.10 / HDR 3.10 / NDR 3.10 – Support for updates</v>
      </c>
      <c r="J42" s="10"/>
      <c r="K42" s="25" t="str" cm="1">
        <f t="array" ref="K42">IF($J42="","",SUBSTITUTE(SUBSTITUTE(SUBSTITUTE(SUBSTITUTE(SUBSTITUTE(SUBSTITUTE(SUBSTITUTE(SUBSTITUTE(SUBSTITUTE(
GetTransformation(SanitizeInput($J42),'Damage Scenarios'!$A:$J,COLUMNS('Damage Scenarios'!$A:$J),CHAR(10),"[#0][#1][#2]")&amp;"§",
"[#1][#2]",""),
"[#2]",""),
"[#0][#1]","[#1]"),
"[#0]","Removes:"&amp;CHAR(10)),
"[#1]","Transforms:"&amp;CHAR(10)),
CHAR(10)&amp;"§",""),
"§",""),
CHAR(10),CHAR(10)&amp;"   "),
"   "&amp;"Transforms:","Transforms:"))</f>
        <v/>
      </c>
      <c r="L42" s="10" t="s">
        <v>106</v>
      </c>
      <c r="M42" s="10" t="s">
        <v>113</v>
      </c>
      <c r="N42" s="10" t="s">
        <v>116</v>
      </c>
      <c r="O42" s="10" t="s">
        <v>121</v>
      </c>
      <c r="P42" s="10"/>
      <c r="Q42" s="13" t="str">
        <f ca="1">IF($A42="","",IFERROR(VLOOKUP($Z42,Definitions!$V:$W,COLUMNS(Definitions!$V:$W),TRUE),""))</f>
        <v>Beyond High</v>
      </c>
      <c r="R42" s="10" t="s">
        <v>1402</v>
      </c>
      <c r="S42" s="10"/>
      <c r="T42" s="10" t="s">
        <v>1513</v>
      </c>
      <c r="U42" s="9" cm="1">
        <f t="array" aca="1" ref="U42" ca="1">CreateID($U$2,$A42&lt;&gt;"")</f>
        <v>40</v>
      </c>
      <c r="V42" s="11" t="b" cm="1">
        <f t="array" aca="1" ref="V42" ca="1">CheckRelevance(SanitizeInput(F42),Questionnaire!$J:$J)</f>
        <v>0</v>
      </c>
      <c r="W42" s="11" t="b">
        <f>IFERROR(_xlfn.XMATCH("*,"&amp;$A42&amp;",*",Mitigation!$X:$X,2)&gt;0,FALSE)</f>
        <v>0</v>
      </c>
      <c r="X42" s="11" cm="1">
        <f t="array" ref="X42">CreateTaskID($X$2,$X:$X,Tasks!$B$17,$T42)</f>
        <v>0</v>
      </c>
      <c r="Y42" s="11" t="str" cm="1">
        <f t="array" ref="Y42">CreateSearchString($F42)</f>
        <v>,AS3,</v>
      </c>
      <c r="Z42" s="11" cm="1">
        <f t="array" aca="1" ref="Z42" ca="1">OperateOnRange(
  $L42,
  TRUE,
  Helper!$B$16,
  0,
  _xlfn.LAMBDA(_xlpm._factor,IF(_xlpm._factor="",0,SimpleLookup(_xlpm._factor,Definitions!$Z:$AA))),
  _xlfn.LAMBDA(_xlpm._x,_xlpm._y,_xlpm._x+_xlpm._y))</f>
        <v>31</v>
      </c>
      <c r="AA42" s="11" t="str" cm="1">
        <f t="array" ref="AA42">CreateSearchString($H42)</f>
        <v>,C14,C15,C25,C27,</v>
      </c>
      <c r="AB42" s="11" t="b" cm="1">
        <f t="array" aca="1" ref="AB42" ca="1">IF($A42="",FALSE,
OR($AG42,_xlfn.LAMBDA(_xlpm._ownID,_xlpm._searchHeader,_xlpm._resultHeader,_xlpm._elementCount,_xlpm._delimiter,_xlpm._activeInTreatmentRange,_xlpm._activeByAnswersRange,_xlpm._dependencies,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InverseLookup(_xlpm._ownID,_xlpm._searchHeader,_xlpm._resultHeader,1,_xlpm._elementCount,_xlpm._delimiter))))))($A42,$AA$2,$A$2,Helper!$B$4,",",$A:$W,$A:$AG,InverseLookup($A42,$AA$2,$A$2,1,Helper!$B$4,","))))</f>
        <v>0</v>
      </c>
      <c r="AC42" s="11" t="str" cm="1">
        <f t="array" aca="1" ref="AC42" ca="1">IF(OR($W42,$AB42,$AG42),CreateSearchString($H42),"")</f>
        <v/>
      </c>
      <c r="AD42" s="11" t="str" cm="1">
        <f t="array" ref="AD42">SUBSTITUTE(IF($W42,CreateSearchString($J42),""),"&gt;",",")</f>
        <v/>
      </c>
      <c r="AE42" s="11" cm="1">
        <f t="array" aca="1" ref="AE42" ca="1">CreateID($AE$2,$AB42)</f>
        <v>7</v>
      </c>
      <c r="AF42" s="11" t="str" cm="1">
        <f t="array" aca="1" ref="AF42" ca="1">IF($AB42,CreateSearchString($R42),"")</f>
        <v/>
      </c>
      <c r="AG42" s="11" t="b">
        <f>OR(CheckRelevance(SanitizeInput($D42),Questionnaire!$J:$J),CheckRelevance(SanitizeInput($D42),Questionnaire!$K:$K))</f>
        <v>0</v>
      </c>
      <c r="AH42" s="11" t="str" cm="1">
        <f t="array" ref="AH42">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FilterPreconditionCandidates(RemoveFirstElement(_xlpm._preconditionCandidates),_xlpm._searchColumn,_xlpm._delimiter))))(SanitizeInput($D42),Questionnaire!$AB:$AB,",")</f>
        <v/>
      </c>
      <c r="AI42" s="11" t="str" cm="1">
        <f t="array" ref="AI42">IF($D42="*","",InverseLookupList($AH42,Questionnaire!$AB$3,Questionnaire!$B$3,Helper!$B$12,","))</f>
        <v/>
      </c>
      <c r="AJ42" s="11" t="str" cm="1">
        <f t="array" ref="AJ42">RemoveDelimiter(GetValues($AI42,Questionnaire!$B:$H," ",CHAR(10)&amp;CHAR(10),TRUE),CHAR(10)&amp;CHAR(10))</f>
        <v/>
      </c>
      <c r="AK42" s="11" t="str" cm="1">
        <f t="array" ref="AK42">CreateSearchString($AI42)</f>
        <v/>
      </c>
      <c r="AL42" s="11" t="str" cm="1">
        <f t="array" aca="1" ref="AL42" ca="1">InverseLookup($A42,Mitigation!$AD$2,Mitigation!$A$2,1,Helper!$B$5,",")</f>
        <v/>
      </c>
      <c r="AM42" s="11" t="str" cm="1">
        <f t="array" aca="1" ref="AM42" ca="1">CreateSearchString(GetValues($AL42,'Attack Steps'!$A:$P,"",",",FALSE))</f>
        <v/>
      </c>
      <c r="AN42" s="11" t="str">
        <f t="shared" si="1"/>
        <v>CM2</v>
      </c>
      <c r="AO42" s="11" t="str" cm="1">
        <f t="array" ref="AO42">_xlfn.SWITCH($D42,
"*","",
"","",
_xlfn.LET(
_xlpm._answers,SUBSTITUTE(SanitizeInput($D42),"&amp;",","),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IF(_xlpm._questionIDUndefined,$A42&amp;" - "&amp;_xlpm._question&amp;": ERROR: Unknown question ID.",
        IF(_xlpm._firstAnswerIsValidOption,"",$A42&amp;" - "&amp;_xlpm._question&amp;": First answer ("&amp;_xlpm._firstAnswer&amp;") is not a valid option.")&amp;
        IF(_xlpm._secondAnswerRequired,IF(_xlpm._secondAnswerProvided,"",$A42&amp;" - "&amp;_xlpm._question&amp;": Second answer required but not provided."),"")&amp;
        IF(NOT(_xlpm._secondAnswerRequired),IF(_xlpm._secondAnswerProvided,$A42&amp;" - "&amp;_xlpm._question&amp;": Second answer ("&amp;_xlpm._secondAnswer&amp;") provided but the question only supports one answer.",""),"")&amp;
        IF(_xlpm._secondAnswerIsValidOption,"",$A42&amp;" - "&amp;_xlpm._question&amp;": Second answer ("&amp;_xlpm._secondAnswer&amp;") is not a valid option.")))),
  _xlfn.LAMBDA(_xlpm._x,_xlpm._y,_xlpm._x&amp;IF(_xlpm._x="","",CHAR(10))&amp;_xlpm._y))))</f>
        <v/>
      </c>
      <c r="AP42" s="11" cm="1">
        <f t="array" aca="1" ref="AP42" ca="1">CreateID($AP$2,$AO42&lt;&gt;"")</f>
        <v>0</v>
      </c>
    </row>
    <row r="43" spans="1:42" ht="60" x14ac:dyDescent="0.25">
      <c r="A43" s="9" t="s">
        <v>586</v>
      </c>
      <c r="B43" s="10" t="s">
        <v>1293</v>
      </c>
      <c r="C43" s="10" t="s">
        <v>1294</v>
      </c>
      <c r="D43" s="10"/>
      <c r="E43" s="25" t="str" cm="1">
        <f t="array" ref="E43">OperateOnList(
  SanitizeInput($D43),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43" s="10" t="s">
        <v>777</v>
      </c>
      <c r="G43" s="13" t="str" cm="1">
        <f t="array" aca="1" ref="G43" ca="1">LookupNames($F43,'Attack Steps'!$A:$B)</f>
        <v>AS32 Extracting or misusing &lt;&lt; OEM Name &gt;&gt; IP</v>
      </c>
      <c r="H43" s="10"/>
      <c r="I43" s="13" t="str" cm="1">
        <f t="array" ref="I43">RemoveDelimiter(GetValuesWithFallback(SanitizeInput($H43),$A:$B,Assumptions!$A:$B," ",","&amp;CHAR(10),TRUE),","&amp;CHAR(10))</f>
        <v/>
      </c>
      <c r="J43" s="10"/>
      <c r="K43" s="25" t="str" cm="1">
        <f t="array" ref="K43">IF($J43="","",SUBSTITUTE(SUBSTITUTE(SUBSTITUTE(SUBSTITUTE(SUBSTITUTE(SUBSTITUTE(SUBSTITUTE(SUBSTITUTE(SUBSTITUTE(
GetTransformation(SanitizeInput($J43),'Damage Scenarios'!$A:$J,COLUMNS('Damage Scenarios'!$A:$J),CHAR(10),"[#0][#1][#2]")&amp;"§",
"[#1][#2]",""),
"[#2]",""),
"[#0][#1]","[#1]"),
"[#0]","Removes:"&amp;CHAR(10)),
"[#1]","Transforms:"&amp;CHAR(10)),
CHAR(10)&amp;"§",""),
"§",""),
CHAR(10),CHAR(10)&amp;"   "),
"   "&amp;"Transforms:","Transforms:"))</f>
        <v/>
      </c>
      <c r="L43" s="10" t="s">
        <v>105</v>
      </c>
      <c r="M43" s="10" t="s">
        <v>112</v>
      </c>
      <c r="N43" s="10"/>
      <c r="O43" s="10"/>
      <c r="P43" s="10"/>
      <c r="Q43" s="13" t="str">
        <f ca="1">IF($A43="","",IFERROR(VLOOKUP($Z43,Definitions!$V:$W,COLUMNS(Definitions!$V:$W),TRUE),""))</f>
        <v>Enhanced-Basic</v>
      </c>
      <c r="R43" s="10" t="s">
        <v>454</v>
      </c>
      <c r="S43" s="10"/>
      <c r="T43" s="10" t="s">
        <v>859</v>
      </c>
      <c r="U43" s="9" cm="1">
        <f t="array" aca="1" ref="U43" ca="1">CreateID($U$2,$A43&lt;&gt;"")</f>
        <v>41</v>
      </c>
      <c r="V43" s="11" t="b" cm="1">
        <f t="array" aca="1" ref="V43" ca="1">CheckRelevance(SanitizeInput(F43),Questionnaire!$J:$J)</f>
        <v>0</v>
      </c>
      <c r="W43" s="11" t="b">
        <f>IFERROR(_xlfn.XMATCH("*,"&amp;$A43&amp;",*",Mitigation!$X:$X,2)&gt;0,FALSE)</f>
        <v>0</v>
      </c>
      <c r="X43" s="11" cm="1">
        <f t="array" ref="X43">CreateTaskID($X$2,$X:$X,Tasks!$B$17,$T43)</f>
        <v>0</v>
      </c>
      <c r="Y43" s="11" t="str" cm="1">
        <f t="array" ref="Y43">CreateSearchString($F43)</f>
        <v>,AS32,</v>
      </c>
      <c r="Z43" s="11" cm="1">
        <f t="array" aca="1" ref="Z43" ca="1">OperateOnRange(
  $L43,
  TRUE,
  Helper!$B$16,
  0,
  _xlfn.LAMBDA(_xlpm._factor,IF(_xlpm._factor="",0,SimpleLookup(_xlpm._factor,Definitions!$Z:$AA))),
  _xlfn.LAMBDA(_xlpm._x,_xlpm._y,_xlpm._x+_xlpm._y))</f>
        <v>10</v>
      </c>
      <c r="AA43" s="11" t="str" cm="1">
        <f t="array" ref="AA43">CreateSearchString($H43)</f>
        <v/>
      </c>
      <c r="AB43" s="11" t="b" cm="1">
        <f t="array" aca="1" ref="AB43" ca="1">IF($A43="",FALSE,
OR($AG43,_xlfn.LAMBDA(_xlpm._ownID,_xlpm._searchHeader,_xlpm._resultHeader,_xlpm._elementCount,_xlpm._delimiter,_xlpm._activeInTreatmentRange,_xlpm._activeByAnswersRange,_xlpm._dependencies,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InverseLookup(_xlpm._ownID,_xlpm._searchHeader,_xlpm._resultHeader,1,_xlpm._elementCount,_xlpm._delimiter))))))($A43,$AA$2,$A$2,Helper!$B$4,",",$A:$W,$A:$AG,InverseLookup($A43,$AA$2,$A$2,1,Helper!$B$4,","))))</f>
        <v>0</v>
      </c>
      <c r="AC43" s="11" t="str" cm="1">
        <f t="array" aca="1" ref="AC43" ca="1">IF(OR($W43,$AB43,$AG43),CreateSearchString($H43),"")</f>
        <v/>
      </c>
      <c r="AD43" s="11" t="str" cm="1">
        <f t="array" ref="AD43">SUBSTITUTE(IF($W43,CreateSearchString($J43),""),"&gt;",",")</f>
        <v/>
      </c>
      <c r="AE43" s="11" cm="1">
        <f t="array" aca="1" ref="AE43" ca="1">CreateID($AE$2,$AB43)</f>
        <v>7</v>
      </c>
      <c r="AF43" s="11" t="str" cm="1">
        <f t="array" aca="1" ref="AF43" ca="1">IF($AB43,CreateSearchString($R43),"")</f>
        <v/>
      </c>
      <c r="AG43" s="11" t="b">
        <f>OR(CheckRelevance(SanitizeInput($D43),Questionnaire!$J:$J),CheckRelevance(SanitizeInput($D43),Questionnaire!$K:$K))</f>
        <v>0</v>
      </c>
      <c r="AH43" s="11" t="str" cm="1">
        <f t="array" ref="AH43">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FilterPreconditionCandidates(RemoveFirstElement(_xlpm._preconditionCandidates),_xlpm._searchColumn,_xlpm._delimiter))))(SanitizeInput($D43),Questionnaire!$AB:$AB,",")</f>
        <v/>
      </c>
      <c r="AI43" s="11" t="str" cm="1">
        <f t="array" ref="AI43">IF($D43="*","",InverseLookupList($AH43,Questionnaire!$AB$3,Questionnaire!$B$3,Helper!$B$12,","))</f>
        <v/>
      </c>
      <c r="AJ43" s="11" t="str" cm="1">
        <f t="array" ref="AJ43">RemoveDelimiter(GetValues($AI43,Questionnaire!$B:$H," ",CHAR(10)&amp;CHAR(10),TRUE),CHAR(10)&amp;CHAR(10))</f>
        <v/>
      </c>
      <c r="AK43" s="11" t="str" cm="1">
        <f t="array" ref="AK43">CreateSearchString($AI43)</f>
        <v/>
      </c>
      <c r="AL43" s="11" t="str" cm="1">
        <f t="array" aca="1" ref="AL43" ca="1">InverseLookup($A43,Mitigation!$AD$2,Mitigation!$A$2,1,Helper!$B$5,",")</f>
        <v/>
      </c>
      <c r="AM43" s="11" t="str" cm="1">
        <f t="array" aca="1" ref="AM43" ca="1">CreateSearchString(GetValues($AL43,'Attack Steps'!$A:$P,"",",",FALSE))</f>
        <v/>
      </c>
      <c r="AN43" s="11" t="str">
        <f t="shared" si="1"/>
        <v>CM3</v>
      </c>
      <c r="AO43" s="11" t="str" cm="1">
        <f t="array" ref="AO43">_xlfn.SWITCH($D43,
"*","",
"","",
_xlfn.LET(
_xlpm._answers,SUBSTITUTE(SanitizeInput($D43),"&amp;",","),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IF(_xlpm._questionIDUndefined,$A43&amp;" - "&amp;_xlpm._question&amp;": ERROR: Unknown question ID.",
        IF(_xlpm._firstAnswerIsValidOption,"",$A43&amp;" - "&amp;_xlpm._question&amp;": First answer ("&amp;_xlpm._firstAnswer&amp;") is not a valid option.")&amp;
        IF(_xlpm._secondAnswerRequired,IF(_xlpm._secondAnswerProvided,"",$A43&amp;" - "&amp;_xlpm._question&amp;": Second answer required but not provided."),"")&amp;
        IF(NOT(_xlpm._secondAnswerRequired),IF(_xlpm._secondAnswerProvided,$A43&amp;" - "&amp;_xlpm._question&amp;": Second answer ("&amp;_xlpm._secondAnswer&amp;") provided but the question only supports one answer.",""),"")&amp;
        IF(_xlpm._secondAnswerIsValidOption,"",$A43&amp;" - "&amp;_xlpm._question&amp;": Second answer ("&amp;_xlpm._secondAnswer&amp;") is not a valid option.")))),
  _xlfn.LAMBDA(_xlpm._x,_xlpm._y,_xlpm._x&amp;IF(_xlpm._x="","",CHAR(10))&amp;_xlpm._y))))</f>
        <v/>
      </c>
      <c r="AP43" s="11" cm="1">
        <f t="array" aca="1" ref="AP43" ca="1">CreateID($AP$2,$AO43&lt;&gt;"")</f>
        <v>0</v>
      </c>
    </row>
    <row r="44" spans="1:42" ht="210" x14ac:dyDescent="0.25">
      <c r="A44" s="9" t="s">
        <v>587</v>
      </c>
      <c r="B44" s="10" t="s">
        <v>1279</v>
      </c>
      <c r="C44" s="10" t="s">
        <v>1280</v>
      </c>
      <c r="D44" s="10"/>
      <c r="E44" s="25" t="str" cm="1">
        <f t="array" ref="E44">OperateOnList(
  SanitizeInput($D44),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44" s="10" t="s">
        <v>1438</v>
      </c>
      <c r="G44" s="13" t="str" cm="1">
        <f t="array" aca="1" ref="G44" ca="1">LookupNames($F44,'Attack Steps'!$A:$B)</f>
        <v>AS24 Data extraction from the product's persistent memory,
AS30 Extracting information from a decommissioned or second-hand device's persistent memory</v>
      </c>
      <c r="H44" s="10" t="s">
        <v>581</v>
      </c>
      <c r="I44" s="13" t="str" cm="1">
        <f t="array" aca="1" ref="I44" ca="1">RemoveDelimiter(GetValuesWithFallback(SanitizeInput($H44),$A:$B,Assumptions!$A:$B," ",","&amp;CHAR(10),TRUE),","&amp;CHAR(10))</f>
        <v>C29 SRS 4.1 – Information confidentiality</v>
      </c>
      <c r="J44" s="10"/>
      <c r="K44" s="25" t="str" cm="1">
        <f t="array" ref="K44">IF($J44="","",SUBSTITUTE(SUBSTITUTE(SUBSTITUTE(SUBSTITUTE(SUBSTITUTE(SUBSTITUTE(SUBSTITUTE(SUBSTITUTE(SUBSTITUTE(
GetTransformation(SanitizeInput($J44),'Damage Scenarios'!$A:$J,COLUMNS('Damage Scenarios'!$A:$J),CHAR(10),"[#0][#1][#2]")&amp;"§",
"[#1][#2]",""),
"[#2]",""),
"[#0][#1]","[#1]"),
"[#0]","Removes:"&amp;CHAR(10)),
"[#1]","Transforms:"&amp;CHAR(10)),
CHAR(10)&amp;"§",""),
"§",""),
CHAR(10),CHAR(10)&amp;"   "),
"   "&amp;"Transforms:","Transforms:"))</f>
        <v/>
      </c>
      <c r="L44" s="10"/>
      <c r="M44" s="10"/>
      <c r="N44" s="10"/>
      <c r="O44" s="10" t="s">
        <v>122</v>
      </c>
      <c r="P44" s="10"/>
      <c r="Q44" s="13" t="str">
        <f ca="1">IF($A44="","",IFERROR(VLOOKUP($Z44,Definitions!$V:$W,COLUMNS(Definitions!$V:$W),TRUE),""))</f>
        <v>Beyond High</v>
      </c>
      <c r="R44" s="10" t="s">
        <v>454</v>
      </c>
      <c r="S44" s="10"/>
      <c r="T44" s="10" t="s">
        <v>1278</v>
      </c>
      <c r="U44" s="9" cm="1">
        <f t="array" aca="1" ref="U44" ca="1">CreateID($U$2,$A44&lt;&gt;"")</f>
        <v>42</v>
      </c>
      <c r="V44" s="11" t="b" cm="1">
        <f t="array" aca="1" ref="V44" ca="1">CheckRelevance(SanitizeInput(F44),Questionnaire!$J:$J)</f>
        <v>0</v>
      </c>
      <c r="W44" s="11" t="b">
        <f>IFERROR(_xlfn.XMATCH("*,"&amp;$A44&amp;",*",Mitigation!$X:$X,2)&gt;0,FALSE)</f>
        <v>0</v>
      </c>
      <c r="X44" s="11" cm="1">
        <f t="array" ref="X44">CreateTaskID($X$2,$X:$X,Tasks!$B$17,$T44)</f>
        <v>0</v>
      </c>
      <c r="Y44" s="11" t="str" cm="1">
        <f t="array" ref="Y44">CreateSearchString($F44)</f>
        <v>,AS24,AS30,</v>
      </c>
      <c r="Z44" s="11" cm="1">
        <f t="array" aca="1" ref="Z44" ca="1">OperateOnRange(
  $L44,
  TRUE,
  Helper!$B$16,
  0,
  _xlfn.LAMBDA(_xlpm._factor,IF(_xlpm._factor="",0,SimpleLookup(_xlpm._factor,Definitions!$Z:$AA))),
  _xlfn.LAMBDA(_xlpm._x,_xlpm._y,_xlpm._x+_xlpm._y))</f>
        <v>25</v>
      </c>
      <c r="AA44" s="11" t="str" cm="1">
        <f t="array" ref="AA44">CreateSearchString($H44)</f>
        <v>,C29,</v>
      </c>
      <c r="AB44" s="11" t="b" cm="1">
        <f t="array" aca="1" ref="AB44" ca="1">IF($A44="",FALSE,
OR($AG44,_xlfn.LAMBDA(_xlpm._ownID,_xlpm._searchHeader,_xlpm._resultHeader,_xlpm._elementCount,_xlpm._delimiter,_xlpm._activeInTreatmentRange,_xlpm._activeByAnswersRange,_xlpm._dependencies,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InverseLookup(_xlpm._ownID,_xlpm._searchHeader,_xlpm._resultHeader,1,_xlpm._elementCount,_xlpm._delimiter))))))($A44,$AA$2,$A$2,Helper!$B$4,",",$A:$W,$A:$AG,InverseLookup($A44,$AA$2,$A$2,1,Helper!$B$4,","))))</f>
        <v>0</v>
      </c>
      <c r="AC44" s="11" t="str" cm="1">
        <f t="array" aca="1" ref="AC44" ca="1">IF(OR($W44,$AB44,$AG44),CreateSearchString($H44),"")</f>
        <v/>
      </c>
      <c r="AD44" s="11" t="str" cm="1">
        <f t="array" ref="AD44">SUBSTITUTE(IF($W44,CreateSearchString($J44),""),"&gt;",",")</f>
        <v/>
      </c>
      <c r="AE44" s="11" cm="1">
        <f t="array" aca="1" ref="AE44" ca="1">CreateID($AE$2,$AB44)</f>
        <v>7</v>
      </c>
      <c r="AF44" s="11" t="str" cm="1">
        <f t="array" aca="1" ref="AF44" ca="1">IF($AB44,CreateSearchString($R44),"")</f>
        <v/>
      </c>
      <c r="AG44" s="11" t="b">
        <f>OR(CheckRelevance(SanitizeInput($D44),Questionnaire!$J:$J),CheckRelevance(SanitizeInput($D44),Questionnaire!$K:$K))</f>
        <v>0</v>
      </c>
      <c r="AH44" s="11" t="str" cm="1">
        <f t="array" ref="AH44">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FilterPreconditionCandidates(RemoveFirstElement(_xlpm._preconditionCandidates),_xlpm._searchColumn,_xlpm._delimiter))))(SanitizeInput($D44),Questionnaire!$AB:$AB,",")</f>
        <v/>
      </c>
      <c r="AI44" s="11" t="str" cm="1">
        <f t="array" ref="AI44">IF($D44="*","",InverseLookupList($AH44,Questionnaire!$AB$3,Questionnaire!$B$3,Helper!$B$12,","))</f>
        <v/>
      </c>
      <c r="AJ44" s="11" t="str" cm="1">
        <f t="array" ref="AJ44">RemoveDelimiter(GetValues($AI44,Questionnaire!$B:$H," ",CHAR(10)&amp;CHAR(10),TRUE),CHAR(10)&amp;CHAR(10))</f>
        <v/>
      </c>
      <c r="AK44" s="11" t="str" cm="1">
        <f t="array" ref="AK44">CreateSearchString($AI44)</f>
        <v/>
      </c>
      <c r="AL44" s="11" t="str" cm="1">
        <f t="array" aca="1" ref="AL44" ca="1">InverseLookup($A44,Mitigation!$AD$2,Mitigation!$A$2,1,Helper!$B$5,",")</f>
        <v/>
      </c>
      <c r="AM44" s="11" t="str" cm="1">
        <f t="array" aca="1" ref="AM44" ca="1">CreateSearchString(GetValues($AL44,'Attack Steps'!$A:$P,"",",",FALSE))</f>
        <v/>
      </c>
      <c r="AN44" s="11" t="str">
        <f t="shared" si="1"/>
        <v>CM4</v>
      </c>
      <c r="AO44" s="11" t="str" cm="1">
        <f t="array" ref="AO44">_xlfn.SWITCH($D44,
"*","",
"","",
_xlfn.LET(
_xlpm._answers,SUBSTITUTE(SanitizeInput($D44),"&amp;",","),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IF(_xlpm._questionIDUndefined,$A44&amp;" - "&amp;_xlpm._question&amp;": ERROR: Unknown question ID.",
        IF(_xlpm._firstAnswerIsValidOption,"",$A44&amp;" - "&amp;_xlpm._question&amp;": First answer ("&amp;_xlpm._firstAnswer&amp;") is not a valid option.")&amp;
        IF(_xlpm._secondAnswerRequired,IF(_xlpm._secondAnswerProvided,"",$A44&amp;" - "&amp;_xlpm._question&amp;": Second answer required but not provided."),"")&amp;
        IF(NOT(_xlpm._secondAnswerRequired),IF(_xlpm._secondAnswerProvided,$A44&amp;" - "&amp;_xlpm._question&amp;": Second answer ("&amp;_xlpm._secondAnswer&amp;") provided but the question only supports one answer.",""),"")&amp;
        IF(_xlpm._secondAnswerIsValidOption,"",$A44&amp;" - "&amp;_xlpm._question&amp;": Second answer ("&amp;_xlpm._secondAnswer&amp;") is not a valid option.")))),
  _xlfn.LAMBDA(_xlpm._x,_xlpm._y,_xlpm._x&amp;IF(_xlpm._x="","",CHAR(10))&amp;_xlpm._y))))</f>
        <v/>
      </c>
      <c r="AP44" s="11" cm="1">
        <f t="array" aca="1" ref="AP44" ca="1">CreateID($AP$2,$AO44&lt;&gt;"")</f>
        <v>0</v>
      </c>
    </row>
    <row r="45" spans="1:42" ht="150" x14ac:dyDescent="0.25">
      <c r="A45" s="9" t="s">
        <v>588</v>
      </c>
      <c r="B45" s="10" t="s">
        <v>1281</v>
      </c>
      <c r="C45" s="10" t="s">
        <v>1282</v>
      </c>
      <c r="D45" s="10"/>
      <c r="E45" s="25" t="str" cm="1">
        <f t="array" ref="E45">OperateOnList(
  SanitizeInput($D45),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45" s="10" t="s">
        <v>174</v>
      </c>
      <c r="G45" s="13" t="str" cm="1">
        <f t="array" aca="1" ref="G45" ca="1">LookupNames($F45,'Attack Steps'!$A:$B)</f>
        <v>AS16 Manipulating the product's configuration via its configuration interface</v>
      </c>
      <c r="H45" s="10" t="s">
        <v>799</v>
      </c>
      <c r="I45" s="13" t="str" cm="1">
        <f t="array" aca="1" ref="I45" ca="1">RemoveDelimiter(GetValuesWithFallback(SanitizeInput($H45),$A:$B,Assumptions!$A:$B," ",","&amp;CHAR(10),TRUE),","&amp;CHAR(10))</f>
        <v>C4 CR 1.1 – Human user identification and authentication,
A19 SDR 1.15 – Password security</v>
      </c>
      <c r="J45" s="10"/>
      <c r="K45" s="25" t="str" cm="1">
        <f t="array" ref="K45">IF($J45="","",SUBSTITUTE(SUBSTITUTE(SUBSTITUTE(SUBSTITUTE(SUBSTITUTE(SUBSTITUTE(SUBSTITUTE(SUBSTITUTE(SUBSTITUTE(
GetTransformation(SanitizeInput($J45),'Damage Scenarios'!$A:$J,COLUMNS('Damage Scenarios'!$A:$J),CHAR(10),"[#0][#1][#2]")&amp;"§",
"[#1][#2]",""),
"[#2]",""),
"[#0][#1]","[#1]"),
"[#0]","Removes:"&amp;CHAR(10)),
"[#1]","Transforms:"&amp;CHAR(10)),
CHAR(10)&amp;"§",""),
"§",""),
CHAR(10),CHAR(10)&amp;"   "),
"   "&amp;"Transforms:","Transforms:"))</f>
        <v/>
      </c>
      <c r="L45" s="10"/>
      <c r="M45" s="10"/>
      <c r="N45" s="10"/>
      <c r="O45" s="10" t="s">
        <v>122</v>
      </c>
      <c r="P45" s="10"/>
      <c r="Q45" s="13" t="str">
        <f ca="1">IF($A45="","",IFERROR(VLOOKUP($Z45,Definitions!$V:$W,COLUMNS(Definitions!$V:$W),TRUE),""))</f>
        <v>Beyond High</v>
      </c>
      <c r="R45" s="10" t="s">
        <v>453</v>
      </c>
      <c r="S45" s="10"/>
      <c r="T45" s="10" t="s">
        <v>860</v>
      </c>
      <c r="U45" s="9" cm="1">
        <f t="array" aca="1" ref="U45" ca="1">CreateID($U$2,$A45&lt;&gt;"")</f>
        <v>43</v>
      </c>
      <c r="V45" s="11" t="b" cm="1">
        <f t="array" aca="1" ref="V45" ca="1">CheckRelevance(SanitizeInput(F45),Questionnaire!$J:$J)</f>
        <v>0</v>
      </c>
      <c r="W45" s="11" t="b">
        <f>IFERROR(_xlfn.XMATCH("*,"&amp;$A45&amp;",*",Mitigation!$X:$X,2)&gt;0,FALSE)</f>
        <v>0</v>
      </c>
      <c r="X45" s="11" cm="1">
        <f t="array" ref="X45">CreateTaskID($X$2,$X:$X,Tasks!$B$17,$T45)</f>
        <v>0</v>
      </c>
      <c r="Y45" s="11" t="str" cm="1">
        <f t="array" ref="Y45">CreateSearchString($F45)</f>
        <v>,AS16,</v>
      </c>
      <c r="Z45" s="11" cm="1">
        <f t="array" aca="1" ref="Z45" ca="1">OperateOnRange(
  $L45,
  TRUE,
  Helper!$B$16,
  0,
  _xlfn.LAMBDA(_xlpm._factor,IF(_xlpm._factor="",0,SimpleLookup(_xlpm._factor,Definitions!$Z:$AA))),
  _xlfn.LAMBDA(_xlpm._x,_xlpm._y,_xlpm._x+_xlpm._y))</f>
        <v>25</v>
      </c>
      <c r="AA45" s="11" t="str" cm="1">
        <f t="array" ref="AA45">CreateSearchString($H45)</f>
        <v>,C4,A19,</v>
      </c>
      <c r="AB45" s="11" t="b" cm="1">
        <f t="array" aca="1" ref="AB45" ca="1">IF($A45="",FALSE,
OR($AG45,_xlfn.LAMBDA(_xlpm._ownID,_xlpm._searchHeader,_xlpm._resultHeader,_xlpm._elementCount,_xlpm._delimiter,_xlpm._activeInTreatmentRange,_xlpm._activeByAnswersRange,_xlpm._dependencies,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InverseLookup(_xlpm._ownID,_xlpm._searchHeader,_xlpm._resultHeader,1,_xlpm._elementCount,_xlpm._delimiter))))))($A45,$AA$2,$A$2,Helper!$B$4,",",$A:$W,$A:$AG,InverseLookup($A45,$AA$2,$A$2,1,Helper!$B$4,","))))</f>
        <v>0</v>
      </c>
      <c r="AC45" s="11" t="str" cm="1">
        <f t="array" aca="1" ref="AC45" ca="1">IF(OR($W45,$AB45,$AG45),CreateSearchString($H45),"")</f>
        <v/>
      </c>
      <c r="AD45" s="11" t="str" cm="1">
        <f t="array" ref="AD45">SUBSTITUTE(IF($W45,CreateSearchString($J45),""),"&gt;",",")</f>
        <v/>
      </c>
      <c r="AE45" s="11" cm="1">
        <f t="array" aca="1" ref="AE45" ca="1">CreateID($AE$2,$AB45)</f>
        <v>7</v>
      </c>
      <c r="AF45" s="11" t="str" cm="1">
        <f t="array" aca="1" ref="AF45" ca="1">IF($AB45,CreateSearchString($R45),"")</f>
        <v/>
      </c>
      <c r="AG45" s="11" t="b">
        <f>OR(CheckRelevance(SanitizeInput($D45),Questionnaire!$J:$J),CheckRelevance(SanitizeInput($D45),Questionnaire!$K:$K))</f>
        <v>0</v>
      </c>
      <c r="AH45" s="11" t="str" cm="1">
        <f t="array" ref="AH45">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FilterPreconditionCandidates(RemoveFirstElement(_xlpm._preconditionCandidates),_xlpm._searchColumn,_xlpm._delimiter))))(SanitizeInput($D45),Questionnaire!$AB:$AB,",")</f>
        <v/>
      </c>
      <c r="AI45" s="11" t="str" cm="1">
        <f t="array" ref="AI45">IF($D45="*","",InverseLookupList($AH45,Questionnaire!$AB$3,Questionnaire!$B$3,Helper!$B$12,","))</f>
        <v/>
      </c>
      <c r="AJ45" s="11" t="str" cm="1">
        <f t="array" ref="AJ45">RemoveDelimiter(GetValues($AI45,Questionnaire!$B:$H," ",CHAR(10)&amp;CHAR(10),TRUE),CHAR(10)&amp;CHAR(10))</f>
        <v/>
      </c>
      <c r="AK45" s="11" t="str" cm="1">
        <f t="array" ref="AK45">CreateSearchString($AI45)</f>
        <v/>
      </c>
      <c r="AL45" s="11" t="str" cm="1">
        <f t="array" aca="1" ref="AL45" ca="1">InverseLookup($A45,Mitigation!$AD$2,Mitigation!$A$2,1,Helper!$B$5,",")</f>
        <v/>
      </c>
      <c r="AM45" s="11" t="str" cm="1">
        <f t="array" aca="1" ref="AM45" ca="1">CreateSearchString(GetValues($AL45,'Attack Steps'!$A:$P,"",",",FALSE))</f>
        <v/>
      </c>
      <c r="AN45" s="11" t="str">
        <f t="shared" si="1"/>
        <v>CM5</v>
      </c>
      <c r="AO45" s="11" t="str" cm="1">
        <f t="array" ref="AO45">_xlfn.SWITCH($D45,
"*","",
"","",
_xlfn.LET(
_xlpm._answers,SUBSTITUTE(SanitizeInput($D45),"&amp;",","),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IF(_xlpm._questionIDUndefined,$A45&amp;" - "&amp;_xlpm._question&amp;": ERROR: Unknown question ID.",
        IF(_xlpm._firstAnswerIsValidOption,"",$A45&amp;" - "&amp;_xlpm._question&amp;": First answer ("&amp;_xlpm._firstAnswer&amp;") is not a valid option.")&amp;
        IF(_xlpm._secondAnswerRequired,IF(_xlpm._secondAnswerProvided,"",$A45&amp;" - "&amp;_xlpm._question&amp;": Second answer required but not provided."),"")&amp;
        IF(NOT(_xlpm._secondAnswerRequired),IF(_xlpm._secondAnswerProvided,$A45&amp;" - "&amp;_xlpm._question&amp;": Second answer ("&amp;_xlpm._secondAnswer&amp;") provided but the question only supports one answer.",""),"")&amp;
        IF(_xlpm._secondAnswerIsValidOption,"",$A45&amp;" - "&amp;_xlpm._question&amp;": Second answer ("&amp;_xlpm._secondAnswer&amp;") is not a valid option.")))),
  _xlfn.LAMBDA(_xlpm._x,_xlpm._y,_xlpm._x&amp;IF(_xlpm._x="","",CHAR(10))&amp;_xlpm._y))))</f>
        <v/>
      </c>
      <c r="AP45" s="11" cm="1">
        <f t="array" aca="1" ref="AP45" ca="1">CreateID($AP$2,$AO45&lt;&gt;"")</f>
        <v>0</v>
      </c>
    </row>
    <row r="46" spans="1:42" ht="210" x14ac:dyDescent="0.25">
      <c r="A46" s="9" t="s">
        <v>589</v>
      </c>
      <c r="B46" s="10" t="s">
        <v>1283</v>
      </c>
      <c r="C46" s="10" t="s">
        <v>1284</v>
      </c>
      <c r="D46" s="10"/>
      <c r="E46" s="25" t="str" cm="1">
        <f t="array" ref="E46">OperateOnList(
  SanitizeInput($D46),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46" s="10" t="s">
        <v>174</v>
      </c>
      <c r="G46" s="13" t="str" cm="1">
        <f t="array" aca="1" ref="G46" ca="1">LookupNames($F46,'Attack Steps'!$A:$B)</f>
        <v>AS16 Manipulating the product's configuration via its configuration interface</v>
      </c>
      <c r="H46" s="10" t="s">
        <v>838</v>
      </c>
      <c r="I46" s="13" t="str" cm="1">
        <f t="array" aca="1" ref="I46" ca="1">RemoveDelimiter(GetValuesWithFallback(SanitizeInput($H46),$A:$B,Assumptions!$A:$B," ",","&amp;CHAR(10),TRUE),","&amp;CHAR(10))</f>
        <v>C4 CR 1.1 – Human user identification and authentication,
C18 CR 4.3 – Use of cryptography</v>
      </c>
      <c r="J46" s="10"/>
      <c r="K46" s="25" t="str" cm="1">
        <f t="array" ref="K46">IF($J46="","",SUBSTITUTE(SUBSTITUTE(SUBSTITUTE(SUBSTITUTE(SUBSTITUTE(SUBSTITUTE(SUBSTITUTE(SUBSTITUTE(SUBSTITUTE(
GetTransformation(SanitizeInput($J46),'Damage Scenarios'!$A:$J,COLUMNS('Damage Scenarios'!$A:$J),CHAR(10),"[#0][#1][#2]")&amp;"§",
"[#1][#2]",""),
"[#2]",""),
"[#0][#1]","[#1]"),
"[#0]","Removes:"&amp;CHAR(10)),
"[#1]","Transforms:"&amp;CHAR(10)),
CHAR(10)&amp;"§",""),
"§",""),
CHAR(10),CHAR(10)&amp;"   "),
"   "&amp;"Transforms:","Transforms:"))</f>
        <v/>
      </c>
      <c r="L46" s="10"/>
      <c r="M46" s="10"/>
      <c r="N46" s="10"/>
      <c r="O46" s="10" t="s">
        <v>122</v>
      </c>
      <c r="P46" s="10"/>
      <c r="Q46" s="13" t="str">
        <f ca="1">IF($A46="","",IFERROR(VLOOKUP($Z46,Definitions!$V:$W,COLUMNS(Definitions!$V:$W),TRUE),""))</f>
        <v>Beyond High</v>
      </c>
      <c r="R46" s="10" t="s">
        <v>453</v>
      </c>
      <c r="S46" s="10"/>
      <c r="T46" s="10" t="s">
        <v>861</v>
      </c>
      <c r="U46" s="9" cm="1">
        <f t="array" aca="1" ref="U46" ca="1">CreateID($U$2,$A46&lt;&gt;"")</f>
        <v>44</v>
      </c>
      <c r="V46" s="11" t="b" cm="1">
        <f t="array" aca="1" ref="V46" ca="1">CheckRelevance(SanitizeInput(F46),Questionnaire!$J:$J)</f>
        <v>0</v>
      </c>
      <c r="W46" s="11" t="b">
        <f>IFERROR(_xlfn.XMATCH("*,"&amp;$A46&amp;",*",Mitigation!$X:$X,2)&gt;0,FALSE)</f>
        <v>0</v>
      </c>
      <c r="X46" s="11" cm="1">
        <f t="array" ref="X46">CreateTaskID($X$2,$X:$X,Tasks!$B$17,$T46)</f>
        <v>0</v>
      </c>
      <c r="Y46" s="11" t="str" cm="1">
        <f t="array" ref="Y46">CreateSearchString($F46)</f>
        <v>,AS16,</v>
      </c>
      <c r="Z46" s="11" cm="1">
        <f t="array" aca="1" ref="Z46" ca="1">OperateOnRange(
  $L46,
  TRUE,
  Helper!$B$16,
  0,
  _xlfn.LAMBDA(_xlpm._factor,IF(_xlpm._factor="",0,SimpleLookup(_xlpm._factor,Definitions!$Z:$AA))),
  _xlfn.LAMBDA(_xlpm._x,_xlpm._y,_xlpm._x+_xlpm._y))</f>
        <v>25</v>
      </c>
      <c r="AA46" s="11" t="str" cm="1">
        <f t="array" ref="AA46">CreateSearchString($H46)</f>
        <v>,C4,C18,</v>
      </c>
      <c r="AB46" s="11" t="b" cm="1">
        <f t="array" aca="1" ref="AB46" ca="1">IF($A46="",FALSE,
OR($AG46,_xlfn.LAMBDA(_xlpm._ownID,_xlpm._searchHeader,_xlpm._resultHeader,_xlpm._elementCount,_xlpm._delimiter,_xlpm._activeInTreatmentRange,_xlpm._activeByAnswersRange,_xlpm._dependencies,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InverseLookup(_xlpm._ownID,_xlpm._searchHeader,_xlpm._resultHeader,1,_xlpm._elementCount,_xlpm._delimiter))))))($A46,$AA$2,$A$2,Helper!$B$4,",",$A:$W,$A:$AG,InverseLookup($A46,$AA$2,$A$2,1,Helper!$B$4,","))))</f>
        <v>0</v>
      </c>
      <c r="AC46" s="11" t="str" cm="1">
        <f t="array" aca="1" ref="AC46" ca="1">IF(OR($W46,$AB46,$AG46),CreateSearchString($H46),"")</f>
        <v/>
      </c>
      <c r="AD46" s="11" t="str" cm="1">
        <f t="array" ref="AD46">SUBSTITUTE(IF($W46,CreateSearchString($J46),""),"&gt;",",")</f>
        <v/>
      </c>
      <c r="AE46" s="11" cm="1">
        <f t="array" aca="1" ref="AE46" ca="1">CreateID($AE$2,$AB46)</f>
        <v>7</v>
      </c>
      <c r="AF46" s="11" t="str" cm="1">
        <f t="array" aca="1" ref="AF46" ca="1">IF($AB46,CreateSearchString($R46),"")</f>
        <v/>
      </c>
      <c r="AG46" s="11" t="b">
        <f>OR(CheckRelevance(SanitizeInput($D46),Questionnaire!$J:$J),CheckRelevance(SanitizeInput($D46),Questionnaire!$K:$K))</f>
        <v>0</v>
      </c>
      <c r="AH46" s="11" t="str" cm="1">
        <f t="array" ref="AH46">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FilterPreconditionCandidates(RemoveFirstElement(_xlpm._preconditionCandidates),_xlpm._searchColumn,_xlpm._delimiter))))(SanitizeInput($D46),Questionnaire!$AB:$AB,",")</f>
        <v/>
      </c>
      <c r="AI46" s="11" t="str" cm="1">
        <f t="array" ref="AI46">IF($D46="*","",InverseLookupList($AH46,Questionnaire!$AB$3,Questionnaire!$B$3,Helper!$B$12,","))</f>
        <v/>
      </c>
      <c r="AJ46" s="11" t="str" cm="1">
        <f t="array" ref="AJ46">RemoveDelimiter(GetValues($AI46,Questionnaire!$B:$H," ",CHAR(10)&amp;CHAR(10),TRUE),CHAR(10)&amp;CHAR(10))</f>
        <v/>
      </c>
      <c r="AK46" s="11" t="str" cm="1">
        <f t="array" ref="AK46">CreateSearchString($AI46)</f>
        <v/>
      </c>
      <c r="AL46" s="11" t="str" cm="1">
        <f t="array" aca="1" ref="AL46" ca="1">InverseLookup($A46,Mitigation!$AD$2,Mitigation!$A$2,1,Helper!$B$5,",")</f>
        <v/>
      </c>
      <c r="AM46" s="11" t="str" cm="1">
        <f t="array" aca="1" ref="AM46" ca="1">CreateSearchString(GetValues($AL46,'Attack Steps'!$A:$P,"",",",FALSE))</f>
        <v/>
      </c>
      <c r="AN46" s="11" t="str">
        <f t="shared" si="1"/>
        <v>CM6</v>
      </c>
      <c r="AO46" s="11" t="str" cm="1">
        <f t="array" ref="AO46">_xlfn.SWITCH($D46,
"*","",
"","",
_xlfn.LET(
_xlpm._answers,SUBSTITUTE(SanitizeInput($D46),"&amp;",","),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IF(_xlpm._questionIDUndefined,$A46&amp;" - "&amp;_xlpm._question&amp;": ERROR: Unknown question ID.",
        IF(_xlpm._firstAnswerIsValidOption,"",$A46&amp;" - "&amp;_xlpm._question&amp;": First answer ("&amp;_xlpm._firstAnswer&amp;") is not a valid option.")&amp;
        IF(_xlpm._secondAnswerRequired,IF(_xlpm._secondAnswerProvided,"",$A46&amp;" - "&amp;_xlpm._question&amp;": Second answer required but not provided."),"")&amp;
        IF(NOT(_xlpm._secondAnswerRequired),IF(_xlpm._secondAnswerProvided,$A46&amp;" - "&amp;_xlpm._question&amp;": Second answer ("&amp;_xlpm._secondAnswer&amp;") provided but the question only supports one answer.",""),"")&amp;
        IF(_xlpm._secondAnswerIsValidOption,"",$A46&amp;" - "&amp;_xlpm._question&amp;": Second answer ("&amp;_xlpm._secondAnswer&amp;") is not a valid option.")))),
  _xlfn.LAMBDA(_xlpm._x,_xlpm._y,_xlpm._x&amp;IF(_xlpm._x="","",CHAR(10))&amp;_xlpm._y))))</f>
        <v/>
      </c>
      <c r="AP46" s="11" cm="1">
        <f t="array" aca="1" ref="AP46" ca="1">CreateID($AP$2,$AO46&lt;&gt;"")</f>
        <v>0</v>
      </c>
    </row>
    <row r="47" spans="1:42" ht="210" x14ac:dyDescent="0.25">
      <c r="A47" s="9" t="s">
        <v>590</v>
      </c>
      <c r="B47" s="10" t="s">
        <v>1290</v>
      </c>
      <c r="C47" s="10" t="s">
        <v>1265</v>
      </c>
      <c r="D47" s="10"/>
      <c r="E47" s="25" t="str" cm="1">
        <f t="array" ref="E47">OperateOnList(
  SanitizeInput($D47),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47" s="10" t="s">
        <v>270</v>
      </c>
      <c r="G47" s="13" t="str" cm="1">
        <f t="array" aca="1" ref="G47" ca="1">LookupNames($F47,'Attack Steps'!$A:$B)</f>
        <v>AS23 Compromising the product with direct access to its persistent memory</v>
      </c>
      <c r="H47" s="10"/>
      <c r="I47" s="13" t="str" cm="1">
        <f t="array" ref="I47">RemoveDelimiter(GetValuesWithFallback(SanitizeInput($H47),$A:$B,Assumptions!$A:$B," ",","&amp;CHAR(10),TRUE),","&amp;CHAR(10))</f>
        <v/>
      </c>
      <c r="J47" s="10"/>
      <c r="K47" s="25" t="str" cm="1">
        <f t="array" ref="K47">IF($J47="","",SUBSTITUTE(SUBSTITUTE(SUBSTITUTE(SUBSTITUTE(SUBSTITUTE(SUBSTITUTE(SUBSTITUTE(SUBSTITUTE(SUBSTITUTE(
GetTransformation(SanitizeInput($J47),'Damage Scenarios'!$A:$J,COLUMNS('Damage Scenarios'!$A:$J),CHAR(10),"[#0][#1][#2]")&amp;"§",
"[#1][#2]",""),
"[#2]",""),
"[#0][#1]","[#1]"),
"[#0]","Removes:"&amp;CHAR(10)),
"[#1]","Transforms:"&amp;CHAR(10)),
CHAR(10)&amp;"§",""),
"§",""),
CHAR(10),CHAR(10)&amp;"   "),
"   "&amp;"Transforms:","Transforms:"))</f>
        <v/>
      </c>
      <c r="L47" s="10" t="s">
        <v>106</v>
      </c>
      <c r="M47" s="10" t="s">
        <v>112</v>
      </c>
      <c r="N47" s="10" t="s">
        <v>115</v>
      </c>
      <c r="O47" s="10" t="s">
        <v>121</v>
      </c>
      <c r="P47" s="10" t="s">
        <v>125</v>
      </c>
      <c r="Q47" s="13" t="str">
        <f ca="1">IF($A47="","",IFERROR(VLOOKUP($Z47,Definitions!$V:$W,COLUMNS(Definitions!$V:$W),TRUE),""))</f>
        <v>Beyond High</v>
      </c>
      <c r="R47" s="10" t="s">
        <v>450</v>
      </c>
      <c r="S47" s="10"/>
      <c r="T47" s="10" t="s">
        <v>1047</v>
      </c>
      <c r="U47" s="9" cm="1">
        <f t="array" aca="1" ref="U47" ca="1">CreateID($U$2,$A47&lt;&gt;"")</f>
        <v>45</v>
      </c>
      <c r="V47" s="11" t="b" cm="1">
        <f t="array" aca="1" ref="V47" ca="1">CheckRelevance(SanitizeInput(F47),Questionnaire!$J:$J)</f>
        <v>0</v>
      </c>
      <c r="W47" s="11" t="b">
        <f>IFERROR(_xlfn.XMATCH("*,"&amp;$A47&amp;",*",Mitigation!$X:$X,2)&gt;0,FALSE)</f>
        <v>0</v>
      </c>
      <c r="X47" s="11" cm="1">
        <f t="array" ref="X47">CreateTaskID($X$2,$X:$X,Tasks!$B$17,$T47)</f>
        <v>0</v>
      </c>
      <c r="Y47" s="11" t="str" cm="1">
        <f t="array" ref="Y47">CreateSearchString($F47)</f>
        <v>,AS23,</v>
      </c>
      <c r="Z47" s="11" cm="1">
        <f t="array" aca="1" ref="Z47" ca="1">OperateOnRange(
  $L47,
  TRUE,
  Helper!$B$16,
  0,
  _xlfn.LAMBDA(_xlpm._factor,IF(_xlpm._factor="",0,SimpleLookup(_xlpm._factor,Definitions!$Z:$AA))),
  _xlfn.LAMBDA(_xlpm._x,_xlpm._y,_xlpm._x+_xlpm._y))</f>
        <v>30</v>
      </c>
      <c r="AA47" s="11" t="str" cm="1">
        <f t="array" ref="AA47">CreateSearchString($H47)</f>
        <v/>
      </c>
      <c r="AB47" s="11" t="b" cm="1">
        <f t="array" aca="1" ref="AB47" ca="1">IF($A47="",FALSE,
OR($AG47,_xlfn.LAMBDA(_xlpm._ownID,_xlpm._searchHeader,_xlpm._resultHeader,_xlpm._elementCount,_xlpm._delimiter,_xlpm._activeInTreatmentRange,_xlpm._activeByAnswersRange,_xlpm._dependencies,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InverseLookup(_xlpm._ownID,_xlpm._searchHeader,_xlpm._resultHeader,1,_xlpm._elementCount,_xlpm._delimiter))))))($A47,$AA$2,$A$2,Helper!$B$4,",",$A:$W,$A:$AG,InverseLookup($A47,$AA$2,$A$2,1,Helper!$B$4,","))))</f>
        <v>0</v>
      </c>
      <c r="AC47" s="11" t="str" cm="1">
        <f t="array" aca="1" ref="AC47" ca="1">IF(OR($W47,$AB47,$AG47),CreateSearchString($H47),"")</f>
        <v/>
      </c>
      <c r="AD47" s="11" t="str" cm="1">
        <f t="array" ref="AD47">SUBSTITUTE(IF($W47,CreateSearchString($J47),""),"&gt;",",")</f>
        <v/>
      </c>
      <c r="AE47" s="11" cm="1">
        <f t="array" aca="1" ref="AE47" ca="1">CreateID($AE$2,$AB47)</f>
        <v>7</v>
      </c>
      <c r="AF47" s="11" t="str" cm="1">
        <f t="array" aca="1" ref="AF47" ca="1">IF($AB47,CreateSearchString($R47),"")</f>
        <v/>
      </c>
      <c r="AG47" s="11" t="b">
        <f>OR(CheckRelevance(SanitizeInput($D47),Questionnaire!$J:$J),CheckRelevance(SanitizeInput($D47),Questionnaire!$K:$K))</f>
        <v>0</v>
      </c>
      <c r="AH47" s="11" t="str" cm="1">
        <f t="array" ref="AH47">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FilterPreconditionCandidates(RemoveFirstElement(_xlpm._preconditionCandidates),_xlpm._searchColumn,_xlpm._delimiter))))(SanitizeInput($D47),Questionnaire!$AB:$AB,",")</f>
        <v/>
      </c>
      <c r="AI47" s="11" t="str" cm="1">
        <f t="array" ref="AI47">IF($D47="*","",InverseLookupList($AH47,Questionnaire!$AB$3,Questionnaire!$B$3,Helper!$B$12,","))</f>
        <v/>
      </c>
      <c r="AJ47" s="11" t="str" cm="1">
        <f t="array" ref="AJ47">RemoveDelimiter(GetValues($AI47,Questionnaire!$B:$H," ",CHAR(10)&amp;CHAR(10),TRUE),CHAR(10)&amp;CHAR(10))</f>
        <v/>
      </c>
      <c r="AK47" s="11" t="str" cm="1">
        <f t="array" ref="AK47">CreateSearchString($AI47)</f>
        <v/>
      </c>
      <c r="AL47" s="11" t="str" cm="1">
        <f t="array" aca="1" ref="AL47" ca="1">InverseLookup($A47,Mitigation!$AD$2,Mitigation!$A$2,1,Helper!$B$5,",")</f>
        <v/>
      </c>
      <c r="AM47" s="11" t="str" cm="1">
        <f t="array" aca="1" ref="AM47" ca="1">CreateSearchString(GetValues($AL47,'Attack Steps'!$A:$P,"",",",FALSE))</f>
        <v/>
      </c>
      <c r="AN47" s="11" t="str">
        <f t="shared" si="1"/>
        <v>CM7</v>
      </c>
      <c r="AO47" s="11" t="str" cm="1">
        <f t="array" ref="AO47">_xlfn.SWITCH($D47,
"*","",
"","",
_xlfn.LET(
_xlpm._answers,SUBSTITUTE(SanitizeInput($D47),"&amp;",","),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IF(_xlpm._questionIDUndefined,$A47&amp;" - "&amp;_xlpm._question&amp;": ERROR: Unknown question ID.",
        IF(_xlpm._firstAnswerIsValidOption,"",$A47&amp;" - "&amp;_xlpm._question&amp;": First answer ("&amp;_xlpm._firstAnswer&amp;") is not a valid option.")&amp;
        IF(_xlpm._secondAnswerRequired,IF(_xlpm._secondAnswerProvided,"",$A47&amp;" - "&amp;_xlpm._question&amp;": Second answer required but not provided."),"")&amp;
        IF(NOT(_xlpm._secondAnswerRequired),IF(_xlpm._secondAnswerProvided,$A47&amp;" - "&amp;_xlpm._question&amp;": Second answer ("&amp;_xlpm._secondAnswer&amp;") provided but the question only supports one answer.",""),"")&amp;
        IF(_xlpm._secondAnswerIsValidOption,"",$A47&amp;" - "&amp;_xlpm._question&amp;": Second answer ("&amp;_xlpm._secondAnswer&amp;") is not a valid option.")))),
  _xlfn.LAMBDA(_xlpm._x,_xlpm._y,_xlpm._x&amp;IF(_xlpm._x="","",CHAR(10))&amp;_xlpm._y))))</f>
        <v/>
      </c>
      <c r="AP47" s="11" cm="1">
        <f t="array" aca="1" ref="AP47" ca="1">CreateID($AP$2,$AO47&lt;&gt;"")</f>
        <v>0</v>
      </c>
    </row>
    <row r="48" spans="1:42" ht="60" x14ac:dyDescent="0.25">
      <c r="A48" s="9" t="s">
        <v>591</v>
      </c>
      <c r="B48" s="10" t="s">
        <v>1291</v>
      </c>
      <c r="C48" s="10" t="s">
        <v>1289</v>
      </c>
      <c r="D48" s="10"/>
      <c r="E48" s="25" t="str" cm="1">
        <f t="array" ref="E48">OperateOnList(
  SanitizeInput($D48),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48" s="10" t="s">
        <v>832</v>
      </c>
      <c r="G48" s="13" t="str" cm="1">
        <f t="array" aca="1" ref="G48" ca="1">LookupNames($F48,'Attack Steps'!$A:$B)</f>
        <v>AS25 Accessing the product's debug interfaces remotely,
AS26 Accessing the product's physical debug interfaces</v>
      </c>
      <c r="H48" s="10" t="s">
        <v>484</v>
      </c>
      <c r="I48" s="13" t="str" cm="1">
        <f t="array" aca="1" ref="I48" ca="1">RemoveDelimiter(GetValuesWithFallback(SanitizeInput($H48),$A:$B,Assumptions!$A:$B," ",","&amp;CHAR(10),TRUE),","&amp;CHAR(10))</f>
        <v>C26 EDR 2.13 / HDR 2.13 / NDR 2.13 – Use of physical diagnostic and test interfaces</v>
      </c>
      <c r="J48" s="10"/>
      <c r="K48" s="25" t="str" cm="1">
        <f t="array" ref="K48">IF($J48="","",SUBSTITUTE(SUBSTITUTE(SUBSTITUTE(SUBSTITUTE(SUBSTITUTE(SUBSTITUTE(SUBSTITUTE(SUBSTITUTE(SUBSTITUTE(
GetTransformation(SanitizeInput($J48),'Damage Scenarios'!$A:$J,COLUMNS('Damage Scenarios'!$A:$J),CHAR(10),"[#0][#1][#2]")&amp;"§",
"[#1][#2]",""),
"[#2]",""),
"[#0][#1]","[#1]"),
"[#0]","Removes:"&amp;CHAR(10)),
"[#1]","Transforms:"&amp;CHAR(10)),
CHAR(10)&amp;"§",""),
"§",""),
CHAR(10),CHAR(10)&amp;"   "),
"   "&amp;"Transforms:","Transforms:"))</f>
        <v/>
      </c>
      <c r="L48" s="10"/>
      <c r="M48" s="10"/>
      <c r="N48" s="10"/>
      <c r="O48" s="10" t="s">
        <v>122</v>
      </c>
      <c r="P48" s="10"/>
      <c r="Q48" s="13" t="str">
        <f ca="1">IF($A48="","",IFERROR(VLOOKUP($Z48,Definitions!$V:$W,COLUMNS(Definitions!$V:$W),TRUE),""))</f>
        <v>Beyond High</v>
      </c>
      <c r="R48" s="10" t="s">
        <v>1399</v>
      </c>
      <c r="S48" s="10"/>
      <c r="T48" s="10" t="s">
        <v>862</v>
      </c>
      <c r="U48" s="9" cm="1">
        <f t="array" aca="1" ref="U48" ca="1">CreateID($U$2,$A48&lt;&gt;"")</f>
        <v>46</v>
      </c>
      <c r="V48" s="11" t="b" cm="1">
        <f t="array" aca="1" ref="V48" ca="1">CheckRelevance(SanitizeInput(F48),Questionnaire!$J:$J)</f>
        <v>0</v>
      </c>
      <c r="W48" s="11" t="b">
        <f>IFERROR(_xlfn.XMATCH("*,"&amp;$A48&amp;",*",Mitigation!$X:$X,2)&gt;0,FALSE)</f>
        <v>0</v>
      </c>
      <c r="X48" s="11" cm="1">
        <f t="array" ref="X48">CreateTaskID($X$2,$X:$X,Tasks!$B$17,$T48)</f>
        <v>0</v>
      </c>
      <c r="Y48" s="11" t="str" cm="1">
        <f t="array" ref="Y48">CreateSearchString($F48)</f>
        <v>,AS25,AS26,</v>
      </c>
      <c r="Z48" s="11" cm="1">
        <f t="array" aca="1" ref="Z48" ca="1">OperateOnRange(
  $L48,
  TRUE,
  Helper!$B$16,
  0,
  _xlfn.LAMBDA(_xlpm._factor,IF(_xlpm._factor="",0,SimpleLookup(_xlpm._factor,Definitions!$Z:$AA))),
  _xlfn.LAMBDA(_xlpm._x,_xlpm._y,_xlpm._x+_xlpm._y))</f>
        <v>25</v>
      </c>
      <c r="AA48" s="11" t="str" cm="1">
        <f t="array" ref="AA48">CreateSearchString($H48)</f>
        <v>,C26,</v>
      </c>
      <c r="AB48" s="11" t="b" cm="1">
        <f t="array" aca="1" ref="AB48" ca="1">IF($A48="",FALSE,
OR($AG48,_xlfn.LAMBDA(_xlpm._ownID,_xlpm._searchHeader,_xlpm._resultHeader,_xlpm._elementCount,_xlpm._delimiter,_xlpm._activeInTreatmentRange,_xlpm._activeByAnswersRange,_xlpm._dependencies,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InverseLookup(_xlpm._ownID,_xlpm._searchHeader,_xlpm._resultHeader,1,_xlpm._elementCount,_xlpm._delimiter))))))($A48,$AA$2,$A$2,Helper!$B$4,",",$A:$W,$A:$AG,InverseLookup($A48,$AA$2,$A$2,1,Helper!$B$4,","))))</f>
        <v>0</v>
      </c>
      <c r="AC48" s="11" t="str" cm="1">
        <f t="array" aca="1" ref="AC48" ca="1">IF(OR($W48,$AB48,$AG48),CreateSearchString($H48),"")</f>
        <v/>
      </c>
      <c r="AD48" s="11" t="str" cm="1">
        <f t="array" ref="AD48">SUBSTITUTE(IF($W48,CreateSearchString($J48),""),"&gt;",",")</f>
        <v/>
      </c>
      <c r="AE48" s="11" cm="1">
        <f t="array" aca="1" ref="AE48" ca="1">CreateID($AE$2,$AB48)</f>
        <v>7</v>
      </c>
      <c r="AF48" s="11" t="str" cm="1">
        <f t="array" aca="1" ref="AF48" ca="1">IF($AB48,CreateSearchString($R48),"")</f>
        <v/>
      </c>
      <c r="AG48" s="11" t="b">
        <f>OR(CheckRelevance(SanitizeInput($D48),Questionnaire!$J:$J),CheckRelevance(SanitizeInput($D48),Questionnaire!$K:$K))</f>
        <v>0</v>
      </c>
      <c r="AH48" s="11" t="str" cm="1">
        <f t="array" ref="AH48">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FilterPreconditionCandidates(RemoveFirstElement(_xlpm._preconditionCandidates),_xlpm._searchColumn,_xlpm._delimiter))))(SanitizeInput($D48),Questionnaire!$AB:$AB,",")</f>
        <v/>
      </c>
      <c r="AI48" s="11" t="str" cm="1">
        <f t="array" ref="AI48">IF($D48="*","",InverseLookupList($AH48,Questionnaire!$AB$3,Questionnaire!$B$3,Helper!$B$12,","))</f>
        <v/>
      </c>
      <c r="AJ48" s="11" t="str" cm="1">
        <f t="array" ref="AJ48">RemoveDelimiter(GetValues($AI48,Questionnaire!$B:$H," ",CHAR(10)&amp;CHAR(10),TRUE),CHAR(10)&amp;CHAR(10))</f>
        <v/>
      </c>
      <c r="AK48" s="11" t="str" cm="1">
        <f t="array" ref="AK48">CreateSearchString($AI48)</f>
        <v/>
      </c>
      <c r="AL48" s="11" t="str" cm="1">
        <f t="array" aca="1" ref="AL48" ca="1">InverseLookup($A48,Mitigation!$AD$2,Mitigation!$A$2,1,Helper!$B$5,",")</f>
        <v/>
      </c>
      <c r="AM48" s="11" t="str" cm="1">
        <f t="array" aca="1" ref="AM48" ca="1">CreateSearchString(GetValues($AL48,'Attack Steps'!$A:$P,"",",",FALSE))</f>
        <v/>
      </c>
      <c r="AN48" s="11" t="str">
        <f t="shared" si="1"/>
        <v>CM8</v>
      </c>
      <c r="AO48" s="11" t="str" cm="1">
        <f t="array" ref="AO48">_xlfn.SWITCH($D48,
"*","",
"","",
_xlfn.LET(
_xlpm._answers,SUBSTITUTE(SanitizeInput($D48),"&amp;",","),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IF(_xlpm._questionIDUndefined,$A48&amp;" - "&amp;_xlpm._question&amp;": ERROR: Unknown question ID.",
        IF(_xlpm._firstAnswerIsValidOption,"",$A48&amp;" - "&amp;_xlpm._question&amp;": First answer ("&amp;_xlpm._firstAnswer&amp;") is not a valid option.")&amp;
        IF(_xlpm._secondAnswerRequired,IF(_xlpm._secondAnswerProvided,"",$A48&amp;" - "&amp;_xlpm._question&amp;": Second answer required but not provided."),"")&amp;
        IF(NOT(_xlpm._secondAnswerRequired),IF(_xlpm._secondAnswerProvided,$A48&amp;" - "&amp;_xlpm._question&amp;": Second answer ("&amp;_xlpm._secondAnswer&amp;") provided but the question only supports one answer.",""),"")&amp;
        IF(_xlpm._secondAnswerIsValidOption,"",$A48&amp;" - "&amp;_xlpm._question&amp;": Second answer ("&amp;_xlpm._secondAnswer&amp;") is not a valid option.")))),
  _xlfn.LAMBDA(_xlpm._x,_xlpm._y,_xlpm._x&amp;IF(_xlpm._x="","",CHAR(10))&amp;_xlpm._y))))</f>
        <v/>
      </c>
      <c r="AP48" s="11" cm="1">
        <f t="array" aca="1" ref="AP48" ca="1">CreateID($AP$2,$AO48&lt;&gt;"")</f>
        <v>0</v>
      </c>
    </row>
    <row r="49" spans="1:42" ht="105" x14ac:dyDescent="0.25">
      <c r="A49" s="9" t="s">
        <v>592</v>
      </c>
      <c r="B49" s="10" t="s">
        <v>1292</v>
      </c>
      <c r="C49" s="10" t="s">
        <v>1288</v>
      </c>
      <c r="D49" s="10"/>
      <c r="E49" s="25" t="str" cm="1">
        <f t="array" ref="E49">OperateOnList(
  SanitizeInput($D49),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49" s="10" t="s">
        <v>83</v>
      </c>
      <c r="G49" s="13" t="str" cm="1">
        <f t="array" aca="1" ref="G49" ca="1">LookupNames($F49,'Attack Steps'!$A:$B)</f>
        <v>AS6 Spoofing / tampering with the product's outgoing communication</v>
      </c>
      <c r="H49" s="10" t="s">
        <v>973</v>
      </c>
      <c r="I49" s="13" t="str" cm="1">
        <f t="array" aca="1" ref="I49" ca="1">RemoveDelimiter(GetValuesWithFallback(SanitizeInput($H49),$A:$B,Assumptions!$A:$B," ",","&amp;CHAR(10),TRUE),","&amp;CHAR(10))</f>
        <v>C1 CCSC 1: Support of essential functions,
C18 CR 4.3 – Use of cryptography</v>
      </c>
      <c r="J49" s="10"/>
      <c r="K49" s="25" t="str" cm="1">
        <f t="array" ref="K49">IF($J49="","",SUBSTITUTE(SUBSTITUTE(SUBSTITUTE(SUBSTITUTE(SUBSTITUTE(SUBSTITUTE(SUBSTITUTE(SUBSTITUTE(SUBSTITUTE(
GetTransformation(SanitizeInput($J49),'Damage Scenarios'!$A:$J,COLUMNS('Damage Scenarios'!$A:$J),CHAR(10),"[#0][#1][#2]")&amp;"§",
"[#1][#2]",""),
"[#2]",""),
"[#0][#1]","[#1]"),
"[#0]","Removes:"&amp;CHAR(10)),
"[#1]","Transforms:"&amp;CHAR(10)),
CHAR(10)&amp;"§",""),
"§",""),
CHAR(10),CHAR(10)&amp;"   "),
"   "&amp;"Transforms:","Transforms:"))</f>
        <v/>
      </c>
      <c r="L49" s="10" t="s">
        <v>108</v>
      </c>
      <c r="M49" s="10"/>
      <c r="N49" s="10"/>
      <c r="O49" s="10"/>
      <c r="P49" s="10"/>
      <c r="Q49" s="13" t="str">
        <f ca="1">IF($A49="","",IFERROR(VLOOKUP($Z49,Definitions!$V:$W,COLUMNS(Definitions!$V:$W),TRUE),""))</f>
        <v>Beyond High</v>
      </c>
      <c r="R49" s="10" t="s">
        <v>1397</v>
      </c>
      <c r="S49" s="10"/>
      <c r="T49" s="10" t="s">
        <v>1287</v>
      </c>
      <c r="U49" s="9" cm="1">
        <f t="array" aca="1" ref="U49" ca="1">CreateID($U$2,$A49&lt;&gt;"")</f>
        <v>47</v>
      </c>
      <c r="V49" s="11" t="b" cm="1">
        <f t="array" aca="1" ref="V49" ca="1">CheckRelevance(SanitizeInput(F49),Questionnaire!$J:$J)</f>
        <v>0</v>
      </c>
      <c r="W49" s="11" t="b">
        <f>IFERROR(_xlfn.XMATCH("*,"&amp;$A49&amp;",*",Mitigation!$X:$X,2)&gt;0,FALSE)</f>
        <v>0</v>
      </c>
      <c r="X49" s="11" cm="1">
        <f t="array" ref="X49">CreateTaskID($X$2,$X:$X,Tasks!$B$17,$T49)</f>
        <v>0</v>
      </c>
      <c r="Y49" s="11" t="str" cm="1">
        <f t="array" ref="Y49">CreateSearchString($F49)</f>
        <v>,AS6,</v>
      </c>
      <c r="Z49" s="11" cm="1">
        <f t="array" aca="1" ref="Z49" ca="1">OperateOnRange(
  $L49,
  TRUE,
  Helper!$B$16,
  0,
  _xlfn.LAMBDA(_xlpm._factor,IF(_xlpm._factor="",0,SimpleLookup(_xlpm._factor,Definitions!$Z:$AA))),
  _xlfn.LAMBDA(_xlpm._x,_xlpm._y,_xlpm._x+_xlpm._y))</f>
        <v>25</v>
      </c>
      <c r="AA49" s="11" t="str" cm="1">
        <f t="array" ref="AA49">CreateSearchString($H49)</f>
        <v>,C1,C18,</v>
      </c>
      <c r="AB49" s="11" t="b" cm="1">
        <f t="array" aca="1" ref="AB49" ca="1">IF($A49="",FALSE,
OR($AG49,_xlfn.LAMBDA(_xlpm._ownID,_xlpm._searchHeader,_xlpm._resultHeader,_xlpm._elementCount,_xlpm._delimiter,_xlpm._activeInTreatmentRange,_xlpm._activeByAnswersRange,_xlpm._dependencies,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InverseLookup(_xlpm._ownID,_xlpm._searchHeader,_xlpm._resultHeader,1,_xlpm._elementCount,_xlpm._delimiter))))))($A49,$AA$2,$A$2,Helper!$B$4,",",$A:$W,$A:$AG,InverseLookup($A49,$AA$2,$A$2,1,Helper!$B$4,","))))</f>
        <v>0</v>
      </c>
      <c r="AC49" s="11" t="str" cm="1">
        <f t="array" aca="1" ref="AC49" ca="1">IF(OR($W49,$AB49,$AG49),CreateSearchString($H49),"")</f>
        <v/>
      </c>
      <c r="AD49" s="11" t="str" cm="1">
        <f t="array" ref="AD49">SUBSTITUTE(IF($W49,CreateSearchString($J49),""),"&gt;",",")</f>
        <v/>
      </c>
      <c r="AE49" s="11" cm="1">
        <f t="array" aca="1" ref="AE49" ca="1">CreateID($AE$2,$AB49)</f>
        <v>7</v>
      </c>
      <c r="AF49" s="11" t="str" cm="1">
        <f t="array" aca="1" ref="AF49" ca="1">IF($AB49,CreateSearchString($R49),"")</f>
        <v/>
      </c>
      <c r="AG49" s="11" t="b">
        <f>OR(CheckRelevance(SanitizeInput($D49),Questionnaire!$J:$J),CheckRelevance(SanitizeInput($D49),Questionnaire!$K:$K))</f>
        <v>0</v>
      </c>
      <c r="AH49" s="11" t="str" cm="1">
        <f t="array" ref="AH49">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FilterPreconditionCandidates(RemoveFirstElement(_xlpm._preconditionCandidates),_xlpm._searchColumn,_xlpm._delimiter))))(SanitizeInput($D49),Questionnaire!$AB:$AB,",")</f>
        <v/>
      </c>
      <c r="AI49" s="11" t="str" cm="1">
        <f t="array" ref="AI49">IF($D49="*","",InverseLookupList($AH49,Questionnaire!$AB$3,Questionnaire!$B$3,Helper!$B$12,","))</f>
        <v/>
      </c>
      <c r="AJ49" s="11" t="str" cm="1">
        <f t="array" ref="AJ49">RemoveDelimiter(GetValues($AI49,Questionnaire!$B:$H," ",CHAR(10)&amp;CHAR(10),TRUE),CHAR(10)&amp;CHAR(10))</f>
        <v/>
      </c>
      <c r="AK49" s="11" t="str" cm="1">
        <f t="array" ref="AK49">CreateSearchString($AI49)</f>
        <v/>
      </c>
      <c r="AL49" s="11" t="str" cm="1">
        <f t="array" aca="1" ref="AL49" ca="1">InverseLookup($A49,Mitigation!$AD$2,Mitigation!$A$2,1,Helper!$B$5,",")</f>
        <v/>
      </c>
      <c r="AM49" s="11" t="str" cm="1">
        <f t="array" aca="1" ref="AM49" ca="1">CreateSearchString(GetValues($AL49,'Attack Steps'!$A:$P,"",",",FALSE))</f>
        <v/>
      </c>
      <c r="AN49" s="11" t="str">
        <f t="shared" si="1"/>
        <v>CM10</v>
      </c>
      <c r="AO49" s="11" t="str" cm="1">
        <f t="array" ref="AO49">_xlfn.SWITCH($D49,
"*","",
"","",
_xlfn.LET(
_xlpm._answers,SUBSTITUTE(SanitizeInput($D49),"&amp;",","),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IF(_xlpm._questionIDUndefined,$A49&amp;" - "&amp;_xlpm._question&amp;": ERROR: Unknown question ID.",
        IF(_xlpm._firstAnswerIsValidOption,"",$A49&amp;" - "&amp;_xlpm._question&amp;": First answer ("&amp;_xlpm._firstAnswer&amp;") is not a valid option.")&amp;
        IF(_xlpm._secondAnswerRequired,IF(_xlpm._secondAnswerProvided,"",$A49&amp;" - "&amp;_xlpm._question&amp;": Second answer required but not provided."),"")&amp;
        IF(NOT(_xlpm._secondAnswerRequired),IF(_xlpm._secondAnswerProvided,$A49&amp;" - "&amp;_xlpm._question&amp;": Second answer ("&amp;_xlpm._secondAnswer&amp;") provided but the question only supports one answer.",""),"")&amp;
        IF(_xlpm._secondAnswerIsValidOption,"",$A49&amp;" - "&amp;_xlpm._question&amp;": Second answer ("&amp;_xlpm._secondAnswer&amp;") is not a valid option.")))),
  _xlfn.LAMBDA(_xlpm._x,_xlpm._y,_xlpm._x&amp;IF(_xlpm._x="","",CHAR(10))&amp;_xlpm._y))))</f>
        <v/>
      </c>
      <c r="AP49" s="11" cm="1">
        <f t="array" aca="1" ref="AP49" ca="1">CreateID($AP$2,$AO49&lt;&gt;"")</f>
        <v>0</v>
      </c>
    </row>
    <row r="50" spans="1:42" ht="135" x14ac:dyDescent="0.25">
      <c r="A50" s="9" t="s">
        <v>593</v>
      </c>
      <c r="B50" s="10" t="s">
        <v>1295</v>
      </c>
      <c r="C50" s="10" t="s">
        <v>1296</v>
      </c>
      <c r="D50" s="10"/>
      <c r="E50" s="25" t="str" cm="1">
        <f t="array" ref="E50">OperateOnList(
  SanitizeInput($D50),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50" s="10" t="s">
        <v>836</v>
      </c>
      <c r="G50" s="13" t="str" cm="1">
        <f t="array" aca="1" ref="G50" ca="1">LookupNames($F50,'Attack Steps'!$A:$B)</f>
        <v>AS7 Spoofing / tampering with the product's incoming communication,
AS19 Spoofing an entity sending a software update or manipulation of the update during transmission,
AS34 Attacking the product's outgoing communication to an external communication partner over the Internet or a mobile network,
AS36 Attacking the product's incoming communication from the Internet or a mobile network</v>
      </c>
      <c r="H50" s="10" t="s">
        <v>973</v>
      </c>
      <c r="I50" s="13" t="str" cm="1">
        <f t="array" aca="1" ref="I50" ca="1">RemoveDelimiter(GetValuesWithFallback(SanitizeInput($H50),$A:$B,Assumptions!$A:$B," ",","&amp;CHAR(10),TRUE),","&amp;CHAR(10))</f>
        <v>C1 CCSC 1: Support of essential functions,
C18 CR 4.3 – Use of cryptography</v>
      </c>
      <c r="J50" s="10"/>
      <c r="K50" s="25" t="str" cm="1">
        <f t="array" ref="K50">IF($J50="","",SUBSTITUTE(SUBSTITUTE(SUBSTITUTE(SUBSTITUTE(SUBSTITUTE(SUBSTITUTE(SUBSTITUTE(SUBSTITUTE(SUBSTITUTE(
GetTransformation(SanitizeInput($J50),'Damage Scenarios'!$A:$J,COLUMNS('Damage Scenarios'!$A:$J),CHAR(10),"[#0][#1][#2]")&amp;"§",
"[#1][#2]",""),
"[#2]",""),
"[#0][#1]","[#1]"),
"[#0]","Removes:"&amp;CHAR(10)),
"[#1]","Transforms:"&amp;CHAR(10)),
CHAR(10)&amp;"§",""),
"§",""),
CHAR(10),CHAR(10)&amp;"   "),
"   "&amp;"Transforms:","Transforms:"))</f>
        <v/>
      </c>
      <c r="L50" s="10" t="s">
        <v>108</v>
      </c>
      <c r="M50" s="10"/>
      <c r="N50" s="10"/>
      <c r="O50" s="10"/>
      <c r="P50" s="10"/>
      <c r="Q50" s="13" t="str">
        <f ca="1">IF($A50="","",IFERROR(VLOOKUP($Z50,Definitions!$V:$W,COLUMNS(Definitions!$V:$W),TRUE),""))</f>
        <v>Beyond High</v>
      </c>
      <c r="R50" s="10" t="s">
        <v>1397</v>
      </c>
      <c r="S50" s="10"/>
      <c r="T50" s="10" t="s">
        <v>863</v>
      </c>
      <c r="U50" s="9" cm="1">
        <f t="array" aca="1" ref="U50" ca="1">CreateID($U$2,$A50&lt;&gt;"")</f>
        <v>48</v>
      </c>
      <c r="V50" s="11" t="b" cm="1">
        <f t="array" aca="1" ref="V50" ca="1">CheckRelevance(SanitizeInput(F50),Questionnaire!$J:$J)</f>
        <v>0</v>
      </c>
      <c r="W50" s="11" t="b">
        <f>IFERROR(_xlfn.XMATCH("*,"&amp;$A50&amp;",*",Mitigation!$X:$X,2)&gt;0,FALSE)</f>
        <v>0</v>
      </c>
      <c r="X50" s="11" cm="1">
        <f t="array" ref="X50">CreateTaskID($X$2,$X:$X,Tasks!$B$17,$T50)</f>
        <v>0</v>
      </c>
      <c r="Y50" s="11" t="str" cm="1">
        <f t="array" ref="Y50">CreateSearchString($F50)</f>
        <v>,AS7,AS19,AS34,AS36,</v>
      </c>
      <c r="Z50" s="11" cm="1">
        <f t="array" aca="1" ref="Z50" ca="1">OperateOnRange(
  $L50,
  TRUE,
  Helper!$B$16,
  0,
  _xlfn.LAMBDA(_xlpm._factor,IF(_xlpm._factor="",0,SimpleLookup(_xlpm._factor,Definitions!$Z:$AA))),
  _xlfn.LAMBDA(_xlpm._x,_xlpm._y,_xlpm._x+_xlpm._y))</f>
        <v>25</v>
      </c>
      <c r="AA50" s="11" t="str" cm="1">
        <f t="array" ref="AA50">CreateSearchString($H50)</f>
        <v>,C1,C18,</v>
      </c>
      <c r="AB50" s="11" t="b" cm="1">
        <f t="array" aca="1" ref="AB50" ca="1">IF($A50="",FALSE,
OR($AG50,_xlfn.LAMBDA(_xlpm._ownID,_xlpm._searchHeader,_xlpm._resultHeader,_xlpm._elementCount,_xlpm._delimiter,_xlpm._activeInTreatmentRange,_xlpm._activeByAnswersRange,_xlpm._dependencies,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InverseLookup(_xlpm._ownID,_xlpm._searchHeader,_xlpm._resultHeader,1,_xlpm._elementCount,_xlpm._delimiter))))))($A50,$AA$2,$A$2,Helper!$B$4,",",$A:$W,$A:$AG,InverseLookup($A50,$AA$2,$A$2,1,Helper!$B$4,","))))</f>
        <v>0</v>
      </c>
      <c r="AC50" s="11" t="str" cm="1">
        <f t="array" aca="1" ref="AC50" ca="1">IF(OR($W50,$AB50,$AG50),CreateSearchString($H50),"")</f>
        <v/>
      </c>
      <c r="AD50" s="11" t="str" cm="1">
        <f t="array" ref="AD50">SUBSTITUTE(IF($W50,CreateSearchString($J50),""),"&gt;",",")</f>
        <v/>
      </c>
      <c r="AE50" s="11" cm="1">
        <f t="array" aca="1" ref="AE50" ca="1">CreateID($AE$2,$AB50)</f>
        <v>7</v>
      </c>
      <c r="AF50" s="11" t="str" cm="1">
        <f t="array" aca="1" ref="AF50" ca="1">IF($AB50,CreateSearchString($R50),"")</f>
        <v/>
      </c>
      <c r="AG50" s="11" t="b">
        <f>OR(CheckRelevance(SanitizeInput($D50),Questionnaire!$J:$J),CheckRelevance(SanitizeInput($D50),Questionnaire!$K:$K))</f>
        <v>0</v>
      </c>
      <c r="AH50" s="11" t="str" cm="1">
        <f t="array" ref="AH50">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FilterPreconditionCandidates(RemoveFirstElement(_xlpm._preconditionCandidates),_xlpm._searchColumn,_xlpm._delimiter))))(SanitizeInput($D50),Questionnaire!$AB:$AB,",")</f>
        <v/>
      </c>
      <c r="AI50" s="11" t="str" cm="1">
        <f t="array" ref="AI50">IF($D50="*","",InverseLookupList($AH50,Questionnaire!$AB$3,Questionnaire!$B$3,Helper!$B$12,","))</f>
        <v/>
      </c>
      <c r="AJ50" s="11" t="str" cm="1">
        <f t="array" ref="AJ50">RemoveDelimiter(GetValues($AI50,Questionnaire!$B:$H," ",CHAR(10)&amp;CHAR(10),TRUE),CHAR(10)&amp;CHAR(10))</f>
        <v/>
      </c>
      <c r="AK50" s="11" t="str" cm="1">
        <f t="array" ref="AK50">CreateSearchString($AI50)</f>
        <v/>
      </c>
      <c r="AL50" s="11" t="str" cm="1">
        <f t="array" aca="1" ref="AL50" ca="1">InverseLookup($A50,Mitigation!$AD$2,Mitigation!$A$2,1,Helper!$B$5,",")</f>
        <v/>
      </c>
      <c r="AM50" s="11" t="str" cm="1">
        <f t="array" aca="1" ref="AM50" ca="1">CreateSearchString(GetValues($AL50,'Attack Steps'!$A:$P,"",",",FALSE))</f>
        <v/>
      </c>
      <c r="AN50" s="11" t="str">
        <f t="shared" si="1"/>
        <v>CM11</v>
      </c>
      <c r="AO50" s="11" t="str" cm="1">
        <f t="array" ref="AO50">_xlfn.SWITCH($D50,
"*","",
"","",
_xlfn.LET(
_xlpm._answers,SUBSTITUTE(SanitizeInput($D50),"&amp;",","),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IF(_xlpm._questionIDUndefined,$A50&amp;" - "&amp;_xlpm._question&amp;": ERROR: Unknown question ID.",
        IF(_xlpm._firstAnswerIsValidOption,"",$A50&amp;" - "&amp;_xlpm._question&amp;": First answer ("&amp;_xlpm._firstAnswer&amp;") is not a valid option.")&amp;
        IF(_xlpm._secondAnswerRequired,IF(_xlpm._secondAnswerProvided,"",$A50&amp;" - "&amp;_xlpm._question&amp;": Second answer required but not provided."),"")&amp;
        IF(NOT(_xlpm._secondAnswerRequired),IF(_xlpm._secondAnswerProvided,$A50&amp;" - "&amp;_xlpm._question&amp;": Second answer ("&amp;_xlpm._secondAnswer&amp;") provided but the question only supports one answer.",""),"")&amp;
        IF(_xlpm._secondAnswerIsValidOption,"",$A50&amp;" - "&amp;_xlpm._question&amp;": Second answer ("&amp;_xlpm._secondAnswer&amp;") is not a valid option.")))),
  _xlfn.LAMBDA(_xlpm._x,_xlpm._y,_xlpm._x&amp;IF(_xlpm._x="","",CHAR(10))&amp;_xlpm._y))))</f>
        <v/>
      </c>
      <c r="AP50" s="11" cm="1">
        <f t="array" aca="1" ref="AP50" ca="1">CreateID($AP$2,$AO50&lt;&gt;"")</f>
        <v>0</v>
      </c>
    </row>
    <row r="51" spans="1:42" ht="75" x14ac:dyDescent="0.25">
      <c r="A51" s="9" t="s">
        <v>594</v>
      </c>
      <c r="B51" s="10" t="s">
        <v>1037</v>
      </c>
      <c r="C51" s="10" t="s">
        <v>1727</v>
      </c>
      <c r="D51" s="10"/>
      <c r="E51" s="25" t="str" cm="1">
        <f t="array" ref="E51">OperateOnList(
  SanitizeInput($D51),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51" s="10" t="s">
        <v>176</v>
      </c>
      <c r="G51" s="13" t="str" cm="1">
        <f t="array" aca="1" ref="G51" ca="1">LookupNames($F51,'Attack Steps'!$A:$B)</f>
        <v>AS18 Abusing the software update functionality to manipulate the product</v>
      </c>
      <c r="H51" s="10" t="s">
        <v>974</v>
      </c>
      <c r="I51" s="13" t="str" cm="1">
        <f t="array" aca="1" ref="I51" ca="1">RemoveDelimiter(GetValuesWithFallback(SanitizeInput($H51),$A:$B,Assumptions!$A:$B," ",","&amp;CHAR(10),TRUE),","&amp;CHAR(10))</f>
        <v>C1 CCSC 1: Support of essential functions,
C27 EDR 3.10 / HDR 3.10 / NDR 3.10 – Support for updates</v>
      </c>
      <c r="J51" s="10"/>
      <c r="K51" s="25" t="str" cm="1">
        <f t="array" ref="K51">IF($J51="","",SUBSTITUTE(SUBSTITUTE(SUBSTITUTE(SUBSTITUTE(SUBSTITUTE(SUBSTITUTE(SUBSTITUTE(SUBSTITUTE(SUBSTITUTE(
GetTransformation(SanitizeInput($J51),'Damage Scenarios'!$A:$J,COLUMNS('Damage Scenarios'!$A:$J),CHAR(10),"[#0][#1][#2]")&amp;"§",
"[#1][#2]",""),
"[#2]",""),
"[#0][#1]","[#1]"),
"[#0]","Removes:"&amp;CHAR(10)),
"[#1]","Transforms:"&amp;CHAR(10)),
CHAR(10)&amp;"§",""),
"§",""),
CHAR(10),CHAR(10)&amp;"   "),
"   "&amp;"Transforms:","Transforms:"))</f>
        <v/>
      </c>
      <c r="L51" s="10" t="s">
        <v>108</v>
      </c>
      <c r="M51" s="10"/>
      <c r="N51" s="10"/>
      <c r="O51" s="10"/>
      <c r="P51" s="10"/>
      <c r="Q51" s="13" t="str">
        <f ca="1">IF($A51="","",IFERROR(VLOOKUP($Z51,Definitions!$V:$W,COLUMNS(Definitions!$V:$W),TRUE),""))</f>
        <v>Beyond High</v>
      </c>
      <c r="R51" s="10" t="s">
        <v>451</v>
      </c>
      <c r="S51" s="10"/>
      <c r="T51" s="10" t="s">
        <v>1051</v>
      </c>
      <c r="U51" s="9" cm="1">
        <f t="array" aca="1" ref="U51" ca="1">CreateID($U$2,$A51&lt;&gt;"")</f>
        <v>49</v>
      </c>
      <c r="V51" s="11" t="b" cm="1">
        <f t="array" aca="1" ref="V51" ca="1">CheckRelevance(SanitizeInput(F51),Questionnaire!$J:$J)</f>
        <v>0</v>
      </c>
      <c r="W51" s="11" t="b">
        <f>IFERROR(_xlfn.XMATCH("*,"&amp;$A51&amp;",*",Mitigation!$X:$X,2)&gt;0,FALSE)</f>
        <v>0</v>
      </c>
      <c r="X51" s="11" cm="1">
        <f t="array" ref="X51">CreateTaskID($X$2,$X:$X,Tasks!$B$17,$T51)</f>
        <v>0</v>
      </c>
      <c r="Y51" s="11" t="str" cm="1">
        <f t="array" ref="Y51">CreateSearchString($F51)</f>
        <v>,AS18,</v>
      </c>
      <c r="Z51" s="11" cm="1">
        <f t="array" aca="1" ref="Z51" ca="1">OperateOnRange(
  $L51,
  TRUE,
  Helper!$B$16,
  0,
  _xlfn.LAMBDA(_xlpm._factor,IF(_xlpm._factor="",0,SimpleLookup(_xlpm._factor,Definitions!$Z:$AA))),
  _xlfn.LAMBDA(_xlpm._x,_xlpm._y,_xlpm._x+_xlpm._y))</f>
        <v>25</v>
      </c>
      <c r="AA51" s="11" t="str" cm="1">
        <f t="array" ref="AA51">CreateSearchString($H51)</f>
        <v>,C1,C27,</v>
      </c>
      <c r="AB51" s="11" t="b" cm="1">
        <f t="array" aca="1" ref="AB51" ca="1">IF($A51="",FALSE,
OR($AG51,_xlfn.LAMBDA(_xlpm._ownID,_xlpm._searchHeader,_xlpm._resultHeader,_xlpm._elementCount,_xlpm._delimiter,_xlpm._activeInTreatmentRange,_xlpm._activeByAnswersRange,_xlpm._dependencies,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InverseLookup(_xlpm._ownID,_xlpm._searchHeader,_xlpm._resultHeader,1,_xlpm._elementCount,_xlpm._delimiter))))))($A51,$AA$2,$A$2,Helper!$B$4,",",$A:$W,$A:$AG,InverseLookup($A51,$AA$2,$A$2,1,Helper!$B$4,","))))</f>
        <v>0</v>
      </c>
      <c r="AC51" s="11" t="str" cm="1">
        <f t="array" aca="1" ref="AC51" ca="1">IF(OR($W51,$AB51,$AG51),CreateSearchString($H51),"")</f>
        <v/>
      </c>
      <c r="AD51" s="11" t="str" cm="1">
        <f t="array" ref="AD51">SUBSTITUTE(IF($W51,CreateSearchString($J51),""),"&gt;",",")</f>
        <v/>
      </c>
      <c r="AE51" s="11" cm="1">
        <f t="array" aca="1" ref="AE51" ca="1">CreateID($AE$2,$AB51)</f>
        <v>7</v>
      </c>
      <c r="AF51" s="11" t="str" cm="1">
        <f t="array" aca="1" ref="AF51" ca="1">IF($AB51,CreateSearchString($R51),"")</f>
        <v/>
      </c>
      <c r="AG51" s="11" t="b">
        <f>OR(CheckRelevance(SanitizeInput($D51),Questionnaire!$J:$J),CheckRelevance(SanitizeInput($D51),Questionnaire!$K:$K))</f>
        <v>0</v>
      </c>
      <c r="AH51" s="11" t="str" cm="1">
        <f t="array" ref="AH51">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FilterPreconditionCandidates(RemoveFirstElement(_xlpm._preconditionCandidates),_xlpm._searchColumn,_xlpm._delimiter))))(SanitizeInput($D51),Questionnaire!$AB:$AB,",")</f>
        <v/>
      </c>
      <c r="AI51" s="11" t="str" cm="1">
        <f t="array" ref="AI51">IF($D51="*","",InverseLookupList($AH51,Questionnaire!$AB$3,Questionnaire!$B$3,Helper!$B$12,","))</f>
        <v/>
      </c>
      <c r="AJ51" s="11" t="str" cm="1">
        <f t="array" ref="AJ51">RemoveDelimiter(GetValues($AI51,Questionnaire!$B:$H," ",CHAR(10)&amp;CHAR(10),TRUE),CHAR(10)&amp;CHAR(10))</f>
        <v/>
      </c>
      <c r="AK51" s="11" t="str" cm="1">
        <f t="array" ref="AK51">CreateSearchString($AI51)</f>
        <v/>
      </c>
      <c r="AL51" s="11" t="str" cm="1">
        <f t="array" aca="1" ref="AL51" ca="1">InverseLookup($A51,Mitigation!$AD$2,Mitigation!$A$2,1,Helper!$B$5,",")</f>
        <v/>
      </c>
      <c r="AM51" s="11" t="str" cm="1">
        <f t="array" aca="1" ref="AM51" ca="1">CreateSearchString(GetValues($AL51,'Attack Steps'!$A:$P,"",",",FALSE))</f>
        <v/>
      </c>
      <c r="AN51" s="11" t="str">
        <f t="shared" si="1"/>
        <v>CM12</v>
      </c>
      <c r="AO51" s="11" t="str" cm="1">
        <f t="array" ref="AO51">_xlfn.SWITCH($D51,
"*","",
"","",
_xlfn.LET(
_xlpm._answers,SUBSTITUTE(SanitizeInput($D51),"&amp;",","),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IF(_xlpm._questionIDUndefined,$A51&amp;" - "&amp;_xlpm._question&amp;": ERROR: Unknown question ID.",
        IF(_xlpm._firstAnswerIsValidOption,"",$A51&amp;" - "&amp;_xlpm._question&amp;": First answer ("&amp;_xlpm._firstAnswer&amp;") is not a valid option.")&amp;
        IF(_xlpm._secondAnswerRequired,IF(_xlpm._secondAnswerProvided,"",$A51&amp;" - "&amp;_xlpm._question&amp;": Second answer required but not provided."),"")&amp;
        IF(NOT(_xlpm._secondAnswerRequired),IF(_xlpm._secondAnswerProvided,$A51&amp;" - "&amp;_xlpm._question&amp;": Second answer ("&amp;_xlpm._secondAnswer&amp;") provided but the question only supports one answer.",""),"")&amp;
        IF(_xlpm._secondAnswerIsValidOption,"",$A51&amp;" - "&amp;_xlpm._question&amp;": Second answer ("&amp;_xlpm._secondAnswer&amp;") is not a valid option.")))),
  _xlfn.LAMBDA(_xlpm._x,_xlpm._y,_xlpm._x&amp;IF(_xlpm._x="","",CHAR(10))&amp;_xlpm._y))))</f>
        <v/>
      </c>
      <c r="AP51" s="11" cm="1">
        <f t="array" aca="1" ref="AP51" ca="1">CreateID($AP$2,$AO51&lt;&gt;"")</f>
        <v>0</v>
      </c>
    </row>
    <row r="52" spans="1:42" ht="120" x14ac:dyDescent="0.25">
      <c r="A52" s="9" t="s">
        <v>595</v>
      </c>
      <c r="B52" s="10" t="s">
        <v>1297</v>
      </c>
      <c r="C52" s="10" t="s">
        <v>1298</v>
      </c>
      <c r="D52" s="10"/>
      <c r="E52" s="25" t="str" cm="1">
        <f t="array" ref="E52">OperateOnList(
  SanitizeInput($D52),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52" s="10" t="s">
        <v>174</v>
      </c>
      <c r="G52" s="13" t="str" cm="1">
        <f t="array" aca="1" ref="G52" ca="1">LookupNames($F52,'Attack Steps'!$A:$B)</f>
        <v>AS16 Manipulating the product's configuration via its configuration interface</v>
      </c>
      <c r="H52" s="10" t="s">
        <v>1050</v>
      </c>
      <c r="I52" s="13" t="str" cm="1">
        <f t="array" aca="1" ref="I52" ca="1">RemoveDelimiter(GetValuesWithFallback(SanitizeInput($H52),$A:$B,Assumptions!$A:$B," ",","&amp;CHAR(10),TRUE),","&amp;CHAR(10))</f>
        <v>C1 CCSC 1: Support of essential functions,
C3 CCSC 3: Least privilege,
C5 CR 1.3 – Account management,
C6 CR 1.4 – Identifier management,
C7 CR 1.12 – System use notification,
C8 CR 2.1 – Authorization enforcement,
C28 SRS 1.5 – Authenticator management,
A19 SDR 1.15 – Password security</v>
      </c>
      <c r="J52" s="10"/>
      <c r="K52" s="25" t="str" cm="1">
        <f t="array" ref="K52">IF($J52="","",SUBSTITUTE(SUBSTITUTE(SUBSTITUTE(SUBSTITUTE(SUBSTITUTE(SUBSTITUTE(SUBSTITUTE(SUBSTITUTE(SUBSTITUTE(
GetTransformation(SanitizeInput($J52),'Damage Scenarios'!$A:$J,COLUMNS('Damage Scenarios'!$A:$J),CHAR(10),"[#0][#1][#2]")&amp;"§",
"[#1][#2]",""),
"[#2]",""),
"[#0][#1]","[#1]"),
"[#0]","Removes:"&amp;CHAR(10)),
"[#1]","Transforms:"&amp;CHAR(10)),
CHAR(10)&amp;"§",""),
"§",""),
CHAR(10),CHAR(10)&amp;"   "),
"   "&amp;"Transforms:","Transforms:"))</f>
        <v/>
      </c>
      <c r="L52" s="10"/>
      <c r="M52" s="10"/>
      <c r="N52" s="10"/>
      <c r="O52" s="10" t="s">
        <v>122</v>
      </c>
      <c r="P52" s="10"/>
      <c r="Q52" s="13" t="str">
        <f ca="1">IF($A52="","",IFERROR(VLOOKUP($Z52,Definitions!$V:$W,COLUMNS(Definitions!$V:$W),TRUE),""))</f>
        <v>Beyond High</v>
      </c>
      <c r="R52" s="10" t="s">
        <v>453</v>
      </c>
      <c r="S52" s="10"/>
      <c r="T52" s="10" t="s">
        <v>860</v>
      </c>
      <c r="U52" s="9" cm="1">
        <f t="array" aca="1" ref="U52" ca="1">CreateID($U$2,$A52&lt;&gt;"")</f>
        <v>50</v>
      </c>
      <c r="V52" s="11" t="b" cm="1">
        <f t="array" aca="1" ref="V52" ca="1">CheckRelevance(SanitizeInput(F52),Questionnaire!$J:$J)</f>
        <v>0</v>
      </c>
      <c r="W52" s="11" t="b">
        <f>IFERROR(_xlfn.XMATCH("*,"&amp;$A52&amp;",*",Mitigation!$X:$X,2)&gt;0,FALSE)</f>
        <v>0</v>
      </c>
      <c r="X52" s="11" cm="1">
        <f t="array" ref="X52">CreateTaskID($X$2,$X:$X,Tasks!$B$17,$T52)</f>
        <v>0</v>
      </c>
      <c r="Y52" s="11" t="str" cm="1">
        <f t="array" ref="Y52">CreateSearchString($F52)</f>
        <v>,AS16,</v>
      </c>
      <c r="Z52" s="11" cm="1">
        <f t="array" aca="1" ref="Z52" ca="1">OperateOnRange(
  $L52,
  TRUE,
  Helper!$B$16,
  0,
  _xlfn.LAMBDA(_xlpm._factor,IF(_xlpm._factor="",0,SimpleLookup(_xlpm._factor,Definitions!$Z:$AA))),
  _xlfn.LAMBDA(_xlpm._x,_xlpm._y,_xlpm._x+_xlpm._y))</f>
        <v>25</v>
      </c>
      <c r="AA52" s="11" t="str" cm="1">
        <f t="array" ref="AA52">CreateSearchString($H52)</f>
        <v>,C1,C3,C5,C6,C7,C8,C28,A19,</v>
      </c>
      <c r="AB52" s="11" t="b" cm="1">
        <f t="array" aca="1" ref="AB52" ca="1">IF($A52="",FALSE,
OR($AG52,_xlfn.LAMBDA(_xlpm._ownID,_xlpm._searchHeader,_xlpm._resultHeader,_xlpm._elementCount,_xlpm._delimiter,_xlpm._activeInTreatmentRange,_xlpm._activeByAnswersRange,_xlpm._dependencies,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InverseLookup(_xlpm._ownID,_xlpm._searchHeader,_xlpm._resultHeader,1,_xlpm._elementCount,_xlpm._delimiter))))))($A52,$AA$2,$A$2,Helper!$B$4,",",$A:$W,$A:$AG,InverseLookup($A52,$AA$2,$A$2,1,Helper!$B$4,","))))</f>
        <v>0</v>
      </c>
      <c r="AC52" s="11" t="str" cm="1">
        <f t="array" aca="1" ref="AC52" ca="1">IF(OR($W52,$AB52,$AG52),CreateSearchString($H52),"")</f>
        <v/>
      </c>
      <c r="AD52" s="11" t="str" cm="1">
        <f t="array" ref="AD52">SUBSTITUTE(IF($W52,CreateSearchString($J52),""),"&gt;",",")</f>
        <v/>
      </c>
      <c r="AE52" s="11" cm="1">
        <f t="array" aca="1" ref="AE52" ca="1">CreateID($AE$2,$AB52)</f>
        <v>7</v>
      </c>
      <c r="AF52" s="11" t="str" cm="1">
        <f t="array" aca="1" ref="AF52" ca="1">IF($AB52,CreateSearchString($R52),"")</f>
        <v/>
      </c>
      <c r="AG52" s="11" t="b">
        <f>OR(CheckRelevance(SanitizeInput($D52),Questionnaire!$J:$J),CheckRelevance(SanitizeInput($D52),Questionnaire!$K:$K))</f>
        <v>0</v>
      </c>
      <c r="AH52" s="11" t="str" cm="1">
        <f t="array" ref="AH52">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FilterPreconditionCandidates(RemoveFirstElement(_xlpm._preconditionCandidates),_xlpm._searchColumn,_xlpm._delimiter))))(SanitizeInput($D52),Questionnaire!$AB:$AB,",")</f>
        <v/>
      </c>
      <c r="AI52" s="11" t="str" cm="1">
        <f t="array" ref="AI52">IF($D52="*","",InverseLookupList($AH52,Questionnaire!$AB$3,Questionnaire!$B$3,Helper!$B$12,","))</f>
        <v/>
      </c>
      <c r="AJ52" s="11" t="str" cm="1">
        <f t="array" ref="AJ52">RemoveDelimiter(GetValues($AI52,Questionnaire!$B:$H," ",CHAR(10)&amp;CHAR(10),TRUE),CHAR(10)&amp;CHAR(10))</f>
        <v/>
      </c>
      <c r="AK52" s="11" t="str" cm="1">
        <f t="array" ref="AK52">CreateSearchString($AI52)</f>
        <v/>
      </c>
      <c r="AL52" s="11" t="str" cm="1">
        <f t="array" aca="1" ref="AL52" ca="1">InverseLookup($A52,Mitigation!$AD$2,Mitigation!$A$2,1,Helper!$B$5,",")</f>
        <v/>
      </c>
      <c r="AM52" s="11" t="str" cm="1">
        <f t="array" aca="1" ref="AM52" ca="1">CreateSearchString(GetValues($AL52,'Attack Steps'!$A:$P,"",",",FALSE))</f>
        <v/>
      </c>
      <c r="AN52" s="11" t="str">
        <f t="shared" si="1"/>
        <v>CM14</v>
      </c>
      <c r="AO52" s="11" t="str" cm="1">
        <f t="array" ref="AO52">_xlfn.SWITCH($D52,
"*","",
"","",
_xlfn.LET(
_xlpm._answers,SUBSTITUTE(SanitizeInput($D52),"&amp;",","),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IF(_xlpm._questionIDUndefined,$A52&amp;" - "&amp;_xlpm._question&amp;": ERROR: Unknown question ID.",
        IF(_xlpm._firstAnswerIsValidOption,"",$A52&amp;" - "&amp;_xlpm._question&amp;": First answer ("&amp;_xlpm._firstAnswer&amp;") is not a valid option.")&amp;
        IF(_xlpm._secondAnswerRequired,IF(_xlpm._secondAnswerProvided,"",$A52&amp;" - "&amp;_xlpm._question&amp;": Second answer required but not provided."),"")&amp;
        IF(NOT(_xlpm._secondAnswerRequired),IF(_xlpm._secondAnswerProvided,$A52&amp;" - "&amp;_xlpm._question&amp;": Second answer ("&amp;_xlpm._secondAnswer&amp;") provided but the question only supports one answer.",""),"")&amp;
        IF(_xlpm._secondAnswerIsValidOption,"",$A52&amp;" - "&amp;_xlpm._question&amp;": Second answer ("&amp;_xlpm._secondAnswer&amp;") is not a valid option.")))),
  _xlfn.LAMBDA(_xlpm._x,_xlpm._y,_xlpm._x&amp;IF(_xlpm._x="","",CHAR(10))&amp;_xlpm._y))))</f>
        <v/>
      </c>
      <c r="AP52" s="11" cm="1">
        <f t="array" aca="1" ref="AP52" ca="1">CreateID($AP$2,$AO52&lt;&gt;"")</f>
        <v>0</v>
      </c>
    </row>
    <row r="53" spans="1:42" ht="195" x14ac:dyDescent="0.25">
      <c r="A53" s="9" t="s">
        <v>596</v>
      </c>
      <c r="B53" s="10" t="s">
        <v>1310</v>
      </c>
      <c r="C53" s="10" t="s">
        <v>1311</v>
      </c>
      <c r="D53" s="10"/>
      <c r="E53" s="25" t="str" cm="1">
        <f t="array" ref="E53">OperateOnList(
  SanitizeInput($D53),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53" s="10" t="s">
        <v>174</v>
      </c>
      <c r="G53" s="13" t="str" cm="1">
        <f t="array" aca="1" ref="G53" ca="1">LookupNames($F53,'Attack Steps'!$A:$B)</f>
        <v>AS16 Manipulating the product's configuration via its configuration interface</v>
      </c>
      <c r="H53" s="10" t="s">
        <v>975</v>
      </c>
      <c r="I53" s="13" t="str" cm="1">
        <f t="array" aca="1" ref="I53" ca="1">RemoveDelimiter(GetValuesWithFallback(SanitizeInput($H53),$A:$B,Assumptions!$A:$B," ",","&amp;CHAR(10),TRUE),","&amp;CHAR(10))</f>
        <v>C1 CCSC 1: Support of essential functions,
C3 CCSC 3: Least privilege,
C5 CR 1.3 – Account management,
C6 CR 1.4 – Identifier management,
C7 CR 1.12 – System use notification,
C8 CR 2.1 – Authorization enforcement,
C18 CR 4.3 – Use of cryptography,
C28 SRS 1.5 – Authenticator management</v>
      </c>
      <c r="J53" s="10"/>
      <c r="K53" s="25" t="str" cm="1">
        <f t="array" ref="K53">IF($J53="","",SUBSTITUTE(SUBSTITUTE(SUBSTITUTE(SUBSTITUTE(SUBSTITUTE(SUBSTITUTE(SUBSTITUTE(SUBSTITUTE(SUBSTITUTE(
GetTransformation(SanitizeInput($J53),'Damage Scenarios'!$A:$J,COLUMNS('Damage Scenarios'!$A:$J),CHAR(10),"[#0][#1][#2]")&amp;"§",
"[#1][#2]",""),
"[#2]",""),
"[#0][#1]","[#1]"),
"[#0]","Removes:"&amp;CHAR(10)),
"[#1]","Transforms:"&amp;CHAR(10)),
CHAR(10)&amp;"§",""),
"§",""),
CHAR(10),CHAR(10)&amp;"   "),
"   "&amp;"Transforms:","Transforms:"))</f>
        <v/>
      </c>
      <c r="L53" s="10"/>
      <c r="M53" s="10"/>
      <c r="N53" s="10"/>
      <c r="O53" s="10" t="s">
        <v>122</v>
      </c>
      <c r="P53" s="10"/>
      <c r="Q53" s="13" t="str">
        <f ca="1">IF($A53="","",IFERROR(VLOOKUP($Z53,Definitions!$V:$W,COLUMNS(Definitions!$V:$W),TRUE),""))</f>
        <v>Beyond High</v>
      </c>
      <c r="R53" s="10" t="s">
        <v>453</v>
      </c>
      <c r="S53" s="10"/>
      <c r="T53" s="10" t="s">
        <v>861</v>
      </c>
      <c r="U53" s="9" cm="1">
        <f t="array" aca="1" ref="U53" ca="1">CreateID($U$2,$A53&lt;&gt;"")</f>
        <v>51</v>
      </c>
      <c r="V53" s="11" t="b" cm="1">
        <f t="array" aca="1" ref="V53" ca="1">CheckRelevance(SanitizeInput(F53),Questionnaire!$J:$J)</f>
        <v>0</v>
      </c>
      <c r="W53" s="11" t="b">
        <f>IFERROR(_xlfn.XMATCH("*,"&amp;$A53&amp;",*",Mitigation!$X:$X,2)&gt;0,FALSE)</f>
        <v>0</v>
      </c>
      <c r="X53" s="11" cm="1">
        <f t="array" ref="X53">CreateTaskID($X$2,$X:$X,Tasks!$B$17,$T53)</f>
        <v>0</v>
      </c>
      <c r="Y53" s="11" t="str" cm="1">
        <f t="array" ref="Y53">CreateSearchString($F53)</f>
        <v>,AS16,</v>
      </c>
      <c r="Z53" s="11" cm="1">
        <f t="array" aca="1" ref="Z53" ca="1">OperateOnRange(
  $L53,
  TRUE,
  Helper!$B$16,
  0,
  _xlfn.LAMBDA(_xlpm._factor,IF(_xlpm._factor="",0,SimpleLookup(_xlpm._factor,Definitions!$Z:$AA))),
  _xlfn.LAMBDA(_xlpm._x,_xlpm._y,_xlpm._x+_xlpm._y))</f>
        <v>25</v>
      </c>
      <c r="AA53" s="11" t="str" cm="1">
        <f t="array" ref="AA53">CreateSearchString($H53)</f>
        <v>,C1,C3,C5,C6,C7,C8,C18,C28,</v>
      </c>
      <c r="AB53" s="11" t="b" cm="1">
        <f t="array" aca="1" ref="AB53" ca="1">IF($A53="",FALSE,
OR($AG53,_xlfn.LAMBDA(_xlpm._ownID,_xlpm._searchHeader,_xlpm._resultHeader,_xlpm._elementCount,_xlpm._delimiter,_xlpm._activeInTreatmentRange,_xlpm._activeByAnswersRange,_xlpm._dependencies,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InverseLookup(_xlpm._ownID,_xlpm._searchHeader,_xlpm._resultHeader,1,_xlpm._elementCount,_xlpm._delimiter))))))($A53,$AA$2,$A$2,Helper!$B$4,",",$A:$W,$A:$AG,InverseLookup($A53,$AA$2,$A$2,1,Helper!$B$4,","))))</f>
        <v>0</v>
      </c>
      <c r="AC53" s="11" t="str" cm="1">
        <f t="array" aca="1" ref="AC53" ca="1">IF(OR($W53,$AB53,$AG53),CreateSearchString($H53),"")</f>
        <v/>
      </c>
      <c r="AD53" s="11" t="str" cm="1">
        <f t="array" ref="AD53">SUBSTITUTE(IF($W53,CreateSearchString($J53),""),"&gt;",",")</f>
        <v/>
      </c>
      <c r="AE53" s="11" cm="1">
        <f t="array" aca="1" ref="AE53" ca="1">CreateID($AE$2,$AB53)</f>
        <v>7</v>
      </c>
      <c r="AF53" s="11" t="str" cm="1">
        <f t="array" aca="1" ref="AF53" ca="1">IF($AB53,CreateSearchString($R53),"")</f>
        <v/>
      </c>
      <c r="AG53" s="11" t="b">
        <f>OR(CheckRelevance(SanitizeInput($D53),Questionnaire!$J:$J),CheckRelevance(SanitizeInput($D53),Questionnaire!$K:$K))</f>
        <v>0</v>
      </c>
      <c r="AH53" s="11" t="str" cm="1">
        <f t="array" ref="AH53">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FilterPreconditionCandidates(RemoveFirstElement(_xlpm._preconditionCandidates),_xlpm._searchColumn,_xlpm._delimiter))))(SanitizeInput($D53),Questionnaire!$AB:$AB,",")</f>
        <v/>
      </c>
      <c r="AI53" s="11" t="str" cm="1">
        <f t="array" ref="AI53">IF($D53="*","",InverseLookupList($AH53,Questionnaire!$AB$3,Questionnaire!$B$3,Helper!$B$12,","))</f>
        <v/>
      </c>
      <c r="AJ53" s="11" t="str" cm="1">
        <f t="array" ref="AJ53">RemoveDelimiter(GetValues($AI53,Questionnaire!$B:$H," ",CHAR(10)&amp;CHAR(10),TRUE),CHAR(10)&amp;CHAR(10))</f>
        <v/>
      </c>
      <c r="AK53" s="11" t="str" cm="1">
        <f t="array" ref="AK53">CreateSearchString($AI53)</f>
        <v/>
      </c>
      <c r="AL53" s="11" t="str" cm="1">
        <f t="array" aca="1" ref="AL53" ca="1">InverseLookup($A53,Mitigation!$AD$2,Mitigation!$A$2,1,Helper!$B$5,",")</f>
        <v/>
      </c>
      <c r="AM53" s="11" t="str" cm="1">
        <f t="array" aca="1" ref="AM53" ca="1">CreateSearchString(GetValues($AL53,'Attack Steps'!$A:$P,"",",",FALSE))</f>
        <v/>
      </c>
      <c r="AN53" s="11" t="str">
        <f t="shared" si="1"/>
        <v>CM15</v>
      </c>
      <c r="AO53" s="11" t="str" cm="1">
        <f t="array" ref="AO53">_xlfn.SWITCH($D53,
"*","",
"","",
_xlfn.LET(
_xlpm._answers,SUBSTITUTE(SanitizeInput($D53),"&amp;",","),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IF(_xlpm._questionIDUndefined,$A53&amp;" - "&amp;_xlpm._question&amp;": ERROR: Unknown question ID.",
        IF(_xlpm._firstAnswerIsValidOption,"",$A53&amp;" - "&amp;_xlpm._question&amp;": First answer ("&amp;_xlpm._firstAnswer&amp;") is not a valid option.")&amp;
        IF(_xlpm._secondAnswerRequired,IF(_xlpm._secondAnswerProvided,"",$A53&amp;" - "&amp;_xlpm._question&amp;": Second answer required but not provided."),"")&amp;
        IF(NOT(_xlpm._secondAnswerRequired),IF(_xlpm._secondAnswerProvided,$A53&amp;" - "&amp;_xlpm._question&amp;": Second answer ("&amp;_xlpm._secondAnswer&amp;") provided but the question only supports one answer.",""),"")&amp;
        IF(_xlpm._secondAnswerIsValidOption,"",$A53&amp;" - "&amp;_xlpm._question&amp;": Second answer ("&amp;_xlpm._secondAnswer&amp;") is not a valid option.")))),
  _xlfn.LAMBDA(_xlpm._x,_xlpm._y,_xlpm._x&amp;IF(_xlpm._x="","",CHAR(10))&amp;_xlpm._y))))</f>
        <v/>
      </c>
      <c r="AP53" s="11" cm="1">
        <f t="array" aca="1" ref="AP53" ca="1">CreateID($AP$2,$AO53&lt;&gt;"")</f>
        <v>0</v>
      </c>
    </row>
    <row r="54" spans="1:42" ht="135" x14ac:dyDescent="0.25">
      <c r="A54" s="9" t="s">
        <v>604</v>
      </c>
      <c r="B54" s="10" t="s">
        <v>1306</v>
      </c>
      <c r="C54" s="10" t="s">
        <v>1307</v>
      </c>
      <c r="D54" s="10"/>
      <c r="E54" s="25" t="str" cm="1">
        <f t="array" ref="E54">OperateOnList(
  SanitizeInput($D54),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54" s="10" t="s">
        <v>832</v>
      </c>
      <c r="G54" s="13" t="str" cm="1">
        <f t="array" aca="1" ref="G54" ca="1">LookupNames($F54,'Attack Steps'!$A:$B)</f>
        <v>AS25 Accessing the product's debug interfaces remotely,
AS26 Accessing the product's physical debug interfaces</v>
      </c>
      <c r="H54" s="10" t="s">
        <v>775</v>
      </c>
      <c r="I54" s="13" t="str" cm="1">
        <f t="array" aca="1" ref="I54" ca="1">RemoveDelimiter(GetValuesWithFallback(SanitizeInput($H54),$A:$B,Assumptions!$A:$B," ",","&amp;CHAR(10),TRUE),","&amp;CHAR(10))</f>
        <v>C4 CR 1.1 – Human user identification and authentication,
C26 EDR 2.13 / HDR 2.13 / NDR 2.13 – Use of physical diagnostic and test interfaces,
A19 SDR 1.15 – Password security</v>
      </c>
      <c r="J54" s="10"/>
      <c r="K54" s="25" t="str" cm="1">
        <f t="array" ref="K54">IF($J54="","",SUBSTITUTE(SUBSTITUTE(SUBSTITUTE(SUBSTITUTE(SUBSTITUTE(SUBSTITUTE(SUBSTITUTE(SUBSTITUTE(SUBSTITUTE(
GetTransformation(SanitizeInput($J54),'Damage Scenarios'!$A:$J,COLUMNS('Damage Scenarios'!$A:$J),CHAR(10),"[#0][#1][#2]")&amp;"§",
"[#1][#2]",""),
"[#2]",""),
"[#0][#1]","[#1]"),
"[#0]","Removes:"&amp;CHAR(10)),
"[#1]","Transforms:"&amp;CHAR(10)),
CHAR(10)&amp;"§",""),
"§",""),
CHAR(10),CHAR(10)&amp;"   "),
"   "&amp;"Transforms:","Transforms:"))</f>
        <v/>
      </c>
      <c r="L54" s="10" t="s">
        <v>108</v>
      </c>
      <c r="M54" s="10"/>
      <c r="N54" s="10"/>
      <c r="O54" s="10"/>
      <c r="P54" s="10"/>
      <c r="Q54" s="13" t="str">
        <f ca="1">IF($A54="","",IFERROR(VLOOKUP($Z54,Definitions!$V:$W,COLUMNS(Definitions!$V:$W),TRUE),""))</f>
        <v>Beyond High</v>
      </c>
      <c r="R54" s="10" t="s">
        <v>453</v>
      </c>
      <c r="S54" s="10"/>
      <c r="T54" s="10" t="s">
        <v>1035</v>
      </c>
      <c r="U54" s="9" cm="1">
        <f t="array" aca="1" ref="U54" ca="1">CreateID($U$2,$A54&lt;&gt;"")</f>
        <v>52</v>
      </c>
      <c r="V54" s="11" t="b" cm="1">
        <f t="array" aca="1" ref="V54" ca="1">CheckRelevance(SanitizeInput(F54),Questionnaire!$J:$J)</f>
        <v>0</v>
      </c>
      <c r="W54" s="11" t="b">
        <f>IFERROR(_xlfn.XMATCH("*,"&amp;$A54&amp;",*",Mitigation!$X:$X,2)&gt;0,FALSE)</f>
        <v>0</v>
      </c>
      <c r="X54" s="11" cm="1">
        <f t="array" ref="X54">CreateTaskID($X$2,$X:$X,Tasks!$B$17,$T54)</f>
        <v>0</v>
      </c>
      <c r="Y54" s="11" t="str" cm="1">
        <f t="array" ref="Y54">CreateSearchString($F54)</f>
        <v>,AS25,AS26,</v>
      </c>
      <c r="Z54" s="11" cm="1">
        <f t="array" aca="1" ref="Z54" ca="1">OperateOnRange(
  $L54,
  TRUE,
  Helper!$B$16,
  0,
  _xlfn.LAMBDA(_xlpm._factor,IF(_xlpm._factor="",0,SimpleLookup(_xlpm._factor,Definitions!$Z:$AA))),
  _xlfn.LAMBDA(_xlpm._x,_xlpm._y,_xlpm._x+_xlpm._y))</f>
        <v>25</v>
      </c>
      <c r="AA54" s="11" t="str" cm="1">
        <f t="array" ref="AA54">CreateSearchString($H54)</f>
        <v>,C4,C26,A19,</v>
      </c>
      <c r="AB54" s="11" t="b" cm="1">
        <f t="array" aca="1" ref="AB54" ca="1">IF($A54="",FALSE,
OR($AG54,_xlfn.LAMBDA(_xlpm._ownID,_xlpm._searchHeader,_xlpm._resultHeader,_xlpm._elementCount,_xlpm._delimiter,_xlpm._activeInTreatmentRange,_xlpm._activeByAnswersRange,_xlpm._dependencies,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InverseLookup(_xlpm._ownID,_xlpm._searchHeader,_xlpm._resultHeader,1,_xlpm._elementCount,_xlpm._delimiter))))))($A54,$AA$2,$A$2,Helper!$B$4,",",$A:$W,$A:$AG,InverseLookup($A54,$AA$2,$A$2,1,Helper!$B$4,","))))</f>
        <v>0</v>
      </c>
      <c r="AC54" s="11" t="str" cm="1">
        <f t="array" aca="1" ref="AC54" ca="1">IF(OR($W54,$AB54,$AG54),CreateSearchString($H54),"")</f>
        <v/>
      </c>
      <c r="AD54" s="11" t="str" cm="1">
        <f t="array" ref="AD54">SUBSTITUTE(IF($W54,CreateSearchString($J54),""),"&gt;",",")</f>
        <v/>
      </c>
      <c r="AE54" s="11" cm="1">
        <f t="array" aca="1" ref="AE54" ca="1">CreateID($AE$2,$AB54)</f>
        <v>7</v>
      </c>
      <c r="AF54" s="11" t="str" cm="1">
        <f t="array" aca="1" ref="AF54" ca="1">IF($AB54,CreateSearchString($R54),"")</f>
        <v/>
      </c>
      <c r="AG54" s="11" t="b">
        <f>OR(CheckRelevance(SanitizeInput($D54),Questionnaire!$J:$J),CheckRelevance(SanitizeInput($D54),Questionnaire!$K:$K))</f>
        <v>0</v>
      </c>
      <c r="AH54" s="11" t="str" cm="1">
        <f t="array" ref="AH54">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FilterPreconditionCandidates(RemoveFirstElement(_xlpm._preconditionCandidates),_xlpm._searchColumn,_xlpm._delimiter))))(SanitizeInput($D54),Questionnaire!$AB:$AB,",")</f>
        <v/>
      </c>
      <c r="AI54" s="11" t="str" cm="1">
        <f t="array" ref="AI54">IF($D54="*","",InverseLookupList($AH54,Questionnaire!$AB$3,Questionnaire!$B$3,Helper!$B$12,","))</f>
        <v/>
      </c>
      <c r="AJ54" s="11" t="str" cm="1">
        <f t="array" ref="AJ54">RemoveDelimiter(GetValues($AI54,Questionnaire!$B:$H," ",CHAR(10)&amp;CHAR(10),TRUE),CHAR(10)&amp;CHAR(10))</f>
        <v/>
      </c>
      <c r="AK54" s="11" t="str" cm="1">
        <f t="array" ref="AK54">CreateSearchString($AI54)</f>
        <v/>
      </c>
      <c r="AL54" s="11" t="str" cm="1">
        <f t="array" aca="1" ref="AL54" ca="1">InverseLookup($A54,Mitigation!$AD$2,Mitigation!$A$2,1,Helper!$B$5,",")</f>
        <v/>
      </c>
      <c r="AM54" s="11" t="str" cm="1">
        <f t="array" aca="1" ref="AM54" ca="1">CreateSearchString(GetValues($AL54,'Attack Steps'!$A:$P,"",",",FALSE))</f>
        <v/>
      </c>
      <c r="AN54" s="11" t="str">
        <f t="shared" si="1"/>
        <v>CM16</v>
      </c>
      <c r="AO54" s="11" t="str" cm="1">
        <f t="array" ref="AO54">_xlfn.SWITCH($D54,
"*","",
"","",
_xlfn.LET(
_xlpm._answers,SUBSTITUTE(SanitizeInput($D54),"&amp;",","),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IF(_xlpm._questionIDUndefined,$A54&amp;" - "&amp;_xlpm._question&amp;": ERROR: Unknown question ID.",
        IF(_xlpm._firstAnswerIsValidOption,"",$A54&amp;" - "&amp;_xlpm._question&amp;": First answer ("&amp;_xlpm._firstAnswer&amp;") is not a valid option.")&amp;
        IF(_xlpm._secondAnswerRequired,IF(_xlpm._secondAnswerProvided,"",$A54&amp;" - "&amp;_xlpm._question&amp;": Second answer required but not provided."),"")&amp;
        IF(NOT(_xlpm._secondAnswerRequired),IF(_xlpm._secondAnswerProvided,$A54&amp;" - "&amp;_xlpm._question&amp;": Second answer ("&amp;_xlpm._secondAnswer&amp;") provided but the question only supports one answer.",""),"")&amp;
        IF(_xlpm._secondAnswerIsValidOption,"",$A54&amp;" - "&amp;_xlpm._question&amp;": Second answer ("&amp;_xlpm._secondAnswer&amp;") is not a valid option.")))),
  _xlfn.LAMBDA(_xlpm._x,_xlpm._y,_xlpm._x&amp;IF(_xlpm._x="","",CHAR(10))&amp;_xlpm._y))))</f>
        <v/>
      </c>
      <c r="AP54" s="11" cm="1">
        <f t="array" aca="1" ref="AP54" ca="1">CreateID($AP$2,$AO54&lt;&gt;"")</f>
        <v>0</v>
      </c>
    </row>
    <row r="55" spans="1:42" ht="225" x14ac:dyDescent="0.25">
      <c r="A55" s="9" t="s">
        <v>605</v>
      </c>
      <c r="B55" s="10" t="s">
        <v>1304</v>
      </c>
      <c r="C55" s="10" t="s">
        <v>1305</v>
      </c>
      <c r="D55" s="10"/>
      <c r="E55" s="25" t="str" cm="1">
        <f t="array" ref="E55">OperateOnList(
  SanitizeInput($D55),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55" s="10" t="s">
        <v>832</v>
      </c>
      <c r="G55" s="13" t="str" cm="1">
        <f t="array" aca="1" ref="G55" ca="1">LookupNames($F55,'Attack Steps'!$A:$B)</f>
        <v>AS25 Accessing the product's debug interfaces remotely,
AS26 Accessing the product's physical debug interfaces</v>
      </c>
      <c r="H55" s="10" t="s">
        <v>776</v>
      </c>
      <c r="I55" s="13" t="str" cm="1">
        <f t="array" aca="1" ref="I55" ca="1">RemoveDelimiter(GetValuesWithFallback(SanitizeInput($H55),$A:$B,Assumptions!$A:$B," ",","&amp;CHAR(10),TRUE),","&amp;CHAR(10))</f>
        <v>C4 CR 1.1 – Human user identification and authentication,
C26 EDR 2.13 / HDR 2.13 / NDR 2.13 – Use of physical diagnostic and test interfaces,
A20 SDR 1.16 – Private key security</v>
      </c>
      <c r="J55" s="10"/>
      <c r="K55" s="25" t="str" cm="1">
        <f t="array" ref="K55">IF($J55="","",SUBSTITUTE(SUBSTITUTE(SUBSTITUTE(SUBSTITUTE(SUBSTITUTE(SUBSTITUTE(SUBSTITUTE(SUBSTITUTE(SUBSTITUTE(
GetTransformation(SanitizeInput($J55),'Damage Scenarios'!$A:$J,COLUMNS('Damage Scenarios'!$A:$J),CHAR(10),"[#0][#1][#2]")&amp;"§",
"[#1][#2]",""),
"[#2]",""),
"[#0][#1]","[#1]"),
"[#0]","Removes:"&amp;CHAR(10)),
"[#1]","Transforms:"&amp;CHAR(10)),
CHAR(10)&amp;"§",""),
"§",""),
CHAR(10),CHAR(10)&amp;"   "),
"   "&amp;"Transforms:","Transforms:"))</f>
        <v/>
      </c>
      <c r="L55" s="10" t="s">
        <v>108</v>
      </c>
      <c r="M55" s="10"/>
      <c r="N55" s="10"/>
      <c r="O55" s="10"/>
      <c r="P55" s="10"/>
      <c r="Q55" s="13" t="str">
        <f ca="1">IF($A55="","",IFERROR(VLOOKUP($Z55,Definitions!$V:$W,COLUMNS(Definitions!$V:$W),TRUE),""))</f>
        <v>Beyond High</v>
      </c>
      <c r="R55" s="10" t="s">
        <v>453</v>
      </c>
      <c r="S55" s="10"/>
      <c r="T55" s="10" t="s">
        <v>1036</v>
      </c>
      <c r="U55" s="9" cm="1">
        <f t="array" aca="1" ref="U55" ca="1">CreateID($U$2,$A55&lt;&gt;"")</f>
        <v>53</v>
      </c>
      <c r="V55" s="11" t="b" cm="1">
        <f t="array" aca="1" ref="V55" ca="1">CheckRelevance(SanitizeInput(F55),Questionnaire!$J:$J)</f>
        <v>0</v>
      </c>
      <c r="W55" s="11" t="b">
        <f>IFERROR(_xlfn.XMATCH("*,"&amp;$A55&amp;",*",Mitigation!$X:$X,2)&gt;0,FALSE)</f>
        <v>0</v>
      </c>
      <c r="X55" s="11" cm="1">
        <f t="array" ref="X55">CreateTaskID($X$2,$X:$X,Tasks!$B$17,$T55)</f>
        <v>0</v>
      </c>
      <c r="Y55" s="11" t="str" cm="1">
        <f t="array" ref="Y55">CreateSearchString($F55)</f>
        <v>,AS25,AS26,</v>
      </c>
      <c r="Z55" s="11" cm="1">
        <f t="array" aca="1" ref="Z55" ca="1">OperateOnRange(
  $L55,
  TRUE,
  Helper!$B$16,
  0,
  _xlfn.LAMBDA(_xlpm._factor,IF(_xlpm._factor="",0,SimpleLookup(_xlpm._factor,Definitions!$Z:$AA))),
  _xlfn.LAMBDA(_xlpm._x,_xlpm._y,_xlpm._x+_xlpm._y))</f>
        <v>25</v>
      </c>
      <c r="AA55" s="11" t="str" cm="1">
        <f t="array" ref="AA55">CreateSearchString($H55)</f>
        <v>,C4,C26,A20,</v>
      </c>
      <c r="AB55" s="11" t="b" cm="1">
        <f t="array" aca="1" ref="AB55" ca="1">IF($A55="",FALSE,
OR($AG55,_xlfn.LAMBDA(_xlpm._ownID,_xlpm._searchHeader,_xlpm._resultHeader,_xlpm._elementCount,_xlpm._delimiter,_xlpm._activeInTreatmentRange,_xlpm._activeByAnswersRange,_xlpm._dependencies,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InverseLookup(_xlpm._ownID,_xlpm._searchHeader,_xlpm._resultHeader,1,_xlpm._elementCount,_xlpm._delimiter))))))($A55,$AA$2,$A$2,Helper!$B$4,",",$A:$W,$A:$AG,InverseLookup($A55,$AA$2,$A$2,1,Helper!$B$4,","))))</f>
        <v>0</v>
      </c>
      <c r="AC55" s="11" t="str" cm="1">
        <f t="array" aca="1" ref="AC55" ca="1">IF(OR($W55,$AB55,$AG55),CreateSearchString($H55),"")</f>
        <v/>
      </c>
      <c r="AD55" s="11" t="str" cm="1">
        <f t="array" ref="AD55">SUBSTITUTE(IF($W55,CreateSearchString($J55),""),"&gt;",",")</f>
        <v/>
      </c>
      <c r="AE55" s="11" cm="1">
        <f t="array" aca="1" ref="AE55" ca="1">CreateID($AE$2,$AB55)</f>
        <v>7</v>
      </c>
      <c r="AF55" s="11" t="str" cm="1">
        <f t="array" aca="1" ref="AF55" ca="1">IF($AB55,CreateSearchString($R55),"")</f>
        <v/>
      </c>
      <c r="AG55" s="11" t="b">
        <f>OR(CheckRelevance(SanitizeInput($D55),Questionnaire!$J:$J),CheckRelevance(SanitizeInput($D55),Questionnaire!$K:$K))</f>
        <v>0</v>
      </c>
      <c r="AH55" s="11" t="str" cm="1">
        <f t="array" ref="AH55">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FilterPreconditionCandidates(RemoveFirstElement(_xlpm._preconditionCandidates),_xlpm._searchColumn,_xlpm._delimiter))))(SanitizeInput($D55),Questionnaire!$AB:$AB,",")</f>
        <v/>
      </c>
      <c r="AI55" s="11" t="str" cm="1">
        <f t="array" ref="AI55">IF($D55="*","",InverseLookupList($AH55,Questionnaire!$AB$3,Questionnaire!$B$3,Helper!$B$12,","))</f>
        <v/>
      </c>
      <c r="AJ55" s="11" t="str" cm="1">
        <f t="array" ref="AJ55">RemoveDelimiter(GetValues($AI55,Questionnaire!$B:$H," ",CHAR(10)&amp;CHAR(10),TRUE),CHAR(10)&amp;CHAR(10))</f>
        <v/>
      </c>
      <c r="AK55" s="11" t="str" cm="1">
        <f t="array" ref="AK55">CreateSearchString($AI55)</f>
        <v/>
      </c>
      <c r="AL55" s="11" t="str" cm="1">
        <f t="array" aca="1" ref="AL55" ca="1">InverseLookup($A55,Mitigation!$AD$2,Mitigation!$A$2,1,Helper!$B$5,",")</f>
        <v/>
      </c>
      <c r="AM55" s="11" t="str" cm="1">
        <f t="array" aca="1" ref="AM55" ca="1">CreateSearchString(GetValues($AL55,'Attack Steps'!$A:$P,"",",",FALSE))</f>
        <v/>
      </c>
      <c r="AN55" s="11" t="str">
        <f t="shared" si="1"/>
        <v>CM17</v>
      </c>
      <c r="AO55" s="11" t="str" cm="1">
        <f t="array" ref="AO55">_xlfn.SWITCH($D55,
"*","",
"","",
_xlfn.LET(
_xlpm._answers,SUBSTITUTE(SanitizeInput($D55),"&amp;",","),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IF(_xlpm._questionIDUndefined,$A55&amp;" - "&amp;_xlpm._question&amp;": ERROR: Unknown question ID.",
        IF(_xlpm._firstAnswerIsValidOption,"",$A55&amp;" - "&amp;_xlpm._question&amp;": First answer ("&amp;_xlpm._firstAnswer&amp;") is not a valid option.")&amp;
        IF(_xlpm._secondAnswerRequired,IF(_xlpm._secondAnswerProvided,"",$A55&amp;" - "&amp;_xlpm._question&amp;": Second answer required but not provided."),"")&amp;
        IF(NOT(_xlpm._secondAnswerRequired),IF(_xlpm._secondAnswerProvided,$A55&amp;" - "&amp;_xlpm._question&amp;": Second answer ("&amp;_xlpm._secondAnswer&amp;") provided but the question only supports one answer.",""),"")&amp;
        IF(_xlpm._secondAnswerIsValidOption,"",$A55&amp;" - "&amp;_xlpm._question&amp;": Second answer ("&amp;_xlpm._secondAnswer&amp;") is not a valid option.")))),
  _xlfn.LAMBDA(_xlpm._x,_xlpm._y,_xlpm._x&amp;IF(_xlpm._x="","",CHAR(10))&amp;_xlpm._y))))</f>
        <v/>
      </c>
      <c r="AP55" s="11" cm="1">
        <f t="array" aca="1" ref="AP55" ca="1">CreateID($AP$2,$AO55&lt;&gt;"")</f>
        <v>0</v>
      </c>
    </row>
    <row r="56" spans="1:42" ht="60.75" x14ac:dyDescent="0.25">
      <c r="A56" s="9" t="s">
        <v>762</v>
      </c>
      <c r="B56" s="10" t="s">
        <v>1308</v>
      </c>
      <c r="C56" s="10" t="s">
        <v>1309</v>
      </c>
      <c r="D56" s="10"/>
      <c r="E56" s="25" t="str" cm="1">
        <f t="array" ref="E56">OperateOnList(
  SanitizeInput($D56),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56" s="10" t="s">
        <v>777</v>
      </c>
      <c r="G56" s="13" t="str" cm="1">
        <f t="array" aca="1" ref="G56" ca="1">LookupNames($F56,'Attack Steps'!$A:$B)</f>
        <v>AS32 Extracting or misusing &lt;&lt; OEM Name &gt;&gt; IP</v>
      </c>
      <c r="H56" s="10"/>
      <c r="I56" s="13" t="str" cm="1">
        <f t="array" ref="I56">RemoveDelimiter(GetValuesWithFallback(SanitizeInput($H56),$A:$B,Assumptions!$A:$B," ",","&amp;CHAR(10),TRUE),","&amp;CHAR(10))</f>
        <v/>
      </c>
      <c r="J56" s="10" t="s">
        <v>770</v>
      </c>
      <c r="K56" s="25" t="str" cm="1">
        <f t="array" aca="1" ref="K56" ca="1">IF($J56="","",SUBSTITUTE(SUBSTITUTE(SUBSTITUTE(SUBSTITUTE(SUBSTITUTE(SUBSTITUTE(SUBSTITUTE(SUBSTITUTE(SUBSTITUTE(
GetTransformation(SanitizeInput($J56),'Damage Scenarios'!$A:$J,COLUMNS('Damage Scenarios'!$A:$J),CHAR(10),"[#0][#1][#2]")&amp;"§",
"[#1][#2]",""),
"[#2]",""),
"[#0][#1]","[#1]"),
"[#0]","Removes:"&amp;CHAR(10)),
"[#1]","Transforms:"&amp;CHAR(10)),
CHAR(10)&amp;"§",""),
"§",""),
CHAR(10),CHAR(10)&amp;"   "),
"   "&amp;"Transforms:","Transforms:"))</f>
        <v xml:space="preserve">Transforms:
   DS3 
   -----&gt; DS19 
   DS12 
   -----&gt; DS19 </v>
      </c>
      <c r="L56" s="10"/>
      <c r="M56" s="10"/>
      <c r="N56" s="10"/>
      <c r="O56" s="10"/>
      <c r="P56" s="10"/>
      <c r="Q56" s="13" t="str">
        <f ca="1">IF($A56="","",IFERROR(VLOOKUP($Z56,Definitions!$V:$W,COLUMNS(Definitions!$V:$W),TRUE),""))</f>
        <v>Basic</v>
      </c>
      <c r="R56" s="10" t="s">
        <v>55</v>
      </c>
      <c r="S56" s="10"/>
      <c r="T56" s="10" t="s">
        <v>864</v>
      </c>
      <c r="U56" s="9" cm="1">
        <f t="array" aca="1" ref="U56" ca="1">CreateID($U$2,$A56&lt;&gt;"")</f>
        <v>54</v>
      </c>
      <c r="V56" s="11" t="b" cm="1">
        <f t="array" aca="1" ref="V56" ca="1">CheckRelevance(SanitizeInput(F56),Questionnaire!$J:$J)</f>
        <v>0</v>
      </c>
      <c r="W56" s="11" t="b">
        <f>IFERROR(_xlfn.XMATCH("*,"&amp;$A56&amp;",*",Mitigation!$X:$X,2)&gt;0,FALSE)</f>
        <v>0</v>
      </c>
      <c r="X56" s="11" cm="1">
        <f t="array" ref="X56">CreateTaskID($X$2,$X:$X,Tasks!$B$17,$T56)</f>
        <v>0</v>
      </c>
      <c r="Y56" s="11" t="str" cm="1">
        <f t="array" ref="Y56">CreateSearchString($F56)</f>
        <v>,AS32,</v>
      </c>
      <c r="Z56" s="11" cm="1">
        <f t="array" aca="1" ref="Z56" ca="1">OperateOnRange(
  $L56,
  TRUE,
  Helper!$B$16,
  0,
  _xlfn.LAMBDA(_xlpm._factor,IF(_xlpm._factor="",0,SimpleLookup(_xlpm._factor,Definitions!$Z:$AA))),
  _xlfn.LAMBDA(_xlpm._x,_xlpm._y,_xlpm._x+_xlpm._y))</f>
        <v>0</v>
      </c>
      <c r="AA56" s="11" t="str" cm="1">
        <f t="array" ref="AA56">CreateSearchString($H56)</f>
        <v/>
      </c>
      <c r="AB56" s="11" t="b" cm="1">
        <f t="array" aca="1" ref="AB56" ca="1">IF($A56="",FALSE,
OR($AG56,_xlfn.LAMBDA(_xlpm._ownID,_xlpm._searchHeader,_xlpm._resultHeader,_xlpm._elementCount,_xlpm._delimiter,_xlpm._activeInTreatmentRange,_xlpm._activeByAnswersRange,_xlpm._dependencies,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InverseLookup(_xlpm._ownID,_xlpm._searchHeader,_xlpm._resultHeader,1,_xlpm._elementCount,_xlpm._delimiter))))))($A56,$AA$2,$A$2,Helper!$B$4,",",$A:$W,$A:$AG,InverseLookup($A56,$AA$2,$A$2,1,Helper!$B$4,","))))</f>
        <v>0</v>
      </c>
      <c r="AC56" s="11" t="str" cm="1">
        <f t="array" aca="1" ref="AC56" ca="1">IF(OR($W56,$AB56,$AG56),CreateSearchString($H56),"")</f>
        <v/>
      </c>
      <c r="AD56" s="11" t="str" cm="1">
        <f t="array" ref="AD56">SUBSTITUTE(IF($W56,CreateSearchString($J56),""),"&gt;",",")</f>
        <v/>
      </c>
      <c r="AE56" s="11" cm="1">
        <f t="array" aca="1" ref="AE56" ca="1">CreateID($AE$2,$AB56)</f>
        <v>7</v>
      </c>
      <c r="AF56" s="11" t="str" cm="1">
        <f t="array" aca="1" ref="AF56" ca="1">IF($AB56,CreateSearchString($R56),"")</f>
        <v/>
      </c>
      <c r="AG56" s="11" t="b">
        <f>OR(CheckRelevance(SanitizeInput($D56),Questionnaire!$J:$J),CheckRelevance(SanitizeInput($D56),Questionnaire!$K:$K))</f>
        <v>0</v>
      </c>
      <c r="AH56" s="11" t="str" cm="1">
        <f t="array" ref="AH56">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FilterPreconditionCandidates(RemoveFirstElement(_xlpm._preconditionCandidates),_xlpm._searchColumn,_xlpm._delimiter))))(SanitizeInput($D56),Questionnaire!$AB:$AB,",")</f>
        <v/>
      </c>
      <c r="AI56" s="11" t="str" cm="1">
        <f t="array" ref="AI56">IF($D56="*","",InverseLookupList($AH56,Questionnaire!$AB$3,Questionnaire!$B$3,Helper!$B$12,","))</f>
        <v/>
      </c>
      <c r="AJ56" s="11" t="str" cm="1">
        <f t="array" ref="AJ56">RemoveDelimiter(GetValues($AI56,Questionnaire!$B:$H," ",CHAR(10)&amp;CHAR(10),TRUE),CHAR(10)&amp;CHAR(10))</f>
        <v/>
      </c>
      <c r="AK56" s="11" t="str" cm="1">
        <f t="array" ref="AK56">CreateSearchString($AI56)</f>
        <v/>
      </c>
      <c r="AL56" s="11" t="str" cm="1">
        <f t="array" aca="1" ref="AL56" ca="1">InverseLookup($A56,Mitigation!$AD$2,Mitigation!$A$2,1,Helper!$B$5,",")</f>
        <v/>
      </c>
      <c r="AM56" s="11" t="str" cm="1">
        <f t="array" aca="1" ref="AM56" ca="1">CreateSearchString(GetValues($AL56,'Attack Steps'!$A:$P,"",",",FALSE))</f>
        <v/>
      </c>
      <c r="AN56" s="11" t="str">
        <f t="shared" si="1"/>
        <v>CM18</v>
      </c>
      <c r="AO56" s="11" t="str" cm="1">
        <f t="array" ref="AO56">_xlfn.SWITCH($D56,
"*","",
"","",
_xlfn.LET(
_xlpm._answers,SUBSTITUTE(SanitizeInput($D56),"&amp;",","),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IF(_xlpm._questionIDUndefined,$A56&amp;" - "&amp;_xlpm._question&amp;": ERROR: Unknown question ID.",
        IF(_xlpm._firstAnswerIsValidOption,"",$A56&amp;" - "&amp;_xlpm._question&amp;": First answer ("&amp;_xlpm._firstAnswer&amp;") is not a valid option.")&amp;
        IF(_xlpm._secondAnswerRequired,IF(_xlpm._secondAnswerProvided,"",$A56&amp;" - "&amp;_xlpm._question&amp;": Second answer required but not provided."),"")&amp;
        IF(NOT(_xlpm._secondAnswerRequired),IF(_xlpm._secondAnswerProvided,$A56&amp;" - "&amp;_xlpm._question&amp;": Second answer ("&amp;_xlpm._secondAnswer&amp;") provided but the question only supports one answer.",""),"")&amp;
        IF(_xlpm._secondAnswerIsValidOption,"",$A56&amp;" - "&amp;_xlpm._question&amp;": Second answer ("&amp;_xlpm._secondAnswer&amp;") is not a valid option.")))),
  _xlfn.LAMBDA(_xlpm._x,_xlpm._y,_xlpm._x&amp;IF(_xlpm._x="","",CHAR(10))&amp;_xlpm._y))))</f>
        <v/>
      </c>
      <c r="AP56" s="11" cm="1">
        <f t="array" aca="1" ref="AP56" ca="1">CreateID($AP$2,$AO56&lt;&gt;"")</f>
        <v>0</v>
      </c>
    </row>
    <row r="57" spans="1:42" ht="105" x14ac:dyDescent="0.25">
      <c r="A57" s="9" t="s">
        <v>802</v>
      </c>
      <c r="B57" s="10" t="s">
        <v>1473</v>
      </c>
      <c r="C57" s="10" t="s">
        <v>1489</v>
      </c>
      <c r="D57" s="10"/>
      <c r="E57" s="25" t="str" cm="1">
        <f t="array" ref="E57">OperateOnList(
  SanitizeInput($D57),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57" s="10" t="s">
        <v>175</v>
      </c>
      <c r="G57" s="13" t="str" cm="1">
        <f t="array" aca="1" ref="G57" ca="1">LookupNames($F57,'Attack Steps'!$A:$B)</f>
        <v>AS17 Sending manipulated or malicious data to the product (from an untrusted source)</v>
      </c>
      <c r="H57" s="10"/>
      <c r="I57" s="13" t="str" cm="1">
        <f t="array" ref="I57">RemoveDelimiter(GetValuesWithFallback(SanitizeInput($H57),$A:$B,Assumptions!$A:$B," ",","&amp;CHAR(10),TRUE),","&amp;CHAR(10))</f>
        <v/>
      </c>
      <c r="J57" s="10"/>
      <c r="K57" s="25" t="str" cm="1">
        <f t="array" ref="K57">IF($J57="","",SUBSTITUTE(SUBSTITUTE(SUBSTITUTE(SUBSTITUTE(SUBSTITUTE(SUBSTITUTE(SUBSTITUTE(SUBSTITUTE(SUBSTITUTE(
GetTransformation(SanitizeInput($J57),'Damage Scenarios'!$A:$J,COLUMNS('Damage Scenarios'!$A:$J),CHAR(10),"[#0][#1][#2]")&amp;"§",
"[#1][#2]",""),
"[#2]",""),
"[#0][#1]","[#1]"),
"[#0]","Removes:"&amp;CHAR(10)),
"[#1]","Transforms:"&amp;CHAR(10)),
CHAR(10)&amp;"§",""),
"§",""),
CHAR(10),CHAR(10)&amp;"   "),
"   "&amp;"Transforms:","Transforms:"))</f>
        <v/>
      </c>
      <c r="L57" s="10"/>
      <c r="M57" s="10"/>
      <c r="N57" s="10"/>
      <c r="O57" s="10" t="s">
        <v>122</v>
      </c>
      <c r="P57" s="10"/>
      <c r="Q57" s="13" t="str">
        <f ca="1">IF($A57="","",IFERROR(VLOOKUP($Z57,Definitions!$V:$W,COLUMNS(Definitions!$V:$W),TRUE),""))</f>
        <v>Beyond High</v>
      </c>
      <c r="R57" s="10" t="s">
        <v>1400</v>
      </c>
      <c r="S57" s="10"/>
      <c r="T57" s="10" t="s">
        <v>1410</v>
      </c>
      <c r="U57" s="9" cm="1">
        <f t="array" aca="1" ref="U57" ca="1">CreateID($U$2,$A57&lt;&gt;"")</f>
        <v>55</v>
      </c>
      <c r="V57" s="11" t="b" cm="1">
        <f t="array" aca="1" ref="V57" ca="1">CheckRelevance(SanitizeInput(F57),Questionnaire!$J:$J)</f>
        <v>0</v>
      </c>
      <c r="W57" s="11" t="b">
        <f>IFERROR(_xlfn.XMATCH("*,"&amp;$A57&amp;",*",Mitigation!$X:$X,2)&gt;0,FALSE)</f>
        <v>0</v>
      </c>
      <c r="X57" s="11" cm="1">
        <f t="array" ref="X57">CreateTaskID($X$2,$X:$X,Tasks!$B$17,$T57)</f>
        <v>0</v>
      </c>
      <c r="Y57" s="11" t="str" cm="1">
        <f t="array" ref="Y57">CreateSearchString($F57)</f>
        <v>,AS17,</v>
      </c>
      <c r="Z57" s="11" cm="1">
        <f t="array" aca="1" ref="Z57" ca="1">OperateOnRange(
  $L57,
  TRUE,
  Helper!$B$16,
  0,
  _xlfn.LAMBDA(_xlpm._factor,IF(_xlpm._factor="",0,SimpleLookup(_xlpm._factor,Definitions!$Z:$AA))),
  _xlfn.LAMBDA(_xlpm._x,_xlpm._y,_xlpm._x+_xlpm._y))</f>
        <v>25</v>
      </c>
      <c r="AA57" s="11" t="str" cm="1">
        <f t="array" ref="AA57">CreateSearchString($H57)</f>
        <v/>
      </c>
      <c r="AB57" s="11" t="b" cm="1">
        <f t="array" aca="1" ref="AB57" ca="1">IF($A57="",FALSE,
OR($AG57,_xlfn.LAMBDA(_xlpm._ownID,_xlpm._searchHeader,_xlpm._resultHeader,_xlpm._elementCount,_xlpm._delimiter,_xlpm._activeInTreatmentRange,_xlpm._activeByAnswersRange,_xlpm._dependencies,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InverseLookup(_xlpm._ownID,_xlpm._searchHeader,_xlpm._resultHeader,1,_xlpm._elementCount,_xlpm._delimiter))))))($A57,$AA$2,$A$2,Helper!$B$4,",",$A:$W,$A:$AG,InverseLookup($A57,$AA$2,$A$2,1,Helper!$B$4,","))))</f>
        <v>0</v>
      </c>
      <c r="AC57" s="11" t="str" cm="1">
        <f t="array" aca="1" ref="AC57" ca="1">IF(OR($W57,$AB57,$AG57),CreateSearchString($H57),"")</f>
        <v/>
      </c>
      <c r="AD57" s="11" t="str" cm="1">
        <f t="array" ref="AD57">SUBSTITUTE(IF($W57,CreateSearchString($J57),""),"&gt;",",")</f>
        <v/>
      </c>
      <c r="AE57" s="11" cm="1">
        <f t="array" aca="1" ref="AE57" ca="1">CreateID($AE$2,$AB57)</f>
        <v>7</v>
      </c>
      <c r="AF57" s="11" t="str" cm="1">
        <f t="array" aca="1" ref="AF57" ca="1">IF($AB57,CreateSearchString($R57),"")</f>
        <v/>
      </c>
      <c r="AG57" s="11" t="b">
        <f>OR(CheckRelevance(SanitizeInput($D57),Questionnaire!$J:$J),CheckRelevance(SanitizeInput($D57),Questionnaire!$K:$K))</f>
        <v>0</v>
      </c>
      <c r="AH57" s="11" t="str" cm="1">
        <f t="array" ref="AH57">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FilterPreconditionCandidates(RemoveFirstElement(_xlpm._preconditionCandidates),_xlpm._searchColumn,_xlpm._delimiter))))(SanitizeInput($D57),Questionnaire!$AB:$AB,",")</f>
        <v/>
      </c>
      <c r="AI57" s="11" t="str" cm="1">
        <f t="array" ref="AI57">IF($D57="*","",InverseLookupList($AH57,Questionnaire!$AB$3,Questionnaire!$B$3,Helper!$B$12,","))</f>
        <v/>
      </c>
      <c r="AJ57" s="11" t="str" cm="1">
        <f t="array" ref="AJ57">RemoveDelimiter(GetValues($AI57,Questionnaire!$B:$H," ",CHAR(10)&amp;CHAR(10),TRUE),CHAR(10)&amp;CHAR(10))</f>
        <v/>
      </c>
      <c r="AK57" s="11" t="str" cm="1">
        <f t="array" ref="AK57">CreateSearchString($AI57)</f>
        <v/>
      </c>
      <c r="AL57" s="11" t="str" cm="1">
        <f t="array" aca="1" ref="AL57" ca="1">InverseLookup($A57,Mitigation!$AD$2,Mitigation!$A$2,1,Helper!$B$5,",")</f>
        <v/>
      </c>
      <c r="AM57" s="11" t="str" cm="1">
        <f t="array" aca="1" ref="AM57" ca="1">CreateSearchString(GetValues($AL57,'Attack Steps'!$A:$P,"",",",FALSE))</f>
        <v/>
      </c>
      <c r="AN57" s="11" t="str">
        <f t="shared" si="1"/>
        <v>CM19</v>
      </c>
      <c r="AO57" s="11" t="str" cm="1">
        <f t="array" ref="AO57">_xlfn.SWITCH($D57,
"*","",
"","",
_xlfn.LET(
_xlpm._answers,SUBSTITUTE(SanitizeInput($D57),"&amp;",","),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IF(_xlpm._questionIDUndefined,$A57&amp;" - "&amp;_xlpm._question&amp;": ERROR: Unknown question ID.",
        IF(_xlpm._firstAnswerIsValidOption,"",$A57&amp;" - "&amp;_xlpm._question&amp;": First answer ("&amp;_xlpm._firstAnswer&amp;") is not a valid option.")&amp;
        IF(_xlpm._secondAnswerRequired,IF(_xlpm._secondAnswerProvided,"",$A57&amp;" - "&amp;_xlpm._question&amp;": Second answer required but not provided."),"")&amp;
        IF(NOT(_xlpm._secondAnswerRequired),IF(_xlpm._secondAnswerProvided,$A57&amp;" - "&amp;_xlpm._question&amp;": Second answer ("&amp;_xlpm._secondAnswer&amp;") provided but the question only supports one answer.",""),"")&amp;
        IF(_xlpm._secondAnswerIsValidOption,"",$A57&amp;" - "&amp;_xlpm._question&amp;": Second answer ("&amp;_xlpm._secondAnswer&amp;") is not a valid option.")))),
  _xlfn.LAMBDA(_xlpm._x,_xlpm._y,_xlpm._x&amp;IF(_xlpm._x="","",CHAR(10))&amp;_xlpm._y))))</f>
        <v/>
      </c>
      <c r="AP57" s="11" cm="1">
        <f t="array" aca="1" ref="AP57" ca="1">CreateID($AP$2,$AO57&lt;&gt;"")</f>
        <v>0</v>
      </c>
    </row>
    <row r="58" spans="1:42" ht="30" x14ac:dyDescent="0.25">
      <c r="A58" s="9" t="s">
        <v>819</v>
      </c>
      <c r="B58" s="10" t="s">
        <v>1299</v>
      </c>
      <c r="C58" s="10" t="s">
        <v>1300</v>
      </c>
      <c r="D58" s="10"/>
      <c r="E58" s="25" t="str" cm="1">
        <f t="array" ref="E58">OperateOnList(
  SanitizeInput($D58),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58" s="10" t="s">
        <v>79</v>
      </c>
      <c r="G58" s="13" t="str" cm="1">
        <f t="array" aca="1" ref="G58" ca="1">LookupNames($F58,'Attack Steps'!$A:$B)</f>
        <v>AS2 Getting access to a wireless network</v>
      </c>
      <c r="H58" s="10" t="s">
        <v>320</v>
      </c>
      <c r="I58" s="13" t="str" cm="1">
        <f t="array" aca="1" ref="I58" ca="1">RemoveDelimiter(GetValuesWithFallback(SanitizeInput($H58),$A:$B,Assumptions!$A:$B," ",","&amp;CHAR(10),TRUE),","&amp;CHAR(10))</f>
        <v>C9 CR 2.2 – Wireless use control</v>
      </c>
      <c r="J58" s="10"/>
      <c r="K58" s="25" t="str" cm="1">
        <f t="array" ref="K58">IF($J58="","",SUBSTITUTE(SUBSTITUTE(SUBSTITUTE(SUBSTITUTE(SUBSTITUTE(SUBSTITUTE(SUBSTITUTE(SUBSTITUTE(SUBSTITUTE(
GetTransformation(SanitizeInput($J58),'Damage Scenarios'!$A:$J,COLUMNS('Damage Scenarios'!$A:$J),CHAR(10),"[#0][#1][#2]")&amp;"§",
"[#1][#2]",""),
"[#2]",""),
"[#0][#1]","[#1]"),
"[#0]","Removes:"&amp;CHAR(10)),
"[#1]","Transforms:"&amp;CHAR(10)),
CHAR(10)&amp;"§",""),
"§",""),
CHAR(10),CHAR(10)&amp;"   "),
"   "&amp;"Transforms:","Transforms:"))</f>
        <v/>
      </c>
      <c r="L58" s="10"/>
      <c r="M58" s="10"/>
      <c r="N58" s="10"/>
      <c r="O58" s="10" t="s">
        <v>122</v>
      </c>
      <c r="P58" s="10"/>
      <c r="Q58" s="13" t="str">
        <f ca="1">IF($A58="","",IFERROR(VLOOKUP($Z58,Definitions!$V:$W,COLUMNS(Definitions!$V:$W),TRUE),""))</f>
        <v>Beyond High</v>
      </c>
      <c r="R58" s="10" t="s">
        <v>1404</v>
      </c>
      <c r="S58" s="10"/>
      <c r="T58" s="10" t="s">
        <v>1301</v>
      </c>
      <c r="U58" s="9" cm="1">
        <f t="array" aca="1" ref="U58" ca="1">CreateID($U$2,$A58&lt;&gt;"")</f>
        <v>56</v>
      </c>
      <c r="V58" s="11" t="b" cm="1">
        <f t="array" aca="1" ref="V58" ca="1">CheckRelevance(SanitizeInput(F58),Questionnaire!$J:$J)</f>
        <v>0</v>
      </c>
      <c r="W58" s="11" t="b">
        <f>IFERROR(_xlfn.XMATCH("*,"&amp;$A58&amp;",*",Mitigation!$X:$X,2)&gt;0,FALSE)</f>
        <v>0</v>
      </c>
      <c r="X58" s="11" cm="1">
        <f t="array" ref="X58">CreateTaskID($X$2,$X:$X,Tasks!$B$17,$T58)</f>
        <v>0</v>
      </c>
      <c r="Y58" s="11" t="str" cm="1">
        <f t="array" ref="Y58">CreateSearchString($F58)</f>
        <v>,AS2,</v>
      </c>
      <c r="Z58" s="11" cm="1">
        <f t="array" aca="1" ref="Z58" ca="1">OperateOnRange(
  $L58,
  TRUE,
  Helper!$B$16,
  0,
  _xlfn.LAMBDA(_xlpm._factor,IF(_xlpm._factor="",0,SimpleLookup(_xlpm._factor,Definitions!$Z:$AA))),
  _xlfn.LAMBDA(_xlpm._x,_xlpm._y,_xlpm._x+_xlpm._y))</f>
        <v>25</v>
      </c>
      <c r="AA58" s="11" t="str" cm="1">
        <f t="array" ref="AA58">CreateSearchString($H58)</f>
        <v>,C9,</v>
      </c>
      <c r="AB58" s="11" t="b" cm="1">
        <f t="array" aca="1" ref="AB58" ca="1">IF($A58="",FALSE,
OR($AG58,_xlfn.LAMBDA(_xlpm._ownID,_xlpm._searchHeader,_xlpm._resultHeader,_xlpm._elementCount,_xlpm._delimiter,_xlpm._activeInTreatmentRange,_xlpm._activeByAnswersRange,_xlpm._dependencies,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InverseLookup(_xlpm._ownID,_xlpm._searchHeader,_xlpm._resultHeader,1,_xlpm._elementCount,_xlpm._delimiter))))))($A58,$AA$2,$A$2,Helper!$B$4,",",$A:$W,$A:$AG,InverseLookup($A58,$AA$2,$A$2,1,Helper!$B$4,","))))</f>
        <v>0</v>
      </c>
      <c r="AC58" s="11" t="str" cm="1">
        <f t="array" aca="1" ref="AC58" ca="1">IF(OR($W58,$AB58,$AG58),CreateSearchString($H58),"")</f>
        <v/>
      </c>
      <c r="AD58" s="11" t="str" cm="1">
        <f t="array" ref="AD58">SUBSTITUTE(IF($W58,CreateSearchString($J58),""),"&gt;",",")</f>
        <v/>
      </c>
      <c r="AE58" s="11" cm="1">
        <f t="array" aca="1" ref="AE58" ca="1">CreateID($AE$2,$AB58)</f>
        <v>7</v>
      </c>
      <c r="AF58" s="11" t="str" cm="1">
        <f t="array" aca="1" ref="AF58" ca="1">IF($AB58,CreateSearchString($R58),"")</f>
        <v/>
      </c>
      <c r="AG58" s="11" t="b">
        <f>OR(CheckRelevance(SanitizeInput($D58),Questionnaire!$J:$J),CheckRelevance(SanitizeInput($D58),Questionnaire!$K:$K))</f>
        <v>0</v>
      </c>
      <c r="AH58" s="11" t="str" cm="1">
        <f t="array" ref="AH58">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FilterPreconditionCandidates(RemoveFirstElement(_xlpm._preconditionCandidates),_xlpm._searchColumn,_xlpm._delimiter))))(SanitizeInput($D58),Questionnaire!$AB:$AB,",")</f>
        <v/>
      </c>
      <c r="AI58" s="11" t="str" cm="1">
        <f t="array" ref="AI58">IF($D58="*","",InverseLookupList($AH58,Questionnaire!$AB$3,Questionnaire!$B$3,Helper!$B$12,","))</f>
        <v/>
      </c>
      <c r="AJ58" s="11" t="str" cm="1">
        <f t="array" ref="AJ58">RemoveDelimiter(GetValues($AI58,Questionnaire!$B:$H," ",CHAR(10)&amp;CHAR(10),TRUE),CHAR(10)&amp;CHAR(10))</f>
        <v/>
      </c>
      <c r="AK58" s="11" t="str" cm="1">
        <f t="array" ref="AK58">CreateSearchString($AI58)</f>
        <v/>
      </c>
      <c r="AL58" s="11" t="str" cm="1">
        <f t="array" aca="1" ref="AL58" ca="1">InverseLookup($A58,Mitigation!$AD$2,Mitigation!$A$2,1,Helper!$B$5,",")</f>
        <v/>
      </c>
      <c r="AM58" s="11" t="str" cm="1">
        <f t="array" aca="1" ref="AM58" ca="1">CreateSearchString(GetValues($AL58,'Attack Steps'!$A:$P,"",",",FALSE))</f>
        <v/>
      </c>
      <c r="AN58" s="11" t="str">
        <f t="shared" si="1"/>
        <v>CM20</v>
      </c>
      <c r="AO58" s="11" t="str" cm="1">
        <f t="array" ref="AO58">_xlfn.SWITCH($D58,
"*","",
"","",
_xlfn.LET(
_xlpm._answers,SUBSTITUTE(SanitizeInput($D58),"&amp;",","),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IF(_xlpm._questionIDUndefined,$A58&amp;" - "&amp;_xlpm._question&amp;": ERROR: Unknown question ID.",
        IF(_xlpm._firstAnswerIsValidOption,"",$A58&amp;" - "&amp;_xlpm._question&amp;": First answer ("&amp;_xlpm._firstAnswer&amp;") is not a valid option.")&amp;
        IF(_xlpm._secondAnswerRequired,IF(_xlpm._secondAnswerProvided,"",$A58&amp;" - "&amp;_xlpm._question&amp;": Second answer required but not provided."),"")&amp;
        IF(NOT(_xlpm._secondAnswerRequired),IF(_xlpm._secondAnswerProvided,$A58&amp;" - "&amp;_xlpm._question&amp;": Second answer ("&amp;_xlpm._secondAnswer&amp;") provided but the question only supports one answer.",""),"")&amp;
        IF(_xlpm._secondAnswerIsValidOption,"",$A58&amp;" - "&amp;_xlpm._question&amp;": Second answer ("&amp;_xlpm._secondAnswer&amp;") is not a valid option.")))),
  _xlfn.LAMBDA(_xlpm._x,_xlpm._y,_xlpm._x&amp;IF(_xlpm._x="","",CHAR(10))&amp;_xlpm._y))))</f>
        <v/>
      </c>
      <c r="AP58" s="11" cm="1">
        <f t="array" aca="1" ref="AP58" ca="1">CreateID($AP$2,$AO58&lt;&gt;"")</f>
        <v>0</v>
      </c>
    </row>
    <row r="59" spans="1:42" ht="150" x14ac:dyDescent="0.25">
      <c r="A59" s="9" t="s">
        <v>1045</v>
      </c>
      <c r="B59" s="10" t="s">
        <v>1302</v>
      </c>
      <c r="C59" s="10" t="s">
        <v>1303</v>
      </c>
      <c r="D59" s="10"/>
      <c r="E59" s="25" t="str" cm="1">
        <f t="array" ref="E59">OperateOnList(
  SanitizeInput($D59),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59" s="10" t="s">
        <v>1048</v>
      </c>
      <c r="G59" s="13" t="str" cm="1">
        <f t="array" aca="1" ref="G59" ca="1">LookupNames($F59,'Attack Steps'!$A:$B)</f>
        <v>AS3 Compromising the product using a software vulnerability,
AS39 Data extraction from the product's volatile memory</v>
      </c>
      <c r="H59" s="10"/>
      <c r="I59" s="13" t="str" cm="1">
        <f t="array" ref="I59">RemoveDelimiter(GetValuesWithFallback(SanitizeInput($H59),$A:$B,Assumptions!$A:$B," ",","&amp;CHAR(10),TRUE),","&amp;CHAR(10))</f>
        <v/>
      </c>
      <c r="J59" s="10"/>
      <c r="K59" s="25" t="str" cm="1">
        <f t="array" ref="K59">IF($J59="","",SUBSTITUTE(SUBSTITUTE(SUBSTITUTE(SUBSTITUTE(SUBSTITUTE(SUBSTITUTE(SUBSTITUTE(SUBSTITUTE(SUBSTITUTE(
GetTransformation(SanitizeInput($J59),'Damage Scenarios'!$A:$J,COLUMNS('Damage Scenarios'!$A:$J),CHAR(10),"[#0][#1][#2]")&amp;"§",
"[#1][#2]",""),
"[#2]",""),
"[#0][#1]","[#1]"),
"[#0]","Removes:"&amp;CHAR(10)),
"[#1]","Transforms:"&amp;CHAR(10)),
CHAR(10)&amp;"§",""),
"§",""),
CHAR(10),CHAR(10)&amp;"   "),
"   "&amp;"Transforms:","Transforms:"))</f>
        <v/>
      </c>
      <c r="L59" s="10"/>
      <c r="M59" s="10"/>
      <c r="N59" s="10"/>
      <c r="O59" s="10" t="s">
        <v>122</v>
      </c>
      <c r="P59" s="10"/>
      <c r="Q59" s="13" t="str">
        <f ca="1">IF($A59="","",IFERROR(VLOOKUP($Z59,Definitions!$V:$W,COLUMNS(Definitions!$V:$W),TRUE),""))</f>
        <v>Beyond High</v>
      </c>
      <c r="R59" s="10" t="s">
        <v>1397</v>
      </c>
      <c r="S59" s="10"/>
      <c r="T59" s="10" t="s">
        <v>1046</v>
      </c>
      <c r="U59" s="9" cm="1">
        <f t="array" aca="1" ref="U59" ca="1">CreateID($U$2,$A59&lt;&gt;"")</f>
        <v>57</v>
      </c>
      <c r="V59" s="11" t="b" cm="1">
        <f t="array" aca="1" ref="V59" ca="1">CheckRelevance(SanitizeInput(F59),Questionnaire!$J:$J)</f>
        <v>0</v>
      </c>
      <c r="W59" s="11" t="b">
        <f>IFERROR(_xlfn.XMATCH("*,"&amp;$A59&amp;",*",Mitigation!$X:$X,2)&gt;0,FALSE)</f>
        <v>0</v>
      </c>
      <c r="X59" s="11" cm="1">
        <f t="array" ref="X59">CreateTaskID($X$2,$X:$X,Tasks!$B$17,$T59)</f>
        <v>0</v>
      </c>
      <c r="Y59" s="11" t="str" cm="1">
        <f t="array" ref="Y59">CreateSearchString($F59)</f>
        <v>,AS3,AS39,</v>
      </c>
      <c r="Z59" s="11" cm="1">
        <f t="array" aca="1" ref="Z59" ca="1">OperateOnRange(
  $L59,
  TRUE,
  Helper!$B$16,
  0,
  _xlfn.LAMBDA(_xlpm._factor,IF(_xlpm._factor="",0,SimpleLookup(_xlpm._factor,Definitions!$Z:$AA))),
  _xlfn.LAMBDA(_xlpm._x,_xlpm._y,_xlpm._x+_xlpm._y))</f>
        <v>25</v>
      </c>
      <c r="AA59" s="11" t="str" cm="1">
        <f t="array" ref="AA59">CreateSearchString($H59)</f>
        <v/>
      </c>
      <c r="AB59" s="11" t="b" cm="1">
        <f t="array" aca="1" ref="AB59" ca="1">IF($A59="",FALSE,
OR($AG59,_xlfn.LAMBDA(_xlpm._ownID,_xlpm._searchHeader,_xlpm._resultHeader,_xlpm._elementCount,_xlpm._delimiter,_xlpm._activeInTreatmentRange,_xlpm._activeByAnswersRange,_xlpm._dependencies,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InverseLookup(_xlpm._ownID,_xlpm._searchHeader,_xlpm._resultHeader,1,_xlpm._elementCount,_xlpm._delimiter))))))($A59,$AA$2,$A$2,Helper!$B$4,",",$A:$W,$A:$AG,InverseLookup($A59,$AA$2,$A$2,1,Helper!$B$4,","))))</f>
        <v>0</v>
      </c>
      <c r="AC59" s="11" t="str" cm="1">
        <f t="array" aca="1" ref="AC59" ca="1">IF(OR($W59,$AB59,$AG59),CreateSearchString($H59),"")</f>
        <v/>
      </c>
      <c r="AD59" s="11" t="str" cm="1">
        <f t="array" ref="AD59">SUBSTITUTE(IF($W59,CreateSearchString($J59),""),"&gt;",",")</f>
        <v/>
      </c>
      <c r="AE59" s="11" cm="1">
        <f t="array" aca="1" ref="AE59" ca="1">CreateID($AE$2,$AB59)</f>
        <v>7</v>
      </c>
      <c r="AF59" s="11" t="str" cm="1">
        <f t="array" aca="1" ref="AF59" ca="1">IF($AB59,CreateSearchString($R59),"")</f>
        <v/>
      </c>
      <c r="AG59" s="11" t="b">
        <f>OR(CheckRelevance(SanitizeInput($D59),Questionnaire!$J:$J),CheckRelevance(SanitizeInput($D59),Questionnaire!$K:$K))</f>
        <v>0</v>
      </c>
      <c r="AH59" s="11" t="str" cm="1">
        <f t="array" ref="AH59">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FilterPreconditionCandidates(RemoveFirstElement(_xlpm._preconditionCandidates),_xlpm._searchColumn,_xlpm._delimiter))))(SanitizeInput($D59),Questionnaire!$AB:$AB,",")</f>
        <v/>
      </c>
      <c r="AI59" s="11" t="str" cm="1">
        <f t="array" ref="AI59">IF($D59="*","",InverseLookupList($AH59,Questionnaire!$AB$3,Questionnaire!$B$3,Helper!$B$12,","))</f>
        <v/>
      </c>
      <c r="AJ59" s="11" t="str" cm="1">
        <f t="array" ref="AJ59">RemoveDelimiter(GetValues($AI59,Questionnaire!$B:$H," ",CHAR(10)&amp;CHAR(10),TRUE),CHAR(10)&amp;CHAR(10))</f>
        <v/>
      </c>
      <c r="AK59" s="11" t="str" cm="1">
        <f t="array" ref="AK59">CreateSearchString($AI59)</f>
        <v/>
      </c>
      <c r="AL59" s="11" t="str" cm="1">
        <f t="array" aca="1" ref="AL59" ca="1">InverseLookup($A59,Mitigation!$AD$2,Mitigation!$A$2,1,Helper!$B$5,",")</f>
        <v/>
      </c>
      <c r="AM59" s="11" t="str" cm="1">
        <f t="array" aca="1" ref="AM59" ca="1">CreateSearchString(GetValues($AL59,'Attack Steps'!$A:$P,"",",",FALSE))</f>
        <v/>
      </c>
      <c r="AN59" s="11" t="str">
        <f t="shared" si="1"/>
        <v>CM21</v>
      </c>
      <c r="AO59" s="11" t="str" cm="1">
        <f t="array" ref="AO59">_xlfn.SWITCH($D59,
"*","",
"","",
_xlfn.LET(
_xlpm._answers,SUBSTITUTE(SanitizeInput($D59),"&amp;",","),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IF(_xlpm._questionIDUndefined,$A59&amp;" - "&amp;_xlpm._question&amp;": ERROR: Unknown question ID.",
        IF(_xlpm._firstAnswerIsValidOption,"",$A59&amp;" - "&amp;_xlpm._question&amp;": First answer ("&amp;_xlpm._firstAnswer&amp;") is not a valid option.")&amp;
        IF(_xlpm._secondAnswerRequired,IF(_xlpm._secondAnswerProvided,"",$A59&amp;" - "&amp;_xlpm._question&amp;": Second answer required but not provided."),"")&amp;
        IF(NOT(_xlpm._secondAnswerRequired),IF(_xlpm._secondAnswerProvided,$A59&amp;" - "&amp;_xlpm._question&amp;": Second answer ("&amp;_xlpm._secondAnswer&amp;") provided but the question only supports one answer.",""),"")&amp;
        IF(_xlpm._secondAnswerIsValidOption,"",$A59&amp;" - "&amp;_xlpm._question&amp;": Second answer ("&amp;_xlpm._secondAnswer&amp;") is not a valid option.")))),
  _xlfn.LAMBDA(_xlpm._x,_xlpm._y,_xlpm._x&amp;IF(_xlpm._x="","",CHAR(10))&amp;_xlpm._y))))</f>
        <v/>
      </c>
      <c r="AP59" s="11" cm="1">
        <f t="array" aca="1" ref="AP59" ca="1">CreateID($AP$2,$AO59&lt;&gt;"")</f>
        <v>0</v>
      </c>
    </row>
    <row r="60" spans="1:42" ht="45" x14ac:dyDescent="0.25">
      <c r="A60" s="9" t="s">
        <v>1162</v>
      </c>
      <c r="B60" s="10" t="s">
        <v>1492</v>
      </c>
      <c r="C60" s="10" t="s">
        <v>1163</v>
      </c>
      <c r="D60" s="10"/>
      <c r="E60" s="25" t="str" cm="1">
        <f t="array" ref="E60">OperateOnList(
  SanitizeInput($D60),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60" s="10" t="s">
        <v>1048</v>
      </c>
      <c r="G60" s="13" t="str" cm="1">
        <f t="array" aca="1" ref="G60" ca="1">LookupNames($F60,'Attack Steps'!$A:$B)</f>
        <v>AS3 Compromising the product using a software vulnerability,
AS39 Data extraction from the product's volatile memory</v>
      </c>
      <c r="H60" s="10"/>
      <c r="I60" s="13" t="str" cm="1">
        <f t="array" ref="I60">RemoveDelimiter(GetValuesWithFallback(SanitizeInput($H60),$A:$B,Assumptions!$A:$B," ",","&amp;CHAR(10),TRUE),","&amp;CHAR(10))</f>
        <v/>
      </c>
      <c r="J60" s="10"/>
      <c r="K60" s="25" t="str" cm="1">
        <f t="array" ref="K60">IF($J60="","",SUBSTITUTE(SUBSTITUTE(SUBSTITUTE(SUBSTITUTE(SUBSTITUTE(SUBSTITUTE(SUBSTITUTE(SUBSTITUTE(SUBSTITUTE(
GetTransformation(SanitizeInput($J60),'Damage Scenarios'!$A:$J,COLUMNS('Damage Scenarios'!$A:$J),CHAR(10),"[#0][#1][#2]")&amp;"§",
"[#1][#2]",""),
"[#2]",""),
"[#0][#1]","[#1]"),
"[#0]","Removes:"&amp;CHAR(10)),
"[#1]","Transforms:"&amp;CHAR(10)),
CHAR(10)&amp;"§",""),
"§",""),
CHAR(10),CHAR(10)&amp;"   "),
"   "&amp;"Transforms:","Transforms:"))</f>
        <v/>
      </c>
      <c r="L60" s="10" t="s">
        <v>106</v>
      </c>
      <c r="M60" s="10" t="s">
        <v>112</v>
      </c>
      <c r="N60" s="10" t="s">
        <v>116</v>
      </c>
      <c r="O60" s="10"/>
      <c r="P60" s="10"/>
      <c r="Q60" s="13" t="str">
        <f ca="1">IF($A60="","",IFERROR(VLOOKUP($Z60,Definitions!$V:$W,COLUMNS(Definitions!$V:$W),TRUE),""))</f>
        <v>Moderate</v>
      </c>
      <c r="R60" s="10" t="s">
        <v>1404</v>
      </c>
      <c r="S60" s="10"/>
      <c r="T60" s="10" t="s">
        <v>1712</v>
      </c>
      <c r="U60" s="9" cm="1">
        <f t="array" aca="1" ref="U60" ca="1">CreateID($U$2,$A60&lt;&gt;"")</f>
        <v>58</v>
      </c>
      <c r="V60" s="11" t="b" cm="1">
        <f t="array" aca="1" ref="V60" ca="1">CheckRelevance(SanitizeInput(F60),Questionnaire!$J:$J)</f>
        <v>0</v>
      </c>
      <c r="W60" s="11" t="b">
        <f>IFERROR(_xlfn.XMATCH("*,"&amp;$A60&amp;",*",Mitigation!$X:$X,2)&gt;0,FALSE)</f>
        <v>0</v>
      </c>
      <c r="X60" s="11" cm="1">
        <f t="array" ref="X60">CreateTaskID($X$2,$X:$X,Tasks!$B$17,$T60)</f>
        <v>0</v>
      </c>
      <c r="Y60" s="11" t="str" cm="1">
        <f t="array" ref="Y60">CreateSearchString($F60)</f>
        <v>,AS3,AS39,</v>
      </c>
      <c r="Z60" s="11" cm="1">
        <f t="array" aca="1" ref="Z60" ca="1">OperateOnRange(
  $L60,
  TRUE,
  Helper!$B$16,
  0,
  _xlfn.LAMBDA(_xlpm._factor,IF(_xlpm._factor="",0,SimpleLookup(_xlpm._factor,Definitions!$Z:$AA))),
  _xlfn.LAMBDA(_xlpm._x,_xlpm._y,_xlpm._x+_xlpm._y))</f>
        <v>19</v>
      </c>
      <c r="AA60" s="11" t="str" cm="1">
        <f t="array" ref="AA60">CreateSearchString($H60)</f>
        <v/>
      </c>
      <c r="AB60" s="11" t="b" cm="1">
        <f t="array" aca="1" ref="AB60" ca="1">IF($A60="",FALSE,
OR($AG60,_xlfn.LAMBDA(_xlpm._ownID,_xlpm._searchHeader,_xlpm._resultHeader,_xlpm._elementCount,_xlpm._delimiter,_xlpm._activeInTreatmentRange,_xlpm._activeByAnswersRange,_xlpm._dependencies,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InverseLookup(_xlpm._ownID,_xlpm._searchHeader,_xlpm._resultHeader,1,_xlpm._elementCount,_xlpm._delimiter))))))($A60,$AA$2,$A$2,Helper!$B$4,",",$A:$W,$A:$AG,InverseLookup($A60,$AA$2,$A$2,1,Helper!$B$4,","))))</f>
        <v>0</v>
      </c>
      <c r="AC60" s="11" t="str" cm="1">
        <f t="array" aca="1" ref="AC60" ca="1">IF(OR($W60,$AB60,$AG60),CreateSearchString($H60),"")</f>
        <v/>
      </c>
      <c r="AD60" s="11" t="str" cm="1">
        <f t="array" ref="AD60">SUBSTITUTE(IF($W60,CreateSearchString($J60),""),"&gt;",",")</f>
        <v/>
      </c>
      <c r="AE60" s="11" cm="1">
        <f t="array" aca="1" ref="AE60" ca="1">CreateID($AE$2,$AB60)</f>
        <v>7</v>
      </c>
      <c r="AF60" s="11" t="str" cm="1">
        <f t="array" aca="1" ref="AF60" ca="1">IF($AB60,CreateSearchString($R60),"")</f>
        <v/>
      </c>
      <c r="AG60" s="11" t="b">
        <f>OR(CheckRelevance(SanitizeInput($D60),Questionnaire!$J:$J),CheckRelevance(SanitizeInput($D60),Questionnaire!$K:$K))</f>
        <v>0</v>
      </c>
      <c r="AH60" s="11" t="str" cm="1">
        <f t="array" ref="AH60">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FilterPreconditionCandidates(RemoveFirstElement(_xlpm._preconditionCandidates),_xlpm._searchColumn,_xlpm._delimiter))))(SanitizeInput($D60),Questionnaire!$AB:$AB,",")</f>
        <v/>
      </c>
      <c r="AI60" s="11" t="str" cm="1">
        <f t="array" ref="AI60">IF($D60="*","",InverseLookupList($AH60,Questionnaire!$AB$3,Questionnaire!$B$3,Helper!$B$12,","))</f>
        <v/>
      </c>
      <c r="AJ60" s="11" t="str" cm="1">
        <f t="array" ref="AJ60">RemoveDelimiter(GetValues($AI60,Questionnaire!$B:$H," ",CHAR(10)&amp;CHAR(10),TRUE),CHAR(10)&amp;CHAR(10))</f>
        <v/>
      </c>
      <c r="AK60" s="11" t="str" cm="1">
        <f t="array" ref="AK60">CreateSearchString($AI60)</f>
        <v/>
      </c>
      <c r="AL60" s="11" t="str" cm="1">
        <f t="array" aca="1" ref="AL60" ca="1">InverseLookup($A60,Mitigation!$AD$2,Mitigation!$A$2,1,Helper!$B$5,",")</f>
        <v/>
      </c>
      <c r="AM60" s="11" t="str" cm="1">
        <f t="array" aca="1" ref="AM60" ca="1">CreateSearchString(GetValues($AL60,'Attack Steps'!$A:$P,"",",",FALSE))</f>
        <v/>
      </c>
      <c r="AN60" s="11" t="str">
        <f t="shared" si="1"/>
        <v>CM22</v>
      </c>
      <c r="AO60" s="11" t="str" cm="1">
        <f t="array" ref="AO60">_xlfn.SWITCH($D60,
"*","",
"","",
_xlfn.LET(
_xlpm._answers,SUBSTITUTE(SanitizeInput($D60),"&amp;",","),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IF(_xlpm._questionIDUndefined,$A60&amp;" - "&amp;_xlpm._question&amp;": ERROR: Unknown question ID.",
        IF(_xlpm._firstAnswerIsValidOption,"",$A60&amp;" - "&amp;_xlpm._question&amp;": First answer ("&amp;_xlpm._firstAnswer&amp;") is not a valid option.")&amp;
        IF(_xlpm._secondAnswerRequired,IF(_xlpm._secondAnswerProvided,"",$A60&amp;" - "&amp;_xlpm._question&amp;": Second answer required but not provided."),"")&amp;
        IF(NOT(_xlpm._secondAnswerRequired),IF(_xlpm._secondAnswerProvided,$A60&amp;" - "&amp;_xlpm._question&amp;": Second answer ("&amp;_xlpm._secondAnswer&amp;") provided but the question only supports one answer.",""),"")&amp;
        IF(_xlpm._secondAnswerIsValidOption,"",$A60&amp;" - "&amp;_xlpm._question&amp;": Second answer ("&amp;_xlpm._secondAnswer&amp;") is not a valid option.")))),
  _xlfn.LAMBDA(_xlpm._x,_xlpm._y,_xlpm._x&amp;IF(_xlpm._x="","",CHAR(10))&amp;_xlpm._y))))</f>
        <v/>
      </c>
      <c r="AP60" s="11" cm="1">
        <f t="array" aca="1" ref="AP60" ca="1">CreateID($AP$2,$AO60&lt;&gt;"")</f>
        <v>0</v>
      </c>
    </row>
    <row r="61" spans="1:42" ht="60" x14ac:dyDescent="0.25">
      <c r="A61" s="9" t="s">
        <v>1192</v>
      </c>
      <c r="B61" s="10" t="s">
        <v>1193</v>
      </c>
      <c r="C61" s="10" t="s">
        <v>1194</v>
      </c>
      <c r="D61" s="10" t="s">
        <v>1195</v>
      </c>
      <c r="E61" s="25" t="str" cm="1">
        <f t="array" aca="1" ref="E61" ca="1">OperateOnList(
  SanitizeInput($D61),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QA11b Are software updates in the field (regularly or event-based) planned? [No]
» Will the product be exchanged to handle vulnerabilities or security incidents? [Yes]</v>
      </c>
      <c r="F61" s="10" t="s">
        <v>1179</v>
      </c>
      <c r="G61" s="13" t="str" cm="1">
        <f t="array" aca="1" ref="G61" ca="1">LookupNames($F61,'Attack Steps'!$A:$B)</f>
        <v>AS40 Abusing the lack of a software update functionality to exploit an unpatched vulnerability</v>
      </c>
      <c r="H61" s="10"/>
      <c r="I61" s="13" t="str" cm="1">
        <f t="array" ref="I61">RemoveDelimiter(GetValuesWithFallback(SanitizeInput($H61),$A:$B,Assumptions!$A:$B," ",","&amp;CHAR(10),TRUE),","&amp;CHAR(10))</f>
        <v/>
      </c>
      <c r="J61" s="10"/>
      <c r="K61" s="25" t="str" cm="1">
        <f t="array" ref="K61">IF($J61="","",SUBSTITUTE(SUBSTITUTE(SUBSTITUTE(SUBSTITUTE(SUBSTITUTE(SUBSTITUTE(SUBSTITUTE(SUBSTITUTE(SUBSTITUTE(
GetTransformation(SanitizeInput($J61),'Damage Scenarios'!$A:$J,COLUMNS('Damage Scenarios'!$A:$J),CHAR(10),"[#0][#1][#2]")&amp;"§",
"[#1][#2]",""),
"[#2]",""),
"[#0][#1]","[#1]"),
"[#0]","Removes:"&amp;CHAR(10)),
"[#1]","Transforms:"&amp;CHAR(10)),
CHAR(10)&amp;"§",""),
"§",""),
CHAR(10),CHAR(10)&amp;"   "),
"   "&amp;"Transforms:","Transforms:"))</f>
        <v/>
      </c>
      <c r="L61" s="10"/>
      <c r="M61" s="10"/>
      <c r="N61" s="10"/>
      <c r="O61" s="10" t="s">
        <v>122</v>
      </c>
      <c r="P61" s="10"/>
      <c r="Q61" s="13" t="str">
        <f ca="1">IF($A61="","",IFERROR(VLOOKUP($Z61,Definitions!$V:$W,COLUMNS(Definitions!$V:$W),TRUE),""))</f>
        <v>Beyond High</v>
      </c>
      <c r="R61" s="10" t="s">
        <v>451</v>
      </c>
      <c r="S61" s="10"/>
      <c r="T61" s="10" t="s">
        <v>1413</v>
      </c>
      <c r="U61" s="9" cm="1">
        <f t="array" aca="1" ref="U61" ca="1">CreateID($U$2,$A61&lt;&gt;"")</f>
        <v>59</v>
      </c>
      <c r="V61" s="11" t="b" cm="1">
        <f t="array" aca="1" ref="V61" ca="1">CheckRelevance(SanitizeInput(F61),Questionnaire!$J:$J)</f>
        <v>0</v>
      </c>
      <c r="W61" s="11" t="b">
        <f>IFERROR(_xlfn.XMATCH("*,"&amp;$A61&amp;",*",Mitigation!$X:$X,2)&gt;0,FALSE)</f>
        <v>0</v>
      </c>
      <c r="X61" s="11" cm="1">
        <f t="array" ref="X61">CreateTaskID($X$2,$X:$X,Tasks!$B$17,$T61)</f>
        <v>0</v>
      </c>
      <c r="Y61" s="11" t="str" cm="1">
        <f t="array" ref="Y61">CreateSearchString($F61)</f>
        <v>,AS40,</v>
      </c>
      <c r="Z61" s="11" cm="1">
        <f t="array" aca="1" ref="Z61" ca="1">OperateOnRange(
  $L61,
  TRUE,
  Helper!$B$16,
  0,
  _xlfn.LAMBDA(_xlpm._factor,IF(_xlpm._factor="",0,SimpleLookup(_xlpm._factor,Definitions!$Z:$AA))),
  _xlfn.LAMBDA(_xlpm._x,_xlpm._y,_xlpm._x+_xlpm._y))</f>
        <v>25</v>
      </c>
      <c r="AA61" s="11" t="str" cm="1">
        <f t="array" ref="AA61">CreateSearchString($H61)</f>
        <v/>
      </c>
      <c r="AB61" s="11" t="b" cm="1">
        <f t="array" aca="1" ref="AB61" ca="1">IF($A61="",FALSE,
OR($AG61,_xlfn.LAMBDA(_xlpm._ownID,_xlpm._searchHeader,_xlpm._resultHeader,_xlpm._elementCount,_xlpm._delimiter,_xlpm._activeInTreatmentRange,_xlpm._activeByAnswersRange,_xlpm._dependencies,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InverseLookup(_xlpm._ownID,_xlpm._searchHeader,_xlpm._resultHeader,1,_xlpm._elementCount,_xlpm._delimiter))))))($A61,$AA$2,$A$2,Helper!$B$4,",",$A:$W,$A:$AG,InverseLookup($A61,$AA$2,$A$2,1,Helper!$B$4,","))))</f>
        <v>0</v>
      </c>
      <c r="AC61" s="11" t="str" cm="1">
        <f t="array" aca="1" ref="AC61" ca="1">IF(OR($W61,$AB61,$AG61),CreateSearchString($H61),"")</f>
        <v/>
      </c>
      <c r="AD61" s="11" t="str" cm="1">
        <f t="array" ref="AD61">SUBSTITUTE(IF($W61,CreateSearchString($J61),""),"&gt;",",")</f>
        <v/>
      </c>
      <c r="AE61" s="11" cm="1">
        <f t="array" aca="1" ref="AE61" ca="1">CreateID($AE$2,$AB61)</f>
        <v>7</v>
      </c>
      <c r="AF61" s="11" t="str" cm="1">
        <f t="array" aca="1" ref="AF61" ca="1">IF($AB61,CreateSearchString($R61),"")</f>
        <v/>
      </c>
      <c r="AG61" s="11" t="b">
        <f ca="1">OR(CheckRelevance(SanitizeInput($D61),Questionnaire!$J:$J),CheckRelevance(SanitizeInput($D61),Questionnaire!$K:$K))</f>
        <v>0</v>
      </c>
      <c r="AH61" s="11" t="str" cm="1">
        <f t="array" aca="1" ref="AH61" ca="1">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FilterPreconditionCandidates(RemoveFirstElement(_xlpm._preconditionCandidates),_xlpm._searchColumn,_xlpm._delimiter))))(SanitizeInput($D61),Questionnaire!$AB:$AB,",")</f>
        <v/>
      </c>
      <c r="AI61" s="11" t="str" cm="1">
        <f t="array" aca="1" ref="AI61" ca="1">IF($D61="*","",InverseLookupList($AH61,Questionnaire!$AB$3,Questionnaire!$B$3,Helper!$B$12,","))</f>
        <v/>
      </c>
      <c r="AJ61" s="11" t="str" cm="1">
        <f t="array" aca="1" ref="AJ61" ca="1">RemoveDelimiter(GetValues($AI61,Questionnaire!$B:$H," ",CHAR(10)&amp;CHAR(10),TRUE),CHAR(10)&amp;CHAR(10))</f>
        <v/>
      </c>
      <c r="AK61" s="11" t="str" cm="1">
        <f t="array" aca="1" ref="AK61" ca="1">CreateSearchString($AI61)</f>
        <v/>
      </c>
      <c r="AL61" s="11" t="str" cm="1">
        <f t="array" aca="1" ref="AL61" ca="1">InverseLookup($A61,Mitigation!$AD$2,Mitigation!$A$2,1,Helper!$B$5,",")</f>
        <v/>
      </c>
      <c r="AM61" s="11" t="str" cm="1">
        <f t="array" aca="1" ref="AM61" ca="1">CreateSearchString(GetValues($AL61,'Attack Steps'!$A:$P,"",",",FALSE))</f>
        <v/>
      </c>
      <c r="AN61" s="11" t="str">
        <f t="shared" si="1"/>
        <v>CM23</v>
      </c>
      <c r="AO61" s="11" t="str" cm="1">
        <f t="array" aca="1" ref="AO61" ca="1">_xlfn.SWITCH($D61,
"*","",
"","",
_xlfn.LET(
_xlpm._answers,SUBSTITUTE(SanitizeInput($D61),"&amp;",","),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IF(_xlpm._questionIDUndefined,$A61&amp;" - "&amp;_xlpm._question&amp;": ERROR: Unknown question ID.",
        IF(_xlpm._firstAnswerIsValidOption,"",$A61&amp;" - "&amp;_xlpm._question&amp;": First answer ("&amp;_xlpm._firstAnswer&amp;") is not a valid option.")&amp;
        IF(_xlpm._secondAnswerRequired,IF(_xlpm._secondAnswerProvided,"",$A61&amp;" - "&amp;_xlpm._question&amp;": Second answer required but not provided."),"")&amp;
        IF(NOT(_xlpm._secondAnswerRequired),IF(_xlpm._secondAnswerProvided,$A61&amp;" - "&amp;_xlpm._question&amp;": Second answer ("&amp;_xlpm._secondAnswer&amp;") provided but the question only supports one answer.",""),"")&amp;
        IF(_xlpm._secondAnswerIsValidOption,"",$A61&amp;" - "&amp;_xlpm._question&amp;": Second answer ("&amp;_xlpm._secondAnswer&amp;") is not a valid option.")))),
  _xlfn.LAMBDA(_xlpm._x,_xlpm._y,_xlpm._x&amp;IF(_xlpm._x="","",CHAR(10))&amp;_xlpm._y))))</f>
        <v/>
      </c>
      <c r="AP61" s="11" cm="1">
        <f t="array" aca="1" ref="AP61" ca="1">CreateID($AP$2,$AO61&lt;&gt;"")</f>
        <v>0</v>
      </c>
    </row>
    <row r="62" spans="1:42" ht="45" x14ac:dyDescent="0.25">
      <c r="A62" s="9" t="s">
        <v>1534</v>
      </c>
      <c r="B62" s="10" t="s">
        <v>1736</v>
      </c>
      <c r="C62" s="10" t="s">
        <v>1737</v>
      </c>
      <c r="D62" s="10"/>
      <c r="E62" s="25" t="str" cm="1">
        <f t="array" ref="E62">OperateOnList(
  SanitizeInput($D62),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62" s="10" t="s">
        <v>174</v>
      </c>
      <c r="G62" s="13" t="str" cm="1">
        <f t="array" aca="1" ref="G62" ca="1">LookupNames($F62,'Attack Steps'!$A:$B)</f>
        <v>AS16 Manipulating the product's configuration via its configuration interface</v>
      </c>
      <c r="H62" s="10" t="s">
        <v>588</v>
      </c>
      <c r="I62" s="13" t="str" cm="1">
        <f t="array" aca="1" ref="I62" ca="1">RemoveDelimiter(GetValuesWithFallback(SanitizeInput($H62),$A:$B,Assumptions!$A:$B," ",","&amp;CHAR(10),TRUE),","&amp;CHAR(10))</f>
        <v>CM5 SCR 2.3 - Password based authentication (human)</v>
      </c>
      <c r="J62" s="10"/>
      <c r="K62" s="25" t="str" cm="1">
        <f t="array" ref="K62">IF($J62="","",SUBSTITUTE(SUBSTITUTE(SUBSTITUTE(SUBSTITUTE(SUBSTITUTE(SUBSTITUTE(SUBSTITUTE(SUBSTITUTE(SUBSTITUTE(
GetTransformation(SanitizeInput($J62),'Damage Scenarios'!$A:$J,COLUMNS('Damage Scenarios'!$A:$J),CHAR(10),"[#0][#1][#2]")&amp;"§",
"[#1][#2]",""),
"[#2]",""),
"[#0][#1]","[#1]"),
"[#0]","Removes:"&amp;CHAR(10)),
"[#1]","Transforms:"&amp;CHAR(10)),
CHAR(10)&amp;"§",""),
"§",""),
CHAR(10),CHAR(10)&amp;"   "),
"   "&amp;"Transforms:","Transforms:"))</f>
        <v/>
      </c>
      <c r="L62" s="10" t="s">
        <v>104</v>
      </c>
      <c r="M62" s="10" t="s">
        <v>111</v>
      </c>
      <c r="N62" s="10" t="s">
        <v>116</v>
      </c>
      <c r="O62" s="10" t="s">
        <v>120</v>
      </c>
      <c r="P62" s="10" t="s">
        <v>125</v>
      </c>
      <c r="Q62" s="13" t="str">
        <f ca="1">IF($A62="","",IFERROR(VLOOKUP($Z62,Definitions!$V:$W,COLUMNS(Definitions!$V:$W),TRUE),""))</f>
        <v>Enhanced-Basic</v>
      </c>
      <c r="R62" s="10"/>
      <c r="S62" s="10"/>
      <c r="T62" s="10" t="s">
        <v>1746</v>
      </c>
      <c r="U62" s="9" cm="1">
        <f t="array" aca="1" ref="U62" ca="1">CreateID($U$2,$A62&lt;&gt;"")</f>
        <v>60</v>
      </c>
      <c r="V62" s="11" t="b" cm="1">
        <f t="array" aca="1" ref="V62" ca="1">CheckRelevance(SanitizeInput(F62),Questionnaire!$J:$J)</f>
        <v>0</v>
      </c>
      <c r="W62" s="11" t="b">
        <f>IFERROR(_xlfn.XMATCH("*,"&amp;$A62&amp;",*",Mitigation!$X:$X,2)&gt;0,FALSE)</f>
        <v>0</v>
      </c>
      <c r="X62" s="11" cm="1">
        <f t="array" ref="X62">CreateTaskID($X$2,$X:$X,Tasks!$B$17,$T62)</f>
        <v>0</v>
      </c>
      <c r="Y62" s="11" t="str" cm="1">
        <f t="array" ref="Y62">CreateSearchString($F62)</f>
        <v>,AS16,</v>
      </c>
      <c r="Z62" s="11" cm="1">
        <f t="array" aca="1" ref="Z62" ca="1">OperateOnRange(
  $L62,
  TRUE,
  Helper!$B$16,
  0,
  _xlfn.LAMBDA(_xlpm._factor,IF(_xlpm._factor="",0,SimpleLookup(_xlpm._factor,Definitions!$Z:$AA))),
  _xlfn.LAMBDA(_xlpm._x,_xlpm._y,_xlpm._x+_xlpm._y))</f>
        <v>12</v>
      </c>
      <c r="AA62" s="11" t="str" cm="1">
        <f t="array" ref="AA62">CreateSearchString($H62)</f>
        <v>,CM5,</v>
      </c>
      <c r="AB62" s="11" t="b" cm="1">
        <f t="array" aca="1" ref="AB62" ca="1">IF($A62="",FALSE,
OR($AG62,_xlfn.LAMBDA(_xlpm._ownID,_xlpm._searchHeader,_xlpm._resultHeader,_xlpm._elementCount,_xlpm._delimiter,_xlpm._activeInTreatmentRange,_xlpm._activeByAnswersRange,_xlpm._dependencies,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InverseLookup(_xlpm._ownID,_xlpm._searchHeader,_xlpm._resultHeader,1,_xlpm._elementCount,_xlpm._delimiter))))))($A62,$AA$2,$A$2,Helper!$B$4,",",$A:$W,$A:$AG,InverseLookup($A62,$AA$2,$A$2,1,Helper!$B$4,","))))</f>
        <v>0</v>
      </c>
      <c r="AC62" s="11" t="str" cm="1">
        <f t="array" aca="1" ref="AC62" ca="1">IF(OR($W62,$AB62,$AG62),CreateSearchString($H62),"")</f>
        <v/>
      </c>
      <c r="AD62" s="11" t="str" cm="1">
        <f t="array" ref="AD62">SUBSTITUTE(IF($W62,CreateSearchString($J62),""),"&gt;",",")</f>
        <v/>
      </c>
      <c r="AE62" s="11" cm="1">
        <f t="array" aca="1" ref="AE62" ca="1">CreateID($AE$2,$AB62)</f>
        <v>7</v>
      </c>
      <c r="AF62" s="11" t="str" cm="1">
        <f t="array" aca="1" ref="AF62" ca="1">IF($AB62,CreateSearchString($R62),"")</f>
        <v/>
      </c>
      <c r="AG62" s="11" t="b">
        <f>OR(CheckRelevance(SanitizeInput($D62),Questionnaire!$J:$J),CheckRelevance(SanitizeInput($D62),Questionnaire!$K:$K))</f>
        <v>0</v>
      </c>
      <c r="AH62" s="11" t="str" cm="1">
        <f t="array" ref="AH62">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FilterPreconditionCandidates(RemoveFirstElement(_xlpm._preconditionCandidates),_xlpm._searchColumn,_xlpm._delimiter))))(SanitizeInput($D62),Questionnaire!$AB:$AB,",")</f>
        <v/>
      </c>
      <c r="AI62" s="11" t="str" cm="1">
        <f t="array" ref="AI62">IF($D62="*","",InverseLookupList($AH62,Questionnaire!$AB$3,Questionnaire!$B$3,Helper!$B$12,","))</f>
        <v/>
      </c>
      <c r="AJ62" s="11" t="str" cm="1">
        <f t="array" ref="AJ62">RemoveDelimiter(GetValues($AI62,Questionnaire!$B:$H," ",CHAR(10)&amp;CHAR(10),TRUE),CHAR(10)&amp;CHAR(10))</f>
        <v/>
      </c>
      <c r="AK62" s="11" t="str" cm="1">
        <f t="array" ref="AK62">CreateSearchString($AI62)</f>
        <v/>
      </c>
      <c r="AL62" s="11" t="str" cm="1">
        <f t="array" aca="1" ref="AL62" ca="1">InverseLookup($A62,Mitigation!$AD$2,Mitigation!$A$2,1,Helper!$B$5,",")</f>
        <v/>
      </c>
      <c r="AM62" s="11" t="str" cm="1">
        <f t="array" aca="1" ref="AM62" ca="1">CreateSearchString(GetValues($AL62,'Attack Steps'!$A:$P,"",",",FALSE))</f>
        <v/>
      </c>
      <c r="AN62" s="11" t="str">
        <f t="shared" ref="AN62:AN66" si="2">IF($A62="","",$A62)</f>
        <v>CM24</v>
      </c>
      <c r="AO62" s="11" t="str" cm="1">
        <f t="array" ref="AO62">_xlfn.SWITCH($D62,
"*","",
"","",
_xlfn.LET(
_xlpm._answers,SUBSTITUTE(SanitizeInput($D62),"&amp;",","),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IF(_xlpm._questionIDUndefined,$A62&amp;" - "&amp;_xlpm._question&amp;": ERROR: Unknown question ID.",
        IF(_xlpm._firstAnswerIsValidOption,"",$A62&amp;" - "&amp;_xlpm._question&amp;": First answer ("&amp;_xlpm._firstAnswer&amp;") is not a valid option.")&amp;
        IF(_xlpm._secondAnswerRequired,IF(_xlpm._secondAnswerProvided,"",$A62&amp;" - "&amp;_xlpm._question&amp;": Second answer required but not provided."),"")&amp;
        IF(NOT(_xlpm._secondAnswerRequired),IF(_xlpm._secondAnswerProvided,$A62&amp;" - "&amp;_xlpm._question&amp;": Second answer ("&amp;_xlpm._secondAnswer&amp;") provided but the question only supports one answer.",""),"")&amp;
        IF(_xlpm._secondAnswerIsValidOption,"",$A62&amp;" - "&amp;_xlpm._question&amp;": Second answer ("&amp;_xlpm._secondAnswer&amp;") is not a valid option.")))),
  _xlfn.LAMBDA(_xlpm._x,_xlpm._y,_xlpm._x&amp;IF(_xlpm._x="","",CHAR(10))&amp;_xlpm._y))))</f>
        <v/>
      </c>
      <c r="AP62" s="11" cm="1">
        <f t="array" aca="1" ref="AP62" ca="1">CreateID($AP$2,$AO62&lt;&gt;"")</f>
        <v>0</v>
      </c>
    </row>
    <row r="63" spans="1:42" ht="60" x14ac:dyDescent="0.25">
      <c r="A63" s="9" t="s">
        <v>1728</v>
      </c>
      <c r="B63" s="10" t="s">
        <v>1738</v>
      </c>
      <c r="C63" s="10" t="s">
        <v>1739</v>
      </c>
      <c r="D63" s="10"/>
      <c r="E63" s="25" t="str" cm="1">
        <f t="array" ref="E63">OperateOnList(
  SanitizeInput($D63),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63" s="10" t="s">
        <v>174</v>
      </c>
      <c r="G63" s="13" t="str" cm="1">
        <f t="array" aca="1" ref="G63" ca="1">LookupNames($F63,'Attack Steps'!$A:$B)</f>
        <v>AS16 Manipulating the product's configuration via its configuration interface</v>
      </c>
      <c r="H63" s="10" t="s">
        <v>588</v>
      </c>
      <c r="I63" s="13" t="str" cm="1">
        <f t="array" aca="1" ref="I63" ca="1">RemoveDelimiter(GetValuesWithFallback(SanitizeInput($H63),$A:$B,Assumptions!$A:$B," ",","&amp;CHAR(10),TRUE),","&amp;CHAR(10))</f>
        <v>CM5 SCR 2.3 - Password based authentication (human)</v>
      </c>
      <c r="J63" s="10"/>
      <c r="K63" s="25" t="str" cm="1">
        <f t="array" ref="K63">IF($J63="","",SUBSTITUTE(SUBSTITUTE(SUBSTITUTE(SUBSTITUTE(SUBSTITUTE(SUBSTITUTE(SUBSTITUTE(SUBSTITUTE(SUBSTITUTE(
GetTransformation(SanitizeInput($J63),'Damage Scenarios'!$A:$J,COLUMNS('Damage Scenarios'!$A:$J),CHAR(10),"[#0][#1][#2]")&amp;"§",
"[#1][#2]",""),
"[#2]",""),
"[#0][#1]","[#1]"),
"[#0]","Removes:"&amp;CHAR(10)),
"[#1]","Transforms:"&amp;CHAR(10)),
CHAR(10)&amp;"§",""),
"§",""),
CHAR(10),CHAR(10)&amp;"   "),
"   "&amp;"Transforms:","Transforms:"))</f>
        <v/>
      </c>
      <c r="L63" s="10" t="s">
        <v>105</v>
      </c>
      <c r="M63" s="10" t="s">
        <v>112</v>
      </c>
      <c r="N63" s="10"/>
      <c r="O63" s="10" t="s">
        <v>121</v>
      </c>
      <c r="P63" s="10"/>
      <c r="Q63" s="13" t="str">
        <f ca="1">IF($A63="","",IFERROR(VLOOKUP($Z63,Definitions!$V:$W,COLUMNS(Definitions!$V:$W),TRUE),""))</f>
        <v>High</v>
      </c>
      <c r="R63" s="10"/>
      <c r="S63" s="10"/>
      <c r="T63" s="10" t="s">
        <v>1747</v>
      </c>
      <c r="U63" s="9" cm="1">
        <f t="array" aca="1" ref="U63" ca="1">CreateID($U$2,$A63&lt;&gt;"")</f>
        <v>61</v>
      </c>
      <c r="V63" s="11" t="b" cm="1">
        <f t="array" aca="1" ref="V63" ca="1">CheckRelevance(SanitizeInput(F63),Questionnaire!$J:$J)</f>
        <v>0</v>
      </c>
      <c r="W63" s="11" t="b">
        <f>IFERROR(_xlfn.XMATCH("*,"&amp;$A63&amp;",*",Mitigation!$X:$X,2)&gt;0,FALSE)</f>
        <v>0</v>
      </c>
      <c r="X63" s="11" cm="1">
        <f t="array" ref="X63">CreateTaskID($X$2,$X:$X,Tasks!$B$17,$T63)</f>
        <v>0</v>
      </c>
      <c r="Y63" s="11" t="str" cm="1">
        <f t="array" ref="Y63">CreateSearchString($F63)</f>
        <v>,AS16,</v>
      </c>
      <c r="Z63" s="11" cm="1">
        <f t="array" aca="1" ref="Z63" ca="1">OperateOnRange(
  $L63,
  TRUE,
  Helper!$B$16,
  0,
  _xlfn.LAMBDA(_xlpm._factor,IF(_xlpm._factor="",0,SimpleLookup(_xlpm._factor,Definitions!$Z:$AA))),
  _xlfn.LAMBDA(_xlpm._x,_xlpm._y,_xlpm._x+_xlpm._y))</f>
        <v>20</v>
      </c>
      <c r="AA63" s="11" t="str" cm="1">
        <f t="array" ref="AA63">CreateSearchString($H63)</f>
        <v>,CM5,</v>
      </c>
      <c r="AB63" s="11" t="b" cm="1">
        <f t="array" aca="1" ref="AB63" ca="1">IF($A63="",FALSE,
OR($AG63,_xlfn.LAMBDA(_xlpm._ownID,_xlpm._searchHeader,_xlpm._resultHeader,_xlpm._elementCount,_xlpm._delimiter,_xlpm._activeInTreatmentRange,_xlpm._activeByAnswersRange,_xlpm._dependencies,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InverseLookup(_xlpm._ownID,_xlpm._searchHeader,_xlpm._resultHeader,1,_xlpm._elementCount,_xlpm._delimiter))))))($A63,$AA$2,$A$2,Helper!$B$4,",",$A:$W,$A:$AG,InverseLookup($A63,$AA$2,$A$2,1,Helper!$B$4,","))))</f>
        <v>0</v>
      </c>
      <c r="AC63" s="11" t="str" cm="1">
        <f t="array" aca="1" ref="AC63" ca="1">IF(OR($W63,$AB63,$AG63),CreateSearchString($H63),"")</f>
        <v/>
      </c>
      <c r="AD63" s="11" t="str" cm="1">
        <f t="array" ref="AD63">SUBSTITUTE(IF($W63,CreateSearchString($J63),""),"&gt;",",")</f>
        <v/>
      </c>
      <c r="AE63" s="11" cm="1">
        <f t="array" aca="1" ref="AE63" ca="1">CreateID($AE$2,$AB63)</f>
        <v>7</v>
      </c>
      <c r="AF63" s="11" t="str" cm="1">
        <f t="array" aca="1" ref="AF63" ca="1">IF($AB63,CreateSearchString($R63),"")</f>
        <v/>
      </c>
      <c r="AG63" s="11" t="b">
        <f>OR(CheckRelevance(SanitizeInput($D63),Questionnaire!$J:$J),CheckRelevance(SanitizeInput($D63),Questionnaire!$K:$K))</f>
        <v>0</v>
      </c>
      <c r="AH63" s="11" t="str" cm="1">
        <f t="array" ref="AH63">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FilterPreconditionCandidates(RemoveFirstElement(_xlpm._preconditionCandidates),_xlpm._searchColumn,_xlpm._delimiter))))(SanitizeInput($D63),Questionnaire!$AB:$AB,",")</f>
        <v/>
      </c>
      <c r="AI63" s="11" t="str" cm="1">
        <f t="array" ref="AI63">IF($D63="*","",InverseLookupList($AH63,Questionnaire!$AB$3,Questionnaire!$B$3,Helper!$B$12,","))</f>
        <v/>
      </c>
      <c r="AJ63" s="11" t="str" cm="1">
        <f t="array" ref="AJ63">RemoveDelimiter(GetValues($AI63,Questionnaire!$B:$H," ",CHAR(10)&amp;CHAR(10),TRUE),CHAR(10)&amp;CHAR(10))</f>
        <v/>
      </c>
      <c r="AK63" s="11" t="str" cm="1">
        <f t="array" ref="AK63">CreateSearchString($AI63)</f>
        <v/>
      </c>
      <c r="AL63" s="11" t="str" cm="1">
        <f t="array" aca="1" ref="AL63" ca="1">InverseLookup($A63,Mitigation!$AD$2,Mitigation!$A$2,1,Helper!$B$5,",")</f>
        <v/>
      </c>
      <c r="AM63" s="11" t="str" cm="1">
        <f t="array" aca="1" ref="AM63" ca="1">CreateSearchString(GetValues($AL63,'Attack Steps'!$A:$P,"",",",FALSE))</f>
        <v/>
      </c>
      <c r="AN63" s="11" t="str">
        <f t="shared" si="2"/>
        <v>CM25</v>
      </c>
      <c r="AO63" s="11" t="str" cm="1">
        <f t="array" ref="AO63">_xlfn.SWITCH($D63,
"*","",
"","",
_xlfn.LET(
_xlpm._answers,SUBSTITUTE(SanitizeInput($D63),"&amp;",","),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IF(_xlpm._questionIDUndefined,$A63&amp;" - "&amp;_xlpm._question&amp;": ERROR: Unknown question ID.",
        IF(_xlpm._firstAnswerIsValidOption,"",$A63&amp;" - "&amp;_xlpm._question&amp;": First answer ("&amp;_xlpm._firstAnswer&amp;") is not a valid option.")&amp;
        IF(_xlpm._secondAnswerRequired,IF(_xlpm._secondAnswerProvided,"",$A63&amp;" - "&amp;_xlpm._question&amp;": Second answer required but not provided."),"")&amp;
        IF(NOT(_xlpm._secondAnswerRequired),IF(_xlpm._secondAnswerProvided,$A63&amp;" - "&amp;_xlpm._question&amp;": Second answer ("&amp;_xlpm._secondAnswer&amp;") provided but the question only supports one answer.",""),"")&amp;
        IF(_xlpm._secondAnswerIsValidOption,"",$A63&amp;" - "&amp;_xlpm._question&amp;": Second answer ("&amp;_xlpm._secondAnswer&amp;") is not a valid option.")))),
  _xlfn.LAMBDA(_xlpm._x,_xlpm._y,_xlpm._x&amp;IF(_xlpm._x="","",CHAR(10))&amp;_xlpm._y))))</f>
        <v/>
      </c>
      <c r="AP63" s="11" cm="1">
        <f t="array" aca="1" ref="AP63" ca="1">CreateID($AP$2,$AO63&lt;&gt;"")</f>
        <v>0</v>
      </c>
    </row>
    <row r="64" spans="1:42" ht="30" x14ac:dyDescent="0.25">
      <c r="A64" s="9" t="s">
        <v>1729</v>
      </c>
      <c r="B64" s="10" t="s">
        <v>1740</v>
      </c>
      <c r="C64" s="10" t="s">
        <v>1741</v>
      </c>
      <c r="D64" s="10"/>
      <c r="E64" s="25" t="str" cm="1">
        <f t="array" ref="E64">OperateOnList(
  SanitizeInput($D64),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64" s="10" t="s">
        <v>174</v>
      </c>
      <c r="G64" s="13" t="str" cm="1">
        <f t="array" aca="1" ref="G64" ca="1">LookupNames($F64,'Attack Steps'!$A:$B)</f>
        <v>AS16 Manipulating the product's configuration via its configuration interface</v>
      </c>
      <c r="H64" s="10" t="s">
        <v>588</v>
      </c>
      <c r="I64" s="13" t="str" cm="1">
        <f t="array" aca="1" ref="I64" ca="1">RemoveDelimiter(GetValuesWithFallback(SanitizeInput($H64),$A:$B,Assumptions!$A:$B," ",","&amp;CHAR(10),TRUE),","&amp;CHAR(10))</f>
        <v>CM5 SCR 2.3 - Password based authentication (human)</v>
      </c>
      <c r="J64" s="10"/>
      <c r="K64" s="25" t="str" cm="1">
        <f t="array" ref="K64">IF($J64="","",SUBSTITUTE(SUBSTITUTE(SUBSTITUTE(SUBSTITUTE(SUBSTITUTE(SUBSTITUTE(SUBSTITUTE(SUBSTITUTE(SUBSTITUTE(
GetTransformation(SanitizeInput($J64),'Damage Scenarios'!$A:$J,COLUMNS('Damage Scenarios'!$A:$J),CHAR(10),"[#0][#1][#2]")&amp;"§",
"[#1][#2]",""),
"[#2]",""),
"[#0][#1]","[#1]"),
"[#0]","Removes:"&amp;CHAR(10)),
"[#1]","Transforms:"&amp;CHAR(10)),
CHAR(10)&amp;"§",""),
"§",""),
CHAR(10),CHAR(10)&amp;"   "),
"   "&amp;"Transforms:","Transforms:"))</f>
        <v/>
      </c>
      <c r="L64" s="10"/>
      <c r="M64" s="10"/>
      <c r="N64" s="10"/>
      <c r="O64" s="10" t="s">
        <v>122</v>
      </c>
      <c r="P64" s="10"/>
      <c r="Q64" s="13" t="str">
        <f ca="1">IF($A64="","",IFERROR(VLOOKUP($Z64,Definitions!$V:$W,COLUMNS(Definitions!$V:$W),TRUE),""))</f>
        <v>Beyond High</v>
      </c>
      <c r="R64" s="10"/>
      <c r="S64" s="10"/>
      <c r="T64" s="10" t="s">
        <v>1748</v>
      </c>
      <c r="U64" s="9" cm="1">
        <f t="array" aca="1" ref="U64" ca="1">CreateID($U$2,$A64&lt;&gt;"")</f>
        <v>62</v>
      </c>
      <c r="V64" s="11" t="b" cm="1">
        <f t="array" aca="1" ref="V64" ca="1">CheckRelevance(SanitizeInput(F64),Questionnaire!$J:$J)</f>
        <v>0</v>
      </c>
      <c r="W64" s="11" t="b">
        <f>IFERROR(_xlfn.XMATCH("*,"&amp;$A64&amp;",*",Mitigation!$X:$X,2)&gt;0,FALSE)</f>
        <v>0</v>
      </c>
      <c r="X64" s="11" cm="1">
        <f t="array" ref="X64">CreateTaskID($X$2,$X:$X,Tasks!$B$17,$T64)</f>
        <v>0</v>
      </c>
      <c r="Y64" s="11" t="str" cm="1">
        <f t="array" ref="Y64">CreateSearchString($F64)</f>
        <v>,AS16,</v>
      </c>
      <c r="Z64" s="11" cm="1">
        <f t="array" aca="1" ref="Z64" ca="1">OperateOnRange(
  $L64,
  TRUE,
  Helper!$B$16,
  0,
  _xlfn.LAMBDA(_xlpm._factor,IF(_xlpm._factor="",0,SimpleLookup(_xlpm._factor,Definitions!$Z:$AA))),
  _xlfn.LAMBDA(_xlpm._x,_xlpm._y,_xlpm._x+_xlpm._y))</f>
        <v>25</v>
      </c>
      <c r="AA64" s="11" t="str" cm="1">
        <f t="array" ref="AA64">CreateSearchString($H64)</f>
        <v>,CM5,</v>
      </c>
      <c r="AB64" s="11" t="b" cm="1">
        <f t="array" aca="1" ref="AB64" ca="1">IF($A64="",FALSE,
OR($AG64,_xlfn.LAMBDA(_xlpm._ownID,_xlpm._searchHeader,_xlpm._resultHeader,_xlpm._elementCount,_xlpm._delimiter,_xlpm._activeInTreatmentRange,_xlpm._activeByAnswersRange,_xlpm._dependencies,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InverseLookup(_xlpm._ownID,_xlpm._searchHeader,_xlpm._resultHeader,1,_xlpm._elementCount,_xlpm._delimiter))))))($A64,$AA$2,$A$2,Helper!$B$4,",",$A:$W,$A:$AG,InverseLookup($A64,$AA$2,$A$2,1,Helper!$B$4,","))))</f>
        <v>0</v>
      </c>
      <c r="AC64" s="11" t="str" cm="1">
        <f t="array" aca="1" ref="AC64" ca="1">IF(OR($W64,$AB64,$AG64),CreateSearchString($H64),"")</f>
        <v/>
      </c>
      <c r="AD64" s="11" t="str" cm="1">
        <f t="array" ref="AD64">SUBSTITUTE(IF($W64,CreateSearchString($J64),""),"&gt;",",")</f>
        <v/>
      </c>
      <c r="AE64" s="11" cm="1">
        <f t="array" aca="1" ref="AE64" ca="1">CreateID($AE$2,$AB64)</f>
        <v>7</v>
      </c>
      <c r="AF64" s="11" t="str" cm="1">
        <f t="array" aca="1" ref="AF64" ca="1">IF($AB64,CreateSearchString($R64),"")</f>
        <v/>
      </c>
      <c r="AG64" s="11" t="b">
        <f>OR(CheckRelevance(SanitizeInput($D64),Questionnaire!$J:$J),CheckRelevance(SanitizeInput($D64),Questionnaire!$K:$K))</f>
        <v>0</v>
      </c>
      <c r="AH64" s="11" t="str" cm="1">
        <f t="array" ref="AH64">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FilterPreconditionCandidates(RemoveFirstElement(_xlpm._preconditionCandidates),_xlpm._searchColumn,_xlpm._delimiter))))(SanitizeInput($D64),Questionnaire!$AB:$AB,",")</f>
        <v/>
      </c>
      <c r="AI64" s="11" t="str" cm="1">
        <f t="array" ref="AI64">IF($D64="*","",InverseLookupList($AH64,Questionnaire!$AB$3,Questionnaire!$B$3,Helper!$B$12,","))</f>
        <v/>
      </c>
      <c r="AJ64" s="11" t="str" cm="1">
        <f t="array" ref="AJ64">RemoveDelimiter(GetValues($AI64,Questionnaire!$B:$H," ",CHAR(10)&amp;CHAR(10),TRUE),CHAR(10)&amp;CHAR(10))</f>
        <v/>
      </c>
      <c r="AK64" s="11" t="str" cm="1">
        <f t="array" ref="AK64">CreateSearchString($AI64)</f>
        <v/>
      </c>
      <c r="AL64" s="11" t="str" cm="1">
        <f t="array" aca="1" ref="AL64" ca="1">InverseLookup($A64,Mitigation!$AD$2,Mitigation!$A$2,1,Helper!$B$5,",")</f>
        <v/>
      </c>
      <c r="AM64" s="11" t="str" cm="1">
        <f t="array" aca="1" ref="AM64" ca="1">CreateSearchString(GetValues($AL64,'Attack Steps'!$A:$P,"",",",FALSE))</f>
        <v/>
      </c>
      <c r="AN64" s="11" t="str">
        <f t="shared" si="2"/>
        <v>CM26</v>
      </c>
      <c r="AO64" s="11" t="str" cm="1">
        <f t="array" ref="AO64">_xlfn.SWITCH($D64,
"*","",
"","",
_xlfn.LET(
_xlpm._answers,SUBSTITUTE(SanitizeInput($D64),"&amp;",","),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IF(_xlpm._questionIDUndefined,$A64&amp;" - "&amp;_xlpm._question&amp;": ERROR: Unknown question ID.",
        IF(_xlpm._firstAnswerIsValidOption,"",$A64&amp;" - "&amp;_xlpm._question&amp;": First answer ("&amp;_xlpm._firstAnswer&amp;") is not a valid option.")&amp;
        IF(_xlpm._secondAnswerRequired,IF(_xlpm._secondAnswerProvided,"",$A64&amp;" - "&amp;_xlpm._question&amp;": Second answer required but not provided."),"")&amp;
        IF(NOT(_xlpm._secondAnswerRequired),IF(_xlpm._secondAnswerProvided,$A64&amp;" - "&amp;_xlpm._question&amp;": Second answer ("&amp;_xlpm._secondAnswer&amp;") provided but the question only supports one answer.",""),"")&amp;
        IF(_xlpm._secondAnswerIsValidOption,"",$A64&amp;" - "&amp;_xlpm._question&amp;": Second answer ("&amp;_xlpm._secondAnswer&amp;") is not a valid option.")))),
  _xlfn.LAMBDA(_xlpm._x,_xlpm._y,_xlpm._x&amp;IF(_xlpm._x="","",CHAR(10))&amp;_xlpm._y))))</f>
        <v/>
      </c>
      <c r="AP64" s="11" cm="1">
        <f t="array" aca="1" ref="AP64" ca="1">CreateID($AP$2,$AO64&lt;&gt;"")</f>
        <v>0</v>
      </c>
    </row>
    <row r="65" spans="1:42" ht="60" x14ac:dyDescent="0.25">
      <c r="A65" s="9" t="s">
        <v>1730</v>
      </c>
      <c r="B65" s="10" t="s">
        <v>1742</v>
      </c>
      <c r="C65" s="10" t="s">
        <v>1743</v>
      </c>
      <c r="D65" s="10"/>
      <c r="E65" s="25" t="str" cm="1">
        <f t="array" ref="E65">OperateOnList(
  SanitizeInput($D65),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65" s="10" t="s">
        <v>174</v>
      </c>
      <c r="G65" s="13" t="str" cm="1">
        <f t="array" aca="1" ref="G65" ca="1">LookupNames($F65,'Attack Steps'!$A:$B)</f>
        <v>AS16 Manipulating the product's configuration via its configuration interface</v>
      </c>
      <c r="H65" s="10" t="s">
        <v>1745</v>
      </c>
      <c r="I65" s="13" t="str" cm="1">
        <f t="array" aca="1" ref="I65" ca="1">RemoveDelimiter(GetValuesWithFallback(SanitizeInput($H65),$A:$B,Assumptions!$A:$B," ",","&amp;CHAR(10),TRUE),","&amp;CHAR(10))</f>
        <v>CM5 SCR 2.3 - Password based authentication (human),
CM11 SCR 2.9 - Secure channel with communication partner authentication</v>
      </c>
      <c r="J65" s="10"/>
      <c r="K65" s="25" t="str" cm="1">
        <f t="array" ref="K65">IF($J65="","",SUBSTITUTE(SUBSTITUTE(SUBSTITUTE(SUBSTITUTE(SUBSTITUTE(SUBSTITUTE(SUBSTITUTE(SUBSTITUTE(SUBSTITUTE(
GetTransformation(SanitizeInput($J65),'Damage Scenarios'!$A:$J,COLUMNS('Damage Scenarios'!$A:$J),CHAR(10),"[#0][#1][#2]")&amp;"§",
"[#1][#2]",""),
"[#2]",""),
"[#0][#1]","[#1]"),
"[#0]","Removes:"&amp;CHAR(10)),
"[#1]","Transforms:"&amp;CHAR(10)),
CHAR(10)&amp;"§",""),
"§",""),
CHAR(10),CHAR(10)&amp;"   "),
"   "&amp;"Transforms:","Transforms:"))</f>
        <v/>
      </c>
      <c r="L65" s="10"/>
      <c r="M65" s="10"/>
      <c r="N65" s="10"/>
      <c r="O65" s="10"/>
      <c r="P65" s="10"/>
      <c r="Q65" s="13" t="str">
        <f ca="1">IF($A65="","",IFERROR(VLOOKUP($Z65,Definitions!$V:$W,COLUMNS(Definitions!$V:$W),TRUE),""))</f>
        <v>Basic</v>
      </c>
      <c r="R65" s="10"/>
      <c r="S65" s="10"/>
      <c r="T65" s="10"/>
      <c r="U65" s="9" cm="1">
        <f t="array" aca="1" ref="U65" ca="1">CreateID($U$2,$A65&lt;&gt;"")</f>
        <v>63</v>
      </c>
      <c r="V65" s="11" t="b" cm="1">
        <f t="array" aca="1" ref="V65" ca="1">CheckRelevance(SanitizeInput(F65),Questionnaire!$J:$J)</f>
        <v>0</v>
      </c>
      <c r="W65" s="11" t="b">
        <f>IFERROR(_xlfn.XMATCH("*,"&amp;$A65&amp;",*",Mitigation!$X:$X,2)&gt;0,FALSE)</f>
        <v>0</v>
      </c>
      <c r="X65" s="11" cm="1">
        <f t="array" ref="X65">CreateTaskID($X$2,$X:$X,Tasks!$B$17,$T65)</f>
        <v>0</v>
      </c>
      <c r="Y65" s="11" t="str" cm="1">
        <f t="array" ref="Y65">CreateSearchString($F65)</f>
        <v>,AS16,</v>
      </c>
      <c r="Z65" s="11" cm="1">
        <f t="array" aca="1" ref="Z65" ca="1">OperateOnRange(
  $L65,
  TRUE,
  Helper!$B$16,
  0,
  _xlfn.LAMBDA(_xlpm._factor,IF(_xlpm._factor="",0,SimpleLookup(_xlpm._factor,Definitions!$Z:$AA))),
  _xlfn.LAMBDA(_xlpm._x,_xlpm._y,_xlpm._x+_xlpm._y))</f>
        <v>0</v>
      </c>
      <c r="AA65" s="11" t="str" cm="1">
        <f t="array" ref="AA65">CreateSearchString($H65)</f>
        <v>,CM5,CM11,</v>
      </c>
      <c r="AB65" s="11" t="b" cm="1">
        <f t="array" aca="1" ref="AB65" ca="1">IF($A65="",FALSE,
OR($AG65,_xlfn.LAMBDA(_xlpm._ownID,_xlpm._searchHeader,_xlpm._resultHeader,_xlpm._elementCount,_xlpm._delimiter,_xlpm._activeInTreatmentRange,_xlpm._activeByAnswersRange,_xlpm._dependencies,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InverseLookup(_xlpm._ownID,_xlpm._searchHeader,_xlpm._resultHeader,1,_xlpm._elementCount,_xlpm._delimiter))))))($A65,$AA$2,$A$2,Helper!$B$4,",",$A:$W,$A:$AG,InverseLookup($A65,$AA$2,$A$2,1,Helper!$B$4,","))))</f>
        <v>0</v>
      </c>
      <c r="AC65" s="11" t="str" cm="1">
        <f t="array" aca="1" ref="AC65" ca="1">IF(OR($W65,$AB65,$AG65),CreateSearchString($H65),"")</f>
        <v/>
      </c>
      <c r="AD65" s="11" t="str" cm="1">
        <f t="array" ref="AD65">SUBSTITUTE(IF($W65,CreateSearchString($J65),""),"&gt;",",")</f>
        <v/>
      </c>
      <c r="AE65" s="11" cm="1">
        <f t="array" aca="1" ref="AE65" ca="1">CreateID($AE$2,$AB65)</f>
        <v>7</v>
      </c>
      <c r="AF65" s="11" t="str" cm="1">
        <f t="array" aca="1" ref="AF65" ca="1">IF($AB65,CreateSearchString($R65),"")</f>
        <v/>
      </c>
      <c r="AG65" s="11" t="b">
        <f>OR(CheckRelevance(SanitizeInput($D65),Questionnaire!$J:$J),CheckRelevance(SanitizeInput($D65),Questionnaire!$K:$K))</f>
        <v>0</v>
      </c>
      <c r="AH65" s="11" t="str" cm="1">
        <f t="array" ref="AH65">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FilterPreconditionCandidates(RemoveFirstElement(_xlpm._preconditionCandidates),_xlpm._searchColumn,_xlpm._delimiter))))(SanitizeInput($D65),Questionnaire!$AB:$AB,",")</f>
        <v/>
      </c>
      <c r="AI65" s="11" t="str" cm="1">
        <f t="array" ref="AI65">IF($D65="*","",InverseLookupList($AH65,Questionnaire!$AB$3,Questionnaire!$B$3,Helper!$B$12,","))</f>
        <v/>
      </c>
      <c r="AJ65" s="11" t="str" cm="1">
        <f t="array" ref="AJ65">RemoveDelimiter(GetValues($AI65,Questionnaire!$B:$H," ",CHAR(10)&amp;CHAR(10),TRUE),CHAR(10)&amp;CHAR(10))</f>
        <v/>
      </c>
      <c r="AK65" s="11" t="str" cm="1">
        <f t="array" ref="AK65">CreateSearchString($AI65)</f>
        <v/>
      </c>
      <c r="AL65" s="11" t="str" cm="1">
        <f t="array" aca="1" ref="AL65" ca="1">InverseLookup($A65,Mitigation!$AD$2,Mitigation!$A$2,1,Helper!$B$5,",")</f>
        <v/>
      </c>
      <c r="AM65" s="11" t="str" cm="1">
        <f t="array" aca="1" ref="AM65" ca="1">CreateSearchString(GetValues($AL65,'Attack Steps'!$A:$P,"",",",FALSE))</f>
        <v/>
      </c>
      <c r="AN65" s="11" t="str">
        <f t="shared" si="2"/>
        <v>CM27</v>
      </c>
      <c r="AO65" s="11" t="str" cm="1">
        <f t="array" ref="AO65">_xlfn.SWITCH($D65,
"*","",
"","",
_xlfn.LET(
_xlpm._answers,SUBSTITUTE(SanitizeInput($D65),"&amp;",","),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IF(_xlpm._questionIDUndefined,$A65&amp;" - "&amp;_xlpm._question&amp;": ERROR: Unknown question ID.",
        IF(_xlpm._firstAnswerIsValidOption,"",$A65&amp;" - "&amp;_xlpm._question&amp;": First answer ("&amp;_xlpm._firstAnswer&amp;") is not a valid option.")&amp;
        IF(_xlpm._secondAnswerRequired,IF(_xlpm._secondAnswerProvided,"",$A65&amp;" - "&amp;_xlpm._question&amp;": Second answer required but not provided."),"")&amp;
        IF(NOT(_xlpm._secondAnswerRequired),IF(_xlpm._secondAnswerProvided,$A65&amp;" - "&amp;_xlpm._question&amp;": Second answer ("&amp;_xlpm._secondAnswer&amp;") provided but the question only supports one answer.",""),"")&amp;
        IF(_xlpm._secondAnswerIsValidOption,"",$A65&amp;" - "&amp;_xlpm._question&amp;": Second answer ("&amp;_xlpm._secondAnswer&amp;") is not a valid option.")))),
  _xlfn.LAMBDA(_xlpm._x,_xlpm._y,_xlpm._x&amp;IF(_xlpm._x="","",CHAR(10))&amp;_xlpm._y))))</f>
        <v/>
      </c>
      <c r="AP65" s="11" cm="1">
        <f t="array" aca="1" ref="AP65" ca="1">CreateID($AP$2,$AO65&lt;&gt;"")</f>
        <v>0</v>
      </c>
    </row>
    <row r="66" spans="1:42" ht="45" x14ac:dyDescent="0.25">
      <c r="A66" s="9" t="s">
        <v>1731</v>
      </c>
      <c r="B66" s="10" t="s">
        <v>1744</v>
      </c>
      <c r="C66" s="10"/>
      <c r="D66" s="10"/>
      <c r="E66" s="25" t="str" cm="1">
        <f t="array" ref="E66">OperateOnList(
  SanitizeInput($D66),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
      </c>
      <c r="F66" s="10" t="s">
        <v>174</v>
      </c>
      <c r="G66" s="13" t="str" cm="1">
        <f t="array" aca="1" ref="G66" ca="1">LookupNames($F66,'Attack Steps'!$A:$B)</f>
        <v>AS16 Manipulating the product's configuration via its configuration interface</v>
      </c>
      <c r="H66" s="10" t="s">
        <v>588</v>
      </c>
      <c r="I66" s="13" t="str" cm="1">
        <f t="array" aca="1" ref="I66" ca="1">RemoveDelimiter(GetValuesWithFallback(SanitizeInput($H66),$A:$B,Assumptions!$A:$B," ",","&amp;CHAR(10),TRUE),","&amp;CHAR(10))</f>
        <v>CM5 SCR 2.3 - Password based authentication (human)</v>
      </c>
      <c r="J66" s="10"/>
      <c r="K66" s="25" t="str" cm="1">
        <f t="array" ref="K66">IF($J66="","",SUBSTITUTE(SUBSTITUTE(SUBSTITUTE(SUBSTITUTE(SUBSTITUTE(SUBSTITUTE(SUBSTITUTE(SUBSTITUTE(SUBSTITUTE(
GetTransformation(SanitizeInput($J66),'Damage Scenarios'!$A:$J,COLUMNS('Damage Scenarios'!$A:$J),CHAR(10),"[#0][#1][#2]")&amp;"§",
"[#1][#2]",""),
"[#2]",""),
"[#0][#1]","[#1]"),
"[#0]","Removes:"&amp;CHAR(10)),
"[#1]","Transforms:"&amp;CHAR(10)),
CHAR(10)&amp;"§",""),
"§",""),
CHAR(10),CHAR(10)&amp;"   "),
"   "&amp;"Transforms:","Transforms:"))</f>
        <v/>
      </c>
      <c r="L66" s="10"/>
      <c r="M66" s="10"/>
      <c r="N66" s="10"/>
      <c r="O66" s="10" t="s">
        <v>122</v>
      </c>
      <c r="P66" s="10"/>
      <c r="Q66" s="13" t="str">
        <f ca="1">IF($A66="","",IFERROR(VLOOKUP($Z66,Definitions!$V:$W,COLUMNS(Definitions!$V:$W),TRUE),""))</f>
        <v>Beyond High</v>
      </c>
      <c r="R66" s="10"/>
      <c r="S66" s="10"/>
      <c r="T66" s="10" t="s">
        <v>1749</v>
      </c>
      <c r="U66" s="9" cm="1">
        <f t="array" aca="1" ref="U66" ca="1">CreateID($U$2,$A66&lt;&gt;"")</f>
        <v>64</v>
      </c>
      <c r="V66" s="11" t="b" cm="1">
        <f t="array" aca="1" ref="V66" ca="1">CheckRelevance(SanitizeInput(F66),Questionnaire!$J:$J)</f>
        <v>0</v>
      </c>
      <c r="W66" s="11" t="b">
        <f>IFERROR(_xlfn.XMATCH("*,"&amp;$A66&amp;",*",Mitigation!$X:$X,2)&gt;0,FALSE)</f>
        <v>0</v>
      </c>
      <c r="X66" s="11" cm="1">
        <f t="array" ref="X66">CreateTaskID($X$2,$X:$X,Tasks!$B$17,$T66)</f>
        <v>0</v>
      </c>
      <c r="Y66" s="11" t="str" cm="1">
        <f t="array" ref="Y66">CreateSearchString($F66)</f>
        <v>,AS16,</v>
      </c>
      <c r="Z66" s="11" cm="1">
        <f t="array" aca="1" ref="Z66" ca="1">OperateOnRange(
  $L66,
  TRUE,
  Helper!$B$16,
  0,
  _xlfn.LAMBDA(_xlpm._factor,IF(_xlpm._factor="",0,SimpleLookup(_xlpm._factor,Definitions!$Z:$AA))),
  _xlfn.LAMBDA(_xlpm._x,_xlpm._y,_xlpm._x+_xlpm._y))</f>
        <v>25</v>
      </c>
      <c r="AA66" s="11" t="str" cm="1">
        <f t="array" ref="AA66">CreateSearchString($H66)</f>
        <v>,CM5,</v>
      </c>
      <c r="AB66" s="11" t="b" cm="1">
        <f t="array" aca="1" ref="AB66" ca="1">IF($A66="",FALSE,
OR($AG66,_xlfn.LAMBDA(_xlpm._ownID,_xlpm._searchHeader,_xlpm._resultHeader,_xlpm._elementCount,_xlpm._delimiter,_xlpm._activeInTreatmentRange,_xlpm._activeByAnswersRange,_xlpm._dependencies,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InverseLookup(_xlpm._ownID,_xlpm._searchHeader,_xlpm._resultHeader,1,_xlpm._elementCount,_xlpm._delimiter))))))($A66,$AA$2,$A$2,Helper!$B$4,",",$A:$W,$A:$AG,InverseLookup($A66,$AA$2,$A$2,1,Helper!$B$4,","))))</f>
        <v>0</v>
      </c>
      <c r="AC66" s="11" t="str" cm="1">
        <f t="array" aca="1" ref="AC66" ca="1">IF(OR($W66,$AB66,$AG66),CreateSearchString($H66),"")</f>
        <v/>
      </c>
      <c r="AD66" s="11" t="str" cm="1">
        <f t="array" ref="AD66">SUBSTITUTE(IF($W66,CreateSearchString($J66),""),"&gt;",",")</f>
        <v/>
      </c>
      <c r="AE66" s="11" cm="1">
        <f t="array" aca="1" ref="AE66" ca="1">CreateID($AE$2,$AB66)</f>
        <v>7</v>
      </c>
      <c r="AF66" s="11" t="str" cm="1">
        <f t="array" aca="1" ref="AF66" ca="1">IF($AB66,CreateSearchString($R66),"")</f>
        <v/>
      </c>
      <c r="AG66" s="11" t="b">
        <f>OR(CheckRelevance(SanitizeInput($D66),Questionnaire!$J:$J),CheckRelevance(SanitizeInput($D66),Questionnaire!$K:$K))</f>
        <v>0</v>
      </c>
      <c r="AH66" s="11" t="str" cm="1">
        <f t="array" ref="AH66">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FilterPreconditionCandidates(RemoveFirstElement(_xlpm._preconditionCandidates),_xlpm._searchColumn,_xlpm._delimiter))))(SanitizeInput($D66),Questionnaire!$AB:$AB,",")</f>
        <v/>
      </c>
      <c r="AI66" s="11" t="str" cm="1">
        <f t="array" ref="AI66">IF($D66="*","",InverseLookupList($AH66,Questionnaire!$AB$3,Questionnaire!$B$3,Helper!$B$12,","))</f>
        <v/>
      </c>
      <c r="AJ66" s="11" t="str" cm="1">
        <f t="array" ref="AJ66">RemoveDelimiter(GetValues($AI66,Questionnaire!$B:$H," ",CHAR(10)&amp;CHAR(10),TRUE),CHAR(10)&amp;CHAR(10))</f>
        <v/>
      </c>
      <c r="AK66" s="11" t="str" cm="1">
        <f t="array" ref="AK66">CreateSearchString($AI66)</f>
        <v/>
      </c>
      <c r="AL66" s="11" t="str" cm="1">
        <f t="array" aca="1" ref="AL66" ca="1">InverseLookup($A66,Mitigation!$AD$2,Mitigation!$A$2,1,Helper!$B$5,",")</f>
        <v/>
      </c>
      <c r="AM66" s="11" t="str" cm="1">
        <f t="array" aca="1" ref="AM66" ca="1">CreateSearchString(GetValues($AL66,'Attack Steps'!$A:$P,"",",",FALSE))</f>
        <v/>
      </c>
      <c r="AN66" s="11" t="str">
        <f t="shared" si="2"/>
        <v>CM28</v>
      </c>
      <c r="AO66" s="11" t="str" cm="1">
        <f t="array" ref="AO66">_xlfn.SWITCH($D66,
"*","",
"","",
_xlfn.LET(
_xlpm._answers,SUBSTITUTE(SanitizeInput($D66),"&amp;",","),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IF(_xlpm._questionIDUndefined,$A66&amp;" - "&amp;_xlpm._question&amp;": ERROR: Unknown question ID.",
        IF(_xlpm._firstAnswerIsValidOption,"",$A66&amp;" - "&amp;_xlpm._question&amp;": First answer ("&amp;_xlpm._firstAnswer&amp;") is not a valid option.")&amp;
        IF(_xlpm._secondAnswerRequired,IF(_xlpm._secondAnswerProvided,"",$A66&amp;" - "&amp;_xlpm._question&amp;": Second answer required but not provided."),"")&amp;
        IF(NOT(_xlpm._secondAnswerRequired),IF(_xlpm._secondAnswerProvided,$A66&amp;" - "&amp;_xlpm._question&amp;": Second answer ("&amp;_xlpm._secondAnswer&amp;") provided but the question only supports one answer.",""),"")&amp;
        IF(_xlpm._secondAnswerIsValidOption,"",$A66&amp;" - "&amp;_xlpm._question&amp;": Second answer ("&amp;_xlpm._secondAnswer&amp;") is not a valid option.")))),
  _xlfn.LAMBDA(_xlpm._x,_xlpm._y,_xlpm._x&amp;IF(_xlpm._x="","",CHAR(10))&amp;_xlpm._y))))</f>
        <v/>
      </c>
      <c r="AP66" s="11" cm="1">
        <f t="array" aca="1" ref="AP66" ca="1">CreateID($AP$2,$AO66&lt;&gt;"")</f>
        <v>0</v>
      </c>
    </row>
    <row r="67" spans="1:42" ht="36.75" x14ac:dyDescent="0.25">
      <c r="A67" s="9" t="s">
        <v>1735</v>
      </c>
      <c r="B67" s="10" t="s">
        <v>1535</v>
      </c>
      <c r="C67" s="10" t="s">
        <v>1536</v>
      </c>
      <c r="D67" s="10" t="s">
        <v>1537</v>
      </c>
      <c r="E67" s="25" t="str" cm="1">
        <f t="array" aca="1" ref="E67" ca="1">OperateOnList(
  SanitizeInput($D67),
  _xlfn.LAMBDA(_xlpm._term,
    IF(_xlpm._term="*","*",
      OperateOnList(
        SanitizeInput(SUBSTITUTE(_xlpm._term,"&amp;",",")),
        _xlfn.LAMBDA(_xlpm._innerTerm,_xlfn.LET(
          _xlpm._optPos,FIND("[",_xlpm._innerTerm),
          _xlpm._qID,LEFT(_xlpm._innerTerm,_xlpm._optPos-1),
          _xlpm._pipePos,IFERROR(FIND("|",_xlpm._innerTerm),0),
          _xlpm._firstAnswer,MID(_xlpm._innerTerm,_xlpm._optPos+1,IF(_xlpm._pipePos=0,LEN(_xlpm._innerTerm),_xlpm._pipePos)-_xlpm._optPos-1),
          _xlpm._secondQuestionTerm,IF(_xlpm._pipePos=0,"",SimpleLookup(_xlpm._qID,Questions!$A:$H)),
          _xlpm._secondAnswerStart,IF(_xlpm._secondQuestionTerm="",0,FIND(_xlpm._firstAnswer&amp;":",_xlpm._secondQuestionTerm)+LEN(_xlpm._firstAnswer&amp;":")),
          _xlpm._secondQuestion,IF(_xlpm._secondQuestionTerm="","",MID(_xlpm._secondQuestionTerm,_xlpm._secondAnswerStart,FIND(CHAR(10),_xlpm._secondQuestionTerm&amp;CHAR(10),_xlpm._secondAnswerStart)-_xlpm._secondAnswerStart)),
          _xlpm._secondAnswer,IF(_xlpm._pipePos=0,"","["&amp;RIGHT(_xlpm._innerTerm,LEN(_xlpm._innerTerm)-_xlpm._pipePos)),
          _xlpm._qID&amp;" "&amp;SimpleLookupWithErrorMessage(_xlpm._qID,Questions!$A:$B)&amp;" ["&amp;_xlpm._firstAnswer&amp;"]"&amp;
          IF(_xlpm._secondQuestionTerm="","",CHAR(10)&amp;CHAR(187)&amp;" "&amp;TRIM(_xlpm._secondQuestion)&amp;" "&amp;_xlpm._secondAnswer))),
        _xlfn.LAMBDA(_xlpm._x,_xlpm._y,_xlpm._x&amp;CHAR(10)&amp;" &amp; "&amp;_xlpm._y)))),
  _xlfn.LAMBDA(_xlpm._x,_xlpm._y,_xlpm._x&amp;","&amp;CHAR(10)&amp;_xlpm._y))</f>
        <v>QI6 Can a loss of availability of the product (or its communication) endanger the health of people?
(Consider how the operational environment reacts to a loss of availability of the product.) [No]
» Is the product a safety product? [Yes]</v>
      </c>
      <c r="F67" s="10"/>
      <c r="G67" s="13" t="str" cm="1">
        <f t="array" ref="G67">LookupNames($F67,'Attack Steps'!$A:$B)</f>
        <v/>
      </c>
      <c r="H67" s="10"/>
      <c r="I67" s="13" t="str" cm="1">
        <f t="array" ref="I67">RemoveDelimiter(GetValuesWithFallback(SanitizeInput($H67),$A:$B,Assumptions!$A:$B," ",","&amp;CHAR(10),TRUE),","&amp;CHAR(10))</f>
        <v/>
      </c>
      <c r="J67" s="10"/>
      <c r="K67" s="25" t="str" cm="1">
        <f t="array" ref="K67">IF($J67="","",SUBSTITUTE(SUBSTITUTE(SUBSTITUTE(SUBSTITUTE(SUBSTITUTE(SUBSTITUTE(SUBSTITUTE(SUBSTITUTE(SUBSTITUTE(
GetTransformation(SanitizeInput($J67),'Damage Scenarios'!$A:$J,COLUMNS('Damage Scenarios'!$A:$J),CHAR(10),"[#0][#1][#2]")&amp;"§",
"[#1][#2]",""),
"[#2]",""),
"[#0][#1]","[#1]"),
"[#0]","Removes:"&amp;CHAR(10)),
"[#1]","Transforms:"&amp;CHAR(10)),
CHAR(10)&amp;"§",""),
"§",""),
CHAR(10),CHAR(10)&amp;"   "),
"   "&amp;"Transforms:","Transforms:"))</f>
        <v/>
      </c>
      <c r="L67" s="10"/>
      <c r="M67" s="10"/>
      <c r="N67" s="10"/>
      <c r="O67" s="10"/>
      <c r="P67" s="10"/>
      <c r="Q67" s="13" t="str">
        <f ca="1">IF($A67="","",IFERROR(VLOOKUP($Z67,Definitions!$V:$W,COLUMNS(Definitions!$V:$W),TRUE),""))</f>
        <v>Basic</v>
      </c>
      <c r="R67" s="10"/>
      <c r="S67" s="10"/>
      <c r="T67" s="10"/>
      <c r="U67" s="9" cm="1">
        <f t="array" aca="1" ref="U67" ca="1">CreateID($U$2,$A67&lt;&gt;"")</f>
        <v>65</v>
      </c>
      <c r="V67" s="11" t="b" cm="1">
        <f t="array" ref="V67">CheckRelevance(SanitizeInput(F67),Questionnaire!$J:$J)</f>
        <v>0</v>
      </c>
      <c r="W67" s="11" t="b">
        <f>IFERROR(_xlfn.XMATCH("*,"&amp;$A67&amp;",*",Mitigation!$X:$X,2)&gt;0,FALSE)</f>
        <v>0</v>
      </c>
      <c r="X67" s="11" cm="1">
        <f t="array" ref="X67">CreateTaskID($X$2,$X:$X,Tasks!$B$17,$T67)</f>
        <v>0</v>
      </c>
      <c r="Y67" s="11" t="str" cm="1">
        <f t="array" ref="Y67">CreateSearchString($F67)</f>
        <v/>
      </c>
      <c r="Z67" s="11" cm="1">
        <f t="array" aca="1" ref="Z67" ca="1">OperateOnRange(
  $L67,
  TRUE,
  Helper!$B$16,
  0,
  _xlfn.LAMBDA(_xlpm._factor,IF(_xlpm._factor="",0,SimpleLookup(_xlpm._factor,Definitions!$Z:$AA))),
  _xlfn.LAMBDA(_xlpm._x,_xlpm._y,_xlpm._x+_xlpm._y))</f>
        <v>0</v>
      </c>
      <c r="AA67" s="11" t="str" cm="1">
        <f t="array" ref="AA67">CreateSearchString($H67)</f>
        <v/>
      </c>
      <c r="AB67" s="11" t="b" cm="1">
        <f t="array" aca="1" ref="AB67" ca="1">IF($A67="",FALSE,
OR($AG67,_xlfn.LAMBDA(_xlpm._ownID,_xlpm._searchHeader,_xlpm._resultHeader,_xlpm._elementCount,_xlpm._delimiter,_xlpm._activeInTreatmentRange,_xlpm._activeByAnswersRange,_xlpm._dependencies,
IF(OR(VLOOKUP(_xlpm._ownID,_xlpm._activeInTreatmentRange,COLUMNS(_xlpm._activeInTreatmentRange),FALSE),VLOOKUP(_xlpm._ownID,_xlpm._activeByAnswersRange,COLUMNS(_xlpm._activeByAnswersRange),FALSE)),TRUE,IF(_xlpm._dependencies="",FALSE,
_xlfn.LET(_xlpm._id,LEFT(_xlpm._dependencies,FIND(",",_xlpm._dependencies)-1),
CheckActiveCountermeasureRecursively(_xlpm._id,_xlpm._searchHeader,_xlpm._resultHeader,_xlpm._elementCount,_xlpm._delimiter,_xlpm._activeInTreatmentRange,_xlpm._activeByAnswersRange,RemoveFirstElement(_xlpm._dependencies)&amp;
InverseLookup(_xlpm._ownID,_xlpm._searchHeader,_xlpm._resultHeader,1,_xlpm._elementCount,_xlpm._delimiter))))))($A67,$AA$2,$A$2,Helper!$B$4,",",$A:$W,$A:$AG,InverseLookup($A67,$AA$2,$A$2,1,Helper!$B$4,","))))</f>
        <v>0</v>
      </c>
      <c r="AC67" s="11" t="str" cm="1">
        <f t="array" aca="1" ref="AC67" ca="1">IF(OR($W67,$AB67,$AG67),CreateSearchString($H67),"")</f>
        <v/>
      </c>
      <c r="AD67" s="11" t="str" cm="1">
        <f t="array" ref="AD67">SUBSTITUTE(IF($W67,CreateSearchString($J67),""),"&gt;",",")</f>
        <v/>
      </c>
      <c r="AE67" s="11" cm="1">
        <f t="array" aca="1" ref="AE67" ca="1">CreateID($AE$2,$AB67)</f>
        <v>7</v>
      </c>
      <c r="AF67" s="11" t="str" cm="1">
        <f t="array" aca="1" ref="AF67" ca="1">IF($AB67,CreateSearchString($R67),"")</f>
        <v/>
      </c>
      <c r="AG67" s="11" t="b">
        <f ca="1">OR(CheckRelevance(SanitizeInput($D67),Questionnaire!$J:$J),CheckRelevance(SanitizeInput($D67),Questionnaire!$K:$K))</f>
        <v>0</v>
      </c>
      <c r="AH67" s="11" t="str" cm="1">
        <f t="array" aca="1" ref="AH67" ca="1">_xlfn.LAMBDA(_xlpm._preconditionCandidates,_xlpm._searchColumn,_xlpm._delimiter,
IF(_xlpm._preconditionCandidates="","",_xlfn.LET(
_xlpm._preconditionCandidate,LEFT(_xlpm._preconditionCandidates,FIND(",",_xlpm._preconditionCandidates)-1),
_xlpm._isRelevant,CheckRelevance(_xlpm._preconditionCandidate&amp;",",_xlpm._searchColumn),
IF(_xlpm._isRelevant,SUBSTITUTE(_xlpm._preconditionCandidate,"&amp;",",")&amp;_xlpm._delimiter,"")&amp;
FilterPreconditionCandidates(RemoveFirstElement(_xlpm._preconditionCandidates),_xlpm._searchColumn,_xlpm._delimiter))))(SanitizeInput($D67),Questionnaire!$AB:$AB,",")</f>
        <v/>
      </c>
      <c r="AI67" s="11" t="str" cm="1">
        <f t="array" aca="1" ref="AI67" ca="1">IF($D67="*","",InverseLookupList($AH67,Questionnaire!$AB$3,Questionnaire!$B$3,Helper!$B$12,","))</f>
        <v/>
      </c>
      <c r="AJ67" s="11" t="str" cm="1">
        <f t="array" aca="1" ref="AJ67" ca="1">RemoveDelimiter(GetValues($AI67,Questionnaire!$B:$H," ",CHAR(10)&amp;CHAR(10),TRUE),CHAR(10)&amp;CHAR(10))</f>
        <v/>
      </c>
      <c r="AK67" s="11" t="str" cm="1">
        <f t="array" aca="1" ref="AK67" ca="1">CreateSearchString($AI67)</f>
        <v/>
      </c>
      <c r="AL67" s="11" t="str" cm="1">
        <f t="array" aca="1" ref="AL67" ca="1">InverseLookup($A67,Mitigation!$AD$2,Mitigation!$A$2,1,Helper!$B$5,",")</f>
        <v/>
      </c>
      <c r="AM67" s="11" t="str" cm="1">
        <f t="array" aca="1" ref="AM67" ca="1">CreateSearchString(GetValues($AL67,'Attack Steps'!$A:$P,"",",",FALSE))</f>
        <v/>
      </c>
      <c r="AN67" s="11" t="str">
        <f>IF($A67="","",$A67)</f>
        <v>CM29</v>
      </c>
      <c r="AO67" s="11" t="str" cm="1">
        <f t="array" aca="1" ref="AO67" ca="1">_xlfn.SWITCH($D67,
"*","",
"","",
_xlfn.LET(
_xlpm._answers,SUBSTITUTE(SanitizeInput($D67),"&amp;",","),
OperateOnList(
  _xlpm._answers,
  _xlfn.LAMBDA(_xlpm._answer,
    _xlfn.LET(
      _xlpm._startOfAnswers,FIND("[",_xlpm._answer),
      _xlpm._startOfSecondAnswer,IFERROR(FIND("|",_xlpm._answer),0),
      _xlpm._endOfAnswers,FIND("]",_xlpm._answer),
      _xlpm._question,LEFT(_xlpm._answer,_xlpm._startOfAnswers-1),
      _xlpm._firstAnswer,MID(_xlpm._answer,_xlpm._startOfAnswers+1,IF(_xlpm._startOfSecondAnswer=0,_xlpm._endOfAnswers,_xlpm._startOfSecondAnswer)-_xlpm._startOfAnswers-1),
      _xlpm._secondAnswer,IF(_xlpm._startOfSecondAnswer=0,"",MID(_xlpm._answer,_xlpm._startOfSecondAnswer+1,_xlpm._endOfAnswers-_xlpm._startOfSecondAnswer-1)),
      _xlpm._firstAnswerOptions,SanitizeInput(SUBSTITUTE(SimpleLookup(_xlpm._question,Questions!$A:$G),CHAR(10),",")),
      _xlpm._secondAnswerAllOptions,SimpleLookup(_xlpm._question,Questions!$A:$K)&amp;CHAR(10)&amp;"___",
      _xlpm._secondAnswerOptionsStart,IFERROR(FIND("___"&amp;_xlpm._firstAnswer&amp;"___"&amp;CHAR(10),_xlpm._secondAnswerAllOptions)+LEN("___"&amp;_xlpm._firstAnswer&amp;"___"&amp;CHAR(10)),0),
      _xlpm._secondAnswerOptionsEnd,IF(_xlpm._secondAnswerOptionsStart=0,0,FIND("___",_xlpm._secondAnswerAllOptions,_xlpm._secondAnswerOptionsStart)),
      _xlpm._secondAnswerOptions,IF(OR(_xlpm._secondAnswerOptionsStart=0,_xlpm._secondAnswerOptionsStart=_xlpm._secondAnswerOptionsEnd),"",
        SanitizeInput(SUBSTITUTE(MID(_xlpm._secondAnswerAllOptions,_xlpm._secondAnswerOptionsStart,_xlpm._secondAnswerOptionsEnd-_xlpm._secondAnswerOptionsStart-1),CHAR(10),","))),
      _xlpm._firstAnswerIsValidOption,IF(_xlpm._firstAnswer="*",TRUE,IFERROR(FIND(","&amp;_xlpm._firstAnswer&amp;",",","&amp;_xlpm._firstAnswerOptions)&gt;0,FALSE)),
      _xlpm._secondAnswerRequired,_xlpm._secondAnswerOptionsEnd&gt;_xlpm._secondAnswerOptionsStart,
      _xlpm._secondAnswerProvided,_xlpm._secondAnswer&lt;&gt;"",
      _xlpm._secondAnswerIsValidOption,IF(OR(_xlpm._secondAnswer="",NOT(_xlpm._secondAnswerRequired)),TRUE,IFERROR(FIND(","&amp;_xlpm._secondAnswer&amp;",",","&amp;_xlpm._secondAnswerOptions)&gt;0,AND(_xlpm._secondAnswer="*",_xlpm._secondAnswerRequired))),
      _xlpm._questionIDUndefined,IFERROR(MATCH(_xlpm._question,Questions!$A:$A,0)&lt;0,TRUE),
      IF(_xlpm._questionIDUndefined,$A67&amp;" - "&amp;_xlpm._question&amp;": ERROR: Unknown question ID.",
        IF(_xlpm._firstAnswerIsValidOption,"",$A67&amp;" - "&amp;_xlpm._question&amp;": First answer ("&amp;_xlpm._firstAnswer&amp;") is not a valid option.")&amp;
        IF(_xlpm._secondAnswerRequired,IF(_xlpm._secondAnswerProvided,"",$A67&amp;" - "&amp;_xlpm._question&amp;": Second answer required but not provided."),"")&amp;
        IF(NOT(_xlpm._secondAnswerRequired),IF(_xlpm._secondAnswerProvided,$A67&amp;" - "&amp;_xlpm._question&amp;": Second answer ("&amp;_xlpm._secondAnswer&amp;") provided but the question only supports one answer.",""),"")&amp;
        IF(_xlpm._secondAnswerIsValidOption,"",$A67&amp;" - "&amp;_xlpm._question&amp;": Second answer ("&amp;_xlpm._secondAnswer&amp;") is not a valid option.")))),
  _xlfn.LAMBDA(_xlpm._x,_xlpm._y,_xlpm._x&amp;IF(_xlpm._x="","",CHAR(10))&amp;_xlpm._y))))</f>
        <v/>
      </c>
      <c r="AP67" s="11" cm="1">
        <f t="array" aca="1" ref="AP67" ca="1">CreateID($AP$2,$AO67&lt;&gt;"")</f>
        <v>0</v>
      </c>
    </row>
  </sheetData>
  <phoneticPr fontId="4" type="noConversion"/>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1" id="{00000000-000E-0000-0700-000001000000}">
            <xm:f>AND(ROW(A1)&gt;ROW($A$2),OR(MATCH(A1,$A:$A,0)&lt;ROW(A1),IFERROR(MATCH(A1,Assumptions!$A:$A,0)&gt;0,FALSE)))</xm:f>
            <x14:dxf>
              <font>
                <strike/>
                <color rgb="FFC00000"/>
              </font>
              <border>
                <left style="thin">
                  <color rgb="FFC00000"/>
                </left>
                <right style="thin">
                  <color rgb="FFC00000"/>
                </right>
                <top style="thin">
                  <color rgb="FFC00000"/>
                </top>
                <bottom style="thin">
                  <color rgb="FFC00000"/>
                </bottom>
                <vertical/>
                <horizontal/>
              </border>
            </x14:dxf>
          </x14:cfRule>
          <xm:sqref>A1:A1048576</xm:sqref>
        </x14:conditionalFormatting>
        <x14:conditionalFormatting xmlns:xm="http://schemas.microsoft.com/office/excel/2006/main">
          <x14:cfRule type="expression" priority="2" id="{92F26B9D-6CAC-46A5-9ED0-09060DCF0807}">
            <xm:f>IFERROR(FIND(Tasks!$B$17,T1)&gt;0,FALSE)</xm:f>
            <x14:dxf>
              <font>
                <b/>
                <i val="0"/>
                <color rgb="FF99FFCC"/>
              </font>
            </x14:dxf>
          </x14:cfRule>
          <xm:sqref>T1:T1048576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E7B8778-9CE7-4001-AF9C-2F9850B63CAA}">
          <x14:formula1>
            <xm:f>OFFSET(Definitions!$Z$2,MATCH(COLUMN()-COLUMN($L$2)+1,Definitions!$AB:$AB,0)-ROW(Definitions!$Z$2),0,COUNTIF(Definitions!$AB:$AB,COLUMN()-COLUMN($L$2)+1),1)</xm:f>
          </x14:formula1>
          <xm:sqref>L3:P67</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EAD64-DF1F-458B-AC59-7C73E4FBD503}">
  <sheetPr>
    <tabColor theme="9" tint="-0.499984740745262"/>
  </sheetPr>
  <dimension ref="A1:J22"/>
  <sheetViews>
    <sheetView workbookViewId="0"/>
  </sheetViews>
  <sheetFormatPr defaultColWidth="9.140625" defaultRowHeight="15" x14ac:dyDescent="0.25"/>
  <cols>
    <col min="1" max="1" width="28.42578125" style="33" bestFit="1" customWidth="1"/>
    <col min="2" max="2" width="10.7109375" style="2" customWidth="1"/>
    <col min="3" max="3" width="9.140625" style="2"/>
    <col min="4" max="4" width="63" style="2" bestFit="1" customWidth="1"/>
    <col min="5" max="5" width="9.140625" style="2"/>
    <col min="6" max="6" width="49.85546875" style="2" bestFit="1" customWidth="1"/>
    <col min="7" max="7" width="33" style="2" bestFit="1" customWidth="1"/>
    <col min="8" max="8" width="9.140625" style="2"/>
    <col min="9" max="9" width="49.7109375" style="2" bestFit="1" customWidth="1"/>
    <col min="10" max="16384" width="9.140625" style="2"/>
  </cols>
  <sheetData>
    <row r="1" spans="1:10" x14ac:dyDescent="0.25">
      <c r="A1" s="33" t="s">
        <v>221</v>
      </c>
      <c r="B1" s="2">
        <f ca="1">MAX(Risks!$H:$H)</f>
        <v>0</v>
      </c>
      <c r="D1" s="33" t="s">
        <v>748</v>
      </c>
      <c r="F1" s="33" t="s">
        <v>1107</v>
      </c>
      <c r="I1" s="33" t="s">
        <v>1240</v>
      </c>
      <c r="J1" s="2" t="str" cm="1">
        <f t="array" ref="J1">_xlfn.LET(
_xlpm._confirmedCatalogIDs,SanitizeInput(Tracing!$C$1),
_xlpm._confirmedCountermeasures,GetValuesIgnoreErrors(_xlpm._confirmedCatalogIDs,Countermeasures!$S:$AN,"",",",FALSE),
_xlpm._confirmedAssumptions,GetValuesIgnoreErrors(_xlpm._confirmedCatalogIDs,Assumptions!$S:$AK,"",",",FALSE),
_xlpm._confirmedAssumptions&amp;_xlpm._confirmedCountermeasures)</f>
        <v/>
      </c>
    </row>
    <row r="2" spans="1:10" x14ac:dyDescent="0.25">
      <c r="A2" s="33" t="s">
        <v>222</v>
      </c>
      <c r="B2" s="2" t="str">
        <f ca="1">INDEX(Risks!$X:$X,MATCH(MAX(Risks!$H:$H),Risks!$H:$H,0))</f>
        <v/>
      </c>
      <c r="C2" s="2" t="str">
        <f>""</f>
        <v/>
      </c>
      <c r="D2" s="2" t="str" cm="1">
        <f t="array" aca="1" ref="D2:D11" ca="1">_xlfn.VSTACK(_xlfn._xlws.FILTER(Definitions!$H:$H,Definitions!$G:$G=Definitions!$E$6,""),_xlfn._xlws.FILTER(Definitions!$H:$H,Definitions!$G:$G=Definitions!$E$8,""))</f>
        <v>Low financial damage</v>
      </c>
      <c r="F2" s="2" t="str" cm="1">
        <f t="array" aca="1" ref="F2" ca="1">CELL("address",README!$A$1)</f>
        <v>'[QuBA-libre.xlsx]README'!$A$1</v>
      </c>
      <c r="G2" s="2" t="str">
        <f ca="1">_xlfn.LET(
_xlpm._address,$F2,
_xlpm._start,FIND("]",_xlpm._address)+1,
_xlpm._end,FIND("!",_xlpm._address),
SUBSTITUTE(MID(_xlpm._address,_xlpm._start,_xlpm._end-_xlpm._start),"'",""))</f>
        <v>README</v>
      </c>
      <c r="I2" s="33" t="s">
        <v>1238</v>
      </c>
      <c r="J2" s="2" t="str" cm="1">
        <f t="array" ref="J2">CreateSearchString($J$1)</f>
        <v/>
      </c>
    </row>
    <row r="3" spans="1:10" x14ac:dyDescent="0.25">
      <c r="A3" s="33" t="s">
        <v>223</v>
      </c>
      <c r="B3" s="2" t="str">
        <f ca="1">INDEX('Risk Treatment'!$X:$X,MATCH(MAX('Risk Treatment'!$U:$U),'Risk Treatment'!$U:$U,0))</f>
        <v/>
      </c>
      <c r="C3" s="2" t="str">
        <f>""</f>
        <v/>
      </c>
      <c r="D3" s="2" t="str">
        <f ca="1"/>
        <v>Medium financial damage</v>
      </c>
      <c r="F3" s="2" t="str" cm="1">
        <f t="array" aca="1" ref="F3" ca="1">CELL("address",Definitions!$A$2)</f>
        <v>'[QuBA-libre.xlsx]Definitions'!$A$2</v>
      </c>
      <c r="G3" s="2" t="str">
        <f t="shared" ref="G3:G22" ca="1" si="0">_xlfn.LET(
_xlpm._address,$F3,
_xlpm._start,FIND("]",_xlpm._address)+1,
_xlpm._end,FIND("!",_xlpm._address),
SUBSTITUTE(MID(_xlpm._address,_xlpm._start,_xlpm._end-_xlpm._start),"'",""))</f>
        <v>Definitions</v>
      </c>
      <c r="I3" s="33" t="s">
        <v>1233</v>
      </c>
      <c r="J3" s="2" t="str" cm="1">
        <f t="array" aca="1" ref="J3" ca="1">SanitizeInput(_xlfn.TEXTJOIN(",",TRUE,Table267103[ID]))</f>
        <v>A21,A30,A34,A38,C0,DR1,C13,C15,C24,C33,C34,</v>
      </c>
    </row>
    <row r="4" spans="1:10" x14ac:dyDescent="0.25">
      <c r="A4" s="33" t="s">
        <v>239</v>
      </c>
      <c r="B4" s="2">
        <f ca="1">COUNTIF(Countermeasures!$A:$A,"&lt;&gt;")-1</f>
        <v>66</v>
      </c>
      <c r="D4" s="2" t="str">
        <f ca="1"/>
        <v>High financial damage</v>
      </c>
      <c r="F4" s="2" t="str" cm="1">
        <f t="array" aca="1" ref="F4" ca="1">CELL("address",Questions!$A$3)</f>
        <v>'[QuBA-libre.xlsx]Questions'!$A$3</v>
      </c>
      <c r="G4" s="2" t="str">
        <f t="shared" ca="1" si="0"/>
        <v>Questions</v>
      </c>
      <c r="I4" s="33" t="s">
        <v>1239</v>
      </c>
      <c r="J4" s="2" t="str" cm="1">
        <f t="array" ref="J4">$J$1&amp;SanitizeInput(Tracing!$C$3)</f>
        <v/>
      </c>
    </row>
    <row r="5" spans="1:10" x14ac:dyDescent="0.25">
      <c r="A5" s="33" t="s">
        <v>248</v>
      </c>
      <c r="B5" s="2">
        <f ca="1">COUNTIF('Attack Steps'!$A:$A,"&lt;&gt;")-1</f>
        <v>42</v>
      </c>
      <c r="D5" s="2" t="str">
        <f ca="1"/>
        <v>Critical financial damage</v>
      </c>
      <c r="F5" s="2" t="str" cm="1">
        <f t="array" aca="1" ref="F5" ca="1">CELL("address",'Damage Scenarios'!$A$2)</f>
        <v>'[QuBA-libre.xlsx]Damage Scenarios'!$A$2</v>
      </c>
      <c r="G5" s="2" t="str">
        <f t="shared" ca="1" si="0"/>
        <v>Damage Scenarios</v>
      </c>
    </row>
    <row r="6" spans="1:10" x14ac:dyDescent="0.25">
      <c r="A6" s="33" t="s">
        <v>288</v>
      </c>
      <c r="B6" s="2">
        <f ca="1">COUNTIF(Assumptions!$A:$A,"&lt;&gt;")-1</f>
        <v>43</v>
      </c>
      <c r="D6" s="2" t="str">
        <f ca="1"/>
        <v>Disturbance</v>
      </c>
      <c r="F6" s="2" t="str" cm="1">
        <f t="array" aca="1" ref="F6" ca="1">CELL("address",'Attack Steps'!$A$2)</f>
        <v>'[QuBA-libre.xlsx]Attack Steps'!$A$2</v>
      </c>
      <c r="G6" s="2" t="str">
        <f t="shared" ca="1" si="0"/>
        <v>Attack Steps</v>
      </c>
    </row>
    <row r="7" spans="1:10" x14ac:dyDescent="0.25">
      <c r="A7" s="33" t="s">
        <v>315</v>
      </c>
      <c r="B7" s="2">
        <f ca="1">MAX('Attack Steps'!$W:$W)</f>
        <v>0</v>
      </c>
      <c r="D7" s="2" t="str">
        <f ca="1"/>
        <v>Service required</v>
      </c>
      <c r="F7" s="2" t="str" cm="1">
        <f t="array" aca="1" ref="F7" ca="1">CELL("address",Assumptions!$A$2)</f>
        <v>'[QuBA-libre.xlsx]Assumptions'!$A$2</v>
      </c>
      <c r="G7" s="2" t="str">
        <f t="shared" ca="1" si="0"/>
        <v>Assumptions</v>
      </c>
    </row>
    <row r="8" spans="1:10" x14ac:dyDescent="0.25">
      <c r="A8" s="33" t="s">
        <v>378</v>
      </c>
      <c r="B8" s="2">
        <f ca="1">MAX(Assumptions!$AC:$AC)</f>
        <v>4</v>
      </c>
      <c r="D8" s="2" t="str">
        <f ca="1"/>
        <v>Major disturbance</v>
      </c>
      <c r="F8" s="2" t="str" cm="1">
        <f t="array" aca="1" ref="F8" ca="1">CELL("address",Countermeasures!$A$2)</f>
        <v>'[QuBA-libre.xlsx]Countermeasures'!$A$2</v>
      </c>
      <c r="G8" s="2" t="str">
        <f t="shared" ca="1" si="0"/>
        <v>Countermeasures</v>
      </c>
    </row>
    <row r="9" spans="1:10" x14ac:dyDescent="0.25">
      <c r="A9" s="33" t="s">
        <v>505</v>
      </c>
      <c r="B9" s="2">
        <f ca="1">MAX(Countermeasures!$AE:$AE)</f>
        <v>7</v>
      </c>
      <c r="D9" s="2" t="str">
        <f ca="1"/>
        <v>Environmental damage</v>
      </c>
      <c r="F9" s="2" t="str" cm="1">
        <f t="array" aca="1" ref="F9" ca="1">CELL("address",Documentation!$B$17)</f>
        <v>'[QuBA-libre.xlsx]Documentation'!$B$17</v>
      </c>
      <c r="G9" s="2" t="str">
        <f t="shared" ca="1" si="0"/>
        <v>Documentation</v>
      </c>
    </row>
    <row r="10" spans="1:10" x14ac:dyDescent="0.25">
      <c r="A10" s="33" t="s">
        <v>810</v>
      </c>
      <c r="B10" s="2">
        <f ca="1">SUM(Table24['# Elements])</f>
        <v>0</v>
      </c>
      <c r="D10" s="2" t="str">
        <f ca="1"/>
        <v>Critical disturbance (destruction)</v>
      </c>
      <c r="F10" s="2" t="str" cm="1">
        <f t="array" aca="1" ref="F10" ca="1">CELL("address",Questionnaire!$C$3)</f>
        <v>'[QuBA-libre.xlsx]Questionnaire'!$C$3</v>
      </c>
      <c r="G10" s="2" t="str">
        <f t="shared" ca="1" si="0"/>
        <v>Questionnaire</v>
      </c>
    </row>
    <row r="11" spans="1:10" x14ac:dyDescent="0.25">
      <c r="A11" s="33" t="s">
        <v>811</v>
      </c>
      <c r="B11" s="2">
        <f ca="1">SUM(Table25['# Elements])</f>
        <v>0</v>
      </c>
      <c r="D11" s="2" t="str">
        <f ca="1"/>
        <v>Critical environmental damage</v>
      </c>
      <c r="F11" s="2" t="str" cm="1">
        <f t="array" aca="1" ref="F11" ca="1">CELL("address",'DS Overview'!$A$2)</f>
        <v>'[QuBA-libre.xlsx]DS Overview'!$A$2</v>
      </c>
      <c r="G11" s="2" t="str">
        <f t="shared" ca="1" si="0"/>
        <v>DS Overview</v>
      </c>
    </row>
    <row r="12" spans="1:10" x14ac:dyDescent="0.25">
      <c r="A12" s="33" t="s">
        <v>812</v>
      </c>
      <c r="B12" s="2">
        <f>COUNTIF(Questionnaire!$N:$N,"&lt;&gt;")</f>
        <v>101</v>
      </c>
      <c r="F12" s="2" t="str" cm="1">
        <f t="array" aca="1" ref="F12" ca="1">CELL("address",Risks!$A$2)</f>
        <v>'[QuBA-libre.xlsx]Risks'!$A$2</v>
      </c>
      <c r="G12" s="2" t="str">
        <f t="shared" ca="1" si="0"/>
        <v>Risks</v>
      </c>
    </row>
    <row r="13" spans="1:10" x14ac:dyDescent="0.25">
      <c r="A13" s="33" t="s">
        <v>809</v>
      </c>
      <c r="B13" s="2">
        <f ca="1">SUM(Table267['# APs])</f>
        <v>0</v>
      </c>
      <c r="F13" s="2" t="str" cm="1">
        <f t="array" aca="1" ref="F13" ca="1">CELL("address",Mitigation!$A$2)</f>
        <v>'[QuBA-libre.xlsx]Mitigation'!$A$2</v>
      </c>
      <c r="G13" s="2" t="str">
        <f t="shared" ca="1" si="0"/>
        <v>Mitigation</v>
      </c>
    </row>
    <row r="14" spans="1:10" x14ac:dyDescent="0.25">
      <c r="A14" s="33" t="s">
        <v>1257</v>
      </c>
      <c r="B14" s="2">
        <f ca="1">COUNTIF(Mitigation!$P:$P,"&lt;&gt;")-1</f>
        <v>41</v>
      </c>
      <c r="F14" s="2" t="str" cm="1">
        <f t="array" aca="1" ref="F14" ca="1">CELL("address",'Risk Treatment'!$C$4)</f>
        <v>'[QuBA-libre.xlsx]Risk Treatment'!$C$4</v>
      </c>
      <c r="G14" s="2" t="str">
        <f t="shared" ca="1" si="0"/>
        <v>Risk Treatment</v>
      </c>
    </row>
    <row r="15" spans="1:10" x14ac:dyDescent="0.25">
      <c r="A15" s="33" t="s">
        <v>1258</v>
      </c>
      <c r="B15" s="2">
        <f ca="1">B8+B9+B10+B11</f>
        <v>11</v>
      </c>
      <c r="F15" s="2" t="str" cm="1">
        <f t="array" aca="1" ref="F15" ca="1">CELL("address",Result!$A$1)</f>
        <v>'[QuBA-libre.xlsx]Result'!$A$1</v>
      </c>
      <c r="G15" s="2" t="str">
        <f t="shared" ca="1" si="0"/>
        <v>Result</v>
      </c>
    </row>
    <row r="16" spans="1:10" x14ac:dyDescent="0.25">
      <c r="A16" s="33" t="s">
        <v>1509</v>
      </c>
      <c r="B16" s="2">
        <f>MAX(Definitions!$AB:$AB)</f>
        <v>5</v>
      </c>
      <c r="F16" s="2" t="str" cm="1">
        <f t="array" aca="1" ref="F16" ca="1">CELL("address",'Annex I 1.2 Report'!$A$2)</f>
        <v>'[QuBA-libre.xlsx]Annex I 1.2 Report'!$A$2</v>
      </c>
      <c r="G16" s="2" t="str">
        <f t="shared" ca="1" si="0"/>
        <v>Annex I 1.2 Report</v>
      </c>
    </row>
    <row r="17" spans="1:7" x14ac:dyDescent="0.25">
      <c r="A17" s="33" t="s">
        <v>1510</v>
      </c>
      <c r="B17" s="2">
        <f ca="1">COUNTA(Definitions!$M:$M)-COUNTA(Definitions!$M$1:$M$3)</f>
        <v>4</v>
      </c>
      <c r="F17" s="2" t="str" cm="1">
        <f t="array" aca="1" ref="F17" ca="1">CELL("address",Tasks!$A$19)</f>
        <v>'[QuBA-libre.xlsx]Tasks'!$A$19</v>
      </c>
      <c r="G17" s="2" t="str">
        <f t="shared" ca="1" si="0"/>
        <v>Tasks</v>
      </c>
    </row>
    <row r="18" spans="1:7" x14ac:dyDescent="0.25">
      <c r="F18" s="2" t="str" cm="1">
        <f t="array" aca="1" ref="F18" ca="1">CELL("address",'Quality Indicators'!$A$2)</f>
        <v>'[QuBA-libre.xlsx]Quality Indicators'!$A$2</v>
      </c>
      <c r="G18" s="2" t="str">
        <f t="shared" ca="1" si="0"/>
        <v>Quality Indicators</v>
      </c>
    </row>
    <row r="19" spans="1:7" x14ac:dyDescent="0.25">
      <c r="F19" s="2" t="str" cm="1">
        <f t="array" aca="1" ref="F19" ca="1">CELL("address",JSON!$A$6)</f>
        <v>'[QuBA-libre.xlsx]JSON'!$A$6</v>
      </c>
      <c r="G19" s="2" t="str">
        <f t="shared" ca="1" si="0"/>
        <v>JSON</v>
      </c>
    </row>
    <row r="20" spans="1:7" x14ac:dyDescent="0.25">
      <c r="F20" s="2" t="str" cm="1">
        <f t="array" aca="1" ref="F20" ca="1">CELL("address",'Version History'!$A$1)</f>
        <v>'[QuBA-libre.xlsx]Version History'!$A$1</v>
      </c>
      <c r="G20" s="2" t="str">
        <f t="shared" ca="1" si="0"/>
        <v>Version History</v>
      </c>
    </row>
    <row r="21" spans="1:7" x14ac:dyDescent="0.25">
      <c r="F21" s="2" t="str" cm="1">
        <f t="array" aca="1" ref="F21" ca="1">CELL("address",Tracing!$B$2)</f>
        <v>'[QuBA-libre.xlsx]Tracing'!$B$2</v>
      </c>
      <c r="G21" s="2" t="str">
        <f t="shared" ca="1" si="0"/>
        <v>Tracing</v>
      </c>
    </row>
    <row r="22" spans="1:7" x14ac:dyDescent="0.25">
      <c r="F22" s="2" t="str" cm="1">
        <f t="array" aca="1" ref="F22" ca="1">CELL("address",'Answering Guideline'!$A$1)</f>
        <v>'[QuBA-libre.xlsx]Answering Guideline'!$A$1</v>
      </c>
      <c r="G22" s="2" t="str">
        <f t="shared" ca="1" si="0"/>
        <v>Answering Guideline</v>
      </c>
    </row>
  </sheetData>
  <pageMargins left="0.7" right="0.7" top="0.75" bottom="0.75" header="0.3" footer="0.3"/>
</worksheet>
</file>

<file path=docMetadata/LabelInfo.xml><?xml version="1.0" encoding="utf-8"?>
<clbl:labelList xmlns:clbl="http://schemas.microsoft.com/office/2020/mipLabelMetadata">
  <clbl:label id="{149acf93-d7d8-49e9-aea4-e48d6d0dae68}" enabled="0" method="" siteId="{149acf93-d7d8-49e9-aea4-e48d6d0dae68}"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9</vt:i4>
      </vt:variant>
    </vt:vector>
  </HeadingPairs>
  <TitlesOfParts>
    <vt:vector size="32" baseType="lpstr">
      <vt:lpstr>License</vt:lpstr>
      <vt:lpstr>README</vt:lpstr>
      <vt:lpstr>Answering Guideline</vt:lpstr>
      <vt:lpstr>Version History</vt:lpstr>
      <vt:lpstr>Documentation</vt:lpstr>
      <vt:lpstr>Questionnaire</vt:lpstr>
      <vt:lpstr>DS Overview</vt:lpstr>
      <vt:lpstr>Risks</vt:lpstr>
      <vt:lpstr>Mitigation</vt:lpstr>
      <vt:lpstr>Risk Treatment</vt:lpstr>
      <vt:lpstr>Result</vt:lpstr>
      <vt:lpstr>Annex I 1.2 Report</vt:lpstr>
      <vt:lpstr>Tracing</vt:lpstr>
      <vt:lpstr>Tasks</vt:lpstr>
      <vt:lpstr>Quality Indicators</vt:lpstr>
      <vt:lpstr>JSON</vt:lpstr>
      <vt:lpstr>Definitions</vt:lpstr>
      <vt:lpstr>Questions</vt:lpstr>
      <vt:lpstr>Damage Scenarios</vt:lpstr>
      <vt:lpstr>Attack Steps</vt:lpstr>
      <vt:lpstr>Assumptions</vt:lpstr>
      <vt:lpstr>Countermeasures</vt:lpstr>
      <vt:lpstr>Helper</vt:lpstr>
      <vt:lpstr>JSON_Questionnaire</vt:lpstr>
      <vt:lpstr>JSON_ResultSummary</vt:lpstr>
      <vt:lpstr>JSON_RiskTreatment</vt:lpstr>
      <vt:lpstr>'Annex I 1.2 Report'!Print_Area</vt:lpstr>
      <vt:lpstr>Documentation!Print_Area</vt:lpstr>
      <vt:lpstr>Mitigation!Print_Area</vt:lpstr>
      <vt:lpstr>Questionnaire!Print_Area</vt:lpstr>
      <vt:lpstr>Result!Print_Area</vt:lpstr>
      <vt:lpstr>'Risk Treatment'!Print_Area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Angermeier, Daniel</dc:creator>
  <cp:lastModifiedBy>Benjamin Holdermann</cp:lastModifiedBy>
  <cp:lastPrinted>2026-02-27T14:28:51Z</cp:lastPrinted>
  <dcterms:created xsi:type="dcterms:W3CDTF">2023-04-18T11:05:28Z</dcterms:created>
  <dcterms:modified xsi:type="dcterms:W3CDTF">2026-06-17T13:20:16Z</dcterms:modified>
</cp:coreProperties>
</file>